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225" windowWidth="14145" windowHeight="8820" tabRatio="895"/>
  </bookViews>
  <sheets>
    <sheet name="총괄표" sheetId="17" r:id="rId1"/>
    <sheet name="서울특별시" sheetId="1" r:id="rId2"/>
    <sheet name="부산광역시" sheetId="19" r:id="rId3"/>
    <sheet name="대구광역시" sheetId="20" r:id="rId4"/>
    <sheet name="인천광역시" sheetId="18" r:id="rId5"/>
    <sheet name="광주광역시" sheetId="21" r:id="rId6"/>
    <sheet name="대전광역시" sheetId="22" r:id="rId7"/>
    <sheet name="울산광역시" sheetId="23" r:id="rId8"/>
    <sheet name="세종특별자치시" sheetId="24" r:id="rId9"/>
    <sheet name="경기도" sheetId="25" r:id="rId10"/>
    <sheet name="강원도" sheetId="26" r:id="rId11"/>
    <sheet name="충청북도" sheetId="27" r:id="rId12"/>
    <sheet name="충청남도" sheetId="28" r:id="rId13"/>
    <sheet name="전라북도" sheetId="29" r:id="rId14"/>
    <sheet name="전라남도" sheetId="30" r:id="rId15"/>
    <sheet name="경상북도" sheetId="31" r:id="rId16"/>
    <sheet name="경상남도" sheetId="32" r:id="rId17"/>
    <sheet name="제주도" sheetId="33" r:id="rId18"/>
  </sheets>
  <definedNames>
    <definedName name="_xlnm._FilterDatabase" localSheetId="1" hidden="1">서울특별시!$A$4:$Y$43</definedName>
    <definedName name="_xlnm.Print_Area" localSheetId="1">서울특별시!$A$1:$Z$43</definedName>
    <definedName name="_xlnm.Print_Area" localSheetId="0">총괄표!$A$1:$T$16</definedName>
    <definedName name="_xlnm.Print_Titles" localSheetId="1">서울특별시!$1:$4</definedName>
    <definedName name="조직형태">서울특별시!#REF!</definedName>
  </definedNames>
  <calcPr calcId="144525"/>
  <fileRecoveryPr repairLoad="1"/>
</workbook>
</file>

<file path=xl/calcChain.xml><?xml version="1.0" encoding="utf-8"?>
<calcChain xmlns="http://schemas.openxmlformats.org/spreadsheetml/2006/main">
  <c r="W111" i="30" l="1"/>
  <c r="W110" i="30"/>
  <c r="W109" i="30"/>
  <c r="W108" i="30"/>
  <c r="W107" i="30"/>
  <c r="W106" i="30"/>
  <c r="W105" i="30"/>
  <c r="W104" i="30"/>
  <c r="W103" i="30"/>
  <c r="W102" i="30"/>
  <c r="W101" i="30"/>
  <c r="W100" i="30"/>
  <c r="W99" i="30"/>
  <c r="W98" i="30"/>
  <c r="W97" i="30"/>
  <c r="W96" i="30"/>
  <c r="W95" i="30"/>
  <c r="W94" i="30"/>
  <c r="W93" i="30"/>
  <c r="W92" i="30"/>
  <c r="W91" i="30"/>
  <c r="W90" i="30"/>
  <c r="W89" i="30"/>
  <c r="W88" i="30"/>
  <c r="W87" i="30"/>
  <c r="W86" i="30"/>
  <c r="W85" i="30"/>
  <c r="W84" i="30"/>
  <c r="W83" i="30"/>
  <c r="W82" i="30"/>
  <c r="W81" i="30"/>
  <c r="W80" i="30"/>
  <c r="W79" i="30"/>
  <c r="W78" i="30"/>
  <c r="W77" i="30"/>
  <c r="W76" i="30"/>
  <c r="W75" i="30"/>
  <c r="W74" i="30"/>
  <c r="W73" i="30"/>
  <c r="W72" i="30"/>
  <c r="W71" i="30"/>
  <c r="W70" i="30"/>
  <c r="W69" i="30"/>
  <c r="W68" i="30"/>
  <c r="W67" i="30"/>
  <c r="W66" i="30"/>
  <c r="W65" i="30"/>
  <c r="W64" i="30"/>
  <c r="W63" i="30"/>
  <c r="W62" i="30"/>
  <c r="W61" i="30"/>
  <c r="W60" i="30"/>
  <c r="W59" i="30"/>
  <c r="W58" i="30"/>
  <c r="W57" i="30"/>
  <c r="W56" i="30"/>
  <c r="W55" i="30"/>
  <c r="W54" i="30"/>
  <c r="W53" i="30"/>
  <c r="W52" i="30"/>
  <c r="W51" i="30"/>
  <c r="W50" i="30"/>
  <c r="W49" i="30"/>
  <c r="W48" i="30"/>
  <c r="W47" i="30"/>
  <c r="W46" i="30"/>
  <c r="W45" i="30"/>
  <c r="W44" i="30"/>
  <c r="W43" i="30"/>
  <c r="W42" i="30"/>
  <c r="W41" i="30"/>
  <c r="W40" i="30"/>
  <c r="W39" i="30"/>
  <c r="W38" i="30"/>
  <c r="W37" i="30"/>
  <c r="W36" i="30"/>
  <c r="W35" i="30"/>
  <c r="W34" i="30"/>
  <c r="W33" i="30"/>
  <c r="W32" i="30"/>
  <c r="W31" i="30"/>
  <c r="W30" i="30"/>
  <c r="W29" i="30"/>
  <c r="W28" i="30"/>
  <c r="W27" i="30"/>
  <c r="W26" i="30"/>
  <c r="W25" i="30"/>
  <c r="W24" i="30"/>
  <c r="W23" i="30"/>
  <c r="W22" i="30"/>
  <c r="W21" i="30"/>
  <c r="W20" i="30"/>
  <c r="W19" i="30"/>
  <c r="W18" i="30"/>
  <c r="W17" i="30"/>
  <c r="W16" i="30"/>
  <c r="W15" i="30"/>
  <c r="W14" i="30"/>
  <c r="W13" i="30"/>
  <c r="W12" i="30"/>
  <c r="W11" i="30"/>
  <c r="W10" i="30"/>
  <c r="W9" i="30"/>
  <c r="W8" i="30"/>
  <c r="W7" i="30"/>
  <c r="W6" i="30"/>
  <c r="W5" i="30"/>
  <c r="W90" i="28" l="1"/>
  <c r="W89" i="28"/>
  <c r="W88" i="28"/>
  <c r="W87" i="28"/>
  <c r="W81" i="28"/>
  <c r="I76" i="28"/>
  <c r="W71" i="28"/>
  <c r="W70" i="28"/>
  <c r="W69" i="28"/>
  <c r="I69" i="28"/>
  <c r="W68" i="28"/>
  <c r="I68" i="28"/>
  <c r="W67" i="28"/>
  <c r="I67" i="28"/>
  <c r="W66" i="28"/>
  <c r="I66" i="28"/>
  <c r="W64" i="28"/>
  <c r="W61" i="28"/>
  <c r="W58" i="28"/>
  <c r="W56" i="28"/>
  <c r="W54" i="28"/>
  <c r="W53" i="28"/>
  <c r="W52" i="28"/>
  <c r="W51" i="28"/>
  <c r="W47" i="28"/>
  <c r="W44" i="28"/>
  <c r="W43" i="28"/>
  <c r="I43" i="28"/>
  <c r="W40" i="28"/>
  <c r="W32" i="28"/>
  <c r="W28" i="28"/>
  <c r="W22" i="28"/>
  <c r="W20" i="28"/>
  <c r="I18" i="28"/>
  <c r="I17" i="28"/>
  <c r="I16" i="28"/>
  <c r="W15" i="28"/>
  <c r="I15" i="28"/>
  <c r="W14" i="28"/>
  <c r="I14" i="28"/>
  <c r="W13" i="28"/>
  <c r="I13" i="28"/>
  <c r="W12" i="28"/>
  <c r="I12" i="28"/>
  <c r="I11" i="28"/>
  <c r="W7" i="21" l="1"/>
  <c r="W6" i="21"/>
  <c r="W5" i="21"/>
  <c r="W72" i="26" l="1"/>
  <c r="W71" i="26"/>
  <c r="W70" i="26"/>
  <c r="W69" i="26"/>
  <c r="I66" i="26"/>
  <c r="I65" i="26"/>
  <c r="W64" i="26"/>
  <c r="W63" i="26"/>
  <c r="W62" i="26"/>
  <c r="I61" i="26"/>
  <c r="I60" i="26"/>
  <c r="I59" i="26"/>
  <c r="W58" i="26"/>
  <c r="W57" i="26"/>
  <c r="W56" i="26"/>
  <c r="W55" i="26"/>
  <c r="I54" i="26"/>
  <c r="I53" i="26"/>
  <c r="W47" i="26"/>
  <c r="W46" i="26"/>
  <c r="W45" i="26"/>
  <c r="W44" i="26"/>
  <c r="W39" i="26"/>
  <c r="W38" i="26"/>
  <c r="W37" i="26"/>
  <c r="W35" i="26"/>
  <c r="W32" i="26"/>
  <c r="W31" i="26"/>
  <c r="W30" i="26"/>
  <c r="I29" i="26"/>
  <c r="W26" i="26"/>
  <c r="W25" i="26"/>
  <c r="W24" i="26"/>
  <c r="I24" i="26"/>
  <c r="W23" i="26"/>
  <c r="W22" i="26"/>
  <c r="I22" i="26"/>
  <c r="W21" i="26"/>
  <c r="I21" i="26"/>
  <c r="W19" i="26"/>
  <c r="I19" i="26"/>
  <c r="W18" i="26"/>
  <c r="I18" i="26"/>
  <c r="I17" i="26"/>
  <c r="W16" i="26"/>
  <c r="I16" i="26"/>
  <c r="W15" i="26"/>
  <c r="W14" i="26"/>
  <c r="W9" i="26"/>
  <c r="W5" i="26"/>
  <c r="W90" i="1" l="1"/>
  <c r="W89" i="1"/>
  <c r="W86" i="1" l="1"/>
  <c r="W84" i="1"/>
  <c r="W82" i="1" l="1"/>
  <c r="W81" i="1"/>
  <c r="W70" i="1" l="1"/>
  <c r="I70" i="1"/>
  <c r="W69" i="1"/>
  <c r="I69" i="1"/>
  <c r="W68" i="1" l="1"/>
  <c r="W50" i="1" l="1"/>
  <c r="W49" i="1"/>
  <c r="W48" i="1"/>
  <c r="W47" i="1"/>
  <c r="W45" i="1" l="1"/>
  <c r="W44" i="1"/>
  <c r="W43" i="1"/>
  <c r="I45" i="1"/>
  <c r="I44" i="1"/>
  <c r="I43" i="1"/>
  <c r="W36" i="1" l="1"/>
  <c r="W35" i="1" l="1"/>
  <c r="W33" i="1" l="1"/>
  <c r="W32" i="1"/>
  <c r="I33" i="1"/>
  <c r="I32" i="1"/>
  <c r="W29" i="1" l="1"/>
  <c r="W21" i="1" l="1"/>
  <c r="W18" i="1" l="1"/>
  <c r="I20" i="1"/>
  <c r="I19" i="1"/>
  <c r="I18" i="1"/>
  <c r="I17" i="1"/>
  <c r="I6" i="1" l="1"/>
  <c r="I7" i="1"/>
  <c r="I8" i="1"/>
  <c r="I9" i="1"/>
  <c r="I10" i="1"/>
  <c r="I11" i="1"/>
  <c r="I12" i="1"/>
  <c r="I13" i="1"/>
  <c r="I14" i="1"/>
  <c r="I15" i="1"/>
  <c r="I16" i="1"/>
  <c r="I5" i="1"/>
  <c r="W16" i="1"/>
  <c r="W15" i="1"/>
  <c r="W14" i="1"/>
  <c r="W13" i="1"/>
  <c r="W12" i="1"/>
  <c r="W11" i="1"/>
  <c r="W10" i="1"/>
  <c r="W9" i="1"/>
  <c r="W8" i="1"/>
  <c r="W7" i="1"/>
  <c r="W6" i="1"/>
  <c r="W5" i="1"/>
  <c r="B4" i="17" l="1"/>
</calcChain>
</file>

<file path=xl/sharedStrings.xml><?xml version="1.0" encoding="utf-8"?>
<sst xmlns="http://schemas.openxmlformats.org/spreadsheetml/2006/main" count="13612" uniqueCount="6337">
  <si>
    <t>연번</t>
    <phoneticPr fontId="3" type="noConversion"/>
  </si>
  <si>
    <t>축제명</t>
    <phoneticPr fontId="3" type="noConversion"/>
  </si>
  <si>
    <t>축제주요내용</t>
    <phoneticPr fontId="3" type="noConversion"/>
  </si>
  <si>
    <t>시도명</t>
    <phoneticPr fontId="3" type="noConversion"/>
  </si>
  <si>
    <t>시군구명</t>
    <phoneticPr fontId="3" type="noConversion"/>
  </si>
  <si>
    <t>국비</t>
    <phoneticPr fontId="3" type="noConversion"/>
  </si>
  <si>
    <t>기타</t>
    <phoneticPr fontId="3" type="noConversion"/>
  </si>
  <si>
    <t>주최/주관
(담당자 연락처)</t>
    <phoneticPr fontId="3" type="noConversion"/>
  </si>
  <si>
    <t>최초개최년도
및 횟수</t>
    <phoneticPr fontId="3" type="noConversion"/>
  </si>
  <si>
    <t>시,도비</t>
    <phoneticPr fontId="3" type="noConversion"/>
  </si>
  <si>
    <t>생태자연</t>
    <phoneticPr fontId="3" type="noConversion"/>
  </si>
  <si>
    <t>전통역사</t>
    <phoneticPr fontId="3" type="noConversion"/>
  </si>
  <si>
    <t>문화예술</t>
    <phoneticPr fontId="3" type="noConversion"/>
  </si>
  <si>
    <t>(단위 : 개)</t>
    <phoneticPr fontId="3" type="noConversion"/>
  </si>
  <si>
    <t>합계</t>
    <phoneticPr fontId="3" type="noConversion"/>
  </si>
  <si>
    <t>서울</t>
    <phoneticPr fontId="3" type="noConversion"/>
  </si>
  <si>
    <t>부산</t>
    <phoneticPr fontId="3" type="noConversion"/>
  </si>
  <si>
    <t>대구</t>
    <phoneticPr fontId="3" type="noConversion"/>
  </si>
  <si>
    <t>인천</t>
    <phoneticPr fontId="3" type="noConversion"/>
  </si>
  <si>
    <t>광주</t>
    <phoneticPr fontId="3" type="noConversion"/>
  </si>
  <si>
    <t>대전</t>
    <phoneticPr fontId="3" type="noConversion"/>
  </si>
  <si>
    <t>울산</t>
    <phoneticPr fontId="3" type="noConversion"/>
  </si>
  <si>
    <t>세종</t>
    <phoneticPr fontId="3" type="noConversion"/>
  </si>
  <si>
    <t>경기</t>
    <phoneticPr fontId="3" type="noConversion"/>
  </si>
  <si>
    <t>강원</t>
    <phoneticPr fontId="3" type="noConversion"/>
  </si>
  <si>
    <t>충북</t>
    <phoneticPr fontId="3" type="noConversion"/>
  </si>
  <si>
    <t>충남</t>
    <phoneticPr fontId="3" type="noConversion"/>
  </si>
  <si>
    <t>전북</t>
    <phoneticPr fontId="3" type="noConversion"/>
  </si>
  <si>
    <t>전남</t>
    <phoneticPr fontId="3" type="noConversion"/>
  </si>
  <si>
    <t>경북</t>
    <phoneticPr fontId="3" type="noConversion"/>
  </si>
  <si>
    <t>경남</t>
    <phoneticPr fontId="3" type="noConversion"/>
  </si>
  <si>
    <t>제주</t>
    <phoneticPr fontId="3" type="noConversion"/>
  </si>
  <si>
    <r>
      <rPr>
        <b/>
        <sz val="14"/>
        <color rgb="FF002060"/>
        <rFont val="굴림"/>
        <family val="3"/>
        <charset val="129"/>
      </rPr>
      <t>※ 작성제외대상</t>
    </r>
    <r>
      <rPr>
        <b/>
        <sz val="13"/>
        <rFont val="굴림"/>
        <family val="3"/>
        <charset val="129"/>
      </rPr>
      <t xml:space="preserve">
</t>
    </r>
    <r>
      <rPr>
        <sz val="11"/>
        <rFont val="굴림"/>
        <family val="3"/>
        <charset val="129"/>
      </rPr>
      <t xml:space="preserve">
 ㅇ </t>
    </r>
    <r>
      <rPr>
        <b/>
        <sz val="11"/>
        <rFont val="굴림"/>
        <family val="3"/>
        <charset val="129"/>
      </rPr>
      <t xml:space="preserve">특정계층만 참여하는 행사 </t>
    </r>
    <r>
      <rPr>
        <sz val="11"/>
        <rFont val="굴림"/>
        <family val="3"/>
        <charset val="129"/>
      </rPr>
      <t xml:space="preserve">(경연대회, 가요제, 
     미술제, 연극제, 기념식, 시상식 등)
 ㅇ </t>
    </r>
    <r>
      <rPr>
        <b/>
        <sz val="11"/>
        <rFont val="굴림"/>
        <family val="3"/>
        <charset val="129"/>
      </rPr>
      <t xml:space="preserve">단순 주민위안 행사 </t>
    </r>
    <r>
      <rPr>
        <sz val="11"/>
        <rFont val="굴림"/>
        <family val="3"/>
        <charset val="129"/>
      </rPr>
      <t xml:space="preserve">(경로잔치 등)
 ㅇ </t>
    </r>
    <r>
      <rPr>
        <b/>
        <sz val="11"/>
        <rFont val="굴림"/>
        <family val="3"/>
        <charset val="129"/>
      </rPr>
      <t xml:space="preserve">순수 예술행사 </t>
    </r>
    <r>
      <rPr>
        <sz val="11"/>
        <rFont val="굴림"/>
        <family val="3"/>
        <charset val="129"/>
      </rPr>
      <t xml:space="preserve">(음악회, 전시회 등)
 ㅇ 기타 종합적인 </t>
    </r>
    <r>
      <rPr>
        <b/>
        <sz val="11"/>
        <rFont val="굴림"/>
        <family val="3"/>
        <charset val="129"/>
      </rPr>
      <t>축제로서의 성격이 약한 행사</t>
    </r>
    <r>
      <rPr>
        <sz val="11"/>
        <rFont val="굴림"/>
        <family val="3"/>
        <charset val="129"/>
      </rPr>
      <t>는 제외</t>
    </r>
    <phoneticPr fontId="3" type="noConversion"/>
  </si>
  <si>
    <r>
      <rPr>
        <b/>
        <sz val="14"/>
        <color rgb="FF002060"/>
        <rFont val="굴림"/>
        <family val="3"/>
        <charset val="129"/>
      </rPr>
      <t>※ 작성 대상</t>
    </r>
    <r>
      <rPr>
        <b/>
        <sz val="13"/>
        <rFont val="굴림"/>
        <family val="3"/>
        <charset val="129"/>
      </rPr>
      <t xml:space="preserve">
 </t>
    </r>
    <r>
      <rPr>
        <sz val="13"/>
        <rFont val="굴림"/>
        <family val="3"/>
        <charset val="129"/>
      </rPr>
      <t>일정기간</t>
    </r>
    <r>
      <rPr>
        <b/>
        <sz val="14"/>
        <color rgb="FFFF0000"/>
        <rFont val="굴림"/>
        <family val="3"/>
        <charset val="129"/>
      </rPr>
      <t>(2일 이상</t>
    </r>
    <r>
      <rPr>
        <sz val="13"/>
        <rFont val="굴림"/>
        <family val="3"/>
        <charset val="129"/>
      </rPr>
      <t xml:space="preserve">) </t>
    </r>
    <r>
      <rPr>
        <b/>
        <sz val="13"/>
        <rFont val="굴림"/>
        <family val="3"/>
        <charset val="129"/>
      </rPr>
      <t>지역주민, 지역단체, 지방
 정부가 개최</t>
    </r>
    <r>
      <rPr>
        <sz val="13"/>
        <rFont val="굴림"/>
        <family val="3"/>
        <charset val="129"/>
      </rPr>
      <t xml:space="preserve">하며, </t>
    </r>
    <r>
      <rPr>
        <u/>
        <sz val="13"/>
        <rFont val="굴림"/>
        <family val="3"/>
        <charset val="129"/>
      </rPr>
      <t>불특정 다수인이 함께 참여</t>
    </r>
    <r>
      <rPr>
        <sz val="13"/>
        <rFont val="굴림"/>
        <family val="3"/>
        <charset val="129"/>
      </rPr>
      <t xml:space="preserve">하는 
 </t>
    </r>
    <r>
      <rPr>
        <b/>
        <sz val="13"/>
        <rFont val="굴림"/>
        <family val="3"/>
        <charset val="129"/>
      </rPr>
      <t xml:space="preserve">문화관광예술축제 </t>
    </r>
    <r>
      <rPr>
        <sz val="13"/>
        <rFont val="굴림"/>
        <family val="3"/>
        <charset val="129"/>
      </rPr>
      <t xml:space="preserve">(문화관광축제, 특산물축제, 
 문화예술제, 일반축제 등)
</t>
    </r>
    <r>
      <rPr>
        <b/>
        <sz val="11"/>
        <rFont val="굴림"/>
        <family val="3"/>
        <charset val="129"/>
      </rPr>
      <t>ㅇ 국가에서 지원하는 축제
ㅇ 지자체 주최(주관)하는 축제
ㅇ 지자체에서 경비 지원 또는 후원하는 축제
ㅇ 민간에서 추진위를 구성하여 개최하는 축제
ㅇ 문화체육관광부 지정 문화관광축제도 포함</t>
    </r>
    <r>
      <rPr>
        <sz val="11"/>
        <rFont val="굴림"/>
        <family val="3"/>
        <charset val="129"/>
      </rPr>
      <t xml:space="preserve">
</t>
    </r>
    <phoneticPr fontId="3" type="noConversion"/>
  </si>
  <si>
    <t>서울특별시</t>
  </si>
  <si>
    <t>시자체</t>
    <phoneticPr fontId="3" type="noConversion"/>
  </si>
  <si>
    <t>축제소재</t>
    <phoneticPr fontId="3" type="noConversion"/>
  </si>
  <si>
    <t>개최주기</t>
    <phoneticPr fontId="3" type="noConversion"/>
  </si>
  <si>
    <t>조직형태</t>
    <phoneticPr fontId="3" type="noConversion"/>
  </si>
  <si>
    <t xml:space="preserve">축제사무국
상설화여부 </t>
    <phoneticPr fontId="3" type="noConversion"/>
  </si>
  <si>
    <t>사업위탁
운영여부</t>
    <phoneticPr fontId="3" type="noConversion"/>
  </si>
  <si>
    <r>
      <t xml:space="preserve">축제종류
</t>
    </r>
    <r>
      <rPr>
        <b/>
        <sz val="11"/>
        <color rgb="FFC00000"/>
        <rFont val="굴림"/>
        <family val="3"/>
        <charset val="129"/>
      </rPr>
      <t>(택1)</t>
    </r>
    <phoneticPr fontId="3" type="noConversion"/>
  </si>
  <si>
    <t>개최장소</t>
    <phoneticPr fontId="3" type="noConversion"/>
  </si>
  <si>
    <t>구,군비</t>
    <phoneticPr fontId="3" type="noConversion"/>
  </si>
  <si>
    <t>서울특별시</t>
    <phoneticPr fontId="3" type="noConversion"/>
  </si>
  <si>
    <t>주민화합</t>
    <phoneticPr fontId="3" type="noConversion"/>
  </si>
  <si>
    <t>기타</t>
    <phoneticPr fontId="3" type="noConversion"/>
  </si>
  <si>
    <t>강원도</t>
    <phoneticPr fontId="3" type="noConversion"/>
  </si>
  <si>
    <t>내국인</t>
    <phoneticPr fontId="3" type="noConversion"/>
  </si>
  <si>
    <t>외국인</t>
    <phoneticPr fontId="3" type="noConversion"/>
  </si>
  <si>
    <t>합 계</t>
    <phoneticPr fontId="3" type="noConversion"/>
  </si>
  <si>
    <t>국비지원
부처명</t>
    <phoneticPr fontId="3" type="noConversion"/>
  </si>
  <si>
    <t>문체부</t>
    <phoneticPr fontId="3" type="noConversion"/>
  </si>
  <si>
    <t>문화관광축제 지원</t>
    <phoneticPr fontId="3" type="noConversion"/>
  </si>
  <si>
    <t>세부사업명</t>
    <phoneticPr fontId="3" type="noConversion"/>
  </si>
  <si>
    <t>문화관광축제 여부</t>
    <phoneticPr fontId="3" type="noConversion"/>
  </si>
  <si>
    <t>2019년 지역축제 개최 계획</t>
    <phoneticPr fontId="14" type="noConversion"/>
  </si>
  <si>
    <t>2019년
개최기간</t>
    <phoneticPr fontId="3" type="noConversion"/>
  </si>
  <si>
    <t>2019년
축제예산</t>
    <phoneticPr fontId="3" type="noConversion"/>
  </si>
  <si>
    <t>2019년 지역축제 개최계획 총괄표</t>
    <phoneticPr fontId="3" type="noConversion"/>
  </si>
  <si>
    <t xml:space="preserve">방문객수(2018년기준, 단위 : 천명) </t>
    <phoneticPr fontId="3" type="noConversion"/>
  </si>
  <si>
    <r>
      <t>국비 상세 내역</t>
    </r>
    <r>
      <rPr>
        <b/>
        <sz val="10"/>
        <rFont val="굴림"/>
        <family val="3"/>
        <charset val="129"/>
      </rPr>
      <t>('19.1월 기준 확정된 내용만 작성)</t>
    </r>
    <phoneticPr fontId="3" type="noConversion"/>
  </si>
  <si>
    <t>영등포구</t>
  </si>
  <si>
    <t>영등포 여의도 
봄꽃축제</t>
  </si>
  <si>
    <t>4.5~4.11.
(7일간)</t>
    <phoneticPr fontId="3" type="noConversion"/>
  </si>
  <si>
    <t xml:space="preserve"> ○ 여의서로를 꽃과 전시, 예술공간, 편의공간으로 탈바꿈 
 ○ 꽃를 테마로 공연, 전시, 체험 등 25개 프로그램 운영
 ○  축제기획 및 시민자유 참가공연  공연</t>
    <phoneticPr fontId="3" type="noConversion"/>
  </si>
  <si>
    <t>영등포구 문화체육과
/ 영등포문화재단
(02-2670-3128)</t>
  </si>
  <si>
    <t>문화예술</t>
  </si>
  <si>
    <t>2005년도
(15회)</t>
    <phoneticPr fontId="3" type="noConversion"/>
  </si>
  <si>
    <t>꽃</t>
    <phoneticPr fontId="3" type="noConversion"/>
  </si>
  <si>
    <t>매년</t>
    <phoneticPr fontId="3" type="noConversion"/>
  </si>
  <si>
    <t>부분위탁</t>
    <phoneticPr fontId="3" type="noConversion"/>
  </si>
  <si>
    <t>없음</t>
    <phoneticPr fontId="3" type="noConversion"/>
  </si>
  <si>
    <t>공공(시군구)</t>
    <phoneticPr fontId="3" type="noConversion"/>
  </si>
  <si>
    <t>거리</t>
    <phoneticPr fontId="3" type="noConversion"/>
  </si>
  <si>
    <t>용산구</t>
  </si>
  <si>
    <t>2019 이태원 지구촌 축제</t>
    <phoneticPr fontId="3" type="noConversion"/>
  </si>
  <si>
    <t>10월 중</t>
    <phoneticPr fontId="3" type="noConversion"/>
  </si>
  <si>
    <t>○ 개폐막 공연, 주제공연 및 문화공연
    - 세계문화대상, 글로벌 거리퍼레이드, 세계픙믈전 등</t>
  </si>
  <si>
    <t>(사)이태원관광특구연합회
(02-797-7319)</t>
  </si>
  <si>
    <t>2002년도
(18회)</t>
  </si>
  <si>
    <t>관광</t>
  </si>
  <si>
    <t>매년</t>
  </si>
  <si>
    <t>사단법인</t>
  </si>
  <si>
    <t>없음</t>
  </si>
  <si>
    <t>전체위탁</t>
  </si>
  <si>
    <t>이태원관광특구</t>
  </si>
  <si>
    <t>2019 드래곤 IT 페스티벌</t>
    <phoneticPr fontId="3" type="noConversion"/>
  </si>
  <si>
    <t>10월 중</t>
    <phoneticPr fontId="3" type="noConversion"/>
  </si>
  <si>
    <t xml:space="preserve">○ 개막 콘서트 개최 
○ 첨단 전자제품 대회, 체험, 전시 판매
○ 상가별 문화공연 및 벼룩시장 등 이벤트개최 </t>
  </si>
  <si>
    <t>용산구상공회
(02-718-7812)</t>
  </si>
  <si>
    <t>2012년도
(7회)</t>
    <phoneticPr fontId="3" type="noConversion"/>
  </si>
  <si>
    <t>지역특산물</t>
  </si>
  <si>
    <t>지역축제</t>
    <phoneticPr fontId="3" type="noConversion"/>
  </si>
  <si>
    <t>첨단 전자제품</t>
  </si>
  <si>
    <t>임의단체</t>
  </si>
  <si>
    <t>자체 추진</t>
  </si>
  <si>
    <t>용산 전자상가 일대</t>
  </si>
  <si>
    <t>서울특별시</t>
    <phoneticPr fontId="3" type="noConversion"/>
  </si>
  <si>
    <t>서울특별시</t>
    <phoneticPr fontId="3" type="noConversion"/>
  </si>
  <si>
    <t>강북구</t>
    <phoneticPr fontId="3" type="noConversion"/>
  </si>
  <si>
    <t>4.19혁명국민문화제2019</t>
    <phoneticPr fontId="3" type="noConversion"/>
  </si>
  <si>
    <t>4.13.~19.
(7일간)</t>
    <phoneticPr fontId="3" type="noConversion"/>
  </si>
  <si>
    <t>4.19민주혁명회,4.19혁명희생자유족회,4.19혁명공로자회,강북구/4.19혁명국민문화제위원회
(02-901-6206)</t>
    <phoneticPr fontId="3" type="noConversion"/>
  </si>
  <si>
    <t>2013년도
(7회)</t>
    <phoneticPr fontId="3" type="noConversion"/>
  </si>
  <si>
    <t>전통역사</t>
  </si>
  <si>
    <t>4.19혁명</t>
    <phoneticPr fontId="3" type="noConversion"/>
  </si>
  <si>
    <t>매년</t>
    <phoneticPr fontId="3" type="noConversion"/>
  </si>
  <si>
    <t>축제조직위</t>
    <phoneticPr fontId="3" type="noConversion"/>
  </si>
  <si>
    <t>있음
정규직 2명</t>
    <phoneticPr fontId="3" type="noConversion"/>
  </si>
  <si>
    <t>부분위탁</t>
    <phoneticPr fontId="3" type="noConversion"/>
  </si>
  <si>
    <t>국립4.19민주묘지 및 강북구일원</t>
    <phoneticPr fontId="3" type="noConversion"/>
  </si>
  <si>
    <t>○ 전야제 공식행사 및 락뮤직페스티벌
○ 4.19혁명을 테마로 한 연극, 문화공연, 전시 등 운영
○ 문화,전시,교육,체험 4개분야 37개프로그램 운영</t>
    <phoneticPr fontId="3" type="noConversion"/>
  </si>
  <si>
    <t>중랑구</t>
    <phoneticPr fontId="3" type="noConversion"/>
  </si>
  <si>
    <t>서울장미축제</t>
    <phoneticPr fontId="3" type="noConversion"/>
  </si>
  <si>
    <t>용마폭포 문화예술축제</t>
    <phoneticPr fontId="3" type="noConversion"/>
  </si>
  <si>
    <t>5. 24 ~5. 26
(3일간)</t>
    <phoneticPr fontId="3" type="noConversion"/>
  </si>
  <si>
    <t>10월 초 예정</t>
    <phoneticPr fontId="30" type="noConversion"/>
  </si>
  <si>
    <t>○ 첫째날 _장미의 날 : 주민참여프로그램(장미가요제, 장미퍼레이드), 오프닝 퍼포먼스(LED장미 소원꽃등 띄우기)
○둘째날_ 연인의 날 : 젊은층과 외국인을 위한 프로그램(로즈&amp;뮤직파티, 뮤지컬 갈라쇼, 로즈&amp;재즈)
○ 셋째날_ 아내의 날 : 아내를 위한 프로그램(아내여 장미처럼 가든디너쇼, 장미꽃길걷기,KBS교향악단 장미음악회, 낙화놀이 등)
 - 장미개화시기동안 중랑아티스트 공연 예정, 또한 중랑천둔치에 부스, 특별 무대를 설치하여 다양하고 성대한 문화축제 개최</t>
    <phoneticPr fontId="3" type="noConversion"/>
  </si>
  <si>
    <t>○ 공연예술 : 클래식 뮤지컬 가요 국악 재즈 등 고품격 공연 추진
○ 미술,전시 : 문인,미술,사진,서예 등 문화예술단체가 참여하는 전시
○ 문화체험탐방 :  어린이,청소년,가족 등 다양한 연령대가 참여하는
                           종합축제기획  
○ 폭포장터 : 지역경제 홍보 및 활성화를 위한 소상공인 협력체계 구축</t>
    <phoneticPr fontId="3" type="noConversion"/>
  </si>
  <si>
    <t>중랑구 문화관광과
(02-2094-1823)</t>
    <phoneticPr fontId="3" type="noConversion"/>
  </si>
  <si>
    <t>2015년도
(5회)</t>
    <phoneticPr fontId="3" type="noConversion"/>
  </si>
  <si>
    <t>중랑구 문화관광과 
(02-2094-1823)</t>
    <phoneticPr fontId="3" type="noConversion"/>
  </si>
  <si>
    <t>2008년
(12회)</t>
    <phoneticPr fontId="3" type="noConversion"/>
  </si>
  <si>
    <t>주민화합</t>
  </si>
  <si>
    <t>장미</t>
    <phoneticPr fontId="3" type="noConversion"/>
  </si>
  <si>
    <t>폭포</t>
    <phoneticPr fontId="3" type="noConversion"/>
  </si>
  <si>
    <t>자체추진</t>
    <phoneticPr fontId="3" type="noConversion"/>
  </si>
  <si>
    <t>자체추진</t>
    <phoneticPr fontId="3" type="noConversion"/>
  </si>
  <si>
    <t>중랑천장미터널
수림대공원
중화체육공원</t>
    <phoneticPr fontId="3" type="noConversion"/>
  </si>
  <si>
    <t>용마폭포공원</t>
    <phoneticPr fontId="3" type="noConversion"/>
  </si>
  <si>
    <t>공공(시군구)</t>
    <phoneticPr fontId="3" type="noConversion"/>
  </si>
  <si>
    <t>시자체</t>
    <phoneticPr fontId="3" type="noConversion"/>
  </si>
  <si>
    <t xml:space="preserve"> ○ 국내외 거리예술 공연프로그램
 ○ 시민참여형 기획프로그램 및 대내외 협력프로그램
 ○ 전국체전 100주년 연계 문화행사 등</t>
    <phoneticPr fontId="3" type="noConversion"/>
  </si>
  <si>
    <t>서울문화재단 예술축제팀
(02-3290-7163)</t>
    <phoneticPr fontId="3" type="noConversion"/>
  </si>
  <si>
    <t>2003년
(17회)</t>
    <phoneticPr fontId="3" type="noConversion"/>
  </si>
  <si>
    <t>서울문화재단 예술축제팀
(02-3437-0058)</t>
    <phoneticPr fontId="3" type="noConversion"/>
  </si>
  <si>
    <t>거리예술</t>
    <phoneticPr fontId="3" type="noConversion"/>
  </si>
  <si>
    <t>매년</t>
    <phoneticPr fontId="3" type="noConversion"/>
  </si>
  <si>
    <t>재단법인</t>
    <phoneticPr fontId="3" type="noConversion"/>
  </si>
  <si>
    <t>재단법인</t>
    <phoneticPr fontId="3" type="noConversion"/>
  </si>
  <si>
    <t xml:space="preserve">있음
정규직 4명
계약직 10명
총 14명  </t>
    <phoneticPr fontId="3" type="noConversion"/>
  </si>
  <si>
    <t>부분위탁
(기술시스템, 현장운 등 대행사 위탁운영)</t>
    <phoneticPr fontId="3" type="noConversion"/>
  </si>
  <si>
    <t>도심광장, 거리, 미술관, 도심재생공간 등</t>
    <phoneticPr fontId="3" type="noConversion"/>
  </si>
  <si>
    <t>서울거리예술축제 2019</t>
    <phoneticPr fontId="3" type="noConversion"/>
  </si>
  <si>
    <t>10.3~10.6
(4일간 예정)</t>
    <phoneticPr fontId="30" type="noConversion"/>
  </si>
  <si>
    <t>서울특별시</t>
    <phoneticPr fontId="3" type="noConversion"/>
  </si>
  <si>
    <t>2019 서울
서커스페스티벌
'서커스 캬바레'</t>
    <phoneticPr fontId="3" type="noConversion"/>
  </si>
  <si>
    <t>5.4~5.6
(3일 간)</t>
    <phoneticPr fontId="30" type="noConversion"/>
  </si>
  <si>
    <t>○ 국내외 서커스 공연프로그램
○ 국제교류프로그램 : 아시아 서커스 네트워크 미팅
○ 시민참여 프로그램 : 서커스 예술놀이터</t>
    <phoneticPr fontId="3" type="noConversion"/>
  </si>
  <si>
    <t>2018
(2회)</t>
    <phoneticPr fontId="3" type="noConversion"/>
  </si>
  <si>
    <t>거리예술</t>
    <phoneticPr fontId="3" type="noConversion"/>
  </si>
  <si>
    <t>없음
정규직 4명
계약직 1명
총 4명</t>
    <phoneticPr fontId="3" type="noConversion"/>
  </si>
  <si>
    <t>문화비축기지</t>
    <phoneticPr fontId="3" type="noConversion"/>
  </si>
  <si>
    <t>서울특별시</t>
    <phoneticPr fontId="3" type="noConversion"/>
  </si>
  <si>
    <t>시자체</t>
    <phoneticPr fontId="3" type="noConversion"/>
  </si>
  <si>
    <t>서울빛초롱축제</t>
    <phoneticPr fontId="3" type="noConversion"/>
  </si>
  <si>
    <t>11.1~11.17
(17일간)</t>
    <phoneticPr fontId="30" type="noConversion"/>
  </si>
  <si>
    <t xml:space="preserve"> ○ 한지 및 LED를 활용한 등(燈) 전시
 ○ 빛을 주제로한 시민참여 체험프로그램 운영</t>
    <phoneticPr fontId="3" type="noConversion"/>
  </si>
  <si>
    <t>서울관광재단 관광콘텐츠팀
(02-3788-0818)</t>
    <phoneticPr fontId="3" type="noConversion"/>
  </si>
  <si>
    <t>2009년도
(11회)</t>
    <phoneticPr fontId="3" type="noConversion"/>
  </si>
  <si>
    <t>등(燈), 빛</t>
    <phoneticPr fontId="3" type="noConversion"/>
  </si>
  <si>
    <t>매년</t>
    <phoneticPr fontId="3" type="noConversion"/>
  </si>
  <si>
    <t>재단법인</t>
    <phoneticPr fontId="3" type="noConversion"/>
  </si>
  <si>
    <t>없음</t>
    <phoneticPr fontId="3" type="noConversion"/>
  </si>
  <si>
    <t>부분위탁</t>
    <phoneticPr fontId="3" type="noConversion"/>
  </si>
  <si>
    <t>하천, 시내거리</t>
    <phoneticPr fontId="3" type="noConversion"/>
  </si>
  <si>
    <t>생태자연</t>
  </si>
  <si>
    <t>서울특별시</t>
    <phoneticPr fontId="3" type="noConversion"/>
  </si>
  <si>
    <t>은평구</t>
    <phoneticPr fontId="3" type="noConversion"/>
  </si>
  <si>
    <t>불광천벚꽃축제</t>
    <phoneticPr fontId="3" type="noConversion"/>
  </si>
  <si>
    <t>4월중
(2일간)</t>
    <phoneticPr fontId="30" type="noConversion"/>
  </si>
  <si>
    <t>○ 개막식 및 축하공연
○ 가훈써주기 등 12개 체험 부스 운영
○생활문화예술동아리 한마당, 인디밴드 공연 등</t>
    <phoneticPr fontId="3" type="noConversion"/>
  </si>
  <si>
    <t>은평구 문화광광과
(02-351-6514</t>
    <phoneticPr fontId="3" type="noConversion"/>
  </si>
  <si>
    <t>2012년도
(8회)</t>
    <phoneticPr fontId="3" type="noConversion"/>
  </si>
  <si>
    <t>벚꽃</t>
    <phoneticPr fontId="3" type="noConversion"/>
  </si>
  <si>
    <t>매년</t>
    <phoneticPr fontId="3" type="noConversion"/>
  </si>
  <si>
    <t>공공</t>
    <phoneticPr fontId="3" type="noConversion"/>
  </si>
  <si>
    <t>없음</t>
    <phoneticPr fontId="3" type="noConversion"/>
  </si>
  <si>
    <t>자체추진</t>
    <phoneticPr fontId="3" type="noConversion"/>
  </si>
  <si>
    <t>하천</t>
    <phoneticPr fontId="3" type="noConversion"/>
  </si>
  <si>
    <t>은평누리축제</t>
    <phoneticPr fontId="3" type="noConversion"/>
  </si>
  <si>
    <t>10월중
(4일간)</t>
    <phoneticPr fontId="30" type="noConversion"/>
  </si>
  <si>
    <t>○ 주민참여프로그램(광장축제, 생화문화예술동아리한마당)
○ 기획프로그램(개막제, 폐막제)</t>
    <phoneticPr fontId="3" type="noConversion"/>
  </si>
  <si>
    <t>은평문화재단
(070-4174-1772)</t>
    <phoneticPr fontId="3" type="noConversion"/>
  </si>
  <si>
    <t>2010년도
(10회)</t>
    <phoneticPr fontId="3" type="noConversion"/>
  </si>
  <si>
    <t>프로그램공모</t>
    <phoneticPr fontId="3" type="noConversion"/>
  </si>
  <si>
    <t>재단법인</t>
    <phoneticPr fontId="3" type="noConversion"/>
  </si>
  <si>
    <t>광장
공연장
하천, 공원</t>
    <phoneticPr fontId="3" type="noConversion"/>
  </si>
  <si>
    <t>북한산한문화페스티벌</t>
    <phoneticPr fontId="3" type="noConversion"/>
  </si>
  <si>
    <t>10월중
(4일간)</t>
    <phoneticPr fontId="30" type="noConversion"/>
  </si>
  <si>
    <t>○ 이야기콘선트, 문화다양성공연, 체험부스 등</t>
    <phoneticPr fontId="3" type="noConversion"/>
  </si>
  <si>
    <t>은평구 문화광광과
(02-351-6518)</t>
    <phoneticPr fontId="3" type="noConversion"/>
  </si>
  <si>
    <t>2012년도
(8회)</t>
    <phoneticPr fontId="3" type="noConversion"/>
  </si>
  <si>
    <t>매년</t>
    <phoneticPr fontId="3" type="noConversion"/>
  </si>
  <si>
    <t>공공</t>
    <phoneticPr fontId="3" type="noConversion"/>
  </si>
  <si>
    <t>없음</t>
    <phoneticPr fontId="3" type="noConversion"/>
  </si>
  <si>
    <t>자체추진</t>
    <phoneticPr fontId="3" type="noConversion"/>
  </si>
  <si>
    <t>북한산성주차장
공휴부지</t>
    <phoneticPr fontId="3" type="noConversion"/>
  </si>
  <si>
    <t>강서어린이동화축제</t>
    <phoneticPr fontId="3" type="noConversion"/>
  </si>
  <si>
    <t>2007년도
(10회)
2018년도--&gt;
우천취소</t>
    <phoneticPr fontId="3" type="noConversion"/>
  </si>
  <si>
    <t>겸재 정선</t>
    <phoneticPr fontId="3" type="noConversion"/>
  </si>
  <si>
    <t>부분위탁(운영)</t>
    <phoneticPr fontId="3" type="noConversion"/>
  </si>
  <si>
    <t>동화로 보는 강서마을</t>
    <phoneticPr fontId="3" type="noConversion"/>
  </si>
  <si>
    <t>임의단체
(추진위원회)</t>
    <phoneticPr fontId="3" type="noConversion"/>
  </si>
  <si>
    <t>문화예술</t>
    <phoneticPr fontId="3" type="noConversion"/>
  </si>
  <si>
    <t>허준, 동의보감,
양한방 건강문화축제</t>
    <phoneticPr fontId="3" type="noConversion"/>
  </si>
  <si>
    <t>강서구</t>
    <phoneticPr fontId="3" type="noConversion"/>
  </si>
  <si>
    <t>겸재문화예술제</t>
    <phoneticPr fontId="3" type="noConversion"/>
  </si>
  <si>
    <t>5월중(2일간)</t>
    <phoneticPr fontId="30" type="noConversion"/>
  </si>
  <si>
    <t>○ 전국 사생대회, 진경대전
○ 겸재를 주제로한 전시, 및 어린이날 체험프로그램 운영
○ 특별전, 겸재퍼포먼스 등 개막행사, 궁산에서 펼쳐지는 예술한마당, 겸재전국청소년문화한마당 등 공연 등
○ 기타 야외전시 및 학술대회 등</t>
    <phoneticPr fontId="3" type="noConversion"/>
  </si>
  <si>
    <t>강서구/강서문화원(겸재정선미술관)
(02-2600-6154)</t>
    <phoneticPr fontId="3" type="noConversion"/>
  </si>
  <si>
    <t>궁산근린공원,
겸재정선미술관 일대</t>
    <phoneticPr fontId="3" type="noConversion"/>
  </si>
  <si>
    <t>5. 4.(토)(1일)</t>
    <phoneticPr fontId="30" type="noConversion"/>
  </si>
  <si>
    <t>○ 주제별 퍼레이드 : 800m(강서공고운동장∼방화역∼방화근린공원)
○ 개막식, 각급학교 및 지역동아리(16개팀) 공연
○ 체험부스 및 먹거리 마당 운영</t>
    <phoneticPr fontId="3" type="noConversion"/>
  </si>
  <si>
    <t>강서구/강서어린이동화축제추진위원회
(02-2600-6986)</t>
    <phoneticPr fontId="3" type="noConversion"/>
  </si>
  <si>
    <t>방화근린공원
(예정)</t>
    <phoneticPr fontId="3" type="noConversion"/>
  </si>
  <si>
    <t>서울특별시</t>
    <phoneticPr fontId="3" type="noConversion"/>
  </si>
  <si>
    <t>한여름 밤의 페스티벌</t>
    <phoneticPr fontId="3" type="noConversion"/>
  </si>
  <si>
    <t>8월중(1일)</t>
    <phoneticPr fontId="30" type="noConversion"/>
  </si>
  <si>
    <t>○ 한여름 무더위로 지친 구민을 위한 문화예술공연</t>
    <phoneticPr fontId="3" type="noConversion"/>
  </si>
  <si>
    <t>강서구/강서문화원
(02-2600-6455)</t>
    <phoneticPr fontId="3" type="noConversion"/>
  </si>
  <si>
    <t>2006년도
(11회)</t>
    <phoneticPr fontId="3" type="noConversion"/>
  </si>
  <si>
    <t>여름</t>
    <phoneticPr fontId="3" type="noConversion"/>
  </si>
  <si>
    <t>신정여자상업고등학교(예정)</t>
    <phoneticPr fontId="3" type="noConversion"/>
  </si>
  <si>
    <t>강서구</t>
    <phoneticPr fontId="3" type="noConversion"/>
  </si>
  <si>
    <t>허준축제</t>
    <phoneticPr fontId="3" type="noConversion"/>
  </si>
  <si>
    <t>10.12~10.14
(3일간)</t>
    <phoneticPr fontId="30" type="noConversion"/>
  </si>
  <si>
    <t>○ 사전프로그램 운영 : 유틍 및 허준 테마등 전시 및 각종 문화 프로그램 운영
○ 허준, 동의보감 관련 주제관 운영
○ 허준전국가요제, 허준콘서트, 지역문화공연 등 각종 문화공연 및 지역문화예술단체 전시 행사, 각종 양한방 체험 프로그램 등 운영
○ 개폐막식 공연, 주제공연 및 문화공연</t>
    <phoneticPr fontId="3" type="noConversion"/>
  </si>
  <si>
    <t>1999년도
(20회)</t>
    <phoneticPr fontId="3" type="noConversion"/>
  </si>
  <si>
    <t xml:space="preserve"> 허준근린공원, 허준박물관 일대</t>
    <phoneticPr fontId="3" type="noConversion"/>
  </si>
  <si>
    <t>강동선사문화축제</t>
    <phoneticPr fontId="3" type="noConversion"/>
  </si>
  <si>
    <t xml:space="preserve"> ○ 대표프로그램: 거리퍼레이드
 ○ 선사문화를 테마로한 공연, 전시, 체험프로그램 운영
 ○ 개폐막 공연, 주제공연 및 문화공연
    - 6개 분야 80여개 프로그램
 ○ 바위절마을 호상놀이, 먹을거리장터 등 부대행사</t>
    <phoneticPr fontId="3" type="noConversion"/>
  </si>
  <si>
    <t>강동구청 문화예술과
(02-3425-5246)</t>
    <phoneticPr fontId="3" type="noConversion"/>
  </si>
  <si>
    <t>강동구</t>
    <phoneticPr fontId="3" type="noConversion"/>
  </si>
  <si>
    <t>10.11~10.13
(3일간)</t>
    <phoneticPr fontId="30" type="noConversion"/>
  </si>
  <si>
    <t>1996년도
(24회)</t>
    <phoneticPr fontId="3" type="noConversion"/>
  </si>
  <si>
    <t>문화예술</t>
    <phoneticPr fontId="3" type="noConversion"/>
  </si>
  <si>
    <t>선사문화</t>
    <phoneticPr fontId="3" type="noConversion"/>
  </si>
  <si>
    <t>공공(시군구)</t>
    <phoneticPr fontId="3" type="noConversion"/>
  </si>
  <si>
    <t>없음</t>
    <phoneticPr fontId="3" type="noConversion"/>
  </si>
  <si>
    <t>자체추진</t>
    <phoneticPr fontId="3" type="noConversion"/>
  </si>
  <si>
    <t>서울 암사동 유적</t>
    <phoneticPr fontId="3" type="noConversion"/>
  </si>
  <si>
    <t>광진구 문화체육과
(02-450-7597)</t>
    <phoneticPr fontId="3" type="noConversion"/>
  </si>
  <si>
    <t>문화예술</t>
    <phoneticPr fontId="3" type="noConversion"/>
  </si>
  <si>
    <t>동화</t>
    <phoneticPr fontId="3" type="noConversion"/>
  </si>
  <si>
    <t>서울특별시</t>
    <phoneticPr fontId="3" type="noConversion"/>
  </si>
  <si>
    <t>광진구</t>
    <phoneticPr fontId="3" type="noConversion"/>
  </si>
  <si>
    <t>서울동화축제</t>
    <phoneticPr fontId="3" type="noConversion"/>
  </si>
  <si>
    <t>5.4.~5.6.
(3일간)</t>
    <phoneticPr fontId="30" type="noConversion"/>
  </si>
  <si>
    <t>○ 퍼레이드, 버스킹, 동화를 테마로 한 체험프로그램 운영
○ 도로그림그리기, 푸드트럭 운영 등
○ 어린이뮤지컬 등 다양한 동화공연, 상상공작소, 상상에코돔
○ 동화극장, 해피할머니, 고양이 전시회 등</t>
    <phoneticPr fontId="3" type="noConversion"/>
  </si>
  <si>
    <t>광진구 문화체육과
(02-450-7596)</t>
    <phoneticPr fontId="3" type="noConversion"/>
  </si>
  <si>
    <t>2012년도
(8회)</t>
    <phoneticPr fontId="3" type="noConversion"/>
  </si>
  <si>
    <t>매년</t>
    <phoneticPr fontId="3" type="noConversion"/>
  </si>
  <si>
    <t>공공(시군구)</t>
    <phoneticPr fontId="3" type="noConversion"/>
  </si>
  <si>
    <t>없음</t>
    <phoneticPr fontId="3" type="noConversion"/>
  </si>
  <si>
    <t>자체추진</t>
    <phoneticPr fontId="3" type="noConversion"/>
  </si>
  <si>
    <t>서울어린이대공원 및 대공원 정문 앞 도로</t>
    <phoneticPr fontId="3" type="noConversion"/>
  </si>
  <si>
    <t>광나루어울마당</t>
    <phoneticPr fontId="3" type="noConversion"/>
  </si>
  <si>
    <t>10월 첫째주
(2일간)</t>
    <phoneticPr fontId="30" type="noConversion"/>
  </si>
  <si>
    <t>○ 가요제 등 주민화합 프로그램 운영
○ 다양한 체험프로그램, 먹거리마당 운영</t>
    <phoneticPr fontId="3" type="noConversion"/>
  </si>
  <si>
    <t>2011년도
(9회)</t>
    <phoneticPr fontId="3" type="noConversion"/>
  </si>
  <si>
    <t>주민화합</t>
    <phoneticPr fontId="3" type="noConversion"/>
  </si>
  <si>
    <t>서울어린이대공원 및 대공원 및 능동로</t>
    <phoneticPr fontId="3" type="noConversion"/>
  </si>
  <si>
    <t>제4회충무로뮤지컬영화제</t>
    <phoneticPr fontId="3" type="noConversion"/>
  </si>
  <si>
    <t>790(미확정)</t>
    <phoneticPr fontId="3" type="noConversion"/>
  </si>
  <si>
    <t>영화</t>
    <phoneticPr fontId="3" type="noConversion"/>
  </si>
  <si>
    <t>있음
총 18명</t>
    <phoneticPr fontId="3" type="noConversion"/>
  </si>
  <si>
    <t>중구</t>
    <phoneticPr fontId="3" type="noConversion"/>
  </si>
  <si>
    <t xml:space="preserve"> 7.5~7.14 
(10일간)</t>
    <phoneticPr fontId="30" type="noConversion"/>
  </si>
  <si>
    <t xml:space="preserve"> - 개폐막작 및 8개 섹션,40편 상영
 - 공식 개·폐막식, 초청작 상영, 야외상영, 심야상영 등</t>
    <phoneticPr fontId="3" type="noConversion"/>
  </si>
  <si>
    <t>중구중구문화재단
(02-2230-6641)</t>
    <phoneticPr fontId="3" type="noConversion"/>
  </si>
  <si>
    <t>2016년
(3회)</t>
    <phoneticPr fontId="3" type="noConversion"/>
  </si>
  <si>
    <t>충무아트센터, DDP 일대</t>
    <phoneticPr fontId="3" type="noConversion"/>
  </si>
  <si>
    <t>2008년도
(8회)</t>
    <phoneticPr fontId="3" type="noConversion"/>
  </si>
  <si>
    <t>서울특별시</t>
    <phoneticPr fontId="3" type="noConversion"/>
  </si>
  <si>
    <t>동대문구</t>
    <phoneticPr fontId="3" type="noConversion"/>
  </si>
  <si>
    <t>선농대제</t>
    <phoneticPr fontId="3" type="noConversion"/>
  </si>
  <si>
    <t>4. 20
(1일간)</t>
    <phoneticPr fontId="30" type="noConversion"/>
  </si>
  <si>
    <t>○ 제례행렬
○ 선농제향
○ 설렁탕 재현 등</t>
    <phoneticPr fontId="3" type="noConversion"/>
  </si>
  <si>
    <t>선농단 보존회</t>
    <phoneticPr fontId="3" type="noConversion"/>
  </si>
  <si>
    <t>1979년
(41회)</t>
    <phoneticPr fontId="3" type="noConversion"/>
  </si>
  <si>
    <t>풍년기원</t>
    <phoneticPr fontId="3" type="noConversion"/>
  </si>
  <si>
    <t>사단법인</t>
    <phoneticPr fontId="3" type="noConversion"/>
  </si>
  <si>
    <t>있음</t>
    <phoneticPr fontId="3" type="noConversion"/>
  </si>
  <si>
    <t>부분위탁</t>
    <phoneticPr fontId="3" type="noConversion"/>
  </si>
  <si>
    <t>유적지</t>
    <phoneticPr fontId="3" type="noConversion"/>
  </si>
  <si>
    <t>동대문구</t>
    <phoneticPr fontId="3" type="noConversion"/>
  </si>
  <si>
    <t>세계거리춤축제</t>
    <phoneticPr fontId="3" type="noConversion"/>
  </si>
  <si>
    <t>10월 중
(2일간)</t>
    <phoneticPr fontId="30" type="noConversion"/>
  </si>
  <si>
    <t>○ 세계의 춤 공연
○ 댄스 전문 동호회 공연, 댄스 경연 등 
○ 개폐막 공연, 주제공연 및 문화공연
    -30여개 프로그램
○ 각종 체험부스, 먹거리부스 운영</t>
    <phoneticPr fontId="3" type="noConversion"/>
  </si>
  <si>
    <t>(사)세계거리춤축제위원회
(02-2127-4711)</t>
    <phoneticPr fontId="3" type="noConversion"/>
  </si>
  <si>
    <t>세계의 춤</t>
    <phoneticPr fontId="3" type="noConversion"/>
  </si>
  <si>
    <t>매년</t>
    <phoneticPr fontId="3" type="noConversion"/>
  </si>
  <si>
    <t>사단법인</t>
    <phoneticPr fontId="3" type="noConversion"/>
  </si>
  <si>
    <t>있음
계약직 3명</t>
    <phoneticPr fontId="3" type="noConversion"/>
  </si>
  <si>
    <t>부분위탁
(하드웨어,프로그램)</t>
    <phoneticPr fontId="3" type="noConversion"/>
  </si>
  <si>
    <t>시내거리</t>
    <phoneticPr fontId="3" type="noConversion"/>
  </si>
  <si>
    <t>서울특별시</t>
    <phoneticPr fontId="3" type="noConversion"/>
  </si>
  <si>
    <t>동대문구</t>
    <phoneticPr fontId="3" type="noConversion"/>
  </si>
  <si>
    <t>청룡문화제</t>
    <phoneticPr fontId="3" type="noConversion"/>
  </si>
  <si>
    <t>10. 26~ 27
(2일간)</t>
    <phoneticPr fontId="30" type="noConversion"/>
  </si>
  <si>
    <t>○ 어가행렬
○ 청룡제향
○ 축하콘서트, 전통문화 체험부스 운영</t>
    <phoneticPr fontId="3" type="noConversion"/>
  </si>
  <si>
    <t>동대문문화원
(02-2127-4705)</t>
    <phoneticPr fontId="3" type="noConversion"/>
  </si>
  <si>
    <t>1991년도
(28회)</t>
    <phoneticPr fontId="3" type="noConversion"/>
  </si>
  <si>
    <t>기우제</t>
    <phoneticPr fontId="3" type="noConversion"/>
  </si>
  <si>
    <t>매년</t>
    <phoneticPr fontId="3" type="noConversion"/>
  </si>
  <si>
    <t>재단법인</t>
    <phoneticPr fontId="3" type="noConversion"/>
  </si>
  <si>
    <t>있음
정규직 3명</t>
    <phoneticPr fontId="3" type="noConversion"/>
  </si>
  <si>
    <t>전체위탁</t>
    <phoneticPr fontId="3" type="noConversion"/>
  </si>
  <si>
    <t>공원</t>
    <phoneticPr fontId="3" type="noConversion"/>
  </si>
  <si>
    <t>서울특별시</t>
    <phoneticPr fontId="3" type="noConversion"/>
  </si>
  <si>
    <t>서울약령시 한방축제</t>
    <phoneticPr fontId="3" type="noConversion"/>
  </si>
  <si>
    <t>10월 말
(2일간)</t>
    <phoneticPr fontId="30" type="noConversion"/>
  </si>
  <si>
    <t>○ 보제원 제향 및 거리퍼레이드
○ 한방사랑 시민걷기대회
○ 한방약선 요리대회 등</t>
    <phoneticPr fontId="3" type="noConversion"/>
  </si>
  <si>
    <t>(사)서울약령시협회
(02-969-4793)</t>
    <phoneticPr fontId="3" type="noConversion"/>
  </si>
  <si>
    <t>1995년도
(25회)</t>
    <phoneticPr fontId="3" type="noConversion"/>
  </si>
  <si>
    <t>지역특산물</t>
    <phoneticPr fontId="3" type="noConversion"/>
  </si>
  <si>
    <t>한약</t>
    <phoneticPr fontId="3" type="noConversion"/>
  </si>
  <si>
    <t>시장</t>
    <phoneticPr fontId="3" type="noConversion"/>
  </si>
  <si>
    <t>관악구</t>
    <phoneticPr fontId="3" type="noConversion"/>
  </si>
  <si>
    <t>○ 귀주대첩 전승행력 거리퍼레이드(대표프로그램)
 ○ 관악구의 역사문화자원인 강감찬 장군을 테마로한
     공연, 전시, 체험프로그램 운영
 ○ 개폐막 공연, 주제공연 및 문화공연
    - 7개 분야 20여개 프로그램
 ○ 기타 특별행사 및 전시 등등</t>
    <phoneticPr fontId="3" type="noConversion"/>
  </si>
  <si>
    <t>문체부</t>
    <phoneticPr fontId="3" type="noConversion"/>
  </si>
  <si>
    <t>자연유산 민속행사</t>
    <phoneticPr fontId="3" type="noConversion"/>
  </si>
  <si>
    <t>매년</t>
    <phoneticPr fontId="3" type="noConversion"/>
  </si>
  <si>
    <t>자체추진</t>
    <phoneticPr fontId="3" type="noConversion"/>
  </si>
  <si>
    <t>관악 강감찬축제</t>
    <phoneticPr fontId="3" type="noConversion"/>
  </si>
  <si>
    <t>10.18~10.19
(2일간)</t>
    <phoneticPr fontId="30" type="noConversion"/>
  </si>
  <si>
    <t>관악구
(02-879-5603)</t>
    <phoneticPr fontId="3" type="noConversion"/>
  </si>
  <si>
    <t>1988년도
(31회)
*기존
관악산철쭉제</t>
    <phoneticPr fontId="3" type="noConversion"/>
  </si>
  <si>
    <t>강감찬 장군</t>
    <phoneticPr fontId="3" type="noConversion"/>
  </si>
  <si>
    <t>축제조직위</t>
    <phoneticPr fontId="3" type="noConversion"/>
  </si>
  <si>
    <t>없음</t>
    <phoneticPr fontId="3" type="noConversion"/>
  </si>
  <si>
    <t>자체추진</t>
    <phoneticPr fontId="3" type="noConversion"/>
  </si>
  <si>
    <t>공원, 광장 등</t>
    <phoneticPr fontId="3" type="noConversion"/>
  </si>
  <si>
    <t>구로구</t>
    <phoneticPr fontId="3" type="noConversion"/>
  </si>
  <si>
    <t>2019 G페스티벌
(구로아시아문화축제)</t>
    <phoneticPr fontId="3" type="noConversion"/>
  </si>
  <si>
    <t>○ 아시아 드림콘서트
○ 아시아를 테마로한 공연, 전시, 체험프로그램 운영
   - 아시아 한마당(전통공연 등)
   - 아시아특별기획 프로그램(ex. 아시아누들 축제 등)
   - 아시아 마켓
○ 개폐막 공연 , 주제공연 및 문화공연
○ 어린이 테마파크, 건강노익장 대회, 주민자치발표회 등</t>
    <phoneticPr fontId="3" type="noConversion"/>
  </si>
  <si>
    <t>구로구 문화관광과
/구로문화재단
(02-860-2585)</t>
    <phoneticPr fontId="3" type="noConversion"/>
  </si>
  <si>
    <t>2015년도
(5회)</t>
    <phoneticPr fontId="3" type="noConversion"/>
  </si>
  <si>
    <t>아시아</t>
    <phoneticPr fontId="3" type="noConversion"/>
  </si>
  <si>
    <t>비상설</t>
    <phoneticPr fontId="3" type="noConversion"/>
  </si>
  <si>
    <t>공원, 하천</t>
    <phoneticPr fontId="3" type="noConversion"/>
  </si>
  <si>
    <t>서울특별시</t>
    <phoneticPr fontId="3" type="noConversion"/>
  </si>
  <si>
    <t>9.27~29
(3일간)</t>
    <phoneticPr fontId="30" type="noConversion"/>
  </si>
  <si>
    <t>주민화합</t>
    <phoneticPr fontId="3" type="noConversion"/>
  </si>
  <si>
    <t>공공</t>
    <phoneticPr fontId="3" type="noConversion"/>
  </si>
  <si>
    <t>(균특) 구로아시아한마당음악회</t>
    <phoneticPr fontId="3" type="noConversion"/>
  </si>
  <si>
    <t>2019양천해우리페스티벌</t>
    <phoneticPr fontId="3" type="noConversion"/>
  </si>
  <si>
    <t>1회</t>
    <phoneticPr fontId="3" type="noConversion"/>
  </si>
  <si>
    <t>문화관광
(반려동물 , 공연, 전시 등)</t>
    <phoneticPr fontId="3" type="noConversion"/>
  </si>
  <si>
    <t>양천공원 등</t>
    <phoneticPr fontId="3" type="noConversion"/>
  </si>
  <si>
    <t>양천구</t>
    <phoneticPr fontId="3" type="noConversion"/>
  </si>
  <si>
    <t>2019.10월중
(3일간)</t>
    <phoneticPr fontId="30" type="noConversion"/>
  </si>
  <si>
    <t>양천구 문화체육과
2620-3404</t>
    <phoneticPr fontId="3" type="noConversion"/>
  </si>
  <si>
    <t>부분위탁
(프로그램)</t>
    <phoneticPr fontId="3" type="noConversion"/>
  </si>
  <si>
    <t>○ 양천예술제를 포함한 양천구 종합축제로 확대 개최 추진
○ 반려동물축제, 로데오거리축제 등 서울시민과 함께할 수 있는 
    종합문화예술 축제 마련
○ 마을축제, 마을동아리 공연, 전시, 체험 등</t>
    <phoneticPr fontId="3" type="noConversion"/>
  </si>
  <si>
    <t>노원탈축제</t>
    <phoneticPr fontId="3" type="noConversion"/>
  </si>
  <si>
    <t>○ 탈 퍼레이드 경연대회, 플래시몹
○ 전야제, 초청공연 및 주민참여형 공연
○ 각종 만들기, 공익, 전시, 먹거리 등 다양한 부스 운영</t>
    <phoneticPr fontId="3" type="noConversion"/>
  </si>
  <si>
    <t>노원탈축제추진위원회
(2116-3772)</t>
    <phoneticPr fontId="3" type="noConversion"/>
  </si>
  <si>
    <t>2013년
(7회)</t>
    <phoneticPr fontId="3" type="noConversion"/>
  </si>
  <si>
    <t>○ 등 작품, LED 조형물 전시
○ 개막식, 특별행사, 부대행사</t>
    <phoneticPr fontId="3" type="noConversion"/>
  </si>
  <si>
    <t>노원문화원</t>
    <phoneticPr fontId="3" type="noConversion"/>
  </si>
  <si>
    <t>2014년
(6회)</t>
    <phoneticPr fontId="3" type="noConversion"/>
  </si>
  <si>
    <t xml:space="preserve">전통탈을 기반으로 "일탈"을 주제로 도심형 주민참여형 축제 </t>
    <phoneticPr fontId="3" type="noConversion"/>
  </si>
  <si>
    <t>하천</t>
    <phoneticPr fontId="3" type="noConversion"/>
  </si>
  <si>
    <t>노원구</t>
    <phoneticPr fontId="3" type="noConversion"/>
  </si>
  <si>
    <t>10.19.~20.
(2일간)</t>
    <phoneticPr fontId="30" type="noConversion"/>
  </si>
  <si>
    <t>노원등축제</t>
    <phoneticPr fontId="3" type="noConversion"/>
  </si>
  <si>
    <t>4.27~5.6.
(10일간)</t>
    <phoneticPr fontId="30" type="noConversion"/>
  </si>
  <si>
    <t>친환경생태하천 당현천에서 작품 등 전시 및 부대행사 진행</t>
    <phoneticPr fontId="3" type="noConversion"/>
  </si>
  <si>
    <t>서울특별시 주거환경개선과 
/ 비영리단체 저층주거지재생사업단
(02-2133-7256)</t>
    <phoneticPr fontId="3" type="noConversion"/>
  </si>
  <si>
    <t>-</t>
    <phoneticPr fontId="3" type="noConversion"/>
  </si>
  <si>
    <t>마을상품, 체험 등</t>
    <phoneticPr fontId="3" type="noConversion"/>
  </si>
  <si>
    <t>자체추진</t>
    <phoneticPr fontId="3" type="noConversion"/>
  </si>
  <si>
    <t>온동네어울림한마당</t>
    <phoneticPr fontId="3" type="noConversion"/>
  </si>
  <si>
    <t>9.27~9.28
(2일간)</t>
    <phoneticPr fontId="30" type="noConversion"/>
  </si>
  <si>
    <t xml:space="preserve"> ○ 관리형 주거환경개선사업 주민공동체 홍보 및 네트워크 강화를 위한 행사
 ○ 프리미켓, 주민공연, 체험프로그램
 ○ 개폐막 공연, 주제공연 및 문화공연 등
    - 10개 분야 20개 프로그램</t>
    <phoneticPr fontId="3" type="noConversion"/>
  </si>
  <si>
    <t>2016년
(4회)</t>
    <phoneticPr fontId="3" type="noConversion"/>
  </si>
  <si>
    <t>자체추진</t>
    <phoneticPr fontId="3" type="noConversion"/>
  </si>
  <si>
    <t>광화문광장</t>
    <phoneticPr fontId="3" type="noConversion"/>
  </si>
  <si>
    <t>임의단체(주민)</t>
    <phoneticPr fontId="3" type="noConversion"/>
  </si>
  <si>
    <t>성곽마을 주민한마당</t>
    <phoneticPr fontId="3" type="noConversion"/>
  </si>
  <si>
    <t xml:space="preserve"> ○ 주민역량강화, 상호협력하는 성곽마을 전체의 화합의 장
 ○ 미니강연회, 성곽마을 탐방주간운영, 가치공유박람회</t>
    <phoneticPr fontId="3" type="noConversion"/>
  </si>
  <si>
    <t>주민네트워크</t>
    <phoneticPr fontId="3" type="noConversion"/>
  </si>
  <si>
    <t>성곽마을</t>
    <phoneticPr fontId="3" type="noConversion"/>
  </si>
  <si>
    <t>10.3~10.14
(12일간)</t>
    <phoneticPr fontId="30" type="noConversion"/>
  </si>
  <si>
    <t>서울특별시 주거환경개선과 
(02-2133-7257)</t>
    <phoneticPr fontId="3" type="noConversion"/>
  </si>
  <si>
    <t>2017(3회)</t>
    <phoneticPr fontId="3" type="noConversion"/>
  </si>
  <si>
    <t>성곽마을탐방 등</t>
    <phoneticPr fontId="3" type="noConversion"/>
  </si>
  <si>
    <t>서울특별시 푸른도시국 조경과
(02-2133-2112)</t>
    <phoneticPr fontId="3" type="noConversion"/>
  </si>
  <si>
    <t>2019 서울정원박람회</t>
    <phoneticPr fontId="3" type="noConversion"/>
  </si>
  <si>
    <t>10.3~10.9
(7일간)</t>
    <phoneticPr fontId="30" type="noConversion"/>
  </si>
  <si>
    <t>○ 마을주민과 전문작가와의 협업을 통한 주민참여정원 조성
○ 정원산업전 특별 프로그램 신설(ex.우수제품 콘테스트 등)
○ 가족화분만들기, 스탬프투어 등 시민참여프로그램 운영
○ 조경·정원발전을 위한 정원 콘퍼런스
○ 가든시네마, 가을밤의 정원 음악회 등 정원문화페스티벌</t>
    <phoneticPr fontId="3" type="noConversion"/>
  </si>
  <si>
    <t>문화예술</t>
    <phoneticPr fontId="3" type="noConversion"/>
  </si>
  <si>
    <t>전시정원</t>
    <phoneticPr fontId="3" type="noConversion"/>
  </si>
  <si>
    <t>자문위원회</t>
    <phoneticPr fontId="3" type="noConversion"/>
  </si>
  <si>
    <t>부분위탁
(프로그램)</t>
    <phoneticPr fontId="3" type="noConversion"/>
  </si>
  <si>
    <t>마을</t>
    <phoneticPr fontId="3" type="noConversion"/>
  </si>
  <si>
    <t>서울특별시</t>
    <phoneticPr fontId="3" type="noConversion"/>
  </si>
  <si>
    <t>마포구</t>
    <phoneticPr fontId="3" type="noConversion"/>
  </si>
  <si>
    <t>제12회 마포나루 새우젓축제</t>
    <phoneticPr fontId="3" type="noConversion"/>
  </si>
  <si>
    <t>10.18~10.20
(3일간)</t>
    <phoneticPr fontId="30" type="noConversion"/>
  </si>
  <si>
    <t>○ 핵심프로그램 : 황포돛배 입항재현
○ 개장식, 개막식, 문화·체험·판매행사
  - 8개분야 78개 프로그램</t>
    <phoneticPr fontId="3" type="noConversion"/>
  </si>
  <si>
    <t>마포구 문화진흥과/마포문화원
(02-3153-8352)</t>
    <phoneticPr fontId="3" type="noConversion"/>
  </si>
  <si>
    <t>2008년도
(12회)</t>
    <phoneticPr fontId="3" type="noConversion"/>
  </si>
  <si>
    <t>문화예술</t>
    <phoneticPr fontId="3" type="noConversion"/>
  </si>
  <si>
    <t>한강, 마포나루, 새우젓, 황포돛배</t>
    <phoneticPr fontId="3" type="noConversion"/>
  </si>
  <si>
    <t>매년</t>
    <phoneticPr fontId="3" type="noConversion"/>
  </si>
  <si>
    <t>·공공(마포구)
·사단법인
   (마포문화원)</t>
    <phoneticPr fontId="3" type="noConversion"/>
  </si>
  <si>
    <t>없음</t>
    <phoneticPr fontId="3" type="noConversion"/>
  </si>
  <si>
    <t>전체위탁</t>
    <phoneticPr fontId="3" type="noConversion"/>
  </si>
  <si>
    <t>월드컵공원 
평화의광장</t>
    <phoneticPr fontId="3" type="noConversion"/>
  </si>
  <si>
    <t>마포구</t>
    <phoneticPr fontId="3" type="noConversion"/>
  </si>
  <si>
    <t>서울와우북페스티벌</t>
    <phoneticPr fontId="3" type="noConversion"/>
  </si>
  <si>
    <t>9월 중</t>
    <phoneticPr fontId="30" type="noConversion"/>
  </si>
  <si>
    <t>○ 복합책문화예술축제
○ 도서 판매, 강연, 공연 등</t>
    <phoneticPr fontId="3" type="noConversion"/>
  </si>
  <si>
    <t>와우책문화예술센터
(02-336-1585)</t>
    <phoneticPr fontId="3" type="noConversion"/>
  </si>
  <si>
    <t>2005년도
(15회)</t>
    <phoneticPr fontId="3" type="noConversion"/>
  </si>
  <si>
    <t>책</t>
    <phoneticPr fontId="3" type="noConversion"/>
  </si>
  <si>
    <t>사단법인</t>
    <phoneticPr fontId="3" type="noConversion"/>
  </si>
  <si>
    <t>자체추진</t>
    <phoneticPr fontId="3" type="noConversion"/>
  </si>
  <si>
    <t>홍대걷고
싶은거리</t>
    <phoneticPr fontId="3" type="noConversion"/>
  </si>
  <si>
    <t>서울프린지페스티벌</t>
    <phoneticPr fontId="3" type="noConversion"/>
  </si>
  <si>
    <t>8월 중</t>
    <phoneticPr fontId="30" type="noConversion"/>
  </si>
  <si>
    <t>○ 독립예술제</t>
    <phoneticPr fontId="3" type="noConversion"/>
  </si>
  <si>
    <t>서울프린지네트워크
(02-325-8150)</t>
    <phoneticPr fontId="3" type="noConversion"/>
  </si>
  <si>
    <t>1998년도
(21회)</t>
    <phoneticPr fontId="3" type="noConversion"/>
  </si>
  <si>
    <t>독립예술</t>
    <phoneticPr fontId="3" type="noConversion"/>
  </si>
  <si>
    <t>월드컵경기장</t>
    <phoneticPr fontId="3" type="noConversion"/>
  </si>
  <si>
    <t>서울국제뉴미디어페스티벌</t>
    <phoneticPr fontId="3" type="noConversion"/>
  </si>
  <si>
    <t>○ 대안영상미디어축제
○ 서울국제뉴미디어대안영화제, 전시제, 뉴미디어아트페스티벌, 개막식, 폐막식 등</t>
    <phoneticPr fontId="3" type="noConversion"/>
  </si>
  <si>
    <t>(사)대안영상문화발전소 
아이공(02-337-2870)</t>
    <phoneticPr fontId="3" type="noConversion"/>
  </si>
  <si>
    <t>2001년도
(19회)</t>
    <phoneticPr fontId="3" type="noConversion"/>
  </si>
  <si>
    <t>대안영상미디어</t>
    <phoneticPr fontId="3" type="noConversion"/>
  </si>
  <si>
    <t>서교예술실험센터 등</t>
    <phoneticPr fontId="3" type="noConversion"/>
  </si>
  <si>
    <t>2019 판 페스티벌</t>
    <phoneticPr fontId="3" type="noConversion"/>
  </si>
  <si>
    <t>11월 중</t>
    <phoneticPr fontId="30" type="noConversion"/>
  </si>
  <si>
    <t>○ 홍대를 기반으로 활동하고 있는 언플러그드 아티스트들, 미술, 공예작가들, 창작국악공연 등으로 구성되어 있는 복합문화축제</t>
    <phoneticPr fontId="3" type="noConversion"/>
  </si>
  <si>
    <t>극단 산울림
(02-334-5915)</t>
    <phoneticPr fontId="3" type="noConversion"/>
  </si>
  <si>
    <t>2015년도
(4회)</t>
    <phoneticPr fontId="3" type="noConversion"/>
  </si>
  <si>
    <t>복합문화</t>
    <phoneticPr fontId="3" type="noConversion"/>
  </si>
  <si>
    <t>산울림소극장</t>
    <phoneticPr fontId="3" type="noConversion"/>
  </si>
  <si>
    <t>홍대앞 예술시장 프리마켓</t>
    <phoneticPr fontId="3" type="noConversion"/>
  </si>
  <si>
    <t>3.~11.</t>
    <phoneticPr fontId="30" type="noConversion"/>
  </si>
  <si>
    <t>○ 생활창작품 전시·판매, 공연 등</t>
    <phoneticPr fontId="3" type="noConversion"/>
  </si>
  <si>
    <t>일상예술창작센터
(325-8553)</t>
    <phoneticPr fontId="3" type="noConversion"/>
  </si>
  <si>
    <t>2015년도
(5회)</t>
    <phoneticPr fontId="3" type="noConversion"/>
  </si>
  <si>
    <t>생활창작품</t>
    <phoneticPr fontId="3" type="noConversion"/>
  </si>
  <si>
    <t>홍익문화공원</t>
    <phoneticPr fontId="3" type="noConversion"/>
  </si>
  <si>
    <t>미정</t>
    <phoneticPr fontId="3" type="noConversion"/>
  </si>
  <si>
    <t>서울특별시</t>
    <phoneticPr fontId="3" type="noConversion"/>
  </si>
  <si>
    <t>시자체</t>
    <phoneticPr fontId="3" type="noConversion"/>
  </si>
  <si>
    <t>벚꽃축제</t>
    <phoneticPr fontId="3" type="noConversion"/>
  </si>
  <si>
    <t>4.6.~4.21.
(16일간)</t>
    <phoneticPr fontId="30" type="noConversion"/>
  </si>
  <si>
    <t>○ 벚꽃 주제 공연 및 전시 등 벚꽃 만개의 아름다움을 시민과 공유</t>
    <phoneticPr fontId="3" type="noConversion"/>
  </si>
  <si>
    <t>서울대공원 전략기획실
(02-500-7022)</t>
    <phoneticPr fontId="3" type="noConversion"/>
  </si>
  <si>
    <t>2016년도
(4회)</t>
    <phoneticPr fontId="3" type="noConversion"/>
  </si>
  <si>
    <t>벚꽃</t>
    <phoneticPr fontId="3" type="noConversion"/>
  </si>
  <si>
    <t>매년</t>
    <phoneticPr fontId="3" type="noConversion"/>
  </si>
  <si>
    <t>공공(시군구)</t>
    <phoneticPr fontId="3" type="noConversion"/>
  </si>
  <si>
    <t>없음</t>
    <phoneticPr fontId="3" type="noConversion"/>
  </si>
  <si>
    <t>부분위탁</t>
    <phoneticPr fontId="3" type="noConversion"/>
  </si>
  <si>
    <t>공원</t>
    <phoneticPr fontId="3" type="noConversion"/>
  </si>
  <si>
    <t>서울특별시</t>
    <phoneticPr fontId="3" type="noConversion"/>
  </si>
  <si>
    <t>장미원축제</t>
    <phoneticPr fontId="3" type="noConversion"/>
  </si>
  <si>
    <t>5.25.~6.9.
(16일간)</t>
    <phoneticPr fontId="30" type="noConversion"/>
  </si>
  <si>
    <t>○ 사진찍고 데이트하기 좋은 장미원 사진공모전 및 공연 등</t>
    <phoneticPr fontId="3" type="noConversion"/>
  </si>
  <si>
    <t>서울대공원 전략기획실
(02-500-7022)</t>
    <phoneticPr fontId="3" type="noConversion"/>
  </si>
  <si>
    <t>2001년도
(19회)</t>
    <phoneticPr fontId="3" type="noConversion"/>
  </si>
  <si>
    <t>장미</t>
    <phoneticPr fontId="3" type="noConversion"/>
  </si>
  <si>
    <t>공공(시군구)</t>
    <phoneticPr fontId="3" type="noConversion"/>
  </si>
  <si>
    <t>공원</t>
    <phoneticPr fontId="3" type="noConversion"/>
  </si>
  <si>
    <t>서울특별시</t>
    <phoneticPr fontId="3" type="noConversion"/>
  </si>
  <si>
    <t>동물원 속 미술관</t>
    <phoneticPr fontId="3" type="noConversion"/>
  </si>
  <si>
    <t>10.9.~10.20.
(12일간)</t>
    <phoneticPr fontId="30" type="noConversion"/>
  </si>
  <si>
    <t>○ 상상 속 동물과 살아있는 동물원이 만나는 예술 동물원,
    동물 작품 전시, 멸종위기종 보호를 위한 재활용 공예 등</t>
    <phoneticPr fontId="3" type="noConversion"/>
  </si>
  <si>
    <t>서울대공원 전략기획실
(02-500-7022)</t>
    <phoneticPr fontId="3" type="noConversion"/>
  </si>
  <si>
    <t>2016년도
(4회)</t>
    <phoneticPr fontId="3" type="noConversion"/>
  </si>
  <si>
    <t>동물, 예술</t>
    <phoneticPr fontId="3" type="noConversion"/>
  </si>
  <si>
    <t>매년</t>
    <phoneticPr fontId="3" type="noConversion"/>
  </si>
  <si>
    <t>부분위탁</t>
    <phoneticPr fontId="3" type="noConversion"/>
  </si>
  <si>
    <t>대학로거리공연축제</t>
    <phoneticPr fontId="3" type="noConversion"/>
  </si>
  <si>
    <t>대학로문화축제</t>
    <phoneticPr fontId="3" type="noConversion"/>
  </si>
  <si>
    <t>종로한복축제</t>
    <phoneticPr fontId="3" type="noConversion"/>
  </si>
  <si>
    <t>윤동주문학제</t>
    <phoneticPr fontId="3" type="noConversion"/>
  </si>
  <si>
    <t>○ 생활문화 예술동아리 연합 축제 
    -  개막 공연, 체험·마켓, 전시(4개분야)</t>
    <phoneticPr fontId="3" type="noConversion"/>
  </si>
  <si>
    <t>종로구 문화과 
/ 종로문화재단
(02-2148-1805)</t>
    <phoneticPr fontId="3" type="noConversion"/>
  </si>
  <si>
    <t>2017년도
(2회)</t>
    <phoneticPr fontId="3" type="noConversion"/>
  </si>
  <si>
    <t>(사)한국소극장협회
(주지선,02-742-4188)</t>
    <phoneticPr fontId="3" type="noConversion"/>
  </si>
  <si>
    <t>2007년도
(13회)</t>
    <phoneticPr fontId="3" type="noConversion"/>
  </si>
  <si>
    <t>○ 대학생 기획 및 진행 프로그램
  (아시아 대학생들의  전통문화공연 등)</t>
    <phoneticPr fontId="3" type="noConversion"/>
  </si>
  <si>
    <t>대학로문화축제추진위원회
(오세민,02-766-9033))</t>
    <phoneticPr fontId="3" type="noConversion"/>
  </si>
  <si>
    <t>2002년도
(17회)</t>
    <phoneticPr fontId="3" type="noConversion"/>
  </si>
  <si>
    <t xml:space="preserve"> ○ 평화와 사랑의 강강술래
 ○ 신명과 화합의 북의 메아리(진도북춤)
 ○ 금난새와 함께하는 한복음악회 등</t>
    <phoneticPr fontId="3" type="noConversion"/>
  </si>
  <si>
    <t>종로구 문화과/ 종로문화재단
(02-2148-1803)</t>
    <phoneticPr fontId="3" type="noConversion"/>
  </si>
  <si>
    <t xml:space="preserve"> ○ 윤동주창작음악제
 ○ 윤동주 시인을 테마로 한 시화공모전
 ○ 문학토크콘서트
 ○ 다큐멘터리 &lt;잊지못할 윤동주&gt; 상영회
 ○  시민과 함께하는 열린콘서트 및 기타 부대행사 개최</t>
    <phoneticPr fontId="3" type="noConversion"/>
  </si>
  <si>
    <t>2014년도 (6회)</t>
    <phoneticPr fontId="3" type="noConversion"/>
  </si>
  <si>
    <t>문화예술</t>
    <phoneticPr fontId="3" type="noConversion"/>
  </si>
  <si>
    <t>매년</t>
    <phoneticPr fontId="3" type="noConversion"/>
  </si>
  <si>
    <t>축제조직위</t>
    <phoneticPr fontId="3" type="noConversion"/>
  </si>
  <si>
    <t>해당없음</t>
    <phoneticPr fontId="3" type="noConversion"/>
  </si>
  <si>
    <t>해당없음</t>
    <phoneticPr fontId="3" type="noConversion"/>
  </si>
  <si>
    <t>자체추진</t>
    <phoneticPr fontId="3" type="noConversion"/>
  </si>
  <si>
    <t>대학로</t>
    <phoneticPr fontId="3" type="noConversion"/>
  </si>
  <si>
    <t>거리공연</t>
    <phoneticPr fontId="3" type="noConversion"/>
  </si>
  <si>
    <t>사단법인
축제조직위원회</t>
    <phoneticPr fontId="3" type="noConversion"/>
  </si>
  <si>
    <t>전체위탁</t>
    <phoneticPr fontId="3" type="noConversion"/>
  </si>
  <si>
    <t>대학로 일대</t>
    <phoneticPr fontId="3" type="noConversion"/>
  </si>
  <si>
    <t>재단법인</t>
    <phoneticPr fontId="3" type="noConversion"/>
  </si>
  <si>
    <t>비상설</t>
    <phoneticPr fontId="3" type="noConversion"/>
  </si>
  <si>
    <t>부분위탁</t>
    <phoneticPr fontId="3" type="noConversion"/>
  </si>
  <si>
    <t>광화문광장</t>
    <phoneticPr fontId="3" type="noConversion"/>
  </si>
  <si>
    <t>비영리 재단법인</t>
    <phoneticPr fontId="3" type="noConversion"/>
  </si>
  <si>
    <t>서울특별시</t>
    <phoneticPr fontId="3" type="noConversion"/>
  </si>
  <si>
    <t>종로구</t>
    <phoneticPr fontId="3" type="noConversion"/>
  </si>
  <si>
    <t>종로랑 페스티벌</t>
    <phoneticPr fontId="3" type="noConversion"/>
  </si>
  <si>
    <t>10.20.~10.21.(2일간)</t>
    <phoneticPr fontId="30" type="noConversion"/>
  </si>
  <si>
    <t>동아리</t>
    <phoneticPr fontId="3" type="noConversion"/>
  </si>
  <si>
    <t>5.16.~ 5.19.
(4일간)</t>
    <phoneticPr fontId="30" type="noConversion"/>
  </si>
  <si>
    <t>○ 거리공연프로그램
  (움직이는 그림, 마로니에 버블타임 등)</t>
    <phoneticPr fontId="3" type="noConversion"/>
  </si>
  <si>
    <t>문화예술</t>
    <phoneticPr fontId="3" type="noConversion"/>
  </si>
  <si>
    <t xml:space="preserve">있음
정규직 1명
 </t>
    <phoneticPr fontId="3" type="noConversion"/>
  </si>
  <si>
    <t>서울특별시</t>
    <phoneticPr fontId="3" type="noConversion"/>
  </si>
  <si>
    <t>8.21.~ 8.25.
(5일간)</t>
    <phoneticPr fontId="30" type="noConversion"/>
  </si>
  <si>
    <t>대학문화</t>
    <phoneticPr fontId="3" type="noConversion"/>
  </si>
  <si>
    <t>있음
정규직 1명</t>
    <phoneticPr fontId="3" type="noConversion"/>
  </si>
  <si>
    <t>종로구</t>
    <phoneticPr fontId="3" type="noConversion"/>
  </si>
  <si>
    <t>9.20.~9.22.
(3일간)</t>
    <phoneticPr fontId="30" type="noConversion"/>
  </si>
  <si>
    <t>2016년도
(4회)</t>
    <phoneticPr fontId="3" type="noConversion"/>
  </si>
  <si>
    <t>전통역사</t>
    <phoneticPr fontId="3" type="noConversion"/>
  </si>
  <si>
    <t>한복</t>
    <phoneticPr fontId="3" type="noConversion"/>
  </si>
  <si>
    <t>9.6. ~ 9.8. (3일간)</t>
    <phoneticPr fontId="30" type="noConversion"/>
  </si>
  <si>
    <t>종로구청 문화과 (02-2148-1808) / 종로문화재단 (02-6203-1162)</t>
    <phoneticPr fontId="3" type="noConversion"/>
  </si>
  <si>
    <t>시인</t>
    <phoneticPr fontId="3" type="noConversion"/>
  </si>
  <si>
    <t>없음</t>
    <phoneticPr fontId="3" type="noConversion"/>
  </si>
  <si>
    <t>윤동주문학관, 시인의 언덕, 청운문학도서관</t>
    <phoneticPr fontId="3" type="noConversion"/>
  </si>
  <si>
    <t>서초구</t>
    <phoneticPr fontId="3" type="noConversion"/>
  </si>
  <si>
    <t>방배비보이페스티벌</t>
    <phoneticPr fontId="3" type="noConversion"/>
  </si>
  <si>
    <t>○ 퍼레이드, 지상최대 스케치북 
○ 고품격 기획공연 및 폐막공연
○ 프린지 공연 (청년예술인 공연, 아마추어 공연 등)
○ 지역특화프로그램 (지역축제)</t>
    <phoneticPr fontId="3" type="noConversion"/>
  </si>
  <si>
    <t>2015년도
(5회)</t>
    <phoneticPr fontId="3" type="noConversion"/>
  </si>
  <si>
    <t>서초마을네트워크</t>
    <phoneticPr fontId="3" type="noConversion"/>
  </si>
  <si>
    <t>서초구 전역</t>
    <phoneticPr fontId="3" type="noConversion"/>
  </si>
  <si>
    <t>잠원체육공원</t>
    <phoneticPr fontId="3" type="noConversion"/>
  </si>
  <si>
    <t>임의단체</t>
    <phoneticPr fontId="3" type="noConversion"/>
  </si>
  <si>
    <t>양재2동</t>
    <phoneticPr fontId="3" type="noConversion"/>
  </si>
  <si>
    <t>우솔초등학교</t>
    <phoneticPr fontId="3" type="noConversion"/>
  </si>
  <si>
    <t>서초동 악기거리</t>
    <phoneticPr fontId="3" type="noConversion"/>
  </si>
  <si>
    <t>방배뒷벌공원</t>
    <phoneticPr fontId="3" type="noConversion"/>
  </si>
  <si>
    <t>주민화합</t>
    <phoneticPr fontId="3" type="noConversion"/>
  </si>
  <si>
    <t>양재시민의 숲</t>
    <phoneticPr fontId="3" type="noConversion"/>
  </si>
  <si>
    <t>서리풀페스티벌</t>
    <phoneticPr fontId="3" type="noConversion"/>
  </si>
  <si>
    <t>9.21~9.28
(8일간)</t>
    <phoneticPr fontId="30" type="noConversion"/>
  </si>
  <si>
    <t>서초구, 서초문화재단
 / 서리풀페스티벌 조직위원회
(02-2155-6228)</t>
    <phoneticPr fontId="3" type="noConversion"/>
  </si>
  <si>
    <t>서초역사
문화예술</t>
    <phoneticPr fontId="3" type="noConversion"/>
  </si>
  <si>
    <t>반포서래 한불음악축제</t>
    <phoneticPr fontId="3" type="noConversion"/>
  </si>
  <si>
    <t>9월 중</t>
    <phoneticPr fontId="30" type="noConversion"/>
  </si>
  <si>
    <t>○국내·프랑스 뮤지션 축하공연, 주민참여공연, 불꽃놀이, 먹거리부스(푸드트럭) 운영</t>
    <phoneticPr fontId="3" type="noConversion"/>
  </si>
  <si>
    <t xml:space="preserve"> 반포서래 한불음악축제 추진위원회(반포본·1·2·3·4동 주민자치위원회)
(02-2155-7685)</t>
    <phoneticPr fontId="3" type="noConversion"/>
  </si>
  <si>
    <t>2008년도
(12회)</t>
    <phoneticPr fontId="3" type="noConversion"/>
  </si>
  <si>
    <t>축제추진위</t>
    <phoneticPr fontId="3" type="noConversion"/>
  </si>
  <si>
    <t>반포한강공원</t>
    <phoneticPr fontId="3" type="noConversion"/>
  </si>
  <si>
    <t>서초골 축제</t>
    <phoneticPr fontId="3" type="noConversion"/>
  </si>
  <si>
    <t>○클래식음악회, 오페라&amp;뮤지컬 갈라콘서트 개최</t>
    <phoneticPr fontId="3" type="noConversion"/>
  </si>
  <si>
    <t>서초1․2․3․4동 주민자치위원회/
서초골축제추진위원회</t>
    <phoneticPr fontId="3" type="noConversion"/>
  </si>
  <si>
    <t>예술의전당</t>
    <phoneticPr fontId="3" type="noConversion"/>
  </si>
  <si>
    <t>정월대보름 달맞이행사</t>
    <phoneticPr fontId="3" type="noConversion"/>
  </si>
  <si>
    <t>2월 중</t>
    <phoneticPr fontId="30" type="noConversion"/>
  </si>
  <si>
    <t>○달집태우기, 지신밟기 등 전통문화행사 재현
○쥐불놀이, 윷놀이, 널뛰기 등 전통 민속놀이 체험장 운영</t>
    <phoneticPr fontId="3" type="noConversion"/>
  </si>
  <si>
    <t>양재1·2·내곡동 주민자치위원회/
(주관동:내곡동, 02-2155-7948)</t>
    <phoneticPr fontId="3" type="noConversion"/>
  </si>
  <si>
    <t>공공(읍면동)</t>
    <phoneticPr fontId="3" type="noConversion"/>
  </si>
  <si>
    <t>양재천</t>
    <phoneticPr fontId="3" type="noConversion"/>
  </si>
  <si>
    <t>잠원나루축제</t>
    <phoneticPr fontId="3" type="noConversion"/>
  </si>
  <si>
    <t>○왕비친잠행사, 주민참여공연, 누에생태체험관, 먹거리장터 운영</t>
    <phoneticPr fontId="3" type="noConversion"/>
  </si>
  <si>
    <t>잠원동 주민자치위원회/
(02-2155-7547)</t>
    <phoneticPr fontId="3" type="noConversion"/>
  </si>
  <si>
    <t>2012년도
(8회)</t>
    <phoneticPr fontId="3" type="noConversion"/>
  </si>
  <si>
    <t>행복내곡축제</t>
    <phoneticPr fontId="3" type="noConversion"/>
  </si>
  <si>
    <t>4~12월</t>
    <phoneticPr fontId="30" type="noConversion"/>
  </si>
  <si>
    <t>○내곡가족 청계산 나들이, 행복내곡 마을축제 등</t>
    <phoneticPr fontId="3" type="noConversion"/>
  </si>
  <si>
    <t>내곡지구입주민모임
(행복내곡추진본부)</t>
    <phoneticPr fontId="3" type="noConversion"/>
  </si>
  <si>
    <t>2014년도
(6회)</t>
    <phoneticPr fontId="3" type="noConversion"/>
  </si>
  <si>
    <t>언남초등학교</t>
    <phoneticPr fontId="3" type="noConversion"/>
  </si>
  <si>
    <t>양재마을축제</t>
    <phoneticPr fontId="3" type="noConversion"/>
  </si>
  <si>
    <t>5~11월</t>
    <phoneticPr fontId="30" type="noConversion"/>
  </si>
  <si>
    <t>○음악공연, 다문화체험, 벼룩시장 등</t>
    <phoneticPr fontId="3" type="noConversion"/>
  </si>
  <si>
    <t>양재마을넷</t>
    <phoneticPr fontId="3" type="noConversion"/>
  </si>
  <si>
    <t>서초마을교육문화축제</t>
    <phoneticPr fontId="3" type="noConversion"/>
  </si>
  <si>
    <t>4~11월</t>
    <phoneticPr fontId="30" type="noConversion"/>
  </si>
  <si>
    <t>○서초마을 문화예술 및 미디어활동, 건강문화예술마을 만들기</t>
    <phoneticPr fontId="3" type="noConversion"/>
  </si>
  <si>
    <t>서초커뮤니티네트워크</t>
    <phoneticPr fontId="3" type="noConversion"/>
  </si>
  <si>
    <t>서초지역</t>
    <phoneticPr fontId="3" type="noConversion"/>
  </si>
  <si>
    <t>말죽거리축제</t>
    <phoneticPr fontId="3" type="noConversion"/>
  </si>
  <si>
    <t>○말퍼레이드 및 승마체험, 특산물 장터, 노래자랑 등</t>
    <phoneticPr fontId="3" type="noConversion"/>
  </si>
  <si>
    <t>말죽거리소상공인연합회</t>
    <phoneticPr fontId="3" type="noConversion"/>
  </si>
  <si>
    <t>양재시장
말죽거리 일대</t>
    <phoneticPr fontId="3" type="noConversion"/>
  </si>
  <si>
    <t>우솔마을 축제</t>
    <phoneticPr fontId="3" type="noConversion"/>
  </si>
  <si>
    <t>10월 중</t>
    <phoneticPr fontId="30" type="noConversion"/>
  </si>
  <si>
    <t>○체육대회 및 장기자랑 등 개최</t>
    <phoneticPr fontId="3" type="noConversion"/>
  </si>
  <si>
    <t>우솔마을발전위원회</t>
    <phoneticPr fontId="3" type="noConversion"/>
  </si>
  <si>
    <t>여의천 문화축제
(前 청계산단풍축제)</t>
    <phoneticPr fontId="3" type="noConversion"/>
  </si>
  <si>
    <t>○전통문화 체험행사(부대행사, 먹거리 장터 등)</t>
    <phoneticPr fontId="3" type="noConversion"/>
  </si>
  <si>
    <t>청계산단풍축제추진위원회</t>
    <phoneticPr fontId="3" type="noConversion"/>
  </si>
  <si>
    <t>여의천 일대</t>
    <phoneticPr fontId="3" type="noConversion"/>
  </si>
  <si>
    <t>악기거리축제</t>
    <phoneticPr fontId="3" type="noConversion"/>
  </si>
  <si>
    <t>○작은음악회, 거리콘서트, 악기거리 마켓, 체험행사 등</t>
    <phoneticPr fontId="3" type="noConversion"/>
  </si>
  <si>
    <t>서울악기거리축제추진위원회</t>
    <phoneticPr fontId="3" type="noConversion"/>
  </si>
  <si>
    <t>○비보이 공연 및 아트풍선 쇼, 코스프레 포토존 운영 등</t>
    <phoneticPr fontId="3" type="noConversion"/>
  </si>
  <si>
    <t>방배권역 비보이 축제추진위원회</t>
    <phoneticPr fontId="3" type="noConversion"/>
  </si>
  <si>
    <t>2017년도
(3회)</t>
    <phoneticPr fontId="3" type="noConversion"/>
  </si>
  <si>
    <t>서초단오마당</t>
    <phoneticPr fontId="3" type="noConversion"/>
  </si>
  <si>
    <t>6월 중</t>
    <phoneticPr fontId="30" type="noConversion"/>
  </si>
  <si>
    <t>○창포물에 머리감기, 전통 놀이마당 등</t>
    <phoneticPr fontId="3" type="noConversion"/>
  </si>
  <si>
    <t>도봉구</t>
    <phoneticPr fontId="3" type="noConversion"/>
  </si>
  <si>
    <t>도봉구 문화체육과/도봉문화재단(추진위원회)
(02-2091-2256)</t>
    <phoneticPr fontId="3" type="noConversion"/>
  </si>
  <si>
    <t>정의공주와 함께하는 도봉한글잔치</t>
    <phoneticPr fontId="3" type="noConversion"/>
  </si>
  <si>
    <t xml:space="preserve"> ○ 백일장, 미술대회, 창작뮤지컬 공연 등
 ○ 부대행사: 체험, 전시 </t>
    <phoneticPr fontId="3" type="noConversion"/>
  </si>
  <si>
    <t>도봉구 문화체육과 / 도봉문화원
(02-2091-2262)</t>
    <phoneticPr fontId="3" type="noConversion"/>
  </si>
  <si>
    <t>한글</t>
    <phoneticPr fontId="3" type="noConversion"/>
  </si>
  <si>
    <t>201. 도봉산 국제 페스9티벌</t>
    <phoneticPr fontId="3" type="noConversion"/>
  </si>
  <si>
    <t>9. 28~9. 29(2일간)</t>
    <phoneticPr fontId="30" type="noConversion"/>
  </si>
  <si>
    <t>○ 산악행사(자연암벽대회, 익스트림스포츠대회)
○ 공연행사, 사찰행사, 체험행사</t>
    <phoneticPr fontId="3" type="noConversion"/>
  </si>
  <si>
    <t>2017
(3회)</t>
    <phoneticPr fontId="3" type="noConversion"/>
  </si>
  <si>
    <t>도봉산</t>
    <phoneticPr fontId="3" type="noConversion"/>
  </si>
  <si>
    <t>추진위원회</t>
    <phoneticPr fontId="3" type="noConversion"/>
  </si>
  <si>
    <t>도봉구 우이천 등축제</t>
    <phoneticPr fontId="3" type="noConversion"/>
  </si>
  <si>
    <t>4월 중</t>
    <phoneticPr fontId="30" type="noConversion"/>
  </si>
  <si>
    <t xml:space="preserve"> ○ 개막점등식: 개막식 공연
 ○ 테마가 있는 등 전시
 ○ 부대행사 : 문화공연, 공예 체험, 소원지쓰기, 둘리포토존</t>
    <phoneticPr fontId="3" type="noConversion"/>
  </si>
  <si>
    <t>도봉구 문화체육과
(02-2091-2254)</t>
    <phoneticPr fontId="3" type="noConversion"/>
  </si>
  <si>
    <t>2016
(3회)</t>
    <phoneticPr fontId="3" type="noConversion"/>
  </si>
  <si>
    <t>등(燈)전시</t>
    <phoneticPr fontId="3" type="noConversion"/>
  </si>
  <si>
    <t>공공(구)</t>
    <phoneticPr fontId="3" type="noConversion"/>
  </si>
  <si>
    <t>우이천</t>
    <phoneticPr fontId="3" type="noConversion"/>
  </si>
  <si>
    <t>도봉구 방학천 등축제</t>
    <phoneticPr fontId="3" type="noConversion"/>
  </si>
  <si>
    <t>10월 중</t>
    <phoneticPr fontId="30" type="noConversion"/>
  </si>
  <si>
    <t>2013
(8회)</t>
    <phoneticPr fontId="3" type="noConversion"/>
  </si>
  <si>
    <t>방학천</t>
    <phoneticPr fontId="3" type="noConversion"/>
  </si>
  <si>
    <t>10.8~10.9
(2일간)</t>
    <phoneticPr fontId="30" type="noConversion"/>
  </si>
  <si>
    <t>2012
(8회)</t>
    <phoneticPr fontId="3" type="noConversion"/>
  </si>
  <si>
    <t>방학동 원당샘공원</t>
    <phoneticPr fontId="3" type="noConversion"/>
  </si>
  <si>
    <t>한강몽땅 여름축제</t>
    <phoneticPr fontId="3" type="noConversion"/>
  </si>
  <si>
    <t>○ 3개 테마, 80개 프로그램
  - 시원한강, 감동한강, 함께한강 주제</t>
    <phoneticPr fontId="3" type="noConversion"/>
  </si>
  <si>
    <t>서울특별시 한강사업본부 총무과
(02-3780-0710)</t>
    <phoneticPr fontId="3" type="noConversion"/>
  </si>
  <si>
    <t>2013년도 
(7회)</t>
    <phoneticPr fontId="3" type="noConversion"/>
  </si>
  <si>
    <t>한강</t>
    <phoneticPr fontId="3" type="noConversion"/>
  </si>
  <si>
    <t>공공(시군구)</t>
    <phoneticPr fontId="3" type="noConversion"/>
  </si>
  <si>
    <t>부분대행</t>
    <phoneticPr fontId="3" type="noConversion"/>
  </si>
  <si>
    <t>하천</t>
    <phoneticPr fontId="3" type="noConversion"/>
  </si>
  <si>
    <t>2004년도 
(16회)</t>
    <phoneticPr fontId="3" type="noConversion"/>
  </si>
  <si>
    <t>꽃</t>
    <phoneticPr fontId="3" type="noConversion"/>
  </si>
  <si>
    <t>시자체</t>
    <phoneticPr fontId="3" type="noConversion"/>
  </si>
  <si>
    <t>7.19~8.18
(31일간)</t>
    <phoneticPr fontId="30" type="noConversion"/>
  </si>
  <si>
    <t>한강서래섬꽃축제</t>
    <phoneticPr fontId="3" type="noConversion"/>
  </si>
  <si>
    <t>5.11~5.12
10.12~10.13</t>
    <phoneticPr fontId="30" type="noConversion"/>
  </si>
  <si>
    <t xml:space="preserve">○ 5월 유채꽃, 10월 메밀꽃밭 즐기기 테마형 포토존 운영
○ 소규모 체험, 공연, 특별 프로그램, 쉼터 운영 등 </t>
    <phoneticPr fontId="3" type="noConversion"/>
  </si>
  <si>
    <t>서울특별시 한강사업본부 
문화홍보과 (02-3780-0796</t>
    <phoneticPr fontId="3" type="noConversion"/>
  </si>
  <si>
    <t>생태자연</t>
    <phoneticPr fontId="3" type="noConversion"/>
  </si>
  <si>
    <t>전체대행</t>
    <phoneticPr fontId="3" type="noConversion"/>
  </si>
  <si>
    <t>하펀</t>
    <phoneticPr fontId="3" type="noConversion"/>
  </si>
  <si>
    <t>790(미확정)</t>
    <phoneticPr fontId="3" type="noConversion"/>
  </si>
  <si>
    <t>-</t>
    <phoneticPr fontId="3" type="noConversion"/>
  </si>
  <si>
    <t>서울특별시</t>
    <phoneticPr fontId="3" type="noConversion"/>
  </si>
  <si>
    <t>중구</t>
    <phoneticPr fontId="3" type="noConversion"/>
  </si>
  <si>
    <t>제4회충무로뮤지컬영화제</t>
    <phoneticPr fontId="3" type="noConversion"/>
  </si>
  <si>
    <t xml:space="preserve"> 7.5~7.14 
(10일간)</t>
    <phoneticPr fontId="30" type="noConversion"/>
  </si>
  <si>
    <t xml:space="preserve"> - 개폐막작 및 8개 섹션,40편 상영
 - 공식 개·폐막식, 초청작 상영, 야외상영, 심야상영 등</t>
    <phoneticPr fontId="3" type="noConversion"/>
  </si>
  <si>
    <t>중구중구문화재단
(02-2230-6641)</t>
    <phoneticPr fontId="3" type="noConversion"/>
  </si>
  <si>
    <t>2016년
(3회)</t>
    <phoneticPr fontId="3" type="noConversion"/>
  </si>
  <si>
    <t>문화예술</t>
    <phoneticPr fontId="3" type="noConversion"/>
  </si>
  <si>
    <t>매년</t>
    <phoneticPr fontId="3" type="noConversion"/>
  </si>
  <si>
    <t>있음
총 18명</t>
    <phoneticPr fontId="3" type="noConversion"/>
  </si>
  <si>
    <t>충무아트센터, DDP 일대</t>
    <phoneticPr fontId="3" type="noConversion"/>
  </si>
  <si>
    <t>서대문구</t>
    <phoneticPr fontId="3" type="noConversion"/>
  </si>
  <si>
    <t>2013년도
(6회)</t>
    <phoneticPr fontId="3" type="noConversion"/>
  </si>
  <si>
    <t>물총</t>
    <phoneticPr fontId="3" type="noConversion"/>
  </si>
  <si>
    <t>부분위탁
(하드웨어)</t>
    <phoneticPr fontId="3" type="noConversion"/>
  </si>
  <si>
    <t>벚꽃</t>
    <phoneticPr fontId="3" type="noConversion"/>
  </si>
  <si>
    <t>서대문구 문화체육과(02-330-1809)</t>
    <phoneticPr fontId="3" type="noConversion"/>
  </si>
  <si>
    <t>중국 문화체험 및 전통공연</t>
    <phoneticPr fontId="3" type="noConversion"/>
  </si>
  <si>
    <t>중국</t>
    <phoneticPr fontId="3" type="noConversion"/>
  </si>
  <si>
    <t>2016년도(4회)</t>
    <phoneticPr fontId="3" type="noConversion"/>
  </si>
  <si>
    <t>광장</t>
    <phoneticPr fontId="3" type="noConversion"/>
  </si>
  <si>
    <r>
      <t xml:space="preserve"> 책이 빚나는 밤에, 독서</t>
    </r>
    <r>
      <rPr>
        <sz val="11"/>
        <rFont val="맑은 고딕"/>
        <family val="3"/>
        <charset val="129"/>
      </rPr>
      <t>·</t>
    </r>
    <r>
      <rPr>
        <sz val="11"/>
        <rFont val="HY중고딕"/>
        <family val="1"/>
        <charset val="129"/>
      </rPr>
      <t>전시존 운영, 어른동화 콘서트,  플리마켓, 체험프로그램 운영</t>
    </r>
    <phoneticPr fontId="3" type="noConversion"/>
  </si>
  <si>
    <t>서대문구청 문화체육과
/ 서대문구립이진아기념도서관
(02-330-1115)</t>
    <phoneticPr fontId="3" type="noConversion"/>
  </si>
  <si>
    <t>독서</t>
    <phoneticPr fontId="3" type="noConversion"/>
  </si>
  <si>
    <t>서대문독립민주축제</t>
    <phoneticPr fontId="3" type="noConversion"/>
  </si>
  <si>
    <t>8.14~8.15</t>
    <phoneticPr fontId="30" type="noConversion"/>
  </si>
  <si>
    <t xml:space="preserve"> ○ 생존독립민주지사 풋프린팅
 ○ 독립과 민주를 테마로한 체험, 교육프로그램 운영
 ○ 개막공연, 역사콘서트 등 문화공연</t>
    <phoneticPr fontId="3" type="noConversion"/>
  </si>
  <si>
    <t>서대문구 문화체육과
/ 독립민주페스티벌추진위원회
(02-330-1423)</t>
    <phoneticPr fontId="3" type="noConversion"/>
  </si>
  <si>
    <t>2010년도
(10회)</t>
    <phoneticPr fontId="3" type="noConversion"/>
  </si>
  <si>
    <t>독립민주역사
서대문형무소
역사관</t>
    <phoneticPr fontId="3" type="noConversion"/>
  </si>
  <si>
    <t>유적지</t>
    <phoneticPr fontId="3" type="noConversion"/>
  </si>
  <si>
    <t>신촌크리스마스
거리축제</t>
    <phoneticPr fontId="3" type="noConversion"/>
  </si>
  <si>
    <t>12.22~25</t>
    <phoneticPr fontId="30" type="noConversion"/>
  </si>
  <si>
    <t>○ 크리스마스 콘서트
○ 크리스마스 거리가게(마켓&amp;체험부스)운영
○ 개막식 및 오프닝 축하공연
○ 키즈존, 포토존 등 이벤트 운영</t>
    <phoneticPr fontId="3" type="noConversion"/>
  </si>
  <si>
    <t>서울특별시 서대문구
/문화체육과
(02-330-1003)</t>
    <phoneticPr fontId="3" type="noConversion"/>
  </si>
  <si>
    <t>2013년
(7회)</t>
    <phoneticPr fontId="3" type="noConversion"/>
  </si>
  <si>
    <t>크리스마스</t>
    <phoneticPr fontId="3" type="noConversion"/>
  </si>
  <si>
    <t>거리</t>
    <phoneticPr fontId="3" type="noConversion"/>
  </si>
  <si>
    <t>제7회 신촌물총축제</t>
    <phoneticPr fontId="3" type="noConversion"/>
  </si>
  <si>
    <t>7.6~7.7</t>
    <phoneticPr fontId="30" type="noConversion"/>
  </si>
  <si>
    <t>○ 물총싸움, 퍼포먼스, 어린이 놀이터 
○ 디제잉 공연, 버블파티, 기타 이벤트</t>
    <phoneticPr fontId="3" type="noConversion"/>
  </si>
  <si>
    <t>무언가
(02-330-8161)</t>
    <phoneticPr fontId="3" type="noConversion"/>
  </si>
  <si>
    <t>시내거리</t>
    <phoneticPr fontId="3" type="noConversion"/>
  </si>
  <si>
    <t>안산 벚꽃음악회</t>
    <phoneticPr fontId="3" type="noConversion"/>
  </si>
  <si>
    <t>4.12~4.15</t>
    <phoneticPr fontId="30" type="noConversion"/>
  </si>
  <si>
    <t xml:space="preserve">○ 음익회, 지역예술단 공연, 아트마켓 등 </t>
    <phoneticPr fontId="3" type="noConversion"/>
  </si>
  <si>
    <t>2011년도
(9회)</t>
    <phoneticPr fontId="3" type="noConversion"/>
  </si>
  <si>
    <t>연희 벚꽃쉼터
벚꽃마당</t>
    <phoneticPr fontId="3" type="noConversion"/>
  </si>
  <si>
    <t>프랑스 거리음악축제</t>
    <phoneticPr fontId="3" type="noConversion"/>
  </si>
  <si>
    <t>6.22.~23.</t>
    <phoneticPr fontId="30" type="noConversion"/>
  </si>
  <si>
    <t>프랑스 대중가수 특별공연 및 프랑스 문화홍보</t>
    <phoneticPr fontId="3" type="noConversion"/>
  </si>
  <si>
    <t>서대문구 문화체육과(02-330-1438)</t>
    <phoneticPr fontId="3" type="noConversion"/>
  </si>
  <si>
    <t>2017년도(3회)</t>
    <phoneticPr fontId="3" type="noConversion"/>
  </si>
  <si>
    <t>프랑스</t>
    <phoneticPr fontId="3" type="noConversion"/>
  </si>
  <si>
    <t>신촌맥주축제</t>
    <phoneticPr fontId="3" type="noConversion"/>
  </si>
  <si>
    <t>9.7.~9.9.</t>
    <phoneticPr fontId="30" type="noConversion"/>
  </si>
  <si>
    <t>도심속에서 즐기는 신나는 맥주축제</t>
    <phoneticPr fontId="3" type="noConversion"/>
  </si>
  <si>
    <t>2015년도(5회)</t>
    <phoneticPr fontId="3" type="noConversion"/>
  </si>
  <si>
    <t>맥주</t>
    <phoneticPr fontId="3" type="noConversion"/>
  </si>
  <si>
    <t>중국대사관연계행사</t>
    <phoneticPr fontId="3" type="noConversion"/>
  </si>
  <si>
    <t>9.21.~9.22.</t>
    <phoneticPr fontId="30" type="noConversion"/>
  </si>
  <si>
    <t>2019년도(1회)</t>
    <phoneticPr fontId="3" type="noConversion"/>
  </si>
  <si>
    <t>일회성</t>
    <phoneticPr fontId="3" type="noConversion"/>
  </si>
  <si>
    <t>신촌댄스경연대회</t>
    <phoneticPr fontId="3" type="noConversion"/>
  </si>
  <si>
    <t>9.28.~9.29.</t>
    <phoneticPr fontId="30" type="noConversion"/>
  </si>
  <si>
    <t>일반부/학생부 참가자들의 창작댄스 경연대회</t>
    <phoneticPr fontId="3" type="noConversion"/>
  </si>
  <si>
    <t>댄스</t>
    <phoneticPr fontId="3" type="noConversion"/>
  </si>
  <si>
    <t>서대문 책으로 책축제</t>
    <phoneticPr fontId="3" type="noConversion"/>
  </si>
  <si>
    <t>9.27~9.28</t>
    <phoneticPr fontId="30" type="noConversion"/>
  </si>
  <si>
    <t>2012(8회)</t>
    <phoneticPr fontId="3" type="noConversion"/>
  </si>
  <si>
    <t>공원</t>
    <phoneticPr fontId="3" type="noConversion"/>
  </si>
  <si>
    <t>제7회 도심 속 바다축제</t>
    <phoneticPr fontId="3" type="noConversion"/>
  </si>
  <si>
    <t>서울특별시</t>
    <phoneticPr fontId="3" type="noConversion"/>
  </si>
  <si>
    <t>동작구</t>
    <phoneticPr fontId="3" type="noConversion"/>
  </si>
  <si>
    <t>10.12~13</t>
    <phoneticPr fontId="30" type="noConversion"/>
  </si>
  <si>
    <t>○ 먹거리장터, 맨손활어잡기, 모의경매, 바다콘서트 및 체험프로그램 등</t>
    <phoneticPr fontId="3" type="noConversion"/>
  </si>
  <si>
    <t>동작구 체육문화과/동작문화재단
(02-820-9657)</t>
    <phoneticPr fontId="3" type="noConversion"/>
  </si>
  <si>
    <t>2011(7회)</t>
    <phoneticPr fontId="3" type="noConversion"/>
  </si>
  <si>
    <t>기타</t>
    <phoneticPr fontId="3" type="noConversion"/>
  </si>
  <si>
    <t>수산물</t>
    <phoneticPr fontId="3" type="noConversion"/>
  </si>
  <si>
    <t>매년</t>
    <phoneticPr fontId="3" type="noConversion"/>
  </si>
  <si>
    <t>축제추진위원회</t>
    <phoneticPr fontId="3" type="noConversion"/>
  </si>
  <si>
    <t>있음(비상설, 비정규 3명)</t>
    <phoneticPr fontId="3" type="noConversion"/>
  </si>
  <si>
    <t>부분위탁
(운영 프로그램)</t>
    <phoneticPr fontId="3" type="noConversion"/>
  </si>
  <si>
    <t>노량진수산시장</t>
    <phoneticPr fontId="3" type="noConversion"/>
  </si>
  <si>
    <t>제2회 노량진의 밤 
야간난전</t>
    <phoneticPr fontId="3" type="noConversion"/>
  </si>
  <si>
    <t>6월 셋째주 
예정(2일)</t>
    <phoneticPr fontId="30" type="noConversion"/>
  </si>
  <si>
    <t xml:space="preserve"> 젊은이들의 도전을 응원
 희망등 켜기, 미래의 나에게 보내는 메시지, 먹거리 장터 등</t>
    <phoneticPr fontId="3" type="noConversion"/>
  </si>
  <si>
    <t>동작구 체육문화과/
야간난전 주민협의체
(02-820-9657)</t>
    <phoneticPr fontId="3" type="noConversion"/>
  </si>
  <si>
    <t>컵밥거리</t>
    <phoneticPr fontId="3" type="noConversion"/>
  </si>
  <si>
    <t>주민협의체</t>
    <phoneticPr fontId="3" type="noConversion"/>
  </si>
  <si>
    <t>무</t>
    <phoneticPr fontId="3" type="noConversion"/>
  </si>
  <si>
    <t>부분위탁</t>
    <phoneticPr fontId="3" type="noConversion"/>
  </si>
  <si>
    <t>시내거리</t>
    <phoneticPr fontId="3" type="noConversion"/>
  </si>
  <si>
    <t>제9회 금천구 북페스티벌</t>
    <phoneticPr fontId="3" type="noConversion"/>
  </si>
  <si>
    <t>제10회 동화 속 책잔치</t>
    <phoneticPr fontId="3" type="noConversion"/>
  </si>
  <si>
    <t>금천생활문화축제 엄청나</t>
    <phoneticPr fontId="3" type="noConversion"/>
  </si>
  <si>
    <r>
      <t>금천구</t>
    </r>
    <r>
      <rPr>
        <sz val="11"/>
        <rFont val="돋움"/>
        <family val="3"/>
        <charset val="129"/>
      </rPr>
      <t>·금천문화재단</t>
    </r>
    <r>
      <rPr>
        <sz val="11"/>
        <rFont val="굴림"/>
        <family val="3"/>
        <charset val="129"/>
      </rPr>
      <t>/ 
축제거버넌스
(02-2627-1445)</t>
    </r>
    <phoneticPr fontId="3" type="noConversion"/>
  </si>
  <si>
    <t>2003년도
(15회)</t>
    <phoneticPr fontId="3" type="noConversion"/>
  </si>
  <si>
    <t>확보예정</t>
    <phoneticPr fontId="3" type="noConversion"/>
  </si>
  <si>
    <t>벚꽃, 음악 등</t>
    <phoneticPr fontId="3" type="noConversion"/>
  </si>
  <si>
    <t>❍ 행렬 : 서울과 경기도를 연결하는 지역적 가치를 역사적
              고증내용으로 재구성하여 부각
❍ 격쟁 : 격쟁 재현 상황극
❍ 공연 : 금천구민의 다양한 무대공연 및 전통행사 공연</t>
    <phoneticPr fontId="3" type="noConversion"/>
  </si>
  <si>
    <t>금천구/ 축제추진위원회
(02-2627-1452)</t>
    <phoneticPr fontId="3" type="noConversion"/>
  </si>
  <si>
    <t>2016년도
(3회)</t>
    <phoneticPr fontId="3" type="noConversion"/>
  </si>
  <si>
    <t>정조대왕</t>
    <phoneticPr fontId="3" type="noConversion"/>
  </si>
  <si>
    <t>은행나무로 및 시흥행궁 일대</t>
    <phoneticPr fontId="3" type="noConversion"/>
  </si>
  <si>
    <t>금천구 / 금천문화재단
(02-2627-2852)</t>
    <phoneticPr fontId="3" type="noConversion"/>
  </si>
  <si>
    <t>2011년
(9회)</t>
    <phoneticPr fontId="3" type="noConversion"/>
  </si>
  <si>
    <t>있음
(임시조직)</t>
    <phoneticPr fontId="3" type="noConversion"/>
  </si>
  <si>
    <t>금천구청
광장</t>
    <phoneticPr fontId="3" type="noConversion"/>
  </si>
  <si>
    <t xml:space="preserve"> ○ 메인행사 : 마당놀이, 도서관(단체)별 체험부스 운영
 ○ 연계행사 : 페이스페인팅, 축하공연 등</t>
    <phoneticPr fontId="3" type="noConversion"/>
  </si>
  <si>
    <t>금천구 / 금천작은도서관협의회
(02-2627-2853)</t>
    <phoneticPr fontId="3" type="noConversion"/>
  </si>
  <si>
    <t>2010년
(10회)</t>
    <phoneticPr fontId="3" type="noConversion"/>
  </si>
  <si>
    <t>산기슭공원
(시흥4동)</t>
    <phoneticPr fontId="3" type="noConversion"/>
  </si>
  <si>
    <t xml:space="preserve"> ○ 전시 : 생활문화 시각예술 동아리 11팀 (회화, 공예, 미디어아트 등)
 ○ 공연 : 생활문화 공연예술 동아리  27팀 (태권무, 뮤지컬, 통기타 등)</t>
    <phoneticPr fontId="3" type="noConversion"/>
  </si>
  <si>
    <t>금천구
/ 금천문화재단
(02-809-8238)</t>
    <phoneticPr fontId="3" type="noConversion"/>
  </si>
  <si>
    <t>2016년도
(4회)</t>
    <phoneticPr fontId="3" type="noConversion"/>
  </si>
  <si>
    <t>생활예술</t>
    <phoneticPr fontId="3" type="noConversion"/>
  </si>
  <si>
    <t>공연장, 전시장</t>
    <phoneticPr fontId="3" type="noConversion"/>
  </si>
  <si>
    <t>2011년
(8회)</t>
  </si>
  <si>
    <t>금천구</t>
    <phoneticPr fontId="3" type="noConversion"/>
  </si>
  <si>
    <t>금천하모니벚꽃축제2019</t>
    <phoneticPr fontId="3" type="noConversion"/>
  </si>
  <si>
    <t>4.12~4.13
(예정)</t>
    <phoneticPr fontId="30" type="noConversion"/>
  </si>
  <si>
    <t>❍ 메인 : 주민이 만드는 개막공연, 우리동네슈퍼스타 등
❍ 부대 : 문화시장(체험, 장터, 먹거리), 버스킹 등
❍ 연계 : 사생대회, 야외조각전 등</t>
    <phoneticPr fontId="3" type="noConversion"/>
  </si>
  <si>
    <t>구청광장 등</t>
    <phoneticPr fontId="3" type="noConversion"/>
  </si>
  <si>
    <t>정조대왕 능행차 
공동재현 행사</t>
    <phoneticPr fontId="3" type="noConversion"/>
  </si>
  <si>
    <t>10월중</t>
    <phoneticPr fontId="30" type="noConversion"/>
  </si>
  <si>
    <t>5월말 예정
(1일간)</t>
    <phoneticPr fontId="30" type="noConversion"/>
  </si>
  <si>
    <t xml:space="preserve"> ○ 책과 도서관을 주제로 다양한 체험활동 부스 운영
 ○ 지역 주민이 기증한 도서를 함께 나누는 책장터 진행 
 ○ 작은도서관협의회 참여를 통한 민관 협력 행사 
 ○ 명사초청 북콘서트 및 그림책 공연 </t>
    <phoneticPr fontId="3" type="noConversion"/>
  </si>
  <si>
    <t>10.12
(1일간)</t>
    <phoneticPr fontId="30" type="noConversion"/>
  </si>
  <si>
    <t>시민단체</t>
    <phoneticPr fontId="3" type="noConversion"/>
  </si>
  <si>
    <t>10.26.(예정)</t>
    <phoneticPr fontId="30" type="noConversion"/>
  </si>
  <si>
    <t>사회적경제한마당</t>
    <phoneticPr fontId="3" type="noConversion"/>
  </si>
  <si>
    <t>2019.10.24.
(1일)</t>
    <phoneticPr fontId="30" type="noConversion"/>
  </si>
  <si>
    <t xml:space="preserve"> ○ 사회적경제 및 마을공동체, G밸리 기업 홍부 부스 운영 
 ○ 참여자간 네트워킹 및 문화예술 공연 추진</t>
    <phoneticPr fontId="3" type="noConversion"/>
  </si>
  <si>
    <t>금천구 사회적경제 지원센터
(070-4432-3793)</t>
    <phoneticPr fontId="3" type="noConversion"/>
  </si>
  <si>
    <t>먹거리, 의류, 액세서리 등등</t>
    <phoneticPr fontId="3" type="noConversion"/>
  </si>
  <si>
    <t>가산동우림라이온스밸리 광장</t>
    <phoneticPr fontId="3" type="noConversion"/>
  </si>
  <si>
    <t>25
(공모중)</t>
    <phoneticPr fontId="3" type="noConversion"/>
  </si>
  <si>
    <t>150
(공모중)</t>
    <phoneticPr fontId="3" type="noConversion"/>
  </si>
  <si>
    <t>서울특별시</t>
    <phoneticPr fontId="3" type="noConversion"/>
  </si>
  <si>
    <t>성동구</t>
    <phoneticPr fontId="3" type="noConversion"/>
  </si>
  <si>
    <t>응봉산개나리축제</t>
    <phoneticPr fontId="3" type="noConversion"/>
  </si>
  <si>
    <t>3.29~3.31
(3일간)</t>
    <phoneticPr fontId="30" type="noConversion"/>
  </si>
  <si>
    <t>○ 그림그리기 및 가족백일장 대회
○ 암벽등반체험, 사진 및 시화 전시
○ 주제공연 및 문화공연, 개나리식목행사
○ 기타 먹거리 장터</t>
    <phoneticPr fontId="3" type="noConversion"/>
  </si>
  <si>
    <t>성동구 문화체육과
(02-2286-5203)</t>
    <phoneticPr fontId="3" type="noConversion"/>
  </si>
  <si>
    <t>1997년도
(22회)</t>
    <phoneticPr fontId="3" type="noConversion"/>
  </si>
  <si>
    <t>문화예술</t>
    <phoneticPr fontId="3" type="noConversion"/>
  </si>
  <si>
    <t>개나리꽃, 응봉산</t>
    <phoneticPr fontId="3" type="noConversion"/>
  </si>
  <si>
    <t>매년</t>
    <phoneticPr fontId="3" type="noConversion"/>
  </si>
  <si>
    <t>공공,재단법인</t>
    <phoneticPr fontId="3" type="noConversion"/>
  </si>
  <si>
    <t>없음</t>
    <phoneticPr fontId="3" type="noConversion"/>
  </si>
  <si>
    <t>부분위탁</t>
    <phoneticPr fontId="3" type="noConversion"/>
  </si>
  <si>
    <t>공원, 산, 기타</t>
    <phoneticPr fontId="3" type="noConversion"/>
  </si>
  <si>
    <t>태조이성계축제</t>
    <phoneticPr fontId="3" type="noConversion"/>
  </si>
  <si>
    <t>9.27~9.28
(2일간)</t>
    <phoneticPr fontId="30" type="noConversion"/>
  </si>
  <si>
    <t xml:space="preserve">○ 이성계사냥행차 재연
 ○ 살곶이다리(보물제1738호)를 테마로한 공연
 ○ 개폐막 공연, 사냥을 주제로 한 체험프로그램
 ○ 기타 먹거리장터 </t>
    <phoneticPr fontId="3" type="noConversion"/>
  </si>
  <si>
    <t>2017년
(3회)</t>
    <phoneticPr fontId="3" type="noConversion"/>
  </si>
  <si>
    <t>전통역사</t>
    <phoneticPr fontId="3" type="noConversion"/>
  </si>
  <si>
    <t>태조이성계, 살곶이다리문화재, 사냥</t>
    <phoneticPr fontId="3" type="noConversion"/>
  </si>
  <si>
    <t>광장, 시내거리, 운동장, 기타</t>
    <phoneticPr fontId="3" type="noConversion"/>
  </si>
  <si>
    <t>2004년도
(15회)</t>
    <phoneticPr fontId="3" type="noConversion"/>
  </si>
  <si>
    <t>57만 명</t>
    <phoneticPr fontId="3" type="noConversion"/>
  </si>
  <si>
    <t>1994년도
(19회)</t>
    <phoneticPr fontId="3" type="noConversion"/>
  </si>
  <si>
    <t>450만 명</t>
    <phoneticPr fontId="3" type="noConversion"/>
  </si>
  <si>
    <t>2016
(4회)</t>
  </si>
  <si>
    <t>80(예정)</t>
  </si>
  <si>
    <t>15만명</t>
  </si>
  <si>
    <t>2008년도
(12회)</t>
  </si>
  <si>
    <t>송파구</t>
    <phoneticPr fontId="3" type="noConversion"/>
  </si>
  <si>
    <t>석촌호수 벚꽃축제</t>
    <phoneticPr fontId="3" type="noConversion"/>
  </si>
  <si>
    <t>4.5~4.12
(8일간)</t>
    <phoneticPr fontId="30" type="noConversion"/>
  </si>
  <si>
    <t>○ 벚꽃콘서트, 벚꽃공연, 벚꽃영화제
○ 벚꽃조명길, 벚꽃은하수길, 벚꽃포토존
○ 벚꽃체험, 마켓</t>
    <phoneticPr fontId="3" type="noConversion"/>
  </si>
  <si>
    <t>서울특별시 송파구 문화체육과
(02-2147-2815)</t>
    <phoneticPr fontId="3" type="noConversion"/>
  </si>
  <si>
    <t>벚꽃</t>
    <phoneticPr fontId="3" type="noConversion"/>
  </si>
  <si>
    <t>매년</t>
    <phoneticPr fontId="3" type="noConversion"/>
  </si>
  <si>
    <t>공공(시군구)</t>
    <phoneticPr fontId="3" type="noConversion"/>
  </si>
  <si>
    <t>없음</t>
    <phoneticPr fontId="3" type="noConversion"/>
  </si>
  <si>
    <t>자체추진</t>
    <phoneticPr fontId="3" type="noConversion"/>
  </si>
  <si>
    <t>석촌호수 일대</t>
    <phoneticPr fontId="3" type="noConversion"/>
  </si>
  <si>
    <t>서울특별시</t>
    <phoneticPr fontId="3" type="noConversion"/>
  </si>
  <si>
    <t>한성백제문화제</t>
    <phoneticPr fontId="3" type="noConversion"/>
  </si>
  <si>
    <t>9.27-9.29
(3일간)</t>
    <phoneticPr fontId="30" type="noConversion"/>
  </si>
  <si>
    <t>○ 역사문화거리행렬
○ 한성백제체험마을
○ 한성백제갈라퍼레이드
○ 혼불채화식
○ 동명제
○ 한성백제 몽촌해자 수변음악회
○ 전국청소년동아리경연대회
○ 몽촌해자 수변무대
○ 각종 체험 및 전시 등</t>
    <phoneticPr fontId="3" type="noConversion"/>
  </si>
  <si>
    <t>송파구 문화체육과(02-2147-2831)/한성백제문화제추진위원회</t>
    <phoneticPr fontId="3" type="noConversion"/>
  </si>
  <si>
    <t>전통역사</t>
    <phoneticPr fontId="3" type="noConversion"/>
  </si>
  <si>
    <t>한성백제</t>
    <phoneticPr fontId="3" type="noConversion"/>
  </si>
  <si>
    <t>올림픽공원 평화의 문 일대, 석촌동고분 등</t>
    <phoneticPr fontId="3" type="noConversion"/>
  </si>
  <si>
    <t>석촌호수 단풍&amp;낙엽축제</t>
    <phoneticPr fontId="3" type="noConversion"/>
  </si>
  <si>
    <t>11월중(미정)</t>
    <phoneticPr fontId="30" type="noConversion"/>
  </si>
  <si>
    <t>○ 가을 테마 공연
○ 단풍&amp;낙엽 포토존, 야간경관조명 전시
○ 단풍&amp;낙엽 체험프로그램
○ 바스락낙엽길, 송파가을풍경 사진전</t>
    <phoneticPr fontId="3" type="noConversion"/>
  </si>
  <si>
    <t>서울특별시 송파구 국제관광과
(02-2147-2116)</t>
    <phoneticPr fontId="3" type="noConversion"/>
  </si>
  <si>
    <t>단풍</t>
    <phoneticPr fontId="3" type="noConversion"/>
  </si>
  <si>
    <t>석촌호수 일대</t>
    <phoneticPr fontId="3" type="noConversion"/>
  </si>
  <si>
    <t>오금동 성내천축제</t>
    <phoneticPr fontId="3" type="noConversion"/>
  </si>
  <si>
    <t>4.13~4.14
(2일간)</t>
    <phoneticPr fontId="30" type="noConversion"/>
  </si>
  <si>
    <t>○ 주민노래자랑
○ 자치회관 프로그램 발표회
○ 물빛음악회
○ 북 페스티벌(도서교환 및 할인전)
○ 청소년 체험부스
○ 농산물 직거래장터
○ 먹거리장터</t>
    <phoneticPr fontId="3" type="noConversion"/>
  </si>
  <si>
    <t>오금동성내천축제공동추진위원회
(02-2147-4278)</t>
    <phoneticPr fontId="3" type="noConversion"/>
  </si>
  <si>
    <t>성내천</t>
    <phoneticPr fontId="3" type="noConversion"/>
  </si>
  <si>
    <t>축제조직위</t>
    <phoneticPr fontId="3" type="noConversion"/>
  </si>
  <si>
    <t>자체주진</t>
    <phoneticPr fontId="3" type="noConversion"/>
  </si>
  <si>
    <t>성내천 물빛광장 일대</t>
    <phoneticPr fontId="3" type="noConversion"/>
  </si>
  <si>
    <t>서울특별시 문화예술과
(02-2133-2571)</t>
    <phoneticPr fontId="3" type="noConversion"/>
  </si>
  <si>
    <t>○ 김장나눔 행사(3일간)
○ 우리집 김장간, 외국인 김장간, 셰프의 김장간
○ 김장뮤지엄 및 100가지 김치전
○ 김치상상놀이터, 김치 스트리트</t>
    <phoneticPr fontId="3" type="noConversion"/>
  </si>
  <si>
    <t>1999년도
(21회)</t>
    <phoneticPr fontId="3" type="noConversion"/>
  </si>
  <si>
    <t>공공(시군구)</t>
    <phoneticPr fontId="3" type="noConversion"/>
  </si>
  <si>
    <t>서울광장, 무교로 일대</t>
    <phoneticPr fontId="3" type="noConversion"/>
  </si>
  <si>
    <t>없음</t>
    <phoneticPr fontId="3" type="noConversion"/>
  </si>
  <si>
    <t>서울광장, 마포문화비축기지</t>
    <phoneticPr fontId="3" type="noConversion"/>
  </si>
  <si>
    <t>2008년도
(12회)</t>
    <phoneticPr fontId="3" type="noConversion"/>
  </si>
  <si>
    <t>서울특별시</t>
    <phoneticPr fontId="3" type="noConversion"/>
  </si>
  <si>
    <t>시자체</t>
    <phoneticPr fontId="3" type="noConversion"/>
  </si>
  <si>
    <t>제21회 서울 드럼 페스티벌</t>
    <phoneticPr fontId="3" type="noConversion"/>
  </si>
  <si>
    <t>5.24~5.25
(2일간)</t>
    <phoneticPr fontId="30" type="noConversion"/>
  </si>
  <si>
    <t>○ 드럼경연 수상자 특별공연
○ 드럼경연 수상자 시상식
○ 개막식 공연
○ 아티스트 공연(해외 및 국내팀)
○ 시민참여 공연, 마스터클래스 등</t>
    <phoneticPr fontId="3" type="noConversion"/>
  </si>
  <si>
    <t>서울특별시 문화예술과
(02-2133-2574)</t>
    <phoneticPr fontId="3" type="noConversion"/>
  </si>
  <si>
    <t>문화예술</t>
    <phoneticPr fontId="3" type="noConversion"/>
  </si>
  <si>
    <t>지역축제</t>
    <phoneticPr fontId="3" type="noConversion"/>
  </si>
  <si>
    <t>드럼 및 타악</t>
    <phoneticPr fontId="3" type="noConversion"/>
  </si>
  <si>
    <t>매년</t>
    <phoneticPr fontId="3" type="noConversion"/>
  </si>
  <si>
    <t>자체추진</t>
    <phoneticPr fontId="3" type="noConversion"/>
  </si>
  <si>
    <t>2019 서울 문화로 바캉스</t>
    <phoneticPr fontId="3" type="noConversion"/>
  </si>
  <si>
    <t>8.10~8.11
(2일간)</t>
    <phoneticPr fontId="30" type="noConversion"/>
  </si>
  <si>
    <t>○ 영화음악제
○ 디자인그래픽 경연
○ 눈 조각전
○ 문화시설 아트바캉스(문화시설별 자체 프로그램 및 예술영화 상영)</t>
    <phoneticPr fontId="3" type="noConversion"/>
  </si>
  <si>
    <t>지역축제</t>
    <phoneticPr fontId="3" type="noConversion"/>
  </si>
  <si>
    <t>바캉스</t>
    <phoneticPr fontId="3" type="noConversion"/>
  </si>
  <si>
    <t>공공(시군구)</t>
    <phoneticPr fontId="3" type="noConversion"/>
  </si>
  <si>
    <t>없음</t>
    <phoneticPr fontId="3" type="noConversion"/>
  </si>
  <si>
    <t>서울광장, 청계광장, 광화문광장 등</t>
    <phoneticPr fontId="3" type="noConversion"/>
  </si>
  <si>
    <t>서울특별시</t>
    <phoneticPr fontId="3" type="noConversion"/>
  </si>
  <si>
    <t>제6회 서울김장문화제</t>
    <phoneticPr fontId="3" type="noConversion"/>
  </si>
  <si>
    <t>11.1~11.3
(3일간)</t>
    <phoneticPr fontId="30" type="noConversion"/>
  </si>
  <si>
    <t>서울특별시 문화예술과
(02-2133-2570)</t>
    <phoneticPr fontId="3" type="noConversion"/>
  </si>
  <si>
    <t>김장</t>
    <phoneticPr fontId="3" type="noConversion"/>
  </si>
  <si>
    <t>2019년 지역축제 개최계획 총괄표</t>
  </si>
  <si>
    <r>
      <t>국비 상세 내역</t>
    </r>
    <r>
      <rPr>
        <b/>
        <sz val="10"/>
        <color rgb="FF000000"/>
        <rFont val="굴림"/>
        <family val="3"/>
        <charset val="129"/>
      </rPr>
      <t>('19.1월 기준 확정된 내용만 작성)</t>
    </r>
  </si>
  <si>
    <t xml:space="preserve">방문객수(2018년기준, 단위 : 천명) </t>
  </si>
  <si>
    <t>연번</t>
  </si>
  <si>
    <t>시도명</t>
  </si>
  <si>
    <t>시군구명</t>
  </si>
  <si>
    <t>축제명</t>
  </si>
  <si>
    <t>2019년
개최기간</t>
  </si>
  <si>
    <t>축제주요내용</t>
  </si>
  <si>
    <t>주최/주관
(담당자 연락처)</t>
  </si>
  <si>
    <t>최초개최년도
및 횟수</t>
  </si>
  <si>
    <t>2019년
축제예산</t>
  </si>
  <si>
    <t>국비</t>
  </si>
  <si>
    <t>시,도비</t>
  </si>
  <si>
    <t>구,군비</t>
  </si>
  <si>
    <t>기타</t>
  </si>
  <si>
    <t>국비지원
부처명</t>
  </si>
  <si>
    <t>세부사업명</t>
  </si>
  <si>
    <r>
      <t xml:space="preserve">축제종류
</t>
    </r>
    <r>
      <rPr>
        <b/>
        <sz val="11"/>
        <color rgb="FFC00000"/>
        <rFont val="굴림"/>
        <family val="3"/>
        <charset val="129"/>
      </rPr>
      <t>(택1)</t>
    </r>
  </si>
  <si>
    <t>문화관광축제 여부</t>
  </si>
  <si>
    <t>축제소재</t>
  </si>
  <si>
    <t>개최주기</t>
  </si>
  <si>
    <t>조직형태</t>
  </si>
  <si>
    <t xml:space="preserve">축제사무국
상설화여부 </t>
  </si>
  <si>
    <t>사업위탁
운영여부</t>
  </si>
  <si>
    <t>합 계</t>
  </si>
  <si>
    <t>내국인</t>
  </si>
  <si>
    <t>외국인</t>
  </si>
  <si>
    <t>개최장소</t>
  </si>
  <si>
    <t>인천광역시</t>
  </si>
  <si>
    <t>시자체</t>
  </si>
  <si>
    <t>7월~8월</t>
  </si>
  <si>
    <t>인천광역시 / 인천관광공사
(032-440-4022)</t>
  </si>
  <si>
    <t>문체부</t>
  </si>
  <si>
    <t>문화관광축제
(유망)</t>
  </si>
  <si>
    <t>축제조직위</t>
  </si>
  <si>
    <t>공원</t>
  </si>
  <si>
    <t>동아시아생활문화축제</t>
  </si>
  <si>
    <t>9.21~22
(2일간)</t>
  </si>
  <si>
    <t xml:space="preserve"> ○ 생활문화동아리 공연, 전시, 체험행사
(100여개동아리,1,000명참여)
○한중일 문화도시 생활문화동아리초청 공연(10개팀)
 ○ 국내거주 외국인동아리(10개) 교육 및 콜라보 공연 </t>
  </si>
  <si>
    <t>인천광역시/공모중
(032-440-3976)</t>
  </si>
  <si>
    <t>2017년도
(2회)</t>
  </si>
  <si>
    <t>지역축제</t>
  </si>
  <si>
    <t>생활문화동아리발표</t>
  </si>
  <si>
    <t>광장</t>
  </si>
  <si>
    <t>낭만시장</t>
  </si>
  <si>
    <t>10.6.~10.7.
(2일간)</t>
  </si>
  <si>
    <t>○ 동인천역주변 과거 번성했던 시장을 테마로 한
    공연,전시,체험프로그램 운영 
○ 문화공연,벼룩시장,그리기대회,체험프로그램 등
○ 과거 인천 시장분위기 재현및 현재와 조화로운 컨셉
○ 주변 상인, 시민 주도의 지역 밀착 참여형 축제</t>
  </si>
  <si>
    <t>인천광역시 관광진흥과
/ 인천관광공사
(032-440-4067)</t>
  </si>
  <si>
    <t>2018년도
(1회)</t>
  </si>
  <si>
    <t>300
(본예산 확보)
추경요구중</t>
  </si>
  <si>
    <t>-</t>
  </si>
  <si>
    <t>광장, 시장</t>
  </si>
  <si>
    <t>인천관광공사</t>
  </si>
  <si>
    <t>광장,시장</t>
  </si>
  <si>
    <t>윈터마켓</t>
  </si>
  <si>
    <t>12.22.~12.23.
(2일간)</t>
  </si>
  <si>
    <t>○ 크리스마스와 연말연시 활용 겨울 테마로한 마켓 운영
○ 음악공연, 크리스마스트리, 조명, 마켓, 포토존
○ 주변 상인, 시민 주도의 지역 밀착 참여형 축제</t>
  </si>
  <si>
    <t>미정</t>
  </si>
  <si>
    <t>겨울, 크리스마스</t>
  </si>
  <si>
    <t>INK콘서트</t>
  </si>
  <si>
    <t>9.28.
(1일간)</t>
  </si>
  <si>
    <t>○ K-POP콘서트
○ 10주년 기념 핸드프린팅 및 포토존 생중계</t>
  </si>
  <si>
    <t>인천광역시 관광진흥과
/ 인천관광공사, KBSN
(032-440-4067)</t>
  </si>
  <si>
    <t>2009년도
(11회)</t>
  </si>
  <si>
    <t xml:space="preserve"> </t>
  </si>
  <si>
    <t>K-POP</t>
  </si>
  <si>
    <t>체육관</t>
  </si>
  <si>
    <t>송도세계문화관광축제</t>
  </si>
  <si>
    <t>8.23.~8.31.
(9일간)</t>
  </si>
  <si>
    <t>○ 음악공연, EDM 퍼포먼스, 불꽃놀이, 먹거리 운영 등</t>
  </si>
  <si>
    <t>인천광역시 관광진흥과
/ 인천관광공사
(032-440-4068)</t>
  </si>
  <si>
    <t>2011년도
(9회)</t>
  </si>
  <si>
    <t>맥주</t>
  </si>
  <si>
    <t>주섬주섬은악회</t>
  </si>
  <si>
    <t>7.20.
(1일간)</t>
  </si>
  <si>
    <t>○ 선상음악회, 음악콘서트와 함께하는 섬 여행
  - 음악콘서트(레트로,ED,재즈등), 체험프로그램 등</t>
  </si>
  <si>
    <t>인천광역시 관광진흥과
/ 인천관광공사, JS컴퍼니
(032-440-4069)</t>
  </si>
  <si>
    <t>2016년도
(4회)</t>
  </si>
  <si>
    <t>섬</t>
  </si>
  <si>
    <t>썬셋리버페스타</t>
  </si>
  <si>
    <t>10.19.
(1일간)</t>
  </si>
  <si>
    <t>○ 노을을 테마로 지역주민과 관광객이 함께하는 행사
  - 노을 문화공연, 썬셋카약, 체험행사 등 운영</t>
  </si>
  <si>
    <t>인천광역시 관광진흥과
/ 인천관광공사, 워터웨이플러스
(032-440-4069)</t>
  </si>
  <si>
    <t>2018년도
(2회)</t>
  </si>
  <si>
    <t>노을</t>
  </si>
  <si>
    <t>검암역
(경인아라뱃길)</t>
  </si>
  <si>
    <t>2019 청라와인페스티벌</t>
  </si>
  <si>
    <t>2019. 9.20.~22.
(3일간) 예정</t>
  </si>
  <si>
    <t>○ 청라의 아름다운 도시풍경을 배경으로 즐기는 와인 축제
 - 와인 시음행사, 와인관련 체험프로그램, 공연 등</t>
  </si>
  <si>
    <t>주최 : 공모선정
※ 후원 : 인천경제자유구역청 
(032-453-7094)</t>
  </si>
  <si>
    <t>2018
(1회)</t>
  </si>
  <si>
    <t>와인</t>
  </si>
  <si>
    <t>공모선정</t>
  </si>
  <si>
    <t>공원
(청라호수공원 일대)</t>
  </si>
  <si>
    <t>2019 인천송도불빛축제</t>
  </si>
  <si>
    <t>2019. 10월 중
(10일 간) 예정</t>
  </si>
  <si>
    <t>○ 공원 일대 야간경관을 활용한 빛(조명)조형물 설치 및 전시 등
 - 경관조명 및 포토존, 부대행사 등</t>
  </si>
  <si>
    <t>인천경제자유구역청 / 인천관광공사
(032-453-7092)</t>
  </si>
  <si>
    <t>2015
(4회)</t>
  </si>
  <si>
    <t>불빛(조명)</t>
  </si>
  <si>
    <t>공공(시군구)</t>
  </si>
  <si>
    <t>공원
(송도 센트럴파크 일대)</t>
  </si>
  <si>
    <t>중구</t>
  </si>
  <si>
    <t>인천 개항장 문화재 
야행(컬쳐나잇)</t>
  </si>
  <si>
    <t>5.4~5.5</t>
  </si>
  <si>
    <t>○ 문화재 및 주변 문화시설 야간개방, 체험 및 공연 등</t>
  </si>
  <si>
    <t>인천광역시 문화재과/인천관광공사(032-440-4034)</t>
  </si>
  <si>
    <t>문화재청</t>
  </si>
  <si>
    <t>문화유산 활용진흥</t>
  </si>
  <si>
    <t>문화재</t>
  </si>
  <si>
    <t>공공</t>
  </si>
  <si>
    <t xml:space="preserve">자유공원 벚꽃축제 </t>
  </si>
  <si>
    <t>4.12~4.14
(3일간)</t>
  </si>
  <si>
    <t xml:space="preserve"> ○ 중구 콘서트, 지역예술인 공연, 연예인 축하공연
 ○ 동먹거리장터 운영, 구민참여프로그램
 ○ 중구 어제와 오늘 사진전 등</t>
  </si>
  <si>
    <t>중구 문화예술과/인천중구문화원
(032-760-6443)</t>
  </si>
  <si>
    <t>2012년도
(8회)</t>
  </si>
  <si>
    <t>벚꽃</t>
  </si>
  <si>
    <t>9.15인천상륙작전축제</t>
  </si>
  <si>
    <t>9월중</t>
  </si>
  <si>
    <t xml:space="preserve"> ○ 인천상륙작전 전승기념 문화공연
 ○ 시가행진, 상륙작전 재현, 각종 체험행사 등</t>
  </si>
  <si>
    <t>2015년도
(5회)</t>
  </si>
  <si>
    <t>인천상륙작전</t>
  </si>
  <si>
    <t>바다</t>
  </si>
  <si>
    <t>연안부두축제</t>
  </si>
  <si>
    <t>10월중</t>
  </si>
  <si>
    <t>○ 연예인 축하공연
○ 다양한 체험부스 운영, 수산물 할인행사 등</t>
  </si>
  <si>
    <t>중구 문화예술과/인천종합어시장협동조합
(032-760-6443)</t>
  </si>
  <si>
    <t>2001년도
(19회)</t>
  </si>
  <si>
    <t>꽃게</t>
  </si>
  <si>
    <t>시장</t>
  </si>
  <si>
    <t>구민의 날 문화불꽃축제</t>
  </si>
  <si>
    <t>○ 두드림 문화공연, 먹거리 장터 운영, 지역예술인 공연
○ 각종 체험행사, 불꽃놀이 등</t>
  </si>
  <si>
    <t>구민의 날</t>
  </si>
  <si>
    <t>시내거리</t>
  </si>
  <si>
    <t>무의도 춤축제</t>
  </si>
  <si>
    <t>○ 각종 창작 춤 공연
○ 요들송 공연 등</t>
  </si>
  <si>
    <t>중구 문화예술과/무의도아트센터
(032-760-6443)</t>
  </si>
  <si>
    <t>2000년도
(20회)</t>
  </si>
  <si>
    <t>무의도</t>
  </si>
  <si>
    <t>기타(섬)</t>
  </si>
  <si>
    <t>크리스마스트리 문화축제</t>
  </si>
  <si>
    <t>11월중</t>
  </si>
  <si>
    <t>○ 트리 및 경관조명 전시
○ 점등식, 크리스마스콘서트, 버스킹 등</t>
  </si>
  <si>
    <t>2014년도
(6회)</t>
  </si>
  <si>
    <t>크리스마스트리</t>
  </si>
  <si>
    <t>동구</t>
  </si>
  <si>
    <t>화도진축제</t>
  </si>
  <si>
    <t>5.10~5.11
(2일간)</t>
  </si>
  <si>
    <t>○ 어영대장축성행렬(핵심 프로그램)
○ 교지하사식, 구민의 날 기념식
○ 특집공개방송, 전통·현대 문화공연
○ 구민노래자랑, 청소년프린지페스티벌 등 주민참여행사
○ 동구관광콘텐츠체험관, 전통현대공예체험, 먹거리장터 등</t>
  </si>
  <si>
    <t>인천광역시 동구 문화홍보체육실
(032-770-6923)</t>
  </si>
  <si>
    <t>1990년도
(30회)</t>
  </si>
  <si>
    <t>문화재(화도진)</t>
  </si>
  <si>
    <t>자체추진</t>
  </si>
  <si>
    <t>공원, 광장</t>
  </si>
  <si>
    <t>미추홀구</t>
  </si>
  <si>
    <t>주안미디어문화축제</t>
  </si>
  <si>
    <t>9.20~9.22</t>
  </si>
  <si>
    <t>○VR,AR 체험놀이터, 미디어 퍼레이드, 빛과 소리의 미디어아트, 미디어아트퍼포먼스 등 미디어를 활용한 공연, 전시, 체험프로그램 운영 등</t>
  </si>
  <si>
    <t>인천광역시 미추홀구 문화예술과 (032-880-7978)</t>
  </si>
  <si>
    <t>2004년도
(16회)</t>
  </si>
  <si>
    <t>미디어</t>
  </si>
  <si>
    <t xml:space="preserve">공원, 바다, 하천, 광장, 박물관, 사적지, 시내거리, 운동장, 유적지, 마을, 시장, 기타
</t>
  </si>
  <si>
    <t>연수구</t>
  </si>
  <si>
    <t>인천송도 크루즈 불꽃 페스티벌</t>
  </si>
  <si>
    <t>4. 26.(1일간)</t>
  </si>
  <si>
    <t>○ 크루즈 개장 기념 멀티미디어 해상 불꽃 공연
○ 크루즈 개장 기념 축하공연(공개방송)
○ 기타 관광홍보관 및 체험프로그램 운영</t>
  </si>
  <si>
    <t>인천광역시 연수구 문화체육과
(032-749-7302)
/인천항만공사 기획조정실
(032-890-8011)</t>
  </si>
  <si>
    <t>2019년도
(1회)</t>
  </si>
  <si>
    <t>크루즈터미널</t>
  </si>
  <si>
    <t>부분위탁</t>
  </si>
  <si>
    <t>연수 능허대문화축제</t>
  </si>
  <si>
    <t>10월 중(3일간)</t>
  </si>
  <si>
    <t>○ 능허대 관련 각종 공연, 전시 및 체험프로그램 운영
○ 기타 이벤트 및 홍보관 운영</t>
  </si>
  <si>
    <t>인천광역시 연수구 문화체육과
(032-749-7302)</t>
  </si>
  <si>
    <t>2004년도
(10회)</t>
  </si>
  <si>
    <t>문화관광축제
(육성)</t>
  </si>
  <si>
    <t>능허대지</t>
  </si>
  <si>
    <t>남동구</t>
  </si>
  <si>
    <t>소래포구축제</t>
  </si>
  <si>
    <t>9,10월중
(3일간)</t>
  </si>
  <si>
    <t xml:space="preserve"> ○ 수산물잡기 체험행사
 ○ 소래포구 특산물을 소재로 다양한 공연, 전시, 체험프로그램 운영
 ○ 개폐막 공연, 주제공연 및 문화공연
    - 5개 분야 30여개 프로그램</t>
  </si>
  <si>
    <t>인천광역시 남동구
(032-453-2142)</t>
  </si>
  <si>
    <t>2001년도
(18회)</t>
  </si>
  <si>
    <t>꽃게, 새우</t>
  </si>
  <si>
    <t>공공(남동구)</t>
  </si>
  <si>
    <t>소래포구일원</t>
  </si>
  <si>
    <t>부평구</t>
  </si>
  <si>
    <t>부평풍물대축제</t>
  </si>
  <si>
    <t>9.27~9.29
(3일간)</t>
  </si>
  <si>
    <t>○ 개폐막식 : 부평풍물고유제, 개막축하공연, 폐막공연
○ 공연예술축제 : 창작풍물대전, 남사당놀이 완판공연, 부평두레놀이 공연 등
○ 거리축제 : 풍물난장, 부평시민축제, 대동놀이 등</t>
  </si>
  <si>
    <t>부평구 문화관광과 
/ 부평구축제위원회
(032-509-6423)</t>
  </si>
  <si>
    <t>1997년
(23회)</t>
  </si>
  <si>
    <t>지역대표공연에술제 공모사업</t>
  </si>
  <si>
    <t>풍물</t>
  </si>
  <si>
    <t>축제위원회</t>
  </si>
  <si>
    <t>있음
상근자 2명
(비정규직)</t>
  </si>
  <si>
    <t>시내거리
(부평대로)</t>
  </si>
  <si>
    <t>계양구</t>
  </si>
  <si>
    <t>제5회 계양산 국악제</t>
  </si>
  <si>
    <t>4.27~4.28
(2일간)</t>
  </si>
  <si>
    <t>○전국국악경연대회, 길놀이퍼레이드, 축하공연, 
   계양국악인한마당, 체험행사, 먹거리 장터 등</t>
  </si>
  <si>
    <t>인천광역시 문화체육관광과
(032-450-5873)</t>
  </si>
  <si>
    <t>국악</t>
  </si>
  <si>
    <t>서구</t>
  </si>
  <si>
    <t>정서진피크닉클래식</t>
  </si>
  <si>
    <t xml:space="preserve">○ 개폐막 공연, 선데이클래식공연, 마스터클래스
    서구학생피아노경연대회, 전국학생오케스트라경연대회 </t>
  </si>
  <si>
    <t>인천광역시서구 문화재단
(070-4237-7028)</t>
  </si>
  <si>
    <t>클래식</t>
  </si>
  <si>
    <t>재단법인</t>
  </si>
  <si>
    <t>공원,공연장</t>
  </si>
  <si>
    <t>강화군</t>
  </si>
  <si>
    <t>강화섬포도축제</t>
  </si>
  <si>
    <t>9.21~9.22
(2일간)</t>
  </si>
  <si>
    <t>○ 강화섬포도판매
○ 축하행사, 강화포도체험행사, 먹거리장터 등</t>
  </si>
  <si>
    <t>강화군 농업기술센터/강화군 농업기술센터
(032-930-4122)</t>
  </si>
  <si>
    <t>포도</t>
  </si>
  <si>
    <t>공공(군)</t>
  </si>
  <si>
    <t>부분위탁(운영, 하드웨어, 프로그램)</t>
  </si>
  <si>
    <t>강화고려인삼축제</t>
  </si>
  <si>
    <t>10.19~10.20
(2일간)</t>
  </si>
  <si>
    <t>○ 강화6년근 인삼판매
○ 축하행사, 강화인삼경매행사, 강화인삼홍보관운영
○ 강화인삼먹거리장터, 강화인삼체험행사 등</t>
  </si>
  <si>
    <t>강화군 농업기술센터/강화고려인삼축제추진위원회
(032-930-4122)</t>
  </si>
  <si>
    <t>2013년도
(7회)</t>
  </si>
  <si>
    <t>인삼</t>
  </si>
  <si>
    <t>사적지</t>
  </si>
  <si>
    <t>고려산진달래축제</t>
  </si>
  <si>
    <t>4.13.~4. 21.
(9일간/예정)</t>
  </si>
  <si>
    <t>○ 진달래 화전 만들기
○ 진달래를 테마로 한 진달래 액자 등 전시 및 체험
    프로그램 운영
○ 버스킹 페스티벌 공연
○ 군악대 공연 및 강화 돈대 사진전 등</t>
  </si>
  <si>
    <t>강화군/강화군문화축제추진위원회
(032-9930-3623)</t>
  </si>
  <si>
    <t>2005년도
(12회)</t>
  </si>
  <si>
    <t>진달래</t>
  </si>
  <si>
    <t>산, 공원</t>
  </si>
  <si>
    <t>시자체
강화군</t>
  </si>
  <si>
    <t>삼랑성역사문화축제</t>
  </si>
  <si>
    <t>10.5.~10.13.
(9일간/예정)</t>
  </si>
  <si>
    <t>○ 가을음악회 개최
○ 성찰(省察)을 주제로 전시 및 체험행사 운영
○ 다례재 및 영산대제 등 문화공연
  -  4개분야  5개 프로그램
○  강화국악한마당 및 남사당놀이 개최 등</t>
  </si>
  <si>
    <t>삼랑성역사문화축제조직위원회/
삼랑성역사문화축제추진위원회
(032-937-0025)</t>
  </si>
  <si>
    <t xml:space="preserve">불교산사예술제 </t>
  </si>
  <si>
    <t>통찰</t>
  </si>
  <si>
    <t>1명</t>
  </si>
  <si>
    <t>사찰</t>
  </si>
  <si>
    <t>제16회 강화도새우젓축제</t>
  </si>
  <si>
    <t>10.11~10.13
(3일간)</t>
  </si>
  <si>
    <t xml:space="preserve"> ○ 새우젓가요제, 축하공연, 불꽃놀이 
 ○ 청소년댄스경연대회
 ○ 기타 공연 및 참여, 체험행사
 ○ 농수특산물 판매부스, 먹거리 장터 </t>
  </si>
  <si>
    <t>강화도새우젓축제영어조합법인
/새우젓축제추진위원회
(032-932-9337)</t>
  </si>
  <si>
    <t>새우젓</t>
  </si>
  <si>
    <t>부</t>
  </si>
  <si>
    <t>부분위탁
 (운영,하드웨어, 
   프로그램)</t>
  </si>
  <si>
    <t>외포항 젓갈시장 일원</t>
  </si>
  <si>
    <t>강화수수축제</t>
  </si>
  <si>
    <t>10.5 ~ 10.6
(2일간)</t>
  </si>
  <si>
    <t xml:space="preserve"> ○ 수수먹거리경진대회
 ○ 수수를 테마로한 공연,난타공연
 ○대형수수부꾸미만들기, 수수털기대회, 수수아비만들기
지게윷놀이, 마을 명패만들기, 수수팜 체험, 마을연계 문화공연</t>
  </si>
  <si>
    <t>국화리마을영농조합법인</t>
  </si>
  <si>
    <t>농림축산식품부</t>
  </si>
  <si>
    <t>농촌관광축제육성지원</t>
  </si>
  <si>
    <t>수수</t>
  </si>
  <si>
    <t>영농조합법인</t>
  </si>
  <si>
    <t>자체주진
(전문가 컨설팅받을 계획)</t>
  </si>
  <si>
    <t>수수공원(2.6h)</t>
  </si>
  <si>
    <t>강화 문화재 야행</t>
  </si>
  <si>
    <t>9.20~21</t>
  </si>
  <si>
    <t>○ 용흥궁 일원 문화재 개방 및 체험, 공연 등</t>
  </si>
  <si>
    <t>지역축제</t>
    <phoneticPr fontId="3" type="noConversion"/>
  </si>
  <si>
    <t>시자체</t>
    <phoneticPr fontId="3" type="noConversion"/>
  </si>
  <si>
    <t>인천광역시</t>
    <phoneticPr fontId="3" type="noConversion"/>
  </si>
  <si>
    <t>공원</t>
    <phoneticPr fontId="3" type="noConversion"/>
  </si>
  <si>
    <t>전체위탁</t>
    <phoneticPr fontId="3" type="noConversion"/>
  </si>
  <si>
    <t>음악</t>
    <phoneticPr fontId="3" type="noConversion"/>
  </si>
  <si>
    <t>문화관광축제
(유망)</t>
    <phoneticPr fontId="3" type="noConversion"/>
  </si>
  <si>
    <t>문화관광축제 지원사업
(관광진흥개발기금)</t>
    <phoneticPr fontId="3" type="noConversion"/>
  </si>
  <si>
    <t>문체부</t>
    <phoneticPr fontId="3" type="noConversion"/>
  </si>
  <si>
    <t>2006년도
(14회)</t>
    <phoneticPr fontId="3" type="noConversion"/>
  </si>
  <si>
    <t>○ 락 페스티벌(8.9~8.11)
○ 펜타슈퍼루키
○ 라이브 클럽파티
○ 라이브 딜리버리</t>
    <phoneticPr fontId="3" type="noConversion"/>
  </si>
  <si>
    <t>인천펜타포트 음악축제</t>
    <phoneticPr fontId="3" type="noConversion"/>
  </si>
  <si>
    <t>시자체</t>
    <phoneticPr fontId="3" type="noConversion"/>
  </si>
  <si>
    <t>기타</t>
    <phoneticPr fontId="3" type="noConversion"/>
  </si>
  <si>
    <t>국비지원
부처명</t>
    <phoneticPr fontId="3" type="noConversion"/>
  </si>
  <si>
    <t>강원도</t>
  </si>
  <si>
    <t>춘천시</t>
    <phoneticPr fontId="3" type="noConversion"/>
  </si>
  <si>
    <t>춘천마임축제</t>
    <phoneticPr fontId="3" type="noConversion"/>
  </si>
  <si>
    <t>5.26~6.2
(8일간)</t>
    <phoneticPr fontId="3" type="noConversion"/>
  </si>
  <si>
    <t xml:space="preserve"> ○ 마임공연, 아!水라장, 도깨비난장 등</t>
    <phoneticPr fontId="3" type="noConversion"/>
  </si>
  <si>
    <t>(사)춘천마임축제/
춘천마임축제운영위원회
(033-242-0585)</t>
    <phoneticPr fontId="3" type="noConversion"/>
  </si>
  <si>
    <t>1989년도
(31회)</t>
    <phoneticPr fontId="3" type="noConversion"/>
  </si>
  <si>
    <t>문화관광축제
(우수)</t>
    <phoneticPr fontId="3" type="noConversion"/>
  </si>
  <si>
    <t>마임</t>
    <phoneticPr fontId="3" type="noConversion"/>
  </si>
  <si>
    <t>정규직 5명</t>
    <phoneticPr fontId="3" type="noConversion"/>
  </si>
  <si>
    <t>극장, 공원</t>
    <phoneticPr fontId="3" type="noConversion"/>
  </si>
  <si>
    <t>춘천시</t>
    <phoneticPr fontId="3" type="noConversion"/>
  </si>
  <si>
    <t>봄내예술제</t>
    <phoneticPr fontId="3" type="noConversion"/>
  </si>
  <si>
    <t>5.16~5.22
(7일간)</t>
    <phoneticPr fontId="3" type="noConversion"/>
  </si>
  <si>
    <t xml:space="preserve"> ○ 춘천예총 산하 8개협회의 문화예술행사(공연,
     전시, 문학 등)
 ○ 시민참여프로그램(가요제, 체험행사, 아트마켓,
     비빔밥나눔 등)
 ○ 8개단체, 450명 예술인스탭참여</t>
    <phoneticPr fontId="3" type="noConversion"/>
  </si>
  <si>
    <t>(사)한국예술문화단체
총연합회춘천지회
(033-243-4360)</t>
    <phoneticPr fontId="3" type="noConversion"/>
  </si>
  <si>
    <t>1994년도
(26회)</t>
    <phoneticPr fontId="3" type="noConversion"/>
  </si>
  <si>
    <t>문화예술
시민참여</t>
    <phoneticPr fontId="3" type="noConversion"/>
  </si>
  <si>
    <t>매년</t>
    <phoneticPr fontId="3" type="noConversion"/>
  </si>
  <si>
    <t>사단법인</t>
    <phoneticPr fontId="3" type="noConversion"/>
  </si>
  <si>
    <t>있음
계약직 3명
(국장,차창,주임)</t>
    <phoneticPr fontId="3" type="noConversion"/>
  </si>
  <si>
    <t>야외공연장, 
극장, 갤러리 등</t>
    <phoneticPr fontId="3" type="noConversion"/>
  </si>
  <si>
    <t>춘천연극제</t>
    <phoneticPr fontId="3" type="noConversion"/>
  </si>
  <si>
    <t>6.14~6.23
(10일간)</t>
    <phoneticPr fontId="30" type="noConversion"/>
  </si>
  <si>
    <t xml:space="preserve"> ○ 전국대상 공모, 연극제
 ○ 개폐막 초청공연, 경연공연 
    - 국내 31개극단, 국외 5개극단, 57회 공연
 ○ 소소연극콘테스트, 연극인나눔터, 시상식 </t>
    <phoneticPr fontId="3" type="noConversion"/>
  </si>
  <si>
    <t xml:space="preserve">(사)춘천연극제
(033-241-4345) </t>
    <phoneticPr fontId="3" type="noConversion"/>
  </si>
  <si>
    <t>1999년도
(21회)</t>
    <phoneticPr fontId="3" type="noConversion"/>
  </si>
  <si>
    <t>연극</t>
    <phoneticPr fontId="3" type="noConversion"/>
  </si>
  <si>
    <t>극장, 광장</t>
    <phoneticPr fontId="3" type="noConversion"/>
  </si>
  <si>
    <t>춘천인형극제</t>
    <phoneticPr fontId="3" type="noConversion"/>
  </si>
  <si>
    <t>9.28~10.3
(6일간)</t>
    <phoneticPr fontId="3" type="noConversion"/>
  </si>
  <si>
    <t xml:space="preserve"> ○ 개막퍼레이드, 극장공연, 장난감음악회
 ○ 체험/놀이프로그램, 인형극 경연대회 
 ○ 어린이벼룩시장</t>
    <phoneticPr fontId="3" type="noConversion"/>
  </si>
  <si>
    <t>(재)춘천인형극제
(033-242-8452)</t>
    <phoneticPr fontId="3" type="noConversion"/>
  </si>
  <si>
    <t>인형극</t>
    <phoneticPr fontId="3" type="noConversion"/>
  </si>
  <si>
    <t>매년</t>
    <phoneticPr fontId="3" type="noConversion"/>
  </si>
  <si>
    <t>재단법인</t>
    <phoneticPr fontId="3" type="noConversion"/>
  </si>
  <si>
    <t xml:space="preserve">있음
(사무국 및 
집행위원회) </t>
    <phoneticPr fontId="3" type="noConversion"/>
  </si>
  <si>
    <t>자체추진</t>
    <phoneticPr fontId="3" type="noConversion"/>
  </si>
  <si>
    <t>극장, 광장</t>
    <phoneticPr fontId="3" type="noConversion"/>
  </si>
  <si>
    <t>춘천시</t>
    <phoneticPr fontId="3" type="noConversion"/>
  </si>
  <si>
    <t>장난감축제
(토이페스티벌)</t>
    <phoneticPr fontId="3" type="noConversion"/>
  </si>
  <si>
    <t>10.3.~10.6.
(4일간)</t>
    <phoneticPr fontId="3" type="noConversion"/>
  </si>
  <si>
    <t xml:space="preserve"> ○ 개막행사, 장난감 전시 및 체험행사, 공연, 플리마켓,
     기타 연계행사 등</t>
    <phoneticPr fontId="3" type="noConversion"/>
  </si>
  <si>
    <t>춘천시/(재)강원정보문화진흥원(033-245-6550)</t>
    <phoneticPr fontId="3" type="noConversion"/>
  </si>
  <si>
    <t>2017년도
(3회)</t>
    <phoneticPr fontId="3" type="noConversion"/>
  </si>
  <si>
    <t>문화예술</t>
    <phoneticPr fontId="3" type="noConversion"/>
  </si>
  <si>
    <t>장난감축제</t>
    <phoneticPr fontId="3" type="noConversion"/>
  </si>
  <si>
    <t>없음</t>
    <phoneticPr fontId="3" type="noConversion"/>
  </si>
  <si>
    <t>전체위탁</t>
    <phoneticPr fontId="3" type="noConversion"/>
  </si>
  <si>
    <t>서면 애니메이션박물관, 인형극장, 글램핑장, 로봇관</t>
    <phoneticPr fontId="3" type="noConversion"/>
  </si>
  <si>
    <t>닭갈비막국수 축제</t>
    <phoneticPr fontId="3" type="noConversion"/>
  </si>
  <si>
    <t>6월 중
(6일간)</t>
    <phoneticPr fontId="3" type="noConversion"/>
  </si>
  <si>
    <t>○ 막국수, 닭갈비를 주제로한 시식 및 판매
○ 개폐막 공연 및 문화공연
   - 20 여개 프로그램
○ 향토음식전국요리대회
○ 1000인분 막국수닭갈비 만들기 체험 등</t>
    <phoneticPr fontId="3" type="noConversion"/>
  </si>
  <si>
    <t>춘천막국수닭갈비축제조직위원회, KBS춘천방송총국 /
 춘천막국수
닭갈비축제조직위원회
(033-254-4347)</t>
    <phoneticPr fontId="3" type="noConversion"/>
  </si>
  <si>
    <t>닭갈비, 
막국수</t>
    <phoneticPr fontId="3" type="noConversion"/>
  </si>
  <si>
    <t xml:space="preserve">있음
집행위 9명
총 25명
(집행위 포함)
  </t>
    <phoneticPr fontId="3" type="noConversion"/>
  </si>
  <si>
    <t>기타
(춘천지역)</t>
    <phoneticPr fontId="3" type="noConversion"/>
  </si>
  <si>
    <t>원주시</t>
  </si>
  <si>
    <t>한지문화제</t>
  </si>
  <si>
    <t>5.3~5.6
(4일간)</t>
  </si>
  <si>
    <t xml:space="preserve"> ○ 개막식 및 한지패션쇼
 ○ 동서 페이퍼로드(국제교류행사)
 ○ 한지를테마로 한 전시행사(대한민국 한지대전 외 4)
 ○ 와글와글 종이놀이터(소원을 빌어봐 외 6)
 ○ Artist' workshop
 ○ 한지체험(한지뜨기마당 외 3)
 ○ 스페셜 이벤트(역사인물 체험연극 외 4)</t>
  </si>
  <si>
    <t>(사)한지개발원
/ 원주한지문화제위원회
(033-734-4739)</t>
  </si>
  <si>
    <t>1999년도
(21회)</t>
  </si>
  <si>
    <t>한지</t>
  </si>
  <si>
    <t xml:space="preserve">있음
정규직 9명
계약직 1명
총 10명  </t>
  </si>
  <si>
    <t>공원
(한지테마파크)</t>
  </si>
  <si>
    <t>장미축제</t>
  </si>
  <si>
    <t>5월 중</t>
  </si>
  <si>
    <t xml:space="preserve"> ○ 장미가요제
 ○ 초등학생 사생대회, 백일장, 장미체험</t>
  </si>
  <si>
    <t>장미축제위원회
(749-1249)</t>
  </si>
  <si>
    <t>장미</t>
  </si>
  <si>
    <t>단계동 장미공원</t>
    <phoneticPr fontId="3" type="noConversion"/>
  </si>
  <si>
    <t>원주
다이내믹 댄싱카니발</t>
  </si>
  <si>
    <t>9.3~9.8
(6일간)</t>
  </si>
  <si>
    <t xml:space="preserve"> ○ 댄싱카니발 경연
 ○ 개막식 및 주제공연
 ○ 테마가 있는 문화예술공연(한국의 멋 외 3)
 ○ 프린지 페스티발(장르별 문화예술 공연)
 ○ 댄싱페스타(5~20인 이하 댄스경연)
 ○ 포럼 및 아카데미
 ○ 부대행사(군 문화체험 외 5)</t>
  </si>
  <si>
    <t>원주시, 제36사단
/ (재)원주문화재단
(033-737-5132)</t>
  </si>
  <si>
    <t>문화관광축제 지원</t>
  </si>
  <si>
    <t>문화관광축제
(우수)</t>
  </si>
  <si>
    <t>댄싱카니발</t>
  </si>
  <si>
    <t xml:space="preserve">있음
정규직 9명
계약직 8명
총 17명  </t>
  </si>
  <si>
    <t>광장(따뚜공연장),
 도심 내 거리</t>
  </si>
  <si>
    <t>강원도</t>
    <phoneticPr fontId="3" type="noConversion"/>
  </si>
  <si>
    <t>강릉시</t>
    <phoneticPr fontId="3" type="noConversion"/>
  </si>
  <si>
    <t>경포벚꽃잔치</t>
    <phoneticPr fontId="30" type="noConversion"/>
  </si>
  <si>
    <t>4.2~4.7
(6일간)</t>
    <phoneticPr fontId="3" type="noConversion"/>
  </si>
  <si>
    <t>○ 벚꽃조명등 설치, 문화공연,시민노래자랑, 불꽃놀이,
    먹거리장터 운영</t>
    <phoneticPr fontId="3" type="noConversion"/>
  </si>
  <si>
    <t>강릉시 / 강릉시(관광과)
(033-640-5807)</t>
    <phoneticPr fontId="3" type="noConversion"/>
  </si>
  <si>
    <t>1993년도
(27회)</t>
    <phoneticPr fontId="3" type="noConversion"/>
  </si>
  <si>
    <t>생태자연</t>
    <phoneticPr fontId="3" type="noConversion"/>
  </si>
  <si>
    <t>벚꽃</t>
    <phoneticPr fontId="3" type="noConversion"/>
  </si>
  <si>
    <t>공공(시군구)</t>
    <phoneticPr fontId="3" type="noConversion"/>
  </si>
  <si>
    <t>경포</t>
    <phoneticPr fontId="3" type="noConversion"/>
  </si>
  <si>
    <t>해살이마을 개두릅축제</t>
    <phoneticPr fontId="3" type="noConversion"/>
  </si>
  <si>
    <t>2019.4월예정
(3일간)</t>
    <phoneticPr fontId="3" type="noConversion"/>
  </si>
  <si>
    <t>○ 개두릅새순엮기체험, 문설주만들기, 개두릅떡만들기, 전통투호, 새순따기, 공방체험, 널뛰기등</t>
    <phoneticPr fontId="3" type="noConversion"/>
  </si>
  <si>
    <t>개두릅</t>
    <phoneticPr fontId="3" type="noConversion"/>
  </si>
  <si>
    <t>시민단체</t>
    <phoneticPr fontId="3" type="noConversion"/>
  </si>
  <si>
    <t>강릉시</t>
    <phoneticPr fontId="3" type="noConversion"/>
  </si>
  <si>
    <t>강릉단오제</t>
    <phoneticPr fontId="3" type="noConversion"/>
  </si>
  <si>
    <t>6.3.~6.10.</t>
    <phoneticPr fontId="3" type="noConversion"/>
  </si>
  <si>
    <t>○ 지정문화재행사  (제례, 굿, 관노가면극)
○ 공연, 전시, 체험 프로그램 및 시민참여행사 등 
     75여개 프로그램 운영
○ 경축부대행사 및 난장</t>
    <phoneticPr fontId="3" type="noConversion"/>
  </si>
  <si>
    <t>강릉시 문화예술과/
강릉단오제위원회, 
강릉단오제보존회
(033-641-1593~4)</t>
    <phoneticPr fontId="3" type="noConversion"/>
  </si>
  <si>
    <t>산출불가
(약1천년)</t>
    <phoneticPr fontId="3" type="noConversion"/>
  </si>
  <si>
    <t>문체부</t>
    <phoneticPr fontId="3" type="noConversion"/>
  </si>
  <si>
    <t>지역특화문화행사지원</t>
    <phoneticPr fontId="3" type="noConversion"/>
  </si>
  <si>
    <t>전통문화, 공연,시민참여행사,체험부스, 먹거리 및 시장형성</t>
    <phoneticPr fontId="3" type="noConversion"/>
  </si>
  <si>
    <t>매년</t>
    <phoneticPr fontId="3" type="noConversion"/>
  </si>
  <si>
    <t>공공(시군구) &amp;
사단법인</t>
    <phoneticPr fontId="3" type="noConversion"/>
  </si>
  <si>
    <t xml:space="preserve">있음
정규직 12명
계약직 2명
총 14명  </t>
    <phoneticPr fontId="3" type="noConversion"/>
  </si>
  <si>
    <t>부분위탁</t>
    <phoneticPr fontId="3" type="noConversion"/>
  </si>
  <si>
    <t>하천, 유적지</t>
    <phoneticPr fontId="3" type="noConversion"/>
  </si>
  <si>
    <t>강원도</t>
    <phoneticPr fontId="3" type="noConversion"/>
  </si>
  <si>
    <t>강릉시</t>
    <phoneticPr fontId="3" type="noConversion"/>
  </si>
  <si>
    <t>풍호마을연꽃축제</t>
    <phoneticPr fontId="3" type="noConversion"/>
  </si>
  <si>
    <t>2019.7(2일)</t>
    <phoneticPr fontId="3" type="noConversion"/>
  </si>
  <si>
    <t>○ 연자공예체험, 연심기 체험등 연꽃을 테마로한 전시 및
    체험프로그램 운영
○ 달구지체험, 오리배, 갯배체험 등 특별행사 운영</t>
    <phoneticPr fontId="3" type="noConversion"/>
  </si>
  <si>
    <t>강릉시 농정과/강동면 하시동3리 풍호마을영농조합법인
(033-645-8500)</t>
    <phoneticPr fontId="3" type="noConversion"/>
  </si>
  <si>
    <t>2009년도       (11회)</t>
    <phoneticPr fontId="3" type="noConversion"/>
  </si>
  <si>
    <t>연꽃</t>
    <phoneticPr fontId="3" type="noConversion"/>
  </si>
  <si>
    <t>매년</t>
    <phoneticPr fontId="3" type="noConversion"/>
  </si>
  <si>
    <t>영농조합법인</t>
    <phoneticPr fontId="3" type="noConversion"/>
  </si>
  <si>
    <t>없음</t>
    <phoneticPr fontId="3" type="noConversion"/>
  </si>
  <si>
    <t>전체위탁</t>
    <phoneticPr fontId="3" type="noConversion"/>
  </si>
  <si>
    <t>마을</t>
    <phoneticPr fontId="3" type="noConversion"/>
  </si>
  <si>
    <t>강원도</t>
    <phoneticPr fontId="3" type="noConversion"/>
  </si>
  <si>
    <t>강릉시</t>
    <phoneticPr fontId="3" type="noConversion"/>
  </si>
  <si>
    <t>주문진해수욕장축제</t>
    <phoneticPr fontId="3" type="noConversion"/>
  </si>
  <si>
    <t>8.3~8.4
(2일간)</t>
    <phoneticPr fontId="3" type="noConversion"/>
  </si>
  <si>
    <t>○ 맨손 오징어 잡기 등 각종 체험행사
○ 음악회 및 매직퍼포먼스 등 다양한 공연 운영</t>
    <phoneticPr fontId="3" type="noConversion"/>
  </si>
  <si>
    <t>강릉시 관광과/주문진해변운영위원회(640-3415)</t>
    <phoneticPr fontId="3" type="noConversion"/>
  </si>
  <si>
    <t>2004년도
(16회)</t>
    <phoneticPr fontId="3" type="noConversion"/>
  </si>
  <si>
    <t>생태자연</t>
    <phoneticPr fontId="3" type="noConversion"/>
  </si>
  <si>
    <t>바다</t>
    <phoneticPr fontId="3" type="noConversion"/>
  </si>
  <si>
    <t>시민단체</t>
    <phoneticPr fontId="3" type="noConversion"/>
  </si>
  <si>
    <t>바다
(주문진해변)</t>
    <phoneticPr fontId="3" type="noConversion"/>
  </si>
  <si>
    <t>경포썸머페스티벌</t>
    <phoneticPr fontId="30" type="noConversion"/>
  </si>
  <si>
    <t>7.29~8.4
(7일간)</t>
    <phoneticPr fontId="3" type="noConversion"/>
  </si>
  <si>
    <t>○ TV라디오 공개방송, 야간공연, 비치나이트클럽</t>
    <phoneticPr fontId="3" type="noConversion"/>
  </si>
  <si>
    <t>강릉시/ 강릉시(관광과)
(033-640-5807)</t>
    <phoneticPr fontId="3" type="noConversion"/>
  </si>
  <si>
    <t>1998년이전</t>
    <phoneticPr fontId="3" type="noConversion"/>
  </si>
  <si>
    <t>공공(시군구)</t>
    <phoneticPr fontId="3" type="noConversion"/>
  </si>
  <si>
    <t>자체추진</t>
    <phoneticPr fontId="3" type="noConversion"/>
  </si>
  <si>
    <t>경포해변</t>
    <phoneticPr fontId="3" type="noConversion"/>
  </si>
  <si>
    <t>강원도</t>
    <phoneticPr fontId="3" type="noConversion"/>
  </si>
  <si>
    <t>강릉시</t>
    <phoneticPr fontId="3" type="noConversion"/>
  </si>
  <si>
    <t>강릉푸드&amp;디저트페스티벌    (in 강릉커피축제)</t>
    <phoneticPr fontId="3" type="noConversion"/>
  </si>
  <si>
    <t>10.3~10.6     (4일간)</t>
    <phoneticPr fontId="3" type="noConversion"/>
  </si>
  <si>
    <t xml:space="preserve"> ○ 강릉음식 요리경연대회
 ○ 푸드&amp;디저트 쿠킹클래스
 ○ 강릉음식홍보판매
 ○ 강릉푸드스템프 랠리 </t>
    <phoneticPr fontId="3" type="noConversion"/>
  </si>
  <si>
    <t>강릉시 자원육성과
(033-660-3152)</t>
    <phoneticPr fontId="3" type="noConversion"/>
  </si>
  <si>
    <t>2016년도
(4회)</t>
    <phoneticPr fontId="3" type="noConversion"/>
  </si>
  <si>
    <t>문화예술</t>
    <phoneticPr fontId="3" type="noConversion"/>
  </si>
  <si>
    <t>음식</t>
    <phoneticPr fontId="3" type="noConversion"/>
  </si>
  <si>
    <t>매년</t>
    <phoneticPr fontId="3" type="noConversion"/>
  </si>
  <si>
    <t>공공</t>
    <phoneticPr fontId="3" type="noConversion"/>
  </si>
  <si>
    <t>없음</t>
    <phoneticPr fontId="3" type="noConversion"/>
  </si>
  <si>
    <t>부분위탁</t>
    <phoneticPr fontId="3" type="noConversion"/>
  </si>
  <si>
    <t>도심(E-ZEN)   (장소 미정))</t>
    <phoneticPr fontId="3" type="noConversion"/>
  </si>
  <si>
    <t>오징어축제</t>
    <phoneticPr fontId="3" type="noConversion"/>
  </si>
  <si>
    <t>10.4~10.7
(4일간)</t>
    <phoneticPr fontId="3" type="noConversion"/>
  </si>
  <si>
    <t>○ 오징어를 테마로한 공연,체험 프로그램 운영
○ 걔폐막 공연, 주제공연 및 문화공연
    - 20여개 프로그램(특별체험 행사 등)</t>
    <phoneticPr fontId="3" type="noConversion"/>
  </si>
  <si>
    <t>강릉시 문화예술과 / 주문진오징어축제위원회
(662-4532)</t>
    <phoneticPr fontId="3" type="noConversion"/>
  </si>
  <si>
    <t>1999년
(21회)</t>
    <phoneticPr fontId="3" type="noConversion"/>
  </si>
  <si>
    <t>지역특산물</t>
    <phoneticPr fontId="3" type="noConversion"/>
  </si>
  <si>
    <t>오징어</t>
    <phoneticPr fontId="3" type="noConversion"/>
  </si>
  <si>
    <t>시민단체</t>
    <phoneticPr fontId="3" type="noConversion"/>
  </si>
  <si>
    <t>전체위탁</t>
    <phoneticPr fontId="3" type="noConversion"/>
  </si>
  <si>
    <t>항포구
(주문진 물양장)</t>
    <phoneticPr fontId="3" type="noConversion"/>
  </si>
  <si>
    <t>강릉커피축제</t>
    <phoneticPr fontId="3" type="noConversion"/>
  </si>
  <si>
    <t>10월 예정</t>
    <phoneticPr fontId="3" type="noConversion"/>
  </si>
  <si>
    <t>○ 바리스타경연대회, 로스팅, 추출체험전시, 공연행사, 
    커피기기전시회 등</t>
    <phoneticPr fontId="3" type="noConversion"/>
  </si>
  <si>
    <t>강릉시 문화예술과/강릉문화재단
(640-5115)</t>
    <phoneticPr fontId="3" type="noConversion"/>
  </si>
  <si>
    <t>2009년도
(11회)</t>
    <phoneticPr fontId="3" type="noConversion"/>
  </si>
  <si>
    <t>문체부</t>
    <phoneticPr fontId="3" type="noConversion"/>
  </si>
  <si>
    <t>문화관광축제 지원</t>
    <phoneticPr fontId="3" type="noConversion"/>
  </si>
  <si>
    <t>문화관광축제
(유망)</t>
    <phoneticPr fontId="3" type="noConversion"/>
  </si>
  <si>
    <t>커피</t>
    <phoneticPr fontId="3" type="noConversion"/>
  </si>
  <si>
    <t>축제조직위</t>
    <phoneticPr fontId="3" type="noConversion"/>
  </si>
  <si>
    <t>있음
정규직 3명</t>
    <phoneticPr fontId="3" type="noConversion"/>
  </si>
  <si>
    <t>강릉녹색도시체험센터외강릉시일원</t>
    <phoneticPr fontId="3" type="noConversion"/>
  </si>
  <si>
    <t>강원도</t>
    <phoneticPr fontId="3" type="noConversion"/>
  </si>
  <si>
    <t>강릉시</t>
    <phoneticPr fontId="3" type="noConversion"/>
  </si>
  <si>
    <t>제14회 복어축제</t>
    <phoneticPr fontId="3" type="noConversion"/>
  </si>
  <si>
    <t>12월예정</t>
    <phoneticPr fontId="3" type="noConversion"/>
  </si>
  <si>
    <t>○이벤트,홍보,무료시식회</t>
    <phoneticPr fontId="3" type="noConversion"/>
  </si>
  <si>
    <t>강릉시 경제환경국 일자리경제과(033-640-5535)</t>
    <phoneticPr fontId="3" type="noConversion"/>
  </si>
  <si>
    <t>2006             (14회)</t>
    <phoneticPr fontId="3" type="noConversion"/>
  </si>
  <si>
    <t>지역특산물</t>
    <phoneticPr fontId="3" type="noConversion"/>
  </si>
  <si>
    <t>복어축제</t>
    <phoneticPr fontId="3" type="noConversion"/>
  </si>
  <si>
    <t>주문진 수산시장,주문진해안주차타워(1층)</t>
    <phoneticPr fontId="3" type="noConversion"/>
  </si>
  <si>
    <t>동해시</t>
    <phoneticPr fontId="3" type="noConversion"/>
  </si>
  <si>
    <t>제24회 동해무릉제</t>
    <phoneticPr fontId="3" type="noConversion"/>
  </si>
  <si>
    <t>10.4~10.6
(3일간)</t>
    <phoneticPr fontId="3" type="noConversion"/>
  </si>
  <si>
    <t xml:space="preserve">○ 민속경기 운영
○ 개막 축하공연, 퍼레이드 운영
○ 제천행사, 문화행사, 전시·체험행사 </t>
    <phoneticPr fontId="3" type="noConversion"/>
  </si>
  <si>
    <t>강원도 동해시 문화교육과 
/ 동해문화원 
(033-530-2111)</t>
    <phoneticPr fontId="3" type="noConversion"/>
  </si>
  <si>
    <t>1984년도
(34회)</t>
    <phoneticPr fontId="3" type="noConversion"/>
  </si>
  <si>
    <t>전통민속경기</t>
    <phoneticPr fontId="3" type="noConversion"/>
  </si>
  <si>
    <t>공공</t>
    <phoneticPr fontId="3" type="noConversion"/>
  </si>
  <si>
    <t>부분위탁(프로그램)</t>
    <phoneticPr fontId="3" type="noConversion"/>
  </si>
  <si>
    <t>시내거리</t>
    <phoneticPr fontId="3" type="noConversion"/>
  </si>
  <si>
    <t>태백시</t>
    <phoneticPr fontId="3" type="noConversion"/>
  </si>
  <si>
    <t>제26회 태백산눈축제</t>
    <phoneticPr fontId="3" type="noConversion"/>
  </si>
  <si>
    <t>1. 18~2. 3. (17일간)</t>
    <phoneticPr fontId="3" type="noConversion"/>
  </si>
  <si>
    <t>○ 대형눈조각 전시                                                        ○ 눈미끄럼틀, 얼음미끄럼틀, 썰매 등 체험프로그램                             ○ 전국대학생눈조각대회, 전국눈꽃등반대회                                                                                               ○ 황지연못 별빛페스티벌</t>
    <phoneticPr fontId="3" type="noConversion"/>
  </si>
  <si>
    <t>태백시 관광문화과/                          태백시축제위원회                          (033-550-2085)</t>
    <phoneticPr fontId="3" type="noConversion"/>
  </si>
  <si>
    <t>1994년도                 (26회)</t>
    <phoneticPr fontId="3" type="noConversion"/>
  </si>
  <si>
    <t>대형눈조각전시, 별빛페스티벌, 눈미끄럼틀, 얼음미끄럼틀 등</t>
    <phoneticPr fontId="3" type="noConversion"/>
  </si>
  <si>
    <t xml:space="preserve"> 매년</t>
    <phoneticPr fontId="3" type="noConversion"/>
  </si>
  <si>
    <t xml:space="preserve"> ·공공(시군구)</t>
  </si>
  <si>
    <t>태백산국립공원
황지연못 등</t>
    <phoneticPr fontId="3" type="noConversion"/>
  </si>
  <si>
    <r>
      <t>한강</t>
    </r>
    <r>
      <rPr>
        <sz val="11"/>
        <rFont val="맑은 고딕"/>
        <family val="3"/>
        <charset val="129"/>
      </rPr>
      <t>•</t>
    </r>
    <r>
      <rPr>
        <sz val="11"/>
        <rFont val="HY중고딕"/>
        <family val="1"/>
        <charset val="129"/>
      </rPr>
      <t>낙동강 발원지축제</t>
    </r>
    <phoneticPr fontId="3" type="noConversion"/>
  </si>
  <si>
    <t>7월말~8월초</t>
    <phoneticPr fontId="3" type="noConversion"/>
  </si>
  <si>
    <t>○ 수계도시 공연 
○ 황지물장수 및 재래식펌프 등 발원지(발원수)  
○ 체험 도심 속 물놀이난장 및 물총퍼레이드, 야외영화상영, 도심 속 워터파크
○ 야간먹거리장터, 야생화 트래킹, 발원지꿈나무바둑대회, 발원지 잇기 마라톤 대회 등</t>
    <phoneticPr fontId="3" type="noConversion"/>
  </si>
  <si>
    <t>2016년도          (4회)</t>
    <phoneticPr fontId="3" type="noConversion"/>
  </si>
  <si>
    <t>폐광지역관광자원화사업</t>
    <phoneticPr fontId="3" type="noConversion"/>
  </si>
  <si>
    <t>수계도시 초청공연, 도심 속 물놀이난장, 물총퍼레이드, 야외영화상영, 발원수 체험프로그램 동</t>
    <phoneticPr fontId="3" type="noConversion"/>
  </si>
  <si>
    <t xml:space="preserve"> 공공(시군구)</t>
    <phoneticPr fontId="3" type="noConversion"/>
  </si>
  <si>
    <t>황지연못, 
검룡소 등</t>
    <phoneticPr fontId="3" type="noConversion"/>
  </si>
  <si>
    <t>속초시</t>
    <phoneticPr fontId="3" type="noConversion"/>
  </si>
  <si>
    <t>장사항
오징어맨손잡기축제</t>
    <phoneticPr fontId="3" type="noConversion"/>
  </si>
  <si>
    <t>7월말.~8월초.</t>
    <phoneticPr fontId="3" type="noConversion"/>
  </si>
  <si>
    <t>○ 오징어 맨손잡기 체험, 바다속줄다리기, 오징어
    할복체험 등</t>
    <phoneticPr fontId="3" type="noConversion"/>
  </si>
  <si>
    <t>속초시 관광과/
장사동청년회
(033-639-2369)</t>
    <phoneticPr fontId="3" type="noConversion"/>
  </si>
  <si>
    <t>1999
(21회)</t>
    <phoneticPr fontId="3" type="noConversion"/>
  </si>
  <si>
    <t>오징어</t>
    <phoneticPr fontId="3" type="noConversion"/>
  </si>
  <si>
    <t>임의단체</t>
    <phoneticPr fontId="3" type="noConversion"/>
  </si>
  <si>
    <t>바다</t>
    <phoneticPr fontId="3" type="noConversion"/>
  </si>
  <si>
    <t>Sokcho Summer Break
(여름해변축제)</t>
    <phoneticPr fontId="3" type="noConversion"/>
  </si>
  <si>
    <t>8.1.~8.5.
(5일간)</t>
    <phoneticPr fontId="3" type="noConversion"/>
  </si>
  <si>
    <t>○ EDM, 힙합공연, DJ박스
○ 수제맥주 축제</t>
    <phoneticPr fontId="3" type="noConversion"/>
  </si>
  <si>
    <t>속초시 관광과/
대행사
(033-639-2545)</t>
    <phoneticPr fontId="3" type="noConversion"/>
  </si>
  <si>
    <t>2017
(3회)</t>
    <phoneticPr fontId="3" type="noConversion"/>
  </si>
  <si>
    <t>음악, 맥주</t>
    <phoneticPr fontId="3" type="noConversion"/>
  </si>
  <si>
    <t>제54회 설악문화제</t>
    <phoneticPr fontId="3" type="noConversion"/>
  </si>
  <si>
    <t>9.28.~9.29.
(2일간)</t>
    <phoneticPr fontId="3" type="noConversion"/>
  </si>
  <si>
    <t xml:space="preserve">○ 설악산신대제
○ 설악산 등반대회 외 8종목                </t>
    <phoneticPr fontId="3" type="noConversion"/>
  </si>
  <si>
    <t>속초시 문화체육과 / 
(사)속초축제위원회
(033-635-8827)</t>
    <phoneticPr fontId="3" type="noConversion"/>
  </si>
  <si>
    <t>1966년도
(54회)</t>
    <phoneticPr fontId="3" type="noConversion"/>
  </si>
  <si>
    <t>제례, 산</t>
    <phoneticPr fontId="3" type="noConversion"/>
  </si>
  <si>
    <t>3명</t>
  </si>
  <si>
    <t>공원</t>
    <phoneticPr fontId="3" type="noConversion"/>
  </si>
  <si>
    <t>삼척시</t>
    <phoneticPr fontId="3" type="noConversion"/>
  </si>
  <si>
    <t>삼척정월대보름제</t>
    <phoneticPr fontId="3" type="noConversion"/>
  </si>
  <si>
    <t>2.15~2.17
(3일간)</t>
    <phoneticPr fontId="3" type="noConversion"/>
  </si>
  <si>
    <t>○ 삼척기줄다리기 대회(24팀 이상)
○ 삼척기줄다리기 중심 문화재 행사 및 제례행사
○ 개막 및 전통문화 공연, 체험프로그램 운영
   - 3개 분야 23개 프로그램
○ 정월대보름 민속행사 및 경축행사 14개 프로그램운영
○ 특산품, 공예품, 향토별미장터, 프드트럭 운영
○ 달등터널 및 소원등 달기, 기줄다리기 대형유등 전시</t>
    <phoneticPr fontId="3" type="noConversion"/>
  </si>
  <si>
    <t>삼척시 문화공보실
/ 삼척정월대보름제위원회
(033-573-2882)</t>
    <phoneticPr fontId="3" type="noConversion"/>
  </si>
  <si>
    <t>1973년
(47회)</t>
    <phoneticPr fontId="3" type="noConversion"/>
  </si>
  <si>
    <t>정월대보름
 세시풍속,
삼척기줄다리기,
민속놀이 등</t>
    <phoneticPr fontId="3" type="noConversion"/>
  </si>
  <si>
    <t xml:space="preserve">있음
정규직 4명
계약직 0명
총 4명  </t>
    <phoneticPr fontId="3" type="noConversion"/>
  </si>
  <si>
    <t>광장, 하천, 
시내거리</t>
    <phoneticPr fontId="3" type="noConversion"/>
  </si>
  <si>
    <t>삼척대게축제</t>
    <phoneticPr fontId="3" type="noConversion"/>
  </si>
  <si>
    <t>3.29.~3.31.
(3일간)</t>
    <phoneticPr fontId="3" type="noConversion"/>
  </si>
  <si>
    <t xml:space="preserve"> ○ 대게를 테마로 한 체험프로그램 운영
 ○ 개폐막 공연, 문화공연(노래자랑)
 ○ 기타 특별행사(셰프 요리 시연) 등</t>
    <phoneticPr fontId="3" type="noConversion"/>
  </si>
  <si>
    <t>삼척시 해양수산과
 / 정라동번영회
(033-570-3417)</t>
    <phoneticPr fontId="3" type="noConversion"/>
  </si>
  <si>
    <t>2018년도
(2회)</t>
    <phoneticPr fontId="3" type="noConversion"/>
  </si>
  <si>
    <t>대게</t>
    <phoneticPr fontId="3" type="noConversion"/>
  </si>
  <si>
    <t>매년</t>
    <phoneticPr fontId="3" type="noConversion"/>
  </si>
  <si>
    <t>시민단체</t>
    <phoneticPr fontId="3" type="noConversion"/>
  </si>
  <si>
    <t>없음</t>
    <phoneticPr fontId="3" type="noConversion"/>
  </si>
  <si>
    <t>전체위탁</t>
    <phoneticPr fontId="3" type="noConversion"/>
  </si>
  <si>
    <t>공원</t>
    <phoneticPr fontId="3" type="noConversion"/>
  </si>
  <si>
    <t>삼척시</t>
    <phoneticPr fontId="3" type="noConversion"/>
  </si>
  <si>
    <t xml:space="preserve">삼척맹방 유채꽃축제      </t>
    <phoneticPr fontId="3" type="noConversion"/>
  </si>
  <si>
    <t>4.5~4.30
(25일간)</t>
    <phoneticPr fontId="3" type="noConversion"/>
  </si>
  <si>
    <t>유채꽃따라걷기대회 등</t>
    <phoneticPr fontId="3" type="noConversion"/>
  </si>
  <si>
    <t>삼척시 농정과
/ 삼척맹방유채꽃축제 추진위원회
(033-570-3382)</t>
    <phoneticPr fontId="3" type="noConversion"/>
  </si>
  <si>
    <t>2002년도
(18회)</t>
    <phoneticPr fontId="3" type="noConversion"/>
  </si>
  <si>
    <t>벚꽃,유채꽃</t>
    <phoneticPr fontId="3" type="noConversion"/>
  </si>
  <si>
    <t>축제조직위</t>
    <phoneticPr fontId="3" type="noConversion"/>
  </si>
  <si>
    <t>유채밭</t>
    <phoneticPr fontId="3" type="noConversion"/>
  </si>
  <si>
    <t>삼척 장미축제</t>
    <phoneticPr fontId="3" type="noConversion"/>
  </si>
  <si>
    <t>5.15.~5.19.
(5일간)</t>
    <phoneticPr fontId="3" type="noConversion"/>
  </si>
  <si>
    <t>○ 장미를 테마로 한 체험프로그램 운영
○ 개폐막 공연, 문화공연(시민열정콘서트, 장미가요제)
○ 기타 특별행사(퍼레이드 시네마 콘서트, 카누카약교실) 등</t>
    <phoneticPr fontId="3" type="noConversion"/>
  </si>
  <si>
    <t>삼척시 관광정책과
(033-570-3548)</t>
    <phoneticPr fontId="3" type="noConversion"/>
  </si>
  <si>
    <t>2016년
(4회)</t>
    <phoneticPr fontId="3" type="noConversion"/>
  </si>
  <si>
    <t>`</t>
    <phoneticPr fontId="3" type="noConversion"/>
  </si>
  <si>
    <t>장미</t>
    <phoneticPr fontId="3" type="noConversion"/>
  </si>
  <si>
    <t>장미공원</t>
    <phoneticPr fontId="3" type="noConversion"/>
  </si>
  <si>
    <t>삼척비치 썸 페스티벌</t>
    <phoneticPr fontId="3" type="noConversion"/>
  </si>
  <si>
    <t>7~8월중
(3일간)</t>
    <phoneticPr fontId="3" type="noConversion"/>
  </si>
  <si>
    <t>○ 해양자원을 활용한 체험프로그램 운영
○ 개폐막 공연, 문화공연
○ 기타 특별행사(모래조각전시) 등</t>
    <phoneticPr fontId="3" type="noConversion"/>
  </si>
  <si>
    <t>삼척시 관광정책과
(033-570-3544)</t>
    <phoneticPr fontId="3" type="noConversion"/>
  </si>
  <si>
    <t>삼척동해왕이사부축제</t>
    <phoneticPr fontId="3" type="noConversion"/>
  </si>
  <si>
    <t>9월중
(3일간)</t>
    <phoneticPr fontId="3" type="noConversion"/>
  </si>
  <si>
    <t xml:space="preserve">○ 해양역사인물 이사부를 테마로 한 특별공연 운영
○ 학술, 대회, 전시, 체험 프로그램 운영
○ 기타 문화공연, 문화야시장 운영 등  </t>
    <phoneticPr fontId="3" type="noConversion"/>
  </si>
  <si>
    <t>삼척시 관광정책과
/ 삼척동해왕이사부축제추진위원회
(033-570-3844)</t>
    <phoneticPr fontId="3" type="noConversion"/>
  </si>
  <si>
    <t>2008년도
(12회)</t>
    <phoneticPr fontId="3" type="noConversion"/>
  </si>
  <si>
    <t>이사부장군</t>
    <phoneticPr fontId="3" type="noConversion"/>
  </si>
  <si>
    <t>광장</t>
    <phoneticPr fontId="3" type="noConversion"/>
  </si>
  <si>
    <t>홍천군</t>
    <phoneticPr fontId="3" type="noConversion"/>
  </si>
  <si>
    <t>홍천 찰옥수수축제</t>
    <phoneticPr fontId="3" type="noConversion"/>
  </si>
  <si>
    <t>7.27~7.29
(3일간)</t>
    <phoneticPr fontId="3" type="noConversion"/>
  </si>
  <si>
    <t xml:space="preserve"> ○ 22주년 기념 2,200명 옥수수 나눔행사
 ○ 전국 옥수수요리 경연대회
 ○ 개장식 공연, 주제공연 및 문화공연
    - 3개 분야 30여개 프로그램
 ○ 각종 체험행사 및 전시행사 등 </t>
    <phoneticPr fontId="3" type="noConversion"/>
  </si>
  <si>
    <t>홍천군/홍천문화재단
(박영식/439-5852)</t>
    <phoneticPr fontId="3" type="noConversion"/>
  </si>
  <si>
    <t>1996년도
(23회)</t>
    <phoneticPr fontId="3" type="noConversion"/>
  </si>
  <si>
    <t>옥수수,특산품
각종체험행사
각종문화공연</t>
    <phoneticPr fontId="3" type="noConversion"/>
  </si>
  <si>
    <t xml:space="preserve">있음
정규직 5명
총 5명  </t>
    <phoneticPr fontId="3" type="noConversion"/>
  </si>
  <si>
    <t xml:space="preserve">자체추진
부분위탁
 (하드웨어 등)
</t>
    <phoneticPr fontId="3" type="noConversion"/>
  </si>
  <si>
    <t>공원, 하천, 기타</t>
    <phoneticPr fontId="3" type="noConversion"/>
  </si>
  <si>
    <t>홍천강 별빛음악 맥주축제</t>
    <phoneticPr fontId="3" type="noConversion"/>
  </si>
  <si>
    <t>8.1~8.5
(5일간)</t>
    <phoneticPr fontId="3" type="noConversion"/>
  </si>
  <si>
    <t xml:space="preserve"> ○ 세계 Wet Dance 경연대회
 ○ 국내 Beer 존 / 해외 Beer 존 / 힐링 Beer 존 / 강변존
     메인 행사장 운영
 ○ 국내 유명 푸드트럭 존 / 지역 특산품 안주 존
 ○ 개장식 공연, 주제공연 
    - 3개 분야 20여개 프로그램
 ○ 각종 체험행사 및 이벤트행사 등 </t>
    <phoneticPr fontId="3" type="noConversion"/>
  </si>
  <si>
    <t>국내.외 맥주
Dance경연
각종이벤트행사
각종문화공연</t>
    <phoneticPr fontId="3" type="noConversion"/>
  </si>
  <si>
    <t xml:space="preserve">*자체추진
*부분위탁
 (하드웨어 등)
</t>
    <phoneticPr fontId="3" type="noConversion"/>
  </si>
  <si>
    <t>공원, 하천, 
시내거리,  기타</t>
    <phoneticPr fontId="3" type="noConversion"/>
  </si>
  <si>
    <t>홍천인삼한우명품축제</t>
    <phoneticPr fontId="3" type="noConversion"/>
  </si>
  <si>
    <t>10.6~10.9
(4일간)</t>
    <phoneticPr fontId="3" type="noConversion"/>
  </si>
  <si>
    <t xml:space="preserve"> ○ 홍천군 농.특산품 판매행사
     (인삼.한우외 40여개 농.특산물 등)
 ○ 풍물시장 행사
 ○ 개장식 공연, 주제공연 
    - 3개 분야 20여개 프로그램
 ○ 각종 체험행사 및 이벤트행사 등 </t>
    <phoneticPr fontId="3" type="noConversion"/>
  </si>
  <si>
    <t>2002년도
(17회)</t>
    <phoneticPr fontId="3" type="noConversion"/>
  </si>
  <si>
    <t>인삼.한우
농.특산물
각종이벤트
각종문화공연</t>
    <phoneticPr fontId="3" type="noConversion"/>
  </si>
  <si>
    <t>홍천강 인삼송어 축제</t>
    <phoneticPr fontId="3" type="noConversion"/>
  </si>
  <si>
    <t>1.4~1.20
(17일간)</t>
    <phoneticPr fontId="3" type="noConversion"/>
  </si>
  <si>
    <t xml:space="preserve"> ○ 인삼송어 얼음낚시터
 ○ 인삼송어 부교낚시터
 ○ 인삼송어 텐트낚시터
 ○ 가족실내 낚시터
 ○ 인삼송어 맨손잡기
 ○ 눈썰매장,얼음축구장, 얼음썰매장
 ○ 각종 가족체험행사 및 이벤트행사 등 
 ○ 민속체험 전통음식 만들기 체험 등</t>
    <phoneticPr fontId="3" type="noConversion"/>
  </si>
  <si>
    <t>2012년도
(7회)</t>
    <phoneticPr fontId="3" type="noConversion"/>
  </si>
  <si>
    <t>인삼송어
얼음낚시
각종이벤트행사
각종문화공연</t>
    <phoneticPr fontId="3" type="noConversion"/>
  </si>
  <si>
    <t>강변일원,시내
거리,  기타</t>
    <phoneticPr fontId="3" type="noConversion"/>
  </si>
  <si>
    <t>횡성군</t>
    <phoneticPr fontId="3" type="noConversion"/>
  </si>
  <si>
    <t>제8회 둔내고랭지토마토축제</t>
    <phoneticPr fontId="3" type="noConversion"/>
  </si>
  <si>
    <t>8월(2일간)</t>
    <phoneticPr fontId="3" type="noConversion"/>
  </si>
  <si>
    <t>토마토 품종전시관·홍보관 운영, 토마토 풀장 운영, 방울토마토 따기 체험 등</t>
    <phoneticPr fontId="3" type="noConversion"/>
  </si>
  <si>
    <t>둔내고랭지토마토축제위원회
(033-340-2604)</t>
    <phoneticPr fontId="3" type="noConversion"/>
  </si>
  <si>
    <t>2012년도
(8회)</t>
    <phoneticPr fontId="3" type="noConversion"/>
  </si>
  <si>
    <t>토마토</t>
    <phoneticPr fontId="3" type="noConversion"/>
  </si>
  <si>
    <t>있음 11명</t>
    <phoneticPr fontId="3" type="noConversion"/>
  </si>
  <si>
    <t>시장(둔내시장 일원)</t>
    <phoneticPr fontId="3" type="noConversion"/>
  </si>
  <si>
    <t>제8회 횡성더덕축제</t>
    <phoneticPr fontId="3" type="noConversion"/>
  </si>
  <si>
    <t>9월(2일간)</t>
    <phoneticPr fontId="3" type="noConversion"/>
  </si>
  <si>
    <t>횡성더덕 홍보관·전시관 운영, 더덕 직거래 판매장 운영, 각종 더덕체험 및 이벤트 등</t>
    <phoneticPr fontId="3" type="noConversion"/>
  </si>
  <si>
    <t>횡성더덕축제위원회
(033-340-2666)</t>
    <phoneticPr fontId="3" type="noConversion"/>
  </si>
  <si>
    <t>더덕</t>
    <phoneticPr fontId="3" type="noConversion"/>
  </si>
  <si>
    <t>있음 12명</t>
    <phoneticPr fontId="3" type="noConversion"/>
  </si>
  <si>
    <t>하천(청일면 농거리야영장 일원)</t>
    <phoneticPr fontId="3" type="noConversion"/>
  </si>
  <si>
    <t>제15회 횡성한우축제</t>
    <phoneticPr fontId="3" type="noConversion"/>
  </si>
  <si>
    <t>10.2~10.6
(5일간)</t>
    <phoneticPr fontId="3" type="noConversion"/>
  </si>
  <si>
    <t>한우구이터, 한우 관련 체험 및 이벤트, 특산품 홍보·판매 등</t>
    <phoneticPr fontId="3" type="noConversion"/>
  </si>
  <si>
    <t>횡성군/횡성문화재단
(1522-1099)</t>
    <phoneticPr fontId="3" type="noConversion"/>
  </si>
  <si>
    <t>2004년도
(15회)</t>
    <phoneticPr fontId="3" type="noConversion"/>
  </si>
  <si>
    <t>한우</t>
    <phoneticPr fontId="3" type="noConversion"/>
  </si>
  <si>
    <t>있음 4명</t>
    <phoneticPr fontId="3" type="noConversion"/>
  </si>
  <si>
    <t>하천(횡성읍 섬강둔치 일원)</t>
    <phoneticPr fontId="3" type="noConversion"/>
  </si>
  <si>
    <t>제13회 안흥찐빵축제</t>
    <phoneticPr fontId="3" type="noConversion"/>
  </si>
  <si>
    <t>10월(2일간)</t>
    <phoneticPr fontId="3" type="noConversion"/>
  </si>
  <si>
    <t>안흥찐빵 주제관 운영, 돗자리 영화제, 도깨비 트래킹 체험 행사 등</t>
    <phoneticPr fontId="3" type="noConversion"/>
  </si>
  <si>
    <t>안흥찐빵축제위원회
(033-340-2673)</t>
    <phoneticPr fontId="3" type="noConversion"/>
  </si>
  <si>
    <t>1999년도
(13회)</t>
    <phoneticPr fontId="3" type="noConversion"/>
  </si>
  <si>
    <t>찐빵</t>
    <phoneticPr fontId="3" type="noConversion"/>
  </si>
  <si>
    <t>있음 5명</t>
    <phoneticPr fontId="3" type="noConversion"/>
  </si>
  <si>
    <t>마을(안흥찐빵마을 일원)</t>
    <phoneticPr fontId="3" type="noConversion"/>
  </si>
  <si>
    <t>영월군</t>
    <phoneticPr fontId="3" type="noConversion"/>
  </si>
  <si>
    <t>제53회 단종문화제</t>
    <phoneticPr fontId="3" type="noConversion"/>
  </si>
  <si>
    <t>4.26~4.29         (4일간)</t>
    <phoneticPr fontId="3" type="noConversion"/>
  </si>
  <si>
    <t xml:space="preserve"> ○ 단종국장 재현
 ○ 단종을 테마로한 공연, 전시, 역사체험프로그램
 ○ 개폐막 공연 및 문화공연
   - 20여개 프로그램
 ○ 기타 백일장행사 및 전시 등</t>
    <phoneticPr fontId="3" type="noConversion"/>
  </si>
  <si>
    <t>영월군청 문화관광과
/ 영월문화재단
(033-375-6353)</t>
    <phoneticPr fontId="3" type="noConversion"/>
  </si>
  <si>
    <t>1967년도
(53회)</t>
    <phoneticPr fontId="3" type="noConversion"/>
  </si>
  <si>
    <t>지역특화문화행사</t>
    <phoneticPr fontId="3" type="noConversion"/>
  </si>
  <si>
    <t>전통역사</t>
    <phoneticPr fontId="3" type="noConversion"/>
  </si>
  <si>
    <t>단종</t>
    <phoneticPr fontId="3" type="noConversion"/>
  </si>
  <si>
    <t xml:space="preserve">있음
정규직 6명
계약직 1명
총 7명  </t>
    <phoneticPr fontId="3" type="noConversion"/>
  </si>
  <si>
    <t>사적지, 광장</t>
    <phoneticPr fontId="3" type="noConversion"/>
  </si>
  <si>
    <t>2019 동강뗏목축제</t>
    <phoneticPr fontId="3" type="noConversion"/>
  </si>
  <si>
    <t>8.1~8.4
(4일간)</t>
    <phoneticPr fontId="3" type="noConversion"/>
  </si>
  <si>
    <t xml:space="preserve"> ○ 뗏목시연
 ○ 뗏목을 테마로한 대회, 뗏목관 등 운영
 ○ 개막 공연, 문화공연, 레져행사 등 20여개 프로그램
 ○ 기타 물놀이 등등</t>
    <phoneticPr fontId="3" type="noConversion"/>
  </si>
  <si>
    <t>영월군청 문화관광과
/ 영월문화재단
(033-375-6353)</t>
    <phoneticPr fontId="3" type="noConversion"/>
  </si>
  <si>
    <t>1997년도
(23회)</t>
    <phoneticPr fontId="3" type="noConversion"/>
  </si>
  <si>
    <t>생태자연</t>
    <phoneticPr fontId="3" type="noConversion"/>
  </si>
  <si>
    <t>뗏목</t>
    <phoneticPr fontId="3" type="noConversion"/>
  </si>
  <si>
    <t>매년</t>
    <phoneticPr fontId="3" type="noConversion"/>
  </si>
  <si>
    <t>재단법인</t>
    <phoneticPr fontId="3" type="noConversion"/>
  </si>
  <si>
    <t xml:space="preserve">있음
정규직 6명
계약직 1명
총 7명  </t>
    <phoneticPr fontId="3" type="noConversion"/>
  </si>
  <si>
    <t>자체추진</t>
    <phoneticPr fontId="3" type="noConversion"/>
  </si>
  <si>
    <t>하천, 광장</t>
    <phoneticPr fontId="3" type="noConversion"/>
  </si>
  <si>
    <t>영월군</t>
    <phoneticPr fontId="3" type="noConversion"/>
  </si>
  <si>
    <t>동강국제사진제 2019</t>
    <phoneticPr fontId="3" type="noConversion"/>
  </si>
  <si>
    <t>7.12~10.30
(100일간)</t>
    <phoneticPr fontId="3" type="noConversion"/>
  </si>
  <si>
    <t xml:space="preserve"> ○ 국제주제전
 ○ 사진을 테마로 한 사진전시 및 교육행사 등
 ○ 개막 행사</t>
    <phoneticPr fontId="3" type="noConversion"/>
  </si>
  <si>
    <t>2002년도
(18회)</t>
    <phoneticPr fontId="3" type="noConversion"/>
  </si>
  <si>
    <t>문화예술</t>
    <phoneticPr fontId="3" type="noConversion"/>
  </si>
  <si>
    <t>사진</t>
    <phoneticPr fontId="3" type="noConversion"/>
  </si>
  <si>
    <t>박물관, 시내거리, 기타</t>
    <phoneticPr fontId="3" type="noConversion"/>
  </si>
  <si>
    <t>제22회 김삿갓문화제</t>
    <phoneticPr fontId="3" type="noConversion"/>
  </si>
  <si>
    <t xml:space="preserve"> ○ 김삿갓 문학상 시상
 ○ 김삿갓을 테마로한 영상공모전 등 10여개 이상
     프로그램 운영
 ○ 김삿갓을 주제로한 거리 체험행사 및 전시 등</t>
    <phoneticPr fontId="3" type="noConversion"/>
  </si>
  <si>
    <t>1998년도
(22회)</t>
    <phoneticPr fontId="3" type="noConversion"/>
  </si>
  <si>
    <t>김삿갓</t>
    <phoneticPr fontId="3" type="noConversion"/>
  </si>
  <si>
    <t>평창군</t>
    <phoneticPr fontId="3" type="noConversion"/>
  </si>
  <si>
    <t>평창송어축제</t>
    <phoneticPr fontId="3" type="noConversion"/>
  </si>
  <si>
    <t>18.12.22
~'19.1.27
(37일간)</t>
    <phoneticPr fontId="3" type="noConversion"/>
  </si>
  <si>
    <t xml:space="preserve"> ○ 송어얼음낚시
 ○ 얼음·텐트·어린이 낚시와 맨손잡기 등 각종 송어낚시
     프로그램 운영
 ○ 눈썰매, 전통썰매, 스노우래프팅, 얼음카트 등 다양
     한 놀이시설과 퍼레이드 및 이벤트를 통한 여러가지
     체험행사 진행
 ○ 축제장 내 식당과 연계한 회센터 및 다양한 먹거리 
     제공</t>
    <phoneticPr fontId="3" type="noConversion"/>
  </si>
  <si>
    <t>평창송어축제위원회
(033-336-4000)</t>
    <phoneticPr fontId="3" type="noConversion"/>
  </si>
  <si>
    <t>송어</t>
    <phoneticPr fontId="3" type="noConversion"/>
  </si>
  <si>
    <t xml:space="preserve">있음
정규직 3명
</t>
    <phoneticPr fontId="3" type="noConversion"/>
  </si>
  <si>
    <t>하천</t>
    <phoneticPr fontId="3" type="noConversion"/>
  </si>
  <si>
    <t>대관령눈꽃축제</t>
    <phoneticPr fontId="3" type="noConversion"/>
  </si>
  <si>
    <t>1.18~1.27
(10일간)</t>
    <phoneticPr fontId="3" type="noConversion"/>
  </si>
  <si>
    <t xml:space="preserve"> ○ 눈사람 및 눈조각, 눈동산 공원 
 ○ 산촌마을을 표현하는 다양한 눈,얼음조각
 ○ 알몸 마라톤 대회, 동계스포츠 체험, 대형 눈썰매, 
     참여형 눈조각 등 다양한 체험프로그램 운영
 ○ 생활문화 전시 및 야외 구이 체험 등 각종 특별행사 
     및 전시 진행</t>
    <phoneticPr fontId="3" type="noConversion"/>
  </si>
  <si>
    <t>대관령축제위원회
(033-335-3995)</t>
    <phoneticPr fontId="3" type="noConversion"/>
  </si>
  <si>
    <t>1993년도
(27회)</t>
    <phoneticPr fontId="3" type="noConversion"/>
  </si>
  <si>
    <t>주민화합</t>
    <phoneticPr fontId="3" type="noConversion"/>
  </si>
  <si>
    <t>눈조각</t>
    <phoneticPr fontId="3" type="noConversion"/>
  </si>
  <si>
    <t>평창더위사냥축제</t>
    <phoneticPr fontId="3" type="noConversion"/>
  </si>
  <si>
    <t>7월 말 ~ 8월 초
(10일간)</t>
    <phoneticPr fontId="3" type="noConversion"/>
  </si>
  <si>
    <t xml:space="preserve"> ○ 땀띠물냉천수 체험
 ○ 꿈의대화캠핑장 운영, 땀띠물냉천수 체험, 광천
     선굴 탐험 등 다양한 체험 프로그램 운영
 ○ 다양한 문화공연 및 각종 체험 프로그램 진행
 ○ 야시장,해바라기 포토존 등 다양한 체험거리 제공</t>
    <phoneticPr fontId="3" type="noConversion"/>
  </si>
  <si>
    <t>평창더위사냥축제위원회
(033-334-2277)</t>
    <phoneticPr fontId="3" type="noConversion"/>
  </si>
  <si>
    <t>2013년도
(8회)</t>
    <phoneticPr fontId="3" type="noConversion"/>
  </si>
  <si>
    <t>냉천수</t>
    <phoneticPr fontId="3" type="noConversion"/>
  </si>
  <si>
    <t xml:space="preserve">공원
</t>
    <phoneticPr fontId="3" type="noConversion"/>
  </si>
  <si>
    <t>평창효석문화제</t>
    <phoneticPr fontId="3" type="noConversion"/>
  </si>
  <si>
    <t>9월 초 ~ 9월 중순
(10일간)</t>
    <phoneticPr fontId="3" type="noConversion"/>
  </si>
  <si>
    <t xml:space="preserve"> ○ 메밀꽃밭 조성(테마포토존)
 ○ 이효석과 메밀꽃을 테마로한 공연,전시,체험프로
     그램 운영
 ○ 문학의 밤, 각종 전통마당 프로그램, 다양한 문학
     마당 프로그램 진행
 ○ 봉평 장터와 연계한 메밀 먹거리</t>
    <phoneticPr fontId="3" type="noConversion"/>
  </si>
  <si>
    <t>이효석문학선양회
(033-335-2323)</t>
    <phoneticPr fontId="3" type="noConversion"/>
  </si>
  <si>
    <t>1999년도
(21회)</t>
    <phoneticPr fontId="3" type="noConversion"/>
  </si>
  <si>
    <t>문화관광축제
(우수)</t>
    <phoneticPr fontId="3" type="noConversion"/>
  </si>
  <si>
    <t>메밀꽃</t>
    <phoneticPr fontId="3" type="noConversion"/>
  </si>
  <si>
    <t>사단법인</t>
    <phoneticPr fontId="3" type="noConversion"/>
  </si>
  <si>
    <t>있음
계약직 16명</t>
    <phoneticPr fontId="3" type="noConversion"/>
  </si>
  <si>
    <t>마을</t>
    <phoneticPr fontId="3" type="noConversion"/>
  </si>
  <si>
    <t>평창백일홍축제</t>
    <phoneticPr fontId="3" type="noConversion"/>
  </si>
  <si>
    <t>9월 중순 ~ 9월 말
(10일간)</t>
    <phoneticPr fontId="3" type="noConversion"/>
  </si>
  <si>
    <t xml:space="preserve"> ○ 백일홍꽃밭(테마포토존)
 ○ 백일홍을 테마로 포토존,다양한 체험 프로그램 진행
 ○ 송어낚시체험,강원예술제,직장인밴드 경연대회 등
     각종 무대 프로그램 및 깡통열차 등</t>
    <phoneticPr fontId="3" type="noConversion"/>
  </si>
  <si>
    <t>백일홍축제위원회
(033-330-6033)</t>
    <phoneticPr fontId="3" type="noConversion"/>
  </si>
  <si>
    <t>2015년도
(5회)</t>
    <phoneticPr fontId="3" type="noConversion"/>
  </si>
  <si>
    <t>백일홍</t>
    <phoneticPr fontId="3" type="noConversion"/>
  </si>
  <si>
    <t>정선군</t>
    <phoneticPr fontId="3" type="noConversion"/>
  </si>
  <si>
    <t>정선곤드레
산나물축제</t>
    <phoneticPr fontId="3" type="noConversion"/>
  </si>
  <si>
    <t>○ 산채, 농ㆍ특산물 판매행사장 20동 운영
○ 향토음식점 운영 외 지역 특선음식홍보관 운영
○ 지역 체험마을, 기업체, 협동조합, 등 가공품 전시
    판매장 운영
○ 문화행사 진행 (정선아리랑 시연, 지역예술인, 동아리
    공연 등)</t>
  </si>
  <si>
    <t>2009년도
(9회)</t>
    <phoneticPr fontId="3" type="noConversion"/>
  </si>
  <si>
    <t>산나물</t>
    <phoneticPr fontId="3" type="noConversion"/>
  </si>
  <si>
    <t>운동장
(정선읍 공설운동장)</t>
    <phoneticPr fontId="3" type="noConversion"/>
  </si>
  <si>
    <t>정선군</t>
  </si>
  <si>
    <t>정선아리랑제</t>
  </si>
  <si>
    <t>9월말 혹은
10월초</t>
  </si>
  <si>
    <t>○전국아리랑경창대회
○아리랑을 테마로한 공연,전시, 체험프로그램 운영
○개폐막 공연</t>
  </si>
  <si>
    <t>정선군 문화관광과
/ (사)정선아리랑제위원회
(033-560-2138)</t>
    <phoneticPr fontId="3" type="noConversion"/>
  </si>
  <si>
    <t>1976년도
(44회)</t>
    <phoneticPr fontId="3" type="noConversion"/>
  </si>
  <si>
    <t xml:space="preserve"> 아리랑</t>
  </si>
  <si>
    <t>있음
정규직3명
계약직1명
총4명</t>
  </si>
  <si>
    <t>공원(정선읍 아라리공원)</t>
    <phoneticPr fontId="3" type="noConversion"/>
  </si>
  <si>
    <t>철원군</t>
    <phoneticPr fontId="3" type="noConversion"/>
  </si>
  <si>
    <t>제7회 철원 한탄강 얼음트레킹</t>
    <phoneticPr fontId="3" type="noConversion"/>
  </si>
  <si>
    <t>1.19.~1.27.
(9일간)</t>
    <phoneticPr fontId="3" type="noConversion"/>
  </si>
  <si>
    <t>○ 얼음트레킹 (태봉대교~순담)
○ 공연 및 체험행사
○ 전시행사 (얼음조각 , 눈조각, 겨울전통놀이 등)</t>
    <phoneticPr fontId="3" type="noConversion"/>
  </si>
  <si>
    <t>철원군 관광과
/ 철원군 축제위원회
(033-450-5255)</t>
    <phoneticPr fontId="3" type="noConversion"/>
  </si>
  <si>
    <t>2013년도
(7회)</t>
    <phoneticPr fontId="3" type="noConversion"/>
  </si>
  <si>
    <t>한탄강 
얼음트레킹</t>
    <phoneticPr fontId="3" type="noConversion"/>
  </si>
  <si>
    <t>철원군/
철원군축제위원회</t>
    <phoneticPr fontId="3" type="noConversion"/>
  </si>
  <si>
    <t>있음
정규직 4명</t>
    <phoneticPr fontId="3" type="noConversion"/>
  </si>
  <si>
    <t>부분위탁</t>
    <phoneticPr fontId="3" type="noConversion"/>
  </si>
  <si>
    <t>철원 한탄강 
일원</t>
    <phoneticPr fontId="3" type="noConversion"/>
  </si>
  <si>
    <t>제13회 철원 화강 다슬기 축제</t>
    <phoneticPr fontId="3" type="noConversion"/>
  </si>
  <si>
    <t>8.1.~8.4.
(4일간)</t>
    <phoneticPr fontId="3" type="noConversion"/>
  </si>
  <si>
    <t>○ 황금 다슬기 잡기 등 생태 프로그램
○ 공연 및 체험행사
○ 워터 슬라이드 등 수변 놀이시설 운영</t>
    <phoneticPr fontId="3" type="noConversion"/>
  </si>
  <si>
    <t>2007년도
(13회)</t>
    <phoneticPr fontId="3" type="noConversion"/>
  </si>
  <si>
    <t>철원 화강 /
다슬기</t>
    <phoneticPr fontId="3" type="noConversion"/>
  </si>
  <si>
    <t>철원 화강 일원</t>
    <phoneticPr fontId="3" type="noConversion"/>
  </si>
  <si>
    <t>제37회 태봉제</t>
    <phoneticPr fontId="3" type="noConversion"/>
  </si>
  <si>
    <t>10.10.~10.12
(3일간)</t>
    <phoneticPr fontId="3" type="noConversion"/>
  </si>
  <si>
    <t>○ 궁예왕 즉의식, 태봉석등 점등식 등
○ 태봉제례 및 성화 채화, 상노지경다지기 공연 등
○ 공연 및 체험행사</t>
    <phoneticPr fontId="3" type="noConversion"/>
  </si>
  <si>
    <t>1982년도
(37회)</t>
    <phoneticPr fontId="3" type="noConversion"/>
  </si>
  <si>
    <t>철원의 전통 및 역사</t>
    <phoneticPr fontId="3" type="noConversion"/>
  </si>
  <si>
    <t>철원군 종합운동장 일원</t>
    <phoneticPr fontId="3" type="noConversion"/>
  </si>
  <si>
    <t xml:space="preserve"> DMZ 피스트레인</t>
    <phoneticPr fontId="3" type="noConversion"/>
  </si>
  <si>
    <t>6.5~9(5일간)</t>
    <phoneticPr fontId="3" type="noConversion"/>
  </si>
  <si>
    <t>○ 서울-백마고지 특별 열차운행
○ 노동당사, 월정리역 특별 공연
○ 메인 무대 2개 : 음악공연</t>
    <phoneticPr fontId="3" type="noConversion"/>
  </si>
  <si>
    <t>음악, 평화</t>
    <phoneticPr fontId="3" type="noConversion"/>
  </si>
  <si>
    <t>사단법인</t>
    <phoneticPr fontId="3" type="noConversion"/>
  </si>
  <si>
    <t>0.3</t>
    <phoneticPr fontId="3" type="noConversion"/>
  </si>
  <si>
    <t>공원(철원군 고석적, 노동당사 일원)</t>
    <phoneticPr fontId="3" type="noConversion"/>
  </si>
  <si>
    <t>화천군</t>
    <phoneticPr fontId="3" type="noConversion"/>
  </si>
  <si>
    <t>얼음나라화천
산천어축제</t>
    <phoneticPr fontId="3" type="noConversion"/>
  </si>
  <si>
    <t>1.5~1.27
(23일)</t>
    <phoneticPr fontId="3" type="noConversion"/>
  </si>
  <si>
    <t>○ 산천어얼음낚시 외 60여개 체험프로그램 운영
○ 선등거리, 세계최대실내얼음조각광장, 차없는거리 등 
    시가지와 연계한 다양한 문화공연 이벤트 개최
○ 창작썰매 콘테스트</t>
    <phoneticPr fontId="3" type="noConversion"/>
  </si>
  <si>
    <t>화천군청 관광정책과 / 
재단법인 나라
(033-440-2558)</t>
    <phoneticPr fontId="3" type="noConversion"/>
  </si>
  <si>
    <t>2003년도
(16회)</t>
    <phoneticPr fontId="3" type="noConversion"/>
  </si>
  <si>
    <t>문화관광축제
(글로벌육성축제)</t>
    <phoneticPr fontId="3" type="noConversion"/>
  </si>
  <si>
    <t>산천어</t>
    <phoneticPr fontId="3" type="noConversion"/>
  </si>
  <si>
    <t>재단법인</t>
    <phoneticPr fontId="3" type="noConversion"/>
  </si>
  <si>
    <t>정규직 9명
계약직 15명
총24명</t>
    <phoneticPr fontId="3" type="noConversion"/>
  </si>
  <si>
    <t>부분위탁</t>
    <phoneticPr fontId="3" type="noConversion"/>
  </si>
  <si>
    <t>하천</t>
  </si>
  <si>
    <t>물의나라화천
쪽배축제</t>
    <phoneticPr fontId="3" type="noConversion"/>
  </si>
  <si>
    <t>7월말~8월초
(9일)</t>
    <phoneticPr fontId="3" type="noConversion"/>
  </si>
  <si>
    <t>○ 물놀이장 외 20여개 체험프로그램 운영
○ 창작쪽배 콘테스트</t>
    <phoneticPr fontId="3" type="noConversion"/>
  </si>
  <si>
    <t>2003년도
(17회)</t>
    <phoneticPr fontId="3" type="noConversion"/>
  </si>
  <si>
    <t>쪽배</t>
    <phoneticPr fontId="3" type="noConversion"/>
  </si>
  <si>
    <t>하천</t>
    <phoneticPr fontId="3" type="noConversion"/>
  </si>
  <si>
    <t>화천군</t>
  </si>
  <si>
    <t>화천토마토축제</t>
  </si>
  <si>
    <t>8.1~8.4
(4일간)</t>
    <phoneticPr fontId="3" type="noConversion"/>
  </si>
  <si>
    <t xml:space="preserve"> ○ 토마토황금반지를 찾아라
 ○ 화천화악산 토마토를 테마로한 40가지 공연, 전시, 
     체험프로그램 
 ○ 전야제공연, 토마토야 놀자, 이기자 장병의 밤 등
</t>
  </si>
  <si>
    <t>화천군청 농촌개발과
/ 화천토마토축제추진위원회
(033-440-2912)</t>
    <phoneticPr fontId="3" type="noConversion"/>
  </si>
  <si>
    <t>화천
화악산토마토</t>
  </si>
  <si>
    <t>시내거리</t>
    <phoneticPr fontId="3" type="noConversion"/>
  </si>
  <si>
    <t>양구군</t>
    <phoneticPr fontId="3" type="noConversion"/>
  </si>
  <si>
    <t>청춘양구 곰취축제</t>
    <phoneticPr fontId="3" type="noConversion"/>
  </si>
  <si>
    <t>5.4~5.6            (3일간)</t>
    <phoneticPr fontId="3" type="noConversion"/>
  </si>
  <si>
    <t xml:space="preserve">○ 곰취현장채취체험(건강 웰빙프로그램)                      ○ 지역특산물을 소재 및 테마로한 체험, 전시, 공연
    프로그램 운영                                                                 ○ 개막행사 등 6개분야 60여개 프로그램            </t>
    <phoneticPr fontId="3" type="noConversion"/>
  </si>
  <si>
    <t>(사)양구군축제위원회/곰취축제집행위원회                                   (김영일/ 033-480-2242)</t>
  </si>
  <si>
    <t>2004년도         (15회)</t>
    <phoneticPr fontId="3" type="noConversion"/>
  </si>
  <si>
    <t>곰취</t>
    <phoneticPr fontId="3" type="noConversion"/>
  </si>
  <si>
    <t>매년5월초</t>
    <phoneticPr fontId="3" type="noConversion"/>
  </si>
  <si>
    <t>사단법인           축제위원회</t>
    <phoneticPr fontId="3" type="noConversion"/>
  </si>
  <si>
    <t>있음                  정규직 1명        계약직3명         총4명</t>
    <phoneticPr fontId="3" type="noConversion"/>
  </si>
  <si>
    <t>공원(양구읍 레포츠공원 일원)</t>
    <phoneticPr fontId="3" type="noConversion"/>
  </si>
  <si>
    <t>청춘양구 배꼽축제</t>
    <phoneticPr fontId="3" type="noConversion"/>
  </si>
  <si>
    <t>8.2~8.4          (3일간)</t>
    <phoneticPr fontId="3" type="noConversion"/>
  </si>
  <si>
    <t>○ 양구의 지리적 특성(한반도의 배꼽)을 테마로한 축제  ○ 배꼽=생명=물을 주제로 '물난리존' 등 다양한 물놀이    
    프로그램                                                                 ○ 지역 여름철 대표 농산물 '수박'을 활용한 다양한
    프로그램                                                                 ○ 개막행사 등 8개분야 50여개 프로그램</t>
    <phoneticPr fontId="3" type="noConversion"/>
  </si>
  <si>
    <t>(사)양구군축제위원회/배꼽축제집행위원회
(김영일/033-480-2242)</t>
  </si>
  <si>
    <t>2008년도         (12회)</t>
    <phoneticPr fontId="3" type="noConversion"/>
  </si>
  <si>
    <t>생태자연</t>
    <phoneticPr fontId="3" type="noConversion"/>
  </si>
  <si>
    <t>물</t>
    <phoneticPr fontId="3" type="noConversion"/>
  </si>
  <si>
    <t>매년 7월말~8월초</t>
    <phoneticPr fontId="3" type="noConversion"/>
  </si>
  <si>
    <t>양록제</t>
    <phoneticPr fontId="3" type="noConversion"/>
  </si>
  <si>
    <t xml:space="preserve">10.10~10.12   (3일간) </t>
    <phoneticPr fontId="3" type="noConversion"/>
  </si>
  <si>
    <t xml:space="preserve"> ○금강산가는 옛길 걷기대회 진행                                ○ 군민의 날을 경축하는 행사로 민·관·군 대화합의 장
○ 지역향토문화예술축제로 지역 읍면대항  민속·체육경기 진행                                                                       ○ 지역문화예술 보급 및 발전을 위한 다양한 공연 및 전시
    프로그램 
○ 개폐막행사 등 6개분야 30여개 프로그램</t>
    <phoneticPr fontId="3" type="noConversion"/>
  </si>
  <si>
    <t>(사)양구군축제위원회/양록제집행위원회
(김영일/033-480-2242)</t>
  </si>
  <si>
    <t>1985년도        (35회)</t>
    <phoneticPr fontId="3" type="noConversion"/>
  </si>
  <si>
    <t>주민화합</t>
    <phoneticPr fontId="3" type="noConversion"/>
  </si>
  <si>
    <t>향토문화</t>
    <phoneticPr fontId="3" type="noConversion"/>
  </si>
  <si>
    <t>매년 10월둘째주</t>
    <phoneticPr fontId="3" type="noConversion"/>
  </si>
  <si>
    <t>양구종합운동장</t>
    <phoneticPr fontId="3" type="noConversion"/>
  </si>
  <si>
    <t>인제군</t>
  </si>
  <si>
    <t>제18회 인제빙어축제</t>
  </si>
  <si>
    <r>
      <t>1.26</t>
    </r>
    <r>
      <rPr>
        <sz val="11"/>
        <rFont val="돋움"/>
        <family val="3"/>
        <charset val="129"/>
      </rPr>
      <t>∼</t>
    </r>
    <r>
      <rPr>
        <sz val="11"/>
        <rFont val="HY중고딕"/>
        <family val="1"/>
        <charset val="129"/>
      </rPr>
      <t>2.3</t>
    </r>
    <phoneticPr fontId="3" type="noConversion"/>
  </si>
  <si>
    <t xml:space="preserve"> ○ 빙어낙시, 산촌체험행사</t>
    <phoneticPr fontId="3" type="noConversion"/>
  </si>
  <si>
    <t>인제군/인제군문화재단
(033-460-2082)</t>
    <phoneticPr fontId="3" type="noConversion"/>
  </si>
  <si>
    <t>1998
(19회)</t>
    <phoneticPr fontId="3" type="noConversion"/>
  </si>
  <si>
    <t>빙어</t>
  </si>
  <si>
    <t>정규직 3명</t>
  </si>
  <si>
    <t>용대황태축제</t>
  </si>
  <si>
    <t>5.3∼5.6</t>
    <phoneticPr fontId="3" type="noConversion"/>
  </si>
  <si>
    <t xml:space="preserve"> ○ 황태판매, 문화공연등</t>
  </si>
  <si>
    <t>1999
(20회)</t>
    <phoneticPr fontId="3" type="noConversion"/>
  </si>
  <si>
    <t>`</t>
  </si>
  <si>
    <t>황태</t>
  </si>
  <si>
    <t>고성군</t>
  </si>
  <si>
    <t>동해안 최북단 저도어장 대문어축제</t>
  </si>
  <si>
    <t>5.3~5.5
(3일간)</t>
  </si>
  <si>
    <t xml:space="preserve"> ○ 문어·회초밥 만들기 체험, 자연산 회덮밥 500명분 만
     들기 체험 등 문어를 테마로한 체험프로그램 운영
 ○ 식전공연(지역문화예술단체), 7080 포크 콘서트 등
      7개 분야 38개 프로그램
 ○ 저도어장 입어 및 조업동영상(사진전) 등 전시행사
 ○ 5개 읍·면 농·특산물 장터 등 항구장터 운영</t>
  </si>
  <si>
    <t>고성군 해양수산과
/ 대문어축제위원회
(033-680-3411)</t>
  </si>
  <si>
    <t>2016
(3회)</t>
  </si>
  <si>
    <t>문어</t>
  </si>
  <si>
    <t>부분위탁
(프로그램)</t>
  </si>
  <si>
    <t>바다
(대진항일원)</t>
  </si>
  <si>
    <t>고성군민의 날 및 수성문화제</t>
  </si>
  <si>
    <t>9월 중 / 미정</t>
  </si>
  <si>
    <t>○ 수성제례, 군민노래자랑, 전야제행사, 민속·체육경기 등</t>
  </si>
  <si>
    <t>수성문화제위원회
(033-680-3368)</t>
  </si>
  <si>
    <t>1983년도
(37회)</t>
  </si>
  <si>
    <t>민속놀이</t>
  </si>
  <si>
    <t xml:space="preserve">고성종합운동장 </t>
  </si>
  <si>
    <t>고성군</t>
    <phoneticPr fontId="3" type="noConversion"/>
  </si>
  <si>
    <t>고성통일명태축제</t>
    <phoneticPr fontId="3" type="noConversion"/>
  </si>
  <si>
    <t>10월경
(미정)</t>
    <phoneticPr fontId="3" type="noConversion"/>
  </si>
  <si>
    <t>○ 명태체험 프로그램 운영 등</t>
    <phoneticPr fontId="3" type="noConversion"/>
  </si>
  <si>
    <t>고성명태축제위원회
(033-682-8008)</t>
    <phoneticPr fontId="3" type="noConversion"/>
  </si>
  <si>
    <t>1999년
(21회)</t>
    <phoneticPr fontId="3" type="noConversion"/>
  </si>
  <si>
    <t>지역특산물</t>
    <phoneticPr fontId="3" type="noConversion"/>
  </si>
  <si>
    <t>명태</t>
    <phoneticPr fontId="3" type="noConversion"/>
  </si>
  <si>
    <t>거진11리 해변</t>
    <phoneticPr fontId="3" type="noConversion"/>
  </si>
  <si>
    <t>양양군</t>
    <phoneticPr fontId="3" type="noConversion"/>
  </si>
  <si>
    <t>양양송이축제</t>
    <phoneticPr fontId="3" type="noConversion"/>
  </si>
  <si>
    <t>9.26~9.29
(4일간)</t>
    <phoneticPr fontId="3" type="noConversion"/>
  </si>
  <si>
    <t xml:space="preserve"> ○ 외국인송이채취현장체험
 ○ 송이보물찾기 체험
 ○ 표고버섯따기 체험
 ○ 문화예술행사 및 특산물 전시 판매 등</t>
    <phoneticPr fontId="3" type="noConversion"/>
  </si>
  <si>
    <t>양양군/양양군축제위원회
(033-670-2207)</t>
    <phoneticPr fontId="3" type="noConversion"/>
  </si>
  <si>
    <t>1997년도
(23회)</t>
    <phoneticPr fontId="3" type="noConversion"/>
  </si>
  <si>
    <t>송이버섯</t>
    <phoneticPr fontId="3" type="noConversion"/>
  </si>
  <si>
    <t>공공(양양군)</t>
    <phoneticPr fontId="3" type="noConversion"/>
  </si>
  <si>
    <t>자체추진</t>
    <phoneticPr fontId="3" type="noConversion"/>
  </si>
  <si>
    <t>양양남대천둔치</t>
    <phoneticPr fontId="3" type="noConversion"/>
  </si>
  <si>
    <t>양양연어축제</t>
    <phoneticPr fontId="3" type="noConversion"/>
  </si>
  <si>
    <t>10.24~10.25
(4일간)</t>
    <phoneticPr fontId="3" type="noConversion"/>
  </si>
  <si>
    <t xml:space="preserve"> ○ 연어맨손잡기체험
 ○ 어미연어맞이하기행사
 ○ 연어소원등달기행사
 ○ 연어열차생태체험, 연어탁본뜨기 등 상설행사</t>
    <phoneticPr fontId="3" type="noConversion"/>
  </si>
  <si>
    <t>양양군/양양군축제위원회
(033-670-2724)</t>
    <phoneticPr fontId="3" type="noConversion"/>
  </si>
  <si>
    <t>연어, 생태체험</t>
    <phoneticPr fontId="3" type="noConversion"/>
  </si>
  <si>
    <t>"</t>
    <phoneticPr fontId="3" type="noConversion"/>
  </si>
  <si>
    <t>양양문화제</t>
    <phoneticPr fontId="3" type="noConversion"/>
  </si>
  <si>
    <t>5.23~5.25
(3일간)</t>
    <phoneticPr fontId="3" type="noConversion"/>
  </si>
  <si>
    <t>○ 장군성황제
○ 시가행진
○ 고치물제
○ 전통예술공연, 체육대회
○ 군민노래자랑, 경축행사</t>
    <phoneticPr fontId="3" type="noConversion"/>
  </si>
  <si>
    <t>양양군 문화관광체육과/양양문화원
(033-670-2728)</t>
    <phoneticPr fontId="3" type="noConversion"/>
  </si>
  <si>
    <t>1978년도
(41회)</t>
    <phoneticPr fontId="3" type="noConversion"/>
  </si>
  <si>
    <t>민속</t>
    <phoneticPr fontId="3" type="noConversion"/>
  </si>
  <si>
    <t>축제조직위</t>
    <phoneticPr fontId="3" type="noConversion"/>
  </si>
  <si>
    <t>없음</t>
    <phoneticPr fontId="3" type="noConversion"/>
  </si>
  <si>
    <t>하천
(양양 남대천 둔치)</t>
    <phoneticPr fontId="3" type="noConversion"/>
  </si>
  <si>
    <r>
      <t>국비 상세 내역</t>
    </r>
    <r>
      <rPr>
        <b/>
        <sz val="10"/>
        <rFont val="굴림"/>
        <family val="3"/>
        <charset val="129"/>
      </rPr>
      <t>('19.1월 기준 확정된 내용만 작성)</t>
    </r>
  </si>
  <si>
    <t>대구광역시</t>
  </si>
  <si>
    <t>시자체,중구</t>
  </si>
  <si>
    <t>대구약령시
한방문화축제</t>
  </si>
  <si>
    <t>5.2~5.6
(5일간)</t>
  </si>
  <si>
    <t xml:space="preserve">○ 사상체질진단 및 무료한방진료 체험
○ 한방을 테마로한 공연, 전시, 체험프로그램 운영
○ 고유제, 개막식, 주제공연 및 문화공연
○ 기타 특별행사 및 전시 등 </t>
  </si>
  <si>
    <t>대구광역시, 대구광역시 중구
/ (사)약령시보존위원회
(053-803-6781)</t>
  </si>
  <si>
    <t>1978년
(42회)</t>
  </si>
  <si>
    <t>한방</t>
  </si>
  <si>
    <t xml:space="preserve">있음
정규직 4명
계약직 2명
총 6명  </t>
  </si>
  <si>
    <t>컬러풀대구페스티벌</t>
  </si>
  <si>
    <t>5.4~5.5
(2일간)</t>
  </si>
  <si>
    <t>○ 컬러풀퍼레이드
○ 거리예술제
○ 예술장터</t>
  </si>
  <si>
    <t>대구광역시 문화콘텐츠과
(053-803-6224)
/(재)대구문화재단
(053-430-1263)</t>
  </si>
  <si>
    <t>2005년
(15회)</t>
  </si>
  <si>
    <t>퍼레이드 및
거리공연</t>
  </si>
  <si>
    <t xml:space="preserve">있음
정규직 1명
계약직 5명
총 6명  </t>
  </si>
  <si>
    <t>시내거리
(국채보상로)</t>
  </si>
  <si>
    <t>형형색색 달구벌 관등놀이</t>
  </si>
  <si>
    <t>4~5월중</t>
  </si>
  <si>
    <t>○ 점등식
○ 청소년불교문화축제
○ 관등놀이(등전시, 소원풍등날리기, 연등행령)</t>
  </si>
  <si>
    <t>대구광역시 문화예술정책과 
/ (사)대구불교총연합회
(053-803-3732)</t>
  </si>
  <si>
    <t>2012년
(8회)</t>
  </si>
  <si>
    <t>연등</t>
  </si>
  <si>
    <t>·사단법인
 ·축제조직위</t>
  </si>
  <si>
    <t>·전체위탁</t>
  </si>
  <si>
    <t>운동장</t>
  </si>
  <si>
    <t>대구치맥페스티벌</t>
  </si>
  <si>
    <t>7.17.~7.21
(5일간)</t>
  </si>
  <si>
    <t xml:space="preserve">○ 치킨.맥주업체 홍보.전시 판매 
○ 치킨 맥주를 테마로한 공연, 참여, 체험프로그램 운영
○ 개막 공연, 치맥콘서트 및 각종 경연행사 등
    - 5개 분야 78여개 프로그램
○ 기타 전통시장과 연계행사 진행 등 </t>
  </si>
  <si>
    <t>(사)한국치맥산업협회/
2019 대구치맥페스티벌 조직위원회</t>
  </si>
  <si>
    <t>2013
(7회)</t>
  </si>
  <si>
    <t>치킨, 맥주</t>
  </si>
  <si>
    <t>정규직 3명
계약직 2명</t>
  </si>
  <si>
    <t>두류공원,
평화시장,
서부시장,
이월드 등</t>
  </si>
  <si>
    <t>시 자체</t>
  </si>
  <si>
    <t>대구국제호러페스티벌</t>
  </si>
  <si>
    <t>8.1~8.4
(4일간)</t>
  </si>
  <si>
    <t>○ 해외초청공연 : 6개국(중국, 아일랜드 등)
○ 국내초청공연 : 5개지역(경북, 서울, 울산, 부산 등)
○ 공식참가작 공연 : 8개 작품 
○ 호러IT체험관, 좀비런, 놀이마당 등 11개 부대행사</t>
  </si>
  <si>
    <t>(사)한국연극협회 대구시지회/ 
대구호러공연예술제조직위원회
(053-255-2555)</t>
  </si>
  <si>
    <t>2002년
(17회)</t>
  </si>
  <si>
    <t>문화예술진흥기금</t>
  </si>
  <si>
    <t>괴기, 좀비, 여름</t>
  </si>
  <si>
    <t>비상설
계약 20명</t>
  </si>
  <si>
    <t>대구스타디움, 시민광장, 소극장 등</t>
  </si>
  <si>
    <t>대구국제바디페인팅
축제</t>
  </si>
  <si>
    <t>8.24~8.25
(2일간)</t>
  </si>
  <si>
    <t>○ 경연 및 시상식
(바디페인팅, 판타지 메이크업, 포토제닉 모델 부문)
○ 축하공연, 전시 및 체험행사 등</t>
  </si>
  <si>
    <t>㈜TBC/DIBF 조직위
(053-760-1845)</t>
  </si>
  <si>
    <t>2008년
(12회)</t>
  </si>
  <si>
    <t>바디페인팅</t>
  </si>
  <si>
    <t>두류공원 야외음악당</t>
  </si>
  <si>
    <t>대구생활문화제</t>
  </si>
  <si>
    <t>○ 메인행사(시민대합주)
○ 기획행사(버스킹 공연, 생활문화로드 등)
○ 부대행사(생활문화 사진전, 느린우체통, 포토존)
○ 구군 행활문화주간행사</t>
  </si>
  <si>
    <t>대구광역시 문화예술정책과
(053-803-3631)
/대구문화재단
(053-430-1251)</t>
  </si>
  <si>
    <t>2014년
(6회)</t>
  </si>
  <si>
    <t>생활문화, 동호회공연, 전시, 시민참여 등</t>
  </si>
  <si>
    <t>무</t>
  </si>
  <si>
    <t>대구삼성창조캠퍼스 외 6개소</t>
  </si>
  <si>
    <t>팔공산 산중전통장터 승시</t>
  </si>
  <si>
    <t>○ 승시재현, 불교문화체험 마당
○ 개막식, 씨름대회 등 각종 경연, 공연행사 등</t>
  </si>
  <si>
    <t>대구광역시 관광과, 동화사
/ 팔공산 승시축제봉행위원회
(053-803-3887)</t>
  </si>
  <si>
    <t>2010년
(10회)</t>
  </si>
  <si>
    <t>종교문화행사 지원</t>
  </si>
  <si>
    <t>스님들의 산중전통장터</t>
  </si>
  <si>
    <t>팔공산 동화사 경내</t>
  </si>
  <si>
    <t>시자체,북구</t>
  </si>
  <si>
    <t>대구국제패션문화페스티벌</t>
  </si>
  <si>
    <t>09.27~09.29
(3일간)</t>
  </si>
  <si>
    <t>○ 패션을 주제로한 패션쇼∙공연∙전시∙마켓∙체험 프로그램 운영</t>
  </si>
  <si>
    <t>대구광역시 섬유패션과 / 한국패션산업연구원(053-721-7436)</t>
  </si>
  <si>
    <t>지역문화행사지원</t>
  </si>
  <si>
    <t>패션쇼</t>
  </si>
  <si>
    <t>부분위탁(운영)</t>
  </si>
  <si>
    <t>제3회대구커피&amp;베이커리축제</t>
  </si>
  <si>
    <t>11월 중</t>
  </si>
  <si>
    <t>○ 커피&amp;베이커리 홍보관 운영 ( 26개업체 25개부스)
○ 전시, 체험 프로그램운영
○ 무대, 음악공연 등 문화공연</t>
  </si>
  <si>
    <t>영남일보
(053-757-5444)</t>
  </si>
  <si>
    <t>2017년
(3회)</t>
  </si>
  <si>
    <t>커피</t>
  </si>
  <si>
    <t>동성로축제</t>
  </si>
  <si>
    <t>5.10~5.12.
(3일)</t>
  </si>
  <si>
    <t>○ 동성로뷰티쇼/패션쇼(산학연계) 등
○ 히트바디챔피온십, K-Classic
○ 동성로가요제, 동성로DJ페스티발, 킹오브댄싱
○ 뷰티거리와 연계된 뷰티체험 부스 운영
○ 푸드트럭  운영 등</t>
  </si>
  <si>
    <t>(사)달성문화선양회/동성로상점가상인회
(053-423-3337)</t>
  </si>
  <si>
    <t>1990년
(30회)</t>
  </si>
  <si>
    <t>뷰티</t>
  </si>
  <si>
    <t>대구 동성로 
시내 일원</t>
  </si>
  <si>
    <t>대구패션주얼리위크</t>
  </si>
  <si>
    <t>5.10~5.12
(3일)</t>
  </si>
  <si>
    <t xml:space="preserve">○ 주얼리패션쇼 
○ 반지의여왕,진주만대작전,주얼리경매 등
○ 기타 주얼리콘서트 및 전시,체험행사 등등 </t>
  </si>
  <si>
    <t>대구패션주얼리특구상인회/
대구패션주얼리위크조직위원회
(053-424-9150)</t>
  </si>
  <si>
    <t>2006년
(14회)</t>
  </si>
  <si>
    <t>주얼리</t>
  </si>
  <si>
    <t>시내 동성로 및 
귀금속골목</t>
  </si>
  <si>
    <t>서문시장글로벌대축제</t>
  </si>
  <si>
    <t>10.4~10.6
(3일)</t>
  </si>
  <si>
    <t>○ 보부상 퍼레이드
○ 서문가요제, 서문가요제, 배틀오브밴드 경연
○ 야시장 및 먹거리부스 운영 등</t>
  </si>
  <si>
    <t>서문시장상가연합회/서문시장상가연합회
(053-256-6341)</t>
  </si>
  <si>
    <t>2001년
(19회)</t>
  </si>
  <si>
    <t>중기부</t>
  </si>
  <si>
    <t>전통시장축제(공동마케팅)</t>
  </si>
  <si>
    <t>전통시장</t>
  </si>
  <si>
    <t>대구화교중화문화축제</t>
  </si>
  <si>
    <t>10월 중
(2일)</t>
  </si>
  <si>
    <t>○ 개막식, 중국용춤·사자춤
○ 중화전통의상, 음식, 놀이 전시 및 체험
○ 전통그림자극, 변검술, 치파오 모델선발 등</t>
  </si>
  <si>
    <t>대구 화교협회/
대구화교협회조직위원회
(053-255-0561)</t>
  </si>
  <si>
    <t>2006년
(13회)</t>
  </si>
  <si>
    <t>화교거리</t>
  </si>
  <si>
    <t>화교소학교
종로거리 일원</t>
  </si>
  <si>
    <t>팔공산 벚꽃축제</t>
  </si>
  <si>
    <t>4월 중</t>
  </si>
  <si>
    <t>○ 벚꽃가요제
○ 봄나물 비빔밥 축제
○ 시민장기자랑 등</t>
  </si>
  <si>
    <t>동화지구번영회
(053-662-2173)</t>
  </si>
  <si>
    <t>2009년
(11회)</t>
  </si>
  <si>
    <t>팔공산 단풍축제</t>
  </si>
  <si>
    <t>10월 중</t>
  </si>
  <si>
    <t>○ 단풍가요제
○ 단풍길 걷기대회
○ 순두부시식 등</t>
  </si>
  <si>
    <t>2000년
(20회)</t>
  </si>
  <si>
    <t>단풀</t>
  </si>
  <si>
    <t>남구</t>
  </si>
  <si>
    <t>제26회 대덕제
"대구 앞산빨래터 축제"</t>
  </si>
  <si>
    <t>4월중
(2일간)</t>
  </si>
  <si>
    <t>○ 빨래터의 공간적, 시간적, 행동적 의미를 테마로 한 프로그램 운영
○ 樂퍼커션, 손빨래체험, 거리 퍼레이드, 펫 퍼레이드
○ 메인무대 공연, 전통혼례, 마당극
○ 체험부스, 버스킹, 플리마켓, 키즈존
○ 연계행사</t>
  </si>
  <si>
    <t>남구문화행사추진위원회
053-664-3262</t>
  </si>
  <si>
    <t>1987년
(26회)</t>
  </si>
  <si>
    <t>빨래터</t>
  </si>
  <si>
    <t>비영리단체</t>
  </si>
  <si>
    <t>앞산빨래터공원
앞산맛둘레길</t>
  </si>
  <si>
    <t>제7회 대명공연문화거리
로드페스티벌</t>
  </si>
  <si>
    <t>5~6월중
(2일간)</t>
  </si>
  <si>
    <t>○ 거리예술 및 거리연극
○ 스토리텔링 공연, 부대행사</t>
  </si>
  <si>
    <t>대명공연예술단체 연합회
053-621-8005</t>
  </si>
  <si>
    <t>2013년
(7회)</t>
  </si>
  <si>
    <t>연극</t>
  </si>
  <si>
    <t>대명공연거리</t>
  </si>
  <si>
    <t>제13회
신천돗자리음악회</t>
  </si>
  <si>
    <t>7월중
(2일간)</t>
  </si>
  <si>
    <t>○ 버스킹, ICE 이벤트, Save the Earth 캠페인
○ 폭염탈출 콘서트, 신천돗자리 가요제
○ 건강안전체험, 나눔장터</t>
  </si>
  <si>
    <t>2007년
(13회)</t>
  </si>
  <si>
    <t>폭염</t>
  </si>
  <si>
    <t>신천둔치
중동교남편</t>
  </si>
  <si>
    <t>안지랑곱창
젊음의 거리 축제</t>
  </si>
  <si>
    <t>8월중
(2일간)</t>
  </si>
  <si>
    <t>○ 곱창거리 홍보
○ 남구푸드 시식관, 식품안전체험관 운영
○ 플리마켓, 기타 이벤트, 초청가수 공연</t>
  </si>
  <si>
    <t>대구 남구 위생과
/안지랑곱창골목상가번영회
053-664-2765</t>
  </si>
  <si>
    <t>2013년
(6회)</t>
  </si>
  <si>
    <t>곱창</t>
  </si>
  <si>
    <t>임의단체,
공공 협업</t>
  </si>
  <si>
    <t>미개최</t>
  </si>
  <si>
    <t>안지랑곱창골목</t>
  </si>
  <si>
    <t>대구 할로윈 축제</t>
  </si>
  <si>
    <t>10월중
(2일간)</t>
  </si>
  <si>
    <t>○ 호박카빙, 코스튬체험
○ 워킹데드 서바이벌, 문화공연</t>
  </si>
  <si>
    <t>대구 남구 문화관광과
/(사)공동체디자인연구소
053-664-2174</t>
  </si>
  <si>
    <t>2018년
(2회)</t>
  </si>
  <si>
    <t>문화특화지역조성사업</t>
  </si>
  <si>
    <t>할로윈</t>
  </si>
  <si>
    <t>앞산3개맛길</t>
  </si>
  <si>
    <t>북구</t>
  </si>
  <si>
    <t>금호강 바람소리길 축제</t>
  </si>
  <si>
    <t>9~10월 중
(2일간)</t>
  </si>
  <si>
    <t>○ 금호강을 테마로 공연, 전시, 체험프로그램 운영
○ 개폐막 공연, 박람회 및 체험부스 운영
○ 기타 특별행사 및 경연대회 등</t>
  </si>
  <si>
    <t>(재)행복북구문화재단
(053-320-5124)</t>
  </si>
  <si>
    <t>2015년
(5회)</t>
  </si>
  <si>
    <t>금호강</t>
  </si>
  <si>
    <t>(태풍으로 인해</t>
  </si>
  <si>
    <t>2018 축제 취소)</t>
  </si>
  <si>
    <t>수성구</t>
  </si>
  <si>
    <t>수성못 페스티벌
(Suseong Lake Festival)</t>
  </si>
  <si>
    <t>9.27.~29.
(3일간)</t>
  </si>
  <si>
    <t>○ 호반을 배경으로 펼쳐지는 다채로운 문화예술 공연 및 음악 불꽃쇼
○ 체험프로그램 : 예술놀이터, 아트마켓, 벼룩시장,사생대회, 백일장 등
○ (부대행사)들안길 푸드페스티벌
      - 들안길가요제, 금수저를 잡아라 등</t>
  </si>
  <si>
    <t>대구광역시 수성구 문화체육과
(053-666-2163) / (재)수성문화재단(053-668-1504)</t>
  </si>
  <si>
    <t>호수, 생활예술</t>
  </si>
  <si>
    <t>있음
정규직 4</t>
  </si>
  <si>
    <t>부분위탁
(시스템, 행사운영 등)</t>
  </si>
  <si>
    <t>호수(호반)</t>
  </si>
  <si>
    <t>달서구</t>
  </si>
  <si>
    <t>장미꽃 필 무렵</t>
  </si>
  <si>
    <t>5월(5일간)</t>
  </si>
  <si>
    <t>○ 장미를 소재로한 예술 체험프로그램 및 축하공연과 버스킹</t>
  </si>
  <si>
    <t>달서문화재단
(053-584-9712)</t>
  </si>
  <si>
    <t>2011년
(7회)</t>
  </si>
  <si>
    <t>재단직원 25</t>
  </si>
  <si>
    <t>달성군</t>
  </si>
  <si>
    <t>제23회 비슬산
참꽃문화제</t>
  </si>
  <si>
    <t>4월 중순
(3일간)</t>
  </si>
  <si>
    <t>○ 개막식, 개막축하공연, 사찰발우비빔밥만들기
○ 송해와 함께하는 참꽃가요제
○ 먹거리장터, 체험홍보부스 운영
○ 참꽃트로티벌, 버스킹공연 등 다양한 문화예술공연 등</t>
  </si>
  <si>
    <t>달성군 문화체육과
/달성문화재단
(053-668-2172)</t>
  </si>
  <si>
    <t>참꽃</t>
  </si>
  <si>
    <t>비슬산자연휴양림 일원</t>
  </si>
  <si>
    <t>부산광역시</t>
  </si>
  <si>
    <t>제32회 
북극곰 축제</t>
  </si>
  <si>
    <t>1.5~1.6</t>
  </si>
  <si>
    <t xml:space="preserve">○ 북극곰 상징조형물 전시, 토닥토닥콘서트 
○ 축하공연, 개막행사, 바다 수영대회 등 </t>
  </si>
  <si>
    <t>부산일보사</t>
  </si>
  <si>
    <t>1988년도
(제32회)</t>
  </si>
  <si>
    <t>해당없음</t>
  </si>
  <si>
    <t>생태자원</t>
  </si>
  <si>
    <t xml:space="preserve">북극곰, 환경오염,
수영 </t>
  </si>
  <si>
    <t>있음
(비상설)</t>
  </si>
  <si>
    <t xml:space="preserve">자체추진 </t>
  </si>
  <si>
    <t>제8회 낙동강
유채꽃 축제</t>
  </si>
  <si>
    <t>4.6~4.14</t>
  </si>
  <si>
    <t>○ 유채꽃 관람, 체험 및 공연프로그램 등</t>
  </si>
  <si>
    <t>부산시/(사)부산문화관광축제조직위원회
(888-4137)</t>
  </si>
  <si>
    <t>2011년도
(8회)</t>
  </si>
  <si>
    <t>유채</t>
  </si>
  <si>
    <t>축제조직위(비영리)</t>
  </si>
  <si>
    <t>있음
(정규직9명)
(계약직1명)
총 10명</t>
  </si>
  <si>
    <t>전체위탁
(민간위탁)</t>
  </si>
  <si>
    <t>2019 조선
통신사축제</t>
  </si>
  <si>
    <t>5.3~5.5</t>
  </si>
  <si>
    <t>○ 조선통신사 행렬재현, 해신제,조선통신사船 체험.전시
○ 新조선통신사 거리예술가 및 참가단체 거리 공연 등</t>
  </si>
  <si>
    <t>부산시/(재)부산문화재단
(745-7273)</t>
  </si>
  <si>
    <t>조선통신사</t>
  </si>
  <si>
    <t>(재)문화재단</t>
  </si>
  <si>
    <t>있음
(정규직4명)
(단기스텝4명)</t>
  </si>
  <si>
    <t>제5회 원도심활성화 축제</t>
  </si>
  <si>
    <t>5.25~5.26</t>
  </si>
  <si>
    <t>○ 원도심골목길축제
○ 원도심 관광명소 탐방 등 관광활성화 프로그램 구성</t>
  </si>
  <si>
    <t>부산시/(사)부산문화관광
축제조직위원회
(888-4137)</t>
  </si>
  <si>
    <t>골목길</t>
  </si>
  <si>
    <t>부산항축제</t>
  </si>
  <si>
    <t>○ 개막행사 : 개막식, 축하공연, 
                    부산항불꽃쇼 등
○ 체험행사 : 부산항투어, 스탬프투어,
                    해양레저체험, 함정공개행사 등
○ 부대행사 : 걷기대회, 그림그리기대회,
                    해양강연회 등</t>
  </si>
  <si>
    <t>2008년
(제12회)</t>
  </si>
  <si>
    <t>해양수산부</t>
  </si>
  <si>
    <t>해양관광육성
(부산항축제지원)</t>
  </si>
  <si>
    <t>부산항</t>
  </si>
  <si>
    <t>북항 및
국립해양박물관 일원</t>
  </si>
  <si>
    <t>제20회 부산국제록페스티벌</t>
  </si>
  <si>
    <t>7.27~7.28</t>
  </si>
  <si>
    <t>○ 국내외 록밴드 라이브공연
○ 시민록밴드 경연대회(영스타)</t>
  </si>
  <si>
    <t>록 음악</t>
  </si>
  <si>
    <t>제24회 부산바다축제</t>
  </si>
  <si>
    <t>8.2~8.6</t>
  </si>
  <si>
    <t xml:space="preserve">○ 개막행사(물의난장)
○ 공연 및 시민참여 체험프로그램 등 </t>
  </si>
  <si>
    <t>1996년도
(24회)</t>
  </si>
  <si>
    <t>제15회 부산불꽃축제</t>
  </si>
  <si>
    <t>○ 불꽃버스킹 
○ 해외초청불꽃쇼, 첨단멀티미디어불꽃쇼 등</t>
  </si>
  <si>
    <t>2005년도
(15회)</t>
  </si>
  <si>
    <t>문화체육관광부</t>
  </si>
  <si>
    <t>지역특화문화행사지원</t>
  </si>
  <si>
    <t>불꽃</t>
  </si>
  <si>
    <t>있음
(정규직10명)
(계약직4명)
총 14명</t>
  </si>
  <si>
    <t xml:space="preserve">시자체 </t>
  </si>
  <si>
    <t>제11회 부산크리스마스
트리축제</t>
  </si>
  <si>
    <t>19.11.30. ~ 20.1.5.
(37일간)</t>
  </si>
  <si>
    <t xml:space="preserve">○ 개막식,점등식,문화공연
○ 사랑나눔행사 </t>
  </si>
  <si>
    <t>부산크리스마스
트리문화축제위
(600-4086)</t>
  </si>
  <si>
    <t>크리스마스
트리</t>
  </si>
  <si>
    <t>2020시민의종 타종행사</t>
  </si>
  <si>
    <t>19.12.31~20.1.1</t>
  </si>
  <si>
    <t>○ 시민의종 타종식</t>
  </si>
  <si>
    <t>(사)부산문화관광
축제조직위원회
(888-4137)</t>
  </si>
  <si>
    <t>1999년
(21회)</t>
  </si>
  <si>
    <t>해맞이</t>
  </si>
  <si>
    <t>강서구</t>
  </si>
  <si>
    <t>강서 낙동강변
30리 벚꽃축제</t>
  </si>
  <si>
    <t>3.29.~3.31.
(3일간)</t>
  </si>
  <si>
    <t>○ 벚꽃길 걷기대회  ○ 벚꽃노래자랑 
○ 문화공연 및 무대행사  ○ 청소년 스타킹 
○ 모형항공기대회, 사생대회 및 백일장 등</t>
  </si>
  <si>
    <t>부산광역시 강서구 /
강서구축제추진위원회
(051-970-4062)</t>
  </si>
  <si>
    <t>축제추진위</t>
  </si>
  <si>
    <t>대저생태공원</t>
  </si>
  <si>
    <t>가덕도대구축제</t>
  </si>
  <si>
    <t>12월 중
(2일간)</t>
  </si>
  <si>
    <t>○ 대구 맨손잡기  ○ 대구 깜짝경매
○ 수산물 직거래장터  ○ 노래자랑대회
○ 맨손 굴까기대회  ○ 초대가수 공연 등</t>
  </si>
  <si>
    <t>가덕도대구</t>
  </si>
  <si>
    <t>대항항</t>
  </si>
  <si>
    <t>명지시장
전어축제</t>
  </si>
  <si>
    <t>8월말
(3일간)</t>
  </si>
  <si>
    <t>○ 은빛전어노래자랑  ○ 전어무료시식회
○ 빅파워 콘서트(초청가수)  ○ 품바 및 기타 부대 공연 
○ 불꽃놀이</t>
  </si>
  <si>
    <t>명지시장전어축제추진위원회 / 
㈜명지시장상인회
(051-970-4475)</t>
  </si>
  <si>
    <t>전어</t>
  </si>
  <si>
    <t>명지시장</t>
  </si>
  <si>
    <t>대저토마토축제</t>
  </si>
  <si>
    <t>4.6~4.7
(2일간)</t>
  </si>
  <si>
    <t>○ 토마토생태탐방 걷기대회
○ 토마토품평회
○ 풍물반 길놀이공연 등</t>
  </si>
  <si>
    <t>대저토마토축제추진위원회
 / 대저농업협동조합
(051-972-8534)</t>
  </si>
  <si>
    <t>토마토</t>
  </si>
  <si>
    <t>강서체육공원</t>
  </si>
  <si>
    <t>부산고등어축제</t>
  </si>
  <si>
    <t>10.19~10.21
(3일간)</t>
  </si>
  <si>
    <t xml:space="preserve"> ○ 대표프로그램 - 맨손고등어잡기
 ○ 고등어를 테마로 한 체험, 투어, 전시, 공연, 경연 프로
     그램 운영(5개 분야 25개 프로그램) 
 ○ 특별행사(남항대교 걷기대회, 문예창작경연대회 등) 
     3개 프로그램 운영
 ○ 부대행사(먹거리장터, 수산기업홍보관 등) 운영</t>
  </si>
  <si>
    <t>부산광역시 서구 문화관광과,
대형선망수협 / 부산서구문화원
(051-240-4062)</t>
  </si>
  <si>
    <t>2008년도
(제12회)</t>
  </si>
  <si>
    <t>고등어</t>
  </si>
  <si>
    <t>있음
계약직 2명</t>
  </si>
  <si>
    <t>송도해수욕장</t>
  </si>
  <si>
    <t>사하구</t>
  </si>
  <si>
    <t>제9회 감천문화마을 
골목축제</t>
  </si>
  <si>
    <t>4.26~4.28
(3일간)</t>
  </si>
  <si>
    <r>
      <t xml:space="preserve">○핵심프로그램 : 감천옥상콘서트
○주요프로그램 : 골목, 마을이야기를 주제로 다양한 
                          공연, 체험, 전시 프로그램 운영
  -공연행사 : 골목나라 풍선 퍼레이드, 프린지 어워드,
                     감천연지곤지 등 </t>
    </r>
    <r>
      <rPr>
        <b/>
        <sz val="11"/>
        <rFont val="HY중고딕"/>
        <family val="1"/>
        <charset val="129"/>
      </rPr>
      <t>12</t>
    </r>
    <r>
      <rPr>
        <sz val="11"/>
        <rFont val="HY중고딕"/>
        <family val="1"/>
        <charset val="129"/>
      </rPr>
      <t xml:space="preserve">개
  -체험행사 : 아트체험(나도 미로미로작가), 관광상품
                     체험, 민속놀이 등 </t>
    </r>
    <r>
      <rPr>
        <b/>
        <sz val="11"/>
        <rFont val="HY중고딕"/>
        <family val="1"/>
        <charset val="129"/>
      </rPr>
      <t>12</t>
    </r>
    <r>
      <rPr>
        <sz val="11"/>
        <rFont val="HY중고딕"/>
        <family val="1"/>
        <charset val="129"/>
      </rPr>
      <t xml:space="preserve">개
  -전시행사 : 골목갤러리, 입주작가 전시회, 태극문화
                     홍보관 등 </t>
    </r>
    <r>
      <rPr>
        <b/>
        <sz val="11"/>
        <rFont val="HY중고딕"/>
        <family val="1"/>
        <charset val="129"/>
      </rPr>
      <t>5</t>
    </r>
    <r>
      <rPr>
        <sz val="11"/>
        <rFont val="HY중고딕"/>
        <family val="1"/>
        <charset val="129"/>
      </rPr>
      <t xml:space="preserve">개
  -부대행사 : 추억과 소망의 우체통, 페이스페인팅, 
                     추억의 게임 등 </t>
    </r>
    <r>
      <rPr>
        <b/>
        <sz val="11"/>
        <rFont val="HY중고딕"/>
        <family val="1"/>
        <charset val="129"/>
      </rPr>
      <t>10</t>
    </r>
    <r>
      <rPr>
        <sz val="11"/>
        <rFont val="HY중고딕"/>
        <family val="1"/>
        <charset val="129"/>
      </rPr>
      <t>개</t>
    </r>
  </si>
  <si>
    <t>부산광역시 사하구
/ (사)감천문화마을 주민협의회
(051-220-5917)</t>
  </si>
  <si>
    <t>미로같은 골목길</t>
  </si>
  <si>
    <t>감천문화마을
일원</t>
  </si>
  <si>
    <t>하단웅어축제</t>
  </si>
  <si>
    <t>5월 중
(3일간)</t>
  </si>
  <si>
    <t xml:space="preserve"> ○ 수산물소비촉진 행사 및 각설이 공연 등</t>
  </si>
  <si>
    <t>부산시수협(하단어촌계)
(051-291-0047)</t>
  </si>
  <si>
    <t>2006년
(10회)</t>
  </si>
  <si>
    <t>해당사항 없음</t>
  </si>
  <si>
    <t>웅어</t>
  </si>
  <si>
    <t>있음 
정규직 3명
총 3명</t>
  </si>
  <si>
    <t>하단항 일원</t>
  </si>
  <si>
    <t>2018 미개최</t>
  </si>
  <si>
    <t>제7회 사하예술제</t>
  </si>
  <si>
    <t>10월중
(7일간)</t>
  </si>
  <si>
    <t>○ 합창공연, 그림·시 전시 등 
○ 공연, 전시, 체험, 연계행사 등
   - 4개분야 55여개 프로그램</t>
  </si>
  <si>
    <t>부산광역시 사하구 문화관광과
(051-220-4062)</t>
  </si>
  <si>
    <t>지역문화예술</t>
  </si>
  <si>
    <t>을숙도문화회관</t>
  </si>
  <si>
    <t>다대포어항문화축제</t>
  </si>
  <si>
    <t>10월 중
(2일간)</t>
  </si>
  <si>
    <t xml:space="preserve"> ○ 다대포 후리소리 공연, 풍어기원 풍물공연 등</t>
  </si>
  <si>
    <t>다대포어항문화축제추진위원회     / 부산시수협(다대어촌계)
(051-263-1277)</t>
  </si>
  <si>
    <t>2010년
(7회)</t>
  </si>
  <si>
    <t>다대포후릿소리, 방어, 아귀</t>
  </si>
  <si>
    <t>다대포항 일원</t>
  </si>
  <si>
    <t>부산어묵축제</t>
  </si>
  <si>
    <t>11.29. ~ 12.1.
(3일간)</t>
  </si>
  <si>
    <t xml:space="preserve">  ○ 부산어묵 판매 및 홍보</t>
  </si>
  <si>
    <t>(사)부산어묵전략식품사업단        / 도시문화발전소
(051-266-7006)</t>
  </si>
  <si>
    <t>지역전략식품산업육성사업</t>
  </si>
  <si>
    <t>어묵</t>
  </si>
  <si>
    <t>있음 
계약직 2명
총 2명</t>
  </si>
  <si>
    <t>다대포해수욕장 해변공원 일원</t>
  </si>
  <si>
    <t>해운대구</t>
  </si>
  <si>
    <t>제15회 해운대모래축제</t>
  </si>
  <si>
    <t>5.24~5.27
(4일간)</t>
  </si>
  <si>
    <t>○ 세계모래조각전
○ 모래를 소재로한 국내 최대규모의 친환경축제
○ 개막식공연, 퍼레이드 외 3개분야 20여개 프로그램</t>
  </si>
  <si>
    <t>해운대구/(사)해운대
문화관광협의회
(051-749-4062)</t>
  </si>
  <si>
    <t>모래</t>
  </si>
  <si>
    <t>공공(시군구),사단법인</t>
  </si>
  <si>
    <t>제37회 해운대 달맞이 온천축제</t>
  </si>
  <si>
    <t>2.17~2.19
(3일간)</t>
  </si>
  <si>
    <t>○ 달집 기원제, 소망기원문 쓰기, 대동놀이
○ 달집태우기, 강강술래등</t>
  </si>
  <si>
    <t>해운대구/(사)해운대지구발전협의회
(051-749-4062)</t>
  </si>
  <si>
    <t>달 및 온천</t>
  </si>
  <si>
    <t>제6회 해운대라꼬 빛축제</t>
  </si>
  <si>
    <t>19.11~'20.1</t>
  </si>
  <si>
    <t>○ 구남로 해운대광장 빛의 거리 조성
○ 다양한 포토존 설치
○ 버스킹 등 다양한 문화축제의 장 등</t>
  </si>
  <si>
    <t>부산광역시 해운대구 관광문화과
(051-749-4062)</t>
  </si>
  <si>
    <t>미정
('19.2회추경반영예정)</t>
  </si>
  <si>
    <t>빛</t>
  </si>
  <si>
    <t>기장군</t>
  </si>
  <si>
    <t>기장미역다시마축제</t>
  </si>
  <si>
    <t>4월중
(3일간)</t>
  </si>
  <si>
    <t xml:space="preserve"> ○ 생초캐기 체험, 지역특산물 경매 등</t>
  </si>
  <si>
    <t>기장군 해양수산과/
기장미역다시마축제추진위원회
(051-709-4612)</t>
  </si>
  <si>
    <t>2008년도
(10회)</t>
  </si>
  <si>
    <t>미역,다시마</t>
  </si>
  <si>
    <t>비상설</t>
  </si>
  <si>
    <t>어항</t>
  </si>
  <si>
    <t>기장멸치축제</t>
  </si>
  <si>
    <t>4.25.~4.28.
(4일간)</t>
  </si>
  <si>
    <t xml:space="preserve"> ○ 멸치털이체험, 멸치회 무료시식회, 지역특산물 경매 등</t>
  </si>
  <si>
    <t>기장군 해양수산과/
기장멸치축제추진위원회
(051-709-4502)</t>
  </si>
  <si>
    <t>1997년도
(23회)</t>
  </si>
  <si>
    <t>멸치</t>
  </si>
  <si>
    <t>기장갯마을축제</t>
  </si>
  <si>
    <t>8월초
(3일간)</t>
  </si>
  <si>
    <t>○ 갯마을 콘서트 및 각종 체험행사, 부대행사 등</t>
  </si>
  <si>
    <t>기장군 문화관광과/
기장갯마을축제추진위원회
(051-709-4062)</t>
  </si>
  <si>
    <t>1995년도
(23회)</t>
  </si>
  <si>
    <t>차성문화제</t>
  </si>
  <si>
    <t>10월중
(3일간)</t>
  </si>
  <si>
    <t>○ 개막식, 길놀이, 축하공연, 체험행사, 부대행사 등</t>
  </si>
  <si>
    <t>기장군 문화관광과/
차성문화제추진위원회
(051-709-4062)</t>
  </si>
  <si>
    <t>1995년도
(16회)</t>
  </si>
  <si>
    <t>문화, 예술</t>
  </si>
  <si>
    <t>격년</t>
  </si>
  <si>
    <t>마을</t>
  </si>
  <si>
    <t>철마한우불고기축제</t>
  </si>
  <si>
    <t>○ 개막식, 축하공연. 한우먹거리장터, 농촌체험행사 등</t>
  </si>
  <si>
    <t>기장군 친환경농업과/
철마한우불고기축제추진위원회
(051-721-4245)</t>
  </si>
  <si>
    <t>2005년도
(13회)</t>
  </si>
  <si>
    <t>한우, 농산물</t>
  </si>
  <si>
    <t>들녘</t>
  </si>
  <si>
    <t>정관생태하천축제</t>
  </si>
  <si>
    <t>10월
(2일간)</t>
  </si>
  <si>
    <t>○ 백일장, 사생대회, 시낭송대회, 걷기 대회 등 
○ 청소년 어울마당, 공연 및 전시 등
○ 과학 및 영어 체험 학습, 프리마켓 등 부대 행사</t>
  </si>
  <si>
    <t>기장군 인재양성과/
정관생태하천학습문화축제
추진위원회
(051-709-4332)</t>
  </si>
  <si>
    <t>2012년도
(7회)</t>
  </si>
  <si>
    <t>생태,문화,교육,체육</t>
  </si>
  <si>
    <t>2019 광복로 연등문화제</t>
  </si>
  <si>
    <t>4.26~5.15
(20일간)</t>
  </si>
  <si>
    <t>장엄등 및 가로등 설치, 개막점등식, 무료체험행사 등</t>
  </si>
  <si>
    <t>(사)부산시중구불교연합회
(051-253-8686)</t>
  </si>
  <si>
    <t>광복로 일원</t>
  </si>
  <si>
    <t>부산자갈치 축제</t>
  </si>
  <si>
    <t>10.10~10.13
(4일간)</t>
  </si>
  <si>
    <t>○ 고기야 놀자(맨손으로 고기잡기) 프로그램 진행  
○ 거리퍼레이드, 불꽃놀이, 회요리 경연, 경매 등 진행
○ 자갈치축제 개막식 등 4개 마당 20여개 프로그램</t>
  </si>
  <si>
    <t>(사)부산자갈치문화관광 
축제위원회
(051-243-9363)</t>
  </si>
  <si>
    <t>1992
(28회)</t>
  </si>
  <si>
    <t>어패류</t>
  </si>
  <si>
    <t>있음
정규직 1명
(사무국장)</t>
  </si>
  <si>
    <t>자갈치시장 
일원 등</t>
  </si>
  <si>
    <t>보수동책방골목 문화축제</t>
  </si>
  <si>
    <t>10.18~10.20
(3일간)</t>
  </si>
  <si>
    <t>개막식, 1가게1이벤트, 전시회, 심포지엄, 버스킹 등</t>
  </si>
  <si>
    <t>보수동책방골목번영회
(051-253-7220)</t>
  </si>
  <si>
    <t>책</t>
  </si>
  <si>
    <t>보수동책방골목</t>
  </si>
  <si>
    <t>부산차이나타운특구
문화축제</t>
  </si>
  <si>
    <t>○ 다양한 한중문화 공연(개막․주무대/거리공연)
    - 중국(소수민족 민속춤, 변검·토화, 기예단)
    - 한국(가면무, 민요) 등
○ 차이나타운 홍등터널 및 텍사스거리 LED등 설치
○ 구백제병원 야간 미디어파사드, VR체험프로그램 운영
○ 이색포토존(대형홍등, 소원터널, 축제 의자 등)
○ 차이나타운 상권 참여 중국요리 시식회 개최
○ 관람객 참여 거리퍼레이드 진행 : 중앙대로, 특구 내
○ 중국인유학생 가요제, 동남아유학생 및 다문화가족 
    장기자랑 개최
○ 동구문화놀이 한마당 개최
○ 시민참여 이벤트 : 인증샷이벤트, 보물찾기 등
○ 다양 체험부스 운영 : 중국전통놀이, 전통의상, 음식, 
    공예, 연만들기 등</t>
  </si>
  <si>
    <t>부산 동구 문화체육관광과
/차이나타운특구축제추진위원회
(051-440-4062)</t>
  </si>
  <si>
    <t>차이나타운특구</t>
  </si>
  <si>
    <t>차이나타운특구
거리</t>
  </si>
  <si>
    <t>사상구</t>
  </si>
  <si>
    <t>벚꽃과 함께하는
제18회 사상강변축제</t>
  </si>
  <si>
    <t>3.30~3.31
(2일간)</t>
  </si>
  <si>
    <t xml:space="preserve"> ○ 강변, 벚꽃을 테마로한 주제공연 및 문화공연
 ○ 제8회 사상벚꽃가요제
 ○ 구정 역점시책사업 전시 및 홍보
 ○ 구민건강 체험 한마당
 ○ 기타 특별행사 및 삼락벚꽃축제와 연계 개최</t>
  </si>
  <si>
    <t>사상구/사상문화원
(051-310-4064)</t>
  </si>
  <si>
    <t>2000년도
(17회)</t>
  </si>
  <si>
    <t>강변, 벚꽃</t>
  </si>
  <si>
    <t>정규직 4명</t>
  </si>
  <si>
    <t>삼락생태공원</t>
  </si>
  <si>
    <t>연제구</t>
  </si>
  <si>
    <t>연제고분판타지축제</t>
  </si>
  <si>
    <t>10월중 
(3일간)</t>
  </si>
  <si>
    <t xml:space="preserve"> ○ 1500년전 거칠산국 왕가의 귀환
 ○ 연산동 고분군 및 배산성지 홍보관 운영
 ○ 문화재 역사탐방 및 관련 체험프로그램 운영
 ○ 독후감상화 그리기대회 등 부대행사</t>
  </si>
  <si>
    <t>연제구 문화체육과
/ 연제구축제추진위원회
(051-665-4062)</t>
  </si>
  <si>
    <t>제8회낙동강구포나루축제</t>
  </si>
  <si>
    <t>5.17~5.19
(3일간)</t>
  </si>
  <si>
    <t xml:space="preserve"> ○ 대표프로그램 : 낙동강&amp;나루터
   - 구민참여종합공연, 감동의나날들,낙동강체험 등
 ○ 공연,전시,체험프로그램
   - 밀알의모험, 밀사리한마당, 추억의구포국수 등
 ○ 문화관광 연계프로그램
   - 여는마당, 화합마당, 주제전시관, 낙동강변가요제,
      낙동강이야기마당, 낙동강의 솟대 등</t>
  </si>
  <si>
    <t>(사)부산북구문화관광축제조직위원회
/(사)부산북구문화관광축제조직위원회
(051-309-4983)</t>
  </si>
  <si>
    <t>낙동강, 나루터,
밀</t>
  </si>
  <si>
    <t>계약직 1명
파견직 4명</t>
  </si>
  <si>
    <t>화명생태공원
선착장일원
(공원)</t>
  </si>
  <si>
    <t>동래구</t>
  </si>
  <si>
    <t>제25회 동래읍성역사축제</t>
  </si>
  <si>
    <t>10.11.~10.13
(3일간)</t>
  </si>
  <si>
    <t>○ 핵심 프로그램 : 동래성 전투 실경 뮤지컬 (관람객 한마당)
○ 조선시대 동래성 사람들의 생활상과 1592년 임진왜란 동래성
    전투를 테마로 한 공연,전시,체험 프로그램 운영
○ 동래부사행차길놀이, 조선 동래사람되어보기 체험 등 4개
    분야 40여개 프로그램</t>
  </si>
  <si>
    <t>동래구 / 동래문화원, 동래읍성역사축제 추진위원회
(051-550-4092)</t>
  </si>
  <si>
    <t>1995년
(25회)</t>
  </si>
  <si>
    <t>역사
(동래읍성, 송상현 부사, 조선시대 등)</t>
  </si>
  <si>
    <t>공원(사적지),
마을</t>
  </si>
  <si>
    <t>오륙도 평화축제</t>
  </si>
  <si>
    <t>○ 평화음악회
○ 자유,평화,화합을 주제로 공연,전시,체험,부대행사
○ 국화전시회, 각종 박람회 등 공동개최</t>
  </si>
  <si>
    <t>부산광역시남구 문화체육과
(051-607-4062)</t>
  </si>
  <si>
    <t>자유,평화,화합</t>
  </si>
  <si>
    <t>공공(자치구)</t>
  </si>
  <si>
    <t>공원(평화공원)</t>
  </si>
  <si>
    <t>수영구</t>
  </si>
  <si>
    <t>광안리어방축제</t>
  </si>
  <si>
    <t>4.26.~4.28.
(3일간)</t>
  </si>
  <si>
    <t xml:space="preserve"> ○ 핵심프로그램 : 실경뮤지컬"어방"
 ○ "어방"을 주제로 어방민속마을, 경상좌수사행렬,
      수문장교대식 등</t>
  </si>
  <si>
    <t>수영구 문화공보과
/ 수영구 축제위원회
(051-610-4062)</t>
  </si>
  <si>
    <t>문화관광육성축제</t>
  </si>
  <si>
    <t>수영의 전통을 이어간다는 의미에서"어방"(수군과 어민의 어업협업체)이라는 축제명을 사용한 전통 어촌민속 축제</t>
  </si>
  <si>
    <t>있음
정규직 1명</t>
  </si>
  <si>
    <t>광안리해수욕장</t>
  </si>
  <si>
    <t>부산진구</t>
  </si>
  <si>
    <t>전포카페거리 축제</t>
  </si>
  <si>
    <t>10월 중 2일</t>
  </si>
  <si>
    <t xml:space="preserve">   - 카페를 주 테마로 하되 전포카페거리 전체 축제로 확대
- 커피·디저트·음식 부스, 커피 관련 체험 행사, 스탬프 투어 이벤트, 아트마켓 운영
    - 개막식, 퍼레이드, 거리콘서트, 음악다방, 버스킹, 거리 전시 등 다양한 공연
    - 노천 카페 및 테마 카페 운영
    - 연계행사 : 2018 부산진구 팸투어 / 2018 커피포럼(한·일 커피관계자) </t>
  </si>
  <si>
    <t>부산진구 관광위생과
/전포카페거리상인회</t>
  </si>
  <si>
    <t>2017년도
(3회)</t>
  </si>
  <si>
    <t>지자체에서 경비 지원 또는 후원하는 축제</t>
  </si>
  <si>
    <t>전포카페거리</t>
  </si>
  <si>
    <t>제9회 
서면메디컬스트리트 
축제</t>
  </si>
  <si>
    <t>○ 지역특화산업 의료를 테마로 한 전시·체험프로그램
  - 개막식, 의료체험부스(2일간 48개), 문화체험(공연)</t>
  </si>
  <si>
    <t xml:space="preserve"> 부산진구 관광위생과 
(051-605-6022)
/  (사)서면메디컬스트리트
의료관광협의회</t>
  </si>
  <si>
    <t>의료</t>
  </si>
  <si>
    <t>사단볍인</t>
  </si>
  <si>
    <t>금정구</t>
  </si>
  <si>
    <t>금정산성역사문화축제2019</t>
  </si>
  <si>
    <t>5.24~5.26.
(예정)</t>
  </si>
  <si>
    <t>○지역문화 콘텐츠 프로그램, 공식 프로그램,
    예술공연행사, 지역홍보 협력행사, 연계행사, 홍보 등</t>
  </si>
  <si>
    <t>부산광역시 금정구/
금정문화재단
(051-519-4062)</t>
  </si>
  <si>
    <t>2019
(5회)</t>
  </si>
  <si>
    <t>지자체 주최(주관)하는 축제</t>
  </si>
  <si>
    <t>역사축제</t>
  </si>
  <si>
    <t>총12명</t>
  </si>
  <si>
    <t>금정산성 다목적광장, 금정구 일원</t>
  </si>
  <si>
    <t>영도구</t>
  </si>
  <si>
    <t>영도다리축제</t>
  </si>
  <si>
    <t xml:space="preserve"> ○ 스토리 골목 퍼레이드,국제거리예술공연,도개 빅이벤트
 ○ 축제주제관, 팔도먹거리촌, 각종 공연,체험부스운영 등
 ○ 산복도로여행, 깡깡이바다버스투어,해양레포츠 체험</t>
  </si>
  <si>
    <t>영도구 문화관광과/영도문화원
(051-419-4062)</t>
  </si>
  <si>
    <t>1993년
(27회)</t>
  </si>
  <si>
    <t>영도다리</t>
  </si>
  <si>
    <t>수국꽃문화축제</t>
  </si>
  <si>
    <t>6.29~7.7
(9일간)</t>
  </si>
  <si>
    <t xml:space="preserve"> ○ 개막식, 수국꽃 관람, 야간 문화공연 등
 ○ 음악회, 사진전시회 등</t>
  </si>
  <si>
    <t>수국축제추진위원회</t>
  </si>
  <si>
    <t>시지정문화축제</t>
  </si>
  <si>
    <t>수국</t>
  </si>
  <si>
    <t>2019년 지역축제 개최계획 총괄표</t>
    <phoneticPr fontId="3" type="noConversion"/>
  </si>
  <si>
    <r>
      <t>국비 상세 내역</t>
    </r>
    <r>
      <rPr>
        <b/>
        <sz val="10"/>
        <rFont val="굴림"/>
        <family val="3"/>
        <charset val="129"/>
      </rPr>
      <t>('19.1월 기준 확정된 내용만 작성)</t>
    </r>
    <phoneticPr fontId="3" type="noConversion"/>
  </si>
  <si>
    <t xml:space="preserve">방문객수(2018년기준, 단위 : 천명) </t>
    <phoneticPr fontId="3" type="noConversion"/>
  </si>
  <si>
    <t>연번</t>
    <phoneticPr fontId="3" type="noConversion"/>
  </si>
  <si>
    <t>시도명</t>
    <phoneticPr fontId="3" type="noConversion"/>
  </si>
  <si>
    <t>시군구명</t>
    <phoneticPr fontId="3" type="noConversion"/>
  </si>
  <si>
    <t>축제명</t>
    <phoneticPr fontId="3" type="noConversion"/>
  </si>
  <si>
    <t>2019년
개최기간</t>
    <phoneticPr fontId="3" type="noConversion"/>
  </si>
  <si>
    <t>축제주요내용</t>
    <phoneticPr fontId="3" type="noConversion"/>
  </si>
  <si>
    <t>주최/주관
(담당자 연락처)</t>
    <phoneticPr fontId="3" type="noConversion"/>
  </si>
  <si>
    <t>최초개최년도
및 횟수</t>
    <phoneticPr fontId="3" type="noConversion"/>
  </si>
  <si>
    <t>2019년
축제예산</t>
    <phoneticPr fontId="3" type="noConversion"/>
  </si>
  <si>
    <t>국비</t>
    <phoneticPr fontId="3" type="noConversion"/>
  </si>
  <si>
    <t>시,도비</t>
    <phoneticPr fontId="3" type="noConversion"/>
  </si>
  <si>
    <t>구,군비</t>
    <phoneticPr fontId="3" type="noConversion"/>
  </si>
  <si>
    <t>기타</t>
    <phoneticPr fontId="3" type="noConversion"/>
  </si>
  <si>
    <t>국비지원
부처명</t>
    <phoneticPr fontId="3" type="noConversion"/>
  </si>
  <si>
    <t>세부사업명</t>
    <phoneticPr fontId="3" type="noConversion"/>
  </si>
  <si>
    <r>
      <t xml:space="preserve">축제종류
</t>
    </r>
    <r>
      <rPr>
        <b/>
        <sz val="11"/>
        <color indexed="60"/>
        <rFont val="굴림"/>
        <family val="3"/>
        <charset val="129"/>
      </rPr>
      <t>(택1)</t>
    </r>
    <phoneticPr fontId="3" type="noConversion"/>
  </si>
  <si>
    <t>문화관광축제 여부</t>
    <phoneticPr fontId="3" type="noConversion"/>
  </si>
  <si>
    <t>축제소재</t>
    <phoneticPr fontId="3" type="noConversion"/>
  </si>
  <si>
    <t>개최주기</t>
    <phoneticPr fontId="3" type="noConversion"/>
  </si>
  <si>
    <t>조직형태</t>
    <phoneticPr fontId="3" type="noConversion"/>
  </si>
  <si>
    <t xml:space="preserve">축제사무국
상설화여부 </t>
    <phoneticPr fontId="3" type="noConversion"/>
  </si>
  <si>
    <t>사업위탁
운영여부</t>
    <phoneticPr fontId="3" type="noConversion"/>
  </si>
  <si>
    <t>합 계</t>
    <phoneticPr fontId="3" type="noConversion"/>
  </si>
  <si>
    <t>내국인</t>
    <phoneticPr fontId="3" type="noConversion"/>
  </si>
  <si>
    <t>외국인</t>
    <phoneticPr fontId="3" type="noConversion"/>
  </si>
  <si>
    <t>개최장소</t>
    <phoneticPr fontId="3" type="noConversion"/>
  </si>
  <si>
    <t>광주광역시</t>
  </si>
  <si>
    <t>2019 세계청년축제</t>
  </si>
  <si>
    <t>7월중
(3일간)</t>
  </si>
  <si>
    <t xml:space="preserve"> ○ 축제기획단 구성 후 운영 프로그램 결정
 ○ '청년', '광주', '세계'를  테마로 한 공연, 강연, 문화
     체험 프로그램 운영 예정
 ○ 청년의 미래비전을 담은 개막 퍼포먼스 등</t>
  </si>
  <si>
    <t>광주광역시 청년정책과
/ 제5회 세계청년축제기획단
(062-613-2722)</t>
  </si>
  <si>
    <t>2015년도
(4회)</t>
  </si>
  <si>
    <t>청년</t>
  </si>
  <si>
    <t>부분위탁
(운영,하드웨어, 프로그램)</t>
  </si>
  <si>
    <t>시내(국립아시아문화전당 광장 등 일원)</t>
  </si>
  <si>
    <t>2019
광주프린지페스티벌</t>
    <phoneticPr fontId="3" type="noConversion"/>
  </si>
  <si>
    <t xml:space="preserve"> 4.20~10.26. (매주 토요일)</t>
    <phoneticPr fontId="3" type="noConversion"/>
  </si>
  <si>
    <r>
      <t xml:space="preserve">○ 시즌에 맞춘 마임, 밴드 등 거리공연 및 참여 프로그램
</t>
    </r>
    <r>
      <rPr>
        <sz val="10"/>
        <rFont val="HY중고딕"/>
        <family val="1"/>
        <charset val="129"/>
      </rPr>
      <t xml:space="preserve">    - 봄(4/20~5/11)/여름(7/12.~8/31)/가을(9/7~10/26)
</t>
    </r>
    <r>
      <rPr>
        <sz val="11"/>
        <rFont val="HY중고딕"/>
        <family val="1"/>
        <charset val="129"/>
      </rPr>
      <t>○ 시즌 사이에는 상설 버스킹 및 부대행사 운영</t>
    </r>
    <phoneticPr fontId="3" type="noConversion"/>
  </si>
  <si>
    <t>광주광역시 문화도시정책관 
/ 광주문화재단
(062-613-3182)</t>
    <phoneticPr fontId="3" type="noConversion"/>
  </si>
  <si>
    <t>2016
(4회)</t>
    <phoneticPr fontId="3" type="noConversion"/>
  </si>
  <si>
    <t>지역축제</t>
    <phoneticPr fontId="3" type="noConversion"/>
  </si>
  <si>
    <t>거리예술</t>
    <phoneticPr fontId="3" type="noConversion"/>
  </si>
  <si>
    <t>매년</t>
    <phoneticPr fontId="3" type="noConversion"/>
  </si>
  <si>
    <t>재단법인</t>
    <phoneticPr fontId="3" type="noConversion"/>
  </si>
  <si>
    <t xml:space="preserve">있음
(구성인원 미정) </t>
    <phoneticPr fontId="3" type="noConversion"/>
  </si>
  <si>
    <t>전체위탁</t>
    <phoneticPr fontId="3" type="noConversion"/>
  </si>
  <si>
    <t>시내거리</t>
    <phoneticPr fontId="3" type="noConversion"/>
  </si>
  <si>
    <t>2019 아트피크닉</t>
    <phoneticPr fontId="3" type="noConversion"/>
  </si>
  <si>
    <t>3~10월
(매주 토요일)</t>
    <phoneticPr fontId="3" type="noConversion"/>
  </si>
  <si>
    <t>○ 주말 가족 단위 예술 체험 프로그램 운영
  - 아트 스쿨, 아트 직업체험, 아트 스테이지, 시즌별 특별프로그램(모기장 영화제, 물총놀이, 추억의소풍놀이 등)</t>
    <phoneticPr fontId="3" type="noConversion"/>
  </si>
  <si>
    <t>광주광역시/미정(공모진행중)
062-613-3671</t>
  </si>
  <si>
    <t>2016
(30회)</t>
    <phoneticPr fontId="3" type="noConversion"/>
  </si>
  <si>
    <t>예술체험</t>
  </si>
  <si>
    <t>매주토요일</t>
  </si>
  <si>
    <t>광주시립미술관 잔디광장</t>
  </si>
  <si>
    <t>광주광역시</t>
    <phoneticPr fontId="3" type="noConversion"/>
  </si>
  <si>
    <t>시자체</t>
    <phoneticPr fontId="3" type="noConversion"/>
  </si>
  <si>
    <t>제26회광주세계김치축제</t>
    <phoneticPr fontId="3" type="noConversion"/>
  </si>
  <si>
    <t>(서울) 5월중
(광주) 10월중
(예정)</t>
    <phoneticPr fontId="3" type="noConversion"/>
  </si>
  <si>
    <t xml:space="preserve"> ○ 핵심프로그램(대표프로그램) 대한민국 김치 경연대회
 ○ 김치를 주제로 한 공연, 전시, 체험프로그램, 김치마켓  운영 등
 ○ 개폐막 공연, 주제공연 및 문화공연
 ○ 우리농산물 시식 및 판매, 김치 응용요리 시식, 체험, 판매 등</t>
    <phoneticPr fontId="3" type="noConversion"/>
  </si>
  <si>
    <t>광주광역시 미래산업정책과 / 
광주세계김치축제위원회</t>
    <phoneticPr fontId="3" type="noConversion"/>
  </si>
  <si>
    <t>1995년도
(제26회)</t>
    <phoneticPr fontId="3" type="noConversion"/>
  </si>
  <si>
    <t>지역특산물</t>
    <phoneticPr fontId="3" type="noConversion"/>
  </si>
  <si>
    <t>김치</t>
    <phoneticPr fontId="3" type="noConversion"/>
  </si>
  <si>
    <t>공공(시)</t>
    <phoneticPr fontId="3" type="noConversion"/>
  </si>
  <si>
    <t>없음</t>
    <phoneticPr fontId="3" type="noConversion"/>
  </si>
  <si>
    <t>부분위탁</t>
    <phoneticPr fontId="3" type="noConversion"/>
  </si>
  <si>
    <t>기타(광주김치타운 일원)</t>
    <phoneticPr fontId="3" type="noConversion"/>
  </si>
  <si>
    <t>동구</t>
    <phoneticPr fontId="3" type="noConversion"/>
  </si>
  <si>
    <t>추억의 충장축제</t>
    <phoneticPr fontId="3" type="noConversion"/>
  </si>
  <si>
    <t>10.2~10.6
(5일간)
예정</t>
    <phoneticPr fontId="3" type="noConversion"/>
  </si>
  <si>
    <t>○ 충장 퍼레이드 경연, 추억의 테마거리
 ○추억을 테마로한 공연, 전시, 체험프로그램 운영
 ○ 개폐막 공연, 주제공연 및 문화공연
    - 6개 분야 30여개 프로그램
 ○ 기타 지역 문화자원 연계 특별행사 및 전시 등</t>
    <phoneticPr fontId="3" type="noConversion"/>
  </si>
  <si>
    <t>광주광역시 동구 
/ 추억의 충장축제위원회
(062-608-2422)</t>
    <phoneticPr fontId="3" type="noConversion"/>
  </si>
  <si>
    <t>2004년도
(16회)</t>
    <phoneticPr fontId="3" type="noConversion"/>
  </si>
  <si>
    <t>문체부</t>
    <phoneticPr fontId="3" type="noConversion"/>
  </si>
  <si>
    <t>문화관광축제 지원</t>
    <phoneticPr fontId="3" type="noConversion"/>
  </si>
  <si>
    <t>문화관광축제
(최우수축제)</t>
    <phoneticPr fontId="3" type="noConversion"/>
  </si>
  <si>
    <t>추억</t>
    <phoneticPr fontId="3" type="noConversion"/>
  </si>
  <si>
    <t>매년</t>
    <phoneticPr fontId="3" type="noConversion"/>
  </si>
  <si>
    <t>축제위원회</t>
    <phoneticPr fontId="3" type="noConversion"/>
  </si>
  <si>
    <t>없음</t>
    <phoneticPr fontId="3" type="noConversion"/>
  </si>
  <si>
    <t>부분위탁</t>
    <phoneticPr fontId="3" type="noConversion"/>
  </si>
  <si>
    <t>시내거리</t>
    <phoneticPr fontId="3" type="noConversion"/>
  </si>
  <si>
    <t>서구</t>
    <phoneticPr fontId="3" type="noConversion"/>
  </si>
  <si>
    <t>영산강 서창들녘 억새축제</t>
    <phoneticPr fontId="3" type="noConversion"/>
  </si>
  <si>
    <t>10. 11~10. 13
(3일)</t>
    <phoneticPr fontId="3" type="noConversion"/>
  </si>
  <si>
    <t xml:space="preserve"> ○ 개폐막식, 문화예술공연 등
 ○ 억새길 걷기행사
 ○ 서구관광사진 공모전 , 친환경 체험프로그램 등
 ○ 기타 특별행사 등</t>
    <phoneticPr fontId="3" type="noConversion"/>
  </si>
  <si>
    <t>광주광역시 서구 문화체육과
(062-360-7186)</t>
    <phoneticPr fontId="3" type="noConversion"/>
  </si>
  <si>
    <t>2015
(5회)</t>
    <phoneticPr fontId="3" type="noConversion"/>
  </si>
  <si>
    <t>생태자연</t>
    <phoneticPr fontId="3" type="noConversion"/>
  </si>
  <si>
    <t>억새</t>
    <phoneticPr fontId="3" type="noConversion"/>
  </si>
  <si>
    <t>공공</t>
    <phoneticPr fontId="3" type="noConversion"/>
  </si>
  <si>
    <t>전체위탁</t>
    <phoneticPr fontId="3" type="noConversion"/>
  </si>
  <si>
    <t>고수부지</t>
    <phoneticPr fontId="3" type="noConversion"/>
  </si>
  <si>
    <t>남구</t>
    <phoneticPr fontId="3" type="noConversion"/>
  </si>
  <si>
    <t>제37회 고싸움놀이축제</t>
    <phoneticPr fontId="3" type="noConversion"/>
  </si>
  <si>
    <t>2.16~2.18
(3일간) 예정</t>
    <phoneticPr fontId="3" type="noConversion"/>
  </si>
  <si>
    <t xml:space="preserve"> ○ 시연마당 : 고싸움놀이, 고퍼레이드, 대동 큰줄다리기 
 ○ 전통공연 : 무형문화재 초청공연 
 ○ 문화공연 : 사물놀이, 민요, 농악놀이 
 ○ 상설마당 : 공예체험/전통민속놀이 체험  
 ○ 체험마당 : 고싸움놀이VR체험/외줄그네타기/떡방아찧기</t>
    <phoneticPr fontId="3" type="noConversion"/>
  </si>
  <si>
    <t>고싸움놀이보존회
(062-607-2315)</t>
    <phoneticPr fontId="3" type="noConversion"/>
  </si>
  <si>
    <t>1983년도
(37회)</t>
    <phoneticPr fontId="3" type="noConversion"/>
  </si>
  <si>
    <t>205(미정)</t>
    <phoneticPr fontId="3" type="noConversion"/>
  </si>
  <si>
    <t>한국문화예술위</t>
    <phoneticPr fontId="3" type="noConversion"/>
  </si>
  <si>
    <t xml:space="preserve">고싸움놀이 축제(보조) </t>
    <phoneticPr fontId="3" type="noConversion"/>
  </si>
  <si>
    <t>고싸움놀이</t>
    <phoneticPr fontId="3" type="noConversion"/>
  </si>
  <si>
    <t>시민단체</t>
    <phoneticPr fontId="3" type="noConversion"/>
  </si>
  <si>
    <t>있음</t>
    <phoneticPr fontId="3" type="noConversion"/>
  </si>
  <si>
    <t>고싸움놀이
테마파크</t>
    <phoneticPr fontId="3" type="noConversion"/>
  </si>
  <si>
    <t>광주광역시</t>
    <phoneticPr fontId="3" type="noConversion"/>
  </si>
  <si>
    <t>제9회 굿모닝!양림</t>
    <phoneticPr fontId="3" type="noConversion"/>
  </si>
  <si>
    <t>10.10~10.31
(22일간)</t>
    <phoneticPr fontId="3" type="noConversion"/>
  </si>
  <si>
    <t>○ 전시프로그램 : 양림동의 화가들, 예술인아카이브전 
○ 공연프로그램 : 가을숲속음악회, 클래식가을여행 
○ 인문학강의 : 양림출신 시인과 소설가의 작품을 주제로 강의
○ 참여프로그램 : 가을 시낭송대회, 가을 편지쓰기 등</t>
    <phoneticPr fontId="3" type="noConversion"/>
  </si>
  <si>
    <t>광주광역시 남구/굿모닝! 양림추진위원회
(062-607-2312/062-653-5435)</t>
    <phoneticPr fontId="3" type="noConversion"/>
  </si>
  <si>
    <t>2011년도
(9회)</t>
    <phoneticPr fontId="3" type="noConversion"/>
  </si>
  <si>
    <t>인문학</t>
    <phoneticPr fontId="3" type="noConversion"/>
  </si>
  <si>
    <t>축제조직위</t>
    <phoneticPr fontId="3" type="noConversion"/>
  </si>
  <si>
    <t>광주 남구 
양림동 일원</t>
    <phoneticPr fontId="3" type="noConversion"/>
  </si>
  <si>
    <t>대전광역시</t>
  </si>
  <si>
    <t>대덕구</t>
  </si>
  <si>
    <t>금강로하스축제</t>
  </si>
  <si>
    <t xml:space="preserve"> ○ 대표프로그램 : 야외뮤직페스티벌
 ○ 부대프로그램 : 청소년가요제 등
 ○ 개막 공연, 가족 체험프로그램 운영</t>
  </si>
  <si>
    <t>대전광역시 대덕구 문화체육과
/대덕문화원
(042-608-6732)</t>
  </si>
  <si>
    <t>음악, 벚꽃, 대청호 등</t>
  </si>
  <si>
    <t>동춘당문화제</t>
  </si>
  <si>
    <t>4.19~4.20
(2일간)</t>
  </si>
  <si>
    <t xml:space="preserve"> ○동춘당 송준길선생의 사상과 업적조명
    - 문정공시호봉송행렬 
 ○숭모제례, 휘호대회, 인문학포럼 등
 ○개막공연,문화공연, 체험프로그램 등</t>
  </si>
  <si>
    <t>대덕구 문화체육과
/대덕문화원
(042-608-6572)</t>
  </si>
  <si>
    <t>1996년도
(23회)</t>
  </si>
  <si>
    <t>역사인물</t>
  </si>
  <si>
    <t>장동계족산 코스모스축제</t>
  </si>
  <si>
    <t>10월 초
(3일)</t>
  </si>
  <si>
    <t xml:space="preserve"> ○ 코스모스 경관농업단지 관람 등
 ○ 개막 공연, 가족 체험프로그램 운영</t>
  </si>
  <si>
    <t>대덕구
 / 장동경관농업추진위원회
(042-608-6943)</t>
  </si>
  <si>
    <t>코스모스</t>
  </si>
  <si>
    <t>계족산맨발축제</t>
  </si>
  <si>
    <t>5.11~5.12
(2일간)</t>
  </si>
  <si>
    <t>O 계족산 황톳길 맨발걷기 / 맨발마라톤
O 숲속음악회 등 문화공연
O 에코힐링관련 프로그램</t>
  </si>
  <si>
    <t>맥키스컴퍼니
(042-530-1832)</t>
  </si>
  <si>
    <t>2006년도
(12회)</t>
  </si>
  <si>
    <t>에코힐링</t>
  </si>
  <si>
    <t>있음
축제TF : 14명</t>
  </si>
  <si>
    <t>계족산 황톳길
일원</t>
  </si>
  <si>
    <t>우리농수축산물큰잔치</t>
  </si>
  <si>
    <t>9.27~9.29.
(3일간)</t>
  </si>
  <si>
    <t>○ 우리시 및 충청권 우수 농특산물 직거래 행사
 ○ 사랑의 김치나누기
 ○ 시민참여행사(전통혼례, 문화프로그램, 우리농산물 경매, 노래가요제 등)</t>
  </si>
  <si>
    <t>㈜충청투데이
(042-380-7075)</t>
  </si>
  <si>
    <t>2002년도
(17회)</t>
  </si>
  <si>
    <t>충청권 농특산물</t>
  </si>
  <si>
    <t>도매시장 인근</t>
  </si>
  <si>
    <t>2019 동물보호 문화축제</t>
  </si>
  <si>
    <t>9.28.~9.29.
(2일간)</t>
  </si>
  <si>
    <t>○ 반려동물 문화교실
○ 올바른 반려동물 문화조성 및 동물보호의 장 마련
○ 독스포츠, 반려동물 운동회 등 시민 참여프로그램 운영
  - 4개 분야 24개 프로그램</t>
  </si>
  <si>
    <t>대전광역시 농생명정책과
/대전마케팅공사
(042-270-3823)</t>
  </si>
  <si>
    <t>반려동물</t>
  </si>
  <si>
    <t>공원,광장</t>
  </si>
  <si>
    <t>제31회 DICU FESTIVAL</t>
  </si>
  <si>
    <t>2019.02.23-24(2일간)</t>
  </si>
  <si>
    <t>○ 만화, 웹툰을 주제로 운영되는 아마추어만화산업전 및 코스튬플레이 무대공연
 - 5개 분야 12개 프로그램
○ 지역에서 활동하는 아트스트 전시 프로그램</t>
  </si>
  <si>
    <t>대전아마추어만화협회야쳐
/ DICU FESTIVAL 조직위원회
(070-7633-4907)</t>
  </si>
  <si>
    <t>2004년도
(31회)</t>
  </si>
  <si>
    <t>만화,웹툰</t>
  </si>
  <si>
    <t>6개월</t>
  </si>
  <si>
    <t>시민단체
축제조직위</t>
  </si>
  <si>
    <t>있음
정규직 1명
비상근 6명</t>
  </si>
  <si>
    <t>대전예술가의집</t>
  </si>
  <si>
    <t>제32회 DICU FESTIVAL</t>
  </si>
  <si>
    <t>2004년도
(32회)</t>
  </si>
  <si>
    <t>대전사이언스페스티벌</t>
  </si>
  <si>
    <t>10.18~10.21
(4일간)</t>
  </si>
  <si>
    <t xml:space="preserve"> ○ 4차산업혁명을 테마로한 전시, 체험프로그램 운영
 ○ 개막식, 과학기술전시 및 체험, 문화예술 공연 등
    - 5개 분야 44개 프로그램
 ○ 기타 특별연계행사(세계과학포럼, 대덕특구 투어 등)</t>
  </si>
  <si>
    <t>대전광역시 과학산업과
(042-270-0331)</t>
  </si>
  <si>
    <t>2000년도
(22회)</t>
  </si>
  <si>
    <t>과학문화</t>
  </si>
  <si>
    <t>공공(시자체)</t>
  </si>
  <si>
    <t>엑스포시민광장
켄벤션센터 등</t>
  </si>
  <si>
    <t>유성구</t>
  </si>
  <si>
    <t>유성온천문화축제</t>
  </si>
  <si>
    <t>5.10~5.12
(3일간)</t>
  </si>
  <si>
    <t xml:space="preserve"> ○ 대표프로그램 : 노천 족욕 및 온천수 물총대첩
 ○ 온천을 테마로한 공연, 전시, 경연, 체험프로그램 운영
 ○ 개폐막 공연, 공식행사, 주제공연 및 문화공연 등
    - 6개 분야 60여개 프로그램
 ○ 기타 특별행사 및 체험, 전시 등</t>
  </si>
  <si>
    <t>대전광역시 유성구 문화관광과
/ 유성구, 유성문화원
(042-611-2080)</t>
  </si>
  <si>
    <t>1989년도
(26회)</t>
  </si>
  <si>
    <t>온천, 문화 등</t>
  </si>
  <si>
    <t xml:space="preserve">부분위탁
 (운영,하드웨어, 
   프로그램)
</t>
  </si>
  <si>
    <t>공원, 시내거리, 시장, 하천 등</t>
  </si>
  <si>
    <t>유성국화전시회</t>
  </si>
  <si>
    <t>10.12~11.3
(23일간)</t>
  </si>
  <si>
    <t xml:space="preserve"> ○ 대표프로그램 : 국화조형물 및 국화 10만여본 건지
 ○ 국화를 테마로 한 분재, 포토존, 토피어리 등 
 ○ 각종 연계행사 및 체험, 전시 등</t>
  </si>
  <si>
    <t>대전광역시 유성구 공원녹지과
(042-611-2682)</t>
  </si>
  <si>
    <t>국화</t>
  </si>
  <si>
    <t>공원, 하천 등</t>
  </si>
  <si>
    <t>중구청</t>
  </si>
  <si>
    <t>제5회 대전칼국수축제</t>
  </si>
  <si>
    <t>2019년
하반기</t>
  </si>
  <si>
    <t>대전 중구의 유래와 전통을살려 스토리가 있는 칼국수를 대전의 대표음식으로 육성 발전하고자 보고, 즐기고, 체험 할 수 있는 축제 
 ○ 개.폐막식 (식전행자, 개막, 폐막식 행사 등)
 ○ 주제전시관(대전칼국수의 역사, 특색있는 칼국수모형, 전국지방별 칼국수문화소개, 대전칼국수 맛집, 대전칼국수 주제 캐릭터를 이용한 토피어리를 구성하여 포토존 구성)
 ○푸드코트(칼국수 전문점, 지역제조업소 등 다양한 맛 제공)
 ○체험행사(통밀놀이터, 에어바운스 어린이놀이터, 초대형박터트리기 등)
 ○공연/부대행사(경연대회: 칼국수 경연대회/칼군무경연대회
아트프리마켓 : 수제 공예품을 저렴한 가격으로 판매
생활동아리 및 7080 통기타 공연 등)</t>
  </si>
  <si>
    <t>대전광역시 중구청 위생과
/ 대전중구문화원
(042-606-6491)</t>
  </si>
  <si>
    <t>2013년도
(제4회)</t>
  </si>
  <si>
    <t>칼국수</t>
  </si>
  <si>
    <t>서대전시민광장</t>
  </si>
  <si>
    <t>제11회 대전효문화뿌리축제</t>
  </si>
  <si>
    <t>9.27~29(3일간)</t>
  </si>
  <si>
    <t>○ 문중 "독립운동가" 입장 퍼레이드 / 160개문중 
 ○ 개폐막식, 주제 및 문화공연 / 4개 분야 40개 프로그램
 ○ 직접 체험(참여)프로그램 / 65개 프로그램
 ○ 축제 기념품 샵 운영 / 학용품, 생필품 등
 ○ 지역관광투어 / 박물관투어, 야경투어 등
 ○ 전시 / 한국 족보박물관
 ○ 효체험 교육프로그램 / 효문화진흥원, 효문화관리원</t>
  </si>
  <si>
    <t>대전광역시 중구/대전효문화뿌리축제추진위원회
(042-606-6293)</t>
  </si>
  <si>
    <t>2008년도(11회)</t>
  </si>
  <si>
    <t>효+뿌리</t>
  </si>
  <si>
    <t>대전효문화뿌리축제위원회</t>
  </si>
  <si>
    <t>있음 
정규4명 총4명</t>
  </si>
  <si>
    <t>대전 서구힐링 아트페스티벌</t>
  </si>
  <si>
    <t>5.25~5.27
(3일간)</t>
  </si>
  <si>
    <t xml:space="preserve"> ○ 힐링 아트마켓: 100명의 작가와 관람객의 소통의 장
 ○ 아트를 소재로 한 공연, 전시, 체험프로그램 운영
 ○ 예술가과 관람객이 함께하는 참여형 예술축제
    - 7개 분야 100여개 프로그램</t>
  </si>
  <si>
    <t>대전광역시 서구
/ 서구문화원, 한국예총 대전시연합회
(042-288-2714)</t>
  </si>
  <si>
    <t>2016년
(4회)</t>
  </si>
  <si>
    <t>예술</t>
  </si>
  <si>
    <t>울산광역시</t>
  </si>
  <si>
    <t>한글문화예술제</t>
  </si>
  <si>
    <t>ㅇ 개폐막식, 한글 글그림 공모전, 한글사랑거리행진, 
    한글과거제, 한글학술대회, 전시, 체험행사 등</t>
  </si>
  <si>
    <t>울산광역시 문화예술과
(052-229-3722)</t>
  </si>
  <si>
    <t>한글</t>
  </si>
  <si>
    <t>공공(민간경상)</t>
  </si>
  <si>
    <t>서머페스티벌</t>
  </si>
  <si>
    <t>7.23~7.29
(6일간)</t>
  </si>
  <si>
    <t>○ 국내 정상급가수 초청 릴레이공연(5회)</t>
  </si>
  <si>
    <t>울산광역시/울산문화방송
(052-229-3751)</t>
  </si>
  <si>
    <t>2003년도
(17회)</t>
  </si>
  <si>
    <t>문화관광축제</t>
  </si>
  <si>
    <t>가요,k-pop</t>
  </si>
  <si>
    <t>공원/바다/운동장 등</t>
  </si>
  <si>
    <t>아시아 퍼시픽 뮤직미팅</t>
  </si>
  <si>
    <t>8.31~9.2
(3일간)</t>
  </si>
  <si>
    <t xml:space="preserve">○ 한국 음악의 전략적 해외 진출을 위한 뮤직마켓 운영
   - 국내외 음악산업관계자 컨퍼런스, 쇼케이스, 멘토링등 </t>
  </si>
  <si>
    <t>울산광역시/울산문화재단
(052-229-3751)</t>
  </si>
  <si>
    <t>2012
(8회)</t>
  </si>
  <si>
    <t>지역문화행사 지원</t>
  </si>
  <si>
    <t>음악</t>
  </si>
  <si>
    <t>울산119안전문화축제</t>
  </si>
  <si>
    <t>○ 재난 및 소방안전체험
○ 개막식 및 경연대회 등
    - 4개 행사, 100여개 프로그램</t>
  </si>
  <si>
    <t>울산광역시 소방본부 안전구조과
(052-229-5333)</t>
  </si>
  <si>
    <t>안전</t>
  </si>
  <si>
    <t>공공(시)</t>
  </si>
  <si>
    <t>있음
정규직1명</t>
  </si>
  <si>
    <t>웰빙라이프 울산</t>
  </si>
  <si>
    <t>○ 먹거리(식품등) 및 건강 등을 테마로한 전시, 체험프로
     그램 운영</t>
  </si>
  <si>
    <t>울산광역시 식의약안전과/
(사)한국외식업중앙회울산광역시지회
(052-229-3541)</t>
  </si>
  <si>
    <t>2010년도
(9회)</t>
  </si>
  <si>
    <t>지역특산물등</t>
  </si>
  <si>
    <t xml:space="preserve">있음
정규직 4명  </t>
  </si>
  <si>
    <t>태화강 봄꽃대향연</t>
  </si>
  <si>
    <t>5.16~5.19
(4일간)</t>
  </si>
  <si>
    <t>○ 개막식, 콘서트, 공연, 전시, 체험행사 등
     - 20여개 프로그램</t>
  </si>
  <si>
    <t>울산광역시 녹지공원과
(052-229-6144)</t>
  </si>
  <si>
    <t>봄꽃</t>
  </si>
  <si>
    <t>울산대공원 장미축제</t>
  </si>
  <si>
    <t>5.22~26
(5일간)</t>
  </si>
  <si>
    <t>○ 개막점등식,퍼레이드,공연,전시, 체험행사 등</t>
  </si>
  <si>
    <t>울산광역시/SK에너지
(052-229-3342)</t>
  </si>
  <si>
    <t>2006년도
(13회)</t>
  </si>
  <si>
    <t>처용문화제</t>
  </si>
  <si>
    <t>11.1.~11.3.
(3일간)</t>
  </si>
  <si>
    <t>○ 처용주제공연(개·폐막)
○ 처용 창작콘텐츠 공연 및 전시
○ 5개 구·군 문화원 프로그램 및 부스 운영
○ 처용맞이행사
○ 시민참여프로그램 및 부스 운영</t>
  </si>
  <si>
    <t>울산광역시 문화예술과(문화산업계) 052-229-3751 / 울산문화재단 052-259-7917</t>
  </si>
  <si>
    <t>1967년도
(53회)</t>
  </si>
  <si>
    <t>처용</t>
  </si>
  <si>
    <t>·공공(시군구),
·재단법인</t>
  </si>
  <si>
    <t>·전체위탁
(市→재단)</t>
  </si>
  <si>
    <t>울산프롬나드페스티벌</t>
  </si>
  <si>
    <t>9월 중
(3일간)</t>
  </si>
  <si>
    <t>○ 시민, 공원, 다양성이 어우러지는 문화예술 축제
○ 울산이 자랑하는 공원을 장소로 특성화 전략 수립
○ 개폐막 공연, 주제공연, 프린지 등
○ 기타 생활문화, 부대시설 운영 등</t>
  </si>
  <si>
    <t>울산광역시 문화예술과
/ 울산문화재단
(052-259-7918)</t>
  </si>
  <si>
    <t>2019년</t>
  </si>
  <si>
    <t>시민, 공원,
다양성</t>
  </si>
  <si>
    <t>울산아트+</t>
  </si>
  <si>
    <t>9. 27~29
(3일간)</t>
  </si>
  <si>
    <t>○ 열린예술무대
○ 요일 장르별 문화공연 개최
   - Ensemble : 지역 아마추어 단체와 시립교향악단 합동공연
   - Harmony : 지역 아마추어 단체와 시립합창단 합동공연   
   - Challenge : 지역 아마추어 단체와 시립무용단 합동공연
○ 생활공예품 전시 및 체험, 나눔장터, 아트마켓, 먹거리제공</t>
  </si>
  <si>
    <t>울산광역시 / 울산문화예술회관
(052-226-8235)</t>
  </si>
  <si>
    <t>복합문화
예술공간</t>
  </si>
  <si>
    <t>· 매년</t>
  </si>
  <si>
    <t>·공공(시군구)</t>
  </si>
  <si>
    <t xml:space="preserve">있음
계약직 12명
총 12명  </t>
  </si>
  <si>
    <t>·자체추진</t>
  </si>
  <si>
    <t>울      산
시설공단</t>
  </si>
  <si>
    <t>울산대공원 튤립축제</t>
  </si>
  <si>
    <t>4. 6~4.7        (2일간)</t>
  </si>
  <si>
    <t xml:space="preserve">○ 버스킹 공연 운영   
○ 튤립을 테마로한 포토존 조성 </t>
  </si>
  <si>
    <t>울산시설공단/ 울산대공원관리처        
      (052-226-0457)</t>
  </si>
  <si>
    <t>2010년도       (10회)</t>
  </si>
  <si>
    <t>튤립</t>
  </si>
  <si>
    <t>울산대공원 빛 축제</t>
  </si>
  <si>
    <t>매년12월~
다음해 1월 중
(1개월 이상)</t>
  </si>
  <si>
    <t xml:space="preserve">○ 테마 빛 조형물 설치(제4회 빛 축제 컨셉은 미정) 
○ 개막(점등)식, 불꽃쇼, 축하공연
○ 특별공연  및 버스킹 페스티벌 </t>
  </si>
  <si>
    <t>울산시설공단
/울산대공원관리처
(052-226-0302)</t>
  </si>
  <si>
    <t>2016년도
(제4회)</t>
  </si>
  <si>
    <t>별빛</t>
  </si>
  <si>
    <t>공공
(지방공기업)</t>
  </si>
  <si>
    <t>울산마두희축제</t>
  </si>
  <si>
    <t>6.7~6.9
(3일간)</t>
  </si>
  <si>
    <t>○ 대표프로그램 : 울산큰줄당기기, 씨름한마당
○ 전통마당 : 전국소리경연대회, 영남한복패션쇼 등
○ 원도심 거리퍼레이, 프린지 공연 등
○ 전시, 체험, 먹거리 마당 등</t>
  </si>
  <si>
    <t>울산마두희축제추진위원회
(052-244-2008)</t>
  </si>
  <si>
    <t>큰줄다리기</t>
  </si>
  <si>
    <t>있음
정규직 4명
총 4명</t>
  </si>
  <si>
    <t>2019 울산고래축제</t>
  </si>
  <si>
    <t>6.7.~ 6.9.
3일간)</t>
  </si>
  <si>
    <t xml:space="preserve">○ 핵심프로그램 : 거리퍼레이드, 수상퍼포먼스
○ 고래를 테마로한 공연, 전시, 체험프로그램 운영
○ 개폐막 공연, 주제공연 및 문화공연
○ 기타 특별행사 및 전시 등등 </t>
  </si>
  <si>
    <t>울산 남구 관광과
/ 고래문화재단
(052-226-1998)</t>
  </si>
  <si>
    <t>고래</t>
  </si>
  <si>
    <t xml:space="preserve">있음
정규직 8명
계약직 1명
무기직 4명
총 13명 </t>
  </si>
  <si>
    <t>미측정</t>
  </si>
  <si>
    <t>마을, 기타</t>
  </si>
  <si>
    <t>제11회 궁거랑 벚꽃
한마당</t>
  </si>
  <si>
    <t>3.30.~3.31.
(2일간)</t>
  </si>
  <si>
    <t>○ 개막식 공연 및 음악회
○ 벚꽃 조명 및 벚꽃터널 운영
○ 각종 체험행사 및 먹거리 장터 운영</t>
  </si>
  <si>
    <t>울산 남구 건설과
/울산제일일보
(051-226-5831)</t>
  </si>
  <si>
    <t>울산조선해양축제</t>
  </si>
  <si>
    <t>7.19.~7.21.
(3일간)</t>
  </si>
  <si>
    <t>○ 기발한 배 콘테스트
○ 개막공연, 프린지공연 등
○ 바지선을 활용한 해상불꽃쇼</t>
  </si>
  <si>
    <t>울산광역시, 울산광역시동구
/ 울산조선해양축제추진위원회
(052-209-3662)</t>
  </si>
  <si>
    <t>쇠부리축제</t>
  </si>
  <si>
    <t>5.10.~5.12.
(3일간)</t>
  </si>
  <si>
    <t xml:space="preserve">○ 쇠부리를 모티브로 한 산업역사 문화축제
○ 쇠부리, 문화, 전시학술, 화합의 장 4개 부문 20여 프로그램 </t>
  </si>
  <si>
    <t>울산북구 문화체육과/
울산쇠부리축제사무국
(052-241-8758)</t>
  </si>
  <si>
    <t>쇠부리</t>
  </si>
  <si>
    <t>있음
정규직 2명
총 2명</t>
  </si>
  <si>
    <t>울주군</t>
  </si>
  <si>
    <t>2019울산옹기축제</t>
  </si>
  <si>
    <t>5.3.~5.6(4일간)</t>
  </si>
  <si>
    <t xml:space="preserve">○ 옹기전통가마 체험테마촌
○옹기를 테마로한 공연, 전시, 체험프로그램 운영
○ 개폐막 공연, 주제공연 및 문화공연
   - 7개 분야 60여개 프로그램
○ 제5회대한민국옹기공모전 및 수상작 전시 </t>
  </si>
  <si>
    <t>울산광역시 울주군 문화관광과/울산옹기축제추진위원회,울산외고산옹기마을협동조합(052-204-0331)</t>
  </si>
  <si>
    <t>2000년도
(19회)</t>
  </si>
  <si>
    <t>옹기</t>
  </si>
  <si>
    <t>울주세계산악영화제</t>
  </si>
  <si>
    <t>9.6.~9.10.
(5일간)</t>
  </si>
  <si>
    <t>○ 영화상영 및 체험, 공연, 전시 등</t>
  </si>
  <si>
    <t>울주군
(052-204-0313,2939)</t>
  </si>
  <si>
    <t>2016년도
(3회)</t>
  </si>
  <si>
    <t>산악</t>
  </si>
  <si>
    <t>있음
계약직 8명
총 8명</t>
  </si>
  <si>
    <t>간절곶 해맞이 축제</t>
  </si>
  <si>
    <t>2019.12.31.-
2020.1.1.
(2일간)</t>
  </si>
  <si>
    <t>○ 각종문화공연,영화상영,체험및전시부스운영,
    해맞이 퍼포먼스,떡국나눔행사등</t>
  </si>
  <si>
    <t>울주군청/울산문화방송,울주문화원
(052-204-0312)</t>
  </si>
  <si>
    <t>2000년도
(18회)</t>
  </si>
  <si>
    <t>세종특별
자치시청</t>
  </si>
  <si>
    <t>세종시</t>
  </si>
  <si>
    <t>세종축제</t>
  </si>
  <si>
    <t>10.5.~10.9.</t>
  </si>
  <si>
    <t xml:space="preserve"> ○ 세종대왕과 한글을 주재로한 공연 전시 및 체험프로그램운영
 ○ 한글창의산업전, 시민퍼레이드, 푸드트럭 페스티발, 세종대왕 특별전 등
 ○ 세종축제주간 운영 (10.3.~10.9. / 7일간)
    - 기간중 열리는 시의 축제들을 연계행사로 진행</t>
  </si>
  <si>
    <t>세종특별자치시/관광문화재과
(044-300-5813)</t>
  </si>
  <si>
    <t>2013년
(일곱번째)</t>
  </si>
  <si>
    <t>세종대왕,한글</t>
  </si>
  <si>
    <t>없음
(전문임기제)</t>
  </si>
  <si>
    <t>공원
(세종호수공원 및 시일원)</t>
  </si>
  <si>
    <t>세종조치원복숭아축제</t>
  </si>
  <si>
    <t>8.10.~8.11.</t>
  </si>
  <si>
    <t>○ 조치원 복숭아를 테마로한 품종전시, 홍보 판촉전 운영
  - 인근 지자체(서울, 대전,청주, 공주) 릴레이 판매전 병행
○ 복숭아 가공식품 만들기, 수확체험 프로그램 등 운영
○ 소규모 게릴라 공연, 어린이 사생대회, 백일장 등 경연대회</t>
  </si>
  <si>
    <t>세종특별자치시/로컬푸드과
(044-300-2512) /
세종조치원복숭아연합영농법인</t>
  </si>
  <si>
    <t>2003년
(17회)</t>
  </si>
  <si>
    <t>조치원 복숭아</t>
  </si>
  <si>
    <t>공원
(조치원청춘공원)</t>
  </si>
  <si>
    <t>경기도</t>
  </si>
  <si>
    <t>충청북도</t>
  </si>
  <si>
    <t>충청남도</t>
  </si>
  <si>
    <t>전라북도</t>
  </si>
  <si>
    <t>전라남도</t>
  </si>
  <si>
    <t>경상북도</t>
  </si>
  <si>
    <t>경상남도</t>
  </si>
  <si>
    <t>제주도</t>
  </si>
  <si>
    <t>수원시</t>
  </si>
  <si>
    <t>제56회 수원화성문화제</t>
  </si>
  <si>
    <t>10.3~10.6
(4일간)</t>
  </si>
  <si>
    <r>
      <t>○ 정조대왕 능행차
○ 수원화성을 테마로 한 공연, 체험프로그램 운영
○</t>
    </r>
    <r>
      <rPr>
        <sz val="10"/>
        <rFont val="HY중고딕"/>
        <family val="1"/>
        <charset val="129"/>
      </rPr>
      <t xml:space="preserve"> 혜경궁홍씨 회갑연, 친림과거무과시험, 폐막공연 야조</t>
    </r>
    <r>
      <rPr>
        <sz val="11"/>
        <rFont val="HY중고딕"/>
        <family val="1"/>
        <charset val="129"/>
      </rPr>
      <t xml:space="preserve">
○ 기본프로그램 및 시민기획프로그램</t>
    </r>
  </si>
  <si>
    <t>수원시/수원문화재단 
(031-228-3562)</t>
  </si>
  <si>
    <t>1964년도      (56회)</t>
  </si>
  <si>
    <t>수원화성문화제(국비)</t>
  </si>
  <si>
    <t>문화관광축제(우수)</t>
  </si>
  <si>
    <t>수원화성 등      문화자원</t>
  </si>
  <si>
    <t xml:space="preserve">있음
수원문화재단
정규직11명 </t>
  </si>
  <si>
    <t>수원화성일원</t>
  </si>
  <si>
    <t xml:space="preserve"> 수원시</t>
  </si>
  <si>
    <t>제26회 음식문화축제</t>
  </si>
  <si>
    <t>2019. 10월
(3일간)</t>
  </si>
  <si>
    <r>
      <t xml:space="preserve">○ 수원양념갈비,한식,중식,일식 할인판매
○ 국제 자매도시 조리사 초청음식전
○ 수원 전국 요리경연대회
○ </t>
    </r>
    <r>
      <rPr>
        <sz val="10"/>
        <rFont val="HY중고딕"/>
        <family val="1"/>
        <charset val="129"/>
      </rPr>
      <t>식품안전체험관 및 어린이급식관리지원센터 홍보관 운영</t>
    </r>
    <r>
      <rPr>
        <sz val="11"/>
        <rFont val="HY중고딕"/>
        <family val="1"/>
        <charset val="129"/>
      </rPr>
      <t xml:space="preserve">
○ 무대공연 및 이벤트</t>
    </r>
  </si>
  <si>
    <t>수원시청 위생정책과/축제협의회,수원시외식업지부
(031-228-2233)</t>
  </si>
  <si>
    <t>1993년
(26회)</t>
  </si>
  <si>
    <t>향토음식</t>
  </si>
  <si>
    <t>수원연극축제</t>
  </si>
  <si>
    <t>5.24~5.26
(3일간)</t>
  </si>
  <si>
    <t>○ 국내외 초청작 공연
○ 시민프린지, 체험프로그램 등</t>
  </si>
  <si>
    <t>수원시/수원문화재단
(031-228-2471)</t>
  </si>
  <si>
    <t>있음
정규직 4명</t>
  </si>
  <si>
    <t>경기상상캠퍼스</t>
  </si>
  <si>
    <t>수원국제발레축제</t>
  </si>
  <si>
    <t>8.21~8.25
(5일간)</t>
  </si>
  <si>
    <t>○ 발레 메인공연, 자유참가 공연
○ 발레교실, 횡단보도댄스, 발레버스킹, 발레체조 등</t>
  </si>
  <si>
    <t>발레</t>
  </si>
  <si>
    <t>있음
정규직 16명</t>
  </si>
  <si>
    <t>광교호수공원</t>
  </si>
  <si>
    <t>수원재즈페스티벌</t>
  </si>
  <si>
    <t>9.7~9.8
(2일간)</t>
  </si>
  <si>
    <t>○ 국내 유명 재즈밴드 초청공연</t>
  </si>
  <si>
    <t>재즈</t>
  </si>
  <si>
    <t>시민단체</t>
  </si>
  <si>
    <t>있음
정규직 7명</t>
  </si>
  <si>
    <t>제1야외음악당</t>
  </si>
  <si>
    <t>전국 무궁화 수원축제</t>
  </si>
  <si>
    <t>7~8월중
(3일간)</t>
  </si>
  <si>
    <t>○무궁화를 테마로한 공연, 전시, 체험프로그램 운영</t>
  </si>
  <si>
    <t>수원시
(031-228-4561)</t>
  </si>
  <si>
    <t>무궁화</t>
  </si>
  <si>
    <t>2019 제16회 
수원정보과학축제</t>
  </si>
  <si>
    <t>10.18~10.19
(2일간)</t>
  </si>
  <si>
    <t>○ 시민참여(체험, 전시 등) 프로그램
○ 4차산업혁명(정보, 과학)을 테마로 공연, 전시, 체험 
    프로그램 운영
   - 4개 대회, 100여개 프로그램
○ 기타 특별행사 및 전시 등등</t>
  </si>
  <si>
    <t>수원시
(031-228-2671)</t>
  </si>
  <si>
    <t>4차산업혁명,
정보, 과학</t>
  </si>
  <si>
    <t>공공(시군구)
축제조직위</t>
  </si>
  <si>
    <t>부분위탁
(운영, 하드웨어,
프로그램)</t>
  </si>
  <si>
    <t>수원컨벤션센터</t>
  </si>
  <si>
    <t>수원가구거리대축제</t>
  </si>
  <si>
    <t>3.1~3.10
(10일간, 예정)</t>
  </si>
  <si>
    <t>○ 문화예술공연
○ 할인행사
○ 불우이웃돕기 자선경매</t>
  </si>
  <si>
    <t>20016년도      (14회)</t>
  </si>
  <si>
    <t>공연</t>
  </si>
  <si>
    <t>상인회</t>
  </si>
  <si>
    <t>수원가구거리상점가일원</t>
  </si>
  <si>
    <t>팔달문지역
시장거리 축제</t>
  </si>
  <si>
    <t>10.4~10.6
(3일간, 예정)</t>
  </si>
  <si>
    <t>○ 한복 맵시 선발대회
○ 시민가요제
○ 대학가요제</t>
  </si>
  <si>
    <t>팔달문지역시장연합회
(031-251-0171)</t>
  </si>
  <si>
    <t>지동교 특설무대 및 남문시장 일원</t>
  </si>
  <si>
    <t>제5회 광교산마루길 벚꽃 축제</t>
  </si>
  <si>
    <t>4.12~4.13
(2일간)</t>
  </si>
  <si>
    <t>○ 벚꽃 개화시기에 맞춘 문화공연, 체험프로그램 운영
○ 주민자치센터 동아리 경연대회 등</t>
  </si>
  <si>
    <t>수원시 장안구                                (031-228-5223)</t>
  </si>
  <si>
    <t>벚꽃, 음악회</t>
  </si>
  <si>
    <t>(가칭) 권선구민 화합 대축제</t>
  </si>
  <si>
    <t xml:space="preserve"> ○ 체험부스, 초청가수 축하공연, 먹거리장터 운영 
 ○ 계절 꽃길 조성, 포토존, 원예조형물 설치 
 ○ 주민자치센터 동아리 및 지역 예술 작품 전시</t>
  </si>
  <si>
    <t>수원시 권선구 행정지원과
(031-228-6225)</t>
  </si>
  <si>
    <t>용인시</t>
  </si>
  <si>
    <t>제31회 처인성 문화제</t>
  </si>
  <si>
    <t>9월 중
(2일간)</t>
  </si>
  <si>
    <t>○ 처인대첩 기념 퍼레이드
○ 용인 민속놀이 경연대회 등</t>
  </si>
  <si>
    <t>용인시 문화예술과 /  용인문화원
(031-324-2097)</t>
  </si>
  <si>
    <t>1990년도
(31회)</t>
  </si>
  <si>
    <t>역사</t>
  </si>
  <si>
    <t>비영리 특별법인</t>
  </si>
  <si>
    <t>제17회 포은문화제</t>
  </si>
  <si>
    <t>10.11~10.13.
(3일간)</t>
  </si>
  <si>
    <t>○ 추모선양행사
○ 경연대회(전국한시백일장, 청소년백일장 등)
○ 전시(포은선생조명전, 한시백일장 작품전 등)
○ 무대공연(국악, 합창, 초청가수 등) 등</t>
  </si>
  <si>
    <t>인물</t>
  </si>
  <si>
    <t>제17회 용인예술제(YAF)</t>
  </si>
  <si>
    <t>○ 국악, 음악, 무용 등 대중예술 공연
○ 시민백일장 등 경연대회
○ 미술체험행사 및 전시회 개최</t>
  </si>
  <si>
    <t>용인시 문화예술과/용인예총
(031-324-4535)</t>
  </si>
  <si>
    <t>종합예술</t>
  </si>
  <si>
    <t>구)경찰대        운동장</t>
  </si>
  <si>
    <t>음식문화축제</t>
  </si>
  <si>
    <t>9월 말
(2일간)</t>
  </si>
  <si>
    <t>○ 먹거리장터, 요리시연, 홍보관 등 건강한 음식을 바탕
   으로 음식문화 발전을 위한 다채로운 행사 운영</t>
  </si>
  <si>
    <t>용인시 환경위생사업소 위생과
(031-324-2230)</t>
  </si>
  <si>
    <t>2007년도
(12회)</t>
  </si>
  <si>
    <t>음식</t>
  </si>
  <si>
    <t>용인시청광장</t>
  </si>
  <si>
    <t>제19회 용인사이버과학축제</t>
  </si>
  <si>
    <t>10.19~10.20.
(2일간)</t>
  </si>
  <si>
    <t>○ 가상현실(VR).증강현실(AR) 체험관
○ 사물인터넷(IoT).로봇체험관
○ 용인과학체험한마당, 관내대학교 IT체험관
○ 관내 IT기업 및 용인시 홍보관, 부대행사 등</t>
  </si>
  <si>
    <t>용인시 정보통신과
(031-324-2083)</t>
  </si>
  <si>
    <t>IT, 과학</t>
  </si>
  <si>
    <t>시청광장</t>
  </si>
  <si>
    <t>2019 용인드론페스티벌</t>
  </si>
  <si>
    <t>○ (경진대회)드론챌린지, 자율비행 미션대회, 창작군무
    경연대회 등
○ (체험) 드론체험 등
○ (시연/전시) 드론 군무, 드론 전시 등
○ (이벤트)개막식/시상식, 드론공연, 버스킹공연 등</t>
  </si>
  <si>
    <t xml:space="preserve"> 용인시 기업지원과
(031-324-2855)</t>
  </si>
  <si>
    <t>드론,IT, 과학</t>
  </si>
  <si>
    <t>제 5회 가족친화축제</t>
  </si>
  <si>
    <t>○ 가족친화를 테마로 한 공연전시 및 체험프로그램</t>
  </si>
  <si>
    <t>용인시 여성가족과
(031-324-2608)</t>
  </si>
  <si>
    <t>가족</t>
  </si>
  <si>
    <t>자체추진
전체위탁</t>
  </si>
  <si>
    <t>시청광장 예정</t>
  </si>
  <si>
    <t>용인글로벌페스티벌</t>
  </si>
  <si>
    <t>○ 무대공연
○ 체험부스
○ 어린이그림그리기대회</t>
  </si>
  <si>
    <t>용인시 여성가족과
(031-324-2265)</t>
  </si>
  <si>
    <t>내．외국인,가족</t>
  </si>
  <si>
    <t xml:space="preserve">용인시청 광장 
및 로비 </t>
  </si>
  <si>
    <t>성남시</t>
  </si>
  <si>
    <t>생활문화동아리축제
(사랑방문화클럽축제변경)</t>
  </si>
  <si>
    <t>10월 예정</t>
  </si>
  <si>
    <r>
      <rPr>
        <sz val="11"/>
        <rFont val="맑은 고딕"/>
        <family val="3"/>
        <charset val="129"/>
      </rPr>
      <t>○</t>
    </r>
    <r>
      <rPr>
        <sz val="9.9"/>
        <rFont val="HY중고딕"/>
        <family val="1"/>
        <charset val="129"/>
      </rPr>
      <t xml:space="preserve"> 축제 개막식 및 축제전시 등
</t>
    </r>
    <r>
      <rPr>
        <sz val="8.9"/>
        <rFont val="맑은 고딕"/>
        <family val="3"/>
        <charset val="129"/>
      </rPr>
      <t>○</t>
    </r>
    <r>
      <rPr>
        <sz val="8"/>
        <rFont val="HY중고딕"/>
        <family val="1"/>
        <charset val="129"/>
      </rPr>
      <t xml:space="preserve"> 생활문화동아리거리축제 등
</t>
    </r>
    <r>
      <rPr>
        <sz val="8"/>
        <rFont val="맑은 고딕"/>
        <family val="3"/>
        <charset val="129"/>
      </rPr>
      <t>○</t>
    </r>
    <r>
      <rPr>
        <sz val="7.2"/>
        <rFont val="HY중고딕"/>
        <family val="1"/>
        <charset val="129"/>
      </rPr>
      <t xml:space="preserve"> 사랑방퍼레이드 및 폐막행사 등</t>
    </r>
  </si>
  <si>
    <t>성남문화재단/ 생활문화동아리축제
(조성란 031-783-8129)</t>
  </si>
  <si>
    <t>2007년도
(13회)</t>
  </si>
  <si>
    <t>재단법인/시민단체</t>
  </si>
  <si>
    <t>부분위탁(운영,프로그램)</t>
  </si>
  <si>
    <t>시내거리, 마을, 기타</t>
  </si>
  <si>
    <t>부천시</t>
  </si>
  <si>
    <t>원미산 진달래축제</t>
  </si>
  <si>
    <t>○ 봄맞이 대합창
○ 공연, 체험행사, 누리길 탐방 등</t>
  </si>
  <si>
    <t>원미산 진달래축제 추진위원회
(032-625-5762)</t>
  </si>
  <si>
    <t>자연생태</t>
  </si>
  <si>
    <t>원미산</t>
  </si>
  <si>
    <t>도당산 벚꽃축제</t>
  </si>
  <si>
    <t>4.13~4.14
(2일간)</t>
  </si>
  <si>
    <t>○ 벚꽃을 테마로한 어린이 그림그리기, 글짓기 대회개최
○ 개폐막 공연, 주제공연 및 문화공연
○ 캐리커처, 페이스페인팅 등 체험마당 운영</t>
  </si>
  <si>
    <t>도당산 벚꽃축제 추진위원회
(032-625-5411)</t>
  </si>
  <si>
    <t>도당산</t>
  </si>
  <si>
    <t>제35회 복사골예술제</t>
  </si>
  <si>
    <t>5.3.~5.6.
(4일간)</t>
  </si>
  <si>
    <t>○ 부천예총 및 9개지부별 예술문화행사
○ 개막식 행사
○ 문화공연, 전시, 경연행사
  - 3개 분야 25개 프로그램
○ 시민참여, 체험행사 등</t>
  </si>
  <si>
    <t>부천시(문화예술과)/(사)한국예총 부천지회
(032-625-3111)</t>
  </si>
  <si>
    <t>1985년도
(35회)</t>
  </si>
  <si>
    <t>봄</t>
  </si>
  <si>
    <t>공원,광장,
시청,문화재단
시민회관</t>
  </si>
  <si>
    <t>제22회 부천국제판타스틱영화제</t>
  </si>
  <si>
    <t>6.27~7.7
(11일간)</t>
  </si>
  <si>
    <t>ㅇ판타스틱 장르 영화상영(50개국 260여편 이상)
ㅇBIG(산업)프로그램 운영
ㅇ시민참여형 행사, 공연, 전시 등</t>
  </si>
  <si>
    <t>(사)부천국제판타스틱영화제조직위원회
(032-327-6313)</t>
  </si>
  <si>
    <t>문체부
(영화진흥위원회)</t>
  </si>
  <si>
    <t>국제영화제 육성지원 사업</t>
  </si>
  <si>
    <t>영화제조직위</t>
  </si>
  <si>
    <t xml:space="preserve">있음
정규직 6명
계약직 15명
위촉직 4명
총 25명  
</t>
  </si>
  <si>
    <t>부천시청,체육관,
상영관</t>
  </si>
  <si>
    <t>부천국제만화축제</t>
  </si>
  <si>
    <t>8.14~8.18
(5일간)</t>
  </si>
  <si>
    <t>○ 개.폐막식 공연
○ 전시, 콘텐츠페어, 컨퍼런스
○ 한국국제만화마켓 
○ 시민참여형 행사</t>
  </si>
  <si>
    <t>(재)한국만화영상진흥원/부천국제만화축제운영위원회
(김준호 032-310-3071)</t>
  </si>
  <si>
    <t>1998년도
(22회)</t>
  </si>
  <si>
    <t>대중문화콘텐츠산업육성</t>
  </si>
  <si>
    <t>문화관광축제(육성)</t>
  </si>
  <si>
    <t>만화</t>
  </si>
  <si>
    <t>있음
정규직4명
계약직 3명
총 7명</t>
  </si>
  <si>
    <t>만화박물관</t>
  </si>
  <si>
    <t>제21회 부천국제애니메이션축제</t>
  </si>
  <si>
    <t>10.18~10.22
(5일간)</t>
  </si>
  <si>
    <t>○ 아카데미(오스카) 공식인증 국제애니메이션영화제
○ 애니페어
○ 2019 아시아 애니메이션 포럼(AAF)
○ 전시 및 부대행사 등</t>
  </si>
  <si>
    <t>(사)부천국제애니메이션페스티벌조직위원회/BIAF집행위원회,(사)한국만화애니메이션학회
(032-325-2061 최은영)</t>
  </si>
  <si>
    <t>애니메이션영화</t>
  </si>
  <si>
    <t>박물관, 시청, 
상영관</t>
  </si>
  <si>
    <t>안산시</t>
  </si>
  <si>
    <t>2019안산국제거리극축제</t>
  </si>
  <si>
    <t>5.4~5.6
(3일간)</t>
  </si>
  <si>
    <t>○ 공식행사 : 개폐막프로그램
○ 공연 프로그램 : 공식참가작, 안산리서치, 거리예술플랫폼, 광대의도시, 청자유구역유스컬쳐
○ 기획행사 : 시민버전3.0, 도시놀이터, 페스티벌센터
○ 특별프로그램 : 아트마켓</t>
  </si>
  <si>
    <t>안산시 문화예술과/
(재)안산문화재단
(031-481-2068)</t>
  </si>
  <si>
    <t>거리극</t>
  </si>
  <si>
    <t xml:space="preserve">있음
정규직 5명
계약직 10명
총 15명  </t>
  </si>
  <si>
    <t>광장, 거리</t>
  </si>
  <si>
    <t>제23회 성호문화제</t>
  </si>
  <si>
    <t>5.25~5.26
(2일간)</t>
  </si>
  <si>
    <t>○ 성호이익선생 숭모제 및 성호학술대회
○ 전통예술공연, 문화체험 등 부대행사</t>
  </si>
  <si>
    <t>안산시 문화예술과/
안산문화원
(031-481-2066)</t>
  </si>
  <si>
    <t>전통문화</t>
  </si>
  <si>
    <t>성호사당,
성호공원</t>
  </si>
  <si>
    <t>제33회 별망성예술제</t>
  </si>
  <si>
    <t>9.28~9.29
(2일간)</t>
  </si>
  <si>
    <t>○ 공연, 전시, 예술 경연대회 등
○ 부대행사 : 체험부스, 먹거리 부스 운영</t>
  </si>
  <si>
    <t>안산시 문화예술과/
(사)한국예총 안산지회
(031-481-2068)</t>
  </si>
  <si>
    <t>1987년도
(33회)</t>
  </si>
  <si>
    <t>2019 안산 김홍도축제</t>
  </si>
  <si>
    <t>10.11.~10. 13.
(3일 간)</t>
  </si>
  <si>
    <t>○ 개막식
   - 2020 안산 방문의 해 선포식
   - 주한대사 사절단 초청 및 세계의상/한복 패션쇼
○ 주요 프로그램
   - 김홍도 풍속마을 재현, 김홍도 마당극, 
      김홍도 홍보관 등
○ 부대행사 : 김홍도 사생대회, 관광유원시설, 플리마켓
                   등  주민참여프로그램</t>
  </si>
  <si>
    <t>안산시 관광과
(031-481-3059)</t>
  </si>
  <si>
    <t>올해의 관광도시 선정∙육성 (2019 관광도시)</t>
  </si>
  <si>
    <t>단원 김홍도</t>
  </si>
  <si>
    <t>공원
(안산 화랑유원지)</t>
  </si>
  <si>
    <t>안산사이언스밸리(ASV) 과학축제 (가칭)</t>
  </si>
  <si>
    <t>10.19. ~ 10. 20.
(2일간) 예정</t>
  </si>
  <si>
    <t>○ 과학관 전시 체험 부스 운영
○ 과학을 테마로한 공연 프로그램 운영
○ ASV기관 기술 체험, 청년메이커 전시, 
    우리학교 과학클럽 등
○ 기타 부대행사 운영 등</t>
  </si>
  <si>
    <t>안산시 산업진흥과/
(재)경기테크노파크, 안산시           청소년수련관, 한양대학교 ERICA
(031-481-3517)</t>
  </si>
  <si>
    <t>과학기술</t>
  </si>
  <si>
    <t>부분위탁(위탁, 프로그램 기획, 홍보 등)</t>
  </si>
  <si>
    <t>기타(대학교)</t>
  </si>
  <si>
    <t>화성시</t>
  </si>
  <si>
    <t>화성 뱃놀이 축제</t>
  </si>
  <si>
    <t>6.5.~6.9.
(5일간)</t>
  </si>
  <si>
    <t xml:space="preserve">ㅇ해상승선체험
ㅇ해양레저체험
ㅇ육상 이벤트 체험
ㅇ문화공연 및 부대행사 등
ㅇ전국바다낚시대회 </t>
  </si>
  <si>
    <t>화성시/화성시문화재단
(031-8015-8273)</t>
  </si>
  <si>
    <t>2008년
(11회)</t>
  </si>
  <si>
    <t>바다,요트</t>
  </si>
  <si>
    <t>공공(화성시)</t>
  </si>
  <si>
    <t>바다,어항</t>
  </si>
  <si>
    <t>정조 효 문화제</t>
  </si>
  <si>
    <t>10.05.~10.06
(2일간)</t>
  </si>
  <si>
    <t>ㅇ능행차 재현
ㅇ영우원 천장 재현
ㅇ현륭원 궁원의 제향
ㅇ전통체험 마당</t>
  </si>
  <si>
    <t>정조, 효</t>
  </si>
  <si>
    <t>유적지, 광장</t>
  </si>
  <si>
    <t xml:space="preserve">화성시 </t>
  </si>
  <si>
    <t xml:space="preserve">화성송산포도축제 </t>
  </si>
  <si>
    <t>9.1.~9.2.
(2일간)</t>
  </si>
  <si>
    <t xml:space="preserve"> ○ 화성송산포도 포도밟기 체험 
 ○ 포도가요제, 포도따기, 포도체험, 갯벌체험   
 ○ 문화공연, 예술공연, 주민참여공연, 이벤트
 ○ 포도판매, 화성시 농산물 홍보 및 판매 </t>
  </si>
  <si>
    <t>화성시 농식품유통과 / 
(사)화성송산포도연합회
(축제추진위원회)</t>
  </si>
  <si>
    <t xml:space="preserve">사단법인 </t>
  </si>
  <si>
    <t xml:space="preserve">비상설 </t>
  </si>
  <si>
    <t xml:space="preserve">바다,광장 </t>
  </si>
  <si>
    <t>화성햇살드리축제</t>
  </si>
  <si>
    <t>11.8.~10.
(3일간)</t>
  </si>
  <si>
    <t>ㅇ화성시 농축산물 직거래, 김장체험
ㅇ농업인의날 기념식, 학교4-H회 농악경연 대회
ㅇ 농촌체험 프로그램 운영, 지역농축산물 전시
ㅇ지역예술단체 문화공연 : 10여개 프로그램
ㅇ자원봉사자 참여 김장김치 나눔행사 등</t>
  </si>
  <si>
    <t>화성햇살드리축제추진위원회
/화성시농업기술센터
(031-369-6365)</t>
  </si>
  <si>
    <t>쌀, 김장채소 등</t>
  </si>
  <si>
    <t>안양시</t>
  </si>
  <si>
    <t>2019 안양충훈
벚꽃축제</t>
  </si>
  <si>
    <t>4월중
(3일 이상)</t>
  </si>
  <si>
    <t>○ 축제 축하공연 및 불꽃놀이
○ 꽃길 걷기대회 및 봄꽃길 그리기 대회
○ 어린이 벼룩시장 및 체험부스(15개프로그램) 운영 등</t>
  </si>
  <si>
    <t>안양시, 축제추진위원회 /
 안양문화예술재단
(031-687-0575)</t>
  </si>
  <si>
    <t>2019 안양시민축제</t>
  </si>
  <si>
    <t>9월중
(3일간)</t>
  </si>
  <si>
    <t>○ 시민생활예술을 테마로 한 공연, 전시, 
    체험 프로그램 운영
○ 개폐막 공연 개최
 - 초청공연, 시민참여 공연 및 불꽃놀이 등
○ 특별초청 공연 및 방송국 연계 프로그램 등</t>
  </si>
  <si>
    <t>생활예술</t>
  </si>
  <si>
    <t>평택시</t>
  </si>
  <si>
    <t>평택 소리 악 축제</t>
  </si>
  <si>
    <t>6.1 ~ 2.
(2일간)</t>
  </si>
  <si>
    <t>○ 소리와 거리예술을 활용한 퍼레이드 축제
○ 전통예술, 거리예술공연단체 콜라보 공연, 대규모 
     줄다리기, 서커스올림픽, 두드림 등</t>
  </si>
  <si>
    <t>평택시 관광과
(031-8024-3290)</t>
  </si>
  <si>
    <t>2019년도</t>
  </si>
  <si>
    <t>퍼레이드</t>
  </si>
  <si>
    <t>소사벌레포츠타운, 조개터일원</t>
  </si>
  <si>
    <t>평택호 물빛축제</t>
  </si>
  <si>
    <t>미정
(2일간)</t>
  </si>
  <si>
    <t>○ 물빛 및 불빛 테마 프로그램
○ 체험부스, 거리공연,축하공연</t>
  </si>
  <si>
    <t>평택시/평택예총
(8024-3221/657-2353)</t>
  </si>
  <si>
    <t>물과 불빛</t>
  </si>
  <si>
    <t>있음
정규직 1명
(평택예총)</t>
  </si>
  <si>
    <t>평택호관광단지내
모래톱공원</t>
  </si>
  <si>
    <t>무형문화재 축제</t>
  </si>
  <si>
    <t>2019.9월중
(2일간)</t>
  </si>
  <si>
    <t xml:space="preserve">○ 전국6대농악 및 국가 무형문화재 초청 공연
○ 각종 체험프로그램 운영 </t>
  </si>
  <si>
    <t>경기도 평택시 문예관광과
/평택농악보존회
(031-8024-3211)</t>
  </si>
  <si>
    <t>2006년
(12회)</t>
  </si>
  <si>
    <t>무형문화재</t>
  </si>
  <si>
    <t>공공(시)
사단법인</t>
  </si>
  <si>
    <t>있음
정규직 3명
(평택농악보존회)</t>
  </si>
  <si>
    <t>평택시청 
분수광장</t>
  </si>
  <si>
    <t>한미친선
한마음축제</t>
  </si>
  <si>
    <t xml:space="preserve"> 5.19. ~ 20. 
(2일간)</t>
  </si>
  <si>
    <t>○ 체험부스, 거리공연, 축하공연</t>
  </si>
  <si>
    <t>경기도 평택시 한미협력과
/ 평택시국제교류재단
(031-8024-5324)</t>
  </si>
  <si>
    <t>한미친선축제</t>
  </si>
  <si>
    <t>공공(시)
재단법인</t>
  </si>
  <si>
    <t>팽성 안정로 일원</t>
  </si>
  <si>
    <t>한미친선문화
한마당잔치</t>
  </si>
  <si>
    <t>9. 8. ~ 9. 
(2일간)</t>
  </si>
  <si>
    <t>2004년도
(15회)</t>
  </si>
  <si>
    <t>신장근린공원 일원</t>
  </si>
  <si>
    <t>송탄관광특구 
한마음대축제</t>
  </si>
  <si>
    <t>○ 체험부스,축하공연</t>
  </si>
  <si>
    <t>경기도 평택시 관광과
/(사)송탄관광특구연합회
(031-8024-3291)</t>
  </si>
  <si>
    <t>1998년도
(13회)</t>
  </si>
  <si>
    <t>송탄관광특구 
축제</t>
  </si>
  <si>
    <t>관광특구로 
일대</t>
  </si>
  <si>
    <t>평택꽃나들이 행사</t>
  </si>
  <si>
    <t>4.13~4.21.
(9일간)</t>
  </si>
  <si>
    <t>○ 튤립, 유채, 보리 등 봄꽃 관람
○ 지역 농산물 홍보판매 및 전시
○ 개막식, 주제공연, 체험프로그램 운영</t>
  </si>
  <si>
    <t>평택시 농업기술센터 / 공모중
(031-8024-4661)</t>
  </si>
  <si>
    <t>2003년도
(16회)</t>
  </si>
  <si>
    <t>튤립, 유채, 보리 등</t>
  </si>
  <si>
    <t>기타
(간헐적)</t>
  </si>
  <si>
    <t>농업생태원
(공원)</t>
  </si>
  <si>
    <t>시흥시</t>
  </si>
  <si>
    <t>시흥갯골축제</t>
  </si>
  <si>
    <t>9.20~9.22
(3일간)</t>
  </si>
  <si>
    <t>○ 대표프로그램 : 갯골패밀리런
○ 생태자원을 활용한 80여가지 체험 및 공연 프로그램
    운영
   - 자연속 놀이와 체험 : 6개 존, 예술과 공연 : 6개 존
○ 갯골미술대회, 시흥청년축제학교 등</t>
  </si>
  <si>
    <t>시흥시 관광과/
시흥갯골축제추진위원회
(031-310-2913)</t>
  </si>
  <si>
    <t>2006년도
(제14회)</t>
  </si>
  <si>
    <t>문화관광축제
(우수축제)</t>
  </si>
  <si>
    <t>갯골, 소금, 갈대, 바람, 꽃 등</t>
  </si>
  <si>
    <t>물왕예술제</t>
  </si>
  <si>
    <t xml:space="preserve"> ○ 공연부문 : 개폐막 공연, 마당극
 ○ 전시부문 : 시화전, 미술전, 사진전
 ○ 시민참여예술제 : 청소년•성인 아트페스티벌, 
                             백일장, 사생·휘호대회
 ○ 체험부스 : 부채만들기, 가족사진촬영, 커리커쳐 등</t>
  </si>
  <si>
    <t>시흥시 문화예술과/
시흥예총
(031-310-6730)</t>
  </si>
  <si>
    <t>있음
정규직 2명</t>
  </si>
  <si>
    <t>김포시</t>
  </si>
  <si>
    <t>아라마린 페스티벌</t>
  </si>
  <si>
    <t xml:space="preserve">8.3 ~ 8.4.
(2일간)                                        </t>
  </si>
  <si>
    <t>○ 컬러 풀(color pool), 워터슬라이드 등 물놀이 축제
○ 음악, 마술 등 공연
○ 푸드트럭, 노상카페 등 운영</t>
  </si>
  <si>
    <t>김포시 문화관광과 / 워터웨이플러스
(031-980-2488)</t>
  </si>
  <si>
    <t>김포 아라마리나</t>
  </si>
  <si>
    <t>김포 고촌읍 아라마리나</t>
  </si>
  <si>
    <t>양촌오라니장터축제</t>
  </si>
  <si>
    <t>9.14 ~ 9.15.
(2일간)</t>
  </si>
  <si>
    <t>○ 양촌오라니 장터 재현
○ 먹거리 부스 운영 
○ 3.1만세 재현 퍼레이드</t>
  </si>
  <si>
    <t>양촌읍주민자치회
(031-983-2057)</t>
  </si>
  <si>
    <t>2013년도
(6회)</t>
  </si>
  <si>
    <t>오라니 장터</t>
  </si>
  <si>
    <t>양곡2로 도로</t>
  </si>
  <si>
    <t>광명시</t>
  </si>
  <si>
    <t>2019 광명동굴 대한민국 와인 페스티벌</t>
  </si>
  <si>
    <t>6.6.~6.9.</t>
  </si>
  <si>
    <t xml:space="preserve"> ○ 개막식, 시상식, 와인건배식, 버스킹공연
 ○ 와인장터, 먹거리 장터, 전국지자체특산물 장터
 ○ 한국와인 품평회, 와인레이블 경연대회
 ○ 와인퀴즈쇼, 와인족욕, 코르크공작, 와인시계 만들기 등 체험</t>
  </si>
  <si>
    <t>광명시 관광과 관광마케팅팀
(02-2680-0952)</t>
  </si>
  <si>
    <t>한국와인</t>
  </si>
  <si>
    <t>공공(광명시)</t>
  </si>
  <si>
    <t>광명동굴</t>
  </si>
  <si>
    <t>제13회 광명농악대축제</t>
  </si>
  <si>
    <t>○ 제13회 전국학생농악경연대회
○ 제21회 광명시 각 동 농악경연대회
○ 농악명인전(개막식) 등 공연, 시민참여 체험 등</t>
  </si>
  <si>
    <t>광명시 문화체육과 예술공연팀(02-2680-2160)</t>
  </si>
  <si>
    <t>2007년
(12회)</t>
  </si>
  <si>
    <t>농악</t>
  </si>
  <si>
    <t>광명시민체육관</t>
  </si>
  <si>
    <t>광주시</t>
  </si>
  <si>
    <t>제24회 광주남한산성
문화제</t>
  </si>
  <si>
    <t>9.27. ~ 29.
(3일간)</t>
  </si>
  <si>
    <r>
      <t xml:space="preserve"> ○ 대표프로그램 : 성곽투어프로그램
      (서흔남 트래킹, 스토리 트래킹 산성)
 ○ </t>
    </r>
    <r>
      <rPr>
        <sz val="10"/>
        <rFont val="HY중고딕"/>
        <family val="1"/>
        <charset val="129"/>
      </rPr>
      <t>개막행사 : 식전공연(줄타기/퍼레이드/무용), 개막식,</t>
    </r>
    <r>
      <rPr>
        <sz val="11"/>
        <rFont val="HY중고딕"/>
        <family val="1"/>
        <charset val="129"/>
      </rPr>
      <t xml:space="preserve"> 
     식후공연(주제공연)
 ○ </t>
    </r>
    <r>
      <rPr>
        <sz val="10"/>
        <rFont val="HY중고딕"/>
        <family val="1"/>
        <charset val="129"/>
      </rPr>
      <t xml:space="preserve">6개마당 행사 : 행궁문화, 역사체험, 무예, 성곽투어, </t>
    </r>
    <r>
      <rPr>
        <sz val="11"/>
        <rFont val="HY중고딕"/>
        <family val="1"/>
        <charset val="129"/>
      </rPr>
      <t xml:space="preserve">
     세계체험, 공연 마당(공연, 체험 및 전시 프로그램)
○ 부대행사 : 남한산성바로알기 ox퀴즈, 산성마켓
    (특산물), 산성음식시연회, 효종갱 체험 등</t>
    </r>
  </si>
  <si>
    <t>광주시, 경기도
/ 광주시 남한산성문화제 
추진위원회
(031-760-2726)</t>
  </si>
  <si>
    <t xml:space="preserve"> ·전통역사</t>
  </si>
  <si>
    <t>조선시대 남한산성 축성과 병자호란 때 죽은 영혼을 달래기 위한 마을 대동굿 (1996년)으로 시작되어 올해로 24회째를 맞는 광주시 대표
전통 예술축제</t>
  </si>
  <si>
    <r>
      <t xml:space="preserve">   </t>
    </r>
    <r>
      <rPr>
        <sz val="10.5"/>
        <rFont val="맑은 고딕"/>
        <family val="3"/>
        <charset val="129"/>
      </rPr>
      <t>·</t>
    </r>
    <r>
      <rPr>
        <sz val="10.5"/>
        <rFont val="HY중고딕"/>
        <family val="1"/>
        <charset val="129"/>
      </rPr>
      <t xml:space="preserve"> 매년</t>
    </r>
  </si>
  <si>
    <t>·축제조직위</t>
  </si>
  <si>
    <t>부분위탁
(행사진행:
대행업체)</t>
  </si>
  <si>
    <t>남한산성
도립공원</t>
  </si>
  <si>
    <t>제22회 광주왕실도자기축제</t>
  </si>
  <si>
    <t>4.26(금) ~ 5.12 (일) 
  (17일간)</t>
  </si>
  <si>
    <t xml:space="preserve"> ○ 공연행사
    - 식전행사, 개막축하 공연 
 ○ 전시판매행사 
    -  백자문화의 우수성을 알릴 국보재현전 
    -  관내도자기 전시 판매전  
    -  해외도자기 교류 전
○ 체험행사 
    - 다채로운 도자체험, 문화체험 운영
○ 시민참여행사
    - 시민프리마켓 운영
○ 친환경 먹거리 장터
    - 광주시 생산한 농수산물 직거래 장터 운영 
○ 부대행사 
    -  중소기업박람회 
    - 다문화 어울림 축제
    - 어린이날 행사</t>
  </si>
  <si>
    <t>광주시/ 광주왕실도자기축제추진위원회 
(문영란/031-760-2913)</t>
  </si>
  <si>
    <t>1997년 
(22회)</t>
  </si>
  <si>
    <t>도자기</t>
  </si>
  <si>
    <t>축제추진위원회</t>
  </si>
  <si>
    <t>곤지암도자공원</t>
  </si>
  <si>
    <t>제17회
퇴촌토마토 축제</t>
  </si>
  <si>
    <t>6.13.~6.16.
(4일간)</t>
  </si>
  <si>
    <t xml:space="preserve">○ 지역특산물 판매, 홍보, 체험, 전시 
○ 토마토풀장 및 레크리에이션 </t>
  </si>
  <si>
    <t>광주시퇴촌면/
퇴촌 토마토 축제위원회
(760-4819)</t>
  </si>
  <si>
    <t>2003년도
(15회)</t>
  </si>
  <si>
    <t>부분위탁(행사진행)</t>
  </si>
  <si>
    <t>퇴촌면
공설운동장</t>
  </si>
  <si>
    <t>군포시</t>
  </si>
  <si>
    <t>2019군포철쭉축제</t>
  </si>
  <si>
    <t>4.24~4.28
(5일간)</t>
  </si>
  <si>
    <r>
      <t xml:space="preserve">○ 수리산옛날이야기 거리극
○ 철쭉을 테마로 한 공연, 전시, 체험프로그램 운영 
○ 개폐막공연, 철쭉 테마의 거리극 및 문화공연
○ </t>
    </r>
    <r>
      <rPr>
        <sz val="10"/>
        <rFont val="HY중고딕"/>
        <family val="1"/>
        <charset val="129"/>
      </rPr>
      <t>철쭉동산 주변 차없는거리, 공간별 테마 프로그램 운영</t>
    </r>
  </si>
  <si>
    <t>경기도 군포시 고산로 599
/ 군포문화재단
(031-390-3563)</t>
  </si>
  <si>
    <t>2011
(9회)</t>
  </si>
  <si>
    <t>철쭉</t>
  </si>
  <si>
    <t>매년(4월)</t>
  </si>
  <si>
    <t>부분위탁(하드웨어/프로그램)</t>
  </si>
  <si>
    <t>이천시</t>
  </si>
  <si>
    <t>산수유축제</t>
  </si>
  <si>
    <t>4월초</t>
  </si>
  <si>
    <t>○ 풍년기원제,육현추모제
○ 자연관찰장 운영
○ 산수유꽃과 열매 사진 및 사생대회
○ 산수유 체험행사</t>
  </si>
  <si>
    <t>이천시(백사면)/이천백사산수꽃축제추진위원회
(031-644-8512)</t>
  </si>
  <si>
    <t>산수유꽃</t>
  </si>
  <si>
    <t>이천도자기축제</t>
  </si>
  <si>
    <t>4.26.~5.12.</t>
  </si>
  <si>
    <t>○ 도자를 테마로 하는 전시, 판매, 시연, 체험, 워크숍·
    공연, 이벤트</t>
  </si>
  <si>
    <t>이천시(홍보관광담당관)/이천도자기축제추진위원회
(031-645-3092)</t>
  </si>
  <si>
    <t>이천체험문화축제</t>
  </si>
  <si>
    <t>5월중(3일간)</t>
  </si>
  <si>
    <t>○ 체험프로그램 부스운영
○ 다양한 공연, 판매, 먹거리부스 운영</t>
  </si>
  <si>
    <t>이천시(홍보관광담당관) /(사)이천농촌나드리(031-636-2724)</t>
  </si>
  <si>
    <t>체험</t>
  </si>
  <si>
    <t>서희문화제</t>
  </si>
  <si>
    <t>9월 중(2일간)</t>
  </si>
  <si>
    <r>
      <t>○서희외교담판 재현행사 
○서희선생의외교업적을 테마로한 공연,전시,체험프로
    그램운영   
○</t>
    </r>
    <r>
      <rPr>
        <sz val="10"/>
        <rFont val="HY중고딕"/>
        <family val="1"/>
        <charset val="129"/>
      </rPr>
      <t xml:space="preserve">고려시대놀이마당,토론배틀,나도외교관스피치경연대회 </t>
    </r>
    <r>
      <rPr>
        <sz val="11"/>
        <rFont val="HY중고딕"/>
        <family val="1"/>
        <charset val="129"/>
      </rPr>
      <t xml:space="preserve">
    -  5개마당 20여개 프로그램
○서희선생의 업적과 정신을  기리는 작품 전시</t>
    </r>
  </si>
  <si>
    <t>이천시(문화예술과)/서희문화제
추진위원회
(031-645-3657~3659)</t>
  </si>
  <si>
    <t>2016년</t>
  </si>
  <si>
    <t>장위공 서희</t>
  </si>
  <si>
    <t>햇사레장호원복숭아축제</t>
  </si>
  <si>
    <t>9.21~9.23
(3일간)</t>
  </si>
  <si>
    <t xml:space="preserve">○ 개폐막 공연
○ 지역 문화공연
○ 선별체험 및 수확체험
○ 농특산물 및 복숭아 직판 </t>
  </si>
  <si>
    <t>경기동부과수농협
(031-641-5214)</t>
  </si>
  <si>
    <t>복숭아</t>
  </si>
  <si>
    <t>기타(햇사레농산물산지유통센터)</t>
  </si>
  <si>
    <t>이천쌀문화축제</t>
  </si>
  <si>
    <t>10. 16.~20.
(5일간)</t>
  </si>
  <si>
    <t>○ 가마솥밥 이천명 이천원
○ 농경문화를 테마로한 공연, 전시, 체험프로그램 운영
○ 개막놀이, 무지개가래떡뽑기, 용줄다리기 등
    - 11개마당 30여개 프로그램
○ '임금님표 이천' 홍보 및 농특산물판매</t>
  </si>
  <si>
    <t>이천시(홍보관광담당관)/이천쌀문화축제추진위원회
(031-645-3093)</t>
  </si>
  <si>
    <t>문화관광축제
(최우수)</t>
  </si>
  <si>
    <t>쌀</t>
  </si>
  <si>
    <t>이천인삼축제</t>
  </si>
  <si>
    <t>11.1~11.3
(3일간)</t>
  </si>
  <si>
    <t>○ 인삼품평회 개최
○ 인삼을 테마로한 공연,전시,체험프로그램 운영
○ 개페막공연, 주제공연및 문화공연
- 건강헬스분야 12개부스전시행사, 
    문화공연분야 10개부스
○ 기타 특별행사및 전시 등등</t>
  </si>
  <si>
    <t>경기동부인삼농협
(031-635-2429)</t>
  </si>
  <si>
    <t>오산시</t>
  </si>
  <si>
    <t>제10회 독산성문화제</t>
  </si>
  <si>
    <t>10.12~10.13
(2일간)</t>
  </si>
  <si>
    <t>○ 시민참여 주제공연, 독산성 폐막공연, 거북놀이 등
○ 독산성을 테마로한 공연.전시,체험프로그램 운영
  -독산성 트레킹, 고유제, 석전대제,산신제등
  - 권율의 무예학교,  옛 생활공방,정조의 배움학당 등</t>
  </si>
  <si>
    <t>오산시 문화체육관광과
/오산문화재단
031-379-9984</t>
  </si>
  <si>
    <t>2010년도
(10회)</t>
  </si>
  <si>
    <t>독산성</t>
  </si>
  <si>
    <t xml:space="preserve">있음
정규직 3명
계약직 1명
총 4명  </t>
  </si>
  <si>
    <t>독산성.공원</t>
  </si>
  <si>
    <t>안성시</t>
  </si>
  <si>
    <t>안성맞춤남사당바우덕이축제</t>
  </si>
  <si>
    <t>10.2 ~ 10.6
(5일간 예정)</t>
  </si>
  <si>
    <t>○ 시립풍물단 남사당 공연
  - 줄타기등 여섯마당
○ 바우덕이 주제 프로그램
○ 유명 무형문화재 초청공연
○ CIOFF 해외공연 초청
○ 안성 옛 장터 운영
○ 남사당놀이 체험
○ 바우덕이 추모제, 전야제, 주제공연 및 문화공연
○ 기타 특별행사 및 전시 등</t>
  </si>
  <si>
    <t>안성시 문화관광과
/안성맞춤남사당바우덕이축제위원회
(031-678-2512)</t>
  </si>
  <si>
    <t>남사당놀이</t>
  </si>
  <si>
    <t>축제조직위원회</t>
  </si>
  <si>
    <t>안성맞춤 포도축제</t>
  </si>
  <si>
    <t>9월중 예정
(3일간)</t>
  </si>
  <si>
    <t>○ 포도품평회
○ 체험행사(포도 및 포도주 시음, 전통민속놀이 등)
○ 이벤트행사(포도먹기게임, 초청공연, 노래자랑 등)
○ 기타 특별행사(남사당 공연 등)</t>
  </si>
  <si>
    <t>안성시 서운면
/서운면 포도축제위원회
(031-678-3732)</t>
  </si>
  <si>
    <t>2007년도
(11회)</t>
  </si>
  <si>
    <t>면소재지</t>
  </si>
  <si>
    <t>죽주 대고려문화축제</t>
  </si>
  <si>
    <t>09.28 ~ 09.29
(2일간 예정)</t>
  </si>
  <si>
    <t>○ 길놀이, 주제공연, 7080콘서트, 노래자랑 등
○ 농산물 홍보 및 판매, 먹거리 장터 등</t>
  </si>
  <si>
    <t>안성시 죽산면사무소                            /죽주대고려문화축제위원회</t>
  </si>
  <si>
    <t>2004년도       (15회)</t>
  </si>
  <si>
    <t>문화체험 및      마을축제</t>
  </si>
  <si>
    <t>청미음악회</t>
  </si>
  <si>
    <t>미정
(10월예정)</t>
  </si>
  <si>
    <t>○ 주민화합 음악회
○ 농산물 홍보 및 판매, 먹거리 장터 등</t>
  </si>
  <si>
    <t>일죽면주민자치위원회</t>
  </si>
  <si>
    <t>2009년
(10회)</t>
  </si>
  <si>
    <t>연예공연</t>
  </si>
  <si>
    <t>의왕시</t>
  </si>
  <si>
    <t>의왕철도축제</t>
  </si>
  <si>
    <t>○ 한국의 철도 특별전
○ 철도를 테마로한 전시프로그램(9개), 체험프로그램    
    (100개) 운영
○ 개폐막 공연, 주제공연 및 문화공연
○ 유.무료 체험 프로그램(50여개)  운영</t>
  </si>
  <si>
    <t>의왕시 문화체육과
/의왕시 축제추진위원회
(031-345-2532)</t>
  </si>
  <si>
    <t>자연학습공원
철도박물관
조류생태과학관
의왕역</t>
  </si>
  <si>
    <t>의왕백운예술제</t>
  </si>
  <si>
    <t>9월중
(2일간,예정)</t>
  </si>
  <si>
    <t xml:space="preserve">○ 공연프로그램(클래식, 국악,발레, 합창 등)
○ 경연대회(예술경연, 글짓기, 그림,만화그리기)
○ 시민참여 예술공연 
○ 체험 및 부대행사 </t>
  </si>
  <si>
    <t>백운호수
공영주차장</t>
  </si>
  <si>
    <t>여주시</t>
  </si>
  <si>
    <t>여주흥천남한강 벚꽃축제</t>
  </si>
  <si>
    <t>○ 개막식 
○ 야간 별빛 벚꽃길 운영
○ 농특산물 판매 및 먹거리 장터 운영
○ 각종 전래놀이 및 전시·체험·이벤트 등
○ 흥천 및 각 읍면 주민자치센터 공연</t>
  </si>
  <si>
    <t>환경부</t>
  </si>
  <si>
    <t>상수원관리지역 주민지원사업(광역)</t>
  </si>
  <si>
    <t>남한강 하천
(복하천)</t>
  </si>
  <si>
    <t>여주도자기축제</t>
  </si>
  <si>
    <t>4.27~5.12
(16일간)</t>
  </si>
  <si>
    <t>○ 여주도자접시깨기 프로그램
○ 도자기를 테마로 한 공연, 전시, 체험프로그램 운영
○ 개막공연, 도자기 주제공연
    - 4개 분야 20가지 프로그램
○ 기타 여주 농산물 및 여주도예명장전 등 진행</t>
  </si>
  <si>
    <t>여주시 문화관광과
/ 여주세종문화재단
(031-881-9692)</t>
  </si>
  <si>
    <t xml:space="preserve">있음
정규직 5명 </t>
  </si>
  <si>
    <t>여주 
신륵사 관광지</t>
  </si>
  <si>
    <t>금사참외축제</t>
  </si>
  <si>
    <t>5월 말 예정</t>
  </si>
  <si>
    <t>○ 참여행사(참외 따기 체험 등)
○ 판매행사(참외 할인 판매 등)
○ 전시행사(옛날 사진전시회 등)</t>
  </si>
  <si>
    <t>금사참외축제추진위원회
(031-887-3902)</t>
  </si>
  <si>
    <t>참외</t>
  </si>
  <si>
    <t>여주오곡나루축제</t>
  </si>
  <si>
    <t>10.17~10.20
(4일간)</t>
  </si>
  <si>
    <t>○ 가마솥 여주쌀·오곡비빔밥 먹기
○ 오곡과 나루를 테마로 한 다양한 프로그램 운영
○ 여는마당, 주제공연, 방문객 참여·체험프로그램
    - 0개분야 00개 프로그램
○ 3무(無)를 지향하는 축제
    - 의전, 무대, 가수를 지양하고 다양한 특화 
        프로그램으로 가득찬 축제</t>
  </si>
  <si>
    <t>여주시 문화관광과
/ 여주세종문화재단
(031-881-9693)</t>
  </si>
  <si>
    <t>1998년도
(21회)</t>
  </si>
  <si>
    <t>문화관광축제(유망)</t>
  </si>
  <si>
    <t>오곡, 고구마 및 나루터 등</t>
  </si>
  <si>
    <t>여주 신륵사 관광지 및 조포나루 일원</t>
  </si>
  <si>
    <t>양평군</t>
  </si>
  <si>
    <t>양평 단월 고로쇠 축제</t>
  </si>
  <si>
    <t>3.16~17
(2일간)</t>
  </si>
  <si>
    <t>○ 고로쇠 판매 및 농특산물 판매
○ 고로쇠 김밥 나눔행사
○ 문화공연 및 이벤트 10여개</t>
  </si>
  <si>
    <r>
      <rPr>
        <sz val="10"/>
        <rFont val="HY중고딕"/>
        <family val="1"/>
        <charset val="129"/>
      </rPr>
      <t>단월면/단월고로쇠축제추진위원회</t>
    </r>
    <r>
      <rPr>
        <sz val="11"/>
        <rFont val="HY중고딕"/>
        <family val="1"/>
        <charset val="129"/>
      </rPr>
      <t xml:space="preserve">
(031-770-3199)</t>
    </r>
  </si>
  <si>
    <t>1999년
(20회)</t>
  </si>
  <si>
    <t>고뢰쇠</t>
  </si>
  <si>
    <t>레포츠공원</t>
  </si>
  <si>
    <t>양평 산수유 한우축제</t>
  </si>
  <si>
    <t>4.7~8
(2일간)</t>
  </si>
  <si>
    <t>○ 산수유 마을 홍보 및 농특산물 홍보
○ 기타문화행사 10여개</t>
  </si>
  <si>
    <r>
      <rPr>
        <sz val="10"/>
        <rFont val="HY중고딕"/>
        <family val="1"/>
        <charset val="129"/>
      </rPr>
      <t>개군면/양평산수유축제추진위원회</t>
    </r>
    <r>
      <rPr>
        <sz val="11"/>
        <rFont val="HY중고딕"/>
        <family val="1"/>
        <charset val="129"/>
      </rPr>
      <t xml:space="preserve">
(031-770-3341)</t>
    </r>
  </si>
  <si>
    <t>산수유, 한우</t>
  </si>
  <si>
    <t>양평 용문산 산나물 축제</t>
  </si>
  <si>
    <t>○ 산나물 및 농특산물 판매
○ 산나물 및 한우 홍보관 운영
○ 주민화합 거리퍼레이드
○문화공연 및 이벤트 20여개</t>
  </si>
  <si>
    <t>양평군/양평군축제추진위원회
(031-770-2096)</t>
  </si>
  <si>
    <t>산나물,농특산물</t>
  </si>
  <si>
    <t>용문산관광지</t>
  </si>
  <si>
    <t>5월중
(3일간)</t>
  </si>
  <si>
    <t>○ 산나물 및 농특산물 판매
○ 산나물 관련 시장형 축제 개최</t>
  </si>
  <si>
    <r>
      <rPr>
        <sz val="10"/>
        <rFont val="HY중고딕"/>
        <family val="1"/>
        <charset val="129"/>
      </rPr>
      <t>용문면/용문면산나물축제추진위원회</t>
    </r>
    <r>
      <rPr>
        <sz val="11"/>
        <rFont val="HY중고딕"/>
        <family val="1"/>
        <charset val="129"/>
      </rPr>
      <t xml:space="preserve">
(031-770-3332)</t>
    </r>
  </si>
  <si>
    <t>용문역일원</t>
  </si>
  <si>
    <t>양평 물축제</t>
  </si>
  <si>
    <t>8월중</t>
  </si>
  <si>
    <t>○ 물놀이 체험 10개
○ 문화공연 10여개</t>
  </si>
  <si>
    <t>옥천면/물축제추진위원회
(031-770-3155)</t>
  </si>
  <si>
    <t>물</t>
  </si>
  <si>
    <t>옥천사탄천 일원</t>
  </si>
  <si>
    <t>양평 부추축제</t>
  </si>
  <si>
    <t>○ 양평부추축제 전야제
○ 문화예술공연</t>
  </si>
  <si>
    <t>양동면/양동부추축제위원회
(031-770-3360 )</t>
  </si>
  <si>
    <t>부추</t>
  </si>
  <si>
    <t>양동면 일원</t>
  </si>
  <si>
    <t>과천시</t>
  </si>
  <si>
    <t>제23회 과천축제</t>
  </si>
  <si>
    <t>9월말~10월초
(4일간)</t>
  </si>
  <si>
    <t xml:space="preserve"> ○ 거리예술공연</t>
  </si>
  <si>
    <t>과천시 문화체육과 /
(재)과천축제
(02-3677-2472
02-504-0945)</t>
  </si>
  <si>
    <t>있음
정규직 5명</t>
  </si>
  <si>
    <t>과천시민회관옆잔디마당</t>
  </si>
  <si>
    <t>고양시</t>
  </si>
  <si>
    <t>제32회 고양행주문화제</t>
  </si>
  <si>
    <t xml:space="preserve">○ 행주산성 전통행사
○ 시민참여 대동놀이
○ 대형 기념음악회 + 음악불꽃공연
○ 기타 특별행사 및 체험 등등 </t>
  </si>
  <si>
    <t>고양시 문화예술과 문화사업팀 / 고양문화재단
(031-960-9683)</t>
  </si>
  <si>
    <t>1986년도
(32회)</t>
  </si>
  <si>
    <t>행주대첩 
행주산성</t>
  </si>
  <si>
    <t>사적지,공원</t>
  </si>
  <si>
    <t>고양호수예술축제</t>
  </si>
  <si>
    <t xml:space="preserve">○ 거리예술 공연 (해외팀, 공식초청 자유참가작)
○ 개폐막 공연 
○ 신한류예술단 스테이지등 시민참여 프로그램 
○ 불꽃예술쇼,미디어아트쇼등의 기획프로그램 </t>
  </si>
  <si>
    <t>고양시 문화예술과  문화사업팀 /고양문화재단
(031-960-9682)</t>
  </si>
  <si>
    <t>2008년도
(11회)</t>
  </si>
  <si>
    <t>거리예술</t>
  </si>
  <si>
    <t>남양주시</t>
  </si>
  <si>
    <t>2019 정약용문화제
(다산문화제에서 명칭변경 추진)</t>
  </si>
  <si>
    <t>상반기 :
4.20~21
(2일간)
하반기 :
10월중</t>
  </si>
  <si>
    <t xml:space="preserve">○ 상반기경연대회: 정약용토론대회, 
                           정약용캐릭터공모전 문학대전
○ 열수포럼, 아트 커널웨이, 작은음악회
○ 정약용 사색길 걷기, 열수 마라톤대회 </t>
  </si>
  <si>
    <t>경기도 남양주시 문화유산과
정약용팀
(031-590-8548)</t>
  </si>
  <si>
    <t>1986년도          (33회)</t>
  </si>
  <si>
    <t>추진위원회</t>
  </si>
  <si>
    <t xml:space="preserve">정약용유적지 및
조안면 일원 </t>
  </si>
  <si>
    <t>제14회 광릉숲축제</t>
  </si>
  <si>
    <t>6월중(2일)예정</t>
  </si>
  <si>
    <t>○ 광릉숲걷기, 숲속체험, 공연, 전시, 체험 등</t>
  </si>
  <si>
    <t>남양주시/광릉숲축제집행위원회 (031-590-2478)</t>
  </si>
  <si>
    <t>2006년도
(14회)</t>
  </si>
  <si>
    <t>숲</t>
  </si>
  <si>
    <t>시군구</t>
  </si>
  <si>
    <t>사적지 및 숲속</t>
  </si>
  <si>
    <t>정약용 딸기 축제</t>
  </si>
  <si>
    <t>4.20.~4.21.
(2일간)</t>
  </si>
  <si>
    <t>○ 딸기를 이용한 공동체험장 운영
    - 딸기잼, 딸기쿠키, 딸기피자, 딸기떡 등
○ 딸기 마켓 운영
○ 농업 홍보관 및 먹거리 장터 운영</t>
  </si>
  <si>
    <t>주최 : 남양주시 농업정책과 
(031-590-2774)
주관 : 남양주 정약용 딸기축체 
추진위원회</t>
  </si>
  <si>
    <t>2019년도
(신규축제)</t>
  </si>
  <si>
    <t>딸기</t>
  </si>
  <si>
    <t>매년(계획)</t>
  </si>
  <si>
    <t>신규축제</t>
  </si>
  <si>
    <t>의정부시</t>
  </si>
  <si>
    <t>제18회 의정부음악극축제</t>
  </si>
  <si>
    <t>5.10~5.19
(10일간)</t>
  </si>
  <si>
    <t>○ 세계 유수의 음악극단체 초청(5개국)
○ 지하철1호선 등 국내초청작(5작품)
○ 시민과 함꼐하는 개폐막공연
○ 기타 기획프로그램 및 전시 등등</t>
  </si>
  <si>
    <t>(재)의정부예술의전당
(828-5831)/
의정부음악극축제집행위원회, 
(828-5887)</t>
  </si>
  <si>
    <t>2002년도
(16회)</t>
  </si>
  <si>
    <t>250
(미정)</t>
  </si>
  <si>
    <t>지역대표 공연예술제</t>
  </si>
  <si>
    <t>재단법인,
축제집행위</t>
  </si>
  <si>
    <t>계약직 10명</t>
  </si>
  <si>
    <t>예술의전당 및
시일원</t>
  </si>
  <si>
    <t>제34회 회룡문화제</t>
  </si>
  <si>
    <t xml:space="preserve"> -  개·폐막행사, 축하공연, 
 -  회룡노래자랑  (동대항 예선 및 결선)
 -  창작무용극, 회룡종합전시회
 -  기타 부대행사 등  </t>
  </si>
  <si>
    <t>의정부시(828-2382/
 의정부문화원
(사무국)
(850-5750)</t>
  </si>
  <si>
    <t>1986년도
(33회)</t>
  </si>
  <si>
    <t>정규직 5명</t>
  </si>
  <si>
    <t>경기도청
북부청사앞
무대 및 시일원</t>
  </si>
  <si>
    <t>파주시</t>
  </si>
  <si>
    <t>어린이책잔치</t>
  </si>
  <si>
    <t xml:space="preserve"> ○입주사 오픈하우스, 플리마켓, 전시체험프로그램 등</t>
  </si>
  <si>
    <t>문화체육관광부·파주시/출판도시문화재단
(031-955-0063)</t>
  </si>
  <si>
    <t>지식축제(책)</t>
  </si>
  <si>
    <t>문화재단</t>
  </si>
  <si>
    <t>파주출판도시
광장, 축제장</t>
  </si>
  <si>
    <t>헤이리 판 페스티벌</t>
  </si>
  <si>
    <t>10.6~10.14</t>
  </si>
  <si>
    <t xml:space="preserve"> ○헤이리심포니오케스트라 연주회
 ○Artist in 헤이리(헤이리 작가전) 등</t>
  </si>
  <si>
    <t>파주시·(사)헤이리/헤이리
문화예술위원회
(031-946-8551)</t>
  </si>
  <si>
    <t>예술축제</t>
  </si>
  <si>
    <t>(사)헤이리
정규직4명</t>
  </si>
  <si>
    <t>헤이리예술마을
광장, 축제장</t>
  </si>
  <si>
    <t>파주북소리축제</t>
  </si>
  <si>
    <t xml:space="preserve"> ○지식난장, 테마전시, 북마켓, 북콘서트 등</t>
  </si>
  <si>
    <t>파주시/출판도시문화재단
(031-940-4723/
031-955-0061)</t>
  </si>
  <si>
    <t>공동조직위원회</t>
  </si>
  <si>
    <t>일부위탁</t>
  </si>
  <si>
    <t>DMZ다큐영화제</t>
  </si>
  <si>
    <t>9.19~9.26</t>
  </si>
  <si>
    <t xml:space="preserve"> ○국내외 우수 다큐영화 상영 개.폐막식
 ○청소년 자유학기제 다큐강연 등</t>
  </si>
  <si>
    <t>경기도,파주시/(사)DMZ국제다큐영화제
(032-623-8042)</t>
  </si>
  <si>
    <t>영화</t>
  </si>
  <si>
    <t>조직위원회</t>
  </si>
  <si>
    <t>DMZ국제다큐조직위원회
정규직 3명
전문인력25명
비상근 3명</t>
  </si>
  <si>
    <t>고양.파주일원
영화관</t>
  </si>
  <si>
    <t>파주개성인삼축제</t>
  </si>
  <si>
    <t>10.20-10.21</t>
  </si>
  <si>
    <t xml:space="preserve"> ○인삼을 테마로한 공연, 전시, 체험프로그램 운영
 ○ 개폐막 공연, 주제공연 및 문화공연
 ○ 기타 특별행사 및 전시 등등 </t>
  </si>
  <si>
    <t>파주시 농업진흥과
/ 파주개성인삼축제추진위원회
(031-940-5282)</t>
  </si>
  <si>
    <t>2005
(15회)</t>
  </si>
  <si>
    <t>파주개성인삼</t>
  </si>
  <si>
    <t>미집계</t>
  </si>
  <si>
    <t>관광지</t>
  </si>
  <si>
    <t>파주장단콩축제</t>
  </si>
  <si>
    <t xml:space="preserve"> ○콩을 테마로한 공연, 전시, 체험프로그램 운영
 ○ 개폐막 공연, 주제공연 및 문화공연
 ○ 기타 특별행사 및 전시 등등 </t>
  </si>
  <si>
    <t>파주시 농업진흥과
/ 파주장단콩축제추진위원회
(031-940-5281)</t>
  </si>
  <si>
    <t>1997
(23회)</t>
  </si>
  <si>
    <t>파주장단콩</t>
  </si>
  <si>
    <t>양주시</t>
  </si>
  <si>
    <t>천만송이 천일홍 축제</t>
  </si>
  <si>
    <t>미정(9~10월)
(3일간)</t>
  </si>
  <si>
    <r>
      <t xml:space="preserve">○ </t>
    </r>
    <r>
      <rPr>
        <sz val="10"/>
        <color theme="1"/>
        <rFont val="HY중고딕"/>
        <family val="1"/>
        <charset val="129"/>
      </rPr>
      <t>감동콘서트, 퓨전콘서트 등 문화예술공연, 버스킹공연</t>
    </r>
    <r>
      <rPr>
        <sz val="11"/>
        <color theme="1"/>
        <rFont val="HY중고딕"/>
        <family val="1"/>
        <charset val="129"/>
      </rPr>
      <t xml:space="preserve">
○ 전시, 체험 참여프로그램 등
○ 우수농축산물 직거래장터
○ 전국사진공모전, 어린이 그림대회 등
○ 아경연출 등 천일홍 군락지 경관조명</t>
    </r>
  </si>
  <si>
    <t>양주시 문화관광과 
(031-8082-5655)</t>
  </si>
  <si>
    <t>천일홍 꽃 등</t>
  </si>
  <si>
    <t>구리시</t>
  </si>
  <si>
    <t>구리 유채꽃 축제</t>
  </si>
  <si>
    <t>5.10~5.12
(예정)</t>
  </si>
  <si>
    <r>
      <t xml:space="preserve"> ○ 유채꽃길 체험(59,000㎡)
 ○ 시화전, 사진전시관 등 전시회
 ○ </t>
    </r>
    <r>
      <rPr>
        <sz val="10"/>
        <rFont val="HY중고딕"/>
        <family val="1"/>
        <charset val="129"/>
      </rPr>
      <t>4개 분야(볼거리, 즐길거리, 살거리, 먹거리) 등 운영</t>
    </r>
    <r>
      <rPr>
        <sz val="11"/>
        <rFont val="HY중고딕"/>
        <family val="1"/>
        <charset val="129"/>
      </rPr>
      <t xml:space="preserve">
 ○ 편의성 제고(수유실, 물품대여소, 긴급 의료지원 등)</t>
    </r>
  </si>
  <si>
    <t>구리시/한국예총 구리지회
(031-550-2065)</t>
  </si>
  <si>
    <t>유채꽃</t>
  </si>
  <si>
    <t>한강둔치공원</t>
  </si>
  <si>
    <t>구리 코스모스 축제</t>
  </si>
  <si>
    <t>9.27~9.29
(예정)</t>
  </si>
  <si>
    <r>
      <t xml:space="preserve"> ○ 유채꽃길 체험(59,000㎡)
 ○ 넝쿨전시관, 시화전, LED 포토존 등 전시회
 ○ 평생학습 축제와 병행 개최로 축제 분위기 배가
 ○ </t>
    </r>
    <r>
      <rPr>
        <sz val="10"/>
        <rFont val="HY중고딕"/>
        <family val="1"/>
        <charset val="129"/>
      </rPr>
      <t>4개 분야(볼거리, 즐길거리, 살거리, 먹거리) 등 운영</t>
    </r>
    <r>
      <rPr>
        <sz val="11"/>
        <rFont val="HY중고딕"/>
        <family val="1"/>
        <charset val="129"/>
      </rPr>
      <t xml:space="preserve">
 ○ 편의성 제고(수유실, 물품대여소, 긴급 의료지원 등)</t>
    </r>
  </si>
  <si>
    <t>포천시</t>
  </si>
  <si>
    <t>산정호수 명성산 억새꽃축제</t>
  </si>
  <si>
    <t>2019.10.12~
10.13</t>
  </si>
  <si>
    <t>○ 대표행사(1년후에 받는 편지, 억새게 기분좋은날, 
    억새꽃인생사진관)
○ 공식행사(개막행사, 폐막행사)
○ 공연행사(폭포소리노리, 산상 버스킹, 도립극단 초청공연)
○ 기획행사(문화해설사와 함꼐하는 둘레길 걷기, 
   포천 관광사진전, 억새꽃축제 시티투어)
○ 억새체험(억새캔들, 캘리그라피, 억새꽃다발)군문화 체험</t>
  </si>
  <si>
    <t>포천시 관광산업과
/산정호수명성산억새꽃축제위원회
(031-538-2068)</t>
  </si>
  <si>
    <t>억새</t>
  </si>
  <si>
    <t>산정호수</t>
  </si>
  <si>
    <t>포천 백운계곡 동장군축제</t>
  </si>
  <si>
    <t>2019.12.28~2020.1.27</t>
  </si>
  <si>
    <t>○ 얼음성 놀이동산, 얼음송어낚시, 얼음썰매
○ 계곡 눈썰매, 빙어뜰채낚시, 군문화체험 등</t>
  </si>
  <si>
    <t>포천시 관광산업과
/백운계곡동장군축제조직위원회
(031-538-2068)</t>
  </si>
  <si>
    <t>겨울 놀이</t>
  </si>
  <si>
    <t>도리돌마을</t>
  </si>
  <si>
    <t>포농포농 축제</t>
  </si>
  <si>
    <t>2019. 10 중</t>
  </si>
  <si>
    <t>○ 팜파티 형태 축재 추진
○ 요리경연대회, 시민들과 함께 요리나눔 등</t>
  </si>
  <si>
    <t>포천시 친환경농업과/
포농포농축제추진위원회
(031-538-3721)</t>
  </si>
  <si>
    <t>2005년도</t>
  </si>
  <si>
    <t>포천 특산품</t>
  </si>
  <si>
    <t>포천 종합운동장</t>
  </si>
  <si>
    <t>운악산 단풍축제</t>
  </si>
  <si>
    <t>○ 주민과 관광객이 참여하는 전통놀이 등 참여행사
○ 단풍을 주제로한 산중 음악회 개최
○ 지역 특산물 판매 및 지역자원 전시</t>
  </si>
  <si>
    <t>화현면/화현면 주민자치위원회
(031-538-4748)</t>
  </si>
  <si>
    <t>단풍</t>
  </si>
  <si>
    <t xml:space="preserve">화현면 </t>
  </si>
  <si>
    <t>운악산 광장</t>
  </si>
  <si>
    <t>포천 개성인삼축제</t>
  </si>
  <si>
    <t>○ 포천개성인삼 판매 및 공연
○ 포천 문화체험 등</t>
  </si>
  <si>
    <t>포천시 친환경농업과/
개성인삼농협
(031-538-3721)</t>
  </si>
  <si>
    <t>2018년도</t>
  </si>
  <si>
    <t>개성인삼농협</t>
  </si>
  <si>
    <t>개성인삼농협
 광장</t>
  </si>
  <si>
    <t>산정호수 썰매축제</t>
  </si>
  <si>
    <t>2019.12.28~
2020.1.27</t>
  </si>
  <si>
    <t xml:space="preserve">○ 오리타요, 빙상자전거, 세발자전거 대야썰매 등  </t>
  </si>
  <si>
    <t>마을기업 산정호수마을회
(031-532-6135)</t>
  </si>
  <si>
    <t>동두천시</t>
  </si>
  <si>
    <t>동두천락페스티벌</t>
  </si>
  <si>
    <t>8.3. ~ 9.1.
(30일간)</t>
  </si>
  <si>
    <t xml:space="preserve"> ○ 락 밴드 경연대회 및 락 페스티벌</t>
  </si>
  <si>
    <t>동두천락페스티벌조직위원회
031-863-0351</t>
  </si>
  <si>
    <t>락(Rock)</t>
  </si>
  <si>
    <t>있음
정규직 1명</t>
  </si>
  <si>
    <t>소요산 국민관광지</t>
  </si>
  <si>
    <t>제3회 DDC 할로윈 
축제</t>
  </si>
  <si>
    <t>10.26~10.27
(2일간)</t>
  </si>
  <si>
    <t>○할로윈 스페셜 콘서트
○할로윈 분장 체험, 할로윈 퍼레이드
○거리 버스킹 공연 등</t>
  </si>
  <si>
    <t>동두천시/전략사업과
(031-860-2275)</t>
  </si>
  <si>
    <t>외국인 
관광특구</t>
  </si>
  <si>
    <t>연천군</t>
  </si>
  <si>
    <t>2019 연천 구석기
겨울여행</t>
  </si>
  <si>
    <t>1.12.~2.6.
(26일간)</t>
  </si>
  <si>
    <r>
      <t xml:space="preserve">○ 초대형눈썰매장, 눈조각공원, 구석기 바비큐
○ 빙하시대사람들을 테마로한 체험형 축제
○ 겨울놀이체험과 선사체험으로 구성 
○ </t>
    </r>
    <r>
      <rPr>
        <sz val="10"/>
        <color theme="1"/>
        <rFont val="HY중고딕"/>
        <family val="1"/>
        <charset val="129"/>
      </rPr>
      <t xml:space="preserve">선사문화를 테마로 한 눈조각, 얼음조각 등 볼거리 구성  </t>
    </r>
  </si>
  <si>
    <t>연천군 선사관리사업소
(정세미 031-839-2562)</t>
  </si>
  <si>
    <t>연천전곡리유적</t>
  </si>
  <si>
    <t xml:space="preserve">있음
공무원 7명  </t>
  </si>
  <si>
    <t>연천 전곡리 유적</t>
  </si>
  <si>
    <t>제27회 연천
구석기축제</t>
  </si>
  <si>
    <t>○ 구석기바비큐, 세계구석기체험마을, 구석기퍼포먼스
○ 구석기를 중심으로 한 선사문화 테마형 체험 축제
○ 지역문화, 연계관광 등 연천 관광투어</t>
  </si>
  <si>
    <t>1993년도
(27회)</t>
  </si>
  <si>
    <t>청주시</t>
  </si>
  <si>
    <t>세종대왕과 초정약수축제</t>
  </si>
  <si>
    <t>5.31~6.2
(3일간)</t>
  </si>
  <si>
    <t>○ 어가행차 재현</t>
  </si>
  <si>
    <t>청주시 관광정책과
(043-201-2093)</t>
  </si>
  <si>
    <t>2003년도(13회)</t>
  </si>
  <si>
    <t>세종대왕과 초정약수</t>
  </si>
  <si>
    <t>기타법인</t>
  </si>
  <si>
    <t xml:space="preserve">공원 </t>
  </si>
  <si>
    <t xml:space="preserve">청원생명축제 </t>
  </si>
  <si>
    <t>9.27~10.6
(10일간)</t>
  </si>
  <si>
    <t>○ 농축산물 판매, 주요공연 등</t>
  </si>
  <si>
    <t>청주시 관광정책과
/ 청원생명축제추진위원회
(043-201-2092)</t>
  </si>
  <si>
    <t>청원생명브랜드</t>
  </si>
  <si>
    <t>젓가락 페스티벌</t>
  </si>
  <si>
    <t>9월중(3일간)</t>
  </si>
  <si>
    <t>○ 한중일 젓가락문화 특별전, 각종 체험, 공연, 교육 등</t>
  </si>
  <si>
    <t>청주시 문화예술과 / 청주시문화산업진흥재단
(043-219-1277)</t>
  </si>
  <si>
    <t>젓가락</t>
  </si>
  <si>
    <t>동부창고</t>
  </si>
  <si>
    <t>청남대 재즈토닉 페스티벌</t>
  </si>
  <si>
    <t>○ 재즈아티스트 공연, 타로아트 전시, 지역출신 재즈밴들 경연</t>
  </si>
  <si>
    <t>청주시 문화예술과/㈜청주방송
(043-201-2012)</t>
  </si>
  <si>
    <t>청주읍성큰잔치</t>
  </si>
  <si>
    <t>○ 시민퍼레이드, 성탈환퍼포먼스, 마당극, 학술대회 등</t>
  </si>
  <si>
    <t>청주시 문화예술과/청주문화원
(043-201-2012)</t>
  </si>
  <si>
    <t>청주읍성</t>
  </si>
  <si>
    <t>거리</t>
  </si>
  <si>
    <t>청주문화재야행</t>
  </si>
  <si>
    <t>○ 철당간 등 문화재를 테마로한 공연, 전시, 체험프로그램 운영</t>
  </si>
  <si>
    <t>청주시 문화예술과/청주문화산업진흥재단(043-201-2023)</t>
  </si>
  <si>
    <t>문화재야행</t>
  </si>
  <si>
    <t>청주향교 마당, 충북도청, 대성로</t>
  </si>
  <si>
    <t>청주공예비엔날레</t>
  </si>
  <si>
    <t>10.8~11.17
(41일간)</t>
  </si>
  <si>
    <t>○ 기획전, 초대국가관, 공모전
○ 아트페어, 주말공예장터
○ 국제학술회의, 교육프로그램, 미술관프로젝트</t>
  </si>
  <si>
    <t>충청북도 청주시 문화예술과/청주공예비엔날레조직위원회
(043-201-2037)</t>
  </si>
  <si>
    <t>1999년도
(10회)</t>
  </si>
  <si>
    <t>산자부</t>
  </si>
  <si>
    <t>지역특성화산업육성사업</t>
  </si>
  <si>
    <t>공예</t>
  </si>
  <si>
    <t>있음
정규직 6명
계약직 2명
총 9명</t>
  </si>
  <si>
    <t>구연초제조창</t>
  </si>
  <si>
    <t>가드닝 페스티벌</t>
  </si>
  <si>
    <t>5.23~5.26
(4일간)</t>
  </si>
  <si>
    <t xml:space="preserve"> ○ 시민참여정원(20개소), 모델(작가)정원(7개소) 및 기업참여정원 (2개소)전시
 ○ 일상 속에서 정원을 만들고 즐길 수 있는 다양한 시민참여 정원프로그램 운영
 ○ 정원과 함께하는 문화예술 프로그램 운영</t>
  </si>
  <si>
    <t>청주시푸른도시사업본부 공원조성과
(043-201-2802)</t>
  </si>
  <si>
    <t>정원</t>
  </si>
  <si>
    <t>청주시
청원구
오창읍</t>
  </si>
  <si>
    <t>한마음축제</t>
  </si>
  <si>
    <t>○ 주민자치프로그램 공연 및 전시회
○ 유기농 농ㆍ축산물 홍보 및 판매
○ 개폐막 공연, 주제공연 및 문화공연
    - 3개 분야 18여개 프로그램</t>
  </si>
  <si>
    <t>오창읍 한마음 축제 추진위원회
(043-201-8566)</t>
  </si>
  <si>
    <t>공연, 전시, 체육대회, 농ㆍ축산물 등</t>
  </si>
  <si>
    <t>충주시</t>
  </si>
  <si>
    <t>충주세계무술축제</t>
  </si>
  <si>
    <t>8.30~9.6
(8일간)</t>
  </si>
  <si>
    <t>○ 국제무예연무대회, E무술(스포츠)대회, 무술웹툰공모
○ 무술체험장, 무술전시관, 세계무술공연
○ 문화행사, 전시행사, 참여행사, 기타 상설부대행사
○ 세계무술연맹총회, 무예경영세미나</t>
  </si>
  <si>
    <t>충주시/(사)세계무술연맹</t>
  </si>
  <si>
    <t>1998
(20회)</t>
  </si>
  <si>
    <t>무예</t>
  </si>
  <si>
    <t>있음
정규직 6명</t>
  </si>
  <si>
    <t>세계무술공원</t>
  </si>
  <si>
    <t>수안보온천제</t>
  </si>
  <si>
    <t xml:space="preserve">○ 주민참여 길놀이
○ 온정수신제, 꿩요리시식회, 걷기대회, 족욕길체험
○ 개폐막 공연, 주제공연 및 문화공연
○ 기타 체험 및 부대행사 </t>
  </si>
  <si>
    <t>충주시
/ (사)수안보온천관광협의회
(043-846-3605)</t>
  </si>
  <si>
    <t>1985년
(34회)</t>
  </si>
  <si>
    <t>온천</t>
  </si>
  <si>
    <t>수안보 물탕공원 일원</t>
  </si>
  <si>
    <t>충주호벚꽃축제</t>
  </si>
  <si>
    <t>4.5~4.7
(3일간)</t>
  </si>
  <si>
    <t>○ 충주호 안전기원제
○ 벚꽃길 걷기대회, 사생대회, 민속놀이 경연대회
○ 문화공연, 노래자랑, 장기자랑</t>
  </si>
  <si>
    <t>충주시
/ (사)충주시사회단체연합회
(043-847-4001)</t>
  </si>
  <si>
    <t>충주댐 일원</t>
  </si>
  <si>
    <t>앙성온천축제</t>
  </si>
  <si>
    <t>○ 비내길걷기 및 마라톤대회
○ 요리대회, 산악자전거대회
○ 개폐막 공연, 주제공연 및 문화공연
○ 기타 체험 및 부대행사</t>
  </si>
  <si>
    <t>충주시
/ (사)앙성온천관광협의회
(043-852-1068)</t>
  </si>
  <si>
    <t>1998년
(21회)</t>
  </si>
  <si>
    <t>앙성온천광장 일원</t>
  </si>
  <si>
    <t>제천시</t>
  </si>
  <si>
    <t>제천겨울벚꽃축제</t>
  </si>
  <si>
    <t>1.18~2.6
(20일)</t>
  </si>
  <si>
    <t xml:space="preserve"> ○ 벚꽃 등의 LED조명 전시행사
 ○ 벚꽃듀오가요제, 프로포즈 이벤트, 버스킹 공연 등</t>
  </si>
  <si>
    <t>제천시(문화예술과)
/사단법인제천시문화예술위원회(043-641-4870)</t>
  </si>
  <si>
    <t>겨울벚꽃</t>
  </si>
  <si>
    <t>있음
계약직 2명</t>
  </si>
  <si>
    <t>시내 일원</t>
  </si>
  <si>
    <t>제천얼음축제</t>
  </si>
  <si>
    <t>1.25~1.31
(7일)</t>
  </si>
  <si>
    <t xml:space="preserve"> ○ 얼음성, 겨울빛 순주섬 전시행사
 ○ 공어낚시, 아이스&amp;스노우 슬라이딩, 눈썰매, 얼음
     자전거 체험행사 등</t>
  </si>
  <si>
    <t>얼음</t>
  </si>
  <si>
    <t>의림지 일원</t>
  </si>
  <si>
    <t>청풍호 벚꽃축제</t>
  </si>
  <si>
    <t>4월중순
(미정)</t>
  </si>
  <si>
    <t>○ 핵심프로그램 : 개막식, 벚꽃축제 기념콘서트 등
○ 상설 공연행사 : 지역문화예술단체 공연
○ 전시 및 체험프로그램 운영 : 30여개 전시 및 체험프로그램
○ 특별프로그램 : 청풍호 벚꽃쉼터, 시민 벚꽃길 걷기행사 등</t>
  </si>
  <si>
    <t>광장, 마을, 시내거리</t>
  </si>
  <si>
    <t>제천국제음악영화제</t>
  </si>
  <si>
    <t>8월중순
(미정)</t>
  </si>
  <si>
    <t>○ 핵심프로그램 : 개폐막식, 원썸머나잇, 의림썸머나잇
○ 영화프로그램 : 음악을 주제로 한 영화상영(100여편)
○ 음악프로그램 : 30여개 팀 공연 
○ 특별프로그램 : 거리의 악사 페스티벌, 제천영화음악제 아카데미, 제천영화음악상, JIMFF포럼,  JIMFF동네극장 등</t>
  </si>
  <si>
    <t>제천시(문화예술과)
/사단법인제천국제음악영화제
(02-925-2243)</t>
  </si>
  <si>
    <t>영화진흥기금</t>
  </si>
  <si>
    <t>음악영화</t>
  </si>
  <si>
    <t>있음
정규직 14명
계약직 60명
총74명</t>
  </si>
  <si>
    <t>광장, 시내거리</t>
  </si>
  <si>
    <t>창의124주년 제천의병제</t>
  </si>
  <si>
    <t>10월중순
(미정)</t>
  </si>
  <si>
    <t>○ 핵심프로그램 : 혼불채화, 거리퍼레이드,개막식
○ 제례행사 : 고유제, 순국의병위령묘제
○ 학술행사 : 제천의병학술세미나
○ 전시 및 체험행사 : 의병관련 전시 및 체험 프로그램 
○ 특별프로그램 : 의병유적지순례, 의병영화상영 등</t>
  </si>
  <si>
    <t>1996년
(24회)</t>
  </si>
  <si>
    <t>의병</t>
  </si>
  <si>
    <t>시내거리, 운동장, 유적지</t>
  </si>
  <si>
    <t>보은군</t>
  </si>
  <si>
    <t>보은대추축제</t>
  </si>
  <si>
    <t>10.11~10.20
(10일간)</t>
  </si>
  <si>
    <t>○ 전국 제일의 맛을 자랑하는 보은 대추·청정농특산물
    실비판매, 다채로운 문화행사 체험
○ 개폐막 공연, 주제공연 및 문화공연
○ 기타 특별행사 및 전시 등</t>
  </si>
  <si>
    <t>보은군 
/ 보은군축제추진위원회
(043-540-3392)</t>
  </si>
  <si>
    <t>대추</t>
  </si>
  <si>
    <t>속리산 신(神)축제</t>
  </si>
  <si>
    <t>5.10.~12.
(3일간)</t>
  </si>
  <si>
    <t>○ 천왕봉 산신제, 영신행차 등
○ 체험행사(무형문화재체험, 전통놀이 등)
○ 민속예술경연대회, 송이놀이 시연, 템플스테이 등</t>
  </si>
  <si>
    <t>보은군
 / 속리산신축제 추진위원회
(043-540-3754)</t>
  </si>
  <si>
    <t>1978년도
(42회)</t>
  </si>
  <si>
    <t>보은 속리산 천왕봉 산신제</t>
  </si>
  <si>
    <t>사찰, 공장</t>
  </si>
  <si>
    <t>오장환문학제</t>
  </si>
  <si>
    <t xml:space="preserve">○ 오장환문학상 및 오장환신인문학상 시상
○ 문학강연, 문학기행, 저명 작가와의 만남의 장
○ 충북 초중학생 백일장 및 체험부스 운영 </t>
  </si>
  <si>
    <t>보은군 / 보은문화원
(043-540-3754)</t>
  </si>
  <si>
    <t>인물
(오장환 시인)</t>
  </si>
  <si>
    <t>오장환문학제
추진위원회</t>
  </si>
  <si>
    <t>박물관, 공원</t>
  </si>
  <si>
    <t>보은동학제</t>
  </si>
  <si>
    <t>○ 장안취회, 위령제, 동학세미나 
○ 동학백일장, 동학퀴즈, 동학 체험행사 등</t>
  </si>
  <si>
    <t>보은동학</t>
  </si>
  <si>
    <t>보으동학제
추진위원회</t>
  </si>
  <si>
    <t>옥천군</t>
  </si>
  <si>
    <t>옥천묘목축제</t>
  </si>
  <si>
    <t>3.28~3.31
(4일간)</t>
  </si>
  <si>
    <t>○ 묘목나누어주기
○ 묘목가요제 등 공연 프로그램 운영
○ 전시 및 체험행사 등</t>
  </si>
  <si>
    <t>옥천이원묘목영농조합법인/옥천묘목축제추진위원회
(043-730-3593)</t>
  </si>
  <si>
    <t>1999년도
(20회)</t>
  </si>
  <si>
    <t>묘목</t>
  </si>
  <si>
    <t>옥천참옻축제</t>
  </si>
  <si>
    <t>4월 말(예정)</t>
  </si>
  <si>
    <t>○ 옥천 참옻 홍보 및 판매
○ 공연, 전시 및 체험행사 등</t>
  </si>
  <si>
    <t>옥천참옻영농조합법인/옥천참옻축제추진위원회
(043-730-3593)</t>
  </si>
  <si>
    <t>옻순</t>
  </si>
  <si>
    <t>지용제</t>
  </si>
  <si>
    <t>5.9.~5.12
(4일간)</t>
  </si>
  <si>
    <t>○ 시인과 함께하는 시노래공연, 고향테마파크향수민속촌
○ 정지용을 테마로한 공연 프로그램 운영 
  - 동북아국제문학포럼, 문학관광열차, 시춤페스티벌 등
○ 전시 및 체험행사 등</t>
  </si>
  <si>
    <t>옥천군/지용제추진위원회,지용회,옥천문인협회, 
각문화예술단체
(043-730-3402)</t>
  </si>
  <si>
    <t>1988년
(32회)</t>
  </si>
  <si>
    <t>인물
(정지용)</t>
  </si>
  <si>
    <t>있음
(7명)</t>
  </si>
  <si>
    <t>공원 및 마을</t>
  </si>
  <si>
    <t>향수옥천 포도복숭아축제</t>
  </si>
  <si>
    <t>7. 26~7.28
(3일간)</t>
  </si>
  <si>
    <t>○ 옥천 포도복숭아 역사전시관
○ 포도따기 체험, 품종 전시관 운영 등
○ 개막축하음악회, 청소년페스티벌, 가요제 등 문화공연
○ 기타 보조무대 공연 및 체험행사 운영 등</t>
  </si>
  <si>
    <t>옥천군 농업기술센터
친환경농축산과
(043-730-3263)</t>
  </si>
  <si>
    <t>포도, 복숭아</t>
  </si>
  <si>
    <t>옥천공설운동장</t>
  </si>
  <si>
    <t>중봉충렬제</t>
  </si>
  <si>
    <t>○ 중봉조헌추모제향 및 영규대사 추모제</t>
  </si>
  <si>
    <t>옥천군,옥천문화원/옥천청년회의소,각 문화예술단체
(043-730-3402)</t>
  </si>
  <si>
    <t>1976년
(44회)</t>
  </si>
  <si>
    <t>인물
(의병장 조헌)</t>
  </si>
  <si>
    <t>공원 및 유적지</t>
  </si>
  <si>
    <t>영동군</t>
  </si>
  <si>
    <t>영동난계국악축제</t>
  </si>
  <si>
    <t>9월 ~ 10월 중
(4일간)</t>
  </si>
  <si>
    <t xml:space="preserve"> ○ 전국 국악동요 부르기 대회
 ○ 국악을 테마로한 공연, 전시, 체험프로그램 운영
 ○ 개폐막 공연, 주연 뮤지컬 공연 및 문화공연
 ○ 기타 프린지공연 및 연계행사 등등</t>
  </si>
  <si>
    <t>영동군·영동군축제추진위원회
/ 영동축제관광재단
(043-745-8916~8)</t>
  </si>
  <si>
    <t>1965년도
(52회)</t>
  </si>
  <si>
    <t>지역대표공연예술제</t>
  </si>
  <si>
    <t>있음
계약직 7명
총 7명</t>
  </si>
  <si>
    <t>대한민국와인축제</t>
  </si>
  <si>
    <t xml:space="preserve"> ○ 한국와인대상
 ○ 와인을 테마로한 공연, 전시, 체험프로그램 운영
 ○ 영동와이너리 생산 와인전시 및 판매, 공연 등
 ○ 개장식 및 연계행사 등등</t>
  </si>
  <si>
    <t>영동군· 영동군축제추진위원회
/ 영동축제관광재단
(043-745-8916~8)</t>
  </si>
  <si>
    <t>영동포도축제</t>
  </si>
  <si>
    <t>8월 ~ 9월 중
(4일간)</t>
  </si>
  <si>
    <t>○ 새로운 포도밟기 프로그램운영
○ 포도따기 프로그램 운영
○ 포도낚시등 40여종 체험운영
○ 공연분야 : 개막식, 개막축하공연, 상설공연, 불꽃놀이등
○ 전시 및 먹거리분야 : 과일종합전시관, 먹거리장터운영
○ 기타분야 : 국악체험촌 국악공연, 농촌체험마을 
○ 연계행사 :  영동포도 전국마라톤대회, 추풍령가요제</t>
  </si>
  <si>
    <t>영동군· 영동군축제추진위원회
/ 영동축제관광재단·영동포도연합회
(043-745-8916~8)</t>
  </si>
  <si>
    <t>2004
(15회)</t>
  </si>
  <si>
    <t>문화관광축제
(육성등급)</t>
  </si>
  <si>
    <t>영동체육관</t>
  </si>
  <si>
    <t>영동곶감축제</t>
  </si>
  <si>
    <t>○ 개장식 및 개막식행사 
○ 코레일 내일로 홍보단 발대식
○ 곶감시식 판매행사
○ 곶감따기 체험장 등 이벤트프로그램 운영
○ 영동곶감 한마음 콘서트</t>
  </si>
  <si>
    <t>영동군· 영동군축제추진위원회
/ 영동축제관광재단·영동곶감연합회
(043-745-8916~8)</t>
  </si>
  <si>
    <t>2003
(16회)</t>
  </si>
  <si>
    <t>곶감</t>
  </si>
  <si>
    <t>증평군</t>
  </si>
  <si>
    <t>증평들노래축제</t>
  </si>
  <si>
    <t>6.15~6.16
(예정)</t>
  </si>
  <si>
    <t xml:space="preserve"> ○ 핵심프로그램(장뜰두레농요 시연)
 ○ 전통 농경문화를 테마로 한 공연, 전시, 체험프로그램 운영
 ○ 개막 공연 및 문화공연(효콘서트 국악한마당, 사랑의 퓨전음악회, 전통민속놀이 한마당)
 ○체험행사(물고기·우렁이잡기, 감자캐기, 논놀이·농경체험, 오감체험 등)
 ○ 경연행사(전국국악경연대회, 전국시조경창대회 등)
 ○ 전시행사(사진전시, 시화전시 등)</t>
  </si>
  <si>
    <t>증평군 문화체육과
(043-835-4152)
/
증평예총
(043-835-3970)</t>
  </si>
  <si>
    <t>2004년도
(15회)
2015년 메르스로 미개최</t>
  </si>
  <si>
    <t>두레농요
전통문화예술
(국악, 시조 등)</t>
  </si>
  <si>
    <t>사단법인
(증평예총)</t>
  </si>
  <si>
    <t>박물관</t>
  </si>
  <si>
    <t>증평인삼골축제</t>
  </si>
  <si>
    <t>10.3~10.6
(예정)</t>
  </si>
  <si>
    <t xml:space="preserve"> ○ 핵심프로그램(인삼캐기체험, 홍삼포크삼겹살대잔치)
 ○ 인삼, 홍삼포크를 테마로 한 공연, 전시, 체험프로그램 운영
 ○ 개막 공연 및 문화공연(열린콘서트, 인삼골합창제, 인삼골군악콘서트)
 ○ 경연행사(국제청소년페스티벌, 인삼장사씨름대회, 인삼골가요제, 증평인삼어린이사생대회, 백곡김득신백일장)
 ○ 기타 전시·체험행사, 참여행사 등 </t>
  </si>
  <si>
    <t>증평군 문화체육과
(043-835-4142)
/
증평문화원
(043-835-3977)</t>
  </si>
  <si>
    <t>1992년도
(28회)</t>
  </si>
  <si>
    <t>인삼, 홍삼포크</t>
  </si>
  <si>
    <t>사단법인
(증평문화원)</t>
  </si>
  <si>
    <t xml:space="preserve">있음
정규직 3명
 </t>
  </si>
  <si>
    <t>진천군</t>
  </si>
  <si>
    <t>생거진천 농다리축제</t>
  </si>
  <si>
    <t xml:space="preserve"> ○ 상여다리건너기
 ○ 농사철다리건너기, 농다리 전국가요제, 농다리 놓기 
  재연 및 사물놀이 한마당
 ○ 견지낚시대회, 백일장 및 사생대회, 농다리 씨름대회
 ○ 각종 전시,체험 부스 등</t>
  </si>
  <si>
    <t>진천문화원
/농다리축제추진위원회
(043-533-2744)</t>
  </si>
  <si>
    <t>농다리</t>
  </si>
  <si>
    <t>생거진천 문화축제</t>
  </si>
  <si>
    <t xml:space="preserve"> ○ 군민 가요제
 ○ 문화예술공연, 민속경기, 길놀이
 ○ 건강박람회, 기업체 우수제품 홍보판매관
 ○ 평생학습축제, 향토음식 경연대회
 ○ 농특산물전시판매행사, 향토 먹거리장터 등</t>
  </si>
  <si>
    <t>진천문화원
/생거진천문화축제추진위원회
(043-533-2744)</t>
  </si>
  <si>
    <t>1979년도
(40회)</t>
  </si>
  <si>
    <t>문화</t>
  </si>
  <si>
    <t>괴산군</t>
  </si>
  <si>
    <t>괴산고추축제</t>
  </si>
  <si>
    <t>9.5-9.8.(예정)
(4일간)</t>
  </si>
  <si>
    <t xml:space="preserve"> ○ 황금고추를 찾아라(킬러콘텐츠), 속풀이고추난타
 ○ 고추를 테마로 한 공연, 전시 체험프로그램(100여종)
 ○ 지역농특산물직판장운영(고추,옥수수 등)</t>
  </si>
  <si>
    <t>괴산군 문화관광과/
괴산축제위원회
(043-830-3462)</t>
  </si>
  <si>
    <t>문화관광축제
(유망등급)</t>
  </si>
  <si>
    <t>고추, 대학찰옥수수, 절임배추</t>
  </si>
  <si>
    <t>있음
정규직4명</t>
  </si>
  <si>
    <t>괴산군청 앞 광장</t>
  </si>
  <si>
    <t>괴산 사리면 백마권역겨울놀이축제</t>
  </si>
  <si>
    <t>1.4~1.27
(24일간)</t>
  </si>
  <si>
    <t xml:space="preserve"> ○ 눈썰매, 얼음썰매 등 겨울민속놀이
 ○ 쥐불놀이, 연놀이, 빙어뜰채 잡기 등 체험행사
 ○ 지역주민화합한마당행사</t>
  </si>
  <si>
    <t>백마권역영농조합법인
(043-836-9911)</t>
  </si>
  <si>
    <t>2013
(6회)</t>
  </si>
  <si>
    <t>겨울민속놀이</t>
  </si>
  <si>
    <t>백마저수지 일원</t>
  </si>
  <si>
    <t>감물감자축제</t>
  </si>
  <si>
    <t>6월(예정)
(2일간)</t>
  </si>
  <si>
    <t xml:space="preserve"> ○ 감자캐기 등 농산물체험, 농특산물경매
 ○ 공연 및 먹거리장터 운영</t>
  </si>
  <si>
    <t>2008
(8회)</t>
  </si>
  <si>
    <t>감자 등 농특산물</t>
  </si>
  <si>
    <t>감물면사무소 광장 일원</t>
  </si>
  <si>
    <t>칠성둔율올갱이축제</t>
  </si>
  <si>
    <t>7월말(예정)
(2일간)</t>
  </si>
  <si>
    <t xml:space="preserve"> ○ 황금올갱이를찾아라 등 올갱이 체험
 ○ 먹거리체험 등</t>
  </si>
  <si>
    <t>둔율올갱이마을영농조합법인
(043-830-3903)</t>
  </si>
  <si>
    <t>2008
(10회)</t>
  </si>
  <si>
    <t>올갱이</t>
  </si>
  <si>
    <t>있음
정규직2명</t>
  </si>
  <si>
    <t>둔율올갱이마을 일원</t>
  </si>
  <si>
    <t>청천환경문화축제</t>
  </si>
  <si>
    <t>8월초(예정)
(2일간)</t>
  </si>
  <si>
    <t xml:space="preserve"> ○ 환경관련문화행사 
 ○ 물놀이 등 생태체험 </t>
  </si>
  <si>
    <t>2005
(13회)</t>
  </si>
  <si>
    <t>환경보호</t>
  </si>
  <si>
    <t>환경문화전시장 일원</t>
  </si>
  <si>
    <t>연풍조령제 및 이화령산악자전거대회</t>
  </si>
  <si>
    <t>10월중(예정)
(2일간)</t>
  </si>
  <si>
    <t>○ 조령제 및 전통문화 시연
○ 한지체험 등 체험행사
○ 이화령산악자전거대회</t>
  </si>
  <si>
    <t>1982
(37회)</t>
  </si>
  <si>
    <t>조령제 및 장원급제행렬</t>
  </si>
  <si>
    <t>연풍초등학교</t>
  </si>
  <si>
    <t>음성군</t>
  </si>
  <si>
    <t>음성품바축제</t>
  </si>
  <si>
    <t>5.22.~5.26</t>
  </si>
  <si>
    <t xml:space="preserve"> ○ 대표프로그램: 품바길놀이퍼레이드,품바래퍼경연대회, 관광객과 함께하는 품바공연
 ○ 해학과 풍자를 테마로한 품바공연, 퍼레이드 등 다양한 체험 프로그램 운영
 ○ 열림식: 품바뮤지컬, 품바왕중왕선발대회, 품바비빔밥레시피경연대회, 
     품바의상패션쇼, 천인의 엿치기, 품바움막짓기대회, 천인의 품바비빔밥나누기,
     품바가요제왕중왕전, 품바사진촬영대회, 전국 청소년 품바댄스 경연대회, 
 ○ 꽃동네 프로그램: 러브인액션스쿨, 독거노인에게 사랑과  희망을, 장애인과 함께
     사랑과 희망을, 전국 사할린 동포 한마음 대회
 ○ 음성군농특산물 판매: 음성화훼(음성군꽃잔치)
 ○ 전통한방체험관, 최귀동인류애 봉사대상 시상, 유니세프기금 모금</t>
  </si>
  <si>
    <t>음성예총 /
품바축제기획실무위원회
(043-873-2241)</t>
  </si>
  <si>
    <t>품바</t>
  </si>
  <si>
    <t>있음
정규직 
3명</t>
  </si>
  <si>
    <t>설성공원 및 꽃동네 일원</t>
  </si>
  <si>
    <t>설성문화제&amp;
음성청결고추축제</t>
  </si>
  <si>
    <t>8.29.~9.1</t>
  </si>
  <si>
    <t xml:space="preserve"> ○ 음성 지역의 전통문화 계승 발전, 군민화합의 장으로 음성군 최대 전통 문화행사
 ○ 음성민속예술한마당놀이, 음성군민노래자랑, 청소년 어울마당, 군민위안의 밤,
     문화예술 초청공연, 문화예술인 한마당 페스티벌, 가을밤의 앙상블
 ○ 체험행사: 전통 먹 고인쇄 체험, 전통 먹물 염색 체험, 물레 체험, 전통 금속공예 체험,
    한지 체험, 천연염색 체험, 벽화그리기 체험, 전통한복 체험 등 33개 체험</t>
  </si>
  <si>
    <t>음성문화원 / 
설성문화제 기획실무위원회
(043-872-4084)</t>
  </si>
  <si>
    <t>1982년(38회)설성
1996년(24회)고추</t>
  </si>
  <si>
    <t>222(설성)
190(고추)</t>
  </si>
  <si>
    <t>문화예술
지역특산품</t>
  </si>
  <si>
    <t>문화공연/고추</t>
  </si>
  <si>
    <t>음성문화원</t>
  </si>
  <si>
    <t>있음
정규직
2명</t>
  </si>
  <si>
    <t>설성공원 or 종합운동장 일원</t>
  </si>
  <si>
    <t>음성인삼축제</t>
  </si>
  <si>
    <t xml:space="preserve"> ○ 중부권 최대 인삼주산지 음성인삼 우수성과 농특산물을 홍보 및 판매
 ○ 농산물직거래장터(인삼, 일반농산물), 소비자 초청행사, 
    소비자와 생산자 어울마당, 음성인삼가요제, 국제음악 페스티벌, 향토가수 공연
 ○전시체험행사: 인삼명인 품평회 출품작 전시, 인삼약초전시회, 인삼과 건강홍보관,
    인삼재배포 전시, 심마니 의상체험관, 인삼수확체험, 인삼낚시, 홍삼비누만들기 체험,
    인삼공예품 만들기체험, 홍삼인절미 만들기, 인삼튀김, 인삼전, 인삼막걸리
 ○부대행사: 음성인삼장사 씨름대회</t>
  </si>
  <si>
    <t>음성인삼축제추진위원회
 / 음성군</t>
  </si>
  <si>
    <t>지역특산품</t>
  </si>
  <si>
    <t>임의단체
(인삼영농조합법인)</t>
  </si>
  <si>
    <t>금왕응천</t>
  </si>
  <si>
    <t>단양군</t>
  </si>
  <si>
    <t>쌍둥이 힐링 페스티벌</t>
  </si>
  <si>
    <t>5.4~5.5         (2일간)</t>
  </si>
  <si>
    <t>○ 쌍둥이 가족 장기자랑
○ 쌍둥이 가족 및 일반인 대상 각종 체험 행사</t>
  </si>
  <si>
    <t>단양군 문화체육과 / 단양문화원
(043-420-2552)</t>
  </si>
  <si>
    <t>쌍둥이 가족</t>
  </si>
  <si>
    <t>단양 소백산 철쭉제</t>
  </si>
  <si>
    <t>5.23~5.26     (4일간)</t>
  </si>
  <si>
    <t>○ 가족과 함께하는 소백산행
○ 소백산철쭉을 주제로 전시, 공연, 체험 프로그램 운영</t>
  </si>
  <si>
    <t>소백산철쭉제추진위원회
/단양문화원
(043-420-2562)</t>
  </si>
  <si>
    <t>소백산 철쭉</t>
  </si>
  <si>
    <t>단양 온달문화축제</t>
  </si>
  <si>
    <t>10.18~10.20  (3일간)</t>
  </si>
  <si>
    <r>
      <t>○ 고구려 테마존
○ 온달</t>
    </r>
    <r>
      <rPr>
        <sz val="11"/>
        <rFont val="MingLiU"/>
        <family val="3"/>
        <charset val="136"/>
      </rPr>
      <t>‧</t>
    </r>
    <r>
      <rPr>
        <sz val="11"/>
        <rFont val="HY중고딕"/>
        <family val="1"/>
        <charset val="129"/>
      </rPr>
      <t>평강 거리 퍼포먼스, 공연,
   체험프로그램 운영</t>
    </r>
  </si>
  <si>
    <t>온달문화축제추진위원회
/ 단양문화원
(043-420-2562)</t>
  </si>
  <si>
    <t>고구려 문화     (온달, 평강)</t>
  </si>
  <si>
    <t>온달관광지</t>
  </si>
  <si>
    <t>단양마늘축제</t>
  </si>
  <si>
    <t>7월중</t>
  </si>
  <si>
    <t>○ 개막식/축하음악회
○ 마늘관련 전시·체험행사, 농특산물 판매</t>
  </si>
  <si>
    <t xml:space="preserve">단양마늘축제추진위원회
</t>
  </si>
  <si>
    <t>2015
(5회)</t>
  </si>
  <si>
    <t>마늘</t>
  </si>
  <si>
    <t>단양아로니아축제</t>
  </si>
  <si>
    <t>○ 개막식/축하음악회
○ 아로니아관련 전시·체험행사, 농특산물 판매</t>
  </si>
  <si>
    <t xml:space="preserve">단양아로니아축제추진위원회
</t>
  </si>
  <si>
    <t>아로니아</t>
  </si>
  <si>
    <t>천안시</t>
  </si>
  <si>
    <t>천안흥타령춤축제</t>
  </si>
  <si>
    <t>천안시 문화관광과/
천안문화재단
(041-900-7020)</t>
  </si>
  <si>
    <t>지역대표공연
예술제</t>
  </si>
  <si>
    <t>춤</t>
  </si>
  <si>
    <t>있음
정규직4명
계약직2명
총 6명</t>
  </si>
  <si>
    <t>삼거리공원 , 
시내일원</t>
  </si>
  <si>
    <t>천안예술제</t>
  </si>
  <si>
    <t>○ 9개지부별(문인,연극,미술,무용,사진,음악,연예,국악, 영화) 작품발표회 및 전시,공연 등
○ 부대, 체험행사 등</t>
  </si>
  <si>
    <t>천안시 문화관광과/
천안예총
(041-561-1522)</t>
  </si>
  <si>
    <t>있음
계약직 1명</t>
  </si>
  <si>
    <t>도솔광장</t>
  </si>
  <si>
    <t>입장거봉포도축제</t>
  </si>
  <si>
    <t>9월중
(2일간)</t>
  </si>
  <si>
    <t>입장거봉포도축제추진위원회(041-521-6847)</t>
  </si>
  <si>
    <t>천안호두축제</t>
  </si>
  <si>
    <t>천안시호두축제추진위원회
(041-521-4701)</t>
  </si>
  <si>
    <t>호두</t>
  </si>
  <si>
    <t>천안북면위례벚꽃축제</t>
  </si>
  <si>
    <t xml:space="preserve">북면위례벚꽃축제추진위원회
041-521-4721
</t>
  </si>
  <si>
    <t>내용없음</t>
  </si>
  <si>
    <t>(재)충남문화산업진흥원
041-415-0096</t>
  </si>
  <si>
    <t>영화관</t>
  </si>
  <si>
    <t>2018년
(1회)</t>
  </si>
  <si>
    <t>웅진성수문병
근무교대식</t>
  </si>
  <si>
    <t>4월중</t>
  </si>
  <si>
    <t>2004년
(16회)</t>
  </si>
  <si>
    <t>계룡산산신제</t>
  </si>
  <si>
    <t>ㅇ 유.불.무가식 산신제
ㅇ 점사체험, 기체험, 다양한 무대공연 등</t>
  </si>
  <si>
    <t>1998년
(22회)</t>
  </si>
  <si>
    <t>마곡사 신록축제</t>
  </si>
  <si>
    <t>5월중</t>
  </si>
  <si>
    <t>2019년
(1회)</t>
  </si>
  <si>
    <t>2008
(12회)</t>
  </si>
  <si>
    <t>공공(읍면동)</t>
  </si>
  <si>
    <t>수산물</t>
  </si>
  <si>
    <t>부분위탁
(운영, 프로그램)</t>
  </si>
  <si>
    <t>농특산물</t>
  </si>
  <si>
    <t>있음</t>
  </si>
  <si>
    <t>아산시 문화관광과                               / 아산문화재단                              (041-534-2634)</t>
  </si>
  <si>
    <t>이순신장군</t>
  </si>
  <si>
    <t>여름밤</t>
  </si>
  <si>
    <t>코미디</t>
  </si>
  <si>
    <t>은행나무길</t>
  </si>
  <si>
    <t>6월중</t>
  </si>
  <si>
    <t>2002년
(18회)</t>
  </si>
  <si>
    <t>2005년
(13회)</t>
  </si>
  <si>
    <t>2005년도
(14회)</t>
  </si>
  <si>
    <t>부분위탁(하드웨어)</t>
  </si>
  <si>
    <t xml:space="preserve"> ○ 맨손낙지잡기 체험 등 각종 체험프로그램
 ○ 수산물을 테마로한 경연행사
 ○ 개폐막 공연, 주제공연 및 문화공연</t>
  </si>
  <si>
    <t>2014년도
(5회)</t>
  </si>
  <si>
    <t>수산물(낙지,
감태 외)</t>
  </si>
  <si>
    <t>철새</t>
  </si>
  <si>
    <t>1997년
(22회)</t>
  </si>
  <si>
    <t>1997년도
(22회)</t>
  </si>
  <si>
    <t>2001년
(17회)</t>
  </si>
  <si>
    <t>당진시</t>
  </si>
  <si>
    <t>4.11~4.14
(4일간)</t>
  </si>
  <si>
    <t>여</t>
  </si>
  <si>
    <t>순성매화벚꽃축제</t>
  </si>
  <si>
    <t>순성면 축제위원회
(041-360-8405)</t>
  </si>
  <si>
    <t>면천 진달래 민속축제</t>
  </si>
  <si>
    <t>면천면사무소 / 향토발전진달래회(041-360-8352)</t>
  </si>
  <si>
    <t>진달래, 민속놀이, 두견주</t>
  </si>
  <si>
    <t>부분 위탁</t>
  </si>
  <si>
    <t>한진바지락축제</t>
  </si>
  <si>
    <t>한진포구바지락축제위원회
(356-6098)</t>
  </si>
  <si>
    <t>바지락</t>
  </si>
  <si>
    <t>12.31~1.1
(2일간)</t>
  </si>
  <si>
    <t>금산군</t>
  </si>
  <si>
    <t>금산문화원/ 물페기농요보존회, 농바우끄시기보존회
(041-754-2724)</t>
  </si>
  <si>
    <t>금산문화원/보곡산골마을회
(041-754-2724)</t>
  </si>
  <si>
    <t xml:space="preserve">ㅇ홍도화가요제
ㅇ홍도화를 테마로 한 체험, 공연프로그램 운영
ㅇ홍도화 길 꽃마차, 송어잡기체험, 나무곤충만들기 등 </t>
  </si>
  <si>
    <t>남일면/
남일면홍도촤축제추진위원회
(041-750-8506)</t>
  </si>
  <si>
    <t>서천군</t>
  </si>
  <si>
    <t>동백꽃∙주꾸미 축제</t>
  </si>
  <si>
    <t xml:space="preserve"> ○ 어린이 주꾸미 낚시 체험, 동백나무숲 보물찾기 등</t>
  </si>
  <si>
    <t>동백꽃∙주꾸미</t>
  </si>
  <si>
    <t>자연산 광어∙도미 축제</t>
  </si>
  <si>
    <t xml:space="preserve"> ○ 맨손으로 광어 잡기, 어부아저씨의 깜짝 경매 등</t>
  </si>
  <si>
    <t>2003년
(15회)</t>
  </si>
  <si>
    <t>광어∙도미</t>
  </si>
  <si>
    <t>장항항 수산물 꼴갑 축제</t>
  </si>
  <si>
    <t xml:space="preserve"> ○ 꼴뚜기, 갑오징어 및 장항 특산물 판매</t>
  </si>
  <si>
    <t>꼴뚜기, 갑오징어</t>
  </si>
  <si>
    <t>한산모시문화제</t>
  </si>
  <si>
    <t xml:space="preserve"> ○ 모시 패션쇼
 ○ 모시를 테마로 한 다양한 공연, 전시, 체험프로그램 운영</t>
  </si>
  <si>
    <t>모시</t>
  </si>
  <si>
    <t>춘장대해수욕장
여름문화예술축제</t>
  </si>
  <si>
    <t xml:space="preserve"> ○ 가요 경연 대회</t>
  </si>
  <si>
    <t>가요제</t>
  </si>
  <si>
    <t>홍원항 전어∙꽃게 축제</t>
  </si>
  <si>
    <t xml:space="preserve"> ○ 맨손으로 전어 잡기, 보물찾기 등</t>
  </si>
  <si>
    <t>전어∙꽃게</t>
  </si>
  <si>
    <t>해랑들랑 어울제</t>
  </si>
  <si>
    <t xml:space="preserve"> ○ 해양존, 생태존, 문화존 체험프로그램 및 문화공연</t>
  </si>
  <si>
    <t>해양생물∙생태계</t>
  </si>
  <si>
    <t>장항읍 일원</t>
  </si>
  <si>
    <t>서천군산 금강철새여행</t>
  </si>
  <si>
    <t>서천군
조류생태전시관</t>
  </si>
  <si>
    <t>칠갑장승문화축제</t>
  </si>
  <si>
    <t>청양고추 구기자축제</t>
  </si>
  <si>
    <t>1973년도
(46회)</t>
  </si>
  <si>
    <t>의좋은형제축제</t>
  </si>
  <si>
    <t>예산군 문화관광과 
/ 대흥현보존회
(041-339-7312)</t>
  </si>
  <si>
    <t>예산군 문화관광과 
/ 예산문화원
(041-339-7312)</t>
  </si>
  <si>
    <t>2019년 지역축제 개최계획 총괄표</t>
    <phoneticPr fontId="3" type="noConversion"/>
  </si>
  <si>
    <r>
      <t>국비 상세 내역</t>
    </r>
    <r>
      <rPr>
        <b/>
        <sz val="10"/>
        <rFont val="굴림"/>
        <family val="3"/>
        <charset val="129"/>
      </rPr>
      <t>('19.1월 기준 확정된 내용만 작성)</t>
    </r>
    <phoneticPr fontId="3" type="noConversion"/>
  </si>
  <si>
    <t xml:space="preserve">방문객수(2018년기준, 단위 : 천명) </t>
    <phoneticPr fontId="3" type="noConversion"/>
  </si>
  <si>
    <t>연번</t>
    <phoneticPr fontId="3" type="noConversion"/>
  </si>
  <si>
    <t>시도명</t>
    <phoneticPr fontId="3" type="noConversion"/>
  </si>
  <si>
    <t>시군구명</t>
    <phoneticPr fontId="3" type="noConversion"/>
  </si>
  <si>
    <t>축제명</t>
    <phoneticPr fontId="3" type="noConversion"/>
  </si>
  <si>
    <t>2019년
개최기간</t>
    <phoneticPr fontId="3" type="noConversion"/>
  </si>
  <si>
    <t>축제주요내용</t>
    <phoneticPr fontId="3" type="noConversion"/>
  </si>
  <si>
    <t>주최/주관
(담당자 연락처)</t>
    <phoneticPr fontId="3" type="noConversion"/>
  </si>
  <si>
    <t>최초개최년도
및 횟수</t>
    <phoneticPr fontId="3" type="noConversion"/>
  </si>
  <si>
    <t>2019년
축제예산</t>
    <phoneticPr fontId="3" type="noConversion"/>
  </si>
  <si>
    <t>국비</t>
    <phoneticPr fontId="3" type="noConversion"/>
  </si>
  <si>
    <t>시,도비</t>
    <phoneticPr fontId="3" type="noConversion"/>
  </si>
  <si>
    <t>구,군비</t>
    <phoneticPr fontId="3" type="noConversion"/>
  </si>
  <si>
    <t>기타</t>
    <phoneticPr fontId="3" type="noConversion"/>
  </si>
  <si>
    <t>국비지원
부처명</t>
    <phoneticPr fontId="3" type="noConversion"/>
  </si>
  <si>
    <t>세부사업명</t>
    <phoneticPr fontId="3" type="noConversion"/>
  </si>
  <si>
    <r>
      <t xml:space="preserve">축제종류
</t>
    </r>
    <r>
      <rPr>
        <b/>
        <sz val="11"/>
        <color rgb="FFC00000"/>
        <rFont val="굴림"/>
        <family val="3"/>
        <charset val="129"/>
      </rPr>
      <t>(택1)</t>
    </r>
    <phoneticPr fontId="3" type="noConversion"/>
  </si>
  <si>
    <t>문화관광축제 여부</t>
    <phoneticPr fontId="3" type="noConversion"/>
  </si>
  <si>
    <t>축제소재</t>
    <phoneticPr fontId="3" type="noConversion"/>
  </si>
  <si>
    <t>개최주기</t>
    <phoneticPr fontId="3" type="noConversion"/>
  </si>
  <si>
    <t>조직형태</t>
    <phoneticPr fontId="3" type="noConversion"/>
  </si>
  <si>
    <t xml:space="preserve">축제사무국
상설화여부 </t>
    <phoneticPr fontId="3" type="noConversion"/>
  </si>
  <si>
    <t>사업위탁
운영여부</t>
    <phoneticPr fontId="3" type="noConversion"/>
  </si>
  <si>
    <t>합 계</t>
    <phoneticPr fontId="3" type="noConversion"/>
  </si>
  <si>
    <t>내국인</t>
    <phoneticPr fontId="3" type="noConversion"/>
  </si>
  <si>
    <t>외국인</t>
    <phoneticPr fontId="3" type="noConversion"/>
  </si>
  <si>
    <t>개최장소</t>
    <phoneticPr fontId="3" type="noConversion"/>
  </si>
  <si>
    <t>9.25~9.29
(5일간)</t>
    <phoneticPr fontId="3" type="noConversion"/>
  </si>
  <si>
    <t>○ 춤경연
○ 거리댄스퍼레이드, 국제춤대회 등
○ 개폐막공연, 부대,체험행사 등
○ 중소기업제품판매전, 농특산물한마당큰잔치 등</t>
    <phoneticPr fontId="3" type="noConversion"/>
  </si>
  <si>
    <t>2003년도
(16회)
*09년 미개최</t>
    <phoneticPr fontId="3" type="noConversion"/>
  </si>
  <si>
    <t>문화체육
관광부</t>
    <phoneticPr fontId="3" type="noConversion"/>
  </si>
  <si>
    <t>지역대표공연예술제 공모 신청</t>
    <phoneticPr fontId="3" type="noConversion"/>
  </si>
  <si>
    <t>10.11~10.13
(3일간)</t>
    <phoneticPr fontId="3" type="noConversion"/>
  </si>
  <si>
    <t>2004년도
(16회)</t>
    <phoneticPr fontId="3" type="noConversion"/>
  </si>
  <si>
    <t>9월중
(2일간)</t>
    <phoneticPr fontId="3" type="noConversion"/>
  </si>
  <si>
    <t>○ 개막식, 폐막식 및     문화공연                                               ○ 거봉가요제, 축하공연                                                            ○부대행사 및 체험행사</t>
    <phoneticPr fontId="3" type="noConversion"/>
  </si>
  <si>
    <t>1993년도
(19회)</t>
    <phoneticPr fontId="3" type="noConversion"/>
  </si>
  <si>
    <t>10.12~10.13
(2일간)</t>
    <phoneticPr fontId="3" type="noConversion"/>
  </si>
  <si>
    <t>2008년
(11회)</t>
    <phoneticPr fontId="3" type="noConversion"/>
  </si>
  <si>
    <t>4.13~4.14
(2일간)</t>
    <phoneticPr fontId="3" type="noConversion"/>
  </si>
  <si>
    <t xml:space="preserve"> ○아름다운 벚꽃길(14km)이 펼쳐지는 청정지역 홍보
 ○개.폐막공연, 사생대회, 가요제, 아름다운 지역사진 전시회. 솟대마을만들기
 ○지역 농.특산물 판매타 특별행사 및 전시 등등</t>
    <phoneticPr fontId="3" type="noConversion"/>
  </si>
  <si>
    <t>2013년
(7회)</t>
    <phoneticPr fontId="3" type="noConversion"/>
  </si>
  <si>
    <t>천안춤영화제</t>
    <phoneticPr fontId="3" type="noConversion"/>
  </si>
  <si>
    <t>10.10~10.12
(3일간)</t>
    <phoneticPr fontId="3" type="noConversion"/>
  </si>
  <si>
    <t>○ 영상공모전, 야외상영회, 시민참여형 영화제 운영
○상명 및 부대프로그램(G.V.운영)</t>
    <phoneticPr fontId="3" type="noConversion"/>
  </si>
  <si>
    <t>2010
(10회)</t>
    <phoneticPr fontId="3" type="noConversion"/>
  </si>
  <si>
    <t>공주시</t>
    <phoneticPr fontId="3" type="noConversion"/>
  </si>
  <si>
    <t>겨울공주 군밤축제</t>
    <phoneticPr fontId="3" type="noConversion"/>
  </si>
  <si>
    <t>1. 18. ~ 1.20.</t>
    <phoneticPr fontId="3" type="noConversion"/>
  </si>
  <si>
    <t>ㅇ 모닥불 음악회, 군밤체험, 얼음조각체험 등
ㅇ 알밤홍보관, 알밤판매부스, 농특산물부스 운영 등</t>
    <phoneticPr fontId="3" type="noConversion"/>
  </si>
  <si>
    <t>겨울공주군밤축제조직위원회 
(042-520-5754)</t>
    <phoneticPr fontId="3" type="noConversion"/>
  </si>
  <si>
    <t>2018년
(1회)</t>
    <phoneticPr fontId="3" type="noConversion"/>
  </si>
  <si>
    <t>지역특산물</t>
    <phoneticPr fontId="3" type="noConversion"/>
  </si>
  <si>
    <t>겨울, 밤</t>
    <phoneticPr fontId="3" type="noConversion"/>
  </si>
  <si>
    <t>매년</t>
    <phoneticPr fontId="3" type="noConversion"/>
  </si>
  <si>
    <t>축제조직위</t>
    <phoneticPr fontId="3" type="noConversion"/>
  </si>
  <si>
    <t>없음</t>
    <phoneticPr fontId="3" type="noConversion"/>
  </si>
  <si>
    <t>전체위탁</t>
    <phoneticPr fontId="3" type="noConversion"/>
  </si>
  <si>
    <t>고마일원</t>
    <phoneticPr fontId="3" type="noConversion"/>
  </si>
  <si>
    <t xml:space="preserve"> 백제 어울마당</t>
    <phoneticPr fontId="3" type="noConversion"/>
  </si>
  <si>
    <t>4월~10월
(매주 주말)</t>
    <phoneticPr fontId="3" type="noConversion"/>
  </si>
  <si>
    <t>ㅇ 백제기악공연, 인형극등</t>
    <phoneticPr fontId="3" type="noConversion"/>
  </si>
  <si>
    <t>공모</t>
    <phoneticPr fontId="3" type="noConversion"/>
  </si>
  <si>
    <t>2016년
(3회)</t>
    <phoneticPr fontId="3" type="noConversion"/>
  </si>
  <si>
    <t>전통역사</t>
    <phoneticPr fontId="3" type="noConversion"/>
  </si>
  <si>
    <t>세계유산</t>
    <phoneticPr fontId="3" type="noConversion"/>
  </si>
  <si>
    <t>-</t>
    <phoneticPr fontId="3" type="noConversion"/>
  </si>
  <si>
    <t>유적지</t>
    <phoneticPr fontId="3" type="noConversion"/>
  </si>
  <si>
    <t>ㅇ 수문병 근무교대식
ㅇ 백제왕.왕비복 체험,  옥사체험,   활쏘기 체험 등</t>
    <phoneticPr fontId="3" type="noConversion"/>
  </si>
  <si>
    <t>2000년
(19회)</t>
    <phoneticPr fontId="3" type="noConversion"/>
  </si>
  <si>
    <t>수문병근무교대식 재현</t>
    <phoneticPr fontId="3" type="noConversion"/>
  </si>
  <si>
    <t>석장리 세계구석기축제</t>
    <phoneticPr fontId="3" type="noConversion"/>
  </si>
  <si>
    <t>5. 3. ~ 5. 6.</t>
    <phoneticPr fontId="3" type="noConversion"/>
  </si>
  <si>
    <t>ㅇ 구석기문화 체험 
ㅇ 문화행사프로그램 운영</t>
    <phoneticPr fontId="3" type="noConversion"/>
  </si>
  <si>
    <t>구석기축제조직위원회
(041-840-8090)</t>
    <phoneticPr fontId="3" type="noConversion"/>
  </si>
  <si>
    <t>2014년
(4회)</t>
    <phoneticPr fontId="3" type="noConversion"/>
  </si>
  <si>
    <t xml:space="preserve">구석기 </t>
    <phoneticPr fontId="3" type="noConversion"/>
  </si>
  <si>
    <t>부분위탁
(프로그램)</t>
    <phoneticPr fontId="3" type="noConversion"/>
  </si>
  <si>
    <t>박물관</t>
    <phoneticPr fontId="3" type="noConversion"/>
  </si>
  <si>
    <t>계룡산 벚꽃축제</t>
    <phoneticPr fontId="3" type="noConversion"/>
  </si>
  <si>
    <t>4월중</t>
    <phoneticPr fontId="3" type="noConversion"/>
  </si>
  <si>
    <t>ㅇ 야간조명
ㅇ 체험 및 판매부스 운영</t>
    <phoneticPr fontId="3" type="noConversion"/>
  </si>
  <si>
    <t>2004년
(16회)</t>
    <phoneticPr fontId="3" type="noConversion"/>
  </si>
  <si>
    <t>생태자연</t>
    <phoneticPr fontId="3" type="noConversion"/>
  </si>
  <si>
    <t>벚꽃</t>
    <phoneticPr fontId="3" type="noConversion"/>
  </si>
  <si>
    <t>임의단체</t>
    <phoneticPr fontId="3" type="noConversion"/>
  </si>
  <si>
    <t>공원</t>
    <phoneticPr fontId="3" type="noConversion"/>
  </si>
  <si>
    <t>4~5월중</t>
    <phoneticPr fontId="3" type="noConversion"/>
  </si>
  <si>
    <t>계룡산산신제보존회
(041-855-7084)</t>
    <phoneticPr fontId="3" type="noConversion"/>
  </si>
  <si>
    <t>1998년
(22회)</t>
    <phoneticPr fontId="3" type="noConversion"/>
  </si>
  <si>
    <t>산신제</t>
    <phoneticPr fontId="3" type="noConversion"/>
  </si>
  <si>
    <t>사찰</t>
    <phoneticPr fontId="3" type="noConversion"/>
  </si>
  <si>
    <t>5월중</t>
    <phoneticPr fontId="3" type="noConversion"/>
  </si>
  <si>
    <t>ㅇ 명상길 걷기, 체험 등
ㅇ 템플스테이 등</t>
    <phoneticPr fontId="3" type="noConversion"/>
  </si>
  <si>
    <t>마곡사신록축제
추진위원회
(041-856-8608)</t>
    <phoneticPr fontId="3" type="noConversion"/>
  </si>
  <si>
    <t>문화예술</t>
    <phoneticPr fontId="3" type="noConversion"/>
  </si>
  <si>
    <t>신록</t>
    <phoneticPr fontId="3" type="noConversion"/>
  </si>
  <si>
    <t>갑사황매화축제</t>
    <phoneticPr fontId="3" type="noConversion"/>
  </si>
  <si>
    <t>5~6월중</t>
    <phoneticPr fontId="3" type="noConversion"/>
  </si>
  <si>
    <t>ㅇ 프린지공연 및 황매화꽃길조성 등</t>
    <phoneticPr fontId="3" type="noConversion"/>
  </si>
  <si>
    <t>2019년
(1회)</t>
    <phoneticPr fontId="3" type="noConversion"/>
  </si>
  <si>
    <t>황매화꽃</t>
    <phoneticPr fontId="3" type="noConversion"/>
  </si>
  <si>
    <t>충청남도</t>
    <phoneticPr fontId="3" type="noConversion"/>
  </si>
  <si>
    <t>공주항공축제</t>
    <phoneticPr fontId="3" type="noConversion"/>
  </si>
  <si>
    <t>ㅇ 비행기탑승체험, 물로켓 제작등</t>
    <phoneticPr fontId="3" type="noConversion"/>
  </si>
  <si>
    <t>공주경비행기</t>
    <phoneticPr fontId="3" type="noConversion"/>
  </si>
  <si>
    <t>레저</t>
    <phoneticPr fontId="3" type="noConversion"/>
  </si>
  <si>
    <t>제65회 백제문화제</t>
    <phoneticPr fontId="3" type="noConversion"/>
  </si>
  <si>
    <t>9~10월중</t>
    <phoneticPr fontId="3" type="noConversion"/>
  </si>
  <si>
    <t>ㅇ 웅진판타지아, 웅진성퍼레이드
ㅇ 체험마당, 무대공연, 농특산품전시 및 판매 등</t>
    <phoneticPr fontId="3" type="noConversion"/>
  </si>
  <si>
    <t>백제문화선양위원회
(041-840-8090)</t>
    <phoneticPr fontId="3" type="noConversion"/>
  </si>
  <si>
    <t>1955년
(65회)</t>
    <phoneticPr fontId="3" type="noConversion"/>
  </si>
  <si>
    <t>백제역사</t>
    <phoneticPr fontId="3" type="noConversion"/>
  </si>
  <si>
    <t>공공</t>
    <phoneticPr fontId="3" type="noConversion"/>
  </si>
  <si>
    <t>보령시</t>
    <phoneticPr fontId="3" type="noConversion"/>
  </si>
  <si>
    <t>무창포 주꾸미·도다리축제</t>
    <phoneticPr fontId="3" type="noConversion"/>
  </si>
  <si>
    <t>3. 16 ~ 4. 14</t>
    <phoneticPr fontId="3" type="noConversion"/>
  </si>
  <si>
    <t>○ 해상가두리낚시체험, 맨손고기잡기체험, 바지락잡기체험, 품바공연등</t>
    <phoneticPr fontId="3" type="noConversion"/>
  </si>
  <si>
    <t xml:space="preserve">보령시 수산과/무창포축제추진위원회
(936-3510) </t>
    <phoneticPr fontId="3" type="noConversion"/>
  </si>
  <si>
    <t>2008
(12회)</t>
    <phoneticPr fontId="3" type="noConversion"/>
  </si>
  <si>
    <t>지역축제</t>
    <phoneticPr fontId="3" type="noConversion"/>
  </si>
  <si>
    <t>주꾸미·도다리</t>
    <phoneticPr fontId="3" type="noConversion"/>
  </si>
  <si>
    <t>자제추진</t>
    <phoneticPr fontId="3" type="noConversion"/>
  </si>
  <si>
    <t>무창포해수욕장</t>
    <phoneticPr fontId="3" type="noConversion"/>
  </si>
  <si>
    <t>주산봄꽃축제</t>
    <phoneticPr fontId="3" type="noConversion"/>
  </si>
  <si>
    <t>4월 중</t>
    <phoneticPr fontId="3" type="noConversion"/>
  </si>
  <si>
    <t>○ 축하공연 및 주민화합 노래자랑, 체육(민속)경기 등</t>
    <phoneticPr fontId="3" type="noConversion"/>
  </si>
  <si>
    <t>보령시 주산면/주산면체육회
(936-7389)</t>
    <phoneticPr fontId="3" type="noConversion"/>
  </si>
  <si>
    <t>2005년도
(15회)</t>
    <phoneticPr fontId="3" type="noConversion"/>
  </si>
  <si>
    <t>봄꽃</t>
    <phoneticPr fontId="3" type="noConversion"/>
  </si>
  <si>
    <t>공공(읍면동)</t>
    <phoneticPr fontId="3" type="noConversion"/>
  </si>
  <si>
    <t>부분위탁</t>
    <phoneticPr fontId="3" type="noConversion"/>
  </si>
  <si>
    <t>물빛공원</t>
    <phoneticPr fontId="3" type="noConversion"/>
  </si>
  <si>
    <t>대천항 수산물축제</t>
    <phoneticPr fontId="3" type="noConversion"/>
  </si>
  <si>
    <t>미정</t>
    <phoneticPr fontId="3" type="noConversion"/>
  </si>
  <si>
    <t>○ 개막식 및 축하공연, 수산물 모의경매, 즉석노래자랑 및 지역단체공연
○ 수산물 체험행사</t>
    <phoneticPr fontId="3" type="noConversion"/>
  </si>
  <si>
    <t>보령시 수산과/사)한국수산업경영인보령시연합회
(041-933-6535)</t>
    <phoneticPr fontId="3" type="noConversion"/>
  </si>
  <si>
    <t>2011
(7회)</t>
    <phoneticPr fontId="3" type="noConversion"/>
  </si>
  <si>
    <t>수산물</t>
    <phoneticPr fontId="3" type="noConversion"/>
  </si>
  <si>
    <t>사단법인</t>
    <phoneticPr fontId="3" type="noConversion"/>
  </si>
  <si>
    <t>자체추진</t>
    <phoneticPr fontId="3" type="noConversion"/>
  </si>
  <si>
    <t>대천항</t>
    <phoneticPr fontId="3" type="noConversion"/>
  </si>
  <si>
    <t>대천해수욕장 조개구이축제</t>
    <phoneticPr fontId="3" type="noConversion"/>
  </si>
  <si>
    <t>4. 27 ~ 5. 06
(예정)</t>
    <phoneticPr fontId="3" type="noConversion"/>
  </si>
  <si>
    <t>○ 축하공연 및 주민화합 노래자랑, 조개요리 시식 등</t>
    <phoneticPr fontId="3" type="noConversion"/>
  </si>
  <si>
    <t>보령시 관광과/(사)대천관광협회
(041-933-7051)</t>
    <phoneticPr fontId="3" type="noConversion"/>
  </si>
  <si>
    <t>2018년도
(2회)</t>
    <phoneticPr fontId="3" type="noConversion"/>
  </si>
  <si>
    <t>조개</t>
    <phoneticPr fontId="3" type="noConversion"/>
  </si>
  <si>
    <t>대천해수욕장</t>
    <phoneticPr fontId="3" type="noConversion"/>
  </si>
  <si>
    <t>보령머드축제</t>
    <phoneticPr fontId="3" type="noConversion"/>
  </si>
  <si>
    <t>7. 19. ~ 7. 28.</t>
    <phoneticPr fontId="3" type="noConversion"/>
  </si>
  <si>
    <t>○ 머드슬라이드, 머드런 등 머드체험 프로그램
○ k-POP콘서트, 개/폐막식 등 공연 프로그램
○ 해상 불꽃쇼, 블랙이글스 공연 등 연계 프로그램 등</t>
    <phoneticPr fontId="3" type="noConversion"/>
  </si>
  <si>
    <t>보령시 관광과/(재)보령축제관광재단(041-930-3882)</t>
    <phoneticPr fontId="3" type="noConversion"/>
  </si>
  <si>
    <t>1998년도
(22회)</t>
    <phoneticPr fontId="3" type="noConversion"/>
  </si>
  <si>
    <t>문화관광축제
(글로벌육성)</t>
    <phoneticPr fontId="3" type="noConversion"/>
  </si>
  <si>
    <t>머드</t>
    <phoneticPr fontId="3" type="noConversion"/>
  </si>
  <si>
    <t>재단법인</t>
    <phoneticPr fontId="3" type="noConversion"/>
  </si>
  <si>
    <t>있음
정규직 16명</t>
    <phoneticPr fontId="3" type="noConversion"/>
  </si>
  <si>
    <t>무창포해변예술제</t>
    <phoneticPr fontId="3" type="noConversion"/>
  </si>
  <si>
    <t>8. 10(예정)</t>
    <phoneticPr fontId="3" type="noConversion"/>
  </si>
  <si>
    <t>○ 공연예술 등</t>
    <phoneticPr fontId="3" type="noConversion"/>
  </si>
  <si>
    <t>보령시 관광과
/ 무창포 관광협의회(041-936-3561)</t>
    <phoneticPr fontId="3" type="noConversion"/>
  </si>
  <si>
    <t>2000년도
(20회)</t>
    <phoneticPr fontId="3" type="noConversion"/>
  </si>
  <si>
    <t>무창포신비의바닷길축제</t>
    <phoneticPr fontId="3" type="noConversion"/>
  </si>
  <si>
    <t>8. 9. ~ 8. 11.
(예정)</t>
    <phoneticPr fontId="3" type="noConversion"/>
  </si>
  <si>
    <t>○ 횃불어업, 맨손고기잡기 체험, 독살어업 체험
○ 신비의 바닷길 체험</t>
    <phoneticPr fontId="3" type="noConversion"/>
  </si>
  <si>
    <t>보령시 관광과/무창포신비의바닷길축제추진위원회(041-936-3561)</t>
    <phoneticPr fontId="3" type="noConversion"/>
  </si>
  <si>
    <t>1999년도
(21회)</t>
    <phoneticPr fontId="3" type="noConversion"/>
  </si>
  <si>
    <t>신비의바닷길</t>
    <phoneticPr fontId="3" type="noConversion"/>
  </si>
  <si>
    <t>축제추진위</t>
    <phoneticPr fontId="3" type="noConversion"/>
  </si>
  <si>
    <t>보령예술제</t>
    <phoneticPr fontId="3" type="noConversion"/>
  </si>
  <si>
    <t xml:space="preserve">9.12. ~ 9.15.
(예정) </t>
    <phoneticPr fontId="3" type="noConversion"/>
  </si>
  <si>
    <t>○ 국악공연 등 16개 예술행사 및 전시</t>
    <phoneticPr fontId="3" type="noConversion"/>
  </si>
  <si>
    <t>보령시 문화새마을과
/한국예총보령지회(041-930-5869)</t>
    <phoneticPr fontId="3" type="noConversion"/>
  </si>
  <si>
    <t>1996년도
(22회)</t>
    <phoneticPr fontId="3" type="noConversion"/>
  </si>
  <si>
    <t>보령문화의전당</t>
    <phoneticPr fontId="3" type="noConversion"/>
  </si>
  <si>
    <t>무창포 대하·전어축제</t>
    <phoneticPr fontId="3" type="noConversion"/>
  </si>
  <si>
    <t>○ 독살어업체험, 맨손고기잡기체험(유료), 조개잡기 체험
○ 품바공연등</t>
    <phoneticPr fontId="3" type="noConversion"/>
  </si>
  <si>
    <t>보령시 수산과/무창포축제추진위원회
(936-3510)</t>
    <phoneticPr fontId="3" type="noConversion"/>
  </si>
  <si>
    <t>대하·전어</t>
    <phoneticPr fontId="3" type="noConversion"/>
  </si>
  <si>
    <t>보령 김 축제</t>
    <phoneticPr fontId="3" type="noConversion"/>
  </si>
  <si>
    <t>11. 1. ~11. 3.</t>
    <phoneticPr fontId="3" type="noConversion"/>
  </si>
  <si>
    <t>○ 아줌마댄스경연대회, 어린이 가요제,  보령시민노래자랑
○ 김요리경연대회, 전통민속놀이한마당, 이색김밥경연대회</t>
    <phoneticPr fontId="3" type="noConversion"/>
  </si>
  <si>
    <t>보령시 수산과/보령시김생산협의회
(930-3937)</t>
    <phoneticPr fontId="3" type="noConversion"/>
  </si>
  <si>
    <t>2015
(5회)</t>
    <phoneticPr fontId="3" type="noConversion"/>
  </si>
  <si>
    <t>김</t>
    <phoneticPr fontId="3" type="noConversion"/>
  </si>
  <si>
    <t>청라은행마을축제</t>
    <phoneticPr fontId="3" type="noConversion"/>
  </si>
  <si>
    <t>10.25 ~ 10. 30 
기간 내 (예정)</t>
    <phoneticPr fontId="3" type="noConversion"/>
  </si>
  <si>
    <t>○ 은행마을 둘레길 걷기</t>
    <phoneticPr fontId="3" type="noConversion"/>
  </si>
  <si>
    <t>2012년도
(8회)</t>
    <phoneticPr fontId="3" type="noConversion"/>
  </si>
  <si>
    <t>은행</t>
    <phoneticPr fontId="3" type="noConversion"/>
  </si>
  <si>
    <t>부분위탁
(운영, 프로그램)</t>
    <phoneticPr fontId="3" type="noConversion"/>
  </si>
  <si>
    <t>마을</t>
    <phoneticPr fontId="3" type="noConversion"/>
  </si>
  <si>
    <t>제15회 온새미로축제</t>
    <phoneticPr fontId="3" type="noConversion"/>
  </si>
  <si>
    <t>10. 29.~ 11. 2.
(예정)</t>
    <phoneticPr fontId="3" type="noConversion"/>
  </si>
  <si>
    <t>○ 유용미생물(EM) 관련 체험활동
○ 농산물 전시 및 판매
○ 기타 농촌문화 체험활동 및 공연프로그램 운영</t>
    <phoneticPr fontId="3" type="noConversion"/>
  </si>
  <si>
    <t>농특산물</t>
    <phoneticPr fontId="3" type="noConversion"/>
  </si>
  <si>
    <t>천북굴축제</t>
    <phoneticPr fontId="3" type="noConversion"/>
  </si>
  <si>
    <t>○ 갖가지 굴 음식체험
○ 초대가수 공연
○ 관광객 노래자랑</t>
    <phoneticPr fontId="3" type="noConversion"/>
  </si>
  <si>
    <t>2002년도
(18회)</t>
    <phoneticPr fontId="3" type="noConversion"/>
  </si>
  <si>
    <t>굴</t>
    <phoneticPr fontId="3" type="noConversion"/>
  </si>
  <si>
    <t>장은리 굴단지</t>
    <phoneticPr fontId="3" type="noConversion"/>
  </si>
  <si>
    <t>대천겨울바다사랑축제</t>
    <phoneticPr fontId="3" type="noConversion"/>
  </si>
  <si>
    <t>12. 24. ~ 12. 25.
(예정)</t>
    <phoneticPr fontId="3" type="noConversion"/>
  </si>
  <si>
    <t>○ 1박2일 로맨틱 투어
○ 야간 경관조명 등</t>
    <phoneticPr fontId="3" type="noConversion"/>
  </si>
  <si>
    <t>보령시 관광과/(재)보령머드축제조직위원회(041-930-3882)</t>
    <phoneticPr fontId="3" type="noConversion"/>
  </si>
  <si>
    <t>2017년도
(3회)</t>
    <phoneticPr fontId="3" type="noConversion"/>
  </si>
  <si>
    <t>바다</t>
    <phoneticPr fontId="3" type="noConversion"/>
  </si>
  <si>
    <t>있음</t>
    <phoneticPr fontId="3" type="noConversion"/>
  </si>
  <si>
    <t>아산시</t>
    <phoneticPr fontId="3" type="noConversion"/>
  </si>
  <si>
    <t>아산 성웅이순신축제</t>
    <phoneticPr fontId="3" type="noConversion"/>
  </si>
  <si>
    <t>4.24.~4.28
(5일간)</t>
    <phoneticPr fontId="3" type="noConversion"/>
  </si>
  <si>
    <t>○ 거리 퍼레이드
○ 거북선모형공모전, 야시장, 무과재연, 지역단체예술공연
○ 전시체험  및 체험프로그램 운영</t>
    <phoneticPr fontId="3" type="noConversion"/>
  </si>
  <si>
    <t>1962년도          (58회)</t>
    <phoneticPr fontId="3" type="noConversion"/>
  </si>
  <si>
    <t xml:space="preserve">있음
정규직 7명
계약직 5명
총 12명  </t>
    <phoneticPr fontId="3" type="noConversion"/>
  </si>
  <si>
    <t xml:space="preserve">온양온천역 광장
현충사
온양민속박물관 </t>
    <phoneticPr fontId="3" type="noConversion"/>
  </si>
  <si>
    <t>신정호 별빛축제</t>
    <phoneticPr fontId="3" type="noConversion"/>
  </si>
  <si>
    <t>8월중</t>
    <phoneticPr fontId="3" type="noConversion"/>
  </si>
  <si>
    <t>○ 영화상영, 지역예술단체공연, 관측 및 체험프로그램 운영</t>
    <phoneticPr fontId="3" type="noConversion"/>
  </si>
  <si>
    <t>1998년도            (22회)</t>
    <phoneticPr fontId="3" type="noConversion"/>
  </si>
  <si>
    <t>신정호관광지 
야외무대</t>
    <phoneticPr fontId="3" type="noConversion"/>
  </si>
  <si>
    <t>도고 코미디 페스트</t>
    <phoneticPr fontId="3" type="noConversion"/>
  </si>
  <si>
    <t>9월중</t>
    <phoneticPr fontId="3" type="noConversion"/>
  </si>
  <si>
    <t>○ 개막식(인터뷰, 축하공연)                                                          ○ 토크콘서트, 디제잉쇼 등 주무대공연 및 거리공연                        ○ 체험행사 및 홍보전시, 먹거리 등 부스체험</t>
    <phoneticPr fontId="3" type="noConversion"/>
  </si>
  <si>
    <t>2014년도          (6회)</t>
    <phoneticPr fontId="3" type="noConversion"/>
  </si>
  <si>
    <t>도고 코미디홀 일원</t>
    <phoneticPr fontId="3" type="noConversion"/>
  </si>
  <si>
    <t>은행나무길 축제</t>
    <phoneticPr fontId="3" type="noConversion"/>
  </si>
  <si>
    <t>10월중</t>
    <phoneticPr fontId="3" type="noConversion"/>
  </si>
  <si>
    <t>○ 버스킹공연, 무대공연, 프리마켓 운영
○ 물품판매전 및 체험프로그램</t>
    <phoneticPr fontId="3" type="noConversion"/>
  </si>
  <si>
    <t>2015년도             (5회)</t>
    <phoneticPr fontId="3" type="noConversion"/>
  </si>
  <si>
    <t>짚풀문화제</t>
    <phoneticPr fontId="3" type="noConversion"/>
  </si>
  <si>
    <t>10월중
(10.11-10.13)</t>
    <phoneticPr fontId="3" type="noConversion"/>
  </si>
  <si>
    <t>○전통문화체험(공연, 시연, 재연, 전시, 체험 등)</t>
    <phoneticPr fontId="3" type="noConversion"/>
  </si>
  <si>
    <t>아산시 문화유산과
/(쥐외암민속마을보존회                     (041-536-8458)</t>
    <phoneticPr fontId="65" type="noConversion"/>
  </si>
  <si>
    <t>2000년도             (20회)</t>
    <phoneticPr fontId="3" type="noConversion"/>
  </si>
  <si>
    <t>외암민속마을 및
저잣거리</t>
    <phoneticPr fontId="65" type="noConversion"/>
  </si>
  <si>
    <t>사단법인</t>
    <phoneticPr fontId="65" type="noConversion"/>
  </si>
  <si>
    <t xml:space="preserve">있음
총 11명  </t>
    <phoneticPr fontId="3" type="noConversion"/>
  </si>
  <si>
    <t>서산시</t>
    <phoneticPr fontId="3" type="noConversion"/>
  </si>
  <si>
    <t>해미천 벚꽃축제</t>
    <phoneticPr fontId="3" type="noConversion"/>
  </si>
  <si>
    <t>4월중(미정)</t>
    <phoneticPr fontId="3" type="noConversion"/>
  </si>
  <si>
    <t>○ 벚꽃음악회, 농특산물 홍보 및 판매장 운영, 각종 전시 및 체험행사 등</t>
    <phoneticPr fontId="3" type="noConversion"/>
  </si>
  <si>
    <t>서산시해미면행정복지센터
/해미천벚꽃축제추진위원회
(041-660-3844)</t>
    <phoneticPr fontId="3" type="noConversion"/>
  </si>
  <si>
    <t>해미천</t>
    <phoneticPr fontId="3" type="noConversion"/>
  </si>
  <si>
    <t>충청남도</t>
    <phoneticPr fontId="65" type="noConversion"/>
  </si>
  <si>
    <t>서산시</t>
    <phoneticPr fontId="65" type="noConversion"/>
  </si>
  <si>
    <t>지곡 왕산포 서산갯마을축제</t>
    <phoneticPr fontId="65" type="noConversion"/>
  </si>
  <si>
    <t>4월중(미정)</t>
    <phoneticPr fontId="65" type="noConversion"/>
  </si>
  <si>
    <t xml:space="preserve"> ○ 갯벌 바지락캐기 체험 등 체험프로그램
 ○ 수산물을 테마로한 경연행사
 ○ 개폐막 공연, 주제공연 및 문화공연</t>
    <phoneticPr fontId="3" type="noConversion"/>
  </si>
  <si>
    <t>2011년도
(8회)</t>
    <phoneticPr fontId="3" type="noConversion"/>
  </si>
  <si>
    <t>지역특산물</t>
    <phoneticPr fontId="65" type="noConversion"/>
  </si>
  <si>
    <t>지역축제</t>
    <phoneticPr fontId="65" type="noConversion"/>
  </si>
  <si>
    <t>수산물
(바지락외)</t>
    <phoneticPr fontId="65" type="noConversion"/>
  </si>
  <si>
    <t>매년</t>
    <phoneticPr fontId="65" type="noConversion"/>
  </si>
  <si>
    <t>축제조직위</t>
    <phoneticPr fontId="65" type="noConversion"/>
  </si>
  <si>
    <t>없음</t>
    <phoneticPr fontId="65" type="noConversion"/>
  </si>
  <si>
    <t>부분위탁</t>
    <phoneticPr fontId="65" type="noConversion"/>
  </si>
  <si>
    <t>-</t>
    <phoneticPr fontId="65" type="noConversion"/>
  </si>
  <si>
    <t>중왕2리 왕산
포구 일원</t>
    <phoneticPr fontId="65" type="noConversion"/>
  </si>
  <si>
    <t>류방택 별축제</t>
    <phoneticPr fontId="3" type="noConversion"/>
  </si>
  <si>
    <t>5. 11.</t>
    <phoneticPr fontId="65" type="noConversion"/>
  </si>
  <si>
    <t xml:space="preserve"> ○ 야외 관측행사 및 과학공작 체험 등
    - 천문우주미술실기대회, 만들기체험, 놀이체험 등</t>
    <phoneticPr fontId="3" type="noConversion"/>
  </si>
  <si>
    <t>2007년도
(13회)</t>
    <phoneticPr fontId="3" type="noConversion"/>
  </si>
  <si>
    <t>생태자연</t>
    <phoneticPr fontId="65" type="noConversion"/>
  </si>
  <si>
    <t>천문, 천체</t>
    <phoneticPr fontId="65" type="noConversion"/>
  </si>
  <si>
    <t>있음
정규직15명</t>
    <phoneticPr fontId="65" type="noConversion"/>
  </si>
  <si>
    <t>전체위탁</t>
    <phoneticPr fontId="65" type="noConversion"/>
  </si>
  <si>
    <t>류방택과학관 일원</t>
    <phoneticPr fontId="65" type="noConversion"/>
  </si>
  <si>
    <t>팔봉산 감자축제</t>
    <phoneticPr fontId="3" type="noConversion"/>
  </si>
  <si>
    <t>6월중(미정)</t>
    <phoneticPr fontId="3" type="noConversion"/>
  </si>
  <si>
    <t>○ 감자캐기체험, 시식, 판매 등</t>
    <phoneticPr fontId="65" type="noConversion"/>
  </si>
  <si>
    <t>팔봉산감자축제추진위원회</t>
    <phoneticPr fontId="3" type="noConversion"/>
  </si>
  <si>
    <t>2002년
(18회)</t>
    <phoneticPr fontId="3" type="noConversion"/>
  </si>
  <si>
    <t>감자</t>
    <phoneticPr fontId="3" type="noConversion"/>
  </si>
  <si>
    <t>팔봉산 일원</t>
    <phoneticPr fontId="3" type="noConversion"/>
  </si>
  <si>
    <t>서산6쪽마늘축제</t>
    <phoneticPr fontId="3" type="noConversion"/>
  </si>
  <si>
    <t>7월중(미정)</t>
    <phoneticPr fontId="3" type="noConversion"/>
  </si>
  <si>
    <t>○ 6쪽마늘 판매, 공연, 체험 등</t>
    <phoneticPr fontId="65" type="noConversion"/>
  </si>
  <si>
    <t>2005년
(13회)</t>
    <phoneticPr fontId="3" type="noConversion"/>
  </si>
  <si>
    <t>마늘</t>
    <phoneticPr fontId="3" type="noConversion"/>
  </si>
  <si>
    <t>해미읍성 일원</t>
    <phoneticPr fontId="3" type="noConversion"/>
  </si>
  <si>
    <t>삼길포우럭축제</t>
    <phoneticPr fontId="65" type="noConversion"/>
  </si>
  <si>
    <t>8월중(미정)</t>
    <phoneticPr fontId="65" type="noConversion"/>
  </si>
  <si>
    <t>○우럭회 시식행사 등 다양한 체험 및 볼거리 제공
○우럭을 테마로한 공연, 체험 및 전시판매 행사 운영
   -3개 분야 10여개 프로그램</t>
    <phoneticPr fontId="3" type="noConversion"/>
  </si>
  <si>
    <t>2005년도
(14회)</t>
    <phoneticPr fontId="3" type="noConversion"/>
  </si>
  <si>
    <t>우럭</t>
    <phoneticPr fontId="3" type="noConversion"/>
  </si>
  <si>
    <t>삼길포 일원</t>
    <phoneticPr fontId="65" type="noConversion"/>
  </si>
  <si>
    <t>서산뻘낙지먹물축제</t>
    <phoneticPr fontId="65" type="noConversion"/>
  </si>
  <si>
    <t>10월중(미정)</t>
    <phoneticPr fontId="65" type="noConversion"/>
  </si>
  <si>
    <t>2014년도
(5회)</t>
    <phoneticPr fontId="65" type="noConversion"/>
  </si>
  <si>
    <t>지곡면 중리포구</t>
    <phoneticPr fontId="3" type="noConversion"/>
  </si>
  <si>
    <t>서산어리굴젓축제</t>
    <phoneticPr fontId="3" type="noConversion"/>
  </si>
  <si>
    <t>10월중(미정)</t>
    <phoneticPr fontId="3" type="noConversion"/>
  </si>
  <si>
    <t>○ 각종체험(바지락캐기, 어선체험, 굴까기 체험 및 밑반찬용 굴 무치기 등), 부대행사, 전시행사 등</t>
    <phoneticPr fontId="3" type="noConversion"/>
  </si>
  <si>
    <t>2015년도
(4회)</t>
    <phoneticPr fontId="3" type="noConversion"/>
  </si>
  <si>
    <t>부분위탁         (하드웨어)</t>
    <phoneticPr fontId="3" type="noConversion"/>
  </si>
  <si>
    <t>간월도 일원</t>
    <phoneticPr fontId="3" type="noConversion"/>
  </si>
  <si>
    <t>서산해미읍성축제</t>
    <phoneticPr fontId="65" type="noConversion"/>
  </si>
  <si>
    <t>10..11~10.13</t>
    <phoneticPr fontId="65" type="noConversion"/>
  </si>
  <si>
    <t>○ 주제체험, 기획프로그램, 전통문화공연 등
○ 상설프로그램 및 체험프로그램, 연계프로그램 등</t>
    <phoneticPr fontId="65" type="noConversion"/>
  </si>
  <si>
    <t>서산시
/서산해미읍성축제추진위원회
(041-660-2679)</t>
    <phoneticPr fontId="65" type="noConversion"/>
  </si>
  <si>
    <t>2000년도
(18회)</t>
    <phoneticPr fontId="65" type="noConversion"/>
  </si>
  <si>
    <t>문체부</t>
    <phoneticPr fontId="65" type="noConversion"/>
  </si>
  <si>
    <t>문화관광축제 지원</t>
    <phoneticPr fontId="65" type="noConversion"/>
  </si>
  <si>
    <t>문화관광축제(유망)</t>
    <phoneticPr fontId="3" type="noConversion"/>
  </si>
  <si>
    <t>역사체험</t>
    <phoneticPr fontId="3" type="noConversion"/>
  </si>
  <si>
    <t>부분위탁
(하드웨어, 프로그램)</t>
    <phoneticPr fontId="3" type="noConversion"/>
  </si>
  <si>
    <t>2019 철새기행전</t>
    <phoneticPr fontId="65" type="noConversion"/>
  </si>
  <si>
    <t>10월 중(미정)</t>
    <phoneticPr fontId="65" type="noConversion"/>
  </si>
  <si>
    <t>○ 철새탐조, 생태프로그램, 전시회 등</t>
    <phoneticPr fontId="65" type="noConversion"/>
  </si>
  <si>
    <t>서산시/버드랜드
(041-661-8043)</t>
    <phoneticPr fontId="65" type="noConversion"/>
  </si>
  <si>
    <t>2000년
(16회)</t>
    <phoneticPr fontId="65" type="noConversion"/>
  </si>
  <si>
    <t>환경부</t>
    <phoneticPr fontId="65" type="noConversion"/>
  </si>
  <si>
    <t>생태관광지역지정·육성</t>
    <phoneticPr fontId="65" type="noConversion"/>
  </si>
  <si>
    <t>부</t>
    <phoneticPr fontId="65" type="noConversion"/>
  </si>
  <si>
    <t>철새</t>
    <phoneticPr fontId="65" type="noConversion"/>
  </si>
  <si>
    <t>공공(서산시)</t>
    <phoneticPr fontId="65" type="noConversion"/>
  </si>
  <si>
    <t>사무국 없음</t>
    <phoneticPr fontId="65" type="noConversion"/>
  </si>
  <si>
    <t>자체추진</t>
    <phoneticPr fontId="65" type="noConversion"/>
  </si>
  <si>
    <t>서산버드랜드</t>
    <phoneticPr fontId="65" type="noConversion"/>
  </si>
  <si>
    <t>서산국화축제</t>
    <phoneticPr fontId="65" type="noConversion"/>
  </si>
  <si>
    <t>11.1~11.10</t>
    <phoneticPr fontId="65" type="noConversion"/>
  </si>
  <si>
    <t>○ 과수원을 배경으로 실내·외 국화전시,  체험프로그램 
    및 문화예술 공연 등</t>
    <phoneticPr fontId="65" type="noConversion"/>
  </si>
  <si>
    <t>서산시농업기술센터
/서산국화축제추진위원회
(041-660-3935)</t>
    <phoneticPr fontId="65" type="noConversion"/>
  </si>
  <si>
    <t>1996년도
(22회)</t>
    <phoneticPr fontId="65" type="noConversion"/>
  </si>
  <si>
    <t>국화</t>
    <phoneticPr fontId="65" type="noConversion"/>
  </si>
  <si>
    <t>고북면 한농원</t>
    <phoneticPr fontId="65" type="noConversion"/>
  </si>
  <si>
    <t>논산시</t>
    <phoneticPr fontId="3" type="noConversion"/>
  </si>
  <si>
    <t>강경젓갈추제</t>
    <phoneticPr fontId="3" type="noConversion"/>
  </si>
  <si>
    <t>미정
(10월 중 예정)</t>
    <phoneticPr fontId="3" type="noConversion"/>
  </si>
  <si>
    <t>○ 젓갈김치담그기
○ 젓갈을 테마로한 판매, 공연, 전시, 체험프로그램 운영, 개폐막 공연, 주제공연 및 문화공연(60여개 프로그램)</t>
    <phoneticPr fontId="3" type="noConversion"/>
  </si>
  <si>
    <t>논산시/
2018강경젓갈축제추진위원회
(041-746-5663)</t>
    <phoneticPr fontId="3" type="noConversion"/>
  </si>
  <si>
    <t>1997년
(22회)</t>
    <phoneticPr fontId="3" type="noConversion"/>
  </si>
  <si>
    <t>문체부</t>
    <phoneticPr fontId="3" type="noConversion"/>
  </si>
  <si>
    <t>2019년 문화관광축제(논산강경젓갈축제) 지원</t>
    <phoneticPr fontId="3" type="noConversion"/>
  </si>
  <si>
    <t>젓갈</t>
    <phoneticPr fontId="3" type="noConversion"/>
  </si>
  <si>
    <t>강경둔치 일원</t>
    <phoneticPr fontId="3" type="noConversion"/>
  </si>
  <si>
    <t>논산딸기축제</t>
    <phoneticPr fontId="3" type="noConversion"/>
  </si>
  <si>
    <t>3.20~3.24
(5일간)</t>
    <phoneticPr fontId="3" type="noConversion"/>
  </si>
  <si>
    <t>○ 딸기수확체험
○ 딸기를 테마로한 공연, 전시, 체험프로그램 운영
○ 개폐막 공연, 주제공연 및 문화공연(5개 분야 90여개 프로그램)</t>
    <phoneticPr fontId="3" type="noConversion"/>
  </si>
  <si>
    <t>논산시
/2019논산딸기축제추진위원회
(041-746-8386)</t>
    <phoneticPr fontId="3" type="noConversion"/>
  </si>
  <si>
    <t>1997년도
(22회)</t>
    <phoneticPr fontId="3" type="noConversion"/>
  </si>
  <si>
    <t>딸기</t>
    <phoneticPr fontId="3" type="noConversion"/>
  </si>
  <si>
    <t>논산천둔치 및
딸기밭일원</t>
    <phoneticPr fontId="3" type="noConversion"/>
  </si>
  <si>
    <t>연산대추축제</t>
    <phoneticPr fontId="3" type="noConversion"/>
  </si>
  <si>
    <t>○ 대추를 테마로한 판매, 농촌마을체험, 전통놀이체험
○ 개폐막 공연 및 주민자치프로그램 발표회 등 개최</t>
    <phoneticPr fontId="3" type="noConversion"/>
  </si>
  <si>
    <t>논산시/
논산시 양촌면사무소
(041-746-8744)</t>
    <phoneticPr fontId="3" type="noConversion"/>
  </si>
  <si>
    <t>2001년
(17회)</t>
    <phoneticPr fontId="3" type="noConversion"/>
  </si>
  <si>
    <t>대추</t>
    <phoneticPr fontId="3" type="noConversion"/>
  </si>
  <si>
    <t>연산면전통시장
일원</t>
    <phoneticPr fontId="3" type="noConversion"/>
  </si>
  <si>
    <t>양촌곶감축제</t>
    <phoneticPr fontId="3" type="noConversion"/>
  </si>
  <si>
    <t xml:space="preserve">미정(2일간)
(12월둘째주 
주말 예정)
</t>
    <phoneticPr fontId="3" type="noConversion"/>
  </si>
  <si>
    <t>ㅇ공식행사 : 개막식, 초청인사 간담회(다과), 체험행사(5개), 공연행사(6개) 
ㅇ상설행사 : 양촌곶감판매장, 농특산물 홍보․판매장 운영 등</t>
    <phoneticPr fontId="3" type="noConversion"/>
  </si>
  <si>
    <t>논산시 양촌면사무소
동고동락팀
(041-746-8791)</t>
    <phoneticPr fontId="3" type="noConversion"/>
  </si>
  <si>
    <t>2002년
(17회)</t>
    <phoneticPr fontId="3" type="noConversion"/>
  </si>
  <si>
    <t>곶감</t>
    <phoneticPr fontId="3" type="noConversion"/>
  </si>
  <si>
    <t>하천변 공원</t>
    <phoneticPr fontId="3" type="noConversion"/>
  </si>
  <si>
    <t>계룡시</t>
    <phoneticPr fontId="3" type="noConversion"/>
  </si>
  <si>
    <t>2019계룡세계軍문화축제</t>
    <phoneticPr fontId="3" type="noConversion"/>
  </si>
  <si>
    <t>10.2.~10.6.    (5일간)</t>
    <phoneticPr fontId="3" type="noConversion"/>
  </si>
  <si>
    <t>○ 해외군악대 초청공연, 軍문화를 테마로한 공연,전시,체험프로그램 운영 8개 분야 40종    
○ 기타 부대행사 및 체험/이벤트 등</t>
    <phoneticPr fontId="3" type="noConversion"/>
  </si>
  <si>
    <t>계룡시/ (재)계룡軍문화발전재단               (042-840-2633)</t>
    <phoneticPr fontId="3" type="noConversion"/>
  </si>
  <si>
    <t>2007년도      (12회)</t>
    <phoneticPr fontId="3" type="noConversion"/>
  </si>
  <si>
    <t>지역특화문화행사지원</t>
    <phoneticPr fontId="3" type="noConversion"/>
  </si>
  <si>
    <t>軍문화</t>
    <phoneticPr fontId="3" type="noConversion"/>
  </si>
  <si>
    <t>재단 법인</t>
    <phoneticPr fontId="3" type="noConversion"/>
  </si>
  <si>
    <t xml:space="preserve">                                                                                                    겸직 2명             파견직원 3명      
계약직 3명
총 8명  </t>
    <phoneticPr fontId="3" type="noConversion"/>
  </si>
  <si>
    <t xml:space="preserve">계룡대 비상활주로  및  계룡 시내거리  </t>
    <phoneticPr fontId="3" type="noConversion"/>
  </si>
  <si>
    <t>당진시</t>
    <phoneticPr fontId="3" type="noConversion"/>
  </si>
  <si>
    <t>기지시줄다리기
민속축제</t>
    <phoneticPr fontId="3" type="noConversion"/>
  </si>
  <si>
    <t>4.11.~4.14.
(4일간)</t>
    <phoneticPr fontId="3" type="noConversion"/>
  </si>
  <si>
    <r>
      <t xml:space="preserve"> ○ 기지시줄다리기(줄고사, 줄나가기, 줄다리기)
 ○ 전국 스포츠줄다리기대회, 어린이/초등부 줄다리기
 ○</t>
    </r>
    <r>
      <rPr>
        <b/>
        <sz val="11"/>
        <rFont val="HY중고딕"/>
        <family val="1"/>
        <charset val="129"/>
      </rPr>
      <t xml:space="preserve"> </t>
    </r>
    <r>
      <rPr>
        <sz val="11"/>
        <rFont val="HY중고딕"/>
        <family val="1"/>
        <charset val="129"/>
      </rPr>
      <t>유네스코 줄다리기 한마당, 풍물경연대회 등</t>
    </r>
    <phoneticPr fontId="3" type="noConversion"/>
  </si>
  <si>
    <t xml:space="preserve">당진시청 문화관광과
(041-350-3581) /
기지시줄다리기 축제위원회
(041-358-4646) </t>
    <phoneticPr fontId="3" type="noConversion"/>
  </si>
  <si>
    <t>500년 전
(매년 개최
2009년 최초)</t>
    <phoneticPr fontId="3" type="noConversion"/>
  </si>
  <si>
    <t>줄다리기</t>
    <phoneticPr fontId="3" type="noConversion"/>
  </si>
  <si>
    <t>여</t>
    <phoneticPr fontId="3" type="noConversion"/>
  </si>
  <si>
    <t>기지시줄다리기
박물관</t>
    <phoneticPr fontId="3" type="noConversion"/>
  </si>
  <si>
    <t>4.13~4.14(2일간)</t>
  </si>
  <si>
    <t xml:space="preserve"> ○벚꽃을 테마로 하는 무대공연 및 체험 행사</t>
    <phoneticPr fontId="65" type="noConversion"/>
  </si>
  <si>
    <t>장고항실치축제</t>
    <phoneticPr fontId="3" type="noConversion"/>
  </si>
  <si>
    <t>4.27~4.28(2일간)</t>
    <phoneticPr fontId="3" type="noConversion"/>
  </si>
  <si>
    <t xml:space="preserve"> ○뱅어포 만들기 체험, 바지락 잡기 체험
 ○관광객 노래자랑, 농수산물 깜짝 경매</t>
    <phoneticPr fontId="3" type="noConversion"/>
  </si>
  <si>
    <t>2004
(14회)</t>
    <phoneticPr fontId="3" type="noConversion"/>
  </si>
  <si>
    <t>실치</t>
    <phoneticPr fontId="3" type="noConversion"/>
  </si>
  <si>
    <t>장고항일원</t>
    <phoneticPr fontId="3" type="noConversion"/>
  </si>
  <si>
    <t>4월중(2일간)</t>
  </si>
  <si>
    <t>○ 진달래 공원 사생대회
○ 진달래를 테마로 한 전시, 두견주 체험
○ 민속놀이, 시 낭송 등 문화공연, 노래자랑</t>
    <phoneticPr fontId="65" type="noConversion"/>
  </si>
  <si>
    <t>5.25~5.27(3일간)</t>
    <phoneticPr fontId="3" type="noConversion"/>
  </si>
  <si>
    <t xml:space="preserve"> ○바지락캐기
 ○체험요리경연
 ○가요제</t>
    <phoneticPr fontId="65" type="noConversion"/>
  </si>
  <si>
    <t>한진일원</t>
    <phoneticPr fontId="65" type="noConversion"/>
  </si>
  <si>
    <t>버그내연호문화축제</t>
    <phoneticPr fontId="3" type="noConversion"/>
  </si>
  <si>
    <t>미정
(7월 중)</t>
    <phoneticPr fontId="3" type="noConversion"/>
  </si>
  <si>
    <r>
      <rPr>
        <b/>
        <sz val="11"/>
        <rFont val="HY중고딕"/>
        <family val="1"/>
        <charset val="129"/>
      </rPr>
      <t xml:space="preserve"> ○ 축하퍼레이드, 앙천제, 합덕 성체거동</t>
    </r>
    <r>
      <rPr>
        <sz val="11"/>
        <rFont val="HY중고딕"/>
        <family val="1"/>
        <charset val="129"/>
      </rPr>
      <t xml:space="preserve">
 ○ 사생대회, 시민 노래자랑, 연꽃 전시 등등</t>
    </r>
    <phoneticPr fontId="3" type="noConversion"/>
  </si>
  <si>
    <t xml:space="preserve">당진시청 문화관광과
(041-350-3583) /
버그내연호축제집행위원회 </t>
    <phoneticPr fontId="3" type="noConversion"/>
  </si>
  <si>
    <t>2017년
(2회)</t>
    <phoneticPr fontId="3" type="noConversion"/>
  </si>
  <si>
    <t>연꽃</t>
    <phoneticPr fontId="3" type="noConversion"/>
  </si>
  <si>
    <t>축제집행위원회</t>
    <phoneticPr fontId="3" type="noConversion"/>
  </si>
  <si>
    <t>합덕제</t>
    <phoneticPr fontId="3" type="noConversion"/>
  </si>
  <si>
    <t>당진시</t>
    <phoneticPr fontId="65" type="noConversion"/>
  </si>
  <si>
    <t>삽교호조개구이축제</t>
    <phoneticPr fontId="65" type="noConversion"/>
  </si>
  <si>
    <t>9월~10월중</t>
    <phoneticPr fontId="65" type="noConversion"/>
  </si>
  <si>
    <t xml:space="preserve"> ○수산물깜작경매
 ○갯벌체험
 ○관광객 장기자랑 등</t>
    <phoneticPr fontId="65" type="noConversion"/>
  </si>
  <si>
    <t>2018년도
14회</t>
    <phoneticPr fontId="65" type="noConversion"/>
  </si>
  <si>
    <t>해산물</t>
    <phoneticPr fontId="65" type="noConversion"/>
  </si>
  <si>
    <t>상가번영회</t>
    <phoneticPr fontId="65" type="noConversion"/>
  </si>
  <si>
    <t>여</t>
    <phoneticPr fontId="65" type="noConversion"/>
  </si>
  <si>
    <t>삽교호관광지</t>
    <phoneticPr fontId="65" type="noConversion"/>
  </si>
  <si>
    <t>심훈상록문화제</t>
    <phoneticPr fontId="65" type="noConversion"/>
  </si>
  <si>
    <t>10월중 3일간</t>
    <phoneticPr fontId="65" type="noConversion"/>
  </si>
  <si>
    <t>○심훈문학상
 ○기획 전시회 및 강연회
 ○사진전, 축하공연
 ○청소년 프로그램등</t>
    <phoneticPr fontId="65" type="noConversion"/>
  </si>
  <si>
    <t>심훈상록문화제집행위원회(이철수,041-357-4141)</t>
    <phoneticPr fontId="65" type="noConversion"/>
  </si>
  <si>
    <t>1977년(43회)</t>
    <phoneticPr fontId="65" type="noConversion"/>
  </si>
  <si>
    <t>문화예술</t>
    <phoneticPr fontId="65" type="noConversion"/>
  </si>
  <si>
    <t>심훈</t>
    <phoneticPr fontId="65" type="noConversion"/>
  </si>
  <si>
    <t>당진시청일원</t>
    <phoneticPr fontId="65" type="noConversion"/>
  </si>
  <si>
    <t>남이흥장군문화제</t>
    <phoneticPr fontId="3" type="noConversion"/>
  </si>
  <si>
    <t>10.28.
(1일간)</t>
    <phoneticPr fontId="3" type="noConversion"/>
  </si>
  <si>
    <t>○기념식, 전통민속체험부스(국궁체험, 사생대회,호패만들기, 남상락태극기만들기 외 10여개 프로그램</t>
    <phoneticPr fontId="3" type="noConversion"/>
  </si>
  <si>
    <t>남이흥장군문화제 집행위원회
(041-354-2367)</t>
    <phoneticPr fontId="3" type="noConversion"/>
  </si>
  <si>
    <t>1988년도
(30회)</t>
    <phoneticPr fontId="3" type="noConversion"/>
  </si>
  <si>
    <t>남이흥장군문화제
집행위원회</t>
    <phoneticPr fontId="3" type="noConversion"/>
  </si>
  <si>
    <t>유적지 및 
주변공간</t>
    <phoneticPr fontId="3" type="noConversion"/>
  </si>
  <si>
    <t>왜목해돋이축제</t>
    <phoneticPr fontId="65" type="noConversion"/>
  </si>
  <si>
    <t>12.31~1.1</t>
    <phoneticPr fontId="65" type="noConversion"/>
  </si>
  <si>
    <t>○소원지 태우기
 ○일출감상
 ○떡국나눔행사</t>
    <phoneticPr fontId="65" type="noConversion"/>
  </si>
  <si>
    <t>당진시청 문화관광과(041-350-3592)/왜목마을축제위원회(041-363-6680)</t>
    <phoneticPr fontId="65" type="noConversion"/>
  </si>
  <si>
    <t>2000년도(18회)</t>
    <phoneticPr fontId="65" type="noConversion"/>
  </si>
  <si>
    <t>해돋이</t>
    <phoneticPr fontId="65" type="noConversion"/>
  </si>
  <si>
    <t>축제위원회</t>
    <phoneticPr fontId="65" type="noConversion"/>
  </si>
  <si>
    <t>축제위원회 추진</t>
    <phoneticPr fontId="65" type="noConversion"/>
  </si>
  <si>
    <t>왜목마을</t>
    <phoneticPr fontId="65" type="noConversion"/>
  </si>
  <si>
    <t>제38회 금산인삼축제</t>
    <phoneticPr fontId="65" type="noConversion"/>
  </si>
  <si>
    <t>9.27~10.6
(10일간)</t>
    <phoneticPr fontId="65" type="noConversion"/>
  </si>
  <si>
    <t>ㅇ인삼캐기체험, 공연,전시 등 운영
ㅇ건강체험관, 어린이힐링놀이터, 인삼아트거리 등 체험</t>
    <phoneticPr fontId="65" type="noConversion"/>
  </si>
  <si>
    <t>금산군/ 금산축제관광재단(예정)
(041-750-2411)</t>
    <phoneticPr fontId="65" type="noConversion"/>
  </si>
  <si>
    <t>1981년도
(38회)</t>
    <phoneticPr fontId="65" type="noConversion"/>
  </si>
  <si>
    <t>인삼</t>
    <phoneticPr fontId="3" type="noConversion"/>
  </si>
  <si>
    <t>재단법인(예정)</t>
    <phoneticPr fontId="3" type="noConversion"/>
  </si>
  <si>
    <t xml:space="preserve">있음
정규직 2명
계약직 2명
총 4명  </t>
    <phoneticPr fontId="3" type="noConversion"/>
  </si>
  <si>
    <t>시장</t>
    <phoneticPr fontId="3" type="noConversion"/>
  </si>
  <si>
    <t>2019 금강여울축제</t>
    <phoneticPr fontId="65" type="noConversion"/>
  </si>
  <si>
    <t>7월 중</t>
    <phoneticPr fontId="3" type="noConversion"/>
  </si>
  <si>
    <t>ㅇ신나는 물 체험, 테마로 강촌 관광프로그램 운영
ㅇ강변슬라이딩, 금강족욕, 민물고기잡기 등 강변문화체험</t>
    <phoneticPr fontId="3" type="noConversion"/>
  </si>
  <si>
    <t>1993년도
(제27회)</t>
    <phoneticPr fontId="65" type="noConversion"/>
  </si>
  <si>
    <t>강(여울)</t>
    <phoneticPr fontId="3" type="noConversion"/>
  </si>
  <si>
    <t>하천</t>
    <phoneticPr fontId="3" type="noConversion"/>
  </si>
  <si>
    <t>2019 비단고을 산꽃축제</t>
    <phoneticPr fontId="65" type="noConversion"/>
  </si>
  <si>
    <t>ㅇ산꽃 술래길 건강걷기
ㅇ자연 산꽃을 테마로 한 건강프로그램 운영
ㅇ숲속 작은 음악회, 산꽃음악회 등 공연프로그램</t>
    <phoneticPr fontId="3" type="noConversion"/>
  </si>
  <si>
    <t>2000년도
(제20회)</t>
    <phoneticPr fontId="65" type="noConversion"/>
  </si>
  <si>
    <t>산꽃</t>
    <phoneticPr fontId="3" type="noConversion"/>
  </si>
  <si>
    <t>제12회 남일면홍도화축제</t>
    <phoneticPr fontId="65" type="noConversion"/>
  </si>
  <si>
    <t>2008년도
(제12회)</t>
    <phoneticPr fontId="65" type="noConversion"/>
  </si>
  <si>
    <t>홍도화</t>
    <phoneticPr fontId="3" type="noConversion"/>
  </si>
  <si>
    <t>부여군</t>
    <phoneticPr fontId="3" type="noConversion"/>
  </si>
  <si>
    <t>제17회 
부여서동연꽃축제</t>
    <phoneticPr fontId="3" type="noConversion"/>
  </si>
  <si>
    <t>7.5.~7.7.
(7월중 
주말운영)</t>
    <phoneticPr fontId="3" type="noConversion"/>
  </si>
  <si>
    <t>○ 주제공연 : 서동의 노래(서동과 선화공주의 사랑이야기)
 ○ 디자인과 스토리가 담긴 7대 대표컨셉,  연꽃과 서동(무왕)을 테마로한 공연, 전시, 체험프로그램 등</t>
    <phoneticPr fontId="3" type="noConversion"/>
  </si>
  <si>
    <t>부여군/
부여서동연꽃축제추진위원회
(041-830-2211)</t>
    <phoneticPr fontId="3" type="noConversion"/>
  </si>
  <si>
    <t>2003년
(17회)</t>
    <phoneticPr fontId="3" type="noConversion"/>
  </si>
  <si>
    <t>문화관광축제 지원</t>
    <phoneticPr fontId="3" type="noConversion"/>
  </si>
  <si>
    <t>문화관광축제
(유망)</t>
    <phoneticPr fontId="3" type="noConversion"/>
  </si>
  <si>
    <t>연꽃, 무왕(서동)</t>
    <phoneticPr fontId="3" type="noConversion"/>
  </si>
  <si>
    <t>사적지</t>
    <phoneticPr fontId="3" type="noConversion"/>
  </si>
  <si>
    <t xml:space="preserve"> ○ 백제사비정도고유제 등 10여가지의 백제를 테마의  전시, 체험프로그램 운영 
 ○ 개폐막 공연, 전통문화예술공연 등 30여개 프로그램 운영</t>
    <phoneticPr fontId="3" type="noConversion"/>
  </si>
  <si>
    <t>부여군/
부여군백제문화선양위원회
(041-830-2211)</t>
    <phoneticPr fontId="3" type="noConversion"/>
  </si>
  <si>
    <t>사비백제</t>
    <phoneticPr fontId="3" type="noConversion"/>
  </si>
  <si>
    <t>유적지,기타</t>
    <phoneticPr fontId="3" type="noConversion"/>
  </si>
  <si>
    <t>부소산 봄 축제</t>
    <phoneticPr fontId="3" type="noConversion"/>
  </si>
  <si>
    <t>5.4.-5.6.
(3일간)</t>
    <phoneticPr fontId="3" type="noConversion"/>
  </si>
  <si>
    <t xml:space="preserve"> ○ 봄의 왈츠 콘서트-퓨전,클랙식 공연(개막공연)
 ○ 명사와 함께하는 인문한 답사, 달빛과 함께하는 부소산성 야행 투어 등</t>
    <phoneticPr fontId="3" type="noConversion"/>
  </si>
  <si>
    <t>부여군/
부여문화원
(041-830-2211)</t>
    <phoneticPr fontId="3" type="noConversion"/>
  </si>
  <si>
    <t>유네스코 세계유산</t>
    <phoneticPr fontId="3" type="noConversion"/>
  </si>
  <si>
    <t>3월중</t>
    <phoneticPr fontId="3" type="noConversion"/>
  </si>
  <si>
    <t>2003년
(15회)</t>
    <phoneticPr fontId="3" type="noConversion"/>
  </si>
  <si>
    <t>서천군 장항읍 총무팀
(041-950-6307)
/수산업협동조합
(041-956-6880)
꼴갑축제추진위원회
(041-956-7383)</t>
    <phoneticPr fontId="3" type="noConversion"/>
  </si>
  <si>
    <t>2009년도
(11회)</t>
    <phoneticPr fontId="3" type="noConversion"/>
  </si>
  <si>
    <t>6.7~6.10
(4일간)</t>
    <phoneticPr fontId="3" type="noConversion"/>
  </si>
  <si>
    <t>서천군(041-950-4256)/
한산모시문화제추진위원회</t>
    <phoneticPr fontId="3" type="noConversion"/>
  </si>
  <si>
    <t>1989년도
(30회)</t>
    <phoneticPr fontId="3" type="noConversion"/>
  </si>
  <si>
    <t>○</t>
    <phoneticPr fontId="3" type="noConversion"/>
  </si>
  <si>
    <t>7월중</t>
    <phoneticPr fontId="3" type="noConversion"/>
  </si>
  <si>
    <t>2001년도
(19회)</t>
    <phoneticPr fontId="3" type="noConversion"/>
  </si>
  <si>
    <t>서천군, 국립생태원, 국립해양생물자원관
/서천군(041-950-4256)</t>
    <phoneticPr fontId="3" type="noConversion"/>
  </si>
  <si>
    <t>2016년도
(4회)</t>
    <phoneticPr fontId="3" type="noConversion"/>
  </si>
  <si>
    <t>11월중</t>
    <phoneticPr fontId="3" type="noConversion"/>
  </si>
  <si>
    <t xml:space="preserve"> ○ 탐조투어
 ○ 체험∙학습 프로그램 : 스코프 철새관찰, VR체험, 4D체험, 갯벌목걸이 체험, 생태 학습프로그램 운영 등</t>
    <phoneticPr fontId="3" type="noConversion"/>
  </si>
  <si>
    <t>서천철새여행행사추진위원회
(041-956-4002)</t>
    <phoneticPr fontId="3" type="noConversion"/>
  </si>
  <si>
    <t>2011년도
(9회)</t>
    <phoneticPr fontId="3" type="noConversion"/>
  </si>
  <si>
    <t>청양군</t>
    <phoneticPr fontId="3" type="noConversion"/>
  </si>
  <si>
    <t>4.13~14
(2일간)-예정</t>
    <phoneticPr fontId="3" type="noConversion"/>
  </si>
  <si>
    <r>
      <t xml:space="preserve">○ </t>
    </r>
    <r>
      <rPr>
        <b/>
        <sz val="11"/>
        <rFont val="HY중고딕"/>
        <family val="1"/>
        <charset val="129"/>
      </rPr>
      <t>칠갑산 장승대제</t>
    </r>
    <r>
      <rPr>
        <sz val="11"/>
        <rFont val="HY중고딕"/>
        <family val="1"/>
        <charset val="129"/>
      </rPr>
      <t xml:space="preserve"> 시연, 장승영문식, 장승혼례식, 장승걷기 퍼레이드,장승조각가 초청 시연, 장승그리기 대회
○ 전국 가족 솟대깎기대회, 전통놀이대회, 한궁대회</t>
    </r>
    <phoneticPr fontId="3" type="noConversion"/>
  </si>
  <si>
    <t>청양군 문화체육관광과/칠갑산 장승문화축제 추진위원회
(041.940-2192)</t>
    <phoneticPr fontId="3" type="noConversion"/>
  </si>
  <si>
    <t>1999년(21회)</t>
    <phoneticPr fontId="3" type="noConversion"/>
  </si>
  <si>
    <t>장승</t>
    <phoneticPr fontId="3" type="noConversion"/>
  </si>
  <si>
    <t>부</t>
    <phoneticPr fontId="3" type="noConversion"/>
  </si>
  <si>
    <t>9월 중(3일간)</t>
    <phoneticPr fontId="3" type="noConversion"/>
  </si>
  <si>
    <t>○ 고추판매, 웃다리농악 시연 
○ 고추.구기자를 테마로 한 전시, 체험프로그램 운영
    개폐막 공연, 주제공연 및 문화공연</t>
    <phoneticPr fontId="3" type="noConversion"/>
  </si>
  <si>
    <t>청양군 농업정책과/ 청양고추구기자축제추진위원회
(041-940-2302)</t>
    <phoneticPr fontId="3" type="noConversion"/>
  </si>
  <si>
    <t>2000년 (20회)</t>
    <phoneticPr fontId="3" type="noConversion"/>
  </si>
  <si>
    <t>고추, 구기자</t>
    <phoneticPr fontId="3" type="noConversion"/>
  </si>
  <si>
    <t>홍성군</t>
    <phoneticPr fontId="3" type="noConversion"/>
  </si>
  <si>
    <t>홍성역사인물축제</t>
    <phoneticPr fontId="3" type="noConversion"/>
  </si>
  <si>
    <t>9.27~28(예정)
(3일간)</t>
    <phoneticPr fontId="3" type="noConversion"/>
  </si>
  <si>
    <t>○역사현장 타임머신 체험
○홍성이 배출한 역사인물 6인 중심의 프로그램 운영
○주제공연, 캐릭터 체험 등 5개분야 50여개 프로그램</t>
    <phoneticPr fontId="3" type="noConversion"/>
  </si>
  <si>
    <t>홍성군 / 홍성역사인물축제 추진위원회(041-630-1227)</t>
    <phoneticPr fontId="3" type="noConversion"/>
  </si>
  <si>
    <t>2014년도
(6회)</t>
    <phoneticPr fontId="3" type="noConversion"/>
  </si>
  <si>
    <t>문화관광축제
(육성)</t>
    <phoneticPr fontId="3" type="noConversion"/>
  </si>
  <si>
    <t>역사인물</t>
    <phoneticPr fontId="3" type="noConversion"/>
  </si>
  <si>
    <t>광천토굴새우젓광천김대축제</t>
    <phoneticPr fontId="3" type="noConversion"/>
  </si>
  <si>
    <t>10월 중
(3일간)</t>
    <phoneticPr fontId="3" type="noConversion"/>
  </si>
  <si>
    <t>○토굴 새우젓 젓갈김치 담그기
○토굴새우젓, 광천김 관련 체험, 재현, 공연 프로그램 
○토굴체험, 광천김굽기, 젓갈뷔페, 장꾼행렬 등 진행</t>
    <phoneticPr fontId="3" type="noConversion"/>
  </si>
  <si>
    <t>광천토굴새우젓광천김대축제 추진위원회
(041-630-1227)</t>
    <phoneticPr fontId="3" type="noConversion"/>
  </si>
  <si>
    <t>1996년도
(24회)</t>
    <phoneticPr fontId="3" type="noConversion"/>
  </si>
  <si>
    <t>토굴새우젓, 광천김</t>
    <phoneticPr fontId="3" type="noConversion"/>
  </si>
  <si>
    <t>홍성남당항대하축제</t>
    <phoneticPr fontId="3" type="noConversion"/>
  </si>
  <si>
    <t>9월 중
(17일간)</t>
    <phoneticPr fontId="3" type="noConversion"/>
  </si>
  <si>
    <t>○맨손 대하잡이 체험, 공연 프로그램 
○관광객 노래자랑, 축하공연, 대하시식회 등 진행</t>
    <phoneticPr fontId="3" type="noConversion"/>
  </si>
  <si>
    <t>남당항축제추진위원회
(041-630-1227)</t>
    <phoneticPr fontId="3" type="noConversion"/>
  </si>
  <si>
    <t>대하</t>
    <phoneticPr fontId="3" type="noConversion"/>
  </si>
  <si>
    <t>홍성남당항새조개축제</t>
    <phoneticPr fontId="3" type="noConversion"/>
  </si>
  <si>
    <t>2.1.~17.
(17일간)</t>
    <phoneticPr fontId="3" type="noConversion"/>
  </si>
  <si>
    <t>○새조개 까기 체험, 재현, 공연 프로그램 
○관광객 노래자랑, 축하공연, 남당항 연날리기 등 진행</t>
    <phoneticPr fontId="3" type="noConversion"/>
  </si>
  <si>
    <t>2002년도
(제16회)</t>
    <phoneticPr fontId="3" type="noConversion"/>
  </si>
  <si>
    <t>`</t>
    <phoneticPr fontId="3" type="noConversion"/>
  </si>
  <si>
    <t>새조개</t>
    <phoneticPr fontId="3" type="noConversion"/>
  </si>
  <si>
    <t>예산군</t>
    <phoneticPr fontId="3" type="noConversion"/>
  </si>
  <si>
    <t>제46회 윤봉길평화축제</t>
    <phoneticPr fontId="3" type="noConversion"/>
  </si>
  <si>
    <t>4.27~4.29
(3일간)예정</t>
    <phoneticPr fontId="3" type="noConversion"/>
  </si>
  <si>
    <r>
      <t xml:space="preserve">○ </t>
    </r>
    <r>
      <rPr>
        <u/>
        <sz val="11"/>
        <rFont val="HY중고딕"/>
        <family val="1"/>
        <charset val="129"/>
      </rPr>
      <t xml:space="preserve">윤봉길의사 상해의거 및 상해임시정부수립 100주년 
</t>
    </r>
    <r>
      <rPr>
        <sz val="11"/>
        <rFont val="HY중고딕"/>
        <family val="1"/>
        <charset val="129"/>
      </rPr>
      <t xml:space="preserve">    </t>
    </r>
    <r>
      <rPr>
        <u/>
        <sz val="11"/>
        <rFont val="HY중고딕"/>
        <family val="1"/>
        <charset val="129"/>
      </rPr>
      <t>기념행사 등</t>
    </r>
    <phoneticPr fontId="3" type="noConversion"/>
  </si>
  <si>
    <t>예산군 문화관광과
/ 제46회윤봉길평화축제
추진위원회
(041-338-7312)</t>
    <phoneticPr fontId="3" type="noConversion"/>
  </si>
  <si>
    <t>1973년도
(46회)</t>
    <phoneticPr fontId="3" type="noConversion"/>
  </si>
  <si>
    <t>9월말~10월초
(3일간)</t>
    <phoneticPr fontId="3" type="noConversion"/>
  </si>
  <si>
    <r>
      <t xml:space="preserve">○ </t>
    </r>
    <r>
      <rPr>
        <u/>
        <sz val="11"/>
        <rFont val="HY중고딕"/>
        <family val="1"/>
        <charset val="129"/>
      </rPr>
      <t>학생들이 들려주는 의좋은 형제 이야기 연극</t>
    </r>
    <r>
      <rPr>
        <sz val="11"/>
        <rFont val="HY중고딕"/>
        <family val="1"/>
        <charset val="129"/>
      </rPr>
      <t xml:space="preserve">
○ 의좋은형제를 테마로 한 체험, 경연 등 프로그램 운영</t>
    </r>
    <phoneticPr fontId="3" type="noConversion"/>
  </si>
  <si>
    <t>2005년
(15회)</t>
    <phoneticPr fontId="3" type="noConversion"/>
  </si>
  <si>
    <t>제3회 예산장터 삼국축제</t>
    <phoneticPr fontId="3" type="noConversion"/>
  </si>
  <si>
    <t>10.18~10.24
(7일간)예정</t>
    <phoneticPr fontId="3" type="noConversion"/>
  </si>
  <si>
    <r>
      <t xml:space="preserve">○ </t>
    </r>
    <r>
      <rPr>
        <u/>
        <sz val="11"/>
        <rFont val="HY중고딕"/>
        <family val="1"/>
        <charset val="129"/>
      </rPr>
      <t xml:space="preserve">예산 삼국(국화, 국수, 국밥)의 맛과 멋을 만나는 축제 
</t>
    </r>
    <r>
      <rPr>
        <sz val="11"/>
        <rFont val="HY중고딕"/>
        <family val="1"/>
        <charset val="129"/>
      </rPr>
      <t>○ 삼국을 테마로 한 전시, 체험, 공연프로그램 운영</t>
    </r>
    <phoneticPr fontId="3" type="noConversion"/>
  </si>
  <si>
    <t>2017년
(3회)</t>
    <phoneticPr fontId="3" type="noConversion"/>
  </si>
  <si>
    <t>특수목적법인</t>
    <phoneticPr fontId="3" type="noConversion"/>
  </si>
  <si>
    <t>기타(장터)</t>
    <phoneticPr fontId="3" type="noConversion"/>
  </si>
  <si>
    <t>제16회 예산황토 사과축제</t>
    <phoneticPr fontId="3" type="noConversion"/>
  </si>
  <si>
    <t>10월말~11월초
(예정)</t>
    <phoneticPr fontId="3" type="noConversion"/>
  </si>
  <si>
    <r>
      <t>○</t>
    </r>
    <r>
      <rPr>
        <u/>
        <sz val="11"/>
        <rFont val="HY중고딕"/>
        <family val="1"/>
        <charset val="129"/>
      </rPr>
      <t xml:space="preserve"> 제28회 사과 증산왕 선발 및 품평회</t>
    </r>
    <r>
      <rPr>
        <sz val="11"/>
        <rFont val="HY중고딕"/>
        <family val="1"/>
        <charset val="129"/>
      </rPr>
      <t xml:space="preserve">
○ "나도 예산사과 증산왕" 등, 사과와인시음, 사과시식 등</t>
    </r>
    <phoneticPr fontId="3" type="noConversion"/>
  </si>
  <si>
    <t>예산군 농정유통과
/ 공모예정
(041-339-7582)</t>
    <phoneticPr fontId="3" type="noConversion"/>
  </si>
  <si>
    <t>1983년
(16회)</t>
    <phoneticPr fontId="3" type="noConversion"/>
  </si>
  <si>
    <t>격년</t>
    <phoneticPr fontId="3" type="noConversion"/>
  </si>
  <si>
    <t>태안군</t>
    <phoneticPr fontId="3" type="noConversion"/>
  </si>
  <si>
    <t>제14회 태안 문화제</t>
    <phoneticPr fontId="3" type="noConversion"/>
  </si>
  <si>
    <t>10.5~10.6     (2일간)</t>
    <phoneticPr fontId="3" type="noConversion"/>
  </si>
  <si>
    <t xml:space="preserve"> ○ 태안의 전통소금 문화 자염재현 등
 ○ 무형문화재인 설위설경 발표 및 전시회, 볏가릿대놀이, 문화예술인공연, 문화예술체험등</t>
    <phoneticPr fontId="3" type="noConversion"/>
  </si>
  <si>
    <t>태안문화원(041-674-2192)                정지수</t>
    <phoneticPr fontId="3" type="noConversion"/>
  </si>
  <si>
    <t>1991년도      (14회)</t>
    <phoneticPr fontId="3" type="noConversion"/>
  </si>
  <si>
    <t>지역원천콘텐츠</t>
    <phoneticPr fontId="3" type="noConversion"/>
  </si>
  <si>
    <t>문화예술회관인근</t>
    <phoneticPr fontId="3" type="noConversion"/>
  </si>
  <si>
    <t>제10회 몽산포항 주꾸미&amp;수산물 축제</t>
    <phoneticPr fontId="3" type="noConversion"/>
  </si>
  <si>
    <t>○ 주꾸미 및 물고기 잡기
○ 개폐막 축하공연 및 노래자랑, 불꽃놀이 등</t>
    <phoneticPr fontId="3" type="noConversion"/>
  </si>
  <si>
    <t>몽산포항 주꾸미 &amp; 수산물 축제          추진위원회
(041-670-2875)</t>
    <phoneticPr fontId="3" type="noConversion"/>
  </si>
  <si>
    <t>2010년도
(10회)</t>
    <phoneticPr fontId="3" type="noConversion"/>
  </si>
  <si>
    <t>주꾸미 등 수산물</t>
    <phoneticPr fontId="3" type="noConversion"/>
  </si>
  <si>
    <t>제20회 안면도 백사장 대하 축제</t>
    <phoneticPr fontId="3" type="noConversion"/>
  </si>
  <si>
    <t>○ 뜰채, 맨손 대하잡기
○ 개폐막 축하공연 및 노래자랑, 팔씨름대회 등</t>
    <phoneticPr fontId="3" type="noConversion"/>
  </si>
  <si>
    <t>안면도 백사장 대하축제 추진위원회
(041-670-2875)</t>
    <phoneticPr fontId="3" type="noConversion"/>
  </si>
  <si>
    <t>이원면 가재산 벚꽃길</t>
    <phoneticPr fontId="3" type="noConversion"/>
  </si>
  <si>
    <t>4월중(예정)</t>
    <phoneticPr fontId="3" type="noConversion"/>
  </si>
  <si>
    <t>야간 벚꽃길 점등</t>
    <phoneticPr fontId="3" type="noConversion"/>
  </si>
  <si>
    <t>2008년도     (12회)</t>
    <phoneticPr fontId="3" type="noConversion"/>
  </si>
  <si>
    <t>가재산</t>
    <phoneticPr fontId="3" type="noConversion"/>
  </si>
  <si>
    <t>태안 튤립 축제</t>
    <phoneticPr fontId="3" type="noConversion"/>
  </si>
  <si>
    <t>4.13.~5.12.
(30일간)</t>
    <phoneticPr fontId="3" type="noConversion"/>
  </si>
  <si>
    <t>태안 화훼(튤립) 전시·체험행사, 우수농산물 전시·판매</t>
    <phoneticPr fontId="3" type="noConversion"/>
  </si>
  <si>
    <t>태안꽃축제 추진위원회
/ 네이처영농조합법인, 
(041-674-2266)</t>
    <phoneticPr fontId="3" type="noConversion"/>
  </si>
  <si>
    <t>2012년
(6회)</t>
    <phoneticPr fontId="3" type="noConversion"/>
  </si>
  <si>
    <t>튤립</t>
    <phoneticPr fontId="3" type="noConversion"/>
  </si>
  <si>
    <t xml:space="preserve">있음
정규직 22명
계약직 5명
총 27명  </t>
    <phoneticPr fontId="3" type="noConversion"/>
  </si>
  <si>
    <t>태안 수선화 축제</t>
    <phoneticPr fontId="3" type="noConversion"/>
  </si>
  <si>
    <t>4.5.~5.1.
(27일간)</t>
    <phoneticPr fontId="3" type="noConversion"/>
  </si>
  <si>
    <t>태안 화훼(수선화) 전시·체험행사, 우수농산물 전시·판매</t>
    <phoneticPr fontId="3" type="noConversion"/>
  </si>
  <si>
    <t>수선화</t>
    <phoneticPr fontId="3" type="noConversion"/>
  </si>
  <si>
    <t xml:space="preserve">있음
정규직 3명
계약직 2명
총 5명  </t>
    <phoneticPr fontId="3" type="noConversion"/>
  </si>
  <si>
    <t xml:space="preserve">○ 광덕산 등반대회, 호두사랑노래경연대회, 
    개폐막공연 등 - 3개분야 10여개 프로그램
○ 호두 전시 및 농특산물 판매장 운영
 </t>
    <phoneticPr fontId="3" type="noConversion"/>
  </si>
  <si>
    <t>전주시</t>
  </si>
  <si>
    <t>전주국제영화제</t>
  </si>
  <si>
    <t>5.2~5.11
(10일간)</t>
  </si>
  <si>
    <t>○ 핵심프로그램(대표프로그램)
  - 영화상영 : 50여개국, 250편 상영
  - JPM(전주프로젝트켓), JCP(전주시네마프로젝트) 등
○ 개폐막식, 영화상영, 전시프로그램, 이벤트, 음악공연 
  - 20주년 기념행사 및 팔복예술공장 공동주관 특별전시
  - 5개 분야 27여개 프로그램</t>
  </si>
  <si>
    <t>전주시 문화정책과 /
(재)전주국제영화제 조직위원회
(063-280-7914)</t>
  </si>
  <si>
    <t>영진위</t>
  </si>
  <si>
    <t>2019년 국제영화제 육성지원 사업</t>
  </si>
  <si>
    <t xml:space="preserve">있음
정규직 19명
계약직 50여
총 70여명  </t>
  </si>
  <si>
    <t>80
(유료관객수)</t>
  </si>
  <si>
    <t>영화의거리</t>
  </si>
  <si>
    <t>전주한지문화축제</t>
  </si>
  <si>
    <t>○ 전주한지를 테마로한 체험, 이벤트 프로그램 운영
○ 개폐막공연, 문화공연
○ 한지 산업관 운영</t>
  </si>
  <si>
    <t>전주시 관광산업과/전주한지문화축제조직위원회
(063-281-2577)</t>
  </si>
  <si>
    <t>전주한지</t>
  </si>
  <si>
    <t>한국전통문화전당</t>
  </si>
  <si>
    <t>전주대사습놀이
전국대회</t>
  </si>
  <si>
    <t>5.24.~5.27.
(4일간)</t>
  </si>
  <si>
    <t>○ 제45회 전주대사습놀이 전국대회 경연
    - 성인 10개부문, 학생9개부문
○ 경연의 공연화로 시민 축제화
○ 개폐막, 길거리, 특별 공연</t>
  </si>
  <si>
    <t>전주시 문화정책과/대사습놀이전국대회 조직위원회
(063-281-2680)</t>
  </si>
  <si>
    <t>1975년
(45회)</t>
  </si>
  <si>
    <t>2019년 지역대표공연예술제 지원</t>
  </si>
  <si>
    <t>판소리 경연 및 공연</t>
  </si>
  <si>
    <t>있음
정규직 2명</t>
  </si>
  <si>
    <t>한옥마을일원
경기전광장
국립무형유산원</t>
  </si>
  <si>
    <t>전주단오제</t>
  </si>
  <si>
    <t>6.7~6.8
(2일간)</t>
  </si>
  <si>
    <t>○단오풍류체험(단오물맞이 등)
○단오민속행사(씨름대회, 민속겨루기 등), 
   단오풍류공연, 체험프로그램(민속놀이, 공예) 운영
○단오등, 단오소원지달기 등</t>
  </si>
  <si>
    <t>(사)풍남문화법인
(063-277-2515)</t>
  </si>
  <si>
    <t>1959년도
(61회)</t>
  </si>
  <si>
    <t>단오</t>
  </si>
  <si>
    <t>덕진공원 일대</t>
  </si>
  <si>
    <t>전주비빔밥축제</t>
  </si>
  <si>
    <t>10.9~10.12
(4일간)</t>
  </si>
  <si>
    <t>ㅇ 대표프로그램 : 35동 비빔퍼포먼스
ㅇ 전주비빔밥 및 한식을 테마로 한 체험, 전시 프로그램 운영
ㅇ 개막식, 비빔밥을 찾아라, 비빔전설 등 체험, 전시, 공연, 외식 등 6개분야 50여개 프로그램
ㅇ 테이블웨어 특별전시, 국제포럼 등 특별행사</t>
  </si>
  <si>
    <t>전주시 문화관광과
/ 전주비빔밥축제조직위원회
(063-231-8969)</t>
  </si>
  <si>
    <t>전주비빔밥</t>
  </si>
  <si>
    <t>한옥마을</t>
  </si>
  <si>
    <t>군산시</t>
  </si>
  <si>
    <t>2018 군산시간여행축제</t>
  </si>
  <si>
    <t>10.3.~10.5.
(3일간)</t>
  </si>
  <si>
    <t xml:space="preserve"> ○ 시간여행 퍼레이드
 ○ 1930년대 근대문화를 테마로한 공연, 전시, 체험프로그램 운영 등
 ○ 개폐막 공연, 주제공연 및 문화공연
 ○ 기타 특별행사 및 전시 등등</t>
  </si>
  <si>
    <t>군산시 관광진흥과
/군산시간여행축제추진위
(063-454-3302)</t>
  </si>
  <si>
    <t>1930년대         근대문화</t>
  </si>
  <si>
    <t>군산시간여행마을 일원</t>
  </si>
  <si>
    <t>제14회 군산꽁당보리
축제</t>
  </si>
  <si>
    <t>○ 보리를 테마로한 공연, 전시, 체험프로그램 운영
○ 꽁당보리 매니아 선발대회</t>
  </si>
  <si>
    <t>군산시 농촌지원과(군산꽁당보리축제위원회)/
군산꽁당보리축제 실무위원회
(454-5233)</t>
  </si>
  <si>
    <t>보리</t>
  </si>
  <si>
    <t>서군산복합체육센터부지</t>
  </si>
  <si>
    <t>익산시</t>
  </si>
  <si>
    <t>익산서동축제2019</t>
  </si>
  <si>
    <t>5.3.~6.
(4일간)</t>
  </si>
  <si>
    <t>○ 무왕행차 퍼레이드
○ 서동선발대회
○ 개폐막 공연, 주제공연 및 문화공연</t>
  </si>
  <si>
    <t>익산시 문화관광산업과
/ (재)익산문화관광재단
(063-843-8811)</t>
  </si>
  <si>
    <t>2004년도            (15회)</t>
  </si>
  <si>
    <t>서동(무왕)</t>
  </si>
  <si>
    <t>부분위탁(프로그램)</t>
  </si>
  <si>
    <t>익산천만송이국화축제</t>
  </si>
  <si>
    <t>10.25~11.3
(10일간)</t>
  </si>
  <si>
    <t>○ 국화를 이용한 실내, 야외 국화전시 연출 
○ 개폐막 공연, 주제공연 및 문화공연
    - 20여개 프로그램
 ○ 로컬푸드 판매장, 체험프로그램 운영</t>
  </si>
  <si>
    <t>익산시 기술보급과
(063-859-4334)</t>
  </si>
  <si>
    <t xml:space="preserve">있음
정규직 3명
계약직 2명
총 5명  </t>
  </si>
  <si>
    <t>익산보석대축제</t>
  </si>
  <si>
    <t>4.3~4.14 10.23~11.3 (각 12일간)</t>
  </si>
  <si>
    <t>○ 특별할인행사
○ 희귀원석 특별전시/보석리세팅
○ 원광대학교 귀금속보석공예과 졸업작품전</t>
  </si>
  <si>
    <t>(사)주얼팰리스협의회
(063-834-5100)</t>
  </si>
  <si>
    <t>2010년도
(20회)</t>
  </si>
  <si>
    <t>보석</t>
  </si>
  <si>
    <t>매년(연2회)</t>
  </si>
  <si>
    <t>정읍시</t>
  </si>
  <si>
    <t>정읍벚꽃축제</t>
  </si>
  <si>
    <t>4.3~4.7
(5일간)</t>
  </si>
  <si>
    <t>○ 차없는 거리 프로그램 운영
○ 개막식 및 경관조명 프로그램 운영</t>
  </si>
  <si>
    <t>정읍시/정읍시
(063-539-5233)</t>
  </si>
  <si>
    <t>정읍드론페스티벌</t>
  </si>
  <si>
    <t>○ 개막식,드론경진대회, 전시 및 체험</t>
  </si>
  <si>
    <t>정읍시/(재)전라북도문화콘텐츠
산업진흥원
(063-282-2008)</t>
  </si>
  <si>
    <t>드론</t>
  </si>
  <si>
    <t>황토현동학
농민혁명기념제</t>
  </si>
  <si>
    <t>5.11~5.12
(2일)</t>
  </si>
  <si>
    <t>○ 기념식, 동학대상 청소년 축전
○  신만민공동회, 체험프로그램운영 등</t>
  </si>
  <si>
    <t>정읍시/동학농민혁명계승사업회
(063-539-5433)</t>
  </si>
  <si>
    <t>1968년
(52회)</t>
  </si>
  <si>
    <t>내장산 캠핑 축제</t>
  </si>
  <si>
    <t>5.18~5.19
(2일)</t>
  </si>
  <si>
    <t>○ 음악회(개막식),캠핑카 및 용품전시, 체험 등</t>
  </si>
  <si>
    <t>캠핑</t>
  </si>
  <si>
    <t>정읍 구절초 축제</t>
  </si>
  <si>
    <t>10.5~10.20
(16일)</t>
  </si>
  <si>
    <t>○ 구절초 꽃길산책, 야외전시공간 탐방
○ 사랑의 방송국, 꽃밭음악회, 버스킹공연 등
○ 자전거타고 시골풍경유람, 구절초 꽃밭 이벤트 등
○ 구절초 테마상품 판매장, 구절초음식장터 등</t>
  </si>
  <si>
    <t>정읍시/정읍시구절초축제추진위원회
(063-539-6173)</t>
  </si>
  <si>
    <t>2005년
(14회)</t>
  </si>
  <si>
    <t>구절초</t>
  </si>
  <si>
    <t>정읍사문화제</t>
  </si>
  <si>
    <t>9. 27~9. 29</t>
  </si>
  <si>
    <t>○ 채수의례 및 정읍사여인제례
○ 정읍사가요제, 체험프로그램, 각종공연 등</t>
  </si>
  <si>
    <t>정읍시/정읍사문화제제전위원회
(063-539-5203)</t>
  </si>
  <si>
    <t>정읍전국
민속소싸움대회</t>
  </si>
  <si>
    <t>10.24~10.28
(5일)</t>
  </si>
  <si>
    <t xml:space="preserve"> ○ 소싸움대회
 ○ 축산물 전시 및 판매 등</t>
  </si>
  <si>
    <t>정읍시/정읍시
(063-539-6353)</t>
  </si>
  <si>
    <t>1996년
(23회)</t>
  </si>
  <si>
    <t>소</t>
  </si>
  <si>
    <t>남원시</t>
  </si>
  <si>
    <t>제89회 춘향제</t>
  </si>
  <si>
    <t>5.8~5.12        (5일간)</t>
  </si>
  <si>
    <t>○ 춘향국악대전, 춘향선발대회, 춘향길놀이,                          ○ 창극 춘향실록, 국악대향연, 해외초청공연, 방자춤판         등 4개분야 24종목</t>
  </si>
  <si>
    <t>남원시 관광과                              /춘향제전위원회                             (063-620-5774)</t>
  </si>
  <si>
    <t>2019년도            (89회)</t>
  </si>
  <si>
    <t>지역대표 공연예술제 지원사업</t>
  </si>
  <si>
    <t>춘향,,전통국악</t>
  </si>
  <si>
    <t>있음                  정규직 1명</t>
  </si>
  <si>
    <t>사적지(광한루), 하천(요천)일원</t>
  </si>
  <si>
    <t>김제시</t>
  </si>
  <si>
    <t>김제지평선축제</t>
  </si>
  <si>
    <t>9.27 ~ 10.6
(10일간)</t>
  </si>
  <si>
    <t>○ 벽골제전설 쌍룡놀이, 풍년기원 입석줄다리기
○ 농경문화를 테마로한 공연,체험프로그램 운영
     - 5개분야 60여개 프로그램</t>
  </si>
  <si>
    <t>김제시/지평선축제제전위원회
(063-540-3190)</t>
  </si>
  <si>
    <t>문화관광축제
(글로벌 육성축제)</t>
  </si>
  <si>
    <t>농경문화</t>
  </si>
  <si>
    <t>김제모악산축제</t>
  </si>
  <si>
    <t>4.5 ~4.7
(3일간)</t>
  </si>
  <si>
    <t>○ 어머니 가요제등 4개분야 52개 프로그램</t>
  </si>
  <si>
    <t>김제시 문화홍보축제실
(063-540-3035)</t>
  </si>
  <si>
    <t>산</t>
  </si>
  <si>
    <t>도립공원
모악산</t>
  </si>
  <si>
    <t>완주군</t>
  </si>
  <si>
    <t>삼례딸기축제</t>
  </si>
  <si>
    <t>3.29~3.31</t>
  </si>
  <si>
    <t xml:space="preserve"> ○ 딸기품평회 및 체험 문화행사
 ○ 딸기 디저트 및 수확체험, 딸기경매이벤트 
 ○ 농특산물 판매 등</t>
  </si>
  <si>
    <t>1996년
(20회)</t>
  </si>
  <si>
    <t>농협</t>
  </si>
  <si>
    <t>위탁</t>
  </si>
  <si>
    <t>행정복지센터</t>
  </si>
  <si>
    <t>완주프러포즈축제</t>
  </si>
  <si>
    <t>○ 모악산과 경각산의 사랑이야기를 테마로 한 프러포즈 공연, 체험, 전시, 마켓 행사 등</t>
  </si>
  <si>
    <t>완주군 문화관광과
(063-290-2622)</t>
  </si>
  <si>
    <t>프러포즈</t>
  </si>
  <si>
    <t>미술관 광장</t>
  </si>
  <si>
    <t>완주와일드푸드축제</t>
  </si>
  <si>
    <t>9.27~9.29</t>
  </si>
  <si>
    <t>○ 와일드한 음식과 놀이를 주제로 한 다양한 체험, 마켓 행사 추진 등</t>
  </si>
  <si>
    <t>완주군 문화관광과/완주와일드푸드축제 위원회
(063-290-2622)</t>
  </si>
  <si>
    <t>2011년
(9회)</t>
  </si>
  <si>
    <t>와일드푸드</t>
  </si>
  <si>
    <t>휴양림</t>
  </si>
  <si>
    <t>나는 난로다</t>
  </si>
  <si>
    <t>11.3~11.4</t>
  </si>
  <si>
    <t>○ 로컬에너지를 주제로 한 다양한 음식과 체험, 공연, 캠핑놀이 등</t>
  </si>
  <si>
    <t>2013년
(9회)</t>
  </si>
  <si>
    <t>농립부</t>
  </si>
  <si>
    <t>지역혁신역량강화</t>
  </si>
  <si>
    <t>로컬에너지</t>
  </si>
  <si>
    <t>협동조합</t>
  </si>
  <si>
    <t>완주곶감축제</t>
  </si>
  <si>
    <t>12월중</t>
  </si>
  <si>
    <t>○ 곶감 디저트 및 홍보 행사, 품평회 및 전시관 운영 등</t>
  </si>
  <si>
    <t>진안군</t>
  </si>
  <si>
    <t>제15회 진안고원 운장산 고로쇠축제</t>
  </si>
  <si>
    <t>3.16.~3.17.
(2일간)</t>
  </si>
  <si>
    <t xml:space="preserve"> ○출발!고로쇠원정대
 ○고로쇠를 테마로한 공연, 전시, 체험프로그램 운영
 ○청청패션쇼로 개막식 대체
 ○기타 특별행사 및 전시 등등 </t>
  </si>
  <si>
    <t>진안고원운장산고로쇠축제추진위원회/진안군
(063-430-2393)</t>
  </si>
  <si>
    <t>고로쇠</t>
  </si>
  <si>
    <t>2019 진안 원연장 꽃잔디 축제</t>
  </si>
  <si>
    <t>4.13.~5.12
(30일간)</t>
  </si>
  <si>
    <t xml:space="preserve"> ○꽃잔디 화관 만들기
 ○꽃잔디를 테마로한 공연, 전시, 체험프로그램 운영
 ○다양한 버스킹 공연
 ○꽃잔디를 주제로한 다양한 포토존 운영</t>
  </si>
  <si>
    <t>원연장마을축제조직위원회
(063-430-2393)</t>
  </si>
  <si>
    <t>꽃잔디</t>
  </si>
  <si>
    <t>제11회 진안고원 수박축제</t>
  </si>
  <si>
    <t>7.27.~7.28.
(2일간)</t>
  </si>
  <si>
    <t xml:space="preserve"> ○수박 깜짝 경매
 ○수박을 테마로한 공연, 전시, 체험프로그램 운영
 ○주민자치 공연 등 다양한 주제, 문화공연
 ○ 기타 특별행사 및 전시 등등 </t>
  </si>
  <si>
    <t>진안고원수박축제추진위원회/ 진안군 동향면체육회/동향면</t>
  </si>
  <si>
    <t>수박</t>
  </si>
  <si>
    <t>2019진안홍삼축제</t>
  </si>
  <si>
    <t>10.9~13
(5일간)</t>
  </si>
  <si>
    <t xml:space="preserve"> ○ 현대식 증삼 체험관
 ○ 홍삼을 테마로한 공연, 전시, 체험 등 프로그램 운영
 ○ 진안군만의 문화공연(몽금척 퍼레이드, 중평굿 등)
 ○ 기타 특별행사 및 전시 등(어린이 공연, 사진전시관 등)</t>
  </si>
  <si>
    <t>진안홍삼축제추진위원회/진안군
(063-430-2393)</t>
  </si>
  <si>
    <t>홍삼</t>
  </si>
  <si>
    <t>무주군</t>
  </si>
  <si>
    <t>제23회 무주반딧불축제</t>
  </si>
  <si>
    <t>8.31∼9.8
(9일간)</t>
  </si>
  <si>
    <t>○ 반딧불이 신비탐사
○ 반딧불이를 테마로한 공연, 전시, 체험프로그램 운영
○ 개폐막 공연, 주제공연 및 문화공연
    - 6개 분야 80여개 프로그램
○ 기타 농산물 전시 판매 등</t>
  </si>
  <si>
    <t>무주군 문화관광과/(사)무주반딧불축제제전위원회
(063-320-2537)</t>
  </si>
  <si>
    <t>문화관광축제
(대표축제)</t>
  </si>
  <si>
    <t>반딧불이</t>
  </si>
  <si>
    <t>공원, 하천, 운동장, 마을</t>
  </si>
  <si>
    <t>제7회 산골영화제</t>
  </si>
  <si>
    <t>6.5∼6.9
(5일간)</t>
  </si>
  <si>
    <t>○ 산골콘서트, 영화상영등
○ 개막식 공연, 폐막식 시상
○ 영화상영 8개관 (실내 5개관, 야외 3개관)
  - 27개국 77편
○ 사진전, 먹거리 장터, 별밤 소풍등 체험프로그램운영</t>
  </si>
  <si>
    <t>무주산골영화제조직위원회/무주산골영화제 집행위원회, (재)무주사골문화재단
(063-320-2547)</t>
  </si>
  <si>
    <t>있음
정규직 7명</t>
  </si>
  <si>
    <t>영화관, 운동장, 휴양림, 전통문화체험관</t>
  </si>
  <si>
    <t>장수군</t>
  </si>
  <si>
    <t>장수한우랑사과랑축제</t>
  </si>
  <si>
    <t>2019.9.6~9.8
(3일간)</t>
  </si>
  <si>
    <t xml:space="preserve"> ○ 대표프로그램 한우마당(대한민국 최대규모의 한우판매장)
 ○ 장수 대표 RED농산물 중 하나인 토마토를 이용한 토마토
     속 황금반지를 찾아라, 사과를 이용한 사과낚시체험, 사과
     볼링 체험, 한우곤포나르기 대회 등 
 ○ 개폐막 공연, 주제공연, 문화공연 운영
     - 7개분야 70여개 프로그램</t>
  </si>
  <si>
    <t>전라북도 장수군 문화체육관광과
/ 사단법인 장수한우랑사과랑축제추진위원회
(063-350-2357)</t>
  </si>
  <si>
    <t>한우,사과,오미자가 널리 알려져 있는 장수군은 문화인물과 농특산물이 모두 붉은색을 띠는 지역으로, 축제 테마를 붉은색 컬러로 하여 이미지화 한 대한민국 최초의 Red Color Festival임</t>
  </si>
  <si>
    <t>장수군 의암공원 및 누리파크 
일원</t>
  </si>
  <si>
    <t>임실군</t>
  </si>
  <si>
    <t>옥정호 꽃걸음 빛바람 축제</t>
  </si>
  <si>
    <t>○꽃빛가요제 및 각종 장터                                              
○자전거 힐링 경주대회
○각종 경연대회, 품바공연</t>
  </si>
  <si>
    <t>운암면 지역발전협의회</t>
  </si>
  <si>
    <t>2016년도          (3회)</t>
  </si>
  <si>
    <t>옥정호</t>
  </si>
  <si>
    <t>의견문화제</t>
  </si>
  <si>
    <t>5.4~5.6</t>
  </si>
  <si>
    <t>○ 애견 및 반려견 주요행사
○ 반려견 대회 및 체험
○ 전시행사, 체험행사</t>
  </si>
  <si>
    <t>의견문화제전위원회</t>
  </si>
  <si>
    <t>1982년도
(34회)</t>
  </si>
  <si>
    <t>의견</t>
  </si>
  <si>
    <t>섬진강다슬기축제</t>
  </si>
  <si>
    <t>7.27~7.28
(예정)</t>
  </si>
  <si>
    <t>○ 다슬기 잡기 및 까기 대회
○ 맨손물고기 잡기
○ 농특산물판매 전시 및 체험행사</t>
  </si>
  <si>
    <t>섬진강다슬기축제위원회</t>
  </si>
  <si>
    <t>다슬기</t>
  </si>
  <si>
    <t>필봉마을굿축제</t>
  </si>
  <si>
    <t>8.15~8.18
(예정)</t>
  </si>
  <si>
    <t>○ 국가무형문화재 제11호 초청공연, 국제교류공연
○ 경연행사(3개분야 경연)
○ 체험행사, 학술행사, 전시행사</t>
  </si>
  <si>
    <t>필봉농악보존회</t>
  </si>
  <si>
    <t>있음
정규직 20명</t>
  </si>
  <si>
    <t>사선문화제</t>
  </si>
  <si>
    <t>9.20~9.22
(예정)</t>
  </si>
  <si>
    <t>○ 사선녀 선발 전국대회
○ 호남좌도 농악 전국 경연대회
○ 농특산물 판매전시장및 체험행사 등</t>
  </si>
  <si>
    <t>사선문화제전위원회</t>
  </si>
  <si>
    <t>1962년도
(57회)</t>
  </si>
  <si>
    <t>사선녀</t>
  </si>
  <si>
    <t>임실N치즈축제</t>
  </si>
  <si>
    <t>○ 국가대표 왕치즈피자 만들기, 퍼레이드, 치즈페어 등
○ 치즈를 테마로 한 체험, 전시, 경연행사 등
○ 개,폐막 공연, 주제공연, 문화공연</t>
  </si>
  <si>
    <t>임실N치즈축제제전위원회</t>
  </si>
  <si>
    <t>문화관광축제(우수) 지원</t>
  </si>
  <si>
    <t>치즈, 한우</t>
  </si>
  <si>
    <t>순창군</t>
  </si>
  <si>
    <t>제13회 순창장류축제</t>
  </si>
  <si>
    <t>○ 2019인분 고추장 떡볶이 파티, 임금님 진상행렬 
○ "장류"와 "소스"를 테마로 한 공연, 전시, 체험프로그램
○ 여는마당, 닫는마당, 문화공연
   - 7개분야 60여 프로그램</t>
  </si>
  <si>
    <t>순창군 문화관광과
/순창장류축제추진위원회
(063-650-1624)</t>
  </si>
  <si>
    <t>2006
(14회)</t>
  </si>
  <si>
    <t>장류</t>
  </si>
  <si>
    <t>순창전통고추장민속마을</t>
  </si>
  <si>
    <t>제19회 옥천골벚꽃축제</t>
  </si>
  <si>
    <t>○ 벚꽃길 걷기, 사생대회, 노래자랑 등</t>
  </si>
  <si>
    <t>순창군 문화관광과
/옥천골벚꽃축제제전위원회(063-650-1625)</t>
  </si>
  <si>
    <t>1998년
(19회)</t>
  </si>
  <si>
    <t>천변</t>
  </si>
  <si>
    <t>고창군</t>
  </si>
  <si>
    <t>고창 청보리밭축제</t>
  </si>
  <si>
    <t>4.20~5.12
(23일간)</t>
  </si>
  <si>
    <t>○ 청보리밭 테마길 걷기, 농경유물전시, 개막식, 
    보릿골 체험마당, 문화공연 등</t>
  </si>
  <si>
    <t>고창군 농생명지원과
 / 고창청보리밭축제위원회
(063-560-2521)</t>
  </si>
  <si>
    <t>공음면 학원농장(농업지역)</t>
  </si>
  <si>
    <t>고창복분자와수박축제</t>
  </si>
  <si>
    <t>6.21~6.23
(3일간)</t>
  </si>
  <si>
    <t>○ 복분자,수박등 농특산품 판매, 군민화합한마당, 
     명품수박선발대회, 장어낚시, 복분자 수박을 테마로한
     체험, 시음 시식행사 등</t>
  </si>
  <si>
    <t>고창군 농생명지원과
/ 고창복분자와수박축제위원회
(063-560-2531)</t>
  </si>
  <si>
    <t>복분자,수박</t>
  </si>
  <si>
    <t>부분위탁
(운영,체험)</t>
  </si>
  <si>
    <t>선운산 도립공원일원(공원)</t>
  </si>
  <si>
    <t>고창갯벌축제</t>
  </si>
  <si>
    <t>6. 6 ~ 6. 9
(4일간)</t>
  </si>
  <si>
    <t>○ 풍어제,  갯벌생태문화행사, 갯벌체험, 어망체험, 
    풍천장어잡기 체험, 숭어잡기체험, 특산품 판매, 
    바지락요리전문점 운영 등</t>
  </si>
  <si>
    <t>고창군 해양수산과 
/ 고창갯벌축제위원회
(063)561-2132</t>
  </si>
  <si>
    <t>1996년
(25회)</t>
  </si>
  <si>
    <t>갯벌체험, 
바지락체험</t>
  </si>
  <si>
    <t>부분위탁
(운영)</t>
  </si>
  <si>
    <t>만돌하전갯벌
체험마을
(바다)</t>
  </si>
  <si>
    <t>고창해풍고추축제</t>
  </si>
  <si>
    <t>○ 고추관련 체험행사, 고추품평회 및 전시, 판매, 
    고추가요제, 문화공연 등</t>
  </si>
  <si>
    <t>고추</t>
  </si>
  <si>
    <t>축제취소</t>
  </si>
  <si>
    <t>해리면일원
(광장)</t>
  </si>
  <si>
    <t>고창 모양성제</t>
  </si>
  <si>
    <t>10.3~10.7
(5일간)</t>
  </si>
  <si>
    <t>○ 답성놀이체험, 강강술래, 거리퍼레이드, 조선시대 
    병영문화체험, 고을기올림행사, 농특산품판매, 먹거리
    장터, 다양한 전통놀이 체험, 공연 등</t>
  </si>
  <si>
    <t>고창군 문화유산관광과 
/ (사)고창모양성보존회
(063-560-2949)</t>
  </si>
  <si>
    <t>1972년
(46회)</t>
  </si>
  <si>
    <t>문화관광축제
(유망축제)</t>
  </si>
  <si>
    <t>답성놀이, 강강술래 등</t>
  </si>
  <si>
    <t>모양성일원
(사적지, 하천)</t>
  </si>
  <si>
    <t>고창국화축제</t>
  </si>
  <si>
    <t>10월~11월
(17일간)</t>
  </si>
  <si>
    <t>○ 국화화분전시, 선사문화 및 국화주제체험, 식용국화
     체험, 유적지탐방, 문화공연, 농특산품 판매 등</t>
  </si>
  <si>
    <t>고창군 농업기술센터 
/ (사)고창국화축제제전위원회
(063-560-8863)</t>
  </si>
  <si>
    <t>국화,선사문화</t>
  </si>
  <si>
    <t>고창읍 고인돌공원일원
(공원)</t>
  </si>
  <si>
    <t>부안군</t>
  </si>
  <si>
    <t>부안마실축제</t>
  </si>
  <si>
    <t>○ 마실(마을, 소풍)을 테마로한 공연, 전시, 체험프로그램 운영
○ 개폐막공연, 주제공연 및 문화공연
    - 3개분야 10여개 프로그램
○ 마실퍼레이드춤 경연대회</t>
  </si>
  <si>
    <t>부안마실축제제전위원회
(063-583-3932)</t>
  </si>
  <si>
    <t>마실(소풍), 여유</t>
  </si>
  <si>
    <t>부안군일원
(주행사장 : 매창공원)</t>
  </si>
  <si>
    <t>부안 개암동 벚꽃축제</t>
  </si>
  <si>
    <t>4.6~4.7(2일간)</t>
  </si>
  <si>
    <t>○ 가족과 함께 벚꽃 길 걷기, 공연, 체험, 먹거리, 노래자랑 등</t>
  </si>
  <si>
    <t>상서개암동 벚꽃축제 추진위원회</t>
  </si>
  <si>
    <t>상서면</t>
  </si>
  <si>
    <t>곰소젓갈발효축제</t>
  </si>
  <si>
    <t>○ 곰소젓갈수산물 판매, 전통문화체험 행사 등</t>
  </si>
  <si>
    <t>곰소젓갈발효축제추진위원회</t>
  </si>
  <si>
    <t>곰소젓갈</t>
  </si>
  <si>
    <t>곰소다용도부지</t>
  </si>
  <si>
    <t>설숭어축제</t>
  </si>
  <si>
    <t>12월중(3일간)</t>
  </si>
  <si>
    <t>○ 숭어맨손잡기, 숭어낚시체험 등
○  체험행사, 경연, 먹거리장터 등</t>
  </si>
  <si>
    <t>부안상설시장 상인회</t>
  </si>
  <si>
    <t>2007년도
(10회)</t>
  </si>
  <si>
    <t>설숭어</t>
  </si>
  <si>
    <t>부안상설시장주차장</t>
  </si>
  <si>
    <t>2019년 지역축제 개최계획 총괄표</t>
    <phoneticPr fontId="3" type="noConversion"/>
  </si>
  <si>
    <r>
      <t>국비 상세 내역</t>
    </r>
    <r>
      <rPr>
        <b/>
        <sz val="10"/>
        <rFont val="굴림"/>
        <family val="3"/>
        <charset val="129"/>
      </rPr>
      <t>('19.1월 기준 확정된 내용만 작성)</t>
    </r>
    <phoneticPr fontId="3" type="noConversion"/>
  </si>
  <si>
    <t xml:space="preserve">방문객수(2018년기준, 단위 : 천명) </t>
    <phoneticPr fontId="3" type="noConversion"/>
  </si>
  <si>
    <t>연번</t>
    <phoneticPr fontId="3" type="noConversion"/>
  </si>
  <si>
    <t>시도명</t>
    <phoneticPr fontId="3" type="noConversion"/>
  </si>
  <si>
    <t>시군구명</t>
    <phoneticPr fontId="3" type="noConversion"/>
  </si>
  <si>
    <t>축제명</t>
    <phoneticPr fontId="3" type="noConversion"/>
  </si>
  <si>
    <t>2019년
개최기간</t>
    <phoneticPr fontId="3" type="noConversion"/>
  </si>
  <si>
    <t>축제주요내용</t>
    <phoneticPr fontId="3" type="noConversion"/>
  </si>
  <si>
    <t>주최/주관
(담당자 연락처)</t>
    <phoneticPr fontId="3" type="noConversion"/>
  </si>
  <si>
    <t>최초개최년도
및 횟수</t>
    <phoneticPr fontId="3" type="noConversion"/>
  </si>
  <si>
    <t>2019년
축제예산</t>
    <phoneticPr fontId="3" type="noConversion"/>
  </si>
  <si>
    <t>국비</t>
    <phoneticPr fontId="3" type="noConversion"/>
  </si>
  <si>
    <t>시,도비</t>
    <phoneticPr fontId="3" type="noConversion"/>
  </si>
  <si>
    <t>구,군비</t>
    <phoneticPr fontId="3" type="noConversion"/>
  </si>
  <si>
    <t>기타</t>
    <phoneticPr fontId="3" type="noConversion"/>
  </si>
  <si>
    <t>국비지원
부처명</t>
    <phoneticPr fontId="3" type="noConversion"/>
  </si>
  <si>
    <t>세부사업명</t>
    <phoneticPr fontId="3" type="noConversion"/>
  </si>
  <si>
    <r>
      <t xml:space="preserve">축제종류
</t>
    </r>
    <r>
      <rPr>
        <b/>
        <sz val="11"/>
        <color rgb="FFC00000"/>
        <rFont val="굴림"/>
        <family val="3"/>
        <charset val="129"/>
      </rPr>
      <t>(택1)</t>
    </r>
    <phoneticPr fontId="3" type="noConversion"/>
  </si>
  <si>
    <t>문화관광축제 여부</t>
    <phoneticPr fontId="3" type="noConversion"/>
  </si>
  <si>
    <t>축제소재</t>
    <phoneticPr fontId="3" type="noConversion"/>
  </si>
  <si>
    <t>개최주기</t>
    <phoneticPr fontId="3" type="noConversion"/>
  </si>
  <si>
    <t>조직형태</t>
    <phoneticPr fontId="3" type="noConversion"/>
  </si>
  <si>
    <t xml:space="preserve">축제사무국
상설화여부 </t>
    <phoneticPr fontId="3" type="noConversion"/>
  </si>
  <si>
    <t>사업위탁
운영여부</t>
    <phoneticPr fontId="3" type="noConversion"/>
  </si>
  <si>
    <t>합 계</t>
    <phoneticPr fontId="3" type="noConversion"/>
  </si>
  <si>
    <t>내국인</t>
    <phoneticPr fontId="3" type="noConversion"/>
  </si>
  <si>
    <t>외국인</t>
    <phoneticPr fontId="3" type="noConversion"/>
  </si>
  <si>
    <t>전라남도</t>
    <phoneticPr fontId="3" type="noConversion"/>
  </si>
  <si>
    <t>도자체
(관광과)</t>
    <phoneticPr fontId="3" type="noConversion"/>
  </si>
  <si>
    <t>명량대첩축제</t>
  </si>
  <si>
    <t>9.27~29
/3일간</t>
  </si>
  <si>
    <t>○ 명량해전재현, 출정식, 평화의 만가행진 등
○ 지역대표 민속공연, 교류공연, 제례행사 및 위령제
○ 호국기원 민,군,경,관이 함께하는 퍼포먼스 공연
○ 국제학술 심포지엄 
○ 다양한 역사 체험형(활쏘기 등) 프로그램
○ 야간레이져쇼, 축하공연, 청년야시장 운영</t>
  </si>
  <si>
    <t>전라남도, 해남군, 진도군
/ (재)명량대첩기념사업회
061-286-5262</t>
  </si>
  <si>
    <t xml:space="preserve">명량대첩 </t>
  </si>
  <si>
    <t>있음 
정규직 1명</t>
  </si>
  <si>
    <t>일부위탁
일부자체추진</t>
  </si>
  <si>
    <t>울돌목 일원</t>
  </si>
  <si>
    <t>도자체
(식품
유통과)</t>
    <phoneticPr fontId="3" type="noConversion"/>
  </si>
  <si>
    <t>제25회 남도음식문화큰잔치</t>
  </si>
  <si>
    <t>10.11.~13.
/3일간</t>
  </si>
  <si>
    <t>○ 공식행사(상달행렬, 천인오찬, 달빛야시장, 폐막식)
○ 전시판매(시군 농특산물, 주제관 운영)
○ 경연대회(청년부, 일반부 등 음식경연)
○ 문화공연 등</t>
  </si>
  <si>
    <t>전라남도, 강진군 /
 (재)남도음식문화큰잔치
061-286-5771</t>
  </si>
  <si>
    <t>1994년도
(26회)</t>
  </si>
  <si>
    <t>남도음식</t>
    <phoneticPr fontId="3" type="noConversion"/>
  </si>
  <si>
    <t>강진만생태
공원일원</t>
  </si>
  <si>
    <t>목포시</t>
  </si>
  <si>
    <t>목포항구축제</t>
  </si>
  <si>
    <t>10.3~6.
/4일간</t>
  </si>
  <si>
    <t>○ 신명나는 파시 한판!
○ 풍어파시길놀이, 목포행 완행열차등
○ 항구를 테마로란 체험, 공연, 경연 프로그램등
    6개분야 50여개 프로그램 운영
○ 근대역사거리 탐방, 춤추는 바다분수, 시티투어 등</t>
  </si>
  <si>
    <t>목포시/목포축제추진위원회
(061-270 -8441)</t>
  </si>
  <si>
    <t xml:space="preserve"> </t>
    <phoneticPr fontId="3" type="noConversion"/>
  </si>
  <si>
    <t>항구에서 펼쳐지는 파시장터</t>
    <phoneticPr fontId="3" type="noConversion"/>
  </si>
  <si>
    <t>목포항, 삼학도</t>
  </si>
  <si>
    <t>이순신 수군문화축제
(목포유달산봄축제)</t>
  </si>
  <si>
    <t>4월중
/2일간</t>
  </si>
  <si>
    <t>○ 수군퍼레이드, 강강술래 공연
○ 수군교대식 및 무예시범
○ 판옥선 모형만들기, 호렁지기 체험 등</t>
  </si>
  <si>
    <t>목포시/목포시축제추진위원회
(061-270-8442)</t>
  </si>
  <si>
    <t>2018
(2회)</t>
  </si>
  <si>
    <t>유달산 노적봉일원</t>
  </si>
  <si>
    <t>여수시</t>
  </si>
  <si>
    <t>여수거북선축제</t>
  </si>
  <si>
    <t>5.3~5
/3일간</t>
  </si>
  <si>
    <t>○ 통제영길놀이, 개막행사, 각종 체험·공연행사</t>
  </si>
  <si>
    <t>여수시/여수진남거북선축제보존회(061-659-4742)</t>
  </si>
  <si>
    <t>거북선</t>
  </si>
  <si>
    <t>이순신광장</t>
  </si>
  <si>
    <t>향일암일출제</t>
  </si>
  <si>
    <t>12.31~1.1
/2일간</t>
  </si>
  <si>
    <t>○ 해넘이 감상, 제야의 종 타종, 새해맞이 불꽃쇼, 
    대동한마당 등</t>
  </si>
  <si>
    <t>여수시/여수향일암일출제추진위원회(061-659-4743)</t>
  </si>
  <si>
    <t>일출</t>
  </si>
  <si>
    <t>향일암</t>
  </si>
  <si>
    <t>거문도백도 은빛바다축제</t>
  </si>
  <si>
    <t>8월중
/2일간</t>
  </si>
  <si>
    <t>○ 길놀이, 은빛가요제, 지인망 끌기체험, 
    맨손고기잡이 등</t>
  </si>
  <si>
    <t>여수시/ 거문도.백도은빛바다체험행사추진위원회
(061-659-4744)</t>
  </si>
  <si>
    <t>자연풍광</t>
  </si>
  <si>
    <t>거문도</t>
  </si>
  <si>
    <t>영취산진달래축제</t>
  </si>
  <si>
    <t>3.29~31
/3일간</t>
  </si>
  <si>
    <t>○ 산신제, 진달래 백일장 및 사생대회, 체험행사</t>
  </si>
  <si>
    <t>여수시/여수영취산진달래축제추진위원회(061-659-4743)</t>
  </si>
  <si>
    <t>봄, 진달래</t>
  </si>
  <si>
    <t>영취산</t>
  </si>
  <si>
    <t>여자만갯벌노을축제</t>
  </si>
  <si>
    <t>9월중
/2일간</t>
  </si>
  <si>
    <t>○ 노을가요제, 가족화합한마당, 바지락캐기
    체험행사 등</t>
  </si>
  <si>
    <t>여수시/여자만갯벌노을체험행사추진위원회(061-659-4744)</t>
  </si>
  <si>
    <t>갯벌,노을</t>
  </si>
  <si>
    <t>소라면 
장척마을</t>
  </si>
  <si>
    <t xml:space="preserve">여수동동북축제 </t>
  </si>
  <si>
    <t>10월중
/2일간</t>
  </si>
  <si>
    <t>○ 걔.폐회식, 경연대회, 북퍼레이드, 아티스트 공연 등</t>
  </si>
  <si>
    <t>여수시/여수동동드럼페스티벌추진위원회(061-659-4742)</t>
  </si>
  <si>
    <t>북</t>
  </si>
  <si>
    <t>선소 및 
여수시일원</t>
  </si>
  <si>
    <t>순천시</t>
  </si>
  <si>
    <t>순천 푸드ㆍ아트 
페스티벌</t>
  </si>
  <si>
    <t>9.6~8
/3일간</t>
  </si>
  <si>
    <t>○ 개막행사 등 공연  ○ 푸드존(테이크아웃,주전부리)
○ 아트존(아트마켓,정원마켓)  ○ 키드존, 상가존 등</t>
  </si>
  <si>
    <t xml:space="preserve"> 관광진흥과
(061-749-5796)</t>
  </si>
  <si>
    <t>푸드, 아트</t>
  </si>
  <si>
    <t>중앙사거리
일원</t>
  </si>
  <si>
    <t>순천명품 월등복숭아 
체험행사</t>
  </si>
  <si>
    <t>8.3~8.4
/2일간</t>
  </si>
  <si>
    <t>○ 개막행사 등 공연
○ 체험행사(복숭아수확, 가공식품 만들기 등)
○ 복숭아 전시 및 직판 등
○ 특별행사(복숭아 사진공모전 등)</t>
  </si>
  <si>
    <t>친환경농축산과
(061-749-8722)</t>
  </si>
  <si>
    <t>월등면사무소</t>
  </si>
  <si>
    <t>순천만갈대축제</t>
  </si>
  <si>
    <t>11.1~11.3
/3일간</t>
  </si>
  <si>
    <t>○ 개막행사 등 공연       ○ 학술심포지엄
○ 무진기행                  ○ 다양한 체험 등</t>
  </si>
  <si>
    <t>순천시 순천만보전과
(061-749-6072)</t>
  </si>
  <si>
    <t>갈대</t>
  </si>
  <si>
    <t>순천만습지</t>
  </si>
  <si>
    <t>낙안민속문화축제</t>
  </si>
  <si>
    <t>5월중
/3일간</t>
  </si>
  <si>
    <t>○ 민속문화 재현  ○ 체험 및 민속공연
○ 순천시 전통음식 페스티벌   ○ 전국사진촬영대회</t>
  </si>
  <si>
    <t>순천시 낙안읍성                  (061-749-8836)</t>
  </si>
  <si>
    <t>1994년
 (25회)</t>
  </si>
  <si>
    <t>위탁운영</t>
  </si>
  <si>
    <t>낙안읍성</t>
  </si>
  <si>
    <t>순천문화재달빛야행</t>
  </si>
  <si>
    <t>4월중
 8월중(2회)</t>
  </si>
  <si>
    <t>○ 문화재 야간탐방, 문화재체험, 전시, 공연</t>
  </si>
  <si>
    <t>문화예술과
(061-749-6811)</t>
  </si>
  <si>
    <t>문화의 거리</t>
  </si>
  <si>
    <t>순천만세계동물영화제</t>
  </si>
  <si>
    <t>8.9~13.
/35일간</t>
  </si>
  <si>
    <t>○ 개막식, 영화상영, 심포지엄, 반려산업박람회등</t>
  </si>
  <si>
    <t>문화예술과
(061-749-6814)</t>
  </si>
  <si>
    <t>문화재청</t>
    <phoneticPr fontId="3" type="noConversion"/>
  </si>
  <si>
    <t>동물</t>
  </si>
  <si>
    <t>순천만국가정원</t>
  </si>
  <si>
    <t>순천만국제교향악축제</t>
  </si>
  <si>
    <t>8.29~9.1
/3일간</t>
  </si>
  <si>
    <t>○ 메인음악회, 테마음악회, 초정연주회 등</t>
  </si>
  <si>
    <t>문화예술과
(061-749-6793)</t>
  </si>
  <si>
    <t>있음</t>
    <phoneticPr fontId="3" type="noConversion"/>
  </si>
  <si>
    <t>팔마시민예술제</t>
  </si>
  <si>
    <t>10.13~14
/2일간</t>
  </si>
  <si>
    <t>○ 개막식(길놀이, 청렴탑 제막식), 체험, 전시
○ 문화예술경연등</t>
  </si>
  <si>
    <t>문화예술과
(061-749-4432)</t>
  </si>
  <si>
    <t>1983년
(37회)</t>
  </si>
  <si>
    <t>순천시청  일원</t>
  </si>
  <si>
    <t>2019 봄꽃축제</t>
  </si>
  <si>
    <t>4.5~5.19
/45일간</t>
  </si>
  <si>
    <t>○ 마칭퍼레이드쇼
○ 1억송이 봄꽃연출     ○ 전시체험행사</t>
  </si>
  <si>
    <t>국가정원운영과
(061-749-2729)</t>
  </si>
  <si>
    <t>꽃</t>
  </si>
  <si>
    <t>없음</t>
    <phoneticPr fontId="3" type="noConversion"/>
  </si>
  <si>
    <t>2019 물빛축제</t>
  </si>
  <si>
    <t>7.19~8.25
/35일간</t>
  </si>
  <si>
    <t>○ 라이트 가든연출
○ 워터라이팅쇼          ○ 가면무도회</t>
  </si>
  <si>
    <t>정원갈대축제</t>
  </si>
  <si>
    <t>9.20~10.27
/38일간</t>
  </si>
  <si>
    <t>○ 삼바플라워 퍼레이드
○ 마블, 버블공연        ○ 봉화언덕 3D파사드</t>
  </si>
  <si>
    <t>별빛축제</t>
  </si>
  <si>
    <t>12.20~2.5
/48일간</t>
  </si>
  <si>
    <t>○ 산타&amp;눈꽃 퍼레이드
○ 빛 조형물 전시        ○ 라이트 가든 연출</t>
  </si>
  <si>
    <t>나주시</t>
  </si>
  <si>
    <t>마한문화축제</t>
  </si>
  <si>
    <t>10월중
/3일간</t>
  </si>
  <si>
    <t>○ 메인행사 : 마한퍼레이드, 소도제 등
○ 공연행사 : 마한어린이재롱잔치, 개막축하쇼 등
○ 경연행사 : 마한인 춤 경연대회, 마한인 씨름대회 등
○ 전시체험행사 : 마한의상, 금동관, 옥공예 체험 등
○ 부대행사 : 평생학습 체험 등</t>
  </si>
  <si>
    <t>나주시/마한문화축제추진위원회
(339-8722)</t>
  </si>
  <si>
    <t xml:space="preserve"> </t>
    <phoneticPr fontId="3" type="noConversion"/>
  </si>
  <si>
    <t>마한문화역사</t>
  </si>
  <si>
    <t xml:space="preserve">국립나주박물관 </t>
  </si>
  <si>
    <t>영산포홍어축제</t>
  </si>
  <si>
    <t>4월중
/3일간</t>
  </si>
  <si>
    <t>○ 공연행사 : 나주시민가요제, 시립예술단 공연 등
○ 전시체험행사 : 홍어킹을 잡아라, 홍어 깜작경매 등
○ 부대행사 : 황포돛배승선, 추억의 영산포 사진전 등</t>
  </si>
  <si>
    <t>영산포홍어축제추진위원회
(337-0123)</t>
  </si>
  <si>
    <t>홍어</t>
  </si>
  <si>
    <t>영산포둔치체육공원</t>
  </si>
  <si>
    <t>나주목읍성축제</t>
  </si>
  <si>
    <t>○ 전야제 : 북두드림 행사, 예술단 공연 등
○ 전시체험행사 : 전통체험, 고샅길 들독들기 등
○ 부대행사 : 사마시 과거시험치루기 등</t>
  </si>
  <si>
    <t>나주목읍성축제추진위원회
(339-8722)</t>
  </si>
  <si>
    <t>읍성문화권</t>
  </si>
  <si>
    <t>나주시 금성관 일원</t>
  </si>
  <si>
    <t>광양시</t>
  </si>
  <si>
    <t>광양매화축제</t>
  </si>
  <si>
    <t>3.8.~17
/10일간</t>
  </si>
  <si>
    <t>○ 꾼들의 매화랑 섬진강 이야기 , 영호남 화합행사
○ 매화, 매실을 테마로 공연, 전시, 체험프로그램 운영</t>
  </si>
  <si>
    <t>광양시/광양매화축제위원회
(061-797-2721)</t>
  </si>
  <si>
    <t>1997년
(21회)</t>
  </si>
  <si>
    <t>매화,매실</t>
  </si>
  <si>
    <t>다압면 매화마을 일원</t>
  </si>
  <si>
    <t>광양꽃축제</t>
  </si>
  <si>
    <t>3월중
/3일간</t>
  </si>
  <si>
    <t>○ 봄꽃의 향연
○ 생활원예를 테마로 경연, 전시, 체험프로그램 운영</t>
  </si>
  <si>
    <t>광양시 기술보급과
(061-797-3788)</t>
  </si>
  <si>
    <t>농업기술센터
시험포장</t>
  </si>
  <si>
    <t>백운산국사봉철쭉축제</t>
  </si>
  <si>
    <t>○ 국사봉 산상음악회
○ 철쭉을 테마로 공연, 전시, 체험프로그램 운영</t>
  </si>
  <si>
    <t>광양시/백운산국사봉철쭉축제
위원회(061-797-4233)</t>
  </si>
  <si>
    <t>옥곡면 국사봉랜드 일원</t>
  </si>
  <si>
    <t xml:space="preserve"> 광양전어축제</t>
  </si>
  <si>
    <t>9월중
/3일간</t>
  </si>
  <si>
    <t>○ 전어잡이 소리 시연, 전어가요제
○ 전어,섬진강을 테마로 공연,전시,체험프로그램 운영</t>
  </si>
  <si>
    <t>광양시/광양전어축제위원회
(061-797-2606)</t>
  </si>
  <si>
    <t>진월면 망덕포구 일원</t>
  </si>
  <si>
    <t>광양전통숯불구이축제</t>
  </si>
  <si>
    <t>10월중
/4일간</t>
  </si>
  <si>
    <t>○ 숯불구이 경연대회, 숯불구이 난장
○ 숯불고기를 테마로 공연, 전시, 체험프로그램 운영</t>
  </si>
  <si>
    <t>광양시/광양전통숯불구이축제
위원회(061-797-4901)</t>
  </si>
  <si>
    <t>숯불고기</t>
  </si>
  <si>
    <t>광양읍 서천체육공원 일원</t>
  </si>
  <si>
    <t>담양군</t>
  </si>
  <si>
    <t>담양대나무축제</t>
  </si>
  <si>
    <t>5.1~5.6
/6일간</t>
  </si>
  <si>
    <t>○ 대표프로그램 : 추억의 죽물시장 재현(죽물시장 가는 길 퍼레이드), 대나무문화학교
○ 대나무를 테마로한 공연, 전시, 체험프로그램 운영</t>
  </si>
  <si>
    <t>담양군/(사)담양대나무축제위원회
(061-380-3152)</t>
  </si>
  <si>
    <t>문화관광축제 지원(최우수)</t>
  </si>
  <si>
    <t>문화관광축제
(최우수)</t>
    <phoneticPr fontId="3" type="noConversion"/>
  </si>
  <si>
    <t>대나무</t>
  </si>
  <si>
    <t>담양 죽녹원 및 전남도립대 일원</t>
  </si>
  <si>
    <t>담양산타축제</t>
  </si>
  <si>
    <t>12월(예정)
/1개월간</t>
  </si>
  <si>
    <t>○ 크리스마스거리조성(트리,포토존, 경관조명)
○ 캐롤, 버스킹 등 공연, 체험프로그램 운영
○ 지역특화상품 판매 크리스마스마켓 운영</t>
  </si>
  <si>
    <t>산타</t>
  </si>
  <si>
    <t>담양읍 원도심 및 메타프로방스 일원</t>
  </si>
  <si>
    <t>고서포도축제</t>
  </si>
  <si>
    <t>8월(예정)
/2일간</t>
  </si>
  <si>
    <t>○ 특산품 포도 관련 전시, 체험, 판매, 공연 등</t>
  </si>
  <si>
    <t>1999년도
(제11회)</t>
  </si>
  <si>
    <t>고서면 증암천변 동운교 일원</t>
  </si>
  <si>
    <t>곡성군</t>
  </si>
  <si>
    <t>제9회 곡성세계장미
축제</t>
  </si>
  <si>
    <t>5.17~26
/10일간</t>
  </si>
  <si>
    <t>○ 로즈컬러런
○ 장미를 테마로한 공연, 전시, 체험프로그램 운영
○ 개폐막 공연, 주제공연 및 문화공연
    - 5개 분야 50여개 프로그램</t>
  </si>
  <si>
    <t>곡성군
(061-360-8348)</t>
  </si>
  <si>
    <t xml:space="preserve"> </t>
    <phoneticPr fontId="3" type="noConversion"/>
  </si>
  <si>
    <t>섬진강기차마을</t>
  </si>
  <si>
    <t>제19회 곡성심청축제</t>
  </si>
  <si>
    <t>○ 심청 주제 행렬 퍼레이드
○ 전시, 체험, 판매장 운영
○ 무대행사 및 경연 운영</t>
  </si>
  <si>
    <t>곡성군(061-360-8348)
/곡성심청축제추진위원회</t>
  </si>
  <si>
    <t>심청</t>
  </si>
  <si>
    <t>석곡코스모스음악회</t>
  </si>
  <si>
    <t xml:space="preserve">○ 코스모스 음악회 무대 운영
○ 전시, 판매장 운영
○ 주민화합 및 관광객 모집 프로그램 운영 </t>
  </si>
  <si>
    <t>곡성군(061-360-8348)
/석곡코스모스음악회추진위원회</t>
  </si>
  <si>
    <t>석곡대황강
체육공원</t>
  </si>
  <si>
    <t>구례군</t>
  </si>
  <si>
    <t>제20회 구례산수유꽃
축제</t>
  </si>
  <si>
    <t>3.16.~24.
/9일간</t>
  </si>
  <si>
    <t>○ 대표프로그램 : 산수유꽃길따라 봄마중트레킹
○ 산수유꽃 테마 체험프로그램 운영
   - 보물찾기, 하트소원지, 미션 프로그램 등
○ 개막축하공연, 꽃담길 음악회 등
○ 농특산품 판매, 향토음식점, 홍보관 운영 등</t>
  </si>
  <si>
    <t>구례군 문화관광과/
구례산수유꽃축제추진위원회
(061-780-2390)</t>
  </si>
  <si>
    <t>지리산온천
관광지</t>
  </si>
  <si>
    <t>제15회 구례섬진강
벚꽃축제</t>
  </si>
  <si>
    <t>3월말/2일간</t>
  </si>
  <si>
    <t>○ 대표프로그램 : 벛꽃길 걷기
○ 개막축하공연, 노래자랑 등
○ 농특산품 판매, 향토음식점, 군홍보관 운영 등</t>
  </si>
  <si>
    <t>구례군/
섬진강벚꽃축제추진위원회
(061-780-2255)</t>
  </si>
  <si>
    <t>문척면 
섬진강변</t>
  </si>
  <si>
    <t>지리산남악제 및 
군민의날 행사</t>
  </si>
  <si>
    <t>4월중/3일간</t>
  </si>
  <si>
    <t>○ 대표프로그램 : 남악제례 및 행렬, 군민체육대회
○ 농특산품 판매, 군 홍보관 운영 등</t>
  </si>
  <si>
    <t>구례군 문화관광과/
지리산남악제및군민의날 행사추진위원회
(061-780-2431)</t>
  </si>
  <si>
    <t>1945년
(75회)</t>
  </si>
  <si>
    <t>남악제례</t>
  </si>
  <si>
    <t>화엄사시설지구
구례공설운동장</t>
  </si>
  <si>
    <t>2019 구례동편제
소리축제</t>
  </si>
  <si>
    <t>10월중/3일간</t>
  </si>
  <si>
    <t>○ 대표프로그램 : 개막공연, 국악공연, 송만갑판소리
                         고수대회 
○ 농특산품 판매, 향토음식점, 군홍보관 운영 등
○ 동편제소리홍보관, 판소리배우기 등</t>
  </si>
  <si>
    <t>구례군 문화관광과/
동편소리축제추진위원회
(061-780-2431)</t>
  </si>
  <si>
    <t>구례실내체육관</t>
  </si>
  <si>
    <t>제43회 지리산피아골
단풍축제</t>
  </si>
  <si>
    <t>11월중
/2일간</t>
  </si>
  <si>
    <t>○ 대표프로그램 : 단풍제례
○ 체험프로그램 : 황금단풍잎을 찾아라, 족욕체험
○ 농특산품 판매, 향토음식점, 군홍보관 운영 등</t>
  </si>
  <si>
    <t>구례군/
지리산피아골단풍축제추진
위원회(061-780-2255)</t>
  </si>
  <si>
    <t>토지면피아골
일원</t>
  </si>
  <si>
    <t>2019 화엄음악제</t>
  </si>
  <si>
    <t>○ 영성음악제, 화엄콘서트, 서예전시, 요가명상수련 등</t>
  </si>
  <si>
    <t>화엄음악제집행위원회
(061-780-2431)</t>
  </si>
  <si>
    <t>불교</t>
  </si>
  <si>
    <t>화엄사 경내 일원</t>
  </si>
  <si>
    <t>고흥군</t>
  </si>
  <si>
    <t>과역 참살이 매화 축제</t>
  </si>
  <si>
    <t>3월중
/2일간</t>
  </si>
  <si>
    <t>○ 핵심프로그램 : 매화꽃길 걷기
○ 부대행사 : 지역특산품 판매 및 홍보, 향토음식점 운영</t>
  </si>
  <si>
    <t>과역참살이매화축제추진위원회
(061-830-5371)</t>
  </si>
  <si>
    <t>2014
(6회)</t>
  </si>
  <si>
    <t>민간단체</t>
  </si>
  <si>
    <t>과역면 인학마을 대화농장일원</t>
  </si>
  <si>
    <t>제12회 고흥우주항공축제</t>
  </si>
  <si>
    <t>○ 핵심프로그램 : 나로우주센터 발사현장 견학 등
○ 전시체험행사 : 우주과학체험 
○ 부대행사 : 우주과학 사생대회, 스탬프랠리, 축제 
                   촬영대회 및 관광사진공모전 등</t>
  </si>
  <si>
    <t>고흥군/
고흥우주항공축제추진위원회
(061-830-5305)</t>
  </si>
  <si>
    <t>우주항공과학
체험</t>
  </si>
  <si>
    <t>나로우주센터일원</t>
  </si>
  <si>
    <t>고흥 녹동 바다불꽃축제</t>
  </si>
  <si>
    <t>5월중
/4일간</t>
  </si>
  <si>
    <t>○ 핵심프로그램 : 불꽃쇼
○ 문화공연 : SEA FOOD 노래자랑, 풍물놀이 등
○ 부대행사 : 맨손 물고기잡기 체험, 어린이 낚시 체험,   수산물 시식회, 지역민 먹거리 장터 등</t>
  </si>
  <si>
    <t>녹동청년회의소/녹동청년회의소
(061-842-2811)</t>
  </si>
  <si>
    <t>해산물, 불꽃</t>
  </si>
  <si>
    <t>녹동신항 일원</t>
  </si>
  <si>
    <t>유자·석류축제</t>
  </si>
  <si>
    <t>10.25~27
/3일간</t>
  </si>
  <si>
    <t>○ 대표프로그램 : 유자 석류 전시체험, 판매 등
○ 공연프로그램 : 개막식, 폐막식
○ 각종 부대행사</t>
  </si>
  <si>
    <t>고흥군/
고흥유자석류축제추진위원회
(061-830-5305)</t>
  </si>
  <si>
    <t>유자, 석류</t>
  </si>
  <si>
    <t>고흥만일원</t>
  </si>
  <si>
    <t>거금도의 아름다운 밤 행사</t>
  </si>
  <si>
    <t>○ 핵심프로그램 : 노래자랑
○ 문화공연 : 가수 초청공연
○ 부대행사 : 불꽃놀이, 특산품 판매, 유자차 시음</t>
  </si>
  <si>
    <t>거금도를사랑하는모임/
거금도를사랑하는모임
(061-842-6654)</t>
  </si>
  <si>
    <t>섬, 바다</t>
  </si>
  <si>
    <t>거금대교휴게소광장</t>
  </si>
  <si>
    <t>보성군</t>
  </si>
  <si>
    <t>제45회보성다향
대축제</t>
  </si>
  <si>
    <t>5.2.~6.
/5일간</t>
  </si>
  <si>
    <t>○ 차문화 행사 : 다신제, 학생차예절 경연, 다례시연 등
○ 체험행사 : 차만들기, 찻잎따기,  월인천강찻자리 등
○ 전시판매행사 : 녹차전시판매, 농특산물 판매전 등
○ 공연경연행사 : 보성차밭콘서트. 다문화음식경연 등
○ 부대행사 : 보성달빝차회, 다담콘서트,  등</t>
  </si>
  <si>
    <t>주최 : 보성차생산자조합/ 
보성다향대축제추진위원회
(061-850-5212)</t>
  </si>
  <si>
    <t>1975년도
(45회)</t>
  </si>
  <si>
    <t>문화관광축제 지원(최우수)</t>
    <phoneticPr fontId="3" type="noConversion"/>
  </si>
  <si>
    <t>녹차</t>
  </si>
  <si>
    <t>한국차문화공원
및 차밭일원</t>
  </si>
  <si>
    <t>제16회보성차밭빛축제</t>
  </si>
  <si>
    <t>12월 중
/31일간</t>
  </si>
  <si>
    <t xml:space="preserve">○ 점등식 차밭 대형트리, 은하수터널, 차밭 빛물결, 
    빛광장 및 빛동산, 낭만의거리 조성, 소원나무, 
    포토존, 주말상설공연  </t>
  </si>
  <si>
    <t>보성군 문화관광과
(061-850-5211)</t>
  </si>
  <si>
    <t>한국차문화공원  및 율포해수욕장</t>
  </si>
  <si>
    <t>제22회 서편제보성소리축제</t>
  </si>
  <si>
    <t>5.3.~5.
/3일간</t>
  </si>
  <si>
    <t>○ 전국 판소리·고수경연대회
○ 소리를 테마로한 공연, 전시, 체험프로그램 운영
○ 기념식축하공연, 문화공연 : 5개분야 25개 프로그램
○ 기타 부대행사 등</t>
  </si>
  <si>
    <t>보성군 문화관광과
/서편제보성소리축제추진위원회
(061-850-5202)</t>
  </si>
  <si>
    <t>문화,전통</t>
  </si>
  <si>
    <t xml:space="preserve">있음
정규직 4명
계약직 1명
총 5명  </t>
  </si>
  <si>
    <t>다향체육관, 예술회관, 소리전수관</t>
  </si>
  <si>
    <t>보성전어축제</t>
  </si>
  <si>
    <t>8월 중
/3일간</t>
  </si>
  <si>
    <t>○ 전어잡기, 전어구이 체험, 전어요리 시식회 등</t>
  </si>
  <si>
    <t>회천면민협의회/
보성전어축제추진위원회
(061-850-8395)</t>
  </si>
  <si>
    <t>회천율포솔밭
해수욕장</t>
  </si>
  <si>
    <t>벌교꼬막축제</t>
  </si>
  <si>
    <t>10월 중
/3일간</t>
  </si>
  <si>
    <t>○ 대형꼬막 비빔밥 만들기   ○ 꼬막요리 경연대회
○ 꼬막 삶아보고 시식체험   ○ 바튀달린널배타기 대회
○ 진석리 갯벌체험             ○ 지역 동아리 공연
○ 벌교 역사 인물 전시 등</t>
  </si>
  <si>
    <t>벌교읍민회
/벌교꼬막축제추진위원회
(061-857-7676)</t>
  </si>
  <si>
    <t>꼬막</t>
  </si>
  <si>
    <t>벌교읍천변
진석어촌체험장</t>
  </si>
  <si>
    <t>화순군</t>
  </si>
  <si>
    <t>화순 국화향연</t>
  </si>
  <si>
    <t>10월 중
/17일간</t>
  </si>
  <si>
    <t>○ 국화꽃 동산 조성
○ 문화체험프로그램 운영 
○ 지역농특산물 판매 등</t>
  </si>
  <si>
    <t xml:space="preserve"> 화순군/화순군 
(061-379-3576)</t>
  </si>
  <si>
    <t>국화꽃</t>
  </si>
  <si>
    <t>공공(화순군)</t>
  </si>
  <si>
    <t>화순읍 남산공원</t>
  </si>
  <si>
    <t>화순동구리호수공원봄축제</t>
  </si>
  <si>
    <t>4.20.~21.
/2일간</t>
  </si>
  <si>
    <t>○ 오감힐링걷기대회
○ 문화체험프로그램 , 노래자랑 등</t>
  </si>
  <si>
    <t>화순군 화순읍청년연합회
/화순군 화순읍청년연합회
(061-379-3575)</t>
  </si>
  <si>
    <t>철쭉꽃</t>
  </si>
  <si>
    <t>화순읍 동구리
 호수공원</t>
  </si>
  <si>
    <t>백아산 철쭉제</t>
  </si>
  <si>
    <t>5.3.~4.
/2일간</t>
  </si>
  <si>
    <t xml:space="preserve">○ 6.25희생자 위령제
○ 개폐막 공연, 주제공연 및 문화공연
  - 3개 분야 프로그램(초등학교공연, 중학교사물놀이,
       면민 및 초청가수)
○ 과자만들기 체험 등 </t>
  </si>
  <si>
    <t>화순군 북면청년회
/화순군 북면청년회
(061-379-5101)</t>
  </si>
  <si>
    <t>북면 백아산</t>
  </si>
  <si>
    <t>화순운주문화축제</t>
  </si>
  <si>
    <t>5.11.~12.
/2일간</t>
  </si>
  <si>
    <t>○ 운주사 와불 세우기 
○ 운주사를 테마로 한 공연, 전시, 체험프로그램 운영
  - 7개 분야 40여개 프로그램</t>
  </si>
  <si>
    <t>화순운주문화축제추진위원회
/화순운주문화축제추진위원회
(061-379-5081)</t>
  </si>
  <si>
    <t>운주사</t>
  </si>
  <si>
    <t>도암면 운주사</t>
  </si>
  <si>
    <t>화순고인돌문화축제</t>
  </si>
  <si>
    <t>○ 고인돌 이야기 재연(고인돌 끌기 등), 대동한마당
○ 고인돌을 테마로 한 공연, 체험 프로그램 운영
○ 체험행사 : 민속놀이 등 11개 분야
○ 고인돌 걷기 대회</t>
  </si>
  <si>
    <t>화순고인돌문화축제추진위원회
/화순고인돌문화축제추진위원회
(061-379-5070)</t>
  </si>
  <si>
    <t>고인돌</t>
  </si>
  <si>
    <t>세계문화유산
화순고인돌유적지</t>
  </si>
  <si>
    <t>화순 적벽문화제</t>
  </si>
  <si>
    <t>10월 중
/2일간</t>
  </si>
  <si>
    <t>○ 적벽힐링건강걷기대회
○ 적벽과 가을을 테마로 기념식, 기원제, 공연, 전시,
    체험 등 5개분야 16개 단위행사 진행</t>
  </si>
  <si>
    <t>적벽문화축제추진위원회/
적벽문화축제추진위원회
(061-379-5096)</t>
  </si>
  <si>
    <t>1975년도
(35회)</t>
  </si>
  <si>
    <t>적벽</t>
  </si>
  <si>
    <t>이서면 망향정</t>
  </si>
  <si>
    <t>장흥군</t>
  </si>
  <si>
    <t>정남진장흥키조개축제</t>
  </si>
  <si>
    <t>5월중
/5일간</t>
  </si>
  <si>
    <t>○ 키조개 관련 음식 전시, 판매
○ 키조개 경매,바지락 캐기,물고기 잡기, 노래자랑 등</t>
  </si>
  <si>
    <t>장흥군 해양수산과 
/ 키조개축제추진위원회
(061-860-0412)</t>
  </si>
  <si>
    <t>키조개</t>
  </si>
  <si>
    <t>안양면 수문항</t>
  </si>
  <si>
    <t>정남진 장흥 물축제</t>
  </si>
  <si>
    <t>7.26.~ 8.1.
/7일간</t>
  </si>
  <si>
    <t xml:space="preserve">○ 개막식 : 개막식,축하공연 등
○ 주민참여행사 : 청소년 강변 음악축제, 주민자치
                           프로그램시연, 수상 줄다리기 등
○ 킬러콘텐츠 : 지상최대의 물싸움, 황금물고기잡기
                        살수대첩 거리퍼레이드
○ 수상프로그램 : 수상자전거 타기, 우든보트 타기
                            카누 타기, 뗏목 타기 등
○ 육상프로그램 : 육상수영장, 복지체험관, 목공예
                         체험교실 등 </t>
  </si>
  <si>
    <t>장흥군 문화관광과 
/ 정남진물축제추진위원회
(061-860-0380)</t>
  </si>
  <si>
    <t>문화관광축제 지원(우수)</t>
  </si>
  <si>
    <t>문화관광축제
(우수)</t>
    <phoneticPr fontId="3" type="noConversion"/>
  </si>
  <si>
    <t>탐진강 및
 편백숲 우드랜드</t>
  </si>
  <si>
    <t>회령포 문화축제</t>
  </si>
  <si>
    <t>○ 대표프로그램 : 삼군수군통제사 입성식, 강강술래
                            12척 해상 퍼레이드
○ 판옥선 노 젓기대회, 회령포 난장, 병영체험 등
○ 선학동 메밀꽃과의 만남, 문학작가와의 만남 등</t>
  </si>
  <si>
    <t>장흥군 문화관광과 
/ 회령포축제추진위원회
(061-860-0284)</t>
  </si>
  <si>
    <t>회령진성 역사</t>
  </si>
  <si>
    <t>회령진성
 및 회진항</t>
  </si>
  <si>
    <t>장평귀족호도축제</t>
  </si>
  <si>
    <t>9.12~14.
/3일간</t>
  </si>
  <si>
    <t>○ 귀족호도 전시, 판매
○ 관광객 노래자랑, 강강수월래 등</t>
  </si>
  <si>
    <t>장흥군 환경산림과
/ 명품귀족호도 추진위원회
(061-860-0426)</t>
  </si>
  <si>
    <t>귀족호도</t>
  </si>
  <si>
    <t>장평면사무소</t>
  </si>
  <si>
    <t>장흥표고버섯축제</t>
  </si>
  <si>
    <t>○ 표고버섯 음식경연대회
○ 표고버섯운동회 : 표고모형제기차기, 박터트리기 등
○ 표고버섯 따기, 유기농마을 체험관 등</t>
  </si>
  <si>
    <t>장흥군 환경산림과
/ 유치표고버섯작목회
(061-860-0426)</t>
  </si>
  <si>
    <t>2015년
(3회)</t>
  </si>
  <si>
    <t>표고버섯</t>
  </si>
  <si>
    <t>강진군</t>
  </si>
  <si>
    <t>제2회 군동 금곡사 벚꽃길 나들이</t>
  </si>
  <si>
    <t>4. 6.~ 7.
 /2일간</t>
  </si>
  <si>
    <t>○ 가족과 연인이 함께 하는 벚꽃길 느리게 걷기
○ 나만의 화전 부치기 시연 및 체험
○ 벚꽃길 체험 추억의 사진찍기 및 인화하기
○ 벚꽃길 즉석 노래자랑</t>
  </si>
  <si>
    <t>강진군/군동금곡사벚꽃길소풍
추진위원회(061-430-5522)</t>
  </si>
  <si>
    <t>있음
임기직 22명</t>
  </si>
  <si>
    <t>군동 금곡사 
일원</t>
  </si>
  <si>
    <t>제22회 전라병영성축제</t>
  </si>
  <si>
    <t>4. 19.~ 21.
 / 3일간</t>
  </si>
  <si>
    <t>○ 대한민국 전통무과대전
○ 호패만들기 체험
○ 현대 무기 전시 및 시연(K-1 전차, 견인포, 총기류 등)
○ 옛날 감옥 체험, 나막신, 짚신 신고 성곽 둘러보기
○ 전라병영성 주변 함정 체험</t>
  </si>
  <si>
    <t>강진군/전라병영성축제추진
위원회(061-430-3332)</t>
  </si>
  <si>
    <t>병영성</t>
  </si>
  <si>
    <t>있음
임기직 79명</t>
  </si>
  <si>
    <t>병영성 일원</t>
  </si>
  <si>
    <t>제16회 영랑문학제</t>
  </si>
  <si>
    <t>4. 26.~ 27.
 /2일간</t>
  </si>
  <si>
    <t>○ 영랑문학상 시상       ○ 세계모란꽃전시
○ 영랑 백일장             ○ 명상의 길 걷기</t>
    <phoneticPr fontId="3" type="noConversion"/>
  </si>
  <si>
    <t>강진군/영랑기념사업회
(061-430-3186)</t>
  </si>
  <si>
    <t>2006년도
(15회)</t>
  </si>
  <si>
    <t>모란</t>
  </si>
  <si>
    <t>있음
임기직 38명</t>
  </si>
  <si>
    <t>영랑생가 일원</t>
  </si>
  <si>
    <t>제47회 강진청자축제</t>
  </si>
  <si>
    <t>10.3~9
/7일간</t>
  </si>
  <si>
    <t>○ 흙을 밟고 던지고 적시는 체험
○ 대한민국 청자공모전
○ 고려청자 학술 심포지엄</t>
  </si>
  <si>
    <t>강진군/강진군향토축제추진
위원회(061-430-3333)</t>
  </si>
  <si>
    <t>청자</t>
  </si>
  <si>
    <t>대구 청자촌</t>
  </si>
  <si>
    <t>제11회 마량미항
찰전어축제</t>
  </si>
  <si>
    <t>9.20~22
/3일간</t>
  </si>
  <si>
    <t xml:space="preserve">○ 풍물패 공연
○ 마량풍어기원제  </t>
  </si>
  <si>
    <t>강진군/마량미항축제추진위원회
(061-430-3332)</t>
  </si>
  <si>
    <t>미항</t>
  </si>
  <si>
    <t>있음
임기직 23명</t>
  </si>
  <si>
    <t>마량항</t>
  </si>
  <si>
    <t>제4회 강진만 춤추는 갈대축제</t>
  </si>
  <si>
    <t>10.26~11.3.
/ 9일간</t>
  </si>
  <si>
    <t>○ 해설사와 함게 갈대밭 걷기
○ 팔딱팔딱! 장어잡기 체험
○ "아짐아재" 청춘 콘서트
○ 추억의 SNS 사진찍기</t>
  </si>
  <si>
    <t>강진군/
강진군향토축제추진위원회
(061-430-3332)</t>
  </si>
  <si>
    <t>강진만생태공원</t>
  </si>
  <si>
    <t>해남군</t>
  </si>
  <si>
    <t>오시아노썸데이페스티벌</t>
  </si>
  <si>
    <t xml:space="preserve">7월말~8월초
/7일간 </t>
  </si>
  <si>
    <t>○ 풀문파티, 한여름의 산타, 오시아노 썸 퍼레이드,
○ 수상놀이터 운영
○ 토닥톹닥토크쇼, 이불킥 콘테스트, 음악페스티벌
○ 모래속 보물상장 등 체험프로그램 20여종</t>
  </si>
  <si>
    <t xml:space="preserve">해남군/헤남군 관광과  </t>
  </si>
  <si>
    <t>캠핑, 음악</t>
  </si>
  <si>
    <t>오니아노관광단지</t>
  </si>
  <si>
    <t>팜아트페스티벌</t>
  </si>
  <si>
    <t>11월초
/3일간</t>
  </si>
  <si>
    <t>○ 로컬아트 요리대회, 로컬아트팜 경매
○ 어린이 요리경연대회 등 경연프로그램(13종)
○ 고무마미인선발대회 등</t>
  </si>
  <si>
    <t>우항리공룡확석지</t>
  </si>
  <si>
    <t>땅끝매화축제</t>
  </si>
  <si>
    <t>○ 매화터널 공연,음식체험,낭만체험,전시 및 판매 등</t>
  </si>
  <si>
    <t>땅끝매화축제추진위원회
(061-531-3512)</t>
  </si>
  <si>
    <t>2009년
(7회)</t>
  </si>
  <si>
    <t>매화</t>
  </si>
  <si>
    <t>추진위</t>
  </si>
  <si>
    <t>보해매실농원</t>
  </si>
  <si>
    <t>흑석산철쭉제</t>
  </si>
  <si>
    <t>○ 산신제, 풍물, 강강술래, 노래자랑, 부대행사 등</t>
  </si>
  <si>
    <t>흑석산철쭉제추진위원회
(061-531-3362)</t>
  </si>
  <si>
    <t>1996년
(21회)</t>
  </si>
  <si>
    <t>가학산자연휴양림</t>
  </si>
  <si>
    <t>땅끝해넘이해맞이축제</t>
  </si>
  <si>
    <t>○ 해넘이제례, 촛불의식, 달집태우기, 불꽃놀이, 
    해맞이 등</t>
  </si>
  <si>
    <t>땅끝해넘이해맞이축제추진
위원회(061-534-4810)</t>
  </si>
  <si>
    <t>해넘이,해맞이</t>
  </si>
  <si>
    <t>땅끝관광지</t>
  </si>
  <si>
    <t>영암군</t>
  </si>
  <si>
    <t>영암왕인문화축제</t>
  </si>
  <si>
    <t>4.4.~7.
/4일간</t>
  </si>
  <si>
    <t>○ 왕인박사일본가오 퍼레이드
○ 제2회 왕인박사추모한시백일장, 제5회 천자문경전 성독대회 등
○ 7개부문 90여종 프로그램</t>
  </si>
  <si>
    <t>영암군 문화관광과/
영암군향토축제추진위원회
(061-470-2347)</t>
  </si>
  <si>
    <t>문화관광축제 지원(유망)</t>
  </si>
  <si>
    <t>문화관광축제
(유망)</t>
    <phoneticPr fontId="3" type="noConversion"/>
  </si>
  <si>
    <t>왕인박사</t>
  </si>
  <si>
    <t>부분위탁
(운영 및 일부 프로그램운영 등)</t>
  </si>
  <si>
    <t>왕인박사유적지
일원</t>
  </si>
  <si>
    <t>월출산국화축제</t>
  </si>
  <si>
    <t>10월말~11월중순/17일간</t>
  </si>
  <si>
    <t>○ 국화 분화 및 조형물 설치
○ 공연행사, 체험행사, 부대행사 등
  - 5개분야, 60여개 프로그램</t>
  </si>
  <si>
    <t>월출산기찬랜드</t>
  </si>
  <si>
    <t>마한축제</t>
  </si>
  <si>
    <t>○ 고유제, 남해신사해신제, 개막행사 
○ 공연행사, 체험행사 등
  - 5개분야, 30여개 프로그램</t>
  </si>
  <si>
    <t>영암군 문화관광과/
마한축제추진위원회
(061-470-2259)</t>
  </si>
  <si>
    <t>마한역사</t>
  </si>
  <si>
    <t xml:space="preserve"> 축제조직위</t>
  </si>
  <si>
    <t>마한문화공원</t>
  </si>
  <si>
    <t>영암무화과축제</t>
  </si>
  <si>
    <t xml:space="preserve"> ○ 무화과 품평회 및 시식회
 ○ 가족과 함께하는 요리대회
 ○ 기타 전시·경연·체험행사</t>
  </si>
  <si>
    <t>영암군 친환경농업과
/ 영암무화과축제추진위원회
(061-470-2384)</t>
  </si>
  <si>
    <t>1997년도
(18회)</t>
  </si>
  <si>
    <t>무화과</t>
  </si>
  <si>
    <t>영암군 삼호읍 일원</t>
  </si>
  <si>
    <t>무안군</t>
  </si>
  <si>
    <t>제22회 무안연꽃축제</t>
  </si>
  <si>
    <t>7~8월중
/4일간</t>
  </si>
  <si>
    <t>○ 개막식 : 연자방소망등달기, 백련가래떡 나눔잔치,
    사랑과 화합의 대행진(연빛 달빛 사랑의 퍼레이드)
○ "연"을 테마로한 공연, 전시, 체험프로그램 운영
○ i-쿨존(얼음나라, 체험존, 판매존) 운영
○ 황토골 무안요리경연대회, 무안 각설이품바공연
○ 군민노래자랑, 청소년 백일장 및 사생대회, 독서골든벨 등</t>
  </si>
  <si>
    <t>무안군
(061-450-5472)</t>
  </si>
  <si>
    <t>연(蓮)</t>
  </si>
  <si>
    <t>회산백련지</t>
  </si>
  <si>
    <t>제6회 무안황토갯벌
축제</t>
  </si>
  <si>
    <t>7~8월중
/3일간</t>
  </si>
  <si>
    <t>○ 풍요 깃발 퍼레이드, 황토갯벌 개막식
○ "황토,갯벌"주제로 공연, 전시, 체험프로그램 운영
○ 황토갯벌씨름대회, 올림피아드, 군민노래자랑
○ 갯벌낙지·장어잡기, 농게잡기, 운저리 낚시체험
○ 청소년 백일장 및 사생대회, 무안 각설이 품바공연 등</t>
  </si>
  <si>
    <t>황토·갯벌</t>
  </si>
  <si>
    <t>무안황토갯벌랜드</t>
  </si>
  <si>
    <t>함평군</t>
  </si>
  <si>
    <t>제21회 함평나비
대축제</t>
  </si>
  <si>
    <t>4.26~5.6
/11일간</t>
  </si>
  <si>
    <t>○ 나비, 꽃, 곤충을 소재로한 각종 체험 프로그램 운영
○ 나비생태관, 자연생태관 등 다양한 전시관 운영 
○ 지역 농특산물 등 전시 판매
○ 문화예술공연 및 공식 특별 행사 개최 등</t>
  </si>
  <si>
    <t>함평군/함평군축제추진위원회
(061-320-1783)</t>
  </si>
  <si>
    <t>꽃, 나비, 곤충</t>
  </si>
  <si>
    <t>엑스포공원</t>
  </si>
  <si>
    <t>2019
대한민국 국향대전</t>
  </si>
  <si>
    <t>10월중순~11월초/17일간</t>
  </si>
  <si>
    <t>○ 대형 국화 조형물 전시
○ 국화를  테마로한 전시, 체험프로그램 운영 
○ 개폐막식, 요리경연대회, 기념 시공모 및 낭송회
○ 군립미술관 특별기획전, 거리음악공연 등
○ 서각작품 전시 및 큰(슈퍼)호박 전시 등</t>
  </si>
  <si>
    <t>2019 꽃무릇큰잔치</t>
  </si>
  <si>
    <t>9월중순
/2일간</t>
  </si>
  <si>
    <t>○ 꽃무릇큰잔치 기념 특별공연, 면민화합 한마당행사
○ 축하쇼, 관광객 참여 장기자랑 및 노래자랑
○ 농특산품 전시 및 판매 등</t>
  </si>
  <si>
    <t>해보면/
해보면꽃무릇큰잔치추진위원회
(061-320-2771)</t>
  </si>
  <si>
    <t>꽃무릇</t>
  </si>
  <si>
    <t>해보면 용천사</t>
  </si>
  <si>
    <t>2019 대한민국 난명품대제전</t>
  </si>
  <si>
    <t>3.23.~24.
/2일간</t>
  </si>
  <si>
    <t>○ 명품 난을 테마로한 전시 및 선발대회  운영
○ 개막행사 및 명품 난 선발대회 개최</t>
  </si>
  <si>
    <t>함평군/함평난연합회
(061-320-2856)</t>
  </si>
  <si>
    <t>춘란</t>
  </si>
  <si>
    <t>함평군
문화체육센터</t>
  </si>
  <si>
    <t>함평 생(生)비빔밥 어울림 한마당축제</t>
  </si>
  <si>
    <t>미정/2일간</t>
  </si>
  <si>
    <t>○ 함평생비빔밥 홍보 및 공연
○ 함평생비빔밥 퍼포먼스 및 나눔행사</t>
  </si>
  <si>
    <t>함평생비빔밥향토산업사업단
(061-320-1884)</t>
  </si>
  <si>
    <t>비빕밥</t>
  </si>
  <si>
    <t>사업단</t>
  </si>
  <si>
    <t>함평생비빔밥
식재료센터 
일원</t>
  </si>
  <si>
    <t>영광군</t>
  </si>
  <si>
    <t>곡우사리 영광굴비축제</t>
  </si>
  <si>
    <t>4.19~21
/3일간</t>
  </si>
  <si>
    <t>○  대표프로그램 : 굴비저잣거리재외 3종
○  공연행사 : 굴비경매외 15종
○  체험행사 : 굴비엮기 대회 등
○  부대행사 : 홍보 탈인형운영 등</t>
  </si>
  <si>
    <t>곡우사리굴비축제위원회</t>
  </si>
  <si>
    <t>굴비</t>
  </si>
  <si>
    <t>법성면 일원</t>
  </si>
  <si>
    <t>영광찰보리문화축제</t>
  </si>
  <si>
    <t>5월중
/2일간</t>
  </si>
  <si>
    <t>○ 대표프로그램 : 보리타작 경연
○ 보리를 테마로한 공연, 전시 체험프로그램 운영
  - 체험행사 : 보리밭 보물착기 외 5종
  - 경연대회 : 보리자루 멀리던지 외 3종
  - 특별행사 : 각종 공연 주민 및 재능기부 확대
○ 기타 특산품 판매  등</t>
  </si>
  <si>
    <t>영광찰보리문화축제 추진위원회
/ 영광찰보리문화축제 집행위원회</t>
  </si>
  <si>
    <t>군남 지내들
옹기돌탑공원</t>
  </si>
  <si>
    <t>영광법성포단오제</t>
  </si>
  <si>
    <t>6.7.~ 6.10.
/4일간</t>
  </si>
  <si>
    <t>○  대표프로그램 : 제전행사(용왕제외 5)
○  민속행사 : 선유놀이등 4종
○  경연대회 : 숲쟁이국악경연대회 외 4종
○  체험행사 : 창포머리감기체험 등</t>
  </si>
  <si>
    <t>(사)법성포단오보존회/
(사)법성포단오보존회
(061-356-4331)</t>
  </si>
  <si>
    <t>조선시대 
중종때부터
    (약 500여년)</t>
  </si>
  <si>
    <t>단오 풍습</t>
  </si>
  <si>
    <t>민간(사단법인)</t>
  </si>
  <si>
    <t>법성 숲쟁이 
공원 일원</t>
  </si>
  <si>
    <t>영광천일염젓갈갯벌축제</t>
  </si>
  <si>
    <t>9월~10월중
(3일간)</t>
  </si>
  <si>
    <t>○ 대표프로그램 : 장어잡기외 1종
○ 갯벌을 테마로한 공연, 전시 체험프로그램 운영
  - 체험행사 : 갯벌풋살대회 외 2종
  - 문화행사 : 작은음악회 외 4종
  - 특별행사 : 관광객 소금 담아가기
○ 기타 특산품 판매  등</t>
  </si>
  <si>
    <t>영광천일염젓갈갯벌축제추진위원회/ 
영광천일염젓갈갯벌축제집행위원회</t>
  </si>
  <si>
    <t>2009년도
(10회)</t>
  </si>
  <si>
    <t>갯벌</t>
  </si>
  <si>
    <t>염산면 일원
(설도항, 백바위해수욕장)</t>
  </si>
  <si>
    <t>영광불갑산상사화축제</t>
  </si>
  <si>
    <t>9.18.~24.
/7일간</t>
  </si>
  <si>
    <t>○ 대표프로그램 : 상사화 꽃길걷기, 인도공주 상사화 퍼레이드
○ 상사화를 테마로한 공연, 전시 체험프로그램 운영
  - 체험행사 : 상사화꽃맵시선발대회 외 17종
  - 전시행사 : 상사화주제관 외 8종
  - 문화행사 : 상사화예술제 외 5종
○ 기타 특산품 판매  등</t>
  </si>
  <si>
    <t>영광불갑산상사화축제 추진위원회 
/영광불갑산상사화축제 집행위원회
(061-350-5752)</t>
  </si>
  <si>
    <t>상사화</t>
  </si>
  <si>
    <t>불갑사 관광지
일원</t>
  </si>
  <si>
    <t>영광백수해안도로
 노을축제</t>
  </si>
  <si>
    <t>○ 대표프로그램 : 영광퓨전떡 전시회 외 1종
○ 노을을 테마로한 공연, 전시 체험프로그램 운영
  - 주제프로그램 : 노을가요제 외 1종
  - 체험행사 : 천일염 체험 외 4종
  - 야간행사 : 불꽃놀이
○ 기타 특산품 판매  등</t>
  </si>
  <si>
    <t>영광백수해안도로노을축제추진위원회
/영광백수해안도로노을축제집행위원회</t>
  </si>
  <si>
    <t>영광 노을전시관 일원(백수읍 해안로 957)</t>
  </si>
  <si>
    <t>장성군</t>
  </si>
  <si>
    <t>장성 황룡강 노란꽃잔치</t>
  </si>
  <si>
    <t>10월중
/15일간</t>
  </si>
  <si>
    <t xml:space="preserve">○ 가을 노란꽃을 테마로 한 조형물 전시
○ 남녀노소 누구나 즐길 수 있는 체험프로그램 운영
○ 개폐막 공연 등 </t>
  </si>
  <si>
    <t xml:space="preserve"> 장성군 미래디자인담당관
/장성군축제위원회
(061-390-7382)</t>
  </si>
  <si>
    <t>가을 노란꽃</t>
  </si>
  <si>
    <t xml:space="preserve"> ·공공(시군구)
 ·축제조직위</t>
  </si>
  <si>
    <t>황룡강변</t>
  </si>
  <si>
    <t>장성홍길동축제</t>
  </si>
  <si>
    <t>○ 홍길동을 주제로 한 체험, 전시, 판매</t>
  </si>
  <si>
    <t>장성군/장성군축제위원회
(061-390-7242)</t>
  </si>
  <si>
    <t>홍길동</t>
  </si>
  <si>
    <t>홍길동테마파크
공설운동장(황룡강변)</t>
  </si>
  <si>
    <t>백양단풍축제</t>
  </si>
  <si>
    <t>11월중
/3일간</t>
  </si>
  <si>
    <t>○ 백양사 산사음악회, 애기단풍 낭만무대, 체험, 전시, 판매</t>
  </si>
  <si>
    <t>백양사 단풍</t>
  </si>
  <si>
    <t>백양사</t>
  </si>
  <si>
    <t>장성백양고로쇠축제</t>
  </si>
  <si>
    <t>○ 고로쇠 판매,각종 체험,전시, 공연 등</t>
  </si>
  <si>
    <t>장성군/장성군고로쇠축제추진
위원회(061-390-7253)</t>
  </si>
  <si>
    <t>장성 고로쇠</t>
  </si>
  <si>
    <t xml:space="preserve"> ·공공(읍면동)
 ·축제조직위</t>
  </si>
  <si>
    <t>남창계곡</t>
  </si>
  <si>
    <t>축령산편백산소축제</t>
  </si>
  <si>
    <t>○ 전남일보 녹색음악회, 산소음악회, 피톤치드 산림욕 등</t>
  </si>
  <si>
    <t>장성군/장성군축제위원회(061-390-7253)</t>
  </si>
  <si>
    <t>축령산 편백숲</t>
  </si>
  <si>
    <t>축령산조림지</t>
  </si>
  <si>
    <t>2019 빈센트의 봄</t>
  </si>
  <si>
    <t>○ 봄꽃정원 조성 및 전시</t>
  </si>
  <si>
    <t>장성군 미래디자인담당관
(061-390-7382)</t>
  </si>
  <si>
    <t>장성역 광장</t>
  </si>
  <si>
    <t>완도군</t>
  </si>
  <si>
    <t xml:space="preserve"> 2019 장보고수산물
축제</t>
  </si>
  <si>
    <t>5.3.~6.
/4일간.</t>
  </si>
  <si>
    <t>○ 장보고 노젓기 대회
○ 한마음 체육행사, 대형김밥 및 김 만들기 체험 등
○ 공연및 문화행사 : 22개 프로그램
○ 해조류 특산품 판매관 운영</t>
  </si>
  <si>
    <t>장보고수산물축제추진위원회
(조성영 / 061-550-5411)</t>
  </si>
  <si>
    <t>해조류 및 특산품</t>
  </si>
  <si>
    <t>완도읍해변공원
일원</t>
  </si>
  <si>
    <t xml:space="preserve"> 2019 청산도슬로걷기 축제</t>
  </si>
  <si>
    <t>4.6.~5.6.
/1개월간</t>
  </si>
  <si>
    <t xml:space="preserve"> ○ 청산완보
 ○ 슬로길 걷기를 주제로한 공연,전시,체험프로그램
 ○ 8개분야 49개 프로그램 </t>
  </si>
  <si>
    <t>청산도슬로걷기축제추진위원회          (김형호 / 061-550-5432)</t>
  </si>
  <si>
    <t xml:space="preserve">슬로길 </t>
  </si>
  <si>
    <t>청산도 일원</t>
  </si>
  <si>
    <t>2019 청정완도
가을빛여행</t>
  </si>
  <si>
    <t>10.18.~20
/3일간</t>
  </si>
  <si>
    <t>○ 완도타워일원 국화전시
○ 가을 숲속음악회, 회 썰기, 오감 세일즈 페스티벌 등
○ 공연및 문화행사 : 7개 프로그램
○ 해조류 특산품 판매관 운영</t>
  </si>
  <si>
    <t>청정완도 가을빛축제추진위원회
(조성영 / 061-550-5411)</t>
  </si>
  <si>
    <t>2015년
(4회)</t>
  </si>
  <si>
    <t>완도읍해변공원
완도수목원
완도타워 
청산도 일원</t>
    <phoneticPr fontId="3" type="noConversion"/>
  </si>
  <si>
    <t>진도군</t>
  </si>
  <si>
    <t>제41회 진도신비의
바닷길축제</t>
  </si>
  <si>
    <t>3.21.~24.
/4일간</t>
  </si>
  <si>
    <t>○ 신비의 바닷길 체험     ○ 새벽바닷길횃불퍼레이드
○ '신비의땅을 울려라' 북놀이 퍼레이드
○ 진도개 공연 및 체험
○ 진도무형문화재 공연(9종) ○ 글로벌 민속 씨름대회
○ 열려라 무지개길!(컬러풀 진도) ○ 미라클 레이져쇼
○ 글로벌 존(글로벌 음악여행) 
○ 선박 퍼레이드 및 해상풍물뱃놀이 등</t>
  </si>
  <si>
    <t>진도군/(사)진도군관광진흥
협의회</t>
  </si>
  <si>
    <t>1978년
(40회)</t>
  </si>
  <si>
    <t>문화관광축제 지원(최우수)</t>
    <phoneticPr fontId="3" type="noConversion"/>
  </si>
  <si>
    <t>문화관광축제
(최우수)</t>
    <phoneticPr fontId="3" type="noConversion"/>
  </si>
  <si>
    <t>바닷길</t>
  </si>
  <si>
    <t xml:space="preserve">있음
회장 : 1명
정규직 2명  </t>
    <phoneticPr fontId="3" type="noConversion"/>
  </si>
  <si>
    <t>고군면회동리
(바다)</t>
  </si>
  <si>
    <t>2019진도문화예술제</t>
  </si>
  <si>
    <t>○ 남도민요전국경창대회    ○ 전국고수대회
○ 전국강강술래경연대회    ○ 한중일 미술교류전
○ 국제 상장례 페스티벌     ○ 대한민국 청소년 국악제
○ 전국소치미술대전         ○ 전국한시진도백일장대회
○ 학생종합예술제 및 백일장 대회
○ 진도무형문화재 공개발표 등</t>
  </si>
  <si>
    <t>진도군/(사)한국예총 진도지회</t>
  </si>
  <si>
    <t>2012년
(7회)</t>
  </si>
  <si>
    <t>전국단위 
경연대회, 교류전</t>
  </si>
  <si>
    <t>있음
회장:1명
정규직: 1명</t>
    <phoneticPr fontId="3" type="noConversion"/>
  </si>
  <si>
    <t>진도군일원</t>
  </si>
  <si>
    <t>2019대한민국
진도개페스티벌</t>
  </si>
  <si>
    <t>5.4.~5.5
/2일간.</t>
  </si>
  <si>
    <t>○ 진도개의 날 기념식  ○ 진도개공연,경주,어질리티
○ 캐니크로스 대회      ○ 진도개 체험
○ dog스포츠 등</t>
  </si>
  <si>
    <t>진도군/진도개명견화사업단</t>
  </si>
  <si>
    <t>진도개</t>
  </si>
  <si>
    <t>진도개테마파크</t>
  </si>
  <si>
    <t>2019 진도수산물축제</t>
  </si>
  <si>
    <t>○ 반값수산물 경매이벤트           ○ 축하쇼
○ 수산물 노래방                       ○ 수산물 퀴즈대회
○ 맨손고기잡이 체험                 ○  전복죽 시식회
○ 체험 및 부대행사 등</t>
  </si>
  <si>
    <t>진도군/
진도군수협</t>
  </si>
  <si>
    <t>수협</t>
  </si>
  <si>
    <t>임회면 서망항</t>
  </si>
  <si>
    <t>신안군</t>
  </si>
  <si>
    <t>2019 신안 세계 
섬.바다 축제</t>
  </si>
  <si>
    <t>8. 1~8. 11
/11일간</t>
  </si>
  <si>
    <t xml:space="preserve">○ 갯벌 체험 : 갯벌, 피부미용(메이크업 체험)  
○ 육상 체험 : Stamp투어, 바다 생물, 해변승마 체험 
○ 해양 체험 : 물놀이 시설, 신안 세일요트 이벤트 
○ 힐링 체험 : 소확행 체험
○ 공연·이벤트 : DJ SHOW, 제1회 섬의 날 기념행사
○ 주민·관광객 축제 DIY : 관광객이 직접 만드는 축제
○ 야간행사 : ‘섬음식’먹거리체험존, BEER축제 등 </t>
  </si>
  <si>
    <t>증도 섬갯벌
올림픽축제
(2006년~2012년까지 7회
진행)</t>
  </si>
  <si>
    <t>바다, 갯벌</t>
  </si>
  <si>
    <t>1회</t>
  </si>
  <si>
    <t>증도면
우전해변 및
해송숲 일원</t>
  </si>
  <si>
    <t>신안튤립축제</t>
  </si>
  <si>
    <t>4.12~4.21
/10일간</t>
  </si>
  <si>
    <t>○ 공식행사 : 식전행사(미정) 및 개막식
○ 문화행사 : 신안새우란 전시, 임자도 사진전시, 각종 무대공연 등
○ 체험행사 : DIY튤립화분 만들기, 유채꽃밭 승마체험, 재래김 만들기 등</t>
  </si>
  <si>
    <t>임자도 
튤립공원</t>
  </si>
  <si>
    <t>신안 증도
슬로시티 보물찾기</t>
  </si>
  <si>
    <t>5월중/3일간
(미정)</t>
  </si>
  <si>
    <t>○ 공식행사 : 슬로시티 프리마켓, 먹거리 장터, 사진
    공모전, 보물섬 증도의 보불을 찾아라(스탬프투어)
○ 문화행사 : 재활용악기공연,버스킹,극단 갯돌 공연
○ 체험행사 : 소금밭체험, 소금동굴힐링체험</t>
  </si>
  <si>
    <t>2011년도
(제7회)</t>
  </si>
  <si>
    <t>슬로시티위원회
기업 등TF팀</t>
  </si>
  <si>
    <t>자체추진
(민간)</t>
  </si>
  <si>
    <t>증도면
관광지</t>
  </si>
  <si>
    <t>포항시</t>
  </si>
  <si>
    <t>포항운하축제</t>
  </si>
  <si>
    <t>9.21~9.22</t>
  </si>
  <si>
    <t>○ 방티타기대회, 방티마라톤대회, 
     수상레저스포츠시연, 에코보트 콘테스트 등</t>
  </si>
  <si>
    <t>포항시 국제협력관광과
(054-270-2244)</t>
  </si>
  <si>
    <t>운하,방티</t>
  </si>
  <si>
    <t>언론사</t>
  </si>
  <si>
    <t>호미곶한민족해맞이축전</t>
  </si>
  <si>
    <t>12.31 ~ 1.1
(2일간)</t>
  </si>
  <si>
    <t>○ 전야.해넘이.해맞이 행사, 사자성어, 신년축하인사
    헬기축하비행, 1만명 떡국나눔 등</t>
  </si>
  <si>
    <t>포항시 국제협력관광과
/ 포항문화재단
(054-270-2274)</t>
  </si>
  <si>
    <t>1999년도
(제21회)</t>
  </si>
  <si>
    <t>구룡포수산물
한마당잔치</t>
  </si>
  <si>
    <t>○특산품(대게, 오징어, 과메기 등) 시식, 공연행사</t>
  </si>
  <si>
    <t>포항시 수산진흥과
/구룡포수협, 대경일보
(054-270-2852)</t>
  </si>
  <si>
    <t>2012년도
(제8회)</t>
  </si>
  <si>
    <t xml:space="preserve"> 지역축제</t>
  </si>
  <si>
    <t>대게,오징어 등</t>
  </si>
  <si>
    <t>일부위탁운영</t>
  </si>
  <si>
    <t>영일만 검은돌장어 축제</t>
  </si>
  <si>
    <t>○영일만 검은돌장어 홍보 및 시식·판매행사</t>
  </si>
  <si>
    <t>포항시 수산진흥과
/영일만검은돌장어법인, 경북매일신문(054-270-2852)</t>
  </si>
  <si>
    <t>2014년도
(제6회)</t>
  </si>
  <si>
    <t>검은돌장어</t>
  </si>
  <si>
    <t>포항스틸아트페스티벌축제</t>
  </si>
  <si>
    <t>9.7~10.5
(29일간)</t>
  </si>
  <si>
    <r>
      <t xml:space="preserve"> ○</t>
    </r>
    <r>
      <rPr>
        <u/>
        <sz val="11"/>
        <rFont val="HY중고딕"/>
        <family val="1"/>
        <charset val="129"/>
      </rPr>
      <t xml:space="preserve"> 스틸조각품 전시를 통한 아트웨이 조성</t>
    </r>
    <r>
      <rPr>
        <sz val="11"/>
        <rFont val="HY중고딕"/>
        <family val="1"/>
        <charset val="129"/>
      </rPr>
      <t xml:space="preserve">
 ○ '스틸아트'를 테마로한 공연, 전시, 체험프로그램 운영</t>
    </r>
  </si>
  <si>
    <t>포항시 시립미술관 
/포항문화재단
(054-270-47040)</t>
  </si>
  <si>
    <t>문예진흥기금 지원</t>
  </si>
  <si>
    <t xml:space="preserve"> 
문화예술 
</t>
  </si>
  <si>
    <t>철(스틸)</t>
  </si>
  <si>
    <t>포항해병대문화축제</t>
  </si>
  <si>
    <t xml:space="preserve">○상륙작전시연, 의장대.군악대.무적도 시범,
   KAAV/IBS탑승체험, 헬기레펠.고공강하시범,
   해병대 병영체험 및 방문행사, 축구.야구대회, 심포지엄 </t>
  </si>
  <si>
    <t>포항시 국제협력관광과
/ 포항시 
(054-270-2243)</t>
  </si>
  <si>
    <t>2017년도
(제3회)</t>
  </si>
  <si>
    <t>지역특화문화행사 지원</t>
  </si>
  <si>
    <t>해병대 문화</t>
  </si>
  <si>
    <t>포항국제불빛축제</t>
  </si>
  <si>
    <t>○국제불꽃쇼, Daily뮤직불꽃쇼, 불빛퍼레이드, 
   버스킹페스티벌, 주제공연, 체험행사</t>
  </si>
  <si>
    <t>포항시 국제협력관광과
/ 포항문화재단
(054-270-2246)</t>
  </si>
  <si>
    <t>2004년도
(제16회)</t>
  </si>
  <si>
    <t>관광진흥개발기금 지원</t>
  </si>
  <si>
    <t>불꽃, 불빛</t>
  </si>
  <si>
    <t>칠포재즈페스티벌</t>
  </si>
  <si>
    <t>○ 국내외 유명 뮤지션이 펼치는 재즈향연</t>
  </si>
  <si>
    <t>포항시 문화예술과
/ (사)칠포재즈축제위원회
(054-270-2873)</t>
  </si>
  <si>
    <t>문화콘텐츠행사 지원</t>
  </si>
  <si>
    <t>음악(재즈)</t>
  </si>
  <si>
    <t>연일부조장터문화축제</t>
  </si>
  <si>
    <t>○퍼레이드, 풍물장터 운영, 전통체험, 씨름, 가요제
○뗏목타기, 장터문화 체험, 전통놀이 체험 등</t>
  </si>
  <si>
    <t>포항시
/(사)연일향토청년회
(054-270-6586)</t>
  </si>
  <si>
    <t>2009년도
(제12회)</t>
  </si>
  <si>
    <t>장터문화</t>
  </si>
  <si>
    <t>경주시</t>
  </si>
  <si>
    <t>2019경주벚꽃축제</t>
  </si>
  <si>
    <t>4.5~4.9
(5일간)</t>
  </si>
  <si>
    <t xml:space="preserve"> ○ 벚꽃음악회
 ○ 벚꽃버스킹, 신라고취대 퍼레이드, 벚꽃운동회
 ○ 신라복 체험, 벚꽃야행, 화전놀이 등 체험행사
 ○ 농특산물판매장 , 벚꽃마라톤 등 연계행사</t>
  </si>
  <si>
    <t>경주시/경주문화재단</t>
  </si>
  <si>
    <t>2017년</t>
  </si>
  <si>
    <t>2019 제47회 신라문화제</t>
  </si>
  <si>
    <t>10.3~10.9
(7일간)</t>
  </si>
  <si>
    <t xml:space="preserve"> ○ 개·폐막식
 ○ 미디어 파사드 뮤지컬(신라의 빛 화랑), 매소성 전투 재현, 꽃화랑 코스프레, 화랑 풍류놀이 등</t>
  </si>
  <si>
    <t>경주시, 신라문화선양회</t>
  </si>
  <si>
    <t>1962년
(47회)</t>
  </si>
  <si>
    <t>신라문화
(화랑)</t>
  </si>
  <si>
    <t>경주도자기축제</t>
  </si>
  <si>
    <t>4. 19~4.28
(10일간)</t>
  </si>
  <si>
    <t>ㅇ 도자기 전시․판매
ㅇ 도자기 만들기 체험, 다도체험 등</t>
  </si>
  <si>
    <t>경주시 경제정책과/경주도예가
협회
(054-779-6232)</t>
  </si>
  <si>
    <t>도자기 전시 
판매,체험</t>
  </si>
  <si>
    <t>김천시</t>
  </si>
  <si>
    <t>김천자두포도축제</t>
  </si>
  <si>
    <t>미정
(4일간)</t>
  </si>
  <si>
    <t>○자두포도 수확체험행사
○특산물을 테마로한 전시, 체험프로그램운영
  - 누려라 참여행사 : 6여개 프로그램
  - 즐겨라 김천자두포도축제 : 5개분야 20여개 프로그램
  - 느껴라 김천의 맛 : 8여개 프로그램
○기타 특별행사 및 전시 등</t>
  </si>
  <si>
    <t>김천시/김천자두포도축제위원회
 (심정규 054-421-2592)</t>
  </si>
  <si>
    <t>자두, 포도</t>
  </si>
  <si>
    <t>안동시</t>
  </si>
  <si>
    <t>안동암산얼음축제</t>
  </si>
  <si>
    <t>1. 19.-1. 27.
(9일간)</t>
  </si>
  <si>
    <t>○ 공연행사 : 개막식 및 놀이단 한식구 공연
○ 체험행사 : 빙어,송어낚시, 썰매타기, 미니컬링 대회 등
○ 전시행사 : 얼음빙벽 및 얼음조각전 등</t>
  </si>
  <si>
    <t>안동시 관광진흥과
/ 안동축제관광재단
(054-840-5511)</t>
  </si>
  <si>
    <t>28
(자부담)</t>
  </si>
  <si>
    <t>재단법인,
시민단체</t>
  </si>
  <si>
    <t>있음
정규직 13명
파견 1명
총 14명</t>
  </si>
  <si>
    <t>안동봄꽃축제</t>
  </si>
  <si>
    <t>4.-5.(예정)
(10일간)</t>
  </si>
  <si>
    <t>○ 벚꽃거리조성, 조명터널 설치, 전시 및 체험존 조성 등
○ 지역단체의 다양한 문화공연 등</t>
  </si>
  <si>
    <t>안동국제탈춤페스티벌</t>
  </si>
  <si>
    <t>9. 27.-10. 6.
(10일간)</t>
  </si>
  <si>
    <t>○ 국내외 단체들의 탈춤공연
○ 세계탈놀이경연대회, 세계 창작탈 및 그리고 공모전
○ 주빈국의 날 운영 등</t>
  </si>
  <si>
    <t>500
(자부담)</t>
  </si>
  <si>
    <t>문화체육관광부 지정 글로벌 육성 축제</t>
  </si>
  <si>
    <t>탈, 탈춤</t>
  </si>
  <si>
    <t>영주시</t>
  </si>
  <si>
    <t>영주한국선비문화축제</t>
  </si>
  <si>
    <t>○ 핵심프로그램 : 우리 모두가 선비다(회헌 안향선생의 육훈 관련 프로그램)
 ○ 선비를 테마로한 공연, 전시, 체험프로그램 운영
     -소수서원 사액 봉안례 재연행사, 청소년 한시 랩배틀, 가족 한복맵시 장기자랑, 선비촌이 살아있다, 선비문화 전통한복체험, 선비반상체험, 미래 선비 선발대회, 순흥초군청줄다리기, 선비세상 전시 및 체험 등</t>
  </si>
  <si>
    <t>영주시 관광진흥과
/(재)영주문화관광재단
(054-639-3794)</t>
  </si>
  <si>
    <t>선비정신</t>
  </si>
  <si>
    <t xml:space="preserve">재단법인  </t>
  </si>
  <si>
    <t>있음               정규직 4명          계약직 1명          총 5명</t>
  </si>
  <si>
    <t>영주소백산철쭉제</t>
  </si>
  <si>
    <t xml:space="preserve">○ 핵심프로그램 : 소백산산신제, 대한민국 철쭉등반대회    ○ 소백산을 테마로 한 체험프로그램 운영     </t>
  </si>
  <si>
    <t>영주시 관광진흥과
/(재)영주문화관광재단
(054-639-3795)</t>
  </si>
  <si>
    <t>1998년도       (22회)</t>
  </si>
  <si>
    <t>소백산</t>
  </si>
  <si>
    <t>영주무섬외나무다리축제</t>
  </si>
  <si>
    <t>10월 중          (2일간)</t>
  </si>
  <si>
    <t>○ 핵심프로그램 :무섬외나무다리 퍼포먼스
○ 무섬마을을 테마로한 공연, 전시, 체험프로그램 운영
 - 전통혼례, 전통상여행렬 재연행사, 무섬마을 할아버지와 함께하는 '시간 속 무섬마을 야행', 무섬마을 가을밤 낭만음악회, 추억의 통기타 가을음악회, 전통한복체험, 무섬마을 향토음식체험, 전통놀이체험, 느린우체통 등</t>
  </si>
  <si>
    <t>전통문화
(무섬마을)</t>
  </si>
  <si>
    <t>영주풍기인삼축제</t>
  </si>
  <si>
    <t>10월 중
(9일간)</t>
  </si>
  <si>
    <t>○ 풍기인삼 블랙 프라이데이, 인삼대제, 주세붕 행차 재연
○ 인삼깎기 경연대회, 우량인삼선발대회, 인삼가요제, 힐링걷기대회, 인삼캐기 등 체험</t>
  </si>
  <si>
    <t>영주시 관광진흥과
/(재)영주풍기인삼축제조직위원회
(054-639-6612)</t>
  </si>
  <si>
    <t>있음
위원장 1명
정규직 2명
총 3명</t>
  </si>
  <si>
    <t>영주사과축제</t>
  </si>
  <si>
    <t>10월 중
(8일간)</t>
  </si>
  <si>
    <t>○ 핵심프로그램 : 사과품평회, 사과전시, 사과체험존      ○ 사과를 활용한 체험존 및 공연 행사 진행</t>
  </si>
  <si>
    <t>2017년도         (3회)</t>
  </si>
  <si>
    <t>사과</t>
  </si>
  <si>
    <t>영천시</t>
  </si>
  <si>
    <t>제16회 영천보현산
별빛축제</t>
  </si>
  <si>
    <t>6.14~6.16
(3일간)</t>
  </si>
  <si>
    <t>○ 천문, 우주, 과학 주제관 및 전시, 체험, 학습 부스 운영
○ 천문과학관, 천문전시체험관 프로그램 운영
○ 별자리 강의, 누워서 별보기, 스타파티
○ 방문객 참여 프로그램
○ 주민참여 프로그램(삼굿구이 체험, 지역특산물 판매, 전통체험
    프로그램 등)
○ 개막식 공연 및 문화공연
○ 연계행사(캠핑페스티벌, 축제투어, 천문대 개방 등)</t>
  </si>
  <si>
    <t>영천보현산별빛축제위원회/
영천시 관광진흥과
(054-330-6702)</t>
  </si>
  <si>
    <t>별
(천문,우주,과학)</t>
  </si>
  <si>
    <t>제17회 영천한약축제</t>
  </si>
  <si>
    <t>10월초(미정)</t>
  </si>
  <si>
    <t xml:space="preserve"> ○ 사상체질 등 건강힐링 체험관
 ○ 한방을 테마로한 공연, 전시, 체험프로그램</t>
  </si>
  <si>
    <t>영천시 과수한방과/
영천한방산업발전협의회
(054-339-7248)</t>
  </si>
  <si>
    <t>한약초</t>
  </si>
  <si>
    <t>영천문화예술제</t>
  </si>
  <si>
    <t>9~10월 중</t>
  </si>
  <si>
    <t xml:space="preserve">○ 지역전통문화 및 예술창작 활동 융합형 행사
○ 공연,경연,전시,체험 문화예술 프로그램 
  -5개분야 50여개 프로그램
○ 왕평가요제 및 조선통신사행렬 등 특별행사 </t>
  </si>
  <si>
    <t>영천시 문화예술과/
영천문화예술제추진위원회
(054-330-6365)</t>
  </si>
  <si>
    <t>1973회
(46회)</t>
  </si>
  <si>
    <t>제18회 영천과일축제</t>
  </si>
  <si>
    <t xml:space="preserve"> ○ 과일품평회, 과일체헌, 농특산물 홍보판매
 ○ 과일주제관 운영, 과일시식 등</t>
  </si>
  <si>
    <t>영천시 과수한방과/
영천과일축제추진위원회
(054-339-7183)</t>
  </si>
  <si>
    <t>1998년도
(18회)</t>
  </si>
  <si>
    <t>사과, 포도,
 복숭아</t>
  </si>
  <si>
    <t>영천와인페스타</t>
  </si>
  <si>
    <t xml:space="preserve"> ○ 개회식(포도어불러밟기, 2018와인개봉식)
 ○ 전국대학생 와인경기대회 병행개최
 ○ 영천와인 무료시음 및 홍보 판매 행사, 레크리에이션
 ○ 영천와인 어워즈 선발, 체험, 공연 등</t>
  </si>
  <si>
    <t>영천시 기술지원과/
(사)영천와인사업단
(054-339-7398)</t>
  </si>
  <si>
    <t>상주시</t>
  </si>
  <si>
    <t>2019 상주이야기축제</t>
  </si>
  <si>
    <r>
      <t>9.27</t>
    </r>
    <r>
      <rPr>
        <sz val="11"/>
        <rFont val="맑은 고딕"/>
        <family val="3"/>
        <charset val="129"/>
      </rPr>
      <t>∼</t>
    </r>
    <r>
      <rPr>
        <sz val="9.9"/>
        <rFont val="HY중고딕"/>
        <family val="1"/>
        <charset val="129"/>
      </rPr>
      <t>9.29
(3일간)</t>
    </r>
  </si>
  <si>
    <t xml:space="preserve"> ○ 옛선비들이 낙동강에 배를 띄워 놀고(洛江泛舟遊), 
     달을 띄워 놀던(洛江泛月遊) 이야기를 현대적으로 
     재해석하고, 재미 요소를 가미한 전시,공연,경연,
     체험 프로그램 운영</t>
  </si>
  <si>
    <t>상주시/상주시축제추진위원회
(054-537-7108)</t>
  </si>
  <si>
    <t>이야기</t>
  </si>
  <si>
    <t>대한민국 곶감축제</t>
  </si>
  <si>
    <t>12.22.~12.25
(4일간)</t>
  </si>
  <si>
    <t xml:space="preserve"> ○ 상주곶감 임금님진상재현 퍼레이드
 ○ 곶감 뮤지컬, 인형극 등 문화공연 
 ○ 곶감 및 지역농특산물 판매부스 운영</t>
  </si>
  <si>
    <t>상주외남고을곶감축제추진위원회
(054-537-8202)</t>
  </si>
  <si>
    <t>문경시</t>
  </si>
  <si>
    <t>문경찻사발축제</t>
  </si>
  <si>
    <t>4.27~5.6(10일간)</t>
  </si>
  <si>
    <t>○ 전국찻사발공모대전
○ 도예명장특별전,문경전통도자기명품전
○ 어린이 사기장전
○ 찻사발빚기, 찻사발그림그리기
○ 도예인 퍼포먼스</t>
  </si>
  <si>
    <t>문경시 
/ 문경축제관광조직위원회
문경전통찻사발축제추진위원회
(054-550-6395)</t>
  </si>
  <si>
    <t>문화관광 축제지원사업</t>
  </si>
  <si>
    <t>대표</t>
  </si>
  <si>
    <t>찻사발</t>
  </si>
  <si>
    <t xml:space="preserve"> ·공공(시군구)
 ·축제추진위
 ·재단법인</t>
  </si>
  <si>
    <t>있음
(계약직 5명)</t>
  </si>
  <si>
    <t>·부분위탁
 (운영,하드웨어, 
   프로그램)</t>
  </si>
  <si>
    <t>문경사과축제</t>
  </si>
  <si>
    <t>10월중
(미정)</t>
  </si>
  <si>
    <t xml:space="preserve"> ○ 사과 농가 직판 행사
 ○ 사과  전시, 체험프로그램 운영
 ○ 개막 공연, 주제공연 및 문화공연
 ○ 기타 특별행사 및 전시 등등 </t>
  </si>
  <si>
    <t>문경시
/ 문경축제관광조직위원회
문경사과축제추진위원회
(054-550-6886)</t>
  </si>
  <si>
    <t>문경오미자축제</t>
  </si>
  <si>
    <t>9월중
(미정)</t>
  </si>
  <si>
    <t xml:space="preserve"> ○ 오미자 농가 직판 행사
 ○ 오미자  전시, 체험프로그램 운영
 ○ 개막 공연, 주제공연 및 문화공연
 ○ 기타 특별행사 및 전시 등등 </t>
  </si>
  <si>
    <t>문경시
/ 문경축제관광조직위원회
문경오미자축제추진위원회
(054-550-6889)</t>
  </si>
  <si>
    <t>오미자</t>
  </si>
  <si>
    <t>문경한우축제</t>
  </si>
  <si>
    <t>9월~10월
(기간중2~3일)</t>
  </si>
  <si>
    <t xml:space="preserve">
○ 약돌한우 구이터 운영
○ 농축산물 홍보 및 판매
○ 한우관련 체험
○ 한우 시식회 등 </t>
  </si>
  <si>
    <t>문경시 
/ 문경축제관광조직위원회
문경한우축제추진위원회
(054-550-6284)</t>
  </si>
  <si>
    <t>2010년
(9회)</t>
  </si>
  <si>
    <t xml:space="preserve">
 ·지역특산물
</t>
  </si>
  <si>
    <t>문경약돌한우</t>
  </si>
  <si>
    <t xml:space="preserve"> ·공공(시군구)
 ·축제추진위
</t>
  </si>
  <si>
    <t>경산시</t>
  </si>
  <si>
    <t>경산자인단오제</t>
  </si>
  <si>
    <t xml:space="preserve">○ 핵심프로그램 : 여원무(국가무형문화재 제44호 공연)
○ 자인단오를 테마로한 공연, 전시, 체험프로그램 운영
○ 개폐막 공연, 문화재공연, 주제공연 및 문화공연
   - 3개 분야 60여개 프로그램
○ 기타 특별행사 및 전시 등등 </t>
  </si>
  <si>
    <t>경산시 문화관광과
/ 자인단오보존회
(053-810-5358)</t>
  </si>
  <si>
    <t>1946년도
(42회)</t>
  </si>
  <si>
    <t>경산갓바위소원성취축제</t>
  </si>
  <si>
    <t xml:space="preserve">○ 핵심프로그램 : 국태민안소원기원행사
○ 소원성취를 테마로한 공연, 전시, 체험프로그램 운영
○ 다례봉행, 갓바위 음악회 등 주제및 문화공연
   - 2개 분야 40여개 프로그램
○ 기타 특별행사 및 전시 등등 </t>
  </si>
  <si>
    <t>경산시 문화관광과
/ 갓바위축제추진위원회
(053-810-5358)</t>
  </si>
  <si>
    <t>1998년도
(19회)</t>
  </si>
  <si>
    <t>갓바위
(소원성취)</t>
  </si>
  <si>
    <t>경산대추축제</t>
  </si>
  <si>
    <t xml:space="preserve">○ 핵심프로그램 : 대추농산물 할인부스 운영
○ 대추를 테마로한 공연, 전시, 체험프로그램 운영
○ 대추가요제, 한복패션쇼 등 주제 및 문화공연
   - 3개 분야 50여개 프로그램
○ 기타 특별행사 및 전시 등등 </t>
  </si>
  <si>
    <t>경산시 농정유통과
/ 한국농업경영인 경산시연합회
(053-810-6698)</t>
  </si>
  <si>
    <t>2006년
(9회)</t>
  </si>
  <si>
    <t>군위군</t>
  </si>
  <si>
    <t>삼국유사 테마파크 축제</t>
  </si>
  <si>
    <t>2019. 8월중
(2일간)</t>
  </si>
  <si>
    <t>○ 삼국 스피드 슬라이드 대회
○ 빙수만들기 퍼포먼스 및 빙수 관련 경연대회
○ 삼국유사 관련 전시, 공연, 체험프로그램 운영
○ 개막 축하공연
○ 기타 테마기행, 지역 농산물 홍보판매장 등 운영</t>
  </si>
  <si>
    <t>군위군 삼국유사사업소
(054-380-3964)</t>
  </si>
  <si>
    <t>2019년
(신규)</t>
  </si>
  <si>
    <t>삼국유사</t>
  </si>
  <si>
    <t>기타
(삼국유사테마파크 개장 기념)</t>
  </si>
  <si>
    <t>의성군</t>
  </si>
  <si>
    <t>제9회 의성세계연축제</t>
  </si>
  <si>
    <t>5. 4.~5. 6.
(3일간)</t>
  </si>
  <si>
    <t xml:space="preserve"> ○ 스포츠카이트월드챔피언십, 세계창작연날리기 시연 
 ○ 세계의 연(鳶)을 테마로한 체험 및 전시프로그램 운영
 ○ 제11회 전국생활체육대장사 씨름대회 연계 개최
 ○ 메기잡기 및 구이체험, 드론체험, 미니컬링게임 등</t>
  </si>
  <si>
    <t>의성군축제추진위원회
/의성세계연축제집행위원회
(054-830-6359)</t>
  </si>
  <si>
    <t>2011년도
(제9회)</t>
  </si>
  <si>
    <t>세계연(鳶)</t>
  </si>
  <si>
    <t>제2회 의성슈퍼푸드
마늘축제</t>
  </si>
  <si>
    <t xml:space="preserve"> ○ 유명 쉐프와 연계한 의성마늘 요리대회 진행
 ○ 의성마늘 즉석경매요소 도입, 요식업 프랜차이즈 유치  
 ○ 의성마늘학교, 의성마늘놀이터 내 체험거리 확대 운영
 ○ 의성마늘콘서트, 의성예술난장 등 각종 공연 진행</t>
  </si>
  <si>
    <t>의성군축제추진위원회
/의성슈퍼푸드마늘축제추진위원회
(054-830-6096)</t>
  </si>
  <si>
    <t>2018년도
(제2회)</t>
  </si>
  <si>
    <t>의성마늘</t>
  </si>
  <si>
    <t>청송군</t>
  </si>
  <si>
    <t>청송사과축제</t>
  </si>
  <si>
    <t>10.31~11.3
(4일간)</t>
  </si>
  <si>
    <t xml:space="preserve"> ○ 청송사과퍼레이드, 사과 마당극 전국 경연대회, 만유인력황금사과를 찾아라, 꿀잼사과난타, 도전-사과선별로또 등
 ○ 청송사과를 테마로 한 공연, 전시, 체험프로그램 운영
 ○ 개폐막 공연, 주제공연 및 문화공연
    - 16개 주요공연, 33개 프로그램 </t>
  </si>
  <si>
    <t>청송군청 관광정책과/ 청송군축제추진위원회
(054-873-3686)</t>
  </si>
  <si>
    <t>청송사과</t>
  </si>
  <si>
    <t>있음
계약직1명
총1명</t>
  </si>
  <si>
    <t>수달래축제</t>
  </si>
  <si>
    <t xml:space="preserve"> ○ 수달래제례, 수달래꽃줄엮기 등
 ○ 수달래를 테마로한 공연, 전시, 체험프로그램 운영
 ○ 개폐막 공연, 주제공연 및 문화공연
    - 6개 분야, 27개 프로그램 </t>
  </si>
  <si>
    <t>1986년
(33회)</t>
  </si>
  <si>
    <t>수달래꽃</t>
  </si>
  <si>
    <t>영양군</t>
  </si>
  <si>
    <t>제15회영양산나물축제</t>
  </si>
  <si>
    <t>5.9~5.12
(4일간)</t>
  </si>
  <si>
    <t xml:space="preserve"> ○ 산나물채취체험 
 ○ 산나물을 테마로 한 공연,전시, 체험프로그램 운영
 ○ 주제공연 및 문화공연
    - 4개분야 20여개 프로그램
 ○ 산나물판매 부스 운영 등</t>
  </si>
  <si>
    <t>영양군 문화관광과
/(재)영양축제관광재단
(054-680-6411)</t>
  </si>
  <si>
    <t>산나물</t>
  </si>
  <si>
    <t>있음
정규직 2명
공무원파견 1명
총3명</t>
  </si>
  <si>
    <t>영양고추 H.O.T Festival 행사</t>
  </si>
  <si>
    <t>미정(8월말`~9월초경)
(3일간)</t>
  </si>
  <si>
    <t xml:space="preserve"> ○ 무대행사
 ○ 도․농상생 한마당
 ○ 농특산물 전시․판매 등</t>
  </si>
  <si>
    <t>영양군 유통일자리과
(054-680-6571)</t>
  </si>
  <si>
    <t>있음
정규직 3명</t>
  </si>
  <si>
    <t>2019 여중군자장계향 문화축전</t>
  </si>
  <si>
    <t xml:space="preserve"> ○ 음식디미방 청소년 요리 경연대회
 ○ 음식디미방을 테마로한 전시, 체험프로그램 운영
 ○ 주제공연 및 문화공연
     - 4개분야 10여개 프로그램 
 ○ 학술프로그램 운영 등</t>
  </si>
  <si>
    <t>영양군 문화관광과
/(재)세계유교문화재단
(054-680-6411)</t>
  </si>
  <si>
    <t>장계향(인물)</t>
  </si>
  <si>
    <t>있음
정규직 8명
총8명</t>
  </si>
  <si>
    <t xml:space="preserve">제13회조지훈예술제 </t>
  </si>
  <si>
    <t xml:space="preserve"> ○ 지훈백일장 및 사생대회
 ○ 문학강연
 ○ 지훈시 퍼포먼스, 체험행사 등</t>
  </si>
  <si>
    <t>영양군 문화관광과
/(사)한국문인협회 영양지부(054-680-6461)</t>
  </si>
  <si>
    <t>조지훈(인물)</t>
  </si>
  <si>
    <t>영덕군</t>
  </si>
  <si>
    <t>영덕대게축제</t>
  </si>
  <si>
    <t>3.21~3.24
(4일간)</t>
  </si>
  <si>
    <t xml:space="preserve"> ○황금대게낚시
 ○왕의대게를 테마로한 공연 및 체험프로그램 운영</t>
  </si>
  <si>
    <t>영덕군 문화관광과/영덕대게축제추진위원회
(054-730-6393)</t>
  </si>
  <si>
    <t>문화관광축제지원</t>
  </si>
  <si>
    <t>대게</t>
  </si>
  <si>
    <t>영덕축산항물가자미축제</t>
  </si>
  <si>
    <t>4.25~4.28
(4일간)</t>
  </si>
  <si>
    <t>○개막행사, 영덕물가자미마스터셰프
○체험 및 홍보관(노젓기체험, 어선승선체험)
○물가자미 잡기 체험, 블루로드 걷기 등</t>
  </si>
  <si>
    <t>영덕군 새마을경제과/물가자미축제추진위원회
(054-730-6233)</t>
  </si>
  <si>
    <t>물가자미</t>
  </si>
  <si>
    <t>영덕황금은어축제</t>
  </si>
  <si>
    <t>7월말</t>
  </si>
  <si>
    <t>○ 황금은어반두잡이체험
○ 어린이맨손잡기체험
○ 인기 연예인 축하공연 등 
    - 3개분야 10여개 프로그램</t>
  </si>
  <si>
    <t>영덕군 해양수산과
/영덕황금은어축제추진위원회
(054-730-6586)</t>
  </si>
  <si>
    <t>은어</t>
  </si>
  <si>
    <t>경북대종타종식 및
영덕해맞이축제</t>
  </si>
  <si>
    <t>○ 제야의 종 타종, 해맞이 행사
○ 송년음악회, 도민화합 이벤트 외</t>
  </si>
  <si>
    <t>영덕군청 문화관광과
/영덕군관광진흥협의회
(054-730-6393)</t>
  </si>
  <si>
    <t>청도군</t>
  </si>
  <si>
    <t>청도소싸움축제</t>
  </si>
  <si>
    <t xml:space="preserve"> ○ 전통민속소싸움경기, 소싸움갬블경기
 ○ 소싸움를 테마로한 공연, 전시, 체험프로그램 운영
 ○ 개막공연, 기타 특별행사 및 전시 등</t>
  </si>
  <si>
    <t>청도군 문화관광과
/청도소싸움축제추진위원회
(054-370-6376)</t>
  </si>
  <si>
    <t>1999년도
(19회)</t>
  </si>
  <si>
    <t>소, 소싸움</t>
  </si>
  <si>
    <t>청도반시축제</t>
  </si>
  <si>
    <t xml:space="preserve"> ○ 반시마켓, 감물염색패션쇼 
 ○ 반시를 테마로한 공연, 전시, 체험프로그램 운영
     - 반시플레이죤, 반시주제관, 반시시식회 등</t>
  </si>
  <si>
    <t>청도군 문화관광과
/청도반시축제추진위원회
(054-370-6376)</t>
  </si>
  <si>
    <t>청도반시</t>
  </si>
  <si>
    <t>청도세계코미디아트
페스티벌</t>
  </si>
  <si>
    <t xml:space="preserve"> ○ 국내외 초청 코미디공연
 ○ 코미디를 테마로한 공연, 전시, 체험프로그램 운영
 ○ 개폐막 공연, 코믹 주제공연   
 ○ 코믹 버스킹, 코믹분장체험 등 기타 부대행사 </t>
  </si>
  <si>
    <t>청도군 문화관광과
/청도세계코미디예술제추진위원회
(054-370-6376)</t>
  </si>
  <si>
    <t>청도세계코미디예술제개최 지원</t>
  </si>
  <si>
    <t>코미디, 공연</t>
  </si>
  <si>
    <t>공공(청도군)</t>
  </si>
  <si>
    <t>고령군</t>
  </si>
  <si>
    <t>대가야체험축제</t>
  </si>
  <si>
    <t>○ 핵심프로그램 : "도전 가야최고의 레전드"
                           "대가야퍼레이드"
○ '대가야'를 테마로한 공연, 전시, 체험프로그램 운영
○ 대가야의 과거존, 현재존, 미래존 운영
○ 기타 특별행사
    ㅇ대가야 패션쇼 
    ㅇ대가야생활촌 개막식
    ㅇ화합의  띠
    ㅇ세계현페스티벌</t>
  </si>
  <si>
    <t>고령군청 관광진흥과 
/ 사)고령군관광협의회
(054-950-6652)</t>
  </si>
  <si>
    <t>문화관광축제
"유망"</t>
  </si>
  <si>
    <t>대가야</t>
  </si>
  <si>
    <t>있음
공무원(파견) 1명
직원 6명
총 7명</t>
  </si>
  <si>
    <t>콫페스티벌</t>
  </si>
  <si>
    <t>9월 중 
(2일간)</t>
  </si>
  <si>
    <t>○ 코스모스 경관 축제
○ 락공연, 스트릿뮤지컬, 버스킹 공연 등</t>
  </si>
  <si>
    <t>있음
공무원(파견) 1명
계약직 4명
기간제 2명
총 7명</t>
  </si>
  <si>
    <t>대가야문화예술제</t>
  </si>
  <si>
    <t>9또는 10월 중
(4일간)</t>
  </si>
  <si>
    <t xml:space="preserve">○ 문화예술 공연
○ 공연, 악극, 전시회 개최 </t>
  </si>
  <si>
    <t>고령군/고령문화원,문화단체
(054-950-6314)</t>
  </si>
  <si>
    <t>1974년도
(46회)</t>
  </si>
  <si>
    <t>성주군</t>
  </si>
  <si>
    <t>2019성주생명문화축제
제6회성주참외페스티벌</t>
  </si>
  <si>
    <t>5.16~19
(4일간)</t>
  </si>
  <si>
    <t>○ 핵심프로그램 : 생명문화·참외주제관, 베이비올림픽
○ 생명문화와 참외를 주제로 한 공연, 전시, 체험프로그램 운영
○ 개폐막식, 미스경북선발대회
○ 기타 특별행사
  - 생명선포식
  - 세종대왕자태실 태봉안의식 재현
  - 태교음악회
  - 세계장태문화와의 만남
  - 생명의 미로 찾기
  - 생명의 열매 '참외' 이벤트
  - 기타 문화예술체험 등</t>
  </si>
  <si>
    <t>성주군축제추진위원회
(054-930-6763)</t>
  </si>
  <si>
    <t>생명문화,참외</t>
  </si>
  <si>
    <t>비상설화
공무원1명파건</t>
  </si>
  <si>
    <t>칠곡군</t>
  </si>
  <si>
    <t>낙동강세계평화 문화
대축전</t>
  </si>
  <si>
    <t>9.27.~9.29.
(3일간)(예정)</t>
  </si>
  <si>
    <t xml:space="preserve"> ○ 호국과 평화를 주제로 대규모 무기전시
 ○ 4,000㎡ 대규모 낙동강 방어선 체험 프로그램
     (55일간의 전투) 
 ○ 개막식 포함 다양한 문화 행사 등
 ○ 인문학 체험관 등 특화 및 이벤트 프로그램 및 
     기타 행사 등\</t>
  </si>
  <si>
    <t>칠곡군 문화관광과/
낙동강세계평화 문화 대축전
(054-979-6100)</t>
  </si>
  <si>
    <t>호국과 평화
(6.25전쟁 
다부동전투)</t>
  </si>
  <si>
    <t>업무위탁</t>
  </si>
  <si>
    <t>칠곡세계인형음악극
축제</t>
  </si>
  <si>
    <t>인형을 무대에 등장시켜 음악과 연주를 연출하는 장르
작품</t>
  </si>
  <si>
    <t>칠곡문화원
054-974-0450</t>
  </si>
  <si>
    <t>인형음악극</t>
  </si>
  <si>
    <t>임의단체
(칠곡문화원)</t>
  </si>
  <si>
    <t>예천군</t>
  </si>
  <si>
    <t>제4회 예천세계활축제</t>
  </si>
  <si>
    <t>10.18.~10.20.
(3일간)</t>
  </si>
  <si>
    <t>○ 활서바이벌 대회개최 및 활쏘기 체험장 운영
○ 다양한 체험, 먹을거리, 각종 판매부스
○ 개폐막 공연, 거리퍼레이드, 주제전시관 및 문화공연 등</t>
  </si>
  <si>
    <t>예천군 문화관광과/예천세계활축제추진위원회
(054-650-6032)</t>
  </si>
  <si>
    <t>2014년도
(4회)</t>
  </si>
  <si>
    <t>활</t>
  </si>
  <si>
    <t>165
(2017년)</t>
  </si>
  <si>
    <t>2019예천장터 농산물대축제</t>
  </si>
  <si>
    <t>○ 국민화합퍼포먼스
○ 농특산물 홍보 판매 체험
○ 우수농특산물 심사 및 시상</t>
  </si>
  <si>
    <t>예천군 농정과/예천농산물축제추진위원회
(054-650-6276)</t>
  </si>
  <si>
    <t>예천농특산물</t>
  </si>
  <si>
    <t>삼강나루터 축제</t>
  </si>
  <si>
    <t>2019.10월중</t>
  </si>
  <si>
    <t xml:space="preserve"> ○ 삼강나루장터
 ○ 나루터와 강문화를 테마로한 전시, 체험 프로그램</t>
  </si>
  <si>
    <t>예천군 문화관광과/세계유교문화재단
(054-650-6902)</t>
  </si>
  <si>
    <t>2010(9회)</t>
  </si>
  <si>
    <t>나루터, 삼강주막</t>
  </si>
  <si>
    <t>유
(정규직 9명)</t>
  </si>
  <si>
    <t>2019 용궁순대축제</t>
  </si>
  <si>
    <t xml:space="preserve"> ○ 순대 시식 홍보행사
 ○ 순대 커팅식 , 개막식 공연 
 ○ 기타 특별행사 및 전시 등등 </t>
  </si>
  <si>
    <t>예천군 농정과/용궁순대축제추진위원회
(054-650-6271)</t>
  </si>
  <si>
    <t>순대</t>
  </si>
  <si>
    <t>봉화군</t>
  </si>
  <si>
    <t>봉화은어축제</t>
  </si>
  <si>
    <t>7.27.~8.4.
(9일간)</t>
  </si>
  <si>
    <t xml:space="preserve">○ 은어반두잡이
○ 계폐막 공연, 주제공연 및 문화공연
○ 기타 특별행사 및 전시 등등 </t>
  </si>
  <si>
    <t>봉화군/봉화군축제위원회
(054-679-6342)</t>
  </si>
  <si>
    <t>봉화송이축제</t>
  </si>
  <si>
    <t>9.27.~9.30.
(4일간)</t>
  </si>
  <si>
    <t xml:space="preserve">○ 송이채취체험
○ 계폐막 공연, 주제공연 및 문화공연
○ 기타 특별행사 및 전시 등등 </t>
  </si>
  <si>
    <t>봉화군/봉화군축제위원회
(054-679-6343)</t>
  </si>
  <si>
    <t>송이</t>
  </si>
  <si>
    <t>자생식물 페스티벌</t>
  </si>
  <si>
    <t>7. ~ 10.
(기간 미정)</t>
  </si>
  <si>
    <t xml:space="preserve">○ 
○ 기타 특별행사 및 전시 등등 </t>
  </si>
  <si>
    <t>국립백두대간수목원/산림청, 경상북도, 봉화군
(054-679-2764)</t>
  </si>
  <si>
    <t>0회</t>
  </si>
  <si>
    <t>산림청</t>
  </si>
  <si>
    <t>지역상생사업</t>
  </si>
  <si>
    <t>식물</t>
  </si>
  <si>
    <t>기타(미정)</t>
  </si>
  <si>
    <t>울진군</t>
  </si>
  <si>
    <t>2019년 울진대게와붉은대게축제</t>
  </si>
  <si>
    <t>2.28~3.3</t>
  </si>
  <si>
    <t>○월송큰줄당기기, 대게경매, 바다의 보물을 잡아라 
○대게 무료시식행사 등</t>
  </si>
  <si>
    <t>울진군 해양수산과/울진군축제발전위원회
(054-789-6851)</t>
  </si>
  <si>
    <t>정규직 3명
총 3명</t>
  </si>
  <si>
    <t>죽변 수산물 축제</t>
  </si>
  <si>
    <t>○수산물 무료시식행사 등
○도립국악단 문화공연, 버스킹 공연 등</t>
  </si>
  <si>
    <t>울진금강송송이축제</t>
  </si>
  <si>
    <t>10.3~10.5</t>
  </si>
  <si>
    <t>○송이직판장, 울진금강송송이와 한우의 만남
○송이품평회, 송이버섯전시, 송이채취체험
○금강송군락지탐방, 송이경매, 울진금강송문화축전
○오프닝퍼포먼스 등 공연, 전시행사
○성류문화제, 울진친환경농산물축제 등과 연계 개최</t>
  </si>
  <si>
    <t>울진군 산림녹지과/울진군축제발전위원회
(054-789-6820)</t>
  </si>
  <si>
    <t>2000년도
(16회)</t>
  </si>
  <si>
    <t>울릉군</t>
  </si>
  <si>
    <t>제19회 울릉도 오징어축제</t>
  </si>
  <si>
    <t>6~8월중</t>
  </si>
  <si>
    <t xml:space="preserve"> ○오징어 맨손잡기
 ○아쿠아 페스티벌
 ○오징어요리 경연대회
 ○바다미꾸라지 잡기 대회
 ○분재 전시회
 ○해변몽돌쌓기
 ○전통 뗏목 경주
 ○울릉둘레길 탐방</t>
  </si>
  <si>
    <t>울릉군 문화관광체육과
/울릉군 축제위원회
054-790-6425</t>
  </si>
  <si>
    <t>오징어, 바다</t>
  </si>
  <si>
    <t>창원시</t>
  </si>
  <si>
    <t>진해군항제</t>
  </si>
  <si>
    <t>4.1~4.10
(10일간)</t>
  </si>
  <si>
    <t xml:space="preserve"> ○ 개막행사
 ○ 해상불꽃쇼
 ○ 군악의장 페스티벌 
 ○ 이충무공 승전행차 및 추모대제</t>
  </si>
  <si>
    <t>창원시/진해군항제축제위원회</t>
  </si>
  <si>
    <t>1963년도
(57회)</t>
  </si>
  <si>
    <t>마산가고파국화축제</t>
  </si>
  <si>
    <t>10.25~11.8(예정)
(15일간)</t>
  </si>
  <si>
    <t xml:space="preserve"> ○ 개막행사
 ○ 해상불꽃쇼
 ○ 문화.예술행사</t>
  </si>
  <si>
    <t>창원시/가고파국화축제위원회</t>
  </si>
  <si>
    <t>계약직 1명</t>
  </si>
  <si>
    <t>시장,기타</t>
  </si>
  <si>
    <t>창원남산상봉제</t>
  </si>
  <si>
    <t xml:space="preserve"> ○학생백일장 및 사생실기대회
 ○남산상봉 가요제
 ○어울림 잔치 한마당(전통놀이,공연,체험마당) </t>
  </si>
  <si>
    <t>창원시 의창구 동정동 250
창원남산상봉제
(055-299-3408)</t>
  </si>
  <si>
    <t>마산만날제</t>
  </si>
  <si>
    <t>9.14~9.16
(3일간)</t>
  </si>
  <si>
    <t xml:space="preserve"> ○ 마산오광대공연 및 전통예술공연 
 ○ 전통민속놀이 체헙 및 탁족지유,민속공방 운영
 ○개폐막 공연, 불꽃놀이 및 전통예술 공연 </t>
  </si>
  <si>
    <t>마산만날제운영위원회,마산예술문화단체총연합회
(055-296-2266)</t>
  </si>
  <si>
    <t>1987년
(32회)</t>
  </si>
  <si>
    <t>지역대표 공연예술제 지원(공무신청중)</t>
  </si>
  <si>
    <t>만남</t>
  </si>
  <si>
    <t xml:space="preserve">있음
정규직 3명
</t>
  </si>
  <si>
    <t>진주시</t>
  </si>
  <si>
    <t>제18회 진주논개제</t>
  </si>
  <si>
    <t xml:space="preserve">5.24~5.26
(3일간) </t>
  </si>
  <si>
    <t xml:space="preserve">○ 헌다례 및 신위순행
○ 여성,교방문화를 테마로 한 전통문화예술축제
○ 의암별제, 논개순국재현극, 교방문화체험 등 
  - 본행사 21개 종목, 체험 및 부대행사 20개 종목 </t>
  </si>
  <si>
    <t>진주시,(사)진주민속예술보존회
/진주논개제 제전위원회
(055-749-8589)</t>
  </si>
  <si>
    <t>2002년(18회)</t>
  </si>
  <si>
    <t>논개</t>
  </si>
  <si>
    <t>2019
진주남강유등축제</t>
  </si>
  <si>
    <t>10.1~10.13
(13일간)</t>
  </si>
  <si>
    <t>○ 초혼점등식
○ 유등을 테마로 한 공연, 전시, 체험프로그램 운영
○ 소망등달기, 추억의 유등띄우기, 읍면동상징등, 
    한국등 및 세계풍물등 전시 등
  - 본행사 16개 종목, 체험참여행사 12개종목, 
      부대행사 9개 종목</t>
  </si>
  <si>
    <t>진주시,(재)진주문화예술재단
/진주남강유등축제제전위원회
(055-755-9111)</t>
  </si>
  <si>
    <t>2000년(19회)</t>
  </si>
  <si>
    <t>문화관광체육부
문화관광축제
(글로벌 육성
 진주남강유등축제)</t>
  </si>
  <si>
    <t>유등</t>
  </si>
  <si>
    <t xml:space="preserve">하천, 사적지 </t>
  </si>
  <si>
    <t>제69회 개천예술제</t>
  </si>
  <si>
    <t>10.3~10.10
(8일간)</t>
  </si>
  <si>
    <t>○ 서제 및 개제식
○ 지방종합예술제의 효시로써 진주대첩을 테마로한 
    공연, 전시, 체험프로그램 운영
○ 가장행렬, 촉석산성아리아, 예술경연, 체험행사, 
    각종전시, 종야축제 
  - 11개 부문 64개 행사</t>
  </si>
  <si>
    <t>진주시, 한국예총진주지회
/개천예술제제전위원회
(055-752-0111)</t>
  </si>
  <si>
    <t>1949년(69회)</t>
  </si>
  <si>
    <t>문화예술진흥기금 공모사업</t>
  </si>
  <si>
    <t>경상남도
 문화관광축제
(유망)</t>
  </si>
  <si>
    <t>진주대첩과
예술경연</t>
  </si>
  <si>
    <t>2019
코리아드라마페스티벌</t>
  </si>
  <si>
    <t>○ 코리아드라마어워즈
○ 드라마를 테마로 한 공연, 전시, 체험프로그램 운영
○ 드라마OST콘서트, 국제학술포럼, 축제프로그램 등 
  - 3개부문 18개 행사</t>
  </si>
  <si>
    <t>(사)코리아드라마페스티벌조직위원회(055-755-2363)</t>
  </si>
  <si>
    <t>코리아드라마페스티벌</t>
  </si>
  <si>
    <t>드라마</t>
  </si>
  <si>
    <t>있음
정규직 5명</t>
  </si>
  <si>
    <t>하천, 기타</t>
  </si>
  <si>
    <t>통영시</t>
  </si>
  <si>
    <t>제58회
통영한산대첩축제</t>
  </si>
  <si>
    <t>8.10~8.14
(5일간)</t>
  </si>
  <si>
    <t xml:space="preserve"> ○ 한산대첩 재현
 ○ 이충무공 행렬 및 군점 등 
 ○ 각종 예술공연,전시,체험프로그램 진행</t>
  </si>
  <si>
    <t>통영시 문화예술과
/ (재)통영한산대첩기념사업회
(055-644-5222)</t>
  </si>
  <si>
    <t>1954년도
(58회)</t>
  </si>
  <si>
    <t>한산대첩 승리   기념, 이순신장군호국정신계승</t>
  </si>
  <si>
    <t>제17회
봉숫골 꽃나들이 축제</t>
  </si>
  <si>
    <t>4.7~4.8
(2일간)</t>
  </si>
  <si>
    <t xml:space="preserve"> ○ 통제사 꽃나들이 행렬
 ○ 벚꽃을 테마로 한 개막식, 프린지 등 문화공연
 ○ 아동사생대회 등 참여 행사
 ○ 전혁림미술관, 김춘수유품전시관 등 전시 및 관람행사
 ○ 기타 특별행사 및 전시 등</t>
  </si>
  <si>
    <t>봉숫골벚꽃축제위원회
(055-650-3840)</t>
  </si>
  <si>
    <t>2019년 통영국제음악제</t>
  </si>
  <si>
    <t>3.29~4.7
(10일간)</t>
  </si>
  <si>
    <t xml:space="preserve"> ○ 2020년 베토벤 탄생 250주년 콘텐츠프로그램 운명 기획공연
 ○ 세계적인 연주자와 오케스트라, 아시아 초연 오페라공연
 ○ 2019년 프린지 공연, 부대행사 등</t>
  </si>
  <si>
    <t>걍상남도, 통영시
/ (재)통영국제음악재단
(055-650-0400)</t>
  </si>
  <si>
    <t>윤이상</t>
  </si>
  <si>
    <t>있음
정규직 26명</t>
  </si>
  <si>
    <t>음악당, 거리</t>
  </si>
  <si>
    <t>사천시</t>
  </si>
  <si>
    <t>제24회 와룡문화제</t>
  </si>
  <si>
    <t>4.26.~28.
(3일간)</t>
  </si>
  <si>
    <t>○ 와룡퍼레이드
○ "용"과 "왕_고려현종"을 테마로 한 주제,체험 및 전시
    프로그램 운영
○다양한 문화공연(특설,광장,프린지무대)
○ 청소년 프로그램 등
○ 삼천포愛빠지다
○ 기타 특별행사 및 홍보 판매 먹거리 등등</t>
  </si>
  <si>
    <t>사천시 / 사천문화재단
(055-835-6496)</t>
  </si>
  <si>
    <t xml:space="preserve">1995년도
(24회)
</t>
  </si>
  <si>
    <t>용, 왕_고려현종</t>
  </si>
  <si>
    <t>있음
정규직 11명
기간제 8명</t>
  </si>
  <si>
    <t>사천시청 광장</t>
  </si>
  <si>
    <t>농업한마당축제</t>
  </si>
  <si>
    <t>○ 다양한 공연, 전시, 시음•시식 행사 진행 예정
  ※ 세부내용 및 일정은 미정</t>
  </si>
  <si>
    <t>사천시농업한마당축제추진위원회
(055-831-3760~4)</t>
  </si>
  <si>
    <t>농•축산물, 특산물</t>
  </si>
  <si>
    <t>사천시청
(노을광장)</t>
  </si>
  <si>
    <t>2018 사천시 삼천포항 수산물축제</t>
  </si>
  <si>
    <t>4.12.~4.14.
(3일간)</t>
  </si>
  <si>
    <t>○ 맨손 붕장어 잡기
○ 참치 해체쇼, 수산물 다트체험, 어린이 주꾸미 낚시
○ 불꽃놀이, 수산물가요제, 용궁수산시장 상인회 합창단 공연
○ 난타공연, 해산물 어류도감 전시 등</t>
  </si>
  <si>
    <t>바지락, 붕장어,
돌게, 주꾸미 등</t>
  </si>
  <si>
    <t>어항구</t>
  </si>
  <si>
    <t>제17회 사천시 삼천포항
자연산 전어축제</t>
  </si>
  <si>
    <t>7월 중순(예정)
(5일간)</t>
  </si>
  <si>
    <t>○ 맨손 전어잡기 체험
○ 전어 무료시식회, 전어 퀴즈쇼, 전어 먹기대회 등
○ 주민자치위원회 초청공연, 전어축제 노래자랑 등
○ 불꽃놀이, 해산물 어류도감 전시 등</t>
  </si>
  <si>
    <t>자연산 전어</t>
  </si>
  <si>
    <t>제6회 사천시
서포 별주부전축제</t>
  </si>
  <si>
    <t>4.6.~4.7.
(2일간)</t>
  </si>
  <si>
    <t xml:space="preserve"> ○ 대표프로그램 - 별주부전연극, 용왕제
 ○ 별주부전,서포면을 테마로한 공연, 체험프로그램 운영
 ○ 개폐막 공연, 주제공연 및 문화공연
     - 2개분야 20여개 프로그램</t>
  </si>
  <si>
    <t>사천문화재단
/별주부전축제추진위원회
(055-831-5230)</t>
  </si>
  <si>
    <t>별주부전</t>
  </si>
  <si>
    <t>재단법인
/축제조직위</t>
  </si>
  <si>
    <t>부분위탁
(하드웨어)</t>
  </si>
  <si>
    <t>김해시</t>
  </si>
  <si>
    <t>제24회 김해분청도자기축제</t>
  </si>
  <si>
    <t>10월 말
(10일간)</t>
  </si>
  <si>
    <t>○ 개폐막 공연 및 문화공연
○ 가족도자기 만들기 대회, 도판사생대회
○ 김해분청사기, 김해출신 여류도공 백파선을 주제로한 상영전시관, 각종 도자기 체험프로그램 운영
- 9개 분야 55여개 프로그램
○ 클레이아크 특별전시 "
(2019년 축제세부추진계획 미정)</t>
  </si>
  <si>
    <t xml:space="preserve">김해시 관광과(055-330-3244)/(사)김해도예협회(055-345-6035)
</t>
  </si>
  <si>
    <t>분청도자기</t>
  </si>
  <si>
    <t>김해분청도자박물관 및 인근 거리</t>
  </si>
  <si>
    <t>제43회 가야문화축제</t>
  </si>
  <si>
    <t>4.18~4.21
(4일간)</t>
  </si>
  <si>
    <t xml:space="preserve"> ○ ICT가야역사체험관 운영
 ○ 친환경 테마공간 "가야 미로전시관" 운영
 ○ 가야금페스티벌, 미디어불꽃쇼, 
     미디어 아트쇼 "가야 이야기+가야 왕후무"
    - 3개 분야 40여개 프로그램
 ○ 수로왕행차퍼레디드, 김해줄땡기기, 가야유적탐방, 
     가야복식체험 등 </t>
  </si>
  <si>
    <t>김해시 문화예술과
/ (사)가야문화축제제전위원회
(055-330-3943)</t>
  </si>
  <si>
    <t>1962년도
(43회)</t>
  </si>
  <si>
    <t>가야문화</t>
  </si>
  <si>
    <t xml:space="preserve">있음
계약직 4명  </t>
  </si>
  <si>
    <t>사적지 등</t>
  </si>
  <si>
    <t>허왕후신행길축제</t>
  </si>
  <si>
    <t>10.4~6
(3일간)</t>
  </si>
  <si>
    <t>○ 개폐막 공연, 축하행사 공연
○ 허왕후신행길 퍼레이드 중심의 카니발 
○ 인도문화체험 부스 운영
○ 인도영화제 등</t>
  </si>
  <si>
    <t>김해시 관광과(055-330-3243)
주한인도대사관(02-798-4257) / (재)김해문화의전당(055-320-1234)</t>
  </si>
  <si>
    <t>허왕후</t>
  </si>
  <si>
    <t>김해문화의전당 등</t>
  </si>
  <si>
    <t>2019 김해 문화재야행</t>
  </si>
  <si>
    <t>6.29~30(2일)
9.27~28(2일)</t>
  </si>
  <si>
    <t>○ 수로왕릉 중심 야간 문화재 개방 및 체험
○ 관내 문화재를 활용한  야간형 문화향유 프로그램
○ 개막식 공연
   -공식행사 외 8개(8夜)분야 18개 프로그램</t>
  </si>
  <si>
    <t>김해시(055-330-3923)
/김해문화재단(055-320-1231)</t>
  </si>
  <si>
    <t>2019 지역문화재 활용사업</t>
  </si>
  <si>
    <t>사적지, 박물관,유적지</t>
  </si>
  <si>
    <t>제2회 장어와 함께하는
불암문화축제</t>
  </si>
  <si>
    <t>6. 29~6. 30.
(2일간)</t>
  </si>
  <si>
    <t xml:space="preserve"> ○ 핵심프로그램(대표프로그램): 너도 먹고 나도 먹는 장어요리 배움터
 ○ 체험행사: 장어잡기, 장어요리, 카누타기, 페이스페인팅 등
 ○ 공연
  - 식전공연(1일차): 통기타, 라인댄스, 풍물, 요가 등
  - 축하공연(1일차): 지역가수특별초청, 색소폰, 줄넘기 등 
   - 행사공연(2일차): 청소년동아리댄스, 주민노래자랑, 버스킹 등
 ○ 부스운영: 마을사진 전시, 농산물화훼판매, 먹거리장터, 장어 및 장어중탕 판매                     </t>
  </si>
  <si>
    <t>불암문화축제 제전위원회</t>
  </si>
  <si>
    <t>3
(경상남도
관광진흥과)</t>
  </si>
  <si>
    <t>12.5
(도시계획과)
5
(문화예술과)</t>
  </si>
  <si>
    <t>37.5
(공항공사)
0.6
(자부담)</t>
  </si>
  <si>
    <t>장어, 화훼</t>
  </si>
  <si>
    <t>○ 서낙동강변 
○ 장어마을(12통)
○ 장어타운(15통)
○ 기타 불암동 관내</t>
  </si>
  <si>
    <t>김해진영단감축제</t>
  </si>
  <si>
    <t>11. 1-11. 3
(3일간)</t>
  </si>
  <si>
    <t xml:space="preserve"> ○ 단감을 테마로한 공연, 전시, 체험프로그램 운영</t>
  </si>
  <si>
    <t>김해시 농산업지원과/김해진영단감축제위원회
(055-330-7306)</t>
  </si>
  <si>
    <t>1984년도
(34회)</t>
  </si>
  <si>
    <t>단감</t>
  </si>
  <si>
    <t>금바다꽃축제</t>
  </si>
  <si>
    <t xml:space="preserve"> ○ 다무화가족 웨딩이벤트
 ○ 꽃 조형물, 포토존, 꽃과 빛 터널, 절화 작품 전시
 ○ 개막행사 등 4개 분야 13개 프로그램
 ○ 도시농업박람회 및 농특산물박람회 등</t>
  </si>
  <si>
    <t>대동농협·영남화훼농협·부경화훼원예농협/금바다꽃축제제전위원회
(055-335-4740)</t>
  </si>
  <si>
    <t>1993년도
(7회)</t>
  </si>
  <si>
    <t>2019 김해시 독서대전</t>
  </si>
  <si>
    <t>○ 4개분야 20여개 프로그램 운영
○ 여행(가제)를 테마로 한 작가와의 만남, 
   독후감대회, 독서동아리한마당, 주제특별
   전시, 체험부스, 출판사 북페어, 컨퍼런스, 
   세미나 등
○ 개막식, 축하공연, 강연 등</t>
  </si>
  <si>
    <t>김해시 인재육성지원과
(055-330-6682)</t>
  </si>
  <si>
    <t>대한민국독서대전지자체지원</t>
  </si>
  <si>
    <t>공공(시군구)
시민단체</t>
  </si>
  <si>
    <t>유적지,박물관,도서관 등</t>
  </si>
  <si>
    <t>평생학습과학축제</t>
  </si>
  <si>
    <t>○ 평생학습동아리 경연대회
○뇌과학자"장동선"초청 특강,전시, 체험프로그램 운영
○개폐막공연, 문화공연
- 51개 동아리, 64개 부스 50,000명 참여</t>
  </si>
  <si>
    <t>김해시 인재육성지원과 
/ 김해평생학습축제운영위원회
(055-330-4883)</t>
  </si>
  <si>
    <t>2007년도
(14회)</t>
  </si>
  <si>
    <t>밀양시</t>
  </si>
  <si>
    <t>제61회
밀양아리랑대축제</t>
  </si>
  <si>
    <t>5.16.~5.19.
(4일간)</t>
  </si>
  <si>
    <t>○ 실경멀티미디어쇼 '밀양강 오딧세이'
    - 밀양의 역사와 영웅을 소재로 실경을 배경으로 한
       융복합형 실경멀티미디어쇼
○ 아리랑을 테마로한 공연, 체험프로그램 등
    - 대통합아리랑, 주제공연, 아리랑체험행사 등
○ 민속/예술/특별/전시/체험행사 등 50개 행사</t>
  </si>
  <si>
    <t>밀양시 문화예술과
(055-359-5649)
/ 밀양문화재단
(055-359-4523)</t>
  </si>
  <si>
    <t>1957년도
(61회)</t>
  </si>
  <si>
    <t>밀양아리랑 및
전통문화</t>
  </si>
  <si>
    <t xml:space="preserve">있음
파견공무원 3명
정규직 16명
계약직 1명
총 20명  </t>
  </si>
  <si>
    <t>거제시</t>
  </si>
  <si>
    <t>거제섬꽃축제</t>
  </si>
  <si>
    <t>10.26~11.3
(9일간)</t>
  </si>
  <si>
    <t>○ 가을꽃 전시 등 6개 분야 63프로그램
○ 문화공연 : 국악, 민요, 마당놀이, 마술 등
○ 체험행사 : 곤충체험, 공예품만들기, 캐리커처 등
○ 전시판매 : 국화분재, 사진, 시화, 수석, 농특산물 등
○ 경연대회 : 국화분재 작품전, 청소년렛츠락콘서트
○ 특별행사 : 직장인밴드 페스티발, 거제예술제 등</t>
  </si>
  <si>
    <t>거제시/거제시 농업개발과
(055-639-6443)</t>
  </si>
  <si>
    <t>화훼, 농업</t>
  </si>
  <si>
    <t>거제시농업개발원</t>
  </si>
  <si>
    <t>청마꽃들 축제</t>
  </si>
  <si>
    <t>9월21~26 예정
(7일간)</t>
  </si>
  <si>
    <t>○ 개장행사:  내빈초청, 개장식
○ 문화공연: 시낭송, 문학의 거리조성, 초청가수공연 등
○ 체험행사: 농특산물 시식. 판매, 꽃길걷기, 추억의 사진찍기,먹거리장터 등
○ 규모 : 12ha(코스모스,금계국,  해바라기 식재)</t>
  </si>
  <si>
    <t>거제시 농업지원과/청마꽃들추진위원회
(055-639-6382)</t>
  </si>
  <si>
    <t>청마문학</t>
  </si>
  <si>
    <t xml:space="preserve">있음
계약직 40명 </t>
  </si>
  <si>
    <t>거제대구수산물축제</t>
  </si>
  <si>
    <t>12월중
(2일간)</t>
  </si>
  <si>
    <t xml:space="preserve"> ○ 개막식과 함께 불꽃쇼 진행
 ○ 대구직거래장터, 대구떡국나누기, 맨손으로활어잡기 등 대구관련 프로그램 운영</t>
  </si>
  <si>
    <t>대구</t>
  </si>
  <si>
    <t>옥포대첩기념제전</t>
  </si>
  <si>
    <t>6월
(2일간)</t>
  </si>
  <si>
    <t>○ 기념식, 제례봉행, 승전행사,가장행렬행사</t>
  </si>
  <si>
    <t>거제시 문화예술과/옥포대첩기념제전위원회
(055-639-3394)</t>
  </si>
  <si>
    <t>1962년
(57회)</t>
  </si>
  <si>
    <t>옥포대첩</t>
  </si>
  <si>
    <t>양산시</t>
  </si>
  <si>
    <t>삽량문화축전</t>
  </si>
  <si>
    <t>10.11~13
(3일간)</t>
  </si>
  <si>
    <t>○ 개회식, 축하공연, 50여개 참여프로그램
○ EDM 파티, 소망등달기, LED포토존
○ 기타 연계프로그램 및 전시 등</t>
  </si>
  <si>
    <t>양산시 문화관광과
/양산삽량문화축전추진위원회
(055-392-2546)</t>
  </si>
  <si>
    <t>1986년
(30회)</t>
  </si>
  <si>
    <t>하천, 운동장</t>
  </si>
  <si>
    <t>원동매화축제</t>
  </si>
  <si>
    <t>○ 개막공연, 주제공연 및 문화공연
○ 추억의 DJ박스, 매화산책로 공연, 전시회,</t>
  </si>
  <si>
    <t>양산시/원동매화축제추진위원회
(055-392-2546)</t>
  </si>
  <si>
    <t xml:space="preserve">있음
계약직 2 명
총 2명  </t>
  </si>
  <si>
    <t>양산웅상회야제</t>
  </si>
  <si>
    <t>5월중
(2일간)</t>
  </si>
  <si>
    <t xml:space="preserve">
○ 각종 문화예술 프로그램, 개폐막 공연(공식행사)
○ 다문화축제 
  - 다문화체험 및 어울림 프로그램
○ 시민참여 프로그램
    </t>
  </si>
  <si>
    <t>양산시 웅상출장소 복지문화과
/양산웅상회야제추진위원회
(055-392-2546)</t>
  </si>
  <si>
    <t>문화예술
시민참여
주민화합</t>
  </si>
  <si>
    <t xml:space="preserve">있음
계약직 2명
총 2명  </t>
  </si>
  <si>
    <t>의령군</t>
  </si>
  <si>
    <t>제47회 의병제전</t>
  </si>
  <si>
    <t>4.18.~4.21.
(4일간)</t>
  </si>
  <si>
    <t xml:space="preserve">○ 의병 횃불행진 
○ 임진왜란 최초 의병 창의를 기념하며 공연, 전시, 
     44개 프로그램 운영 
○ 곽재우장군 유물진품전
○ 의령 큰줄땡기기 및 의령전통한지 체험ㆍ전시 </t>
  </si>
  <si>
    <t>(사)의병기념사업회 
(055-570-4149)</t>
  </si>
  <si>
    <t>1973년
(46회)</t>
  </si>
  <si>
    <t>있음 
정규직 2명</t>
  </si>
  <si>
    <t>함안군</t>
  </si>
  <si>
    <t>함안아라문화제</t>
  </si>
  <si>
    <t>4.26~4.28</t>
  </si>
  <si>
    <t xml:space="preserve"> ○ 아라가야체험 행사(아라가야행차 및 천신제 재현)
 ○ 민속문화체험 행사(아라가야 대장간 체험, 아라가야 
     병영문화체험, 아라가야대왕 행차체험 등)
 ○ 경연 및 전시행사
 ○ 축하행사 등</t>
  </si>
  <si>
    <t>함안아라문화제 위원회</t>
  </si>
  <si>
    <t>1988년도
(32회)</t>
  </si>
  <si>
    <t>아라가야
문화유산</t>
  </si>
  <si>
    <t>위원회</t>
  </si>
  <si>
    <t>함안공설운동장,함주공원</t>
  </si>
  <si>
    <t>창녕군</t>
  </si>
  <si>
    <t>제13회 창녕 낙동강
 유채축제</t>
  </si>
  <si>
    <t>4.13.~4.17.
(5일간)</t>
  </si>
  <si>
    <t>○ 낙동강용왕대제,유채꽃길따라 건강걷기
○ 유채를 테마로한 공연, 전시, 체험프로그램 운영
○ 개막 공연, 주제공연 및 문화공연</t>
  </si>
  <si>
    <t>창녕군/
(사)창녕낙동강유채축제위원회
(055-530-1533)</t>
  </si>
  <si>
    <t xml:space="preserve">있음
정규직 1명
계약직 1명
총 2명  </t>
  </si>
  <si>
    <t>제25회 부곡온천축제</t>
  </si>
  <si>
    <t>4.6~4.8
(3일간)</t>
  </si>
  <si>
    <t>○ 황토노천탕 속 보물찾기
○ 온천을 테마로한 공연, 참여, 체험프로그램 운영
○ 개막 공연, 산신제, 온정제
   - 4개 분야 17여개 프로그램</t>
  </si>
  <si>
    <t>창녕군/
(사)부곡온천관광협의회
(055-530-1593)</t>
  </si>
  <si>
    <t>1994년도
(25회)</t>
  </si>
  <si>
    <t>제12회 창녕우포누리
축제</t>
  </si>
  <si>
    <t>10.20~10.21
(2일간)</t>
  </si>
  <si>
    <t>○ 창녕군 농산물 공동브랜드 「우포누리」판매 및 홍보</t>
  </si>
  <si>
    <t>창녕군/
창녕우포누리축제추진위원회                           (055-530-6124)</t>
  </si>
  <si>
    <t>양파.마늘.시설채소.단감,버섯 등</t>
  </si>
  <si>
    <t>주차장</t>
  </si>
  <si>
    <t>3.1민속문화제</t>
  </si>
  <si>
    <t>3.31.~4.1.
(2일간)</t>
  </si>
  <si>
    <t>○ 국가무형문화재 제25호, 제26호 시연
○ 축하점등식, 위령제, 구계목도 시연회 등</t>
  </si>
  <si>
    <t>창녕군/
(사)영산3.1민속문화향상회
(055-530-1463)</t>
  </si>
  <si>
    <t>1961년도
(57회)</t>
  </si>
  <si>
    <t>영산쇠머리대기
영산줄다리기</t>
  </si>
  <si>
    <t>있음
계약직 1명
임원진 10명</t>
  </si>
  <si>
    <t>놀이마당</t>
  </si>
  <si>
    <t>비사벌문화제</t>
  </si>
  <si>
    <t>10.12.~10.14.
(3일간)</t>
  </si>
  <si>
    <t>○ 향토기양제, 경연대회, 전시회, 보부상 존 운영</t>
  </si>
  <si>
    <t>창녕군/
(사)비사벌제전회(055-530-1463)</t>
  </si>
  <si>
    <t>보부상 존</t>
  </si>
  <si>
    <t>있음
정규직 1명
임원진 10명</t>
  </si>
  <si>
    <t>제42회 소가야문화제</t>
  </si>
  <si>
    <t>9.30.~10.2.
(3일간)</t>
  </si>
  <si>
    <t>○ 군민노래자랑
○ 문화예술행사
    - 농악경연대회 등 26개 행사</t>
  </si>
  <si>
    <t>고성군/(사)소가야문화보존회
(055-670-2204)</t>
  </si>
  <si>
    <t>1959년도
(41회)</t>
  </si>
  <si>
    <t>소가야문화제</t>
  </si>
  <si>
    <t>종합운동장</t>
  </si>
  <si>
    <t>제3회 고성 가리비 수산물축제</t>
  </si>
  <si>
    <t>10월중(3일간)</t>
  </si>
  <si>
    <t>○ 개막식 및 축하공연
○ 가리비 판매, 체험, 공연, 특별행사</t>
  </si>
  <si>
    <t>고성군수산물축제추진위원회</t>
  </si>
  <si>
    <t>2017
(2회)</t>
  </si>
  <si>
    <t>가리비, 굴</t>
  </si>
  <si>
    <t>벡세공원</t>
  </si>
  <si>
    <t>당항포대첩 축제</t>
  </si>
  <si>
    <t>4월중(미정)</t>
  </si>
  <si>
    <t>○ 개막식 및 축하공연
○ 체험, 공연, 특별행사</t>
  </si>
  <si>
    <t>당항포대첩축제위원회</t>
  </si>
  <si>
    <t>당항포대첩</t>
  </si>
  <si>
    <t>당항포관광지</t>
  </si>
  <si>
    <t>남해군</t>
  </si>
  <si>
    <t>제16회 보물섬 미조항 멸치축제</t>
  </si>
  <si>
    <t xml:space="preserve"> ○ 맨손 물고기 잡기
 ○ 가장행렬, 퍼레이드, 공연 등
 ○ 요리시연퍼포먼스, 엔초비 콘서트, 현장노래방,</t>
  </si>
  <si>
    <t>남해군 관광진흥담당관 /
 관광축제팀 (055-860-8594)</t>
  </si>
  <si>
    <t>제14회 보물섬 마늘축제&amp;한우잔치</t>
  </si>
  <si>
    <t xml:space="preserve"> ○ 환웅녀/마늘장사 선발대회
 ○ 콘서트, 공연, dj파티,불꽃놀이
 ○ 요리시연, 마늘장터, 시식회, 가요제 등</t>
  </si>
  <si>
    <t>마늘,한우</t>
  </si>
  <si>
    <t>제16회 상주은모래비치 섬머페스티벌</t>
  </si>
  <si>
    <t>8.2~8.4
(3일간)</t>
  </si>
  <si>
    <t xml:space="preserve"> ○ 버블풀파티withEDM DJ)
 ○ 불꽃놀이, 초대가수공연
 ○ 댄스왕선발, 장기자랑, 현장노래방</t>
  </si>
  <si>
    <t>불꽃,물,여름</t>
  </si>
  <si>
    <t>제9회 독일마을 맥주축제</t>
  </si>
  <si>
    <t>10.4~10.6
(3일간)</t>
  </si>
  <si>
    <t xml:space="preserve"> ○ 옥토버나이트파티
 ○ 오락 및 체험행사, 독일문화체험존
 ○ 환영퍼레이드 및 독일 민속공연</t>
  </si>
  <si>
    <t>맥주,독일</t>
  </si>
  <si>
    <t>하동군</t>
  </si>
  <si>
    <t>제23회 
하동야생차문화축제</t>
  </si>
  <si>
    <t>5.10~5.13
(4일간)</t>
  </si>
  <si>
    <t>○ 대한민국 아름다운 찻자리 최고대회
○ 대한민국 다례 경연대회, 올해의 좋은차 품평회
○ 개막공연, 다원 별빛 차회, 하동 티 블렌딩 대회 등
   - 4개 분야(공연,전시,체험,판매) 30여개 프로그램
○ 힐링과 치유의 천년 차밭길 투어, 세계 차문화페스티벌</t>
  </si>
  <si>
    <t>사)하동야생차문화축제 
조직위원회
(055-880-2053)</t>
  </si>
  <si>
    <t>1996
(22회)</t>
  </si>
  <si>
    <t>하동북천 꽃 양귀비 축제</t>
  </si>
  <si>
    <t>○ 꽃 양귀비를 주제로한 현장투어 및 떡메치기
○ 꽃 양귀비를 테마로한 공연, 전시, 체험프로그램 운영
○ 개폐막 공연, 주제공연 및 문화공연
   - 4개 분야(공연,전시,체험,판매) 8여개 프로그램
○ 꽃 양귀비 현장투어 및 농특산물판매 행사
    * 경관작물(꽃양귀비)을 이용한 농촌축제임</t>
  </si>
  <si>
    <t>북천 코스모스메밀꽃 영농법인/북천면사무소 및 북천 코스모스메밀꽃 영농법인
(055-880-6331)</t>
  </si>
  <si>
    <t>꽃양귀비</t>
  </si>
  <si>
    <t>제5회 알프스 하동 
섬진강 재첩축제</t>
  </si>
  <si>
    <t>○ 어슬렁익사이팅운영 및 외국유명 공연팀 초청 공연
○ 황금재첩을 찾아라
○ 체험 및 재첩국 시식
○ 섬진강, 송림을 테마로한 육상.물놀이 체험, 문화행사
   - 4개 분야(공연,전시,체험,판매) 30여개 프로그램</t>
  </si>
  <si>
    <t>알프스하동 섬진강
재첩축제위원회
(055-880-2053)</t>
  </si>
  <si>
    <t>섬진강</t>
  </si>
  <si>
    <t>하동북천 코스모스 메밀꽃 축제</t>
  </si>
  <si>
    <t>9월~10월</t>
  </si>
  <si>
    <t xml:space="preserve"> ○ 친환경 톱밥길 걷기 체험
 ○ 메밀묵 만들기 체험, 코스모스,메밀을 테마로한 공연, 전시, 체험프로그램 운영
 ○ 개폐막 공연, 주제공연 및 문화공연
    - 4개 분야(공연,전시,체험,판매) 40여개 프로그램
 ○농특산물판매 행사
    * 경관작물(코스모스,메밀)을 이용한 농촌축제임</t>
  </si>
  <si>
    <t>2007
(12회)</t>
  </si>
  <si>
    <t>코스모스 메밀꽃</t>
  </si>
  <si>
    <t>영농법인</t>
  </si>
  <si>
    <t>산청군</t>
  </si>
  <si>
    <t>산청한방약초축제</t>
  </si>
  <si>
    <t>9.27~10.9
(13일간)</t>
  </si>
  <si>
    <t xml:space="preserve"> ○ 대표프로그램: 한방항노화관, 내몸의 보약 체험
 ○ 한방약초를 테마로 한 공연, 전시, 학술, 경연, 체험프로그램 및 판매행사 운영(100여개 세부프로그램)
 ○ 기타 기산국악제전, 불교문화제전 등 연계행사 운영</t>
  </si>
  <si>
    <t>산청군 한방항노화실
/산청한방약초축제위원회
(055-970-6602)</t>
  </si>
  <si>
    <t>문화관광축제(대표)</t>
  </si>
  <si>
    <t>한방, 약초</t>
  </si>
  <si>
    <t>산청황매산철쭉제</t>
  </si>
  <si>
    <t>4월 ~5월 중
(16일 정도)</t>
  </si>
  <si>
    <t>○ 대표프로그램: 등반대회, 황매산트래킹, 황매산 숲체험, 철쭉화관만들기
 ○전시행사 : 황매산철쭉사진 전시회, 등산장비전지, 국립공원 사진 전시
 ○ 체험행사 : 솟대목걸이, 바람개비,토피어리 만들기, 산림경영컨설팅, 철쭉화분만들기, 철죽사진콘테스트, 황매산 자연 놀이터
○ 귀농귀촌상담소운영, 한방약초축제홍보, 산엔청쇼핑몰</t>
  </si>
  <si>
    <t>산청군 관광진흥과
/산청황매산철쭉제위원회
(055-970-7201)</t>
  </si>
  <si>
    <t>1982년
(37회)</t>
  </si>
  <si>
    <t>황매산 철쭉</t>
  </si>
  <si>
    <t>부분위탁
(프로그램 일부)</t>
  </si>
  <si>
    <t>황매산 일원</t>
  </si>
  <si>
    <t>산청생초국제조각공원 꽃잔디 축제</t>
  </si>
  <si>
    <t>4월중
(16일정도)</t>
  </si>
  <si>
    <t>○ 대표프로그램: 꽃잔디체험
 ○꽃잔디를 테마로 한 공연
 ○ 체험행사 : 화분만들기, 페이스페인팅</t>
  </si>
  <si>
    <t>산청군 관광진흥과
(055-970-7202)</t>
  </si>
  <si>
    <t>공공(산청군)</t>
  </si>
  <si>
    <t>생초국제조각공원</t>
  </si>
  <si>
    <t>경호강물페스티벌</t>
  </si>
  <si>
    <t>7월~8월 중
(2일간)</t>
  </si>
  <si>
    <t>○ 대표프로그램 : 은어,쏘가리 낚시대회, 래프팅 대회
○ 워터파크, 수상놀이기구 체험 , 음악회,농악경연대회 등</t>
  </si>
  <si>
    <t>산청군 관광진흥과
(055-970-7201)</t>
  </si>
  <si>
    <t>경호강</t>
  </si>
  <si>
    <t>공공(산청군)/ 임의단체</t>
  </si>
  <si>
    <t>경호강변 일원</t>
  </si>
  <si>
    <t>지리산산청곶감축제</t>
  </si>
  <si>
    <t>1.3~6
(4일간)</t>
  </si>
  <si>
    <t>○ 곶감 품평회 및 곶감판매장터
 ○ 곶감 요리전시회, 지리산사진전, 공예 및 천연염색
 ○ 개막식 및 폐막식 공연, 문화공연
    - 8개 분야 40여개 프로그램
 ○ 체험행사 
    - 감잎족욕체험외 30여개 프로그램</t>
  </si>
  <si>
    <t>산청군청 산림녹지과
산촌소득
/축제추진위원회
(055-970-6932)</t>
  </si>
  <si>
    <t>있음
정규직3명
계약직 5명
총 8명</t>
  </si>
  <si>
    <t>산청곶감
유통센터</t>
  </si>
  <si>
    <t>제43회 남명선비문화축제</t>
  </si>
  <si>
    <t>○ 남명제례
○ 개막공연, 주제공연 및 문화공연
   - 의병출정극, 마당극남명, 국악공연 등
○ 경연 및 전시행사
   - 서예대전초대작가전, 시조경창대회, 한시백일장 외 
○ 체험, 부대행사 등</t>
  </si>
  <si>
    <t>산청군청 문화체육과
/ 남명선비문화축제집행위원회  
(055-970-6401)</t>
  </si>
  <si>
    <t>2001
(43회)</t>
  </si>
  <si>
    <t>정신문화</t>
  </si>
  <si>
    <t>한국선비문화연구원</t>
  </si>
  <si>
    <t>함양군</t>
  </si>
  <si>
    <t>함양물레방아골축제</t>
  </si>
  <si>
    <t>9.6.~9.15
(10일간)</t>
  </si>
  <si>
    <t xml:space="preserve">○ VIVA함양 페스티발
○ 천령미술공모전, 변강쇠팔씨름대회
○ 노래교실경연대회, 기악경연대회
○ 개막식, 폐막식 및 축하공연
○ 기타 특별행사 및 전시 등 </t>
  </si>
  <si>
    <t>경상남도 함양군 문화관광과/
함양물레방아골축제위원회
(055-960-5161)</t>
  </si>
  <si>
    <t>1962년도
(58회)</t>
  </si>
  <si>
    <t>물레방아</t>
  </si>
  <si>
    <t>있음
사무국장 1명
사무차장 1명</t>
  </si>
  <si>
    <t>함양산삼축제</t>
  </si>
  <si>
    <t>○ 산양삼캐기체험 및 황금산삼을 찾아라! 심마니 여정,삼산주제관, 심마니 역사문화 체험장
○ 산삼항노화 국제교역전(B2B) 및 농특산물 수출 상담회, 농산물엑스포, 국제교류행사
○ 산양삼  전시, 판매, 공연, 각종 경연대회 등</t>
  </si>
  <si>
    <t>경상남도 함양군 산삼항노화엑스포과/함양산삼축제위원회
(055-960-5194)</t>
  </si>
  <si>
    <t>산삼</t>
  </si>
  <si>
    <t xml:space="preserve">부분위탁 </t>
  </si>
  <si>
    <t>거창군</t>
  </si>
  <si>
    <t>거창한마당대축제</t>
  </si>
  <si>
    <t>9.26~9.29
(4일간)</t>
  </si>
  <si>
    <t xml:space="preserve">○ 군민체육대회
○ 『거창韓 한판어울림』주제로한 공연,전시,체험프로그램 운영
○ 거리퍼레이드, 체육행사 및 문화공연
  - 대표5종, 보조4종 프로그램
○ 시골밥상 경연대회, 푸드트럭 특별행사 및 작품 전시 등   
</t>
  </si>
  <si>
    <t>(재)거창문화재단/(재)거창문화재단 등
(055-940-3422)</t>
  </si>
  <si>
    <t>지역농산물</t>
  </si>
  <si>
    <t xml:space="preserve">있음
정규직 3명
계약직 6명
총 9명  </t>
  </si>
  <si>
    <t>시내거리,스포츠파크</t>
  </si>
  <si>
    <t>거창크리스마스트리문화축제</t>
  </si>
  <si>
    <t>2019.12.1 
~ 2020.1.5
(36일간)</t>
  </si>
  <si>
    <t>○ 메인트리 및 게이트 존, 포토존 설치(조명장치)
○ 버스킹경연대회, 크리스마스갓탤런트 선발대회
○ 기타 문화예술공연, 불우이웃돕기, 차나눔행사 등</t>
  </si>
  <si>
    <t>빛 축제</t>
  </si>
  <si>
    <t>없음
(축제지간 동안 2개월 운영 : 간사 1명)</t>
  </si>
  <si>
    <t>군청 앞 광장, 강변로 일원</t>
  </si>
  <si>
    <t>금원산얼음축제</t>
  </si>
  <si>
    <t>19.12.~'20.1.
(17일간)</t>
  </si>
  <si>
    <t>○ 자연휴양림과 연계한 가족친화형 얼음축제
○ 얼음계곡, 얼음조각 전시(무료)
○ 얼음썰매장, 컬링장, 얼음미끄럼틀 운영(무료)
○ 금원산 자연휴양림.생태수목원 및 거창군 홍보</t>
  </si>
  <si>
    <t>금원산산림자원관리소
(055-254-3962)</t>
  </si>
  <si>
    <t>얼음, 눈</t>
  </si>
  <si>
    <t>공공(도)</t>
  </si>
  <si>
    <t>금원산
자연휴양림</t>
  </si>
  <si>
    <t>합천군</t>
  </si>
  <si>
    <t>제23회 황매산철쭉제</t>
  </si>
  <si>
    <t>4월 말 ~ 5월초
(2주간 예정)</t>
  </si>
  <si>
    <t>○ 철쭉제례
○ 지역특산품 홍보행사, 체험행사이벤트 등 운영</t>
  </si>
  <si>
    <t>합천군 산림과 황매산관리담당
(055-930-4753)
/황매산철쭉제전위원회</t>
  </si>
  <si>
    <t>1997년도
(제23회)</t>
  </si>
  <si>
    <t>축제제전위</t>
  </si>
  <si>
    <t>있음
제전위 16명</t>
  </si>
  <si>
    <t>군립공원</t>
  </si>
  <si>
    <t>합천바캉스축제</t>
  </si>
  <si>
    <t>7. 26. ~ 7. 30.
(5일간)</t>
  </si>
  <si>
    <t>○ 대표 프로그램 : 황강패밀리컬러레이스, 맨손은어잡기, 
                            EDM과 물의난장
○ 체험 프로그램 : 황토야 놀자, 모래속 보물찾기, 
                            아이스버킷 챌린지, 목재 카누 교실
                            대야성을 지켜라
○ 지역문화 연계 : 고스트파크, 옐로우리버비치</t>
  </si>
  <si>
    <t>합천군 관광진흥과 관광마케팅담당
(055-930-4666)</t>
  </si>
  <si>
    <t>강물 휴양</t>
  </si>
  <si>
    <t>고스트파크</t>
  </si>
  <si>
    <t>7월 말 ~ 8월 중순</t>
  </si>
  <si>
    <t>○ 메인 어트랙션 : 감금병동, 좀비감옥, 비명도시
○ 서브 어트랙션 : 악몽교실, 다크메이즈, 블러드맨션
○ 미니 어트랙션 : 수상한 푸줏간, 인육의 주막, 호러볼링
                            허당무당의 집, 암흑의 이발소,
                            피에로의 저주
○ 지역문화 연계 : 합천바캉스 축제, 옐로우리버비치</t>
  </si>
  <si>
    <t>합천군 관광진흥과 관광행정담당
(055-930-3752)</t>
  </si>
  <si>
    <t>이색체험</t>
  </si>
  <si>
    <t>합천영상테마파크</t>
  </si>
  <si>
    <t>대야문화제</t>
  </si>
  <si>
    <t>○ 군민체육대회
○ 희망행복콘서트 및 기타 축하공연
○ 시가행진 및 가장행열, 제등행렬
○ 체험 및 전시부스 운영, 요리경연대회</t>
  </si>
  <si>
    <t>합천군 문화예술과 문화예술담당
(055-930-3173)
/대야문화제제전위원회
(055-933-5448)</t>
  </si>
  <si>
    <t xml:space="preserve">있음
정규직 1명
</t>
  </si>
  <si>
    <t>합천읍일원</t>
  </si>
  <si>
    <t>도</t>
  </si>
  <si>
    <t>탐라문화제</t>
  </si>
  <si>
    <t>10.9~10.13
(5일간) 예정</t>
  </si>
  <si>
    <t>ㅇ핵심프로그램 : 민속예술축제, 제주문화가장퍼레이드
ㅇ제주문화를 테마로 한 공연, 전시,체험프로그램 운영
ㅇ 기원축제, 제주문화가장축제, 제주문화축제, 참여문화
    축제 등 4개 분야 16개 테마행사</t>
  </si>
  <si>
    <t>제주특별자치도 문화정책과
(064-710-3417)
 / 한국예총제주특별자치도연합회
(064-753-3287)</t>
  </si>
  <si>
    <t>제주전통문화</t>
  </si>
  <si>
    <t xml:space="preserve">있음
정규직 4명
총 4명  </t>
  </si>
  <si>
    <t>하천,시내거리</t>
  </si>
  <si>
    <t>제주광어 대축제</t>
  </si>
  <si>
    <t>10.12~10.13.
(2일간)</t>
  </si>
  <si>
    <t>○개막식, 폐막식, 불꽃놀이
○ 제주광어 맨손잡기, 제주광어 어묵만들기 체험행사 등
    - 2개분야 약 13여개 프로그램</t>
  </si>
  <si>
    <t>제주어류양식수협/제주광어축제추진위원회</t>
  </si>
  <si>
    <t>제주광어</t>
  </si>
  <si>
    <t>서귀포 은갈치축제</t>
  </si>
  <si>
    <t>ㅇ 테마 프로그램:은갈치홍보관,수산물무료시식,어린이날행사
ㅇ 체험행사:소라낚시,주낚줄감기,불턱체험,수산물특급경매
ㅇ 기타행사:전시관운영,경연프로그램(노래자랑,수영대회등)</t>
  </si>
  <si>
    <t>서귀포수협/축제위원회
(064-710-3243)</t>
  </si>
  <si>
    <t>해당 없음</t>
  </si>
  <si>
    <t>은갈치, 바다</t>
  </si>
  <si>
    <t>서구포수협(지도과)</t>
  </si>
  <si>
    <t>서귀포항 및 자구리공원 일대</t>
  </si>
  <si>
    <t xml:space="preserve"> 추자도 참굴비 대축제</t>
  </si>
  <si>
    <t xml:space="preserve"> ○ 맨손고기잡이, 갯바당바릇잡이,후릿그물체험, 가족낚시대회 등
 ○ 길트기풍물공연, 추자풍광 한국화전시회, 퓨전난타공연
 ○ 추자특산물시식, 올레길탐방, 함께하는 한마당풍물놀이</t>
  </si>
  <si>
    <t>추자면축제추진위원회
(064-728-4265)</t>
  </si>
  <si>
    <t>참굴비</t>
  </si>
  <si>
    <t>추자항</t>
  </si>
  <si>
    <t>최남단방어축제</t>
  </si>
  <si>
    <t>11월중
(4일간)</t>
  </si>
  <si>
    <t>풍어제, 방어맨손잡기, 방어무료 시식회, 방어 낚시 등</t>
  </si>
  <si>
    <t>도 수산정책과/축제추진위원회
(064-710-3243)</t>
  </si>
  <si>
    <t>방어, 바다</t>
  </si>
  <si>
    <t>모슬포항</t>
  </si>
  <si>
    <t>제4회 FPC 한수위
 수산물 대축제</t>
  </si>
  <si>
    <t>○ 풍어제, 퍼레이드, 개,폐막 및 문화공연, 노래자랑
○ 수산물 경매 이벤트, 참치 해체쇼, 수산물 판매 및 시식코너 운영 등</t>
  </si>
  <si>
    <t>한림수산업협동조합/한림수산업협동조합
(064-796-0920)</t>
  </si>
  <si>
    <t>참조기등 수산물</t>
  </si>
  <si>
    <t>생산자단체</t>
  </si>
  <si>
    <t>부분위탁
(프로그램, 이벤트)</t>
  </si>
  <si>
    <t>한림항 일원</t>
  </si>
  <si>
    <t>제주마축제</t>
  </si>
  <si>
    <t>10.11. ~ 10.13.(3일간)</t>
  </si>
  <si>
    <t>○ 전통 마문화 공연
    - 제주 신화와 전설을 재현한 말놀이 큰 굿
    - 조선무예도보통지를 재연한 마상 무예 공연
    - 헌마공신 김만일상 시상식 
○ 말산업과 말체험 프로그램 및 승마대회
    - 말 체험프로그램(승마체험, 미니호스 포토존)
○ 기타 행사(말맥 페스트, 제주 플리마켓, 말 제품 EXPO)</t>
  </si>
  <si>
    <t>주최: 한국마사회 제주지역본부
(064-786-8252)</t>
  </si>
  <si>
    <t>제주마</t>
  </si>
  <si>
    <t>공기관</t>
  </si>
  <si>
    <t>한국마사회 
제주경마공원
(렛츠런파크)</t>
  </si>
  <si>
    <t>제주해녀축제</t>
  </si>
  <si>
    <r>
      <t xml:space="preserve"> ○ 해녀어업 보전․발전 포럼, 전국 해녀 교류의 밤 행사 
○  유네스코 초청공연, 일일해녀체험학교, 플리마켓 야시장 등 
○ 해녀의 날 기념식, 개막식, 해녀문화공연, 바릇</t>
    </r>
    <r>
      <rPr>
        <sz val="11"/>
        <rFont val="MS PMincho"/>
        <family val="1"/>
        <charset val="128"/>
      </rPr>
      <t>･</t>
    </r>
    <r>
      <rPr>
        <sz val="11"/>
        <rFont val="HY중고딕"/>
        <family val="1"/>
        <charset val="129"/>
      </rPr>
      <t>광어잡이</t>
    </r>
    <r>
      <rPr>
        <sz val="11"/>
        <rFont val="MS PMincho"/>
        <family val="1"/>
        <charset val="128"/>
      </rPr>
      <t>･</t>
    </r>
    <r>
      <rPr>
        <sz val="11"/>
        <rFont val="HY중고딕"/>
        <family val="1"/>
        <charset val="129"/>
      </rPr>
      <t>물질체험, 불턱가요제 등
○향토음식점, 수산물시식회, 홍보관, 체험관, 포토존 운영 등</t>
    </r>
  </si>
  <si>
    <t>제주특별자치도/제주해녀축제추진위원회(064-710-3982)</t>
  </si>
  <si>
    <t>해녀</t>
  </si>
  <si>
    <t>제주시 구좌읍
해녀박물관 및
해안변 일원</t>
  </si>
  <si>
    <t>제주밭담 축제</t>
  </si>
  <si>
    <t>2019. 9월 중
(2일간)</t>
  </si>
  <si>
    <t>○ 밭담쌓기 경연대회, 밭담길 걷기 프로그램 등
○ 제주밭담을 테마로한 전시, 공연, 체험프로그램 운영</t>
  </si>
  <si>
    <t>도 친환경농업정책과
(064-710-3052)</t>
  </si>
  <si>
    <t>밭담</t>
  </si>
  <si>
    <t>제주밭담 
테마공원</t>
  </si>
  <si>
    <t>제주 반려동물 페스티벌</t>
  </si>
  <si>
    <t>5~6월 중
(2일간)</t>
  </si>
  <si>
    <t xml:space="preserve"> ○ 반려동물 관련 강연 및 체험행사, 부대행사 등
  - 부대행사 : 반려동물 산업박람회, 건강상담, 동물사진관, 정책부스 운영 등
  - 체험행사 : 무료진료, Dog 스포츠, 놀이공간 조성, 시범공연 체험 등</t>
  </si>
  <si>
    <t>제주특별자치도 동물방역과
(064-710-2143)</t>
  </si>
  <si>
    <t>동물보호문화축제</t>
  </si>
  <si>
    <t>매년(예정)</t>
  </si>
  <si>
    <t>성산일출축제</t>
  </si>
  <si>
    <t>전년12.30-익년1.1(3일)</t>
  </si>
  <si>
    <t xml:space="preserve"> ㅇ 성산일출을 테마로 하는 프로그램 운영  </t>
  </si>
  <si>
    <t>제주특별자치도/                        성산일출축제위원회
(064-760-4282)</t>
  </si>
  <si>
    <t>1994(27회)</t>
  </si>
  <si>
    <t>새해일출</t>
  </si>
  <si>
    <t>성산일출봉 광장</t>
  </si>
  <si>
    <t>제주시</t>
  </si>
  <si>
    <t>탐라국 입춘굿</t>
  </si>
  <si>
    <t>1. 25. ~ 2. 4.</t>
  </si>
  <si>
    <t>○ 세경제, 입춘굿, 입춘거리굿, 마을거리굿 등 움영</t>
  </si>
  <si>
    <t>제주시/(사)제주민예총
(064-758-0331)</t>
  </si>
  <si>
    <t>입춘굿</t>
  </si>
  <si>
    <t>제주목관아</t>
  </si>
  <si>
    <t>함덕해수욕장 뮤직위크</t>
  </si>
  <si>
    <t>7월~8월
(2일이상)</t>
  </si>
  <si>
    <t>○ 스테핑스톤 페스티벌(락 페스티벌)
○ 라틴문화페스티벌, 뮤지컬 페스티벌, 워터페스티벌
○ 기타 방문객 참여 체험 프로그램 운영</t>
  </si>
  <si>
    <t>제주시/ 제주시 문화예술과
(064-728-2713)</t>
  </si>
  <si>
    <t>음악 등</t>
  </si>
  <si>
    <t>제주함덕해수욕장</t>
  </si>
  <si>
    <t>제주들불축제</t>
  </si>
  <si>
    <t>3.7~3.10
(4일간)</t>
  </si>
  <si>
    <t xml:space="preserve"> ○ 옛 목축문화를 계승한 오름불놓기, 달집태우기 연출
 ○ 불·목축문화·소원성취를 소재로 한 전시·문화·체험
   행사 (4개 분야 86개 프로그램 구성)
 ○ 제주 농·수·축산물 및 전통 음식 판매</t>
  </si>
  <si>
    <t>제주시 관광진흥과 /
제주시관광축제추진협의회
(064-728-2753)</t>
  </si>
  <si>
    <t>들불놓기 '방애'</t>
  </si>
  <si>
    <t>공공(시군구)
임의단체</t>
  </si>
  <si>
    <t>사무국 없음
(시 전담직원 2명)</t>
  </si>
  <si>
    <t>자체추진, 부분위탁
(운영 및 프로그램)</t>
  </si>
  <si>
    <t>새별오름 일대</t>
  </si>
  <si>
    <t>제주왕벚꽃축제</t>
  </si>
  <si>
    <t>3.29-4.7
(10일간)</t>
  </si>
  <si>
    <t>○ 핵심프로그램 : 왕벚꽃감상
○ 왕벚꽃 및 봄을 테마로 한 체험행사 운영
○ 개막, 문화공연,기타 특별행사 및 전시</t>
  </si>
  <si>
    <t>제주시 관광진흥과
/ 제주시관광축제추진협의회
(064-728-2757)</t>
  </si>
  <si>
    <t>1991년도
(28회)</t>
  </si>
  <si>
    <t>왕벚꽃</t>
  </si>
  <si>
    <t>자체추진, 부분위탁(하드웨어)</t>
  </si>
  <si>
    <t>전농로, 장전리</t>
  </si>
  <si>
    <t>제주음식박람회</t>
  </si>
  <si>
    <t xml:space="preserve"> ○ 제주음식 체험․전시․시식 부스 운영
 ○ 안전하고 건강한 제주음식홍보관 운영
 ○ 음식경연 프로그램(8개분야·18개 부문)
 ○ 명인과 함께하는 음식강좌 프로그램(4개)
 ○ 식품산업전, 제주특산품 홍보관, 플리마켓 운영 등</t>
  </si>
  <si>
    <t>제주시 / 제주음식박람회추진위원회, 한국외식업중앙회제주특별자치도지회 제주시지부
(홍상환 / 064-728-2622)</t>
  </si>
  <si>
    <t>제주음식</t>
  </si>
  <si>
    <t>자체추진,
부분위탁</t>
  </si>
  <si>
    <t>제주시민복지
타운광장</t>
  </si>
  <si>
    <t>금능원담축제</t>
  </si>
  <si>
    <t>7월말~8월초
(2일)</t>
  </si>
  <si>
    <t>○ 맨손고기잡이 체험, 보말 및 조개잡이 체험, 각종 체험(보말까기), 원담에서 보물 찾기 등</t>
  </si>
  <si>
    <t>한림읍/금능리 마을회
(064-728-7672)</t>
  </si>
  <si>
    <t>바다체험</t>
  </si>
  <si>
    <t>금능해수욕장 내</t>
  </si>
  <si>
    <t>우도소라축제</t>
  </si>
  <si>
    <t>4월 중
(3일간)</t>
  </si>
  <si>
    <t>○ 소라잡기 대회
○ 소라를 테마로한 공연, 전시, 체험프로그램 운영
○ 개폐막 공연, 주제공연 및 문화공연 (20여개 프로그램)
○ 기타 특별행사 및 전시 등등</t>
  </si>
  <si>
    <t>우도면연합청년회
(064-783-1157)</t>
  </si>
  <si>
    <t>소라</t>
  </si>
  <si>
    <t>천진항
주변일대</t>
  </si>
  <si>
    <t>전농로 왕벚꽃축제</t>
  </si>
  <si>
    <t>3월말
(3일간)</t>
  </si>
  <si>
    <t>○ 전농로 일대를 차없는 거리운영 벚꽃길 걷기
○ 벚꽃비 맞으며 즐기는 이색 체험 프로그램 운영
○ 각종 길거리 공연, 퍼레이등 전농로 전구간 공연 등
○ 왕벚꽃축제와 연계 공연 및 전시,벚꽃 전등 설치 등</t>
  </si>
  <si>
    <t>전농로왕벚꽃축제추진위원회
(064-728-4526)</t>
  </si>
  <si>
    <t>시내거리
(전농로일대)</t>
  </si>
  <si>
    <t>제18회삼양검은모래축제</t>
  </si>
  <si>
    <t>7.26~7.27
(2일간)</t>
  </si>
  <si>
    <t xml:space="preserve"> ○ 검은모래 찜질체험,  바릇잡이 체험
 ○ 테우, 읜드서핑 체험,  모래성 쌓기대회 
 ○ 프린지 페스티벌,  유소년 비치사커</t>
  </si>
  <si>
    <t>삼양검은모래축제위원회 
/ 삼양동연합청년회
(064-728-4713)</t>
  </si>
  <si>
    <t>검은모래</t>
  </si>
  <si>
    <t>삼양해수욕장일원</t>
  </si>
  <si>
    <t>삼도풍류축제</t>
  </si>
  <si>
    <t>2019. 10월
(2일간)</t>
  </si>
  <si>
    <t>○ 삼도풍류 백일장, 삼도풍류 노래자랑, 수문장 교대식
○ 전통탈 채색하기 등 원도심 입주작가 체험부스 운영
○ 성짓골소리합창단, 북초등학교 어린이 문화예술 공연 등</t>
  </si>
  <si>
    <t>삼도2동주민센터
/삼도풍류축제추진위원회
(064-728-4562)</t>
  </si>
  <si>
    <t>제주문화</t>
  </si>
  <si>
    <t>관덕정 및 목관아지</t>
  </si>
  <si>
    <t>산지천축제</t>
  </si>
  <si>
    <t>9월중
(3일)</t>
  </si>
  <si>
    <t xml:space="preserve">○ 산지천을 중심으로 의인 김만덕 얼이 깃든 역사, 문화탐방
○ 산지천 고기잡기체험,산지천의 역사를 한눈에 산지천
   사진전
○ 개폐막 공연, 주제공연 및 문화공연(4개분야/30여개)
○ 산지천을 테마로 한 산지천그리기 등 다양한 
    참여와 체험 및 홍보,  전시 판매 </t>
  </si>
  <si>
    <t>건입동 /
산지천축제위원회
(064-728-4655)</t>
  </si>
  <si>
    <t>하늘(天)을 담은 산지 천(川)</t>
  </si>
  <si>
    <t>산지천축제위원회</t>
  </si>
  <si>
    <t>하천 및 광장</t>
  </si>
  <si>
    <t>이호테우축제</t>
  </si>
  <si>
    <t>8.2~8.4
(2일)</t>
  </si>
  <si>
    <t>○테우진수식, 멸치잡이 재현
○원담고기잡이,우승선체험, 노젓기대회</t>
  </si>
  <si>
    <t>이호테우축제위원회
(064-742-2501)</t>
  </si>
  <si>
    <t>2014년도
(16회)</t>
  </si>
  <si>
    <t>테우</t>
  </si>
  <si>
    <t>해수욕장</t>
  </si>
  <si>
    <t>제19회도두오래물축제</t>
  </si>
  <si>
    <t>8.9~8.11
(예정)</t>
  </si>
  <si>
    <t>○ 도두원담수산물잡기 체험
○ 섬머리 마을 벽화길 걷기대회
○ 럭셔리 요트타기,바다물고기 맨솝잡기 체험 
○ 카약타기,워터불로워볼 대회  
○ 도두오래물 체험,바다물고기 맨솝잡기 체험 
○ 전국 오래물 노래자랑 등</t>
  </si>
  <si>
    <t>도두1동마을회및 자생단체/
도두오래물축제위원회
(064-712-4567)</t>
  </si>
  <si>
    <t>2001년도
(제19회)</t>
  </si>
  <si>
    <t>광장 등</t>
  </si>
  <si>
    <t xml:space="preserve">제6회 고마로마문화축제
</t>
  </si>
  <si>
    <t>10.11~10.12
(2일간)</t>
  </si>
  <si>
    <t>○ 거리 퍼레이드
○ 마제 , 마제품전시, 마음식 시식회, 장터운영
○ 노래자랑,청소년페스티벌, 어린이사생대회 등</t>
  </si>
  <si>
    <t>제주시 일도2동/
고마로마문화축제위원회
(064-728-4442)</t>
  </si>
  <si>
    <t>말(馬)</t>
  </si>
  <si>
    <t>공원,시내거리</t>
  </si>
  <si>
    <t>방선문축제</t>
  </si>
  <si>
    <t>5.4.~5.5.
(2일간)</t>
  </si>
  <si>
    <t xml:space="preserve"> ○방선문 문학백일장, 곳 소곱 족은 음악회
 ○문화재를 테마로 한 공연 및 전시프로그램 운영</t>
  </si>
  <si>
    <t>문화재 방선문(명승 제92호)</t>
  </si>
  <si>
    <t>문화재(명승지)</t>
  </si>
  <si>
    <t>월대천축제</t>
  </si>
  <si>
    <t>8. 4 ~ 8. 5
(2일간)</t>
  </si>
  <si>
    <t>○ 테우체험
○ 클린환경체험교실,맨손 장어잡이 체험 등</t>
  </si>
  <si>
    <t>외도동주민자치위원회
(064-728-4892)</t>
  </si>
  <si>
    <t>서귀포시</t>
  </si>
  <si>
    <t>서귀포칠십리축제</t>
  </si>
  <si>
    <t>9.27~9.29
(3일간) 예정</t>
  </si>
  <si>
    <t xml:space="preserve"> ○ 칠십리 퍼레이드, 마을 마당놀이
 ○ 전통문화 소재 등 각종 체험프로그램 운영
 ○ 개막 주제공연 및 상설 문화예술공연 등</t>
  </si>
  <si>
    <t>서귀포시 /
서귀포칠십리축제조직위원회
(064-760-3946)</t>
  </si>
  <si>
    <t>1995년도
(25회)</t>
  </si>
  <si>
    <t>전통, 화합</t>
  </si>
  <si>
    <t>공원 및 
시내거리 일원</t>
  </si>
  <si>
    <t>제주유채꽃축제</t>
  </si>
  <si>
    <t>4.4~4.7
(4일간) 예정</t>
  </si>
  <si>
    <t xml:space="preserve"> ○ 유채꽃 난장, 갑마장길 걷기
 ○ 유채꽃을 테마로한 각종 전시, 체험프로그램 운영
 ○ 개(폐)막 공연 및 상설 문화공연 등 </t>
  </si>
  <si>
    <t>서귀포시 /
제주유채꽃축제조직위원회
(064-760-3946)</t>
  </si>
  <si>
    <t>녹산로 및 체험공원 일원</t>
  </si>
  <si>
    <t>가파도 청보리축제</t>
  </si>
  <si>
    <t>4월 ~ 5월
(1개월간)</t>
  </si>
  <si>
    <t>ㅇ 청보리밭 걷기
ㅇ 문어잡기, 소라잡기 등 어장체험</t>
  </si>
  <si>
    <t>대정읍/가파도청보리축제위원회
(064-794-7130)</t>
  </si>
  <si>
    <t>청보리</t>
  </si>
  <si>
    <t>가파도(섬)</t>
  </si>
  <si>
    <t>대정고을 추사문화예술제</t>
  </si>
  <si>
    <t xml:space="preserve"> ○ 유배행렬 재현,  추사유배길 걷기
 ○ 추사체 및 한자현장휘호,  다례시연
 ○ 지역 문화예술단체 공연 등 </t>
  </si>
  <si>
    <t>추사 김정희</t>
  </si>
  <si>
    <t>한라산청정고사리축제</t>
  </si>
  <si>
    <t>2019.4.27~
4.28.(2일간)</t>
  </si>
  <si>
    <t>ㅇ 고사리 꺾기체험
ㅇ 고사리를 테마로 한 음식체험, 천연염색
ㅇ 승마, 꽃나눠주기, 실버가요제, 고사리가요제 등</t>
  </si>
  <si>
    <t>남원읍 / 남원읍축제위원회 
(064-760-4182)</t>
  </si>
  <si>
    <t>1995년도
(24회)</t>
  </si>
  <si>
    <t>고사리</t>
  </si>
  <si>
    <t>국가태풍센터
서측일원</t>
  </si>
  <si>
    <t xml:space="preserve">제24회표선해변 하얀
모래축제
</t>
  </si>
  <si>
    <t>7월말~8월초
(2일간)</t>
  </si>
  <si>
    <t>○ 맨손 광어잡기, 전도학생비치사커대회
○ 부대행사(농,수,축산물 시식회 및 판매, 먹거리장터 운영) 
○ 체험행사(드론체험, 연날리기, LED부채만들기</t>
  </si>
  <si>
    <t>해변</t>
  </si>
  <si>
    <t>송산동자구리축제</t>
  </si>
  <si>
    <t>7~8월중
(2일간)</t>
  </si>
  <si>
    <t xml:space="preserve">○ 자구리 어장 체험
○ 각종 문화예술 공연
○ 어린이 사생대회, 노래자랑 등 </t>
  </si>
  <si>
    <t>송산서귀마을회/
송산서귀마을축제위원회
(064-760-4502)</t>
  </si>
  <si>
    <t>자구리해안</t>
  </si>
  <si>
    <t>자구리공원</t>
  </si>
  <si>
    <t>보목자리돔축제</t>
  </si>
  <si>
    <t>5~6월중
(3일간)</t>
  </si>
  <si>
    <t>○ 자리돔맨손잡기, 자리테우사들당기기시연
○ 자리돔가요제, 개막행사 등</t>
  </si>
  <si>
    <t>보목자리돔축제위원회/
보목동어촌계, 보목동청년회(064-760-4502)</t>
  </si>
  <si>
    <t>자리돔</t>
  </si>
  <si>
    <t>2018년도 미개최</t>
  </si>
  <si>
    <t>포구</t>
  </si>
  <si>
    <t>쇠소깍축제</t>
  </si>
  <si>
    <t>8월중 
(2일간)</t>
  </si>
  <si>
    <t>ㅇ 체험프로그램 운영(전통테우체험,맨손 광어잡기, 어린이 사생대회 등) 및 이벤트 공연</t>
  </si>
  <si>
    <t>효돈동/효돈동연합청년회
(064-760-4623)</t>
  </si>
  <si>
    <t>자생단체</t>
  </si>
  <si>
    <t>쇠소깍일원</t>
  </si>
  <si>
    <t>돈내코계곡 원앙축제</t>
  </si>
  <si>
    <t>2019.7~8월 중
(2일간)</t>
  </si>
  <si>
    <t>○ 돈내코계곡 탐사 및 각종 체험부스 등 운영
○ 무대공연
○ 나비 및 지역명사(석주명) 홍보, 체험 부스</t>
  </si>
  <si>
    <t>영천동축제위원회
/영천동축제위원회
(064-760-4653)</t>
  </si>
  <si>
    <t>2014
(5회)</t>
  </si>
  <si>
    <t>15
(자부담)</t>
  </si>
  <si>
    <t>돈내코계곡,나비</t>
  </si>
  <si>
    <t>돈내코계곡 및 광장 일원</t>
  </si>
  <si>
    <t>한여름밤 솜반천 청소년 영상문화축제</t>
  </si>
  <si>
    <t>2019.7.20~8.3(6일)</t>
  </si>
  <si>
    <r>
      <t>○</t>
    </r>
    <r>
      <rPr>
        <u/>
        <sz val="11"/>
        <color rgb="FF000000"/>
        <rFont val="돋움"/>
        <family val="3"/>
        <charset val="129"/>
      </rPr>
      <t>한여름밤 솜반천 영화 상영</t>
    </r>
    <r>
      <rPr>
        <sz val="11"/>
        <color rgb="FF000000"/>
        <rFont val="돋움"/>
        <family val="3"/>
        <charset val="129"/>
      </rPr>
      <t xml:space="preserve">
○청소년 및 가족을 위한 문화 공연
○특별 프로그램 : 청소년UCC 전국공모전
○방문객 참여 ․ 체험 프로그램 운영</t>
    </r>
  </si>
  <si>
    <t>2008년도
(총12회)</t>
  </si>
  <si>
    <t>문화, 영상</t>
  </si>
  <si>
    <t>서귀포시 서홍동 솜반천 일원</t>
  </si>
  <si>
    <t>중문칠선녀축제</t>
  </si>
  <si>
    <t>○ 칠선녀 수상공연
○ 개폐막 공연, 칠선녀 퍼포먼스 공연, 지역동아리 공연 등 
○ 특산물 판매장, 전통음식 시식회 등 체험 프로그램 운영 등</t>
  </si>
  <si>
    <t>중문동주민센터/
중문마을회
(064-760-4824,738-0069)</t>
  </si>
  <si>
    <t>1995~2006년(12회) 이후 폐지,
 2017년 부활(2회)</t>
  </si>
  <si>
    <t>70
(자부담)</t>
  </si>
  <si>
    <t>칠선녀, 천제연폭포 전설</t>
  </si>
  <si>
    <t>마을회</t>
  </si>
  <si>
    <t>천제연폭포 일원</t>
  </si>
  <si>
    <t>예래생태체험축제</t>
  </si>
  <si>
    <t>8.3~8.4
(2일간)</t>
  </si>
  <si>
    <t xml:space="preserve"> ○ 논짓물(담수욕장)과 반딧불이 등 생태환경을
     테마로 한 축제
    - 광어 맨손잡기 체험, 생태탐방 등</t>
  </si>
  <si>
    <t>예래동주민자치위원회
/ 예래생태체험축제위원회
(064-760-4841)</t>
  </si>
  <si>
    <t xml:space="preserve">가덕도대구축제추진위원회
/가덕도대구축제추진위원회
</t>
    <phoneticPr fontId="3" type="noConversion"/>
  </si>
  <si>
    <t xml:space="preserve">수원가구연합회 
</t>
    <phoneticPr fontId="3" type="noConversion"/>
  </si>
  <si>
    <t xml:space="preserve">여주흥천 남한강 벚꽃축제위원회
</t>
    <phoneticPr fontId="3" type="noConversion"/>
  </si>
  <si>
    <t>강릉시 농정과/사천면 사기막리 해살이마을</t>
    <phoneticPr fontId="3" type="noConversion"/>
  </si>
  <si>
    <t xml:space="preserve">정선군 산림과/
정선군 곤드레산나물 축제위원회
</t>
    <phoneticPr fontId="3" type="noConversion"/>
  </si>
  <si>
    <t>강원도 평화지역발전본부, 철원군 문화체육과. 서울시/사단법인 피스트레인</t>
    <phoneticPr fontId="3" type="noConversion"/>
  </si>
  <si>
    <t xml:space="preserve">용대리황태축제추진위원회
</t>
    <phoneticPr fontId="3" type="noConversion"/>
  </si>
  <si>
    <t xml:space="preserve">감물면축제추진위원회
</t>
    <phoneticPr fontId="3" type="noConversion"/>
  </si>
  <si>
    <t xml:space="preserve">청천환경문화축제추진위원회
</t>
    <phoneticPr fontId="3" type="noConversion"/>
  </si>
  <si>
    <t>연풍면축제추진위원회</t>
    <phoneticPr fontId="3" type="noConversion"/>
  </si>
  <si>
    <t xml:space="preserve">계룡산축제추진위원회
</t>
    <phoneticPr fontId="3" type="noConversion"/>
  </si>
  <si>
    <t>갑사상가번영회</t>
    <phoneticPr fontId="3" type="noConversion"/>
  </si>
  <si>
    <t>보령시 청라면/은행마을축제 추진위원회</t>
    <phoneticPr fontId="3" type="noConversion"/>
  </si>
  <si>
    <t>보령시 농업기술센터/온새미로 축제추진위원회</t>
    <phoneticPr fontId="3" type="noConversion"/>
  </si>
  <si>
    <t xml:space="preserve">보령천북굴축제추진위원회         </t>
    <phoneticPr fontId="3" type="noConversion"/>
  </si>
  <si>
    <t xml:space="preserve">지곡왕산포 서산갯마을 축제
추진위원회(위원장 이대복,
</t>
    <phoneticPr fontId="3" type="noConversion"/>
  </si>
  <si>
    <t>서산시 문화시설사업소(041-661-8009) / 류방택기념사업회</t>
    <phoneticPr fontId="3" type="noConversion"/>
  </si>
  <si>
    <t>삼길포 축제위원회</t>
    <phoneticPr fontId="3" type="noConversion"/>
  </si>
  <si>
    <t>서산뻘낙지먹물축제 추진위원회
(위원장 박현규)</t>
    <phoneticPr fontId="3" type="noConversion"/>
  </si>
  <si>
    <t>서산시 / 서산어리굴젓축제추진위원회(위원장 조동섭)</t>
    <phoneticPr fontId="3" type="noConversion"/>
  </si>
  <si>
    <t>장고항실치축제 추진위원회
사무국장 김기용</t>
    <phoneticPr fontId="3" type="noConversion"/>
  </si>
  <si>
    <t>삽교호상가번영회
최춘길</t>
    <phoneticPr fontId="65" type="noConversion"/>
  </si>
  <si>
    <t>서천군/서면개발위원회</t>
    <phoneticPr fontId="3" type="noConversion"/>
  </si>
  <si>
    <t>춘장대해수욕장 운영협의회</t>
    <phoneticPr fontId="3" type="noConversion"/>
  </si>
  <si>
    <t>홍원항 마을 축제 추진 위원회</t>
    <phoneticPr fontId="3" type="noConversion"/>
  </si>
  <si>
    <t>(사)태안반도 이원쳥년회</t>
    <phoneticPr fontId="3" type="noConversion"/>
  </si>
  <si>
    <t>완주군 농업기술센터/삼례농협</t>
    <phoneticPr fontId="3" type="noConversion"/>
  </si>
  <si>
    <t>완주군 일자리경제과/전환기술사회적협동조합</t>
    <phoneticPr fontId="3" type="noConversion"/>
  </si>
  <si>
    <t>완주군 산림녹지과/운주농협</t>
    <phoneticPr fontId="3" type="noConversion"/>
  </si>
  <si>
    <t>고창군  농생명지원과
/ 고창해풍고축제위원회</t>
    <phoneticPr fontId="3" type="noConversion"/>
  </si>
  <si>
    <t>담양군/담양산타축제추진위원회</t>
    <phoneticPr fontId="3" type="noConversion"/>
  </si>
  <si>
    <t>담양군/고서포도축제추진위원회</t>
    <phoneticPr fontId="3" type="noConversion"/>
  </si>
  <si>
    <t>신안군
오수영 061-240-8684</t>
    <phoneticPr fontId="3" type="noConversion"/>
  </si>
  <si>
    <t xml:space="preserve">신안군/신안튤립축제추진위원회
대광사업소 이현윤 </t>
    <phoneticPr fontId="3" type="noConversion"/>
  </si>
  <si>
    <t xml:space="preserve">신안군/오수영061-240-8684
슬로시티위원회사무국장 이종화 
태평염전 유영삼 </t>
    <phoneticPr fontId="3" type="noConversion"/>
  </si>
  <si>
    <t>(사)한국수산업경영인연합회
/ 사천시삼천포항수산물축제
추진위원회
(서정철)</t>
    <phoneticPr fontId="3" type="noConversion"/>
  </si>
  <si>
    <t>거제대구수산물축제추진위원회/거제대구호망협의회,외포청년회</t>
    <phoneticPr fontId="3" type="noConversion"/>
  </si>
  <si>
    <t>마늘축제&amp;한우잔치추진위원회</t>
    <phoneticPr fontId="3" type="noConversion"/>
  </si>
  <si>
    <t>상주면번영회[계획]
(상주면연합청년회)</t>
    <phoneticPr fontId="3" type="noConversion"/>
  </si>
  <si>
    <t>맥주축제추진위원회</t>
    <phoneticPr fontId="3" type="noConversion"/>
  </si>
  <si>
    <t>거창크리스마스트리문화축제위원회</t>
    <phoneticPr fontId="3" type="noConversion"/>
  </si>
  <si>
    <t>제주시 오라동
/방선문축제위원회</t>
    <phoneticPr fontId="3" type="noConversion"/>
  </si>
  <si>
    <t>대정읍/대정고을추사문화예술제 추진위원회</t>
    <phoneticPr fontId="3" type="noConversion"/>
  </si>
  <si>
    <t>표선리 마을회/표선리청년회</t>
    <phoneticPr fontId="3" type="noConversion"/>
  </si>
  <si>
    <t>서홍동청소년지도협의회
(회장 김봉삼)</t>
    <phoneticPr fontId="3" type="noConversion"/>
  </si>
  <si>
    <t>사천시 삼천포항 자연산 전어축제
추진위원회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</si>
</sst>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1" formatCode="_-* #,##0_-;\-* #,##0_-;_-* &quot;-&quot;_-;_-@_-"/>
    <numFmt numFmtId="176" formatCode="#,##0_);[Red]\(#,##0\)"/>
    <numFmt numFmtId="177" formatCode="_-* #,##0.0_-;\-* #,##0.0_-;_-* &quot;-&quot;?_-;_-@_-"/>
    <numFmt numFmtId="178" formatCode="_-* #,##0.0_-;\-* #,##0.0_-;_-* &quot;-&quot;_-;_-@_-"/>
    <numFmt numFmtId="179" formatCode="#,##0_ "/>
    <numFmt numFmtId="180" formatCode="#,##0.0_);[Red]\(#,##0.0\)"/>
    <numFmt numFmtId="181" formatCode="#,##0.00_);[Red]\(#,##0.00\)"/>
    <numFmt numFmtId="182" formatCode="#,##0.0_ "/>
    <numFmt numFmtId="183" formatCode="#,##0.00_ "/>
    <numFmt numFmtId="184" formatCode="0.0"/>
    <numFmt numFmtId="185" formatCode="0_);[Red]\(0\)"/>
  </numFmts>
  <fonts count="71">
    <font>
      <sz val="11"/>
      <name val="돋움"/>
      <family val="3"/>
      <charset val="129"/>
    </font>
    <font>
      <sz val="11"/>
      <color theme="1"/>
      <name val="맑은 고딕"/>
      <family val="2"/>
      <charset val="129"/>
      <scheme val="minor"/>
    </font>
    <font>
      <sz val="11"/>
      <name val="돋움"/>
      <family val="3"/>
      <charset val="129"/>
    </font>
    <font>
      <sz val="8"/>
      <name val="돋움"/>
      <family val="3"/>
      <charset val="129"/>
    </font>
    <font>
      <sz val="11"/>
      <name val="굴림"/>
      <family val="3"/>
      <charset val="129"/>
    </font>
    <font>
      <sz val="12"/>
      <name val="굴림"/>
      <family val="3"/>
      <charset val="129"/>
    </font>
    <font>
      <sz val="10"/>
      <name val="굴림"/>
      <family val="3"/>
      <charset val="129"/>
    </font>
    <font>
      <b/>
      <sz val="12"/>
      <name val="굴림"/>
      <family val="3"/>
      <charset val="129"/>
    </font>
    <font>
      <b/>
      <sz val="13"/>
      <name val="굴림"/>
      <family val="3"/>
      <charset val="129"/>
    </font>
    <font>
      <sz val="13"/>
      <name val="굴림"/>
      <family val="3"/>
      <charset val="129"/>
    </font>
    <font>
      <b/>
      <u/>
      <sz val="24"/>
      <name val="HY헤드라인M"/>
      <family val="1"/>
      <charset val="129"/>
    </font>
    <font>
      <sz val="11"/>
      <color indexed="8"/>
      <name val="맑은 고딕"/>
      <family val="3"/>
      <charset val="129"/>
    </font>
    <font>
      <sz val="11"/>
      <name val="HY중고딕"/>
      <family val="1"/>
      <charset val="129"/>
    </font>
    <font>
      <b/>
      <sz val="11"/>
      <name val="굴림"/>
      <family val="3"/>
      <charset val="129"/>
    </font>
    <font>
      <sz val="8"/>
      <name val="맑은 고딕"/>
      <family val="3"/>
      <charset val="129"/>
    </font>
    <font>
      <b/>
      <u/>
      <sz val="20"/>
      <name val="HY헤드라인M"/>
      <family val="1"/>
      <charset val="129"/>
    </font>
    <font>
      <sz val="11"/>
      <color theme="1"/>
      <name val="맑은 고딕"/>
      <family val="3"/>
      <charset val="129"/>
      <scheme val="minor"/>
    </font>
    <font>
      <sz val="10"/>
      <color rgb="FFFF0000"/>
      <name val="굴림"/>
      <family val="3"/>
      <charset val="129"/>
    </font>
    <font>
      <b/>
      <sz val="13"/>
      <color theme="0"/>
      <name val="굴림"/>
      <family val="3"/>
      <charset val="129"/>
    </font>
    <font>
      <sz val="11"/>
      <color rgb="FF000000"/>
      <name val="돋움"/>
      <family val="3"/>
      <charset val="129"/>
    </font>
    <font>
      <b/>
      <sz val="14"/>
      <color rgb="FFFF0000"/>
      <name val="굴림"/>
      <family val="3"/>
      <charset val="129"/>
    </font>
    <font>
      <u/>
      <sz val="13"/>
      <name val="굴림"/>
      <family val="3"/>
      <charset val="129"/>
    </font>
    <font>
      <b/>
      <sz val="11"/>
      <name val="HY중고딕"/>
      <family val="1"/>
      <charset val="129"/>
    </font>
    <font>
      <b/>
      <sz val="14"/>
      <color rgb="FF002060"/>
      <name val="굴림"/>
      <family val="3"/>
      <charset val="129"/>
    </font>
    <font>
      <b/>
      <sz val="12"/>
      <color rgb="FFC00000"/>
      <name val="굴림"/>
      <family val="3"/>
      <charset val="129"/>
    </font>
    <font>
      <b/>
      <sz val="11"/>
      <color rgb="FFC00000"/>
      <name val="굴림"/>
      <family val="3"/>
      <charset val="129"/>
    </font>
    <font>
      <sz val="11"/>
      <color theme="0"/>
      <name val="굴림"/>
      <family val="3"/>
      <charset val="129"/>
    </font>
    <font>
      <b/>
      <sz val="11"/>
      <color rgb="FF0070C0"/>
      <name val="맑은 고딕"/>
      <family val="3"/>
      <charset val="129"/>
    </font>
    <font>
      <b/>
      <sz val="11"/>
      <color rgb="FF0070C0"/>
      <name val="굴림"/>
      <family val="3"/>
      <charset val="129"/>
    </font>
    <font>
      <b/>
      <sz val="10"/>
      <name val="굴림"/>
      <family val="3"/>
      <charset val="129"/>
    </font>
    <font>
      <sz val="8"/>
      <name val="맑은 고딕"/>
      <family val="2"/>
      <charset val="129"/>
      <scheme val="minor"/>
    </font>
    <font>
      <sz val="11"/>
      <name val="맑은 고딕"/>
      <family val="3"/>
      <charset val="129"/>
    </font>
    <font>
      <sz val="11"/>
      <color rgb="FF000000"/>
      <name val="맑은 고딕"/>
      <family val="3"/>
      <charset val="129"/>
    </font>
    <font>
      <sz val="11"/>
      <color rgb="FF000000"/>
      <name val="굴림"/>
      <family val="3"/>
      <charset val="129"/>
    </font>
    <font>
      <sz val="12"/>
      <color rgb="FF000000"/>
      <name val="굴림"/>
      <family val="3"/>
      <charset val="129"/>
    </font>
    <font>
      <sz val="11"/>
      <color rgb="FF000000"/>
      <name val="HY중고딕"/>
      <family val="1"/>
      <charset val="129"/>
    </font>
    <font>
      <b/>
      <sz val="12"/>
      <color rgb="FF000000"/>
      <name val="굴림"/>
      <family val="3"/>
      <charset val="129"/>
    </font>
    <font>
      <b/>
      <u/>
      <sz val="24"/>
      <color rgb="FF000000"/>
      <name val="HY헤드라인M"/>
      <family val="1"/>
      <charset val="129"/>
    </font>
    <font>
      <b/>
      <sz val="10"/>
      <color rgb="FF000000"/>
      <name val="굴림"/>
      <family val="3"/>
      <charset val="129"/>
    </font>
    <font>
      <sz val="11"/>
      <color theme="1"/>
      <name val="HY중고딕"/>
      <family val="1"/>
      <charset val="129"/>
    </font>
    <font>
      <sz val="9"/>
      <name val="맑은 고딕"/>
      <family val="2"/>
      <charset val="129"/>
      <scheme val="minor"/>
    </font>
    <font>
      <sz val="11"/>
      <color rgb="FF0000FF"/>
      <name val="굴림"/>
      <family val="3"/>
      <charset val="129"/>
    </font>
    <font>
      <sz val="11"/>
      <color rgb="FFFF0000"/>
      <name val="굴림"/>
      <family val="3"/>
      <charset val="129"/>
    </font>
    <font>
      <b/>
      <sz val="9"/>
      <name val="맑은 고딕"/>
      <family val="2"/>
      <charset val="129"/>
      <scheme val="minor"/>
    </font>
    <font>
      <sz val="11"/>
      <color rgb="FF00B050"/>
      <name val="굴림"/>
      <family val="3"/>
      <charset val="129"/>
    </font>
    <font>
      <sz val="11"/>
      <color rgb="FFFF0000"/>
      <name val="HY중고딕"/>
      <family val="1"/>
      <charset val="129"/>
    </font>
    <font>
      <b/>
      <sz val="11"/>
      <color indexed="60"/>
      <name val="굴림"/>
      <family val="3"/>
      <charset val="129"/>
    </font>
    <font>
      <sz val="10"/>
      <name val="HY중고딕"/>
      <family val="1"/>
      <charset val="129"/>
    </font>
    <font>
      <sz val="11"/>
      <color rgb="FF0000FF"/>
      <name val="HY중고딕"/>
      <family val="1"/>
      <charset val="129"/>
    </font>
    <font>
      <sz val="11"/>
      <color rgb="FF006100"/>
      <name val="맑은 고딕"/>
      <family val="2"/>
      <charset val="129"/>
      <scheme val="minor"/>
    </font>
    <font>
      <sz val="10.5"/>
      <name val="HY중고딕"/>
      <family val="1"/>
      <charset val="129"/>
    </font>
    <font>
      <sz val="10.5"/>
      <name val="맑은 고딕"/>
      <family val="3"/>
      <charset val="129"/>
    </font>
    <font>
      <u/>
      <sz val="11"/>
      <name val="HY중고딕"/>
      <family val="1"/>
      <charset val="129"/>
    </font>
    <font>
      <b/>
      <sz val="10"/>
      <name val="HY중고딕"/>
      <family val="1"/>
      <charset val="129"/>
    </font>
    <font>
      <sz val="9"/>
      <name val="HY중고딕"/>
      <family val="1"/>
      <charset val="129"/>
    </font>
    <font>
      <sz val="8"/>
      <name val="HY중고딕"/>
      <family val="1"/>
      <charset val="129"/>
    </font>
    <font>
      <sz val="11"/>
      <name val="맑은 고딕"/>
      <family val="3"/>
      <charset val="129"/>
      <scheme val="major"/>
    </font>
    <font>
      <sz val="9.9"/>
      <name val="HY중고딕"/>
      <family val="1"/>
      <charset val="129"/>
    </font>
    <font>
      <sz val="8.9"/>
      <name val="맑은 고딕"/>
      <family val="3"/>
      <charset val="129"/>
    </font>
    <font>
      <sz val="7.2"/>
      <name val="HY중고딕"/>
      <family val="1"/>
      <charset val="129"/>
    </font>
    <font>
      <sz val="11"/>
      <color theme="1"/>
      <name val="굴림"/>
      <family val="3"/>
      <charset val="129"/>
    </font>
    <font>
      <sz val="14"/>
      <name val="HY중고딕"/>
      <family val="1"/>
      <charset val="129"/>
    </font>
    <font>
      <sz val="10"/>
      <color theme="1"/>
      <name val="HY중고딕"/>
      <family val="1"/>
      <charset val="129"/>
    </font>
    <font>
      <sz val="10"/>
      <color theme="1"/>
      <name val="굴림"/>
      <family val="3"/>
      <charset val="129"/>
    </font>
    <font>
      <sz val="11"/>
      <name val="MingLiU"/>
      <family val="3"/>
      <charset val="136"/>
    </font>
    <font>
      <sz val="8"/>
      <name val="맑은 고딕"/>
      <family val="3"/>
      <charset val="129"/>
      <scheme val="minor"/>
    </font>
    <font>
      <i/>
      <sz val="11"/>
      <name val="HY중고딕"/>
      <family val="1"/>
      <charset val="129"/>
    </font>
    <font>
      <sz val="11"/>
      <color indexed="63"/>
      <name val="굴림"/>
      <family val="3"/>
      <charset val="129"/>
    </font>
    <font>
      <sz val="12"/>
      <name val="HY중고딕"/>
      <family val="1"/>
      <charset val="129"/>
    </font>
    <font>
      <sz val="11"/>
      <name val="MS PMincho"/>
      <family val="1"/>
      <charset val="128"/>
    </font>
    <font>
      <u/>
      <sz val="11"/>
      <color rgb="FF000000"/>
      <name val="돋움"/>
      <family val="3"/>
      <charset val="129"/>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2F2F2"/>
        <bgColor indexed="64"/>
      </patternFill>
    </fill>
    <fill>
      <patternFill patternType="solid">
        <fgColor rgb="FFC6EFCE"/>
      </patternFill>
    </fill>
    <fill>
      <patternFill patternType="solid">
        <fgColor indexed="9"/>
        <bgColor indexed="64"/>
      </patternFill>
    </fill>
  </fills>
  <borders count="113">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dotted">
        <color indexed="64"/>
      </right>
      <top style="medium">
        <color indexed="64"/>
      </top>
      <bottom style="medium">
        <color indexed="64"/>
      </bottom>
      <diagonal/>
    </border>
    <border>
      <left style="medium">
        <color indexed="64"/>
      </left>
      <right style="dotted">
        <color indexed="64"/>
      </right>
      <top/>
      <bottom style="thin">
        <color indexed="64"/>
      </bottom>
      <diagonal/>
    </border>
    <border>
      <left style="medium">
        <color indexed="64"/>
      </left>
      <right style="dotted">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dotted">
        <color indexed="64"/>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medium">
        <color indexed="64"/>
      </left>
      <right style="dotted">
        <color indexed="64"/>
      </right>
      <top style="thin">
        <color indexed="64"/>
      </top>
      <bottom style="medium">
        <color indexed="64"/>
      </bottom>
      <diagonal/>
    </border>
    <border>
      <left/>
      <right/>
      <top style="thin">
        <color indexed="64"/>
      </top>
      <bottom/>
      <diagonal/>
    </border>
    <border>
      <left style="dashed">
        <color indexed="64"/>
      </left>
      <right style="dashed">
        <color indexed="64"/>
      </right>
      <top style="thin">
        <color indexed="64"/>
      </top>
      <bottom style="medium">
        <color indexed="64"/>
      </bottom>
      <diagonal/>
    </border>
    <border>
      <left style="dashed">
        <color indexed="64"/>
      </left>
      <right style="dashed">
        <color indexed="64"/>
      </right>
      <top style="thin">
        <color indexed="64"/>
      </top>
      <bottom style="thin">
        <color indexed="64"/>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style="thin">
        <color indexed="64"/>
      </right>
      <top/>
      <bottom/>
      <diagonal/>
    </border>
    <border>
      <left style="thin">
        <color indexed="64"/>
      </left>
      <right style="medium">
        <color indexed="64"/>
      </right>
      <top/>
      <bottom style="dotted">
        <color indexed="64"/>
      </bottom>
      <diagonal/>
    </border>
    <border>
      <left style="medium">
        <color indexed="64"/>
      </left>
      <right style="medium">
        <color indexed="64"/>
      </right>
      <top/>
      <bottom/>
      <diagonal/>
    </border>
    <border>
      <left style="medium">
        <color indexed="64"/>
      </left>
      <right style="medium">
        <color indexed="64"/>
      </right>
      <top style="dotted">
        <color indexed="64"/>
      </top>
      <bottom/>
      <diagonal/>
    </border>
    <border>
      <left style="thin">
        <color indexed="64"/>
      </left>
      <right style="dotted">
        <color indexed="64"/>
      </right>
      <top style="dotted">
        <color indexed="64"/>
      </top>
      <bottom/>
      <diagonal/>
    </border>
    <border>
      <left style="thin">
        <color indexed="64"/>
      </left>
      <right style="dotted">
        <color indexed="64"/>
      </right>
      <top/>
      <bottom style="thin">
        <color indexed="64"/>
      </bottom>
      <diagonal/>
    </border>
    <border>
      <left style="dotted">
        <color indexed="64"/>
      </left>
      <right style="dotted">
        <color indexed="64"/>
      </right>
      <top style="dotted">
        <color indexed="64"/>
      </top>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dotted">
        <color indexed="64"/>
      </left>
      <right style="medium">
        <color indexed="64"/>
      </right>
      <top/>
      <bottom style="thin">
        <color indexed="64"/>
      </bottom>
      <diagonal/>
    </border>
    <border>
      <left style="thin">
        <color indexed="64"/>
      </left>
      <right style="thin">
        <color indexed="64"/>
      </right>
      <top style="dotted">
        <color indexed="64"/>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tted">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dotted">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top/>
      <bottom/>
      <diagonal/>
    </border>
    <border>
      <left/>
      <right style="hair">
        <color indexed="64"/>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hair">
        <color indexed="64"/>
      </right>
      <top style="thin">
        <color indexed="64"/>
      </top>
      <bottom style="medium">
        <color indexed="64"/>
      </bottom>
      <diagonal/>
    </border>
    <border>
      <left/>
      <right style="dotted">
        <color indexed="64"/>
      </right>
      <top style="thin">
        <color indexed="64"/>
      </top>
      <bottom style="thin">
        <color indexed="64"/>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theme="1"/>
      </top>
      <bottom style="thin">
        <color theme="1"/>
      </bottom>
      <diagonal/>
    </border>
    <border>
      <left style="medium">
        <color theme="1"/>
      </left>
      <right style="medium">
        <color theme="1"/>
      </right>
      <top style="thin">
        <color theme="1"/>
      </top>
      <bottom style="thin">
        <color theme="1"/>
      </bottom>
      <diagonal/>
    </border>
    <border>
      <left/>
      <right style="medium">
        <color theme="1"/>
      </right>
      <top style="thin">
        <color theme="1"/>
      </top>
      <bottom style="thin">
        <color theme="1"/>
      </bottom>
      <diagonal/>
    </border>
    <border>
      <left style="medium">
        <color theme="1"/>
      </left>
      <right/>
      <top style="thin">
        <color theme="1"/>
      </top>
      <bottom style="thin">
        <color theme="1"/>
      </bottom>
      <diagonal/>
    </border>
    <border>
      <left style="thin">
        <color indexed="64"/>
      </left>
      <right style="thin">
        <color indexed="64"/>
      </right>
      <top style="thin">
        <color indexed="64"/>
      </top>
      <bottom style="thin">
        <color theme="1"/>
      </bottom>
      <diagonal/>
    </border>
    <border>
      <left style="thin">
        <color indexed="64"/>
      </left>
      <right style="thin">
        <color indexed="64"/>
      </right>
      <top style="thin">
        <color theme="1"/>
      </top>
      <bottom style="thin">
        <color indexed="64"/>
      </bottom>
      <diagonal/>
    </border>
  </borders>
  <cellStyleXfs count="47">
    <xf numFmtId="0" fontId="0" fillId="0" borderId="0"/>
    <xf numFmtId="41" fontId="11" fillId="0" borderId="0">
      <alignment vertical="center"/>
    </xf>
    <xf numFmtId="41" fontId="16" fillId="0" borderId="0" applyFont="0" applyFill="0" applyBorder="0" applyAlignment="0" applyProtection="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16" fillId="0" borderId="0">
      <alignment vertical="center"/>
    </xf>
    <xf numFmtId="0" fontId="2" fillId="0" borderId="0"/>
    <xf numFmtId="0" fontId="2" fillId="0" borderId="0">
      <alignment vertical="center"/>
    </xf>
    <xf numFmtId="0" fontId="16" fillId="0" borderId="0">
      <alignment vertical="center"/>
    </xf>
    <xf numFmtId="0" fontId="2" fillId="0" borderId="0"/>
    <xf numFmtId="0" fontId="2" fillId="0" borderId="0"/>
    <xf numFmtId="0" fontId="2" fillId="0" borderId="0">
      <alignment vertical="center"/>
    </xf>
    <xf numFmtId="0" fontId="19" fillId="0" borderId="0"/>
    <xf numFmtId="0" fontId="1" fillId="0" borderId="0">
      <alignment vertical="center"/>
    </xf>
    <xf numFmtId="0" fontId="1" fillId="0" borderId="0">
      <alignment vertical="center"/>
    </xf>
    <xf numFmtId="41" fontId="2" fillId="0" borderId="0" applyFont="0" applyFill="0" applyBorder="0" applyAlignment="0" applyProtection="0">
      <alignment vertical="center"/>
    </xf>
    <xf numFmtId="41" fontId="32" fillId="0" borderId="0">
      <alignment vertical="center"/>
    </xf>
    <xf numFmtId="41" fontId="32" fillId="0" borderId="0">
      <alignment vertical="center"/>
    </xf>
    <xf numFmtId="41" fontId="19" fillId="0" borderId="0"/>
    <xf numFmtId="0" fontId="19" fillId="0" borderId="0">
      <alignment vertical="center"/>
    </xf>
    <xf numFmtId="0" fontId="19" fillId="0" borderId="0">
      <alignment vertical="center"/>
    </xf>
    <xf numFmtId="0" fontId="19" fillId="0" borderId="0">
      <alignment vertical="center"/>
    </xf>
    <xf numFmtId="0" fontId="19" fillId="0" borderId="0"/>
    <xf numFmtId="0" fontId="19" fillId="0" borderId="0"/>
    <xf numFmtId="0" fontId="19" fillId="0" borderId="0"/>
    <xf numFmtId="0" fontId="32" fillId="0" borderId="0">
      <alignment vertical="center"/>
    </xf>
    <xf numFmtId="0" fontId="19" fillId="0" borderId="0"/>
    <xf numFmtId="0" fontId="19" fillId="0" borderId="0">
      <alignment vertical="center"/>
    </xf>
    <xf numFmtId="0" fontId="32" fillId="0" borderId="0">
      <alignment vertical="center"/>
    </xf>
    <xf numFmtId="0" fontId="19" fillId="0" borderId="0"/>
    <xf numFmtId="0" fontId="19" fillId="0" borderId="0"/>
    <xf numFmtId="0" fontId="19" fillId="0" borderId="0">
      <alignment vertical="center"/>
    </xf>
    <xf numFmtId="0" fontId="2" fillId="0" borderId="0"/>
    <xf numFmtId="0" fontId="49" fillId="10" borderId="0" applyNumberFormat="0" applyBorder="0" applyAlignment="0" applyProtection="0">
      <alignment vertical="center"/>
    </xf>
    <xf numFmtId="0" fontId="2" fillId="0" borderId="0"/>
    <xf numFmtId="0" fontId="2" fillId="0" borderId="0"/>
    <xf numFmtId="0" fontId="2" fillId="0" borderId="0"/>
    <xf numFmtId="41" fontId="19" fillId="0" borderId="0">
      <alignment vertical="center"/>
    </xf>
    <xf numFmtId="41" fontId="11" fillId="0" borderId="0">
      <alignment vertical="center"/>
    </xf>
    <xf numFmtId="41" fontId="16" fillId="0" borderId="0" applyFont="0" applyFill="0" applyBorder="0" applyAlignment="0" applyProtection="0">
      <alignment vertical="center"/>
    </xf>
    <xf numFmtId="41" fontId="2" fillId="0" borderId="0" applyFont="0" applyFill="0" applyBorder="0" applyAlignment="0" applyProtection="0"/>
    <xf numFmtId="0" fontId="2" fillId="0" borderId="0"/>
  </cellStyleXfs>
  <cellXfs count="1670">
    <xf numFmtId="0" fontId="0" fillId="0" borderId="0" xfId="0"/>
    <xf numFmtId="0" fontId="4" fillId="0" borderId="0" xfId="0" applyFont="1"/>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4" fillId="0" borderId="0" xfId="0" applyFont="1" applyAlignment="1">
      <alignment horizont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8" xfId="0" applyFont="1" applyFill="1" applyBorder="1" applyAlignment="1">
      <alignment horizontal="center" vertical="center"/>
    </xf>
    <xf numFmtId="0" fontId="0" fillId="0" borderId="0" xfId="0" applyBorder="1"/>
    <xf numFmtId="0" fontId="18" fillId="0" borderId="0" xfId="0" applyFont="1" applyFill="1" applyBorder="1" applyAlignment="1">
      <alignment horizontal="left"/>
    </xf>
    <xf numFmtId="0" fontId="7" fillId="6" borderId="1"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1"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0" fillId="4" borderId="12" xfId="0" applyFill="1" applyBorder="1" applyAlignment="1">
      <alignment horizontal="center" vertical="center"/>
    </xf>
    <xf numFmtId="0" fontId="4" fillId="4" borderId="15" xfId="0" applyFont="1" applyFill="1" applyBorder="1" applyAlignment="1">
      <alignment horizontal="center" vertical="center"/>
    </xf>
    <xf numFmtId="0" fontId="4" fillId="4" borderId="13"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12" fillId="2" borderId="12" xfId="0" applyFont="1" applyFill="1" applyBorder="1" applyAlignment="1">
      <alignment horizontal="center" vertical="center"/>
    </xf>
    <xf numFmtId="0" fontId="12" fillId="2" borderId="19"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26" fillId="0" borderId="0" xfId="0" applyFont="1" applyAlignment="1">
      <alignment vertical="center"/>
    </xf>
    <xf numFmtId="0" fontId="12"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0" fillId="7" borderId="0" xfId="0" applyFill="1" applyAlignment="1">
      <alignment vertical="center"/>
    </xf>
    <xf numFmtId="0" fontId="5" fillId="7" borderId="0" xfId="0" applyFont="1" applyFill="1" applyAlignment="1">
      <alignment horizontal="center" vertical="center"/>
    </xf>
    <xf numFmtId="0" fontId="5" fillId="7" borderId="0" xfId="0" applyFont="1" applyFill="1" applyAlignment="1">
      <alignment vertical="center"/>
    </xf>
    <xf numFmtId="0" fontId="27" fillId="0" borderId="20" xfId="0" applyFont="1" applyBorder="1" applyAlignment="1">
      <alignment vertical="center"/>
    </xf>
    <xf numFmtId="0" fontId="28" fillId="0" borderId="20" xfId="0" applyFont="1" applyBorder="1" applyAlignment="1">
      <alignment vertical="center"/>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3" fontId="12" fillId="2" borderId="10" xfId="0" applyNumberFormat="1" applyFont="1" applyFill="1" applyBorder="1" applyAlignment="1">
      <alignment horizontal="center" vertical="center" wrapText="1"/>
    </xf>
    <xf numFmtId="3" fontId="7" fillId="5" borderId="21" xfId="0" applyNumberFormat="1" applyFont="1" applyFill="1" applyBorder="1" applyAlignment="1">
      <alignment horizontal="center" vertical="center" wrapText="1"/>
    </xf>
    <xf numFmtId="3" fontId="7" fillId="5" borderId="30" xfId="0" applyNumberFormat="1" applyFont="1" applyFill="1" applyBorder="1" applyAlignment="1">
      <alignment horizontal="center" vertical="center" wrapText="1"/>
    </xf>
    <xf numFmtId="3" fontId="12" fillId="2" borderId="32" xfId="0" applyNumberFormat="1" applyFont="1" applyFill="1" applyBorder="1" applyAlignment="1">
      <alignment horizontal="center" vertical="center" wrapText="1"/>
    </xf>
    <xf numFmtId="3" fontId="4" fillId="0" borderId="0" xfId="0" applyNumberFormat="1" applyFont="1"/>
    <xf numFmtId="3" fontId="4" fillId="0" borderId="0" xfId="0" applyNumberFormat="1" applyFont="1" applyAlignment="1">
      <alignment vertical="center"/>
    </xf>
    <xf numFmtId="3" fontId="12" fillId="2" borderId="8" xfId="0" applyNumberFormat="1" applyFont="1" applyFill="1" applyBorder="1" applyAlignment="1">
      <alignment horizontal="center" vertical="center" wrapText="1"/>
    </xf>
    <xf numFmtId="0" fontId="35" fillId="8" borderId="37" xfId="0" applyFont="1" applyFill="1" applyBorder="1" applyAlignment="1">
      <alignment horizontal="center" vertical="center"/>
    </xf>
    <xf numFmtId="0" fontId="35" fillId="2" borderId="19" xfId="0" applyFont="1" applyFill="1" applyBorder="1" applyAlignment="1">
      <alignment horizontal="center" vertical="center"/>
    </xf>
    <xf numFmtId="0" fontId="35" fillId="8" borderId="19" xfId="0" applyFont="1" applyFill="1" applyBorder="1" applyAlignment="1">
      <alignment vertical="center"/>
    </xf>
    <xf numFmtId="0" fontId="35" fillId="8" borderId="36" xfId="0" applyFont="1" applyFill="1" applyBorder="1" applyAlignment="1">
      <alignment horizontal="center" vertical="center"/>
    </xf>
    <xf numFmtId="0" fontId="35" fillId="8" borderId="10" xfId="0" applyFont="1" applyFill="1" applyBorder="1" applyAlignment="1">
      <alignment horizontal="center" vertical="center"/>
    </xf>
    <xf numFmtId="0" fontId="35" fillId="8" borderId="44" xfId="0" applyFont="1" applyFill="1" applyBorder="1" applyAlignment="1">
      <alignment horizontal="center" vertical="center"/>
    </xf>
    <xf numFmtId="0" fontId="35" fillId="8" borderId="19" xfId="0" applyFont="1" applyFill="1" applyBorder="1" applyAlignment="1">
      <alignment horizontal="center" vertical="center"/>
    </xf>
    <xf numFmtId="0" fontId="35" fillId="8" borderId="19" xfId="0" applyFont="1" applyFill="1" applyBorder="1" applyAlignment="1">
      <alignment horizontal="center" vertical="center" wrapText="1"/>
    </xf>
    <xf numFmtId="0" fontId="35" fillId="8" borderId="8" xfId="0" applyFont="1" applyFill="1" applyBorder="1" applyAlignment="1">
      <alignment horizontal="center" vertical="center" wrapText="1"/>
    </xf>
    <xf numFmtId="0" fontId="35" fillId="8" borderId="4" xfId="0" applyFont="1" applyFill="1" applyBorder="1" applyAlignment="1">
      <alignment horizontal="center" vertical="center" wrapText="1"/>
    </xf>
    <xf numFmtId="0" fontId="35" fillId="8" borderId="5" xfId="0" applyFont="1" applyFill="1" applyBorder="1" applyAlignment="1">
      <alignment horizontal="center" vertical="center" wrapText="1"/>
    </xf>
    <xf numFmtId="0" fontId="35" fillId="8" borderId="10" xfId="0" applyFont="1" applyFill="1" applyBorder="1" applyAlignment="1">
      <alignment horizontal="center" vertical="center" wrapText="1"/>
    </xf>
    <xf numFmtId="0" fontId="35" fillId="8" borderId="32" xfId="0" applyFont="1" applyFill="1" applyBorder="1" applyAlignment="1">
      <alignment horizontal="center" vertical="center" wrapText="1"/>
    </xf>
    <xf numFmtId="0" fontId="33" fillId="0" borderId="0" xfId="0" applyFont="1" applyAlignment="1">
      <alignment horizontal="center" vertical="center"/>
    </xf>
    <xf numFmtId="0" fontId="33" fillId="2" borderId="0" xfId="0" applyFont="1" applyFill="1" applyAlignment="1">
      <alignment vertical="center"/>
    </xf>
    <xf numFmtId="0" fontId="33" fillId="0" borderId="0" xfId="0" applyFont="1" applyAlignment="1">
      <alignment vertical="center"/>
    </xf>
    <xf numFmtId="0" fontId="33" fillId="0" borderId="0" xfId="0" applyFont="1" applyAlignment="1">
      <alignment horizontal="center"/>
    </xf>
    <xf numFmtId="0" fontId="33" fillId="0" borderId="0" xfId="0" applyFont="1"/>
    <xf numFmtId="0" fontId="35" fillId="8" borderId="4" xfId="0" applyFont="1" applyFill="1" applyBorder="1" applyAlignment="1">
      <alignment horizontal="center" vertical="center"/>
    </xf>
    <xf numFmtId="0" fontId="35" fillId="8" borderId="8" xfId="0" applyFont="1" applyFill="1" applyBorder="1" applyAlignment="1">
      <alignment horizontal="center" vertical="center"/>
    </xf>
    <xf numFmtId="0" fontId="35" fillId="8" borderId="44" xfId="0" applyFont="1" applyFill="1" applyBorder="1" applyAlignment="1">
      <alignment horizontal="center" vertical="center" wrapText="1"/>
    </xf>
    <xf numFmtId="0" fontId="35" fillId="8" borderId="37" xfId="0" applyFont="1" applyFill="1" applyBorder="1" applyAlignment="1">
      <alignment horizontal="center" vertical="center" wrapText="1"/>
    </xf>
    <xf numFmtId="0" fontId="35" fillId="8" borderId="36" xfId="0" applyFont="1" applyFill="1" applyBorder="1" applyAlignment="1">
      <alignment horizontal="center" vertical="center" wrapText="1"/>
    </xf>
    <xf numFmtId="0" fontId="35" fillId="8" borderId="19" xfId="0" applyFont="1" applyFill="1" applyBorder="1" applyAlignment="1">
      <alignment vertical="center" wrapText="1"/>
    </xf>
    <xf numFmtId="0" fontId="35" fillId="2" borderId="19" xfId="0" applyFont="1" applyFill="1" applyBorder="1" applyAlignment="1">
      <alignment horizontal="center" vertical="center" wrapText="1"/>
    </xf>
    <xf numFmtId="0" fontId="35" fillId="8" borderId="5" xfId="0" applyFont="1" applyFill="1" applyBorder="1" applyAlignment="1">
      <alignment horizontal="center" vertical="center"/>
    </xf>
    <xf numFmtId="176" fontId="35" fillId="0" borderId="19" xfId="0" applyNumberFormat="1" applyFont="1" applyFill="1" applyBorder="1" applyAlignment="1" applyProtection="1">
      <alignment horizontal="center" vertical="center" wrapText="1"/>
    </xf>
    <xf numFmtId="49" fontId="35" fillId="8" borderId="8" xfId="0" applyNumberFormat="1" applyFont="1" applyFill="1" applyBorder="1" applyAlignment="1">
      <alignment horizontal="center" vertical="center" wrapText="1"/>
    </xf>
    <xf numFmtId="49" fontId="35" fillId="8" borderId="4" xfId="0" applyNumberFormat="1" applyFont="1" applyFill="1" applyBorder="1" applyAlignment="1">
      <alignment horizontal="center" vertical="center"/>
    </xf>
    <xf numFmtId="176" fontId="35" fillId="0" borderId="4" xfId="0" applyNumberFormat="1" applyFont="1" applyFill="1" applyBorder="1" applyAlignment="1" applyProtection="1">
      <alignment horizontal="center" vertical="center" wrapText="1"/>
    </xf>
    <xf numFmtId="176" fontId="35" fillId="0" borderId="45" xfId="0" applyNumberFormat="1" applyFont="1" applyFill="1" applyBorder="1" applyAlignment="1" applyProtection="1">
      <alignment horizontal="center" vertical="center"/>
    </xf>
    <xf numFmtId="3" fontId="35" fillId="8" borderId="37" xfId="0" applyNumberFormat="1" applyFont="1" applyFill="1" applyBorder="1" applyAlignment="1">
      <alignment horizontal="center" vertical="center" wrapText="1"/>
    </xf>
    <xf numFmtId="3" fontId="35" fillId="8" borderId="8" xfId="0" applyNumberFormat="1" applyFont="1" applyFill="1" applyBorder="1" applyAlignment="1">
      <alignment horizontal="center" vertical="center" wrapText="1"/>
    </xf>
    <xf numFmtId="176" fontId="35" fillId="0" borderId="45" xfId="0" applyNumberFormat="1" applyFont="1" applyFill="1" applyBorder="1" applyAlignment="1" applyProtection="1">
      <alignment horizontal="center" vertical="center" wrapText="1"/>
    </xf>
    <xf numFmtId="0" fontId="36" fillId="5" borderId="21" xfId="0" applyFont="1" applyFill="1" applyBorder="1" applyAlignment="1">
      <alignment horizontal="center" vertical="center" wrapText="1"/>
    </xf>
    <xf numFmtId="0" fontId="36" fillId="5" borderId="30" xfId="0" applyFont="1" applyFill="1" applyBorder="1" applyAlignment="1">
      <alignment horizontal="center" vertical="center" wrapText="1"/>
    </xf>
    <xf numFmtId="0" fontId="36" fillId="5" borderId="2" xfId="0" applyFont="1" applyFill="1" applyBorder="1" applyAlignment="1">
      <alignment horizontal="center" vertical="center" wrapText="1"/>
    </xf>
    <xf numFmtId="0" fontId="36" fillId="5" borderId="3" xfId="0" applyFont="1" applyFill="1" applyBorder="1" applyAlignment="1">
      <alignment horizontal="center" vertical="center" wrapText="1"/>
    </xf>
    <xf numFmtId="0" fontId="36" fillId="5" borderId="1" xfId="0" applyFont="1" applyFill="1" applyBorder="1" applyAlignment="1">
      <alignment horizontal="center" vertical="center" wrapText="1"/>
    </xf>
    <xf numFmtId="0" fontId="36" fillId="6" borderId="21" xfId="0" applyFont="1" applyFill="1" applyBorder="1" applyAlignment="1">
      <alignment horizontal="center" vertical="center" wrapText="1"/>
    </xf>
    <xf numFmtId="0" fontId="36" fillId="6" borderId="30" xfId="0" applyFont="1" applyFill="1" applyBorder="1" applyAlignment="1">
      <alignment horizontal="center" vertical="center" wrapText="1"/>
    </xf>
    <xf numFmtId="0" fontId="36" fillId="6" borderId="42" xfId="0" applyFont="1" applyFill="1" applyBorder="1" applyAlignment="1">
      <alignment horizontal="center" vertical="center" wrapText="1"/>
    </xf>
    <xf numFmtId="0" fontId="36" fillId="6" borderId="40" xfId="0" applyFont="1" applyFill="1" applyBorder="1" applyAlignment="1">
      <alignment horizontal="center" vertical="center" wrapText="1"/>
    </xf>
    <xf numFmtId="0" fontId="36" fillId="6" borderId="39"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6" fillId="6" borderId="29" xfId="0" applyFont="1" applyFill="1" applyBorder="1" applyAlignment="1">
      <alignment horizontal="center" vertical="center"/>
    </xf>
    <xf numFmtId="0" fontId="36" fillId="6" borderId="2" xfId="0" applyFont="1" applyFill="1" applyBorder="1" applyAlignment="1">
      <alignment horizontal="center" vertical="center"/>
    </xf>
    <xf numFmtId="0" fontId="36" fillId="6" borderId="1" xfId="0" applyFont="1" applyFill="1" applyBorder="1" applyAlignment="1">
      <alignment horizontal="center" vertical="center"/>
    </xf>
    <xf numFmtId="0" fontId="36" fillId="6" borderId="21" xfId="0" applyFont="1" applyFill="1" applyBorder="1" applyAlignment="1">
      <alignment horizontal="center" vertical="center"/>
    </xf>
    <xf numFmtId="0" fontId="33" fillId="0" borderId="0" xfId="0" applyFont="1" applyBorder="1" applyAlignment="1">
      <alignment vertical="center"/>
    </xf>
    <xf numFmtId="0" fontId="34" fillId="0" borderId="0" xfId="0" applyFont="1" applyAlignment="1">
      <alignment vertical="center"/>
    </xf>
    <xf numFmtId="0" fontId="34" fillId="0" borderId="0" xfId="0" applyFont="1" applyAlignment="1">
      <alignment horizontal="center" vertical="center"/>
    </xf>
    <xf numFmtId="0" fontId="7" fillId="6" borderId="17" xfId="0" applyFont="1" applyFill="1" applyBorder="1" applyAlignment="1">
      <alignment horizontal="center" vertical="center"/>
    </xf>
    <xf numFmtId="0" fontId="7" fillId="6" borderId="46" xfId="0" applyFont="1" applyFill="1" applyBorder="1" applyAlignment="1">
      <alignment horizontal="center" vertical="center"/>
    </xf>
    <xf numFmtId="0" fontId="7" fillId="6" borderId="47" xfId="0" applyFont="1" applyFill="1" applyBorder="1" applyAlignment="1">
      <alignment horizontal="center" vertical="center"/>
    </xf>
    <xf numFmtId="0" fontId="7" fillId="6" borderId="48" xfId="0" applyFont="1" applyFill="1" applyBorder="1" applyAlignment="1">
      <alignment horizontal="center" vertical="center"/>
    </xf>
    <xf numFmtId="0" fontId="7" fillId="6" borderId="48" xfId="0" applyFont="1" applyFill="1" applyBorder="1" applyAlignment="1">
      <alignment horizontal="center" vertical="center" wrapText="1"/>
    </xf>
    <xf numFmtId="0" fontId="7" fillId="6" borderId="46" xfId="0" applyFont="1" applyFill="1" applyBorder="1" applyAlignment="1">
      <alignment horizontal="center" vertical="center" wrapText="1"/>
    </xf>
    <xf numFmtId="0" fontId="7" fillId="6" borderId="49" xfId="0" applyFont="1" applyFill="1" applyBorder="1" applyAlignment="1">
      <alignment horizontal="center" vertical="center" wrapText="1"/>
    </xf>
    <xf numFmtId="0" fontId="7" fillId="6" borderId="50" xfId="0" applyFont="1" applyFill="1" applyBorder="1" applyAlignment="1">
      <alignment horizontal="center" vertical="center" wrapText="1"/>
    </xf>
    <xf numFmtId="0" fontId="7" fillId="6" borderId="51" xfId="0" applyFont="1" applyFill="1" applyBorder="1" applyAlignment="1">
      <alignment horizontal="center" vertical="center" wrapText="1"/>
    </xf>
    <xf numFmtId="0" fontId="7" fillId="6" borderId="52" xfId="0" applyFont="1" applyFill="1" applyBorder="1" applyAlignment="1">
      <alignment horizontal="center" vertical="center" wrapText="1"/>
    </xf>
    <xf numFmtId="0" fontId="7" fillId="6" borderId="53" xfId="0" applyFont="1" applyFill="1" applyBorder="1" applyAlignment="1">
      <alignment horizontal="center" vertical="center" wrapText="1"/>
    </xf>
    <xf numFmtId="0" fontId="7" fillId="5" borderId="54" xfId="0" applyFont="1" applyFill="1" applyBorder="1" applyAlignment="1">
      <alignment horizontal="center" vertical="center" wrapText="1"/>
    </xf>
    <xf numFmtId="0" fontId="7" fillId="5" borderId="48"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5" borderId="47"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7" fillId="5" borderId="53" xfId="0" applyFont="1" applyFill="1" applyBorder="1" applyAlignment="1">
      <alignment horizontal="center" vertical="center" wrapText="1"/>
    </xf>
    <xf numFmtId="0" fontId="12" fillId="2" borderId="36" xfId="0" applyFont="1" applyFill="1" applyBorder="1" applyAlignment="1">
      <alignment horizontal="center" vertical="center"/>
    </xf>
    <xf numFmtId="0" fontId="12" fillId="0" borderId="32" xfId="0" applyFont="1" applyFill="1" applyBorder="1" applyAlignment="1">
      <alignment horizontal="center" vertical="center" wrapText="1"/>
    </xf>
    <xf numFmtId="0" fontId="12" fillId="0" borderId="32" xfId="0" applyFont="1" applyFill="1" applyBorder="1" applyAlignment="1">
      <alignment vertical="center" wrapText="1"/>
    </xf>
    <xf numFmtId="176" fontId="12" fillId="2" borderId="55" xfId="0" applyNumberFormat="1" applyFont="1" applyFill="1" applyBorder="1" applyAlignment="1">
      <alignment horizontal="center" vertical="center" wrapText="1"/>
    </xf>
    <xf numFmtId="176" fontId="12" fillId="2" borderId="56" xfId="0" applyNumberFormat="1" applyFont="1" applyFill="1" applyBorder="1" applyAlignment="1">
      <alignment horizontal="center" vertical="center" wrapText="1"/>
    </xf>
    <xf numFmtId="176" fontId="12" fillId="2" borderId="57" xfId="0" applyNumberFormat="1" applyFont="1" applyFill="1" applyBorder="1" applyAlignment="1">
      <alignment horizontal="center" vertical="center" wrapText="1"/>
    </xf>
    <xf numFmtId="176" fontId="12" fillId="2" borderId="58" xfId="0" applyNumberFormat="1" applyFont="1" applyFill="1" applyBorder="1" applyAlignment="1">
      <alignment horizontal="center" vertical="center" wrapText="1"/>
    </xf>
    <xf numFmtId="0" fontId="12" fillId="2" borderId="59" xfId="0" applyFont="1" applyFill="1" applyBorder="1" applyAlignment="1">
      <alignment horizontal="center" vertical="center" wrapText="1"/>
    </xf>
    <xf numFmtId="0" fontId="12" fillId="2" borderId="55" xfId="0" applyFont="1" applyFill="1" applyBorder="1" applyAlignment="1">
      <alignment horizontal="center" vertical="center" wrapText="1"/>
    </xf>
    <xf numFmtId="176" fontId="12" fillId="2" borderId="32" xfId="0" applyNumberFormat="1" applyFont="1" applyFill="1" applyBorder="1" applyAlignment="1">
      <alignment horizontal="center" vertical="center" wrapText="1"/>
    </xf>
    <xf numFmtId="176" fontId="12" fillId="2" borderId="10" xfId="0" applyNumberFormat="1"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39" fillId="0" borderId="32" xfId="0" applyFont="1" applyFill="1" applyBorder="1" applyAlignment="1">
      <alignment horizontal="center" vertical="center" wrapText="1"/>
    </xf>
    <xf numFmtId="49" fontId="12" fillId="0" borderId="32" xfId="0" applyNumberFormat="1" applyFont="1" applyFill="1" applyBorder="1" applyAlignment="1">
      <alignment vertical="center" wrapText="1"/>
    </xf>
    <xf numFmtId="0" fontId="12" fillId="2" borderId="32" xfId="0" applyFont="1" applyFill="1" applyBorder="1" applyAlignment="1">
      <alignment vertical="center" wrapText="1"/>
    </xf>
    <xf numFmtId="176" fontId="12" fillId="2" borderId="60" xfId="0" applyNumberFormat="1" applyFont="1" applyFill="1" applyBorder="1" applyAlignment="1">
      <alignment horizontal="center" vertical="center" wrapText="1"/>
    </xf>
    <xf numFmtId="0" fontId="12" fillId="0" borderId="4" xfId="0" applyFont="1" applyFill="1" applyBorder="1" applyAlignment="1">
      <alignment horizontal="center" vertical="center"/>
    </xf>
    <xf numFmtId="0" fontId="12" fillId="0" borderId="36" xfId="0" applyFont="1" applyFill="1" applyBorder="1" applyAlignment="1">
      <alignment horizontal="center" vertical="center" wrapText="1"/>
    </xf>
    <xf numFmtId="0" fontId="12" fillId="0" borderId="32" xfId="0" applyFont="1" applyFill="1" applyBorder="1" applyAlignment="1">
      <alignment horizontal="left" vertical="center" wrapText="1"/>
    </xf>
    <xf numFmtId="176" fontId="12" fillId="0" borderId="55" xfId="0" applyNumberFormat="1" applyFont="1" applyFill="1" applyBorder="1" applyAlignment="1">
      <alignment horizontal="center" vertical="center" wrapText="1"/>
    </xf>
    <xf numFmtId="176" fontId="12" fillId="0" borderId="56" xfId="0" applyNumberFormat="1" applyFont="1" applyFill="1" applyBorder="1" applyAlignment="1">
      <alignment horizontal="center" vertical="center" wrapText="1"/>
    </xf>
    <xf numFmtId="176" fontId="12" fillId="0" borderId="57" xfId="0" applyNumberFormat="1" applyFont="1" applyFill="1" applyBorder="1" applyAlignment="1">
      <alignment horizontal="center" vertical="center" wrapText="1"/>
    </xf>
    <xf numFmtId="176" fontId="12" fillId="0" borderId="58" xfId="0" applyNumberFormat="1" applyFont="1" applyFill="1" applyBorder="1" applyAlignment="1">
      <alignment horizontal="center" vertical="center" wrapText="1"/>
    </xf>
    <xf numFmtId="0" fontId="12" fillId="0" borderId="59" xfId="0" applyFont="1" applyFill="1" applyBorder="1" applyAlignment="1">
      <alignment horizontal="center" vertical="center" wrapText="1"/>
    </xf>
    <xf numFmtId="0" fontId="12" fillId="0" borderId="55" xfId="0" applyFont="1" applyFill="1" applyBorder="1" applyAlignment="1">
      <alignment horizontal="center" vertical="center" wrapText="1"/>
    </xf>
    <xf numFmtId="176" fontId="12" fillId="0" borderId="10" xfId="20" applyNumberFormat="1" applyFont="1" applyFill="1" applyBorder="1" applyAlignment="1">
      <alignment horizontal="center" vertical="center" wrapText="1"/>
    </xf>
    <xf numFmtId="176" fontId="12" fillId="0" borderId="10" xfId="0" applyNumberFormat="1" applyFont="1" applyFill="1" applyBorder="1" applyAlignment="1">
      <alignment horizontal="center" vertical="center" wrapText="1"/>
    </xf>
    <xf numFmtId="176" fontId="12" fillId="0" borderId="32" xfId="0" applyNumberFormat="1" applyFont="1" applyFill="1" applyBorder="1" applyAlignment="1">
      <alignment horizontal="center" vertical="center" wrapText="1"/>
    </xf>
    <xf numFmtId="0" fontId="12" fillId="0" borderId="36" xfId="0" applyFont="1" applyFill="1" applyBorder="1" applyAlignment="1">
      <alignment horizontal="center" vertical="center"/>
    </xf>
    <xf numFmtId="0" fontId="40" fillId="2" borderId="32" xfId="0" applyFont="1" applyFill="1" applyBorder="1" applyAlignment="1">
      <alignment horizontal="center" vertical="center" wrapText="1"/>
    </xf>
    <xf numFmtId="177" fontId="12" fillId="0" borderId="32" xfId="20" applyNumberFormat="1" applyFont="1" applyFill="1" applyBorder="1" applyAlignment="1">
      <alignment horizontal="center" vertical="center" wrapText="1"/>
    </xf>
    <xf numFmtId="176" fontId="12" fillId="0" borderId="55" xfId="20" applyNumberFormat="1" applyFont="1" applyFill="1" applyBorder="1" applyAlignment="1">
      <alignment horizontal="center" vertical="center" wrapText="1"/>
    </xf>
    <xf numFmtId="176" fontId="12" fillId="0" borderId="56" xfId="20" applyNumberFormat="1" applyFont="1" applyFill="1" applyBorder="1" applyAlignment="1">
      <alignment horizontal="center" vertical="center" wrapText="1"/>
    </xf>
    <xf numFmtId="176" fontId="12" fillId="2" borderId="58" xfId="0" applyNumberFormat="1" applyFont="1" applyFill="1" applyBorder="1" applyAlignment="1">
      <alignment horizontal="center" vertical="center"/>
    </xf>
    <xf numFmtId="0" fontId="12" fillId="2" borderId="59" xfId="0" applyFont="1" applyFill="1" applyBorder="1" applyAlignment="1">
      <alignment horizontal="center" vertical="center"/>
    </xf>
    <xf numFmtId="0" fontId="12" fillId="2" borderId="10" xfId="0" applyFont="1" applyFill="1" applyBorder="1" applyAlignment="1">
      <alignment horizontal="center" vertical="center"/>
    </xf>
    <xf numFmtId="178" fontId="12" fillId="0" borderId="55" xfId="20" applyNumberFormat="1" applyFont="1" applyFill="1" applyBorder="1" applyAlignment="1">
      <alignment horizontal="center" vertical="center" wrapText="1"/>
    </xf>
    <xf numFmtId="0" fontId="41" fillId="0" borderId="0" xfId="0" applyFont="1"/>
    <xf numFmtId="0" fontId="4" fillId="0" borderId="4" xfId="0" applyFont="1" applyBorder="1" applyAlignment="1">
      <alignment horizontal="center" vertical="center"/>
    </xf>
    <xf numFmtId="0" fontId="42" fillId="0" borderId="0" xfId="0" applyFont="1"/>
    <xf numFmtId="176" fontId="12" fillId="2" borderId="55" xfId="20" applyNumberFormat="1" applyFont="1" applyFill="1" applyBorder="1" applyAlignment="1">
      <alignment horizontal="center" vertical="center" wrapText="1"/>
    </xf>
    <xf numFmtId="176" fontId="12" fillId="2" borderId="56" xfId="20" applyNumberFormat="1" applyFont="1" applyFill="1" applyBorder="1" applyAlignment="1">
      <alignment horizontal="center" vertical="center" wrapText="1"/>
    </xf>
    <xf numFmtId="176" fontId="12" fillId="2" borderId="57" xfId="20" applyNumberFormat="1" applyFont="1" applyFill="1" applyBorder="1" applyAlignment="1">
      <alignment horizontal="center" vertical="center" wrapText="1"/>
    </xf>
    <xf numFmtId="176" fontId="12" fillId="2" borderId="58" xfId="20" applyNumberFormat="1" applyFont="1" applyFill="1" applyBorder="1" applyAlignment="1">
      <alignment horizontal="center" vertical="center" wrapText="1"/>
    </xf>
    <xf numFmtId="176" fontId="12" fillId="2" borderId="32" xfId="20" applyNumberFormat="1" applyFont="1" applyFill="1" applyBorder="1" applyAlignment="1">
      <alignment horizontal="center" vertical="center" wrapText="1"/>
    </xf>
    <xf numFmtId="0" fontId="12" fillId="0" borderId="32" xfId="16" applyFont="1" applyFill="1" applyBorder="1" applyAlignment="1">
      <alignment vertical="center" wrapText="1"/>
    </xf>
    <xf numFmtId="176" fontId="12" fillId="2" borderId="56" xfId="0" applyNumberFormat="1" applyFont="1" applyFill="1" applyBorder="1" applyAlignment="1">
      <alignment horizontal="center" vertical="center"/>
    </xf>
    <xf numFmtId="176" fontId="12" fillId="2" borderId="57" xfId="0" applyNumberFormat="1" applyFont="1" applyFill="1" applyBorder="1" applyAlignment="1">
      <alignment horizontal="center" vertical="center"/>
    </xf>
    <xf numFmtId="176" fontId="12" fillId="2" borderId="57" xfId="0" applyNumberFormat="1" applyFont="1" applyFill="1" applyBorder="1" applyAlignment="1">
      <alignment horizontal="center" vertical="center" shrinkToFit="1"/>
    </xf>
    <xf numFmtId="0" fontId="43" fillId="2" borderId="32" xfId="0" applyFont="1" applyFill="1" applyBorder="1" applyAlignment="1">
      <alignment horizontal="center" vertical="center" wrapText="1"/>
    </xf>
    <xf numFmtId="0" fontId="22" fillId="2" borderId="32" xfId="0" applyFont="1" applyFill="1" applyBorder="1" applyAlignment="1">
      <alignment horizontal="center" vertical="center" wrapText="1"/>
    </xf>
    <xf numFmtId="0" fontId="22" fillId="0" borderId="32" xfId="16" applyFont="1" applyFill="1" applyBorder="1" applyAlignment="1">
      <alignment vertical="center" wrapText="1"/>
    </xf>
    <xf numFmtId="0" fontId="4" fillId="0" borderId="4" xfId="0" applyNumberFormat="1" applyFont="1" applyBorder="1" applyAlignment="1">
      <alignment horizontal="center" vertical="center"/>
    </xf>
    <xf numFmtId="0" fontId="4" fillId="0" borderId="5" xfId="0" applyNumberFormat="1" applyFont="1" applyBorder="1" applyAlignment="1">
      <alignment horizontal="center" vertical="center"/>
    </xf>
    <xf numFmtId="0" fontId="12" fillId="2" borderId="32" xfId="0" applyNumberFormat="1" applyFont="1" applyFill="1" applyBorder="1" applyAlignment="1">
      <alignment horizontal="center" vertical="center" wrapText="1"/>
    </xf>
    <xf numFmtId="0" fontId="12" fillId="2" borderId="55" xfId="0" applyNumberFormat="1" applyFont="1" applyFill="1" applyBorder="1" applyAlignment="1">
      <alignment horizontal="center" vertical="center" wrapText="1"/>
    </xf>
    <xf numFmtId="0" fontId="12" fillId="2" borderId="4" xfId="0" applyNumberFormat="1" applyFont="1" applyFill="1" applyBorder="1" applyAlignment="1">
      <alignment horizontal="center" vertical="center" wrapText="1"/>
    </xf>
    <xf numFmtId="0" fontId="12" fillId="2" borderId="36" xfId="0" applyNumberFormat="1" applyFont="1" applyFill="1" applyBorder="1" applyAlignment="1">
      <alignment horizontal="center" vertical="center" wrapText="1"/>
    </xf>
    <xf numFmtId="0" fontId="44" fillId="0" borderId="0" xfId="0" applyFont="1"/>
    <xf numFmtId="176" fontId="39" fillId="2" borderId="55" xfId="0" applyNumberFormat="1" applyFont="1" applyFill="1" applyBorder="1" applyAlignment="1">
      <alignment horizontal="center" vertical="center" wrapText="1"/>
    </xf>
    <xf numFmtId="176" fontId="39" fillId="0" borderId="56" xfId="20" applyNumberFormat="1" applyFont="1" applyFill="1" applyBorder="1" applyAlignment="1">
      <alignment horizontal="center" vertical="center" wrapText="1"/>
    </xf>
    <xf numFmtId="176" fontId="39" fillId="0" borderId="57" xfId="20" applyNumberFormat="1" applyFont="1" applyFill="1" applyBorder="1" applyAlignment="1">
      <alignment horizontal="center" vertical="center" wrapText="1"/>
    </xf>
    <xf numFmtId="176" fontId="39" fillId="0" borderId="58" xfId="20" applyNumberFormat="1" applyFont="1" applyFill="1" applyBorder="1" applyAlignment="1">
      <alignment horizontal="center" vertical="center" wrapText="1"/>
    </xf>
    <xf numFmtId="177" fontId="12" fillId="0" borderId="59" xfId="20" applyNumberFormat="1" applyFont="1" applyFill="1" applyBorder="1" applyAlignment="1">
      <alignment horizontal="center" vertical="center" wrapText="1"/>
    </xf>
    <xf numFmtId="0" fontId="12" fillId="2" borderId="32" xfId="0" applyFont="1" applyFill="1" applyBorder="1" applyAlignment="1">
      <alignment horizontal="center" vertical="center" shrinkToFit="1"/>
    </xf>
    <xf numFmtId="0" fontId="31" fillId="2" borderId="32" xfId="0" applyFont="1" applyFill="1" applyBorder="1" applyAlignment="1">
      <alignment vertical="center" wrapText="1"/>
    </xf>
    <xf numFmtId="0" fontId="12" fillId="2" borderId="32" xfId="0" quotePrefix="1" applyFont="1" applyFill="1" applyBorder="1" applyAlignment="1">
      <alignment horizontal="center" vertical="center" wrapText="1"/>
    </xf>
    <xf numFmtId="0" fontId="35" fillId="0" borderId="32" xfId="0" applyFont="1" applyBorder="1" applyAlignment="1">
      <alignment horizontal="justify" vertical="center"/>
    </xf>
    <xf numFmtId="176" fontId="39" fillId="2" borderId="56" xfId="0" applyNumberFormat="1" applyFont="1" applyFill="1" applyBorder="1" applyAlignment="1">
      <alignment horizontal="center" vertical="center" wrapText="1"/>
    </xf>
    <xf numFmtId="176" fontId="39" fillId="2" borderId="57" xfId="0" applyNumberFormat="1" applyFont="1" applyFill="1" applyBorder="1" applyAlignment="1">
      <alignment horizontal="center" vertical="center" wrapText="1"/>
    </xf>
    <xf numFmtId="176" fontId="45" fillId="2" borderId="58" xfId="0" applyNumberFormat="1" applyFont="1" applyFill="1" applyBorder="1" applyAlignment="1">
      <alignment horizontal="center" vertical="center" wrapText="1"/>
    </xf>
    <xf numFmtId="0" fontId="35" fillId="0" borderId="32" xfId="0" applyFont="1" applyBorder="1" applyAlignment="1">
      <alignment horizontal="justify" vertical="center" wrapText="1"/>
    </xf>
    <xf numFmtId="176" fontId="12" fillId="2" borderId="32" xfId="20" quotePrefix="1" applyNumberFormat="1" applyFont="1" applyFill="1" applyBorder="1" applyAlignment="1">
      <alignment horizontal="center" vertical="center" wrapText="1"/>
    </xf>
    <xf numFmtId="0" fontId="12" fillId="2" borderId="15"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33" xfId="0" applyFont="1" applyFill="1" applyBorder="1" applyAlignment="1">
      <alignment horizontal="center" vertical="center" wrapText="1"/>
    </xf>
    <xf numFmtId="0" fontId="12" fillId="2" borderId="33" xfId="0" applyFont="1" applyFill="1" applyBorder="1" applyAlignment="1">
      <alignment vertical="center" wrapText="1"/>
    </xf>
    <xf numFmtId="176" fontId="12" fillId="2" borderId="61" xfId="0" applyNumberFormat="1" applyFont="1" applyFill="1" applyBorder="1" applyAlignment="1">
      <alignment horizontal="center" vertical="center" wrapText="1"/>
    </xf>
    <xf numFmtId="176" fontId="12" fillId="2" borderId="62" xfId="0" applyNumberFormat="1" applyFont="1" applyFill="1" applyBorder="1" applyAlignment="1">
      <alignment horizontal="center" vertical="center" wrapText="1"/>
    </xf>
    <xf numFmtId="176" fontId="12" fillId="2" borderId="63" xfId="0" applyNumberFormat="1" applyFont="1" applyFill="1" applyBorder="1" applyAlignment="1">
      <alignment horizontal="center" vertical="center" wrapText="1"/>
    </xf>
    <xf numFmtId="176" fontId="12" fillId="2" borderId="64" xfId="0" applyNumberFormat="1" applyFont="1" applyFill="1" applyBorder="1" applyAlignment="1">
      <alignment horizontal="center" vertical="center" wrapText="1"/>
    </xf>
    <xf numFmtId="0" fontId="12" fillId="2" borderId="65"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61"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176" fontId="12" fillId="2" borderId="33" xfId="0" applyNumberFormat="1" applyFont="1" applyFill="1" applyBorder="1" applyAlignment="1">
      <alignment horizontal="center" vertical="center" wrapText="1"/>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12" fillId="2" borderId="19"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17" fillId="0" borderId="20" xfId="0" applyFont="1" applyBorder="1" applyAlignment="1">
      <alignment vertical="center"/>
    </xf>
    <xf numFmtId="0" fontId="26" fillId="0" borderId="0" xfId="0" applyFont="1" applyAlignment="1">
      <alignment vertical="center"/>
    </xf>
    <xf numFmtId="0" fontId="12"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0" fontId="12" fillId="2" borderId="5" xfId="0" applyFont="1" applyFill="1" applyBorder="1" applyAlignment="1">
      <alignment horizontal="center" vertical="center"/>
    </xf>
    <xf numFmtId="0" fontId="12" fillId="2" borderId="60" xfId="0" applyFont="1" applyFill="1" applyBorder="1" applyAlignment="1">
      <alignment horizontal="center" vertical="center" wrapText="1"/>
    </xf>
    <xf numFmtId="176" fontId="12" fillId="2" borderId="36" xfId="0" applyNumberFormat="1" applyFont="1" applyFill="1" applyBorder="1" applyAlignment="1">
      <alignment horizontal="center" vertical="center" wrapText="1"/>
    </xf>
    <xf numFmtId="176" fontId="12" fillId="2" borderId="37" xfId="0" applyNumberFormat="1" applyFont="1" applyFill="1" applyBorder="1" applyAlignment="1">
      <alignment horizontal="center" vertical="center" wrapText="1"/>
    </xf>
    <xf numFmtId="176" fontId="12" fillId="2" borderId="19" xfId="0" applyNumberFormat="1" applyFont="1" applyFill="1" applyBorder="1" applyAlignment="1">
      <alignment horizontal="center" vertical="center" wrapText="1"/>
    </xf>
    <xf numFmtId="179" fontId="12" fillId="2" borderId="32" xfId="0" applyNumberFormat="1" applyFont="1" applyFill="1" applyBorder="1" applyAlignment="1">
      <alignment horizontal="center" vertical="center" wrapText="1"/>
    </xf>
    <xf numFmtId="3" fontId="12" fillId="2" borderId="37" xfId="0" applyNumberFormat="1" applyFont="1" applyFill="1" applyBorder="1" applyAlignment="1">
      <alignment horizontal="center" vertical="center" wrapText="1"/>
    </xf>
    <xf numFmtId="3" fontId="12" fillId="2" borderId="32" xfId="0" applyNumberFormat="1" applyFont="1" applyFill="1" applyBorder="1" applyAlignment="1">
      <alignment horizontal="center" vertical="center" wrapText="1"/>
    </xf>
    <xf numFmtId="0" fontId="12" fillId="0" borderId="5" xfId="37" applyFont="1" applyFill="1" applyBorder="1" applyAlignment="1">
      <alignment horizontal="center" vertical="center"/>
    </xf>
    <xf numFmtId="0" fontId="12" fillId="0" borderId="19" xfId="37" applyFont="1" applyFill="1" applyBorder="1" applyAlignment="1">
      <alignment horizontal="center" vertical="center" wrapText="1"/>
    </xf>
    <xf numFmtId="0" fontId="12" fillId="0" borderId="32" xfId="37" applyFont="1" applyFill="1" applyBorder="1" applyAlignment="1">
      <alignment horizontal="center" vertical="center" wrapText="1"/>
    </xf>
    <xf numFmtId="0" fontId="12" fillId="0" borderId="32" xfId="37" applyFont="1" applyFill="1" applyBorder="1" applyAlignment="1">
      <alignment vertical="center" wrapText="1"/>
    </xf>
    <xf numFmtId="0" fontId="12" fillId="0" borderId="10" xfId="37" applyFont="1" applyFill="1" applyBorder="1" applyAlignment="1">
      <alignment horizontal="center" vertical="center" wrapText="1"/>
    </xf>
    <xf numFmtId="0" fontId="12" fillId="0" borderId="8" xfId="37" applyFont="1" applyFill="1" applyBorder="1" applyAlignment="1">
      <alignment horizontal="center" vertical="center" wrapText="1"/>
    </xf>
    <xf numFmtId="0" fontId="12" fillId="0" borderId="36" xfId="37" applyFont="1" applyFill="1" applyBorder="1" applyAlignment="1">
      <alignment horizontal="center" vertical="center" wrapText="1"/>
    </xf>
    <xf numFmtId="0" fontId="12" fillId="0" borderId="37" xfId="37" applyFont="1" applyFill="1" applyBorder="1" applyAlignment="1">
      <alignment horizontal="center" vertical="center" wrapText="1"/>
    </xf>
    <xf numFmtId="0" fontId="12" fillId="0" borderId="44" xfId="0" applyFont="1" applyFill="1" applyBorder="1" applyAlignment="1">
      <alignment horizontal="center" vertical="center" wrapText="1"/>
    </xf>
    <xf numFmtId="0" fontId="12" fillId="0" borderId="19" xfId="0" applyFont="1" applyFill="1" applyBorder="1" applyAlignment="1">
      <alignment horizontal="center" vertical="center" wrapText="1"/>
    </xf>
    <xf numFmtId="0" fontId="4" fillId="0" borderId="32" xfId="37" applyFont="1" applyFill="1" applyBorder="1" applyAlignment="1">
      <alignment horizontal="center" vertical="center"/>
    </xf>
    <xf numFmtId="0" fontId="12" fillId="0" borderId="4" xfId="37" applyFont="1" applyFill="1" applyBorder="1" applyAlignment="1">
      <alignment horizontal="center" vertical="center" wrapText="1"/>
    </xf>
    <xf numFmtId="0" fontId="12" fillId="0" borderId="31" xfId="37" applyFont="1" applyFill="1" applyBorder="1" applyAlignment="1">
      <alignment vertical="center" wrapText="1"/>
    </xf>
    <xf numFmtId="0" fontId="39" fillId="2" borderId="5" xfId="0" applyFont="1" applyFill="1" applyBorder="1" applyAlignment="1">
      <alignment horizontal="center" vertical="center" wrapText="1"/>
    </xf>
    <xf numFmtId="0" fontId="12" fillId="2" borderId="19" xfId="0" applyFont="1" applyFill="1" applyBorder="1" applyAlignment="1">
      <alignment horizontal="center" vertical="center"/>
    </xf>
    <xf numFmtId="0" fontId="12" fillId="2" borderId="19" xfId="0" applyFont="1" applyFill="1" applyBorder="1" applyAlignment="1">
      <alignment vertical="center"/>
    </xf>
    <xf numFmtId="0" fontId="12" fillId="2" borderId="36" xfId="0" applyFont="1" applyFill="1" applyBorder="1" applyAlignment="1">
      <alignment horizontal="center" vertical="center"/>
    </xf>
    <xf numFmtId="0" fontId="12" fillId="2" borderId="37"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44" xfId="0" applyFont="1" applyFill="1" applyBorder="1" applyAlignment="1">
      <alignment horizontal="center" vertical="center"/>
    </xf>
    <xf numFmtId="0" fontId="12" fillId="0" borderId="31" xfId="37" applyFont="1" applyFill="1" applyBorder="1" applyAlignment="1">
      <alignment horizontal="center" vertical="center" wrapText="1"/>
    </xf>
    <xf numFmtId="0" fontId="4" fillId="0" borderId="32" xfId="0" applyFont="1" applyBorder="1" applyAlignment="1">
      <alignment horizontal="center" vertical="center"/>
    </xf>
    <xf numFmtId="0" fontId="12" fillId="2" borderId="31" xfId="0" applyFont="1" applyFill="1" applyBorder="1" applyAlignment="1">
      <alignment horizontal="center" vertical="center" wrapText="1"/>
    </xf>
    <xf numFmtId="0" fontId="12" fillId="2" borderId="55" xfId="0" applyFont="1" applyFill="1" applyBorder="1" applyAlignment="1">
      <alignment horizontal="center" vertical="center" wrapText="1"/>
    </xf>
    <xf numFmtId="3" fontId="12" fillId="2" borderId="19" xfId="0" applyNumberFormat="1" applyFont="1" applyFill="1" applyBorder="1" applyAlignment="1">
      <alignment horizontal="center" vertical="center" wrapText="1"/>
    </xf>
    <xf numFmtId="0" fontId="7" fillId="5" borderId="66" xfId="0" applyFont="1" applyFill="1" applyBorder="1" applyAlignment="1">
      <alignment horizontal="center" vertical="center" wrapText="1"/>
    </xf>
    <xf numFmtId="0" fontId="12" fillId="0" borderId="55" xfId="37" applyFont="1" applyFill="1" applyBorder="1" applyAlignment="1">
      <alignment horizontal="center" vertical="center" wrapText="1"/>
    </xf>
    <xf numFmtId="0" fontId="7" fillId="6" borderId="41" xfId="0" applyFont="1" applyFill="1" applyBorder="1" applyAlignment="1">
      <alignment horizontal="center" vertical="center" wrapText="1"/>
    </xf>
    <xf numFmtId="0" fontId="4" fillId="0" borderId="36" xfId="0" applyFont="1" applyFill="1" applyBorder="1"/>
    <xf numFmtId="0" fontId="7" fillId="6" borderId="41" xfId="0" applyFont="1" applyFill="1" applyBorder="1" applyAlignment="1">
      <alignment horizontal="center" vertical="center"/>
    </xf>
    <xf numFmtId="0" fontId="12" fillId="2" borderId="60" xfId="0" applyFont="1" applyFill="1" applyBorder="1" applyAlignment="1">
      <alignment horizontal="center" vertical="center"/>
    </xf>
    <xf numFmtId="0" fontId="12" fillId="0" borderId="8" xfId="37" applyFont="1" applyFill="1" applyBorder="1" applyAlignment="1">
      <alignment horizontal="center" vertical="center"/>
    </xf>
    <xf numFmtId="0" fontId="12" fillId="2" borderId="9"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18" xfId="0" applyFont="1" applyFill="1" applyBorder="1" applyAlignment="1">
      <alignment horizontal="center" vertical="center" wrapText="1"/>
    </xf>
    <xf numFmtId="0" fontId="12" fillId="2" borderId="18" xfId="0" applyFont="1" applyFill="1" applyBorder="1" applyAlignment="1">
      <alignment vertical="center" wrapText="1"/>
    </xf>
    <xf numFmtId="0" fontId="12" fillId="2" borderId="34"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67" xfId="0" applyFont="1" applyFill="1" applyBorder="1" applyAlignment="1">
      <alignment horizontal="center" vertical="center" wrapText="1"/>
    </xf>
    <xf numFmtId="0" fontId="12" fillId="2" borderId="38" xfId="0" applyFont="1" applyFill="1" applyBorder="1" applyAlignment="1">
      <alignment horizontal="center" vertical="center" wrapText="1"/>
    </xf>
    <xf numFmtId="0" fontId="12" fillId="2" borderId="43" xfId="0" applyFont="1" applyFill="1" applyBorder="1" applyAlignment="1">
      <alignment horizontal="center" vertical="center" wrapText="1"/>
    </xf>
    <xf numFmtId="0" fontId="12" fillId="2" borderId="68"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0" borderId="9" xfId="37" applyFont="1" applyFill="1" applyBorder="1" applyAlignment="1">
      <alignment horizontal="center" vertical="center"/>
    </xf>
    <xf numFmtId="0" fontId="12" fillId="0" borderId="7" xfId="37" applyFont="1" applyFill="1" applyBorder="1" applyAlignment="1">
      <alignment horizontal="center" vertical="center"/>
    </xf>
    <xf numFmtId="0" fontId="12" fillId="0" borderId="18" xfId="37" applyFont="1" applyFill="1" applyBorder="1" applyAlignment="1">
      <alignment horizontal="center" vertical="center" wrapText="1"/>
    </xf>
    <xf numFmtId="0" fontId="12" fillId="0" borderId="34" xfId="37" applyFont="1" applyFill="1" applyBorder="1" applyAlignment="1">
      <alignment horizontal="center" vertical="center" wrapText="1"/>
    </xf>
    <xf numFmtId="0" fontId="12" fillId="0" borderId="9" xfId="37" applyFont="1" applyFill="1" applyBorder="1" applyAlignment="1">
      <alignment horizontal="center" vertical="center" wrapText="1"/>
    </xf>
    <xf numFmtId="0" fontId="12" fillId="0" borderId="67" xfId="37" applyFont="1" applyFill="1" applyBorder="1" applyAlignment="1">
      <alignment horizontal="center" vertical="center" wrapText="1"/>
    </xf>
    <xf numFmtId="0" fontId="12" fillId="0" borderId="38" xfId="37" applyFont="1" applyFill="1" applyBorder="1" applyAlignment="1">
      <alignment horizontal="center" vertical="center" wrapText="1"/>
    </xf>
    <xf numFmtId="0" fontId="12" fillId="0" borderId="43" xfId="0" applyFont="1" applyFill="1" applyBorder="1" applyAlignment="1">
      <alignment horizontal="center" vertical="center" wrapText="1"/>
    </xf>
    <xf numFmtId="0" fontId="12" fillId="0" borderId="18" xfId="0" applyFont="1" applyFill="1" applyBorder="1" applyAlignment="1">
      <alignment horizontal="center" vertical="center" wrapText="1"/>
    </xf>
    <xf numFmtId="0" fontId="4" fillId="0" borderId="67" xfId="0" applyFont="1" applyFill="1" applyBorder="1"/>
    <xf numFmtId="0" fontId="12" fillId="0" borderId="68" xfId="37" applyFont="1" applyFill="1" applyBorder="1" applyAlignment="1">
      <alignment horizontal="center" vertical="center" wrapText="1"/>
    </xf>
    <xf numFmtId="0" fontId="12" fillId="0" borderId="6" xfId="37" applyFont="1" applyFill="1" applyBorder="1" applyAlignment="1">
      <alignment horizontal="center" vertical="center" wrapText="1"/>
    </xf>
    <xf numFmtId="3" fontId="12" fillId="0" borderId="31" xfId="37" applyNumberFormat="1" applyFont="1" applyFill="1" applyBorder="1" applyAlignment="1">
      <alignment horizontal="center" vertical="center" wrapText="1"/>
    </xf>
    <xf numFmtId="0" fontId="4" fillId="0" borderId="31" xfId="37" applyFont="1" applyFill="1" applyBorder="1" applyAlignment="1">
      <alignment horizontal="center" vertical="center"/>
    </xf>
    <xf numFmtId="0" fontId="28" fillId="0" borderId="20" xfId="0" applyFont="1" applyBorder="1" applyAlignment="1">
      <alignment horizontal="center" vertical="center"/>
    </xf>
    <xf numFmtId="180" fontId="12" fillId="2" borderId="8" xfId="0" applyNumberFormat="1" applyFont="1" applyFill="1" applyBorder="1" applyAlignment="1">
      <alignment horizontal="center" vertical="center" wrapText="1"/>
    </xf>
    <xf numFmtId="176" fontId="12" fillId="2" borderId="8" xfId="0" applyNumberFormat="1" applyFont="1" applyFill="1" applyBorder="1" applyAlignment="1">
      <alignment horizontal="center" vertical="center" wrapText="1"/>
    </xf>
    <xf numFmtId="181" fontId="4" fillId="0" borderId="0" xfId="0" applyNumberFormat="1" applyFont="1" applyAlignment="1">
      <alignment vertical="center"/>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8" xfId="0" applyFont="1" applyFill="1" applyBorder="1" applyAlignment="1">
      <alignment horizontal="center" vertical="center"/>
    </xf>
    <xf numFmtId="0" fontId="4" fillId="0" borderId="4" xfId="0" applyFont="1" applyBorder="1"/>
    <xf numFmtId="0" fontId="4" fillId="0" borderId="0" xfId="0" applyFont="1" applyAlignment="1">
      <alignment horizontal="center" vertical="center"/>
    </xf>
    <xf numFmtId="0" fontId="4" fillId="0" borderId="0" xfId="0" applyFont="1" applyBorder="1" applyAlignment="1">
      <alignment vertical="center"/>
    </xf>
    <xf numFmtId="0" fontId="12" fillId="2" borderId="4" xfId="0" applyFont="1" applyFill="1" applyBorder="1" applyAlignment="1">
      <alignment vertical="center" wrapText="1"/>
    </xf>
    <xf numFmtId="0" fontId="31" fillId="2" borderId="4" xfId="0" applyFont="1" applyFill="1" applyBorder="1" applyAlignment="1">
      <alignment horizontal="center" vertical="center" wrapText="1"/>
    </xf>
    <xf numFmtId="0" fontId="6" fillId="2" borderId="4" xfId="0" applyFont="1" applyFill="1" applyBorder="1" applyAlignment="1">
      <alignment horizontal="center" vertical="center"/>
    </xf>
    <xf numFmtId="0" fontId="6" fillId="2" borderId="4" xfId="0" applyFont="1" applyFill="1" applyBorder="1" applyAlignment="1">
      <alignment horizontal="center" vertical="center" wrapText="1"/>
    </xf>
    <xf numFmtId="0" fontId="6" fillId="2" borderId="4" xfId="0" applyFont="1" applyFill="1" applyBorder="1" applyAlignment="1">
      <alignment vertical="center" wrapText="1"/>
    </xf>
    <xf numFmtId="41" fontId="6" fillId="2" borderId="4" xfId="20" applyFont="1" applyFill="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xf numFmtId="0" fontId="6" fillId="0" borderId="4" xfId="0" applyFont="1" applyBorder="1" applyAlignment="1">
      <alignment horizontal="center" vertical="center" wrapText="1"/>
    </xf>
    <xf numFmtId="0" fontId="6" fillId="0" borderId="4" xfId="0" applyFont="1" applyBorder="1" applyAlignment="1">
      <alignment horizontal="left" vertical="center"/>
    </xf>
    <xf numFmtId="41" fontId="6" fillId="0" borderId="4" xfId="20" applyFont="1" applyBorder="1" applyAlignment="1">
      <alignment horizontal="center" vertical="center" wrapText="1"/>
    </xf>
    <xf numFmtId="41" fontId="6" fillId="0" borderId="4" xfId="20" applyFont="1" applyBorder="1" applyAlignment="1">
      <alignment horizontal="center" vertical="center"/>
    </xf>
    <xf numFmtId="0" fontId="6" fillId="2" borderId="4" xfId="0" applyFont="1" applyFill="1" applyBorder="1"/>
    <xf numFmtId="41" fontId="6" fillId="2" borderId="4" xfId="20" applyFont="1" applyFill="1" applyBorder="1" applyAlignment="1">
      <alignment horizontal="right" vertical="center" wrapText="1"/>
    </xf>
    <xf numFmtId="0" fontId="12" fillId="0" borderId="4" xfId="0" applyFont="1" applyBorder="1" applyAlignment="1">
      <alignment horizontal="center" vertical="center" wrapText="1"/>
    </xf>
    <xf numFmtId="0" fontId="12" fillId="0" borderId="4" xfId="0" applyFont="1" applyBorder="1" applyAlignment="1">
      <alignment vertical="center" wrapText="1"/>
    </xf>
    <xf numFmtId="0" fontId="17" fillId="0" borderId="0" xfId="0" applyFont="1" applyBorder="1" applyAlignment="1">
      <alignment vertical="center"/>
    </xf>
    <xf numFmtId="0" fontId="27" fillId="0" borderId="0" xfId="0" applyFont="1" applyBorder="1" applyAlignment="1">
      <alignment vertical="center"/>
    </xf>
    <xf numFmtId="0" fontId="28" fillId="0" borderId="0" xfId="0" applyFont="1" applyBorder="1" applyAlignment="1">
      <alignment vertical="center"/>
    </xf>
    <xf numFmtId="0" fontId="7" fillId="6" borderId="17"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11"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4" fillId="0" borderId="11" xfId="0" applyFont="1" applyBorder="1"/>
    <xf numFmtId="0" fontId="12" fillId="2" borderId="4" xfId="0" quotePrefix="1" applyFont="1" applyFill="1" applyBorder="1" applyAlignment="1">
      <alignment horizontal="center" vertical="center" wrapText="1"/>
    </xf>
    <xf numFmtId="3" fontId="12" fillId="2" borderId="4" xfId="0" applyNumberFormat="1" applyFont="1" applyFill="1" applyBorder="1" applyAlignment="1">
      <alignment horizontal="center" vertical="center" wrapText="1"/>
    </xf>
    <xf numFmtId="0" fontId="4" fillId="0" borderId="4" xfId="0" applyFont="1" applyBorder="1" applyAlignment="1">
      <alignment vertical="center"/>
    </xf>
    <xf numFmtId="0" fontId="12" fillId="0" borderId="4" xfId="0" applyFont="1" applyBorder="1" applyAlignment="1">
      <alignment horizontal="left" vertical="center" wrapText="1"/>
    </xf>
    <xf numFmtId="0" fontId="12" fillId="0" borderId="4" xfId="0" applyFont="1" applyBorder="1" applyAlignment="1">
      <alignment horizontal="center" vertical="center"/>
    </xf>
    <xf numFmtId="0" fontId="12" fillId="0" borderId="4" xfId="0" applyFont="1" applyBorder="1"/>
    <xf numFmtId="0" fontId="31" fillId="2" borderId="4" xfId="0" applyFont="1" applyFill="1" applyBorder="1" applyAlignment="1">
      <alignment vertical="center" wrapText="1"/>
    </xf>
    <xf numFmtId="0" fontId="31" fillId="0" borderId="4" xfId="0" applyFont="1" applyFill="1" applyBorder="1" applyAlignment="1">
      <alignment horizontal="center" vertical="center" wrapText="1"/>
    </xf>
    <xf numFmtId="0" fontId="12" fillId="2" borderId="4" xfId="0" applyFont="1" applyFill="1" applyBorder="1" applyAlignment="1" applyProtection="1">
      <alignment horizontal="center" vertical="center" wrapText="1"/>
      <protection locked="0"/>
    </xf>
    <xf numFmtId="0" fontId="4" fillId="0" borderId="4" xfId="0" applyFont="1" applyBorder="1" applyAlignment="1">
      <alignment horizontal="center" vertical="center"/>
    </xf>
    <xf numFmtId="0" fontId="12" fillId="2" borderId="4" xfId="0" applyFont="1" applyFill="1" applyBorder="1" applyAlignment="1">
      <alignment horizontal="left" vertical="center" wrapText="1"/>
    </xf>
    <xf numFmtId="0" fontId="12" fillId="2" borderId="5" xfId="0" applyFont="1" applyFill="1" applyBorder="1" applyAlignment="1">
      <alignment horizontal="center" vertical="center"/>
    </xf>
    <xf numFmtId="0" fontId="12" fillId="2" borderId="19"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44" xfId="0" applyFont="1" applyFill="1" applyBorder="1" applyAlignment="1">
      <alignment horizontal="center" vertical="center" wrapText="1"/>
    </xf>
    <xf numFmtId="0" fontId="12" fillId="2" borderId="55" xfId="0" applyFont="1" applyFill="1" applyBorder="1" applyAlignment="1">
      <alignment horizontal="center" vertical="center" wrapText="1"/>
    </xf>
    <xf numFmtId="0" fontId="0" fillId="8" borderId="8" xfId="0" applyFont="1" applyFill="1" applyBorder="1" applyAlignment="1">
      <alignment horizontal="center" vertical="center"/>
    </xf>
    <xf numFmtId="49" fontId="0" fillId="8" borderId="4" xfId="0" applyNumberFormat="1" applyFont="1" applyFill="1" applyBorder="1" applyAlignment="1">
      <alignment horizontal="center" vertical="center"/>
    </xf>
    <xf numFmtId="0" fontId="0" fillId="8" borderId="5" xfId="0" applyFont="1" applyFill="1" applyBorder="1" applyAlignment="1">
      <alignment horizontal="center" vertical="center"/>
    </xf>
    <xf numFmtId="0" fontId="0" fillId="8" borderId="19" xfId="0" applyFont="1" applyFill="1" applyBorder="1" applyAlignment="1">
      <alignment horizontal="center" vertical="center" wrapText="1"/>
    </xf>
    <xf numFmtId="0" fontId="0" fillId="8" borderId="32" xfId="0" applyFont="1" applyFill="1" applyBorder="1" applyAlignment="1">
      <alignment horizontal="center" vertical="center" wrapText="1"/>
    </xf>
    <xf numFmtId="0" fontId="0" fillId="8" borderId="19" xfId="0" applyFont="1" applyFill="1" applyBorder="1" applyAlignment="1">
      <alignment vertical="center" wrapText="1"/>
    </xf>
    <xf numFmtId="0" fontId="0" fillId="8" borderId="10" xfId="0" applyFont="1" applyFill="1" applyBorder="1" applyAlignment="1">
      <alignment horizontal="center" vertical="center" wrapText="1"/>
    </xf>
    <xf numFmtId="41" fontId="2" fillId="8" borderId="8" xfId="20" applyFont="1" applyFill="1" applyBorder="1" applyAlignment="1">
      <alignment horizontal="center" vertical="center" wrapText="1"/>
    </xf>
    <xf numFmtId="41" fontId="2" fillId="8" borderId="36" xfId="20" applyFont="1" applyFill="1" applyBorder="1" applyAlignment="1">
      <alignment horizontal="center" vertical="center" wrapText="1"/>
    </xf>
    <xf numFmtId="41" fontId="2" fillId="8" borderId="37" xfId="20" applyFont="1" applyFill="1" applyBorder="1" applyAlignment="1">
      <alignment horizontal="center" vertical="center" wrapText="1"/>
    </xf>
    <xf numFmtId="0" fontId="0" fillId="8" borderId="44" xfId="0" applyFont="1" applyFill="1" applyBorder="1" applyAlignment="1">
      <alignment horizontal="center" vertical="center" wrapText="1"/>
    </xf>
    <xf numFmtId="49" fontId="0" fillId="8" borderId="8" xfId="0" applyNumberFormat="1" applyFont="1" applyFill="1" applyBorder="1" applyAlignment="1">
      <alignment horizontal="center" vertical="center" wrapText="1"/>
    </xf>
    <xf numFmtId="49" fontId="0" fillId="8" borderId="4" xfId="0" applyNumberFormat="1" applyFont="1" applyFill="1" applyBorder="1" applyAlignment="1" applyProtection="1">
      <alignment horizontal="center" vertical="center" wrapText="1"/>
      <protection locked="0"/>
    </xf>
    <xf numFmtId="0" fontId="0" fillId="8" borderId="5" xfId="0" applyFont="1" applyFill="1" applyBorder="1" applyAlignment="1">
      <alignment horizontal="center" vertical="center" wrapText="1"/>
    </xf>
    <xf numFmtId="0" fontId="0" fillId="8" borderId="8" xfId="0" applyFont="1" applyFill="1" applyBorder="1" applyAlignment="1">
      <alignment horizontal="center" vertical="center" wrapText="1"/>
    </xf>
    <xf numFmtId="0" fontId="0" fillId="8" borderId="4" xfId="0" applyFont="1" applyFill="1" applyBorder="1" applyAlignment="1">
      <alignment horizontal="center" vertical="center" wrapText="1"/>
    </xf>
    <xf numFmtId="41" fontId="12" fillId="2" borderId="8" xfId="20" applyFont="1" applyFill="1" applyBorder="1" applyAlignment="1">
      <alignment horizontal="center" vertical="center" wrapText="1"/>
    </xf>
    <xf numFmtId="41" fontId="12" fillId="2" borderId="36" xfId="20" applyFont="1" applyFill="1" applyBorder="1" applyAlignment="1">
      <alignment horizontal="center" vertical="center" wrapText="1"/>
    </xf>
    <xf numFmtId="41" fontId="12" fillId="2" borderId="37" xfId="20" applyFont="1" applyFill="1" applyBorder="1" applyAlignment="1">
      <alignment horizontal="center" vertical="center" wrapText="1"/>
    </xf>
    <xf numFmtId="49" fontId="12" fillId="8" borderId="4" xfId="0" applyNumberFormat="1" applyFont="1" applyFill="1" applyBorder="1" applyAlignment="1">
      <alignment horizontal="center" vertical="center"/>
    </xf>
    <xf numFmtId="0" fontId="12" fillId="8" borderId="19" xfId="0" applyFont="1" applyFill="1" applyBorder="1" applyAlignment="1">
      <alignment horizontal="center" vertical="center" wrapText="1"/>
    </xf>
    <xf numFmtId="0" fontId="12" fillId="8" borderId="32" xfId="0" applyFont="1" applyFill="1" applyBorder="1" applyAlignment="1">
      <alignment horizontal="center" vertical="center" wrapText="1"/>
    </xf>
    <xf numFmtId="0" fontId="12" fillId="8" borderId="19" xfId="0" applyFont="1" applyFill="1" applyBorder="1" applyAlignment="1">
      <alignment vertical="center" wrapText="1"/>
    </xf>
    <xf numFmtId="0" fontId="12" fillId="8" borderId="10" xfId="0" applyFont="1" applyFill="1" applyBorder="1" applyAlignment="1">
      <alignment horizontal="center" vertical="center" wrapText="1"/>
    </xf>
    <xf numFmtId="41" fontId="12" fillId="8" borderId="8" xfId="20" applyFont="1" applyFill="1" applyBorder="1" applyAlignment="1">
      <alignment horizontal="center" vertical="center" wrapText="1"/>
    </xf>
    <xf numFmtId="41" fontId="12" fillId="8" borderId="36" xfId="20" applyFont="1" applyFill="1" applyBorder="1" applyAlignment="1">
      <alignment horizontal="center" vertical="center" wrapText="1"/>
    </xf>
    <xf numFmtId="41" fontId="12" fillId="8" borderId="37" xfId="20" applyFont="1" applyFill="1" applyBorder="1" applyAlignment="1">
      <alignment horizontal="center" vertical="center" wrapText="1"/>
    </xf>
    <xf numFmtId="0" fontId="12" fillId="8" borderId="44" xfId="0" applyFont="1" applyFill="1" applyBorder="1" applyAlignment="1">
      <alignment horizontal="center" vertical="center" wrapText="1"/>
    </xf>
    <xf numFmtId="49" fontId="12" fillId="8" borderId="8" xfId="0" applyNumberFormat="1" applyFont="1" applyFill="1" applyBorder="1" applyAlignment="1">
      <alignment horizontal="center" vertical="center" wrapText="1"/>
    </xf>
    <xf numFmtId="49" fontId="12" fillId="8" borderId="19" xfId="0" applyNumberFormat="1" applyFont="1" applyFill="1" applyBorder="1" applyAlignment="1">
      <alignment horizontal="center" vertical="center" wrapText="1"/>
    </xf>
    <xf numFmtId="0" fontId="12" fillId="8" borderId="5" xfId="0" applyFont="1" applyFill="1" applyBorder="1" applyAlignment="1">
      <alignment horizontal="center" vertical="center" wrapText="1"/>
    </xf>
    <xf numFmtId="0" fontId="12" fillId="8" borderId="8"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2" fillId="2" borderId="13" xfId="0" applyFont="1" applyFill="1" applyBorder="1" applyAlignment="1">
      <alignment horizontal="center" vertical="center"/>
    </xf>
    <xf numFmtId="0" fontId="12" fillId="2" borderId="69" xfId="0" applyFont="1" applyFill="1" applyBorder="1" applyAlignment="1">
      <alignment horizontal="center" vertical="center" wrapText="1"/>
    </xf>
    <xf numFmtId="0" fontId="12" fillId="2" borderId="69" xfId="0" applyFont="1" applyFill="1" applyBorder="1" applyAlignment="1">
      <alignment vertical="center" wrapText="1"/>
    </xf>
    <xf numFmtId="41" fontId="12" fillId="2" borderId="12" xfId="20" applyFont="1" applyFill="1" applyBorder="1" applyAlignment="1">
      <alignment horizontal="center" vertical="center" wrapText="1"/>
    </xf>
    <xf numFmtId="41" fontId="12" fillId="2" borderId="14" xfId="20" applyFont="1" applyFill="1" applyBorder="1" applyAlignment="1">
      <alignment horizontal="center" vertical="center" wrapText="1"/>
    </xf>
    <xf numFmtId="41" fontId="12" fillId="2" borderId="70" xfId="20" applyFont="1" applyFill="1" applyBorder="1" applyAlignment="1">
      <alignment horizontal="center" vertical="center" wrapText="1"/>
    </xf>
    <xf numFmtId="0" fontId="12" fillId="2" borderId="71" xfId="0" applyFont="1" applyFill="1" applyBorder="1" applyAlignment="1">
      <alignment horizontal="center" vertical="center" wrapText="1"/>
    </xf>
    <xf numFmtId="0" fontId="12" fillId="2" borderId="12" xfId="0" applyFont="1" applyFill="1" applyBorder="1" applyAlignment="1">
      <alignment horizontal="center" vertical="center" wrapText="1"/>
    </xf>
    <xf numFmtId="41" fontId="12" fillId="2" borderId="4" xfId="20" applyFont="1" applyFill="1" applyBorder="1" applyAlignment="1">
      <alignment horizontal="center" vertical="center" wrapText="1"/>
    </xf>
    <xf numFmtId="0" fontId="39" fillId="2" borderId="19" xfId="0" applyFont="1" applyFill="1" applyBorder="1" applyAlignment="1">
      <alignment vertical="center" wrapText="1"/>
    </xf>
    <xf numFmtId="0" fontId="47" fillId="2" borderId="72" xfId="0" applyFont="1" applyFill="1" applyBorder="1" applyAlignment="1">
      <alignment horizontal="center" vertical="center" wrapText="1"/>
    </xf>
    <xf numFmtId="0" fontId="12" fillId="2" borderId="72" xfId="0" applyFont="1" applyFill="1" applyBorder="1" applyAlignment="1">
      <alignment horizontal="center" vertical="center" wrapText="1"/>
    </xf>
    <xf numFmtId="0" fontId="0" fillId="0" borderId="0" xfId="0"/>
    <xf numFmtId="0" fontId="4" fillId="0" borderId="0" xfId="0" applyFont="1"/>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12" fillId="2" borderId="19" xfId="0" applyFont="1" applyFill="1" applyBorder="1" applyAlignment="1">
      <alignment horizontal="center" vertical="center" wrapText="1"/>
    </xf>
    <xf numFmtId="0" fontId="12" fillId="2" borderId="19" xfId="0" applyFont="1" applyFill="1" applyBorder="1" applyAlignment="1">
      <alignment horizontal="center" vertical="center"/>
    </xf>
    <xf numFmtId="0" fontId="12" fillId="2" borderId="32" xfId="0" applyFont="1" applyFill="1" applyBorder="1" applyAlignment="1">
      <alignment horizontal="center" vertical="center" wrapText="1"/>
    </xf>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12" fillId="2" borderId="36" xfId="0" applyFont="1" applyFill="1" applyBorder="1" applyAlignment="1">
      <alignment horizontal="center" vertical="center" wrapText="1"/>
    </xf>
    <xf numFmtId="0" fontId="12" fillId="2" borderId="36" xfId="0" applyFont="1" applyFill="1" applyBorder="1" applyAlignment="1">
      <alignment horizontal="center" vertical="center"/>
    </xf>
    <xf numFmtId="0" fontId="39"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37" xfId="0" applyFont="1" applyFill="1" applyBorder="1" applyAlignment="1">
      <alignment horizontal="center" vertical="center"/>
    </xf>
    <xf numFmtId="0" fontId="39" fillId="2" borderId="37" xfId="0" applyFont="1" applyFill="1" applyBorder="1" applyAlignment="1">
      <alignment horizontal="center" vertical="center" wrapText="1"/>
    </xf>
    <xf numFmtId="0" fontId="12" fillId="2" borderId="10" xfId="0" applyFont="1" applyFill="1" applyBorder="1" applyAlignment="1">
      <alignment horizontal="center" vertical="center"/>
    </xf>
    <xf numFmtId="0" fontId="48" fillId="2" borderId="10" xfId="0" applyFont="1" applyFill="1" applyBorder="1" applyAlignment="1">
      <alignment horizontal="center" vertical="center" wrapText="1"/>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48" fillId="2" borderId="19" xfId="0" applyFont="1" applyFill="1" applyBorder="1" applyAlignment="1">
      <alignment horizontal="center" vertical="center" wrapText="1"/>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0" fontId="12" fillId="2" borderId="44" xfId="0" applyFont="1" applyFill="1" applyBorder="1" applyAlignment="1">
      <alignment horizontal="center" vertical="center"/>
    </xf>
    <xf numFmtId="0" fontId="48" fillId="2" borderId="44" xfId="0" applyFont="1" applyFill="1" applyBorder="1" applyAlignment="1">
      <alignment horizontal="center" vertical="center" wrapText="1"/>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12" fillId="2" borderId="19"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12"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0" fontId="12" fillId="2" borderId="19" xfId="0" applyFont="1" applyFill="1" applyBorder="1" applyAlignment="1">
      <alignment horizontal="left" vertical="center" wrapText="1"/>
    </xf>
    <xf numFmtId="0" fontId="12" fillId="2" borderId="10" xfId="0" applyFont="1" applyFill="1" applyBorder="1" applyAlignment="1">
      <alignment horizontal="left" vertical="center" wrapText="1"/>
    </xf>
    <xf numFmtId="3" fontId="12" fillId="2" borderId="8" xfId="0" applyNumberFormat="1" applyFont="1" applyFill="1" applyBorder="1" applyAlignment="1">
      <alignment horizontal="center" vertical="center" wrapText="1"/>
    </xf>
    <xf numFmtId="3" fontId="12" fillId="2" borderId="37" xfId="0" applyNumberFormat="1" applyFont="1" applyFill="1" applyBorder="1" applyAlignment="1">
      <alignment horizontal="center" vertical="center" wrapText="1"/>
    </xf>
    <xf numFmtId="0" fontId="12" fillId="2" borderId="60" xfId="0" applyFont="1" applyFill="1" applyBorder="1" applyAlignment="1">
      <alignment horizontal="center" vertical="center" wrapText="1"/>
    </xf>
    <xf numFmtId="0" fontId="12" fillId="2" borderId="55" xfId="0" applyFont="1" applyFill="1" applyBorder="1" applyAlignment="1">
      <alignment horizontal="center" vertical="center" wrapText="1"/>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18" xfId="0" applyFont="1" applyFill="1" applyBorder="1" applyAlignment="1">
      <alignment horizontal="center" vertical="center" wrapText="1"/>
    </xf>
    <xf numFmtId="0" fontId="12" fillId="2" borderId="31" xfId="0" applyFont="1" applyFill="1" applyBorder="1" applyAlignment="1">
      <alignment horizontal="center" vertical="center" wrapText="1"/>
    </xf>
    <xf numFmtId="0" fontId="12" fillId="2" borderId="18" xfId="0" applyFont="1" applyFill="1" applyBorder="1" applyAlignment="1">
      <alignment vertical="center" wrapText="1"/>
    </xf>
    <xf numFmtId="0" fontId="12" fillId="2" borderId="34"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67" xfId="0" applyFont="1" applyFill="1" applyBorder="1" applyAlignment="1">
      <alignment horizontal="center" vertical="center" wrapText="1"/>
    </xf>
    <xf numFmtId="0" fontId="12" fillId="2" borderId="38" xfId="0" applyFont="1" applyFill="1" applyBorder="1" applyAlignment="1">
      <alignment horizontal="center" vertical="center" wrapText="1"/>
    </xf>
    <xf numFmtId="0" fontId="12" fillId="2" borderId="43"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0" borderId="4"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32" xfId="0" applyFont="1" applyFill="1" applyBorder="1" applyAlignment="1">
      <alignment horizontal="center" vertical="center" wrapText="1"/>
    </xf>
    <xf numFmtId="0" fontId="12" fillId="0" borderId="19" xfId="0" applyFont="1" applyFill="1" applyBorder="1" applyAlignment="1">
      <alignment horizontal="center" vertical="center" wrapText="1"/>
    </xf>
    <xf numFmtId="0" fontId="12" fillId="0" borderId="32" xfId="0" applyFont="1" applyFill="1" applyBorder="1" applyAlignment="1">
      <alignment vertical="center" wrapText="1"/>
    </xf>
    <xf numFmtId="0" fontId="12" fillId="0" borderId="8" xfId="0" applyFont="1" applyFill="1" applyBorder="1" applyAlignment="1">
      <alignment horizontal="center" vertical="center" wrapText="1"/>
    </xf>
    <xf numFmtId="0" fontId="12" fillId="0" borderId="36" xfId="0" applyFont="1" applyFill="1" applyBorder="1" applyAlignment="1">
      <alignment horizontal="center" vertical="center" wrapText="1"/>
    </xf>
    <xf numFmtId="0" fontId="12" fillId="0" borderId="37"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2" fillId="0" borderId="44"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32" xfId="0" applyFont="1" applyFill="1" applyBorder="1" applyAlignment="1">
      <alignment horizontal="center" vertical="center"/>
    </xf>
    <xf numFmtId="0" fontId="12" fillId="0" borderId="32" xfId="0" applyFont="1" applyFill="1" applyBorder="1" applyAlignment="1">
      <alignment horizontal="left" vertical="center" wrapText="1"/>
    </xf>
    <xf numFmtId="3" fontId="12" fillId="0" borderId="4" xfId="0" applyNumberFormat="1" applyFont="1" applyFill="1" applyBorder="1" applyAlignment="1">
      <alignment horizontal="center" vertical="center"/>
    </xf>
    <xf numFmtId="0" fontId="12" fillId="0" borderId="36" xfId="0" applyFont="1" applyFill="1" applyBorder="1" applyAlignment="1">
      <alignment horizontal="center" vertical="center"/>
    </xf>
    <xf numFmtId="0" fontId="12" fillId="0" borderId="10" xfId="0" applyFont="1" applyFill="1" applyBorder="1" applyAlignment="1">
      <alignment horizontal="center" vertical="center"/>
    </xf>
    <xf numFmtId="0" fontId="12" fillId="0" borderId="32" xfId="0" applyFont="1" applyFill="1" applyBorder="1" applyAlignment="1">
      <alignment horizontal="center" vertical="center" wrapText="1" shrinkToFit="1"/>
    </xf>
    <xf numFmtId="0" fontId="12" fillId="0" borderId="15" xfId="0" applyFont="1" applyFill="1" applyBorder="1" applyAlignment="1">
      <alignment horizontal="center" vertical="center"/>
    </xf>
    <xf numFmtId="0" fontId="12" fillId="0" borderId="13" xfId="0" applyFont="1" applyFill="1" applyBorder="1" applyAlignment="1">
      <alignment horizontal="center" vertical="center"/>
    </xf>
    <xf numFmtId="0" fontId="12" fillId="0" borderId="33" xfId="0" applyFont="1" applyFill="1" applyBorder="1" applyAlignment="1">
      <alignment horizontal="center" vertical="center"/>
    </xf>
    <xf numFmtId="0" fontId="12" fillId="0" borderId="69" xfId="0" applyFont="1" applyFill="1" applyBorder="1" applyAlignment="1">
      <alignment horizontal="center" vertical="center" wrapText="1"/>
    </xf>
    <xf numFmtId="0" fontId="12" fillId="0" borderId="33" xfId="0" applyFont="1" applyFill="1" applyBorder="1" applyAlignment="1">
      <alignment horizontal="left" vertical="center" wrapText="1" shrinkToFit="1"/>
    </xf>
    <xf numFmtId="0" fontId="12" fillId="0" borderId="69" xfId="0" applyFont="1" applyFill="1" applyBorder="1" applyAlignment="1">
      <alignment horizontal="center" vertical="center" wrapText="1" shrinkToFit="1"/>
    </xf>
    <xf numFmtId="0" fontId="12" fillId="0" borderId="33" xfId="0" applyFont="1" applyFill="1" applyBorder="1" applyAlignment="1">
      <alignment horizontal="center" vertical="center" wrapText="1"/>
    </xf>
    <xf numFmtId="0" fontId="12" fillId="0" borderId="71"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12" fillId="0" borderId="35" xfId="0" applyFont="1" applyFill="1" applyBorder="1" applyAlignment="1">
      <alignment horizontal="center" vertical="center" wrapText="1"/>
    </xf>
    <xf numFmtId="0" fontId="12" fillId="0" borderId="15" xfId="0" applyFont="1" applyFill="1" applyBorder="1" applyAlignment="1">
      <alignment horizontal="center" vertical="center" wrapText="1"/>
    </xf>
    <xf numFmtId="0" fontId="12" fillId="0" borderId="14" xfId="0" applyFont="1" applyFill="1" applyBorder="1" applyAlignment="1">
      <alignment horizontal="center" vertical="center"/>
    </xf>
    <xf numFmtId="0" fontId="12" fillId="0" borderId="35" xfId="0" applyFont="1" applyFill="1" applyBorder="1" applyAlignment="1">
      <alignment horizontal="center" vertical="center"/>
    </xf>
    <xf numFmtId="0" fontId="12" fillId="0" borderId="61" xfId="0" applyFont="1" applyFill="1" applyBorder="1" applyAlignment="1">
      <alignment horizontal="center" vertical="center"/>
    </xf>
    <xf numFmtId="0" fontId="12" fillId="0" borderId="74" xfId="0" applyFont="1" applyFill="1" applyBorder="1" applyAlignment="1">
      <alignment horizontal="center" vertical="center"/>
    </xf>
    <xf numFmtId="0" fontId="12" fillId="0" borderId="73" xfId="0" applyFont="1" applyFill="1" applyBorder="1" applyAlignment="1">
      <alignment horizontal="center" vertical="center"/>
    </xf>
    <xf numFmtId="0" fontId="12" fillId="0" borderId="55" xfId="0" applyFont="1" applyFill="1" applyBorder="1" applyAlignment="1">
      <alignment horizontal="center" vertical="center"/>
    </xf>
    <xf numFmtId="3" fontId="12" fillId="0" borderId="74" xfId="0" applyNumberFormat="1" applyFont="1" applyFill="1" applyBorder="1" applyAlignment="1">
      <alignment horizontal="center" vertical="center"/>
    </xf>
    <xf numFmtId="0" fontId="12" fillId="0" borderId="19" xfId="0" applyFont="1" applyFill="1" applyBorder="1" applyAlignment="1">
      <alignment horizontal="center" vertical="center"/>
    </xf>
    <xf numFmtId="0" fontId="12" fillId="0" borderId="69" xfId="0" applyFont="1" applyFill="1" applyBorder="1" applyAlignment="1">
      <alignment horizontal="center" vertical="center"/>
    </xf>
    <xf numFmtId="0" fontId="12" fillId="0" borderId="60" xfId="0" applyFont="1" applyFill="1" applyBorder="1" applyAlignment="1">
      <alignment horizontal="center" vertical="center" wrapText="1"/>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12" fillId="2" borderId="19"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0" fontId="12" fillId="2" borderId="32" xfId="0" applyFont="1" applyFill="1" applyBorder="1" applyAlignment="1">
      <alignment horizontal="left" vertical="center" wrapText="1"/>
    </xf>
    <xf numFmtId="41" fontId="12" fillId="2" borderId="8" xfId="20" applyFont="1" applyFill="1" applyBorder="1" applyAlignment="1">
      <alignment horizontal="center" vertical="center" wrapText="1"/>
    </xf>
    <xf numFmtId="41" fontId="12" fillId="2" borderId="36" xfId="20" applyFont="1" applyFill="1" applyBorder="1" applyAlignment="1">
      <alignment horizontal="center" vertical="center" wrapText="1"/>
    </xf>
    <xf numFmtId="41" fontId="12" fillId="2" borderId="37" xfId="20" applyFont="1" applyFill="1" applyBorder="1" applyAlignment="1">
      <alignment horizontal="center" vertical="center" wrapText="1"/>
    </xf>
    <xf numFmtId="41" fontId="12" fillId="2" borderId="10" xfId="20" applyFont="1" applyFill="1" applyBorder="1" applyAlignment="1">
      <alignment horizontal="center" vertical="center" wrapText="1"/>
    </xf>
    <xf numFmtId="0" fontId="12" fillId="2" borderId="8" xfId="0" applyFont="1" applyFill="1" applyBorder="1" applyAlignment="1">
      <alignment horizontal="right" vertical="center" wrapText="1"/>
    </xf>
    <xf numFmtId="0" fontId="12" fillId="2" borderId="36" xfId="0" applyFont="1" applyFill="1" applyBorder="1" applyAlignment="1">
      <alignment horizontal="right" vertical="center" wrapText="1"/>
    </xf>
    <xf numFmtId="0" fontId="12" fillId="2" borderId="37" xfId="0" applyFont="1" applyFill="1" applyBorder="1" applyAlignment="1">
      <alignment horizontal="right" vertical="center" wrapText="1"/>
    </xf>
    <xf numFmtId="0" fontId="12" fillId="2" borderId="11" xfId="0" applyFont="1" applyFill="1" applyBorder="1" applyAlignment="1">
      <alignment horizontal="center" vertical="center"/>
    </xf>
    <xf numFmtId="0" fontId="12" fillId="2" borderId="15" xfId="0" applyFont="1" applyFill="1" applyBorder="1" applyAlignment="1">
      <alignment vertical="center" wrapText="1"/>
    </xf>
    <xf numFmtId="0" fontId="12" fillId="2" borderId="16" xfId="0" applyFont="1" applyFill="1" applyBorder="1" applyAlignment="1">
      <alignment horizontal="center" vertical="center" wrapText="1"/>
    </xf>
    <xf numFmtId="0" fontId="12" fillId="2" borderId="11" xfId="0" applyFont="1" applyFill="1" applyBorder="1" applyAlignment="1">
      <alignment vertical="center" wrapText="1"/>
    </xf>
    <xf numFmtId="0" fontId="12" fillId="2" borderId="17" xfId="0" applyFont="1" applyFill="1" applyBorder="1" applyAlignment="1">
      <alignment horizontal="center" vertical="center"/>
    </xf>
    <xf numFmtId="0" fontId="12" fillId="0" borderId="4" xfId="0" applyFont="1" applyFill="1" applyBorder="1"/>
    <xf numFmtId="0" fontId="12" fillId="2" borderId="11" xfId="0" applyFont="1" applyFill="1" applyBorder="1" applyAlignment="1">
      <alignment horizontal="center" vertical="center" wrapText="1"/>
    </xf>
    <xf numFmtId="0" fontId="39" fillId="2" borderId="11" xfId="0" applyFont="1" applyFill="1" applyBorder="1" applyAlignment="1">
      <alignment horizontal="center" vertical="center" wrapText="1"/>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26" fillId="0" borderId="72" xfId="0" applyFont="1" applyBorder="1" applyAlignment="1">
      <alignment horizontal="center" vertical="center"/>
    </xf>
    <xf numFmtId="0" fontId="26" fillId="0" borderId="72" xfId="0" applyFont="1" applyBorder="1" applyAlignment="1">
      <alignment horizontal="center" vertical="center" wrapText="1"/>
    </xf>
    <xf numFmtId="0" fontId="26" fillId="0" borderId="72" xfId="0" applyFont="1" applyBorder="1" applyAlignment="1">
      <alignment vertical="center"/>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7" fillId="6" borderId="42" xfId="0" applyFont="1" applyFill="1" applyBorder="1" applyAlignment="1">
      <alignment horizontal="center" vertical="center" wrapText="1"/>
    </xf>
    <xf numFmtId="0" fontId="12" fillId="0" borderId="8" xfId="0" applyFont="1" applyFill="1" applyBorder="1" applyAlignment="1">
      <alignment horizontal="center" vertical="center"/>
    </xf>
    <xf numFmtId="0" fontId="12" fillId="0" borderId="4"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32" xfId="0" applyFont="1" applyFill="1" applyBorder="1" applyAlignment="1">
      <alignment horizontal="center" vertical="center" wrapText="1"/>
    </xf>
    <xf numFmtId="0" fontId="12" fillId="0" borderId="32" xfId="0" applyFont="1" applyFill="1" applyBorder="1" applyAlignment="1">
      <alignment horizontal="left" vertical="center" wrapText="1"/>
    </xf>
    <xf numFmtId="3" fontId="12" fillId="0" borderId="55" xfId="0" applyNumberFormat="1" applyFont="1" applyFill="1" applyBorder="1" applyAlignment="1">
      <alignment horizontal="center" vertical="center" wrapText="1"/>
    </xf>
    <xf numFmtId="0" fontId="12" fillId="0" borderId="4" xfId="0" applyFont="1" applyFill="1" applyBorder="1" applyAlignment="1">
      <alignment horizontal="center" vertical="center" wrapText="1"/>
    </xf>
    <xf numFmtId="3" fontId="12" fillId="0" borderId="4" xfId="0" applyNumberFormat="1" applyFont="1" applyFill="1" applyBorder="1" applyAlignment="1">
      <alignment horizontal="center" vertical="center" wrapText="1"/>
    </xf>
    <xf numFmtId="0" fontId="12" fillId="0" borderId="36"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55" xfId="0" applyFont="1" applyFill="1" applyBorder="1" applyAlignment="1">
      <alignment horizontal="center" vertical="center" wrapText="1"/>
    </xf>
    <xf numFmtId="0" fontId="12" fillId="0" borderId="4" xfId="0" applyFont="1" applyFill="1" applyBorder="1" applyAlignment="1">
      <alignment horizontal="center" vertical="center" shrinkToFit="1"/>
    </xf>
    <xf numFmtId="0" fontId="12" fillId="0" borderId="32" xfId="0" applyFont="1" applyFill="1" applyBorder="1" applyAlignment="1">
      <alignment horizontal="right" vertical="center" wrapText="1"/>
    </xf>
    <xf numFmtId="0" fontId="12" fillId="0" borderId="32" xfId="0" applyFont="1" applyFill="1" applyBorder="1" applyAlignment="1">
      <alignment vertical="center" wrapText="1"/>
    </xf>
    <xf numFmtId="0" fontId="39" fillId="0" borderId="32" xfId="0" applyFont="1" applyFill="1" applyBorder="1" applyAlignment="1">
      <alignment horizontal="center" vertical="center" wrapText="1"/>
    </xf>
    <xf numFmtId="0" fontId="12" fillId="0" borderId="55" xfId="20" applyNumberFormat="1" applyFont="1" applyFill="1" applyBorder="1" applyAlignment="1">
      <alignment horizontal="center" vertical="center" wrapText="1"/>
    </xf>
    <xf numFmtId="0" fontId="12" fillId="0" borderId="4" xfId="0" applyNumberFormat="1" applyFont="1" applyFill="1" applyBorder="1" applyAlignment="1">
      <alignment horizontal="center" vertical="center" wrapText="1"/>
    </xf>
    <xf numFmtId="0" fontId="12" fillId="0" borderId="4" xfId="20" applyNumberFormat="1" applyFont="1" applyFill="1" applyBorder="1" applyAlignment="1">
      <alignment horizontal="center" vertical="center" wrapText="1"/>
    </xf>
    <xf numFmtId="0" fontId="12" fillId="0" borderId="36" xfId="20" applyNumberFormat="1" applyFont="1" applyFill="1" applyBorder="1" applyAlignment="1">
      <alignment horizontal="center" vertical="center" wrapText="1"/>
    </xf>
    <xf numFmtId="0" fontId="55" fillId="0" borderId="32" xfId="0" applyFont="1" applyFill="1" applyBorder="1" applyAlignment="1">
      <alignment horizontal="center" vertical="center" wrapText="1"/>
    </xf>
    <xf numFmtId="0" fontId="47" fillId="0" borderId="32" xfId="0" applyFont="1" applyFill="1" applyBorder="1" applyAlignment="1">
      <alignment horizontal="center" vertical="center" wrapText="1"/>
    </xf>
    <xf numFmtId="0" fontId="12" fillId="0" borderId="55" xfId="0" applyFont="1" applyFill="1" applyBorder="1" applyAlignment="1">
      <alignment horizontal="right" vertical="center" wrapText="1"/>
    </xf>
    <xf numFmtId="0" fontId="12" fillId="0" borderId="4" xfId="0" applyFont="1" applyFill="1" applyBorder="1" applyAlignment="1">
      <alignment horizontal="right" vertical="center" wrapText="1"/>
    </xf>
    <xf numFmtId="0" fontId="12" fillId="0" borderId="36" xfId="0" applyFont="1" applyFill="1" applyBorder="1" applyAlignment="1">
      <alignment horizontal="right" vertical="center" wrapText="1"/>
    </xf>
    <xf numFmtId="0" fontId="39" fillId="0" borderId="32" xfId="0" applyFont="1" applyFill="1" applyBorder="1" applyAlignment="1">
      <alignment horizontal="left" vertical="center" wrapText="1"/>
    </xf>
    <xf numFmtId="0" fontId="39" fillId="0" borderId="4" xfId="0" applyFont="1" applyFill="1" applyBorder="1" applyAlignment="1">
      <alignment horizontal="center" vertical="center"/>
    </xf>
    <xf numFmtId="0" fontId="39" fillId="0" borderId="5" xfId="0" applyFont="1" applyFill="1" applyBorder="1" applyAlignment="1">
      <alignment horizontal="center" vertical="center"/>
    </xf>
    <xf numFmtId="41" fontId="39" fillId="0" borderId="55" xfId="20" applyFont="1" applyFill="1" applyBorder="1" applyAlignment="1">
      <alignment horizontal="right" vertical="center" wrapText="1"/>
    </xf>
    <xf numFmtId="41" fontId="39" fillId="0" borderId="4" xfId="20" applyFont="1" applyFill="1" applyBorder="1" applyAlignment="1">
      <alignment horizontal="right" vertical="center" wrapText="1"/>
    </xf>
    <xf numFmtId="41" fontId="39" fillId="0" borderId="36" xfId="20" applyFont="1" applyFill="1" applyBorder="1" applyAlignment="1">
      <alignment horizontal="right" vertical="center" wrapText="1"/>
    </xf>
    <xf numFmtId="0" fontId="39" fillId="0" borderId="55" xfId="0" applyFont="1" applyFill="1" applyBorder="1" applyAlignment="1">
      <alignment horizontal="center" vertical="center" wrapText="1"/>
    </xf>
    <xf numFmtId="0" fontId="39" fillId="0" borderId="4" xfId="0" applyFont="1" applyFill="1" applyBorder="1" applyAlignment="1">
      <alignment horizontal="center" vertical="center" wrapText="1"/>
    </xf>
    <xf numFmtId="0" fontId="39" fillId="0" borderId="36" xfId="0" applyFont="1" applyFill="1" applyBorder="1" applyAlignment="1">
      <alignment horizontal="center" vertical="center" wrapText="1"/>
    </xf>
    <xf numFmtId="179" fontId="12" fillId="0" borderId="36" xfId="0" applyNumberFormat="1" applyFont="1" applyFill="1" applyBorder="1" applyAlignment="1">
      <alignment horizontal="center" vertical="center" wrapText="1"/>
    </xf>
    <xf numFmtId="182" fontId="12" fillId="0" borderId="32" xfId="0" applyNumberFormat="1" applyFont="1" applyFill="1" applyBorder="1" applyAlignment="1">
      <alignment horizontal="center" vertical="center" wrapText="1"/>
    </xf>
    <xf numFmtId="183" fontId="12" fillId="0" borderId="32" xfId="0" applyNumberFormat="1" applyFont="1" applyFill="1" applyBorder="1" applyAlignment="1">
      <alignment horizontal="center" vertical="center" wrapText="1"/>
    </xf>
    <xf numFmtId="183" fontId="39" fillId="0" borderId="32" xfId="0" applyNumberFormat="1" applyFont="1" applyFill="1" applyBorder="1" applyAlignment="1">
      <alignment horizontal="center" vertical="center" wrapText="1"/>
    </xf>
    <xf numFmtId="0" fontId="56" fillId="0" borderId="32" xfId="0" applyFont="1" applyFill="1" applyBorder="1" applyAlignment="1">
      <alignment horizontal="center" vertical="center" wrapText="1"/>
    </xf>
    <xf numFmtId="41" fontId="12" fillId="0" borderId="55" xfId="20" applyFont="1" applyFill="1" applyBorder="1" applyAlignment="1">
      <alignment horizontal="right" vertical="center" wrapText="1"/>
    </xf>
    <xf numFmtId="41" fontId="12" fillId="0" borderId="4" xfId="20" applyFont="1" applyFill="1" applyBorder="1" applyAlignment="1">
      <alignment horizontal="right" vertical="center" wrapText="1"/>
    </xf>
    <xf numFmtId="41" fontId="12" fillId="0" borderId="36" xfId="20" applyFont="1" applyFill="1" applyBorder="1" applyAlignment="1">
      <alignment horizontal="right" vertical="center" wrapText="1"/>
    </xf>
    <xf numFmtId="3" fontId="12" fillId="0" borderId="32" xfId="0" applyNumberFormat="1" applyFont="1" applyFill="1" applyBorder="1" applyAlignment="1">
      <alignment horizontal="right" vertical="center" wrapText="1"/>
    </xf>
    <xf numFmtId="179" fontId="12" fillId="0" borderId="32" xfId="0" applyNumberFormat="1" applyFont="1" applyFill="1" applyBorder="1" applyAlignment="1">
      <alignment horizontal="right" vertical="center" wrapText="1"/>
    </xf>
    <xf numFmtId="0" fontId="39" fillId="0" borderId="45" xfId="0" applyFont="1" applyFill="1" applyBorder="1" applyAlignment="1">
      <alignment horizontal="center" vertical="center"/>
    </xf>
    <xf numFmtId="0" fontId="39" fillId="0" borderId="93" xfId="0" applyFont="1" applyFill="1" applyBorder="1" applyAlignment="1">
      <alignment horizontal="center" vertical="center"/>
    </xf>
    <xf numFmtId="0" fontId="12" fillId="0" borderId="89" xfId="0" applyFont="1" applyFill="1" applyBorder="1" applyAlignment="1">
      <alignment horizontal="center" vertical="center" wrapText="1"/>
    </xf>
    <xf numFmtId="0" fontId="39" fillId="0" borderId="89" xfId="0" applyFont="1" applyFill="1" applyBorder="1" applyAlignment="1">
      <alignment horizontal="center" vertical="center" wrapText="1"/>
    </xf>
    <xf numFmtId="0" fontId="12" fillId="0" borderId="89" xfId="0" applyFont="1" applyFill="1" applyBorder="1" applyAlignment="1">
      <alignment horizontal="left" vertical="center" wrapText="1"/>
    </xf>
    <xf numFmtId="0" fontId="12" fillId="0" borderId="90" xfId="0" applyFont="1" applyFill="1" applyBorder="1" applyAlignment="1">
      <alignment horizontal="right" vertical="center" wrapText="1"/>
    </xf>
    <xf numFmtId="0" fontId="12" fillId="0" borderId="45" xfId="0" applyFont="1" applyFill="1" applyBorder="1" applyAlignment="1">
      <alignment horizontal="right" vertical="center" wrapText="1"/>
    </xf>
    <xf numFmtId="0" fontId="12" fillId="0" borderId="91" xfId="0" applyFont="1" applyFill="1" applyBorder="1" applyAlignment="1">
      <alignment horizontal="right" vertical="center" wrapText="1"/>
    </xf>
    <xf numFmtId="0" fontId="12" fillId="0" borderId="92" xfId="0" applyFont="1" applyFill="1" applyBorder="1" applyAlignment="1">
      <alignment horizontal="center" vertical="center" wrapText="1"/>
    </xf>
    <xf numFmtId="0" fontId="12" fillId="0" borderId="93" xfId="0" applyFont="1" applyFill="1" applyBorder="1" applyAlignment="1">
      <alignment horizontal="center" vertical="center" wrapText="1"/>
    </xf>
    <xf numFmtId="0" fontId="12" fillId="0" borderId="90" xfId="0" applyFont="1" applyFill="1" applyBorder="1" applyAlignment="1">
      <alignment horizontal="center" vertical="center" wrapText="1"/>
    </xf>
    <xf numFmtId="0" fontId="39" fillId="0" borderId="45" xfId="0" applyFont="1" applyFill="1" applyBorder="1" applyAlignment="1">
      <alignment horizontal="center" vertical="center" wrapText="1"/>
    </xf>
    <xf numFmtId="0" fontId="12" fillId="0" borderId="91" xfId="0" applyFont="1" applyFill="1" applyBorder="1" applyAlignment="1">
      <alignment horizontal="center" vertical="center" wrapText="1"/>
    </xf>
    <xf numFmtId="0" fontId="4" fillId="0" borderId="45" xfId="0" applyFont="1" applyFill="1" applyBorder="1"/>
    <xf numFmtId="0" fontId="12" fillId="0" borderId="89" xfId="0" applyFont="1" applyFill="1" applyBorder="1" applyAlignment="1">
      <alignment vertical="center" wrapText="1"/>
    </xf>
    <xf numFmtId="0" fontId="39" fillId="0" borderId="6" xfId="0" applyFont="1" applyFill="1" applyBorder="1" applyAlignment="1">
      <alignment horizontal="center" vertical="center"/>
    </xf>
    <xf numFmtId="0" fontId="39" fillId="0" borderId="7" xfId="0" applyFont="1" applyFill="1" applyBorder="1" applyAlignment="1">
      <alignment horizontal="center" vertical="center"/>
    </xf>
    <xf numFmtId="0" fontId="39" fillId="0" borderId="31" xfId="0" applyFont="1" applyFill="1" applyBorder="1" applyAlignment="1">
      <alignment horizontal="center" vertical="center" wrapText="1"/>
    </xf>
    <xf numFmtId="0" fontId="39" fillId="0" borderId="31" xfId="0" applyFont="1" applyFill="1" applyBorder="1" applyAlignment="1">
      <alignment horizontal="left" vertical="center" wrapText="1"/>
    </xf>
    <xf numFmtId="41" fontId="39" fillId="0" borderId="68" xfId="20" applyFont="1" applyFill="1" applyBorder="1" applyAlignment="1">
      <alignment horizontal="right" vertical="center" wrapText="1"/>
    </xf>
    <xf numFmtId="41" fontId="39" fillId="0" borderId="6" xfId="20" applyFont="1" applyFill="1" applyBorder="1" applyAlignment="1">
      <alignment horizontal="right" vertical="center" wrapText="1"/>
    </xf>
    <xf numFmtId="41" fontId="39" fillId="0" borderId="67" xfId="20" applyFont="1" applyFill="1" applyBorder="1" applyAlignment="1">
      <alignment horizontal="center" vertical="center" wrapText="1"/>
    </xf>
    <xf numFmtId="0" fontId="12" fillId="0" borderId="9"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39" fillId="0" borderId="68" xfId="0" applyFont="1" applyFill="1" applyBorder="1" applyAlignment="1">
      <alignment horizontal="center" vertical="center" wrapText="1"/>
    </xf>
    <xf numFmtId="0" fontId="4" fillId="0" borderId="6" xfId="0" applyFont="1" applyFill="1" applyBorder="1" applyAlignment="1">
      <alignment horizontal="center" vertical="center"/>
    </xf>
    <xf numFmtId="0" fontId="39" fillId="0" borderId="67" xfId="0" applyFont="1" applyFill="1" applyBorder="1" applyAlignment="1">
      <alignment horizontal="center" vertical="center" wrapText="1"/>
    </xf>
    <xf numFmtId="0" fontId="4" fillId="0" borderId="31" xfId="0" applyFont="1" applyFill="1" applyBorder="1" applyAlignment="1">
      <alignment horizontal="center" vertical="center"/>
    </xf>
    <xf numFmtId="0" fontId="39" fillId="0" borderId="6" xfId="0" applyFont="1" applyFill="1" applyBorder="1" applyAlignment="1">
      <alignment horizontal="center" vertical="center" wrapText="1"/>
    </xf>
    <xf numFmtId="41" fontId="12" fillId="0" borderId="31" xfId="0" applyNumberFormat="1" applyFont="1" applyFill="1" applyBorder="1" applyAlignment="1">
      <alignment horizontal="right" vertical="center" wrapText="1"/>
    </xf>
    <xf numFmtId="0" fontId="4" fillId="0" borderId="31" xfId="0" applyFont="1" applyFill="1" applyBorder="1" applyAlignment="1">
      <alignment horizontal="right" vertical="center"/>
    </xf>
    <xf numFmtId="41" fontId="39" fillId="0" borderId="36" xfId="20" applyFont="1" applyFill="1" applyBorder="1" applyAlignment="1">
      <alignment horizontal="center" vertical="center" wrapText="1"/>
    </xf>
    <xf numFmtId="0" fontId="4" fillId="0" borderId="4" xfId="0" applyFont="1" applyFill="1" applyBorder="1" applyAlignment="1">
      <alignment horizontal="center" vertical="center"/>
    </xf>
    <xf numFmtId="0" fontId="4" fillId="0" borderId="32" xfId="0" applyFont="1" applyFill="1" applyBorder="1" applyAlignment="1">
      <alignment horizontal="center" vertical="center"/>
    </xf>
    <xf numFmtId="41" fontId="12" fillId="0" borderId="32" xfId="0" applyNumberFormat="1" applyFont="1" applyFill="1" applyBorder="1" applyAlignment="1">
      <alignment horizontal="right" vertical="center" wrapText="1"/>
    </xf>
    <xf numFmtId="0" fontId="4" fillId="0" borderId="32" xfId="0" applyFont="1" applyFill="1" applyBorder="1" applyAlignment="1">
      <alignment horizontal="right" vertical="center"/>
    </xf>
    <xf numFmtId="0" fontId="4" fillId="0" borderId="36" xfId="0" applyFont="1" applyFill="1" applyBorder="1" applyAlignment="1">
      <alignment horizontal="center" vertical="center"/>
    </xf>
    <xf numFmtId="0" fontId="4" fillId="0" borderId="32" xfId="0" applyFont="1" applyFill="1" applyBorder="1" applyAlignment="1">
      <alignment horizontal="center" vertical="center" wrapText="1"/>
    </xf>
    <xf numFmtId="0" fontId="4" fillId="0" borderId="19" xfId="0" applyFont="1" applyFill="1" applyBorder="1" applyAlignment="1">
      <alignment horizontal="left" vertical="center" wrapText="1"/>
    </xf>
    <xf numFmtId="3" fontId="4" fillId="0" borderId="32" xfId="0" applyNumberFormat="1" applyFont="1" applyFill="1" applyBorder="1" applyAlignment="1">
      <alignment horizontal="center" vertical="center" wrapText="1"/>
    </xf>
    <xf numFmtId="41" fontId="4" fillId="0" borderId="55" xfId="20" applyFont="1" applyFill="1" applyBorder="1" applyAlignment="1">
      <alignment horizontal="center" vertical="center" wrapText="1"/>
    </xf>
    <xf numFmtId="41" fontId="4" fillId="0" borderId="36" xfId="20" applyFont="1" applyFill="1" applyBorder="1" applyAlignment="1">
      <alignment horizontal="center" vertical="center" wrapText="1"/>
    </xf>
    <xf numFmtId="41" fontId="4" fillId="0" borderId="57" xfId="20" applyFont="1" applyFill="1" applyBorder="1" applyAlignment="1">
      <alignment horizontal="center" vertical="center" wrapText="1"/>
    </xf>
    <xf numFmtId="41" fontId="4" fillId="0" borderId="19" xfId="20" applyFont="1" applyFill="1" applyBorder="1" applyAlignment="1">
      <alignment horizontal="center" vertical="center" wrapText="1"/>
    </xf>
    <xf numFmtId="0" fontId="4" fillId="0" borderId="59"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9"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5" xfId="0" applyFont="1" applyFill="1" applyBorder="1" applyAlignment="1">
      <alignment horizontal="center" vertical="center" wrapText="1"/>
    </xf>
    <xf numFmtId="0" fontId="4" fillId="0" borderId="36" xfId="0" applyFont="1" applyFill="1" applyBorder="1" applyAlignment="1">
      <alignment horizontal="right" vertical="center" wrapText="1"/>
    </xf>
    <xf numFmtId="41" fontId="4" fillId="0" borderId="32" xfId="20" applyFont="1" applyFill="1" applyBorder="1" applyAlignment="1">
      <alignment horizontal="center" vertical="center" wrapText="1"/>
    </xf>
    <xf numFmtId="41" fontId="4" fillId="0" borderId="32" xfId="20" applyFont="1" applyFill="1" applyBorder="1" applyAlignment="1">
      <alignment horizontal="center" vertical="center"/>
    </xf>
    <xf numFmtId="0" fontId="4" fillId="0" borderId="19" xfId="0" applyFont="1" applyFill="1" applyBorder="1" applyAlignment="1">
      <alignment vertical="center" wrapText="1"/>
    </xf>
    <xf numFmtId="0" fontId="4" fillId="0" borderId="36" xfId="0" applyFont="1" applyFill="1" applyBorder="1" applyAlignment="1">
      <alignment horizontal="center" vertical="center" wrapText="1"/>
    </xf>
    <xf numFmtId="0" fontId="4" fillId="0" borderId="5" xfId="0" applyFont="1" applyFill="1" applyBorder="1" applyAlignment="1">
      <alignment horizontal="center" vertical="center"/>
    </xf>
    <xf numFmtId="0" fontId="4" fillId="0" borderId="8" xfId="0" applyFont="1" applyFill="1" applyBorder="1" applyAlignment="1">
      <alignment horizontal="center" vertical="center" wrapText="1"/>
    </xf>
    <xf numFmtId="0" fontId="4" fillId="0" borderId="37" xfId="0" applyFont="1" applyFill="1" applyBorder="1" applyAlignment="1">
      <alignment horizontal="center" vertical="center" wrapText="1"/>
    </xf>
    <xf numFmtId="0" fontId="4" fillId="0" borderId="44" xfId="0" applyFont="1" applyFill="1" applyBorder="1" applyAlignment="1">
      <alignment horizontal="center" vertical="center" wrapText="1"/>
    </xf>
    <xf numFmtId="0" fontId="4" fillId="0" borderId="5" xfId="0" applyFont="1" applyFill="1" applyBorder="1" applyAlignment="1">
      <alignment horizontal="center" vertical="center" wrapText="1"/>
    </xf>
    <xf numFmtId="41" fontId="4" fillId="0" borderId="10" xfId="20" applyFont="1" applyFill="1" applyBorder="1" applyAlignment="1">
      <alignment horizontal="center" vertical="center" wrapText="1"/>
    </xf>
    <xf numFmtId="0" fontId="39" fillId="0" borderId="8" xfId="0" applyFont="1" applyFill="1" applyBorder="1" applyAlignment="1">
      <alignment horizontal="center" vertical="center" wrapText="1"/>
    </xf>
    <xf numFmtId="0" fontId="39" fillId="0" borderId="5" xfId="0" applyFont="1" applyFill="1" applyBorder="1" applyAlignment="1">
      <alignment horizontal="center" vertical="center" wrapText="1"/>
    </xf>
    <xf numFmtId="0" fontId="39" fillId="0" borderId="32" xfId="0" applyFont="1" applyFill="1" applyBorder="1" applyAlignment="1">
      <alignment horizontal="right" vertical="center" wrapText="1"/>
    </xf>
    <xf numFmtId="0" fontId="60" fillId="0" borderId="32" xfId="0" applyFont="1" applyFill="1" applyBorder="1" applyAlignment="1">
      <alignment vertical="center" wrapText="1"/>
    </xf>
    <xf numFmtId="0" fontId="60" fillId="0" borderId="32" xfId="0" applyFont="1" applyFill="1" applyBorder="1" applyAlignment="1">
      <alignment horizontal="center" vertical="center" wrapText="1"/>
    </xf>
    <xf numFmtId="0" fontId="60" fillId="0" borderId="32" xfId="0" applyFont="1" applyFill="1" applyBorder="1" applyAlignment="1">
      <alignment horizontal="left" vertical="center" wrapText="1"/>
    </xf>
    <xf numFmtId="0" fontId="12" fillId="0" borderId="19" xfId="0" applyFont="1" applyFill="1" applyBorder="1" applyAlignment="1">
      <alignment horizontal="center" vertical="center" wrapText="1"/>
    </xf>
    <xf numFmtId="0" fontId="12" fillId="0" borderId="19" xfId="0" applyFont="1" applyFill="1" applyBorder="1" applyAlignment="1">
      <alignment vertical="center" wrapText="1"/>
    </xf>
    <xf numFmtId="0" fontId="12" fillId="0" borderId="10" xfId="0" applyFont="1" applyFill="1" applyBorder="1" applyAlignment="1">
      <alignment horizontal="center" vertical="center" wrapText="1"/>
    </xf>
    <xf numFmtId="0" fontId="12" fillId="0" borderId="37" xfId="0" applyFont="1" applyFill="1" applyBorder="1" applyAlignment="1">
      <alignment horizontal="center" vertical="center" wrapText="1"/>
    </xf>
    <xf numFmtId="0" fontId="12" fillId="0" borderId="44" xfId="0" applyFont="1" applyFill="1" applyBorder="1" applyAlignment="1">
      <alignment horizontal="center" vertical="center" wrapText="1"/>
    </xf>
    <xf numFmtId="0" fontId="12" fillId="0" borderId="4" xfId="0" applyFont="1" applyFill="1" applyBorder="1" applyAlignment="1">
      <alignment horizontal="left" vertical="center" wrapText="1"/>
    </xf>
    <xf numFmtId="0" fontId="12" fillId="0" borderId="76" xfId="0" applyFont="1" applyFill="1" applyBorder="1" applyAlignment="1">
      <alignment horizontal="center" vertical="center"/>
    </xf>
    <xf numFmtId="0" fontId="12" fillId="0" borderId="79" xfId="0" applyFont="1" applyFill="1" applyBorder="1" applyAlignment="1">
      <alignment horizontal="center" vertical="center" wrapText="1"/>
    </xf>
    <xf numFmtId="0" fontId="12" fillId="0" borderId="31" xfId="0" applyFont="1" applyFill="1" applyBorder="1" applyAlignment="1">
      <alignment horizontal="center" vertical="center" wrapText="1"/>
    </xf>
    <xf numFmtId="0" fontId="12" fillId="0" borderId="80" xfId="0" applyFont="1" applyFill="1" applyBorder="1" applyAlignment="1">
      <alignment horizontal="center" vertical="center" wrapText="1"/>
    </xf>
    <xf numFmtId="0" fontId="12" fillId="0" borderId="0" xfId="0" applyFont="1" applyFill="1" applyBorder="1" applyAlignment="1">
      <alignment horizontal="left" vertical="center" wrapText="1"/>
    </xf>
    <xf numFmtId="0" fontId="12" fillId="0" borderId="26" xfId="0" applyFont="1" applyFill="1" applyBorder="1" applyAlignment="1">
      <alignment horizontal="center" vertical="center" wrapText="1"/>
    </xf>
    <xf numFmtId="0" fontId="12" fillId="0" borderId="77" xfId="0" applyFont="1" applyFill="1" applyBorder="1" applyAlignment="1">
      <alignment horizontal="center" vertical="center" wrapText="1"/>
    </xf>
    <xf numFmtId="0" fontId="12" fillId="0" borderId="82" xfId="0" applyFont="1" applyFill="1" applyBorder="1" applyAlignment="1">
      <alignment horizontal="center" vertical="center" wrapText="1"/>
    </xf>
    <xf numFmtId="0" fontId="12" fillId="0" borderId="84" xfId="0" applyFont="1" applyFill="1" applyBorder="1" applyAlignment="1">
      <alignment horizontal="center" vertical="center" wrapText="1"/>
    </xf>
    <xf numFmtId="0" fontId="12" fillId="0" borderId="85" xfId="0" applyFont="1" applyFill="1" applyBorder="1" applyAlignment="1">
      <alignment horizontal="center" vertical="center" wrapText="1"/>
    </xf>
    <xf numFmtId="0" fontId="12" fillId="0" borderId="86" xfId="0" applyFont="1" applyFill="1" applyBorder="1" applyAlignment="1">
      <alignment horizontal="center" vertical="center" wrapText="1"/>
    </xf>
    <xf numFmtId="0" fontId="50" fillId="0" borderId="77" xfId="0" applyFont="1" applyFill="1" applyBorder="1" applyAlignment="1">
      <alignment horizontal="left" vertical="center" wrapText="1"/>
    </xf>
    <xf numFmtId="0" fontId="50" fillId="0" borderId="88" xfId="0" applyFont="1" applyFill="1" applyBorder="1" applyAlignment="1">
      <alignment horizontal="center" vertical="center" wrapText="1"/>
    </xf>
    <xf numFmtId="0" fontId="50" fillId="0" borderId="75" xfId="0" applyFont="1" applyFill="1" applyBorder="1" applyAlignment="1">
      <alignment horizontal="center" vertical="center" wrapText="1"/>
    </xf>
    <xf numFmtId="0" fontId="50" fillId="0" borderId="26" xfId="0" applyFont="1" applyFill="1" applyBorder="1" applyAlignment="1">
      <alignment horizontal="left" vertical="center" wrapText="1"/>
    </xf>
    <xf numFmtId="0" fontId="47" fillId="0" borderId="77" xfId="0" applyFont="1" applyFill="1" applyBorder="1" applyAlignment="1">
      <alignment horizontal="left" vertical="center" wrapText="1"/>
    </xf>
    <xf numFmtId="0" fontId="12" fillId="0" borderId="76" xfId="0" applyFont="1" applyFill="1" applyBorder="1" applyAlignment="1">
      <alignment horizontal="center" vertical="center" wrapText="1"/>
    </xf>
    <xf numFmtId="0" fontId="47" fillId="0" borderId="75" xfId="0" applyFont="1" applyFill="1" applyBorder="1" applyAlignment="1">
      <alignment horizontal="left" vertical="center" wrapText="1"/>
    </xf>
    <xf numFmtId="0" fontId="47" fillId="0" borderId="81" xfId="0" applyFont="1" applyFill="1" applyBorder="1" applyAlignment="1">
      <alignment horizontal="center" vertical="center" wrapText="1"/>
    </xf>
    <xf numFmtId="0" fontId="12" fillId="0" borderId="81" xfId="0" applyFont="1" applyFill="1" applyBorder="1" applyAlignment="1">
      <alignment horizontal="center" vertical="center" wrapText="1"/>
    </xf>
    <xf numFmtId="0" fontId="47" fillId="0" borderId="81" xfId="0" applyFont="1" applyFill="1" applyBorder="1" applyAlignment="1">
      <alignment horizontal="left" vertical="center" wrapText="1"/>
    </xf>
    <xf numFmtId="0" fontId="12" fillId="0" borderId="15" xfId="0" applyFont="1" applyFill="1" applyBorder="1" applyAlignment="1">
      <alignment horizontal="center" vertical="center"/>
    </xf>
    <xf numFmtId="0" fontId="12" fillId="0" borderId="13" xfId="0" applyFont="1" applyFill="1" applyBorder="1" applyAlignment="1">
      <alignment horizontal="center" vertical="center"/>
    </xf>
    <xf numFmtId="0" fontId="12" fillId="0" borderId="69" xfId="0" applyFont="1" applyFill="1" applyBorder="1" applyAlignment="1">
      <alignment horizontal="center" vertical="center" wrapText="1"/>
    </xf>
    <xf numFmtId="0" fontId="12" fillId="0" borderId="33" xfId="0" applyFont="1" applyFill="1" applyBorder="1" applyAlignment="1">
      <alignment horizontal="center" vertical="center" wrapText="1"/>
    </xf>
    <xf numFmtId="0" fontId="12" fillId="0" borderId="69" xfId="0" applyFont="1" applyFill="1" applyBorder="1" applyAlignment="1">
      <alignment vertical="center" wrapText="1"/>
    </xf>
    <xf numFmtId="0" fontId="12" fillId="0" borderId="35"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12" fillId="0" borderId="14" xfId="0" applyFont="1" applyFill="1" applyBorder="1" applyAlignment="1">
      <alignment horizontal="center" vertical="center" wrapText="1"/>
    </xf>
    <xf numFmtId="0" fontId="12" fillId="0" borderId="70" xfId="0" applyFont="1" applyFill="1" applyBorder="1" applyAlignment="1">
      <alignment horizontal="center" vertical="center" wrapText="1"/>
    </xf>
    <xf numFmtId="0" fontId="12" fillId="0" borderId="71" xfId="0" applyFont="1" applyFill="1" applyBorder="1" applyAlignment="1">
      <alignment horizontal="center" vertical="center" wrapText="1"/>
    </xf>
    <xf numFmtId="0" fontId="12" fillId="0" borderId="13" xfId="0" applyFont="1" applyFill="1" applyBorder="1" applyAlignment="1">
      <alignment horizontal="center" vertical="center" wrapText="1"/>
    </xf>
    <xf numFmtId="0" fontId="12" fillId="0" borderId="15" xfId="0" applyFont="1" applyFill="1" applyBorder="1" applyAlignment="1">
      <alignment horizontal="center" vertical="center" wrapText="1"/>
    </xf>
    <xf numFmtId="0" fontId="39" fillId="0" borderId="32" xfId="0" applyFont="1" applyFill="1" applyBorder="1" applyAlignment="1">
      <alignment vertical="center" wrapText="1"/>
    </xf>
    <xf numFmtId="3" fontId="39" fillId="0" borderId="55" xfId="0" applyNumberFormat="1" applyFont="1" applyFill="1" applyBorder="1" applyAlignment="1">
      <alignment horizontal="center" vertical="center" wrapText="1"/>
    </xf>
    <xf numFmtId="0" fontId="4" fillId="0" borderId="8" xfId="0" applyFont="1" applyFill="1" applyBorder="1"/>
    <xf numFmtId="0" fontId="4" fillId="0" borderId="5" xfId="0" applyFont="1" applyFill="1" applyBorder="1"/>
    <xf numFmtId="177" fontId="4" fillId="0" borderId="32" xfId="20" applyNumberFormat="1" applyFont="1" applyFill="1" applyBorder="1" applyAlignment="1"/>
    <xf numFmtId="41" fontId="4" fillId="0" borderId="32" xfId="20" applyFont="1" applyFill="1" applyBorder="1" applyAlignment="1"/>
    <xf numFmtId="177" fontId="39" fillId="0" borderId="32" xfId="20" applyNumberFormat="1" applyFont="1" applyFill="1" applyBorder="1" applyAlignment="1">
      <alignment horizontal="center" vertical="center" wrapText="1"/>
    </xf>
    <xf numFmtId="41" fontId="39" fillId="0" borderId="32" xfId="20" applyFont="1" applyFill="1" applyBorder="1" applyAlignment="1">
      <alignment horizontal="center" vertical="center" wrapText="1"/>
    </xf>
    <xf numFmtId="0" fontId="39" fillId="0" borderId="19" xfId="0" applyFont="1" applyFill="1" applyBorder="1" applyAlignment="1">
      <alignment vertical="center" wrapText="1"/>
    </xf>
    <xf numFmtId="0" fontId="12" fillId="0" borderId="19" xfId="0" applyFont="1" applyFill="1" applyBorder="1" applyAlignment="1" applyProtection="1">
      <alignment horizontal="center" vertical="center" wrapText="1"/>
      <protection locked="0"/>
    </xf>
    <xf numFmtId="0" fontId="61" fillId="0" borderId="32" xfId="0" applyFont="1" applyFill="1" applyBorder="1" applyAlignment="1">
      <alignment horizontal="center" vertical="center" wrapText="1"/>
    </xf>
    <xf numFmtId="0" fontId="39" fillId="0" borderId="19" xfId="0" applyFont="1" applyFill="1" applyBorder="1" applyAlignment="1">
      <alignment horizontal="center" vertical="center" wrapText="1"/>
    </xf>
    <xf numFmtId="0" fontId="47" fillId="0" borderId="4" xfId="0" applyFont="1" applyFill="1" applyBorder="1" applyAlignment="1">
      <alignment horizontal="center" vertical="center"/>
    </xf>
    <xf numFmtId="0" fontId="47" fillId="0" borderId="5" xfId="0" applyFont="1" applyFill="1" applyBorder="1" applyAlignment="1">
      <alignment horizontal="center" vertical="center"/>
    </xf>
    <xf numFmtId="0" fontId="62" fillId="0" borderId="32" xfId="0" applyFont="1" applyFill="1" applyBorder="1" applyAlignment="1">
      <alignment horizontal="center" vertical="center" wrapText="1" shrinkToFit="1"/>
    </xf>
    <xf numFmtId="0" fontId="47" fillId="0" borderId="32" xfId="0" applyFont="1" applyFill="1" applyBorder="1" applyAlignment="1">
      <alignment vertical="center" wrapText="1"/>
    </xf>
    <xf numFmtId="0" fontId="62" fillId="0" borderId="32" xfId="0" applyFont="1" applyFill="1" applyBorder="1" applyAlignment="1">
      <alignment horizontal="center" vertical="center" wrapText="1"/>
    </xf>
    <xf numFmtId="0" fontId="47" fillId="0" borderId="55" xfId="0" applyFont="1" applyFill="1" applyBorder="1" applyAlignment="1">
      <alignment horizontal="center" vertical="center" wrapText="1"/>
    </xf>
    <xf numFmtId="0" fontId="47" fillId="0" borderId="4" xfId="0" applyFont="1" applyFill="1" applyBorder="1" applyAlignment="1">
      <alignment horizontal="center" vertical="center" wrapText="1"/>
    </xf>
    <xf numFmtId="0" fontId="47" fillId="0" borderId="36" xfId="0" applyFont="1" applyFill="1" applyBorder="1" applyAlignment="1">
      <alignment horizontal="center" vertical="center" wrapText="1"/>
    </xf>
    <xf numFmtId="0" fontId="47" fillId="0" borderId="8" xfId="0" applyFont="1" applyFill="1" applyBorder="1" applyAlignment="1">
      <alignment horizontal="center" vertical="center" wrapText="1"/>
    </xf>
    <xf numFmtId="0" fontId="47" fillId="0" borderId="5" xfId="0" applyFont="1" applyFill="1" applyBorder="1" applyAlignment="1">
      <alignment horizontal="center" vertical="center" wrapText="1"/>
    </xf>
    <xf numFmtId="0" fontId="12" fillId="0" borderId="5" xfId="0" quotePrefix="1" applyFont="1" applyFill="1" applyBorder="1" applyAlignment="1">
      <alignment horizontal="center" vertical="center" wrapText="1"/>
    </xf>
    <xf numFmtId="0" fontId="12" fillId="0" borderId="4" xfId="0" applyFont="1" applyFill="1" applyBorder="1" applyAlignment="1" applyProtection="1">
      <alignment horizontal="center" vertical="center" wrapText="1"/>
      <protection locked="0"/>
    </xf>
    <xf numFmtId="3" fontId="12" fillId="0" borderId="32" xfId="0" applyNumberFormat="1" applyFont="1" applyFill="1" applyBorder="1" applyAlignment="1">
      <alignment horizontal="center" vertical="center" wrapText="1"/>
    </xf>
    <xf numFmtId="0" fontId="12" fillId="2" borderId="11" xfId="0" applyFont="1" applyFill="1" applyBorder="1" applyAlignment="1" applyProtection="1">
      <alignment horizontal="center" vertical="center" wrapText="1"/>
      <protection locked="0"/>
    </xf>
    <xf numFmtId="0" fontId="39" fillId="2" borderId="4" xfId="0" applyFont="1" applyFill="1" applyBorder="1" applyAlignment="1">
      <alignment horizontal="center" vertical="center" wrapText="1"/>
    </xf>
    <xf numFmtId="0" fontId="12" fillId="0" borderId="15" xfId="0" applyFont="1" applyFill="1" applyBorder="1" applyAlignment="1">
      <alignment vertical="center" wrapText="1"/>
    </xf>
    <xf numFmtId="41" fontId="12" fillId="0" borderId="15" xfId="20" applyFont="1" applyFill="1" applyBorder="1" applyAlignment="1">
      <alignment horizontal="center" vertical="center" wrapText="1"/>
    </xf>
    <xf numFmtId="0" fontId="12" fillId="0" borderId="15" xfId="0" applyFont="1" applyFill="1" applyBorder="1"/>
    <xf numFmtId="0" fontId="12" fillId="0" borderId="11" xfId="0" applyFont="1" applyFill="1" applyBorder="1" applyAlignment="1">
      <alignment horizontal="center" vertical="center" wrapText="1"/>
    </xf>
    <xf numFmtId="0" fontId="12" fillId="0" borderId="11" xfId="0" applyFont="1" applyFill="1" applyBorder="1" applyAlignment="1">
      <alignment vertical="center" wrapText="1"/>
    </xf>
    <xf numFmtId="0" fontId="12" fillId="0" borderId="16" xfId="0" applyFont="1" applyFill="1" applyBorder="1" applyAlignment="1">
      <alignment horizontal="center" vertical="center" wrapText="1"/>
    </xf>
    <xf numFmtId="0" fontId="12" fillId="0" borderId="4" xfId="0" applyFont="1" applyFill="1" applyBorder="1" applyAlignment="1">
      <alignment vertical="center" wrapText="1"/>
    </xf>
    <xf numFmtId="41" fontId="12" fillId="0" borderId="4" xfId="20" applyFont="1" applyFill="1" applyBorder="1" applyAlignment="1">
      <alignment horizontal="center" vertical="center" wrapText="1"/>
    </xf>
    <xf numFmtId="41" fontId="12" fillId="0" borderId="11" xfId="20" applyFont="1" applyFill="1" applyBorder="1" applyAlignment="1">
      <alignment horizontal="center" vertical="center" wrapText="1"/>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Border="1" applyAlignment="1">
      <alignment vertical="center"/>
    </xf>
    <xf numFmtId="0" fontId="12" fillId="2" borderId="12" xfId="0" applyFont="1" applyFill="1" applyBorder="1" applyAlignment="1">
      <alignment horizontal="center" vertical="center"/>
    </xf>
    <xf numFmtId="0" fontId="12" fillId="2" borderId="19"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4" fillId="0" borderId="32" xfId="0" applyFont="1" applyBorder="1"/>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12" fillId="2" borderId="36" xfId="0" applyFont="1" applyFill="1" applyBorder="1" applyAlignment="1">
      <alignment horizontal="center" vertical="center" wrapText="1"/>
    </xf>
    <xf numFmtId="0" fontId="12" fillId="2" borderId="36" xfId="0" applyFont="1" applyFill="1" applyBorder="1" applyAlignment="1">
      <alignment horizontal="center" vertical="center"/>
    </xf>
    <xf numFmtId="0" fontId="39"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37" xfId="0" applyFont="1" applyFill="1" applyBorder="1" applyAlignment="1">
      <alignment horizontal="center" vertical="center"/>
    </xf>
    <xf numFmtId="0" fontId="39" fillId="2" borderId="37" xfId="0" applyFont="1" applyFill="1" applyBorder="1" applyAlignment="1">
      <alignment horizontal="center" vertical="center" wrapText="1"/>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3" fontId="12" fillId="2" borderId="8" xfId="0" applyNumberFormat="1" applyFont="1" applyFill="1" applyBorder="1" applyAlignment="1">
      <alignment horizontal="center" vertical="center" wrapText="1"/>
    </xf>
    <xf numFmtId="41" fontId="12" fillId="2" borderId="37" xfId="20" applyFont="1" applyFill="1" applyBorder="1" applyAlignment="1">
      <alignment horizontal="center" vertical="center" wrapText="1"/>
    </xf>
    <xf numFmtId="3" fontId="12" fillId="2" borderId="37" xfId="0" applyNumberFormat="1" applyFont="1" applyFill="1" applyBorder="1" applyAlignment="1">
      <alignment horizontal="center" vertical="center" wrapText="1"/>
    </xf>
    <xf numFmtId="0" fontId="12" fillId="2" borderId="55" xfId="0" applyFont="1" applyFill="1" applyBorder="1" applyAlignment="1">
      <alignment horizontal="center" vertical="center" wrapText="1"/>
    </xf>
    <xf numFmtId="0" fontId="12" fillId="2" borderId="19" xfId="0" applyFont="1" applyFill="1" applyBorder="1" applyAlignment="1">
      <alignment horizontal="center" vertical="center" shrinkToFit="1"/>
    </xf>
    <xf numFmtId="0" fontId="12" fillId="2" borderId="15"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69" xfId="0" applyFont="1" applyFill="1" applyBorder="1" applyAlignment="1">
      <alignment horizontal="center" vertical="center" wrapText="1"/>
    </xf>
    <xf numFmtId="0" fontId="12" fillId="2" borderId="33" xfId="0" applyFont="1" applyFill="1" applyBorder="1" applyAlignment="1">
      <alignment horizontal="center" vertical="center" wrapText="1"/>
    </xf>
    <xf numFmtId="0" fontId="12" fillId="2" borderId="69" xfId="0" applyFont="1" applyFill="1" applyBorder="1" applyAlignment="1">
      <alignment vertical="center" wrapText="1"/>
    </xf>
    <xf numFmtId="0" fontId="12" fillId="2" borderId="35"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70" xfId="0" applyFont="1" applyFill="1" applyBorder="1" applyAlignment="1">
      <alignment horizontal="center" vertical="center" wrapText="1"/>
    </xf>
    <xf numFmtId="0" fontId="12" fillId="2" borderId="71"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61"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0" borderId="4" xfId="40" applyFont="1" applyBorder="1" applyAlignment="1">
      <alignment horizontal="left" vertical="center" wrapText="1"/>
    </xf>
    <xf numFmtId="0" fontId="12" fillId="2" borderId="19" xfId="41" applyFont="1" applyFill="1" applyBorder="1" applyAlignment="1">
      <alignment horizontal="left" vertical="center" wrapText="1"/>
    </xf>
    <xf numFmtId="0" fontId="12" fillId="0" borderId="32" xfId="40" applyFont="1" applyBorder="1" applyAlignment="1">
      <alignment horizontal="center" vertical="center" wrapText="1"/>
    </xf>
    <xf numFmtId="0" fontId="12" fillId="2" borderId="10" xfId="41" applyNumberFormat="1" applyFont="1" applyFill="1" applyBorder="1" applyAlignment="1">
      <alignment horizontal="center" vertical="center" wrapText="1"/>
    </xf>
    <xf numFmtId="0" fontId="63" fillId="2" borderId="32" xfId="0" applyFont="1" applyFill="1" applyBorder="1" applyAlignment="1">
      <alignment horizontal="center" vertical="center" wrapText="1"/>
    </xf>
    <xf numFmtId="0" fontId="63" fillId="2" borderId="55" xfId="0" applyFont="1" applyFill="1" applyBorder="1" applyAlignment="1">
      <alignment horizontal="center" vertical="center" wrapText="1"/>
    </xf>
    <xf numFmtId="0" fontId="12" fillId="0" borderId="4" xfId="0" applyFont="1" applyBorder="1" applyAlignment="1">
      <alignment vertical="center" wrapText="1"/>
    </xf>
    <xf numFmtId="0" fontId="62" fillId="2" borderId="32" xfId="0" applyFont="1" applyFill="1" applyBorder="1" applyAlignment="1">
      <alignment horizontal="center" vertical="center" wrapText="1"/>
    </xf>
    <xf numFmtId="0" fontId="62" fillId="2" borderId="60" xfId="0" applyFont="1" applyFill="1" applyBorder="1" applyAlignment="1">
      <alignment horizontal="center" vertical="center" wrapText="1"/>
    </xf>
    <xf numFmtId="0" fontId="12" fillId="0" borderId="44" xfId="0" applyFont="1" applyFill="1" applyBorder="1" applyAlignment="1">
      <alignment horizontal="center" vertical="center" wrapText="1"/>
    </xf>
    <xf numFmtId="0" fontId="12" fillId="0" borderId="19" xfId="0" applyFont="1" applyFill="1" applyBorder="1" applyAlignment="1">
      <alignment horizontal="center" vertical="center" wrapText="1"/>
    </xf>
    <xf numFmtId="0" fontId="12" fillId="2" borderId="94" xfId="0" applyFont="1" applyFill="1" applyBorder="1" applyAlignment="1">
      <alignment horizontal="center" vertical="center" wrapText="1"/>
    </xf>
    <xf numFmtId="0" fontId="4" fillId="0" borderId="95" xfId="0" applyFont="1" applyBorder="1"/>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2" fillId="2" borderId="32" xfId="0" applyFont="1" applyFill="1" applyBorder="1" applyAlignment="1">
      <alignment vertical="center" wrapText="1"/>
    </xf>
    <xf numFmtId="0" fontId="12" fillId="0" borderId="32" xfId="0" applyFont="1" applyBorder="1" applyAlignment="1">
      <alignment horizontal="center" vertical="center" wrapText="1"/>
    </xf>
    <xf numFmtId="0" fontId="12" fillId="0" borderId="32" xfId="0" applyFont="1" applyBorder="1" applyAlignment="1">
      <alignment vertical="center" wrapText="1"/>
    </xf>
    <xf numFmtId="0" fontId="12" fillId="0" borderId="32" xfId="0" applyFont="1" applyBorder="1" applyAlignment="1">
      <alignment horizontal="center" vertical="center"/>
    </xf>
    <xf numFmtId="0" fontId="12" fillId="0" borderId="32" xfId="0" applyFont="1" applyBorder="1" applyAlignment="1">
      <alignment vertical="center"/>
    </xf>
    <xf numFmtId="0" fontId="12" fillId="0" borderId="8" xfId="0" applyFont="1" applyBorder="1" applyAlignment="1">
      <alignment horizontal="center" vertical="center"/>
    </xf>
    <xf numFmtId="0" fontId="12" fillId="0" borderId="5" xfId="0" applyFont="1" applyBorder="1" applyAlignment="1">
      <alignment horizontal="center" vertical="center"/>
    </xf>
    <xf numFmtId="0" fontId="12" fillId="0" borderId="8" xfId="0" applyFont="1" applyBorder="1" applyAlignment="1">
      <alignment horizontal="center" vertical="center" wrapText="1"/>
    </xf>
    <xf numFmtId="0" fontId="12" fillId="2" borderId="55" xfId="0" applyFont="1" applyFill="1" applyBorder="1" applyAlignment="1">
      <alignment horizontal="center" vertical="center"/>
    </xf>
    <xf numFmtId="0" fontId="12" fillId="0" borderId="10" xfId="0" applyFont="1" applyBorder="1" applyAlignment="1">
      <alignment horizontal="center" vertical="center"/>
    </xf>
    <xf numFmtId="0" fontId="12" fillId="2" borderId="59" xfId="0" applyFont="1" applyFill="1" applyBorder="1" applyAlignment="1">
      <alignment horizontal="center" vertical="center" wrapText="1"/>
    </xf>
    <xf numFmtId="0" fontId="12" fillId="2" borderId="58" xfId="0" applyFont="1" applyFill="1" applyBorder="1" applyAlignment="1">
      <alignment horizontal="center" vertical="center" wrapText="1"/>
    </xf>
    <xf numFmtId="0" fontId="12" fillId="0" borderId="59" xfId="0" applyFont="1" applyBorder="1" applyAlignment="1">
      <alignment horizontal="center" vertical="center"/>
    </xf>
    <xf numFmtId="0" fontId="12" fillId="0" borderId="58" xfId="0" applyFont="1" applyBorder="1" applyAlignment="1">
      <alignment horizontal="center" vertical="center"/>
    </xf>
    <xf numFmtId="0" fontId="4" fillId="0" borderId="0" xfId="0" applyFont="1"/>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left"/>
    </xf>
    <xf numFmtId="0" fontId="4" fillId="0" borderId="0" xfId="0" applyFont="1" applyAlignment="1">
      <alignment horizont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7" fillId="6" borderId="42" xfId="0" applyFont="1" applyFill="1" applyBorder="1" applyAlignment="1">
      <alignment horizontal="center" vertical="center" wrapText="1"/>
    </xf>
    <xf numFmtId="0" fontId="12" fillId="2" borderId="4" xfId="0" applyFont="1" applyFill="1" applyBorder="1" applyAlignment="1" applyProtection="1">
      <alignment horizontal="center" vertical="center" wrapText="1"/>
      <protection locked="0"/>
    </xf>
    <xf numFmtId="0" fontId="12" fillId="2" borderId="4" xfId="0" quotePrefix="1" applyFont="1" applyFill="1" applyBorder="1" applyAlignment="1">
      <alignment horizontal="center" vertical="center" wrapText="1"/>
    </xf>
    <xf numFmtId="0" fontId="12" fillId="2" borderId="4" xfId="7" applyFont="1" applyFill="1" applyBorder="1" applyAlignment="1">
      <alignment horizontal="center" vertical="center"/>
    </xf>
    <xf numFmtId="0" fontId="12" fillId="2" borderId="32" xfId="0" applyFont="1" applyFill="1" applyBorder="1" applyAlignment="1">
      <alignment horizontal="center" vertical="center"/>
    </xf>
    <xf numFmtId="0" fontId="47" fillId="2" borderId="32" xfId="0" applyFont="1" applyFill="1" applyBorder="1" applyAlignment="1">
      <alignment vertical="center" wrapText="1"/>
    </xf>
    <xf numFmtId="0" fontId="12" fillId="2" borderId="5" xfId="7" applyFont="1" applyFill="1" applyBorder="1" applyAlignment="1">
      <alignment horizontal="center" vertical="center" wrapText="1"/>
    </xf>
    <xf numFmtId="0" fontId="12" fillId="2" borderId="4" xfId="7" applyFont="1" applyFill="1" applyBorder="1" applyAlignment="1">
      <alignment horizontal="center" vertical="center" wrapText="1"/>
    </xf>
    <xf numFmtId="0" fontId="66" fillId="0" borderId="4" xfId="0" applyFont="1" applyFill="1" applyBorder="1" applyAlignment="1">
      <alignment horizontal="right" vertical="center" wrapText="1"/>
    </xf>
    <xf numFmtId="0" fontId="66" fillId="0" borderId="4" xfId="0" applyFont="1" applyFill="1" applyBorder="1" applyAlignment="1">
      <alignment horizontal="left" vertical="center" wrapText="1"/>
    </xf>
    <xf numFmtId="41" fontId="12" fillId="0" borderId="15" xfId="20" applyFont="1" applyFill="1" applyBorder="1" applyAlignment="1">
      <alignment horizontal="center" vertical="center"/>
    </xf>
    <xf numFmtId="0" fontId="12" fillId="2" borderId="6" xfId="0" applyFont="1" applyFill="1" applyBorder="1" applyAlignment="1">
      <alignment vertical="center" wrapText="1"/>
    </xf>
    <xf numFmtId="0" fontId="12" fillId="2" borderId="92" xfId="0" applyFont="1" applyFill="1" applyBorder="1" applyAlignment="1">
      <alignment horizontal="center" vertical="center"/>
    </xf>
    <xf numFmtId="0" fontId="12" fillId="2" borderId="45" xfId="0" applyFont="1" applyFill="1" applyBorder="1" applyAlignment="1">
      <alignment horizontal="center" vertical="center"/>
    </xf>
    <xf numFmtId="0" fontId="12" fillId="2" borderId="45" xfId="0" applyFont="1" applyFill="1" applyBorder="1" applyAlignment="1">
      <alignment horizontal="center" vertical="center" wrapText="1"/>
    </xf>
    <xf numFmtId="41" fontId="12" fillId="2" borderId="45" xfId="20" applyFont="1" applyFill="1" applyBorder="1" applyAlignment="1">
      <alignment horizontal="center" vertical="center" wrapText="1"/>
    </xf>
    <xf numFmtId="3" fontId="12" fillId="2" borderId="45" xfId="0" applyNumberFormat="1" applyFont="1" applyFill="1" applyBorder="1" applyAlignment="1">
      <alignment horizontal="center" vertical="center" wrapText="1"/>
    </xf>
    <xf numFmtId="0" fontId="12" fillId="2" borderId="93" xfId="0" applyFont="1" applyFill="1" applyBorder="1" applyAlignment="1">
      <alignment horizontal="center" vertical="center" wrapText="1"/>
    </xf>
    <xf numFmtId="0" fontId="12" fillId="0" borderId="4" xfId="0" applyFont="1" applyBorder="1" applyAlignment="1">
      <alignment horizontal="center" vertical="center" shrinkToFit="1"/>
    </xf>
    <xf numFmtId="3" fontId="12" fillId="0" borderId="4" xfId="0" applyNumberFormat="1" applyFont="1" applyBorder="1" applyAlignment="1">
      <alignment horizontal="center" vertical="center"/>
    </xf>
    <xf numFmtId="0" fontId="12" fillId="0" borderId="4" xfId="0" applyFont="1" applyBorder="1" applyAlignment="1">
      <alignment horizontal="center" vertical="center" wrapText="1" shrinkToFit="1"/>
    </xf>
    <xf numFmtId="0" fontId="12" fillId="0" borderId="5" xfId="0" applyFont="1" applyBorder="1" applyAlignment="1">
      <alignment horizontal="center" vertical="center" wrapText="1"/>
    </xf>
    <xf numFmtId="0" fontId="12" fillId="0" borderId="4" xfId="0" applyFont="1" applyBorder="1" applyAlignment="1">
      <alignment horizontal="left" vertical="center"/>
    </xf>
    <xf numFmtId="0" fontId="12" fillId="0" borderId="15" xfId="0" applyFont="1" applyBorder="1" applyAlignment="1">
      <alignment horizontal="center" vertical="center"/>
    </xf>
    <xf numFmtId="0" fontId="12" fillId="0" borderId="15" xfId="0" applyFont="1" applyBorder="1" applyAlignment="1">
      <alignment horizontal="left" vertical="center" wrapText="1"/>
    </xf>
    <xf numFmtId="0" fontId="12" fillId="0" borderId="15" xfId="0" applyFont="1" applyBorder="1" applyAlignment="1">
      <alignment horizontal="center" vertical="center" wrapText="1"/>
    </xf>
    <xf numFmtId="0" fontId="12" fillId="0" borderId="13" xfId="0" applyFont="1" applyBorder="1" applyAlignment="1">
      <alignment horizontal="center" vertical="center"/>
    </xf>
    <xf numFmtId="0" fontId="12" fillId="2" borderId="45" xfId="0" applyFont="1" applyFill="1" applyBorder="1" applyAlignment="1">
      <alignment vertical="center" wrapText="1"/>
    </xf>
    <xf numFmtId="0" fontId="12" fillId="2" borderId="1" xfId="0" applyFont="1" applyFill="1" applyBorder="1" applyAlignment="1">
      <alignment horizontal="center" vertical="center"/>
    </xf>
    <xf numFmtId="0" fontId="12" fillId="2" borderId="96" xfId="0" applyFont="1" applyFill="1" applyBorder="1" applyAlignment="1">
      <alignment horizontal="center" vertical="center"/>
    </xf>
    <xf numFmtId="0" fontId="12" fillId="2" borderId="96" xfId="0" applyFont="1" applyFill="1" applyBorder="1" applyAlignment="1">
      <alignment horizontal="center" vertical="center" wrapText="1"/>
    </xf>
    <xf numFmtId="0" fontId="12" fillId="2" borderId="96" xfId="0" applyFont="1" applyFill="1" applyBorder="1" applyAlignment="1">
      <alignment vertical="center" wrapText="1"/>
    </xf>
    <xf numFmtId="3" fontId="12" fillId="2" borderId="96" xfId="0" applyNumberFormat="1"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0" borderId="6" xfId="0" applyFont="1" applyBorder="1"/>
    <xf numFmtId="0" fontId="12" fillId="2" borderId="4" xfId="7" applyFont="1" applyFill="1" applyBorder="1" applyAlignment="1">
      <alignment vertical="center" wrapText="1"/>
    </xf>
    <xf numFmtId="0" fontId="12" fillId="0" borderId="5" xfId="7" applyFont="1" applyBorder="1" applyAlignment="1">
      <alignment horizontal="center" vertical="center"/>
    </xf>
    <xf numFmtId="0" fontId="35" fillId="0" borderId="4" xfId="0" applyFont="1" applyBorder="1" applyAlignment="1">
      <alignment horizontal="center" vertical="center"/>
    </xf>
    <xf numFmtId="0" fontId="12" fillId="0" borderId="45" xfId="0" applyFont="1" applyBorder="1" applyAlignment="1">
      <alignment horizontal="center" vertical="center"/>
    </xf>
    <xf numFmtId="0" fontId="12" fillId="0" borderId="45" xfId="0" applyFont="1" applyBorder="1" applyAlignment="1">
      <alignment vertical="center" wrapText="1"/>
    </xf>
    <xf numFmtId="0" fontId="12" fillId="0" borderId="93" xfId="0" applyFont="1" applyBorder="1" applyAlignment="1">
      <alignment horizontal="center" vertical="center"/>
    </xf>
    <xf numFmtId="179" fontId="12" fillId="2" borderId="11" xfId="0" applyNumberFormat="1" applyFont="1" applyFill="1" applyBorder="1" applyAlignment="1">
      <alignment horizontal="right" vertical="center" wrapText="1"/>
    </xf>
    <xf numFmtId="179" fontId="12" fillId="2" borderId="11" xfId="0" applyNumberFormat="1" applyFont="1" applyFill="1" applyBorder="1" applyAlignment="1">
      <alignment horizontal="center" vertical="center" wrapText="1"/>
    </xf>
    <xf numFmtId="179" fontId="12" fillId="2" borderId="4" xfId="0" applyNumberFormat="1" applyFont="1" applyFill="1" applyBorder="1" applyAlignment="1">
      <alignment horizontal="right" vertical="center" wrapText="1"/>
    </xf>
    <xf numFmtId="179" fontId="12" fillId="2" borderId="4" xfId="0" applyNumberFormat="1" applyFont="1" applyFill="1" applyBorder="1" applyAlignment="1">
      <alignment horizontal="center" vertical="center" wrapText="1"/>
    </xf>
    <xf numFmtId="179" fontId="12" fillId="2" borderId="15" xfId="0" applyNumberFormat="1" applyFont="1" applyFill="1" applyBorder="1" applyAlignment="1">
      <alignment horizontal="right" vertical="center" wrapText="1"/>
    </xf>
    <xf numFmtId="179" fontId="12" fillId="2" borderId="15" xfId="0" applyNumberFormat="1" applyFont="1" applyFill="1" applyBorder="1" applyAlignment="1">
      <alignment horizontal="center" vertical="center" wrapText="1"/>
    </xf>
    <xf numFmtId="3" fontId="12" fillId="2" borderId="6" xfId="0" applyNumberFormat="1" applyFont="1" applyFill="1" applyBorder="1" applyAlignment="1">
      <alignment horizontal="center" vertical="center" wrapText="1"/>
    </xf>
    <xf numFmtId="0" fontId="12" fillId="0" borderId="6" xfId="0" applyFont="1" applyFill="1" applyBorder="1" applyAlignment="1">
      <alignment horizontal="center" vertical="center" wrapText="1"/>
    </xf>
    <xf numFmtId="0" fontId="12" fillId="2" borderId="6" xfId="0" quotePrefix="1" applyFont="1" applyFill="1" applyBorder="1" applyAlignment="1">
      <alignment horizontal="center" vertical="center" wrapText="1"/>
    </xf>
    <xf numFmtId="0" fontId="12" fillId="2" borderId="45" xfId="0" quotePrefix="1" applyFont="1" applyFill="1" applyBorder="1" applyAlignment="1">
      <alignment horizontal="center" vertical="center" wrapText="1"/>
    </xf>
    <xf numFmtId="0" fontId="12" fillId="0" borderId="45" xfId="0" applyFont="1" applyFill="1" applyBorder="1" applyAlignment="1">
      <alignment horizontal="center" vertical="center" wrapText="1"/>
    </xf>
    <xf numFmtId="0" fontId="39" fillId="2" borderId="15" xfId="0"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45" xfId="0" applyFont="1" applyFill="1" applyBorder="1" applyAlignment="1">
      <alignment horizontal="left" vertical="center" wrapText="1"/>
    </xf>
    <xf numFmtId="0" fontId="12" fillId="2" borderId="46" xfId="0" applyFont="1" applyFill="1" applyBorder="1" applyAlignment="1">
      <alignment horizontal="center" vertical="center" wrapText="1"/>
    </xf>
    <xf numFmtId="0" fontId="12" fillId="2" borderId="61" xfId="0" applyFont="1" applyFill="1" applyBorder="1" applyAlignment="1">
      <alignment horizontal="center" vertical="center"/>
    </xf>
    <xf numFmtId="0" fontId="7" fillId="5" borderId="99" xfId="0" applyFont="1" applyFill="1" applyBorder="1" applyAlignment="1">
      <alignment horizontal="center" vertical="center" wrapText="1"/>
    </xf>
    <xf numFmtId="0" fontId="7" fillId="5" borderId="98" xfId="0" applyFont="1" applyFill="1" applyBorder="1" applyAlignment="1">
      <alignment horizontal="center" vertical="center" wrapText="1"/>
    </xf>
    <xf numFmtId="0" fontId="7" fillId="6" borderId="97" xfId="0" applyFont="1" applyFill="1" applyBorder="1" applyAlignment="1">
      <alignment horizontal="center" vertical="center" wrapText="1"/>
    </xf>
    <xf numFmtId="0" fontId="7" fillId="6" borderId="3" xfId="0" applyFont="1" applyFill="1" applyBorder="1" applyAlignment="1">
      <alignment horizontal="center" vertical="center"/>
    </xf>
    <xf numFmtId="0" fontId="7" fillId="6" borderId="66" xfId="0" applyFont="1" applyFill="1" applyBorder="1" applyAlignment="1">
      <alignment horizontal="center" vertical="center"/>
    </xf>
    <xf numFmtId="0" fontId="0" fillId="0" borderId="0" xfId="0"/>
    <xf numFmtId="0" fontId="4" fillId="0" borderId="0" xfId="0" applyFont="1"/>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left"/>
    </xf>
    <xf numFmtId="0" fontId="4" fillId="0" borderId="0" xfId="0" applyFont="1" applyAlignment="1">
      <alignment horizontal="center"/>
    </xf>
    <xf numFmtId="0" fontId="12" fillId="2" borderId="4" xfId="0" applyFont="1" applyFill="1" applyBorder="1" applyAlignment="1">
      <alignment horizontal="center" vertical="center" wrapText="1"/>
    </xf>
    <xf numFmtId="0" fontId="12" fillId="2" borderId="4"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Border="1" applyAlignment="1">
      <alignment vertical="center"/>
    </xf>
    <xf numFmtId="0" fontId="26" fillId="0" borderId="72" xfId="0" applyFont="1" applyBorder="1" applyAlignment="1">
      <alignment horizontal="center" vertical="center"/>
    </xf>
    <xf numFmtId="0" fontId="26" fillId="0" borderId="72" xfId="0" applyFont="1" applyBorder="1" applyAlignment="1">
      <alignment horizontal="center" vertical="center" wrapText="1"/>
    </xf>
    <xf numFmtId="0" fontId="26" fillId="0" borderId="72" xfId="0" applyFont="1" applyBorder="1" applyAlignment="1">
      <alignment vertical="center"/>
    </xf>
    <xf numFmtId="0" fontId="26" fillId="0" borderId="0" xfId="0" applyFont="1" applyAlignment="1">
      <alignment vertical="center"/>
    </xf>
    <xf numFmtId="0" fontId="26" fillId="0" borderId="0" xfId="0" applyFont="1" applyBorder="1" applyAlignment="1">
      <alignment horizontal="center" vertical="center"/>
    </xf>
    <xf numFmtId="0" fontId="26" fillId="0" borderId="0" xfId="0" applyFont="1" applyBorder="1" applyAlignment="1">
      <alignment horizontal="center" vertical="center" wrapText="1"/>
    </xf>
    <xf numFmtId="0" fontId="26" fillId="0" borderId="0" xfId="0" applyFont="1" applyBorder="1" applyAlignment="1">
      <alignment vertical="center"/>
    </xf>
    <xf numFmtId="0" fontId="26" fillId="0" borderId="0" xfId="0" applyFont="1" applyAlignment="1">
      <alignment horizontal="center" vertical="center"/>
    </xf>
    <xf numFmtId="0" fontId="26" fillId="0" borderId="0" xfId="0" applyFont="1" applyAlignment="1">
      <alignment horizontal="center" vertical="center" wrapText="1"/>
    </xf>
    <xf numFmtId="0" fontId="50" fillId="2" borderId="4" xfId="0" applyFont="1" applyFill="1" applyBorder="1" applyAlignment="1">
      <alignment horizontal="center" vertical="center" wrapText="1"/>
    </xf>
    <xf numFmtId="0" fontId="4" fillId="2" borderId="0" xfId="0" applyFont="1" applyFill="1"/>
    <xf numFmtId="0" fontId="12" fillId="2" borderId="4" xfId="0" applyFont="1" applyFill="1" applyBorder="1" applyAlignment="1">
      <alignment vertical="center" wrapText="1"/>
    </xf>
    <xf numFmtId="0" fontId="17" fillId="0" borderId="0" xfId="0" applyFont="1" applyBorder="1" applyAlignment="1">
      <alignment vertical="center"/>
    </xf>
    <xf numFmtId="0" fontId="27" fillId="0" borderId="0" xfId="0" applyFont="1" applyBorder="1" applyAlignment="1">
      <alignment vertical="center"/>
    </xf>
    <xf numFmtId="0" fontId="28" fillId="0" borderId="0" xfId="0" applyFont="1" applyBorder="1" applyAlignment="1">
      <alignment vertical="center"/>
    </xf>
    <xf numFmtId="0" fontId="7" fillId="6" borderId="4" xfId="0" applyFont="1" applyFill="1" applyBorder="1" applyAlignment="1">
      <alignment horizontal="center" vertical="center"/>
    </xf>
    <xf numFmtId="0" fontId="7" fillId="6"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3" fontId="12" fillId="2" borderId="4" xfId="0" applyNumberFormat="1" applyFont="1" applyFill="1" applyBorder="1" applyAlignment="1">
      <alignment horizontal="center" vertical="center" wrapText="1"/>
    </xf>
    <xf numFmtId="0" fontId="12" fillId="2" borderId="4" xfId="0" applyFont="1" applyFill="1" applyBorder="1" applyAlignment="1">
      <alignment horizontal="left" vertical="center" wrapText="1"/>
    </xf>
    <xf numFmtId="0" fontId="0" fillId="2" borderId="4" xfId="0" applyFont="1" applyFill="1" applyBorder="1" applyAlignment="1">
      <alignment horizontal="center" vertical="center"/>
    </xf>
    <xf numFmtId="0" fontId="47" fillId="2" borderId="4" xfId="0" applyFont="1" applyFill="1" applyBorder="1" applyAlignment="1">
      <alignment horizontal="center" vertical="center" wrapText="1"/>
    </xf>
    <xf numFmtId="0" fontId="47" fillId="3" borderId="4" xfId="0" applyFont="1" applyFill="1" applyBorder="1" applyAlignment="1">
      <alignment vertical="center" wrapText="1"/>
    </xf>
    <xf numFmtId="0" fontId="12" fillId="3" borderId="4" xfId="0" applyFont="1" applyFill="1" applyBorder="1" applyAlignment="1">
      <alignment vertical="center" wrapText="1"/>
    </xf>
    <xf numFmtId="0" fontId="47" fillId="3" borderId="4" xfId="0" applyFont="1" applyFill="1" applyBorder="1" applyAlignment="1">
      <alignment horizontal="left" vertical="center" wrapText="1"/>
    </xf>
    <xf numFmtId="41" fontId="12" fillId="2" borderId="4" xfId="20" applyFont="1" applyFill="1" applyBorder="1" applyAlignment="1">
      <alignment horizontal="right" vertical="center" wrapText="1"/>
    </xf>
    <xf numFmtId="0" fontId="12" fillId="2" borderId="4" xfId="0" applyFont="1" applyFill="1" applyBorder="1" applyAlignment="1">
      <alignment horizontal="right" vertical="center" wrapText="1"/>
    </xf>
    <xf numFmtId="0" fontId="12" fillId="2" borderId="4" xfId="0" applyFont="1" applyFill="1" applyBorder="1" applyAlignment="1" applyProtection="1">
      <alignment horizontal="center" vertical="center" wrapText="1"/>
      <protection locked="0"/>
    </xf>
    <xf numFmtId="0" fontId="12" fillId="11" borderId="4" xfId="0" applyFont="1" applyFill="1" applyBorder="1" applyAlignment="1">
      <alignment horizontal="center" vertical="center" wrapText="1"/>
    </xf>
    <xf numFmtId="0" fontId="12" fillId="0" borderId="4" xfId="0" applyFont="1" applyBorder="1" applyAlignment="1">
      <alignment horizontal="center" vertical="center"/>
    </xf>
    <xf numFmtId="0" fontId="12" fillId="2" borderId="0" xfId="0" applyFont="1" applyFill="1" applyBorder="1" applyAlignment="1">
      <alignment horizontal="center" vertical="center"/>
    </xf>
    <xf numFmtId="0" fontId="4" fillId="0" borderId="0" xfId="0" applyFont="1" applyBorder="1" applyAlignment="1">
      <alignment horizontal="left"/>
    </xf>
    <xf numFmtId="0" fontId="12" fillId="2" borderId="0" xfId="0" applyFont="1" applyFill="1" applyBorder="1" applyAlignment="1">
      <alignment horizontal="center" vertical="center" wrapText="1"/>
    </xf>
    <xf numFmtId="0" fontId="4" fillId="0" borderId="0" xfId="0" applyFont="1" applyBorder="1" applyAlignment="1">
      <alignment horizontal="center"/>
    </xf>
    <xf numFmtId="0" fontId="4" fillId="0" borderId="0" xfId="0" applyFont="1" applyBorder="1"/>
    <xf numFmtId="0" fontId="12" fillId="2" borderId="5" xfId="0" applyFont="1" applyFill="1" applyBorder="1" applyAlignment="1">
      <alignment horizontal="center" vertical="center"/>
    </xf>
    <xf numFmtId="0" fontId="12" fillId="2" borderId="19"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3" fontId="12" fillId="2" borderId="8" xfId="0" applyNumberFormat="1" applyFont="1" applyFill="1" applyBorder="1" applyAlignment="1">
      <alignment horizontal="center" vertical="center" wrapText="1"/>
    </xf>
    <xf numFmtId="0" fontId="12"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3" fontId="12" fillId="2" borderId="37" xfId="0" applyNumberFormat="1" applyFont="1" applyFill="1" applyBorder="1" applyAlignment="1">
      <alignment horizontal="center" vertical="center" wrapText="1"/>
    </xf>
    <xf numFmtId="0" fontId="12" fillId="2" borderId="4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90" xfId="0" applyFont="1" applyFill="1" applyBorder="1" applyAlignment="1">
      <alignment horizontal="center" vertical="center"/>
    </xf>
    <xf numFmtId="0" fontId="47" fillId="2" borderId="91" xfId="0" applyFont="1" applyFill="1" applyBorder="1" applyAlignment="1">
      <alignment horizontal="center" vertical="center" wrapText="1"/>
    </xf>
    <xf numFmtId="0" fontId="47" fillId="2" borderId="32" xfId="0" applyFont="1" applyFill="1" applyBorder="1" applyAlignment="1">
      <alignment horizontal="center" vertical="center" wrapText="1"/>
    </xf>
    <xf numFmtId="49" fontId="47" fillId="2" borderId="32" xfId="0" applyNumberFormat="1" applyFont="1" applyFill="1" applyBorder="1" applyAlignment="1">
      <alignment vertical="center" wrapText="1"/>
    </xf>
    <xf numFmtId="41" fontId="47" fillId="2" borderId="8" xfId="20" applyFont="1" applyFill="1" applyBorder="1" applyAlignment="1">
      <alignment horizontal="center" vertical="center" wrapText="1"/>
    </xf>
    <xf numFmtId="41" fontId="47" fillId="2" borderId="101" xfId="20" applyFont="1" applyFill="1" applyBorder="1" applyAlignment="1">
      <alignment horizontal="center" vertical="center" wrapText="1"/>
    </xf>
    <xf numFmtId="41" fontId="47" fillId="2" borderId="57" xfId="20" applyFont="1" applyFill="1" applyBorder="1" applyAlignment="1">
      <alignment horizontal="center" vertical="center" wrapText="1"/>
    </xf>
    <xf numFmtId="41" fontId="47" fillId="2" borderId="58" xfId="20" applyFont="1" applyFill="1" applyBorder="1" applyAlignment="1">
      <alignment horizontal="center" vertical="center" wrapText="1"/>
    </xf>
    <xf numFmtId="0" fontId="47" fillId="2" borderId="55" xfId="0" applyFont="1" applyFill="1" applyBorder="1" applyAlignment="1">
      <alignment horizontal="center" vertical="center"/>
    </xf>
    <xf numFmtId="0" fontId="47" fillId="2" borderId="5" xfId="0" applyFont="1" applyFill="1" applyBorder="1" applyAlignment="1">
      <alignment horizontal="center" vertical="center"/>
    </xf>
    <xf numFmtId="0" fontId="47" fillId="2" borderId="19" xfId="0" applyFont="1" applyFill="1" applyBorder="1" applyAlignment="1">
      <alignment horizontal="center" vertical="center" wrapText="1"/>
    </xf>
    <xf numFmtId="0" fontId="47" fillId="2" borderId="36" xfId="0" applyFont="1" applyFill="1" applyBorder="1" applyAlignment="1">
      <alignment horizontal="center" vertical="center" wrapText="1"/>
    </xf>
    <xf numFmtId="41" fontId="47" fillId="2" borderId="8" xfId="20" applyNumberFormat="1" applyFont="1" applyFill="1" applyBorder="1" applyAlignment="1">
      <alignment horizontal="right" vertical="center" wrapText="1"/>
    </xf>
    <xf numFmtId="41" fontId="47" fillId="2" borderId="101" xfId="20" applyNumberFormat="1" applyFont="1" applyFill="1" applyBorder="1" applyAlignment="1">
      <alignment horizontal="right" vertical="center" wrapText="1"/>
    </xf>
    <xf numFmtId="41" fontId="47" fillId="2" borderId="58" xfId="20" applyNumberFormat="1" applyFont="1" applyFill="1" applyBorder="1" applyAlignment="1">
      <alignment horizontal="right" vertical="center" wrapText="1"/>
    </xf>
    <xf numFmtId="0" fontId="47" fillId="2" borderId="10" xfId="0" applyFont="1" applyFill="1" applyBorder="1" applyAlignment="1">
      <alignment horizontal="center" vertical="center" wrapText="1"/>
    </xf>
    <xf numFmtId="0" fontId="12" fillId="2" borderId="78" xfId="0" applyFont="1" applyFill="1" applyBorder="1" applyAlignment="1">
      <alignment horizontal="center" vertical="center"/>
    </xf>
    <xf numFmtId="0" fontId="47" fillId="2" borderId="67" xfId="0" applyFont="1" applyFill="1" applyBorder="1" applyAlignment="1">
      <alignment horizontal="center" vertical="center" wrapText="1"/>
    </xf>
    <xf numFmtId="0" fontId="47" fillId="2" borderId="55" xfId="0" applyFont="1" applyFill="1" applyBorder="1" applyAlignment="1">
      <alignment horizontal="center" vertical="center" wrapText="1"/>
    </xf>
    <xf numFmtId="0" fontId="47" fillId="2" borderId="5" xfId="0" applyFont="1" applyFill="1" applyBorder="1" applyAlignment="1">
      <alignment horizontal="center" vertical="center" wrapText="1"/>
    </xf>
    <xf numFmtId="41" fontId="47" fillId="2" borderId="101" xfId="20" applyFont="1" applyFill="1" applyBorder="1" applyAlignment="1">
      <alignment horizontal="right" vertical="center" wrapText="1"/>
    </xf>
    <xf numFmtId="41" fontId="47" fillId="2" borderId="58" xfId="20" applyFont="1" applyFill="1" applyBorder="1" applyAlignment="1">
      <alignment horizontal="right" vertical="center" wrapText="1"/>
    </xf>
    <xf numFmtId="0" fontId="47" fillId="2" borderId="91" xfId="0" applyFont="1" applyFill="1" applyBorder="1" applyAlignment="1">
      <alignment horizontal="center" vertical="center"/>
    </xf>
    <xf numFmtId="0" fontId="47" fillId="2" borderId="67" xfId="0" applyFont="1" applyFill="1" applyBorder="1" applyAlignment="1">
      <alignment horizontal="center" vertical="center"/>
    </xf>
    <xf numFmtId="0" fontId="47" fillId="2" borderId="100" xfId="0" applyFont="1" applyFill="1" applyBorder="1" applyAlignment="1">
      <alignment horizontal="center" vertical="center"/>
    </xf>
    <xf numFmtId="41" fontId="47" fillId="2" borderId="101" xfId="20" applyFont="1" applyFill="1" applyBorder="1" applyAlignment="1">
      <alignment horizontal="center" vertical="center"/>
    </xf>
    <xf numFmtId="41" fontId="47" fillId="2" borderId="57" xfId="20" applyFont="1" applyFill="1" applyBorder="1" applyAlignment="1">
      <alignment horizontal="center" vertical="center"/>
    </xf>
    <xf numFmtId="41" fontId="47" fillId="2" borderId="58" xfId="20" applyFont="1" applyFill="1" applyBorder="1" applyAlignment="1">
      <alignment horizontal="center" vertical="center"/>
    </xf>
    <xf numFmtId="0" fontId="47" fillId="2" borderId="32" xfId="0" applyFont="1" applyFill="1" applyBorder="1" applyAlignment="1">
      <alignment vertical="center"/>
    </xf>
    <xf numFmtId="17" fontId="47" fillId="2" borderId="32" xfId="0" applyNumberFormat="1" applyFont="1" applyFill="1" applyBorder="1" applyAlignment="1">
      <alignment horizontal="center" vertical="center" wrapText="1"/>
    </xf>
    <xf numFmtId="41" fontId="47" fillId="2" borderId="8" xfId="20" applyFont="1" applyFill="1" applyBorder="1" applyAlignment="1">
      <alignment vertical="center" wrapText="1"/>
    </xf>
    <xf numFmtId="41" fontId="47" fillId="2" borderId="101" xfId="20" applyFont="1" applyFill="1" applyBorder="1" applyAlignment="1">
      <alignment vertical="center" wrapText="1"/>
    </xf>
    <xf numFmtId="41" fontId="47" fillId="2" borderId="57" xfId="20" applyFont="1" applyFill="1" applyBorder="1" applyAlignment="1">
      <alignment vertical="center" wrapText="1"/>
    </xf>
    <xf numFmtId="41" fontId="47" fillId="2" borderId="58" xfId="20" applyFont="1" applyFill="1" applyBorder="1" applyAlignment="1">
      <alignment vertical="center" wrapText="1"/>
    </xf>
    <xf numFmtId="41" fontId="47" fillId="2" borderId="101" xfId="20" applyFont="1" applyFill="1" applyBorder="1" applyAlignment="1">
      <alignment vertical="center"/>
    </xf>
    <xf numFmtId="41" fontId="47" fillId="2" borderId="57" xfId="20" applyFont="1" applyFill="1" applyBorder="1" applyAlignment="1">
      <alignment vertical="center"/>
    </xf>
    <xf numFmtId="0" fontId="47" fillId="2" borderId="57" xfId="20" applyNumberFormat="1" applyFont="1" applyFill="1" applyBorder="1" applyAlignment="1">
      <alignment vertical="center"/>
    </xf>
    <xf numFmtId="41" fontId="47" fillId="2" borderId="58" xfId="20" applyFont="1" applyFill="1" applyBorder="1" applyAlignment="1">
      <alignment vertical="center"/>
    </xf>
    <xf numFmtId="3" fontId="47" fillId="2" borderId="101" xfId="20" applyNumberFormat="1" applyFont="1" applyFill="1" applyBorder="1" applyAlignment="1">
      <alignment vertical="center" wrapText="1"/>
    </xf>
    <xf numFmtId="3" fontId="47" fillId="2" borderId="58" xfId="20" applyNumberFormat="1" applyFont="1" applyFill="1" applyBorder="1" applyAlignment="1">
      <alignment vertical="center" wrapText="1"/>
    </xf>
    <xf numFmtId="0" fontId="47" fillId="2" borderId="57" xfId="20" applyNumberFormat="1" applyFont="1" applyFill="1" applyBorder="1" applyAlignment="1">
      <alignment vertical="center" wrapText="1"/>
    </xf>
    <xf numFmtId="0" fontId="47" fillId="2" borderId="32" xfId="0" applyFont="1" applyFill="1" applyBorder="1" applyAlignment="1">
      <alignment horizontal="center" vertical="center"/>
    </xf>
    <xf numFmtId="0" fontId="47" fillId="2" borderId="32" xfId="39" applyFont="1" applyFill="1" applyBorder="1" applyAlignment="1">
      <alignment horizontal="center" vertical="center" wrapText="1"/>
    </xf>
    <xf numFmtId="0" fontId="47" fillId="2" borderId="57" xfId="20" applyNumberFormat="1" applyFont="1" applyFill="1" applyBorder="1" applyAlignment="1">
      <alignment horizontal="right" vertical="center" wrapText="1"/>
    </xf>
    <xf numFmtId="0" fontId="47" fillId="2" borderId="58" xfId="20" applyNumberFormat="1" applyFont="1" applyFill="1" applyBorder="1" applyAlignment="1">
      <alignment horizontal="right" vertical="center" wrapText="1"/>
    </xf>
    <xf numFmtId="0" fontId="47" fillId="2" borderId="57" xfId="20" applyNumberFormat="1" applyFont="1" applyFill="1" applyBorder="1" applyAlignment="1">
      <alignment horizontal="right" vertical="center"/>
    </xf>
    <xf numFmtId="0" fontId="47" fillId="2" borderId="19" xfId="0" applyFont="1" applyFill="1" applyBorder="1" applyAlignment="1">
      <alignment horizontal="center" vertical="center"/>
    </xf>
    <xf numFmtId="0" fontId="47" fillId="2" borderId="4" xfId="0" applyFont="1" applyFill="1" applyBorder="1" applyAlignment="1">
      <alignment horizontal="center" vertical="center"/>
    </xf>
    <xf numFmtId="0" fontId="47" fillId="2" borderId="36" xfId="0" applyFont="1" applyFill="1" applyBorder="1" applyAlignment="1">
      <alignment horizontal="center" vertical="center"/>
    </xf>
    <xf numFmtId="41" fontId="47" fillId="2" borderId="101" xfId="20" applyFont="1" applyFill="1" applyBorder="1" applyAlignment="1">
      <alignment horizontal="right" vertical="center"/>
    </xf>
    <xf numFmtId="41" fontId="47" fillId="2" borderId="58" xfId="20" applyFont="1" applyFill="1" applyBorder="1" applyAlignment="1">
      <alignment horizontal="right" vertical="center"/>
    </xf>
    <xf numFmtId="0" fontId="47" fillId="2" borderId="10" xfId="0" applyFont="1" applyFill="1" applyBorder="1" applyAlignment="1">
      <alignment horizontal="center" vertical="center"/>
    </xf>
    <xf numFmtId="3" fontId="47" fillId="2" borderId="101" xfId="20" applyNumberFormat="1" applyFont="1" applyFill="1" applyBorder="1" applyAlignment="1">
      <alignment horizontal="right" vertical="center" wrapText="1"/>
    </xf>
    <xf numFmtId="0" fontId="4" fillId="2" borderId="78" xfId="0" applyFont="1" applyFill="1" applyBorder="1" applyAlignment="1">
      <alignment horizontal="center"/>
    </xf>
    <xf numFmtId="0" fontId="4" fillId="2" borderId="32" xfId="0" applyFont="1" applyFill="1" applyBorder="1" applyAlignment="1">
      <alignment horizontal="center"/>
    </xf>
    <xf numFmtId="0" fontId="47" fillId="2" borderId="58" xfId="20" applyNumberFormat="1" applyFont="1" applyFill="1" applyBorder="1" applyAlignment="1">
      <alignment horizontal="center" vertical="center"/>
    </xf>
    <xf numFmtId="3" fontId="47" fillId="2" borderId="57" xfId="20" applyNumberFormat="1" applyFont="1" applyFill="1" applyBorder="1" applyAlignment="1">
      <alignment horizontal="right" vertical="center" wrapText="1"/>
    </xf>
    <xf numFmtId="0" fontId="47" fillId="2" borderId="91" xfId="38" applyFont="1" applyFill="1" applyBorder="1" applyAlignment="1">
      <alignment horizontal="center" vertical="center"/>
    </xf>
    <xf numFmtId="0" fontId="47" fillId="2" borderId="101" xfId="20" applyNumberFormat="1" applyFont="1" applyFill="1" applyBorder="1" applyAlignment="1"/>
    <xf numFmtId="0" fontId="47" fillId="2" borderId="57" xfId="20" applyNumberFormat="1" applyFont="1" applyFill="1" applyBorder="1" applyAlignment="1"/>
    <xf numFmtId="0" fontId="47" fillId="2" borderId="58" xfId="20" applyNumberFormat="1" applyFont="1" applyFill="1" applyBorder="1" applyAlignment="1"/>
    <xf numFmtId="0" fontId="47" fillId="2" borderId="100" xfId="38" applyFont="1" applyFill="1" applyBorder="1" applyAlignment="1">
      <alignment horizontal="center" vertical="center"/>
    </xf>
    <xf numFmtId="0" fontId="47" fillId="2" borderId="101" xfId="20" applyNumberFormat="1" applyFont="1" applyFill="1" applyBorder="1" applyAlignment="1">
      <alignment horizontal="center" vertical="center" wrapText="1"/>
    </xf>
    <xf numFmtId="0" fontId="47" fillId="2" borderId="57" xfId="20" applyNumberFormat="1" applyFont="1" applyFill="1" applyBorder="1" applyAlignment="1">
      <alignment horizontal="center" vertical="center" wrapText="1"/>
    </xf>
    <xf numFmtId="0" fontId="47" fillId="2" borderId="58" xfId="20" applyNumberFormat="1" applyFont="1" applyFill="1" applyBorder="1" applyAlignment="1">
      <alignment horizontal="center" vertical="center" wrapText="1"/>
    </xf>
    <xf numFmtId="0" fontId="47" fillId="2" borderId="101" xfId="20" applyNumberFormat="1" applyFont="1" applyFill="1" applyBorder="1" applyAlignment="1">
      <alignment horizontal="right" vertical="center" wrapText="1"/>
    </xf>
    <xf numFmtId="0" fontId="47" fillId="2" borderId="67" xfId="38" applyFont="1" applyFill="1" applyBorder="1" applyAlignment="1">
      <alignment horizontal="center" vertical="center"/>
    </xf>
    <xf numFmtId="41" fontId="47" fillId="2" borderId="58" xfId="20" applyFont="1" applyFill="1" applyBorder="1" applyAlignment="1">
      <alignment horizontal="right"/>
    </xf>
    <xf numFmtId="176" fontId="47" fillId="2" borderId="101" xfId="20" applyNumberFormat="1" applyFont="1" applyFill="1" applyBorder="1" applyAlignment="1">
      <alignment horizontal="right" vertical="center" wrapText="1"/>
    </xf>
    <xf numFmtId="176" fontId="47" fillId="2" borderId="57" xfId="20" applyNumberFormat="1" applyFont="1" applyFill="1" applyBorder="1" applyAlignment="1">
      <alignment horizontal="right" vertical="center" wrapText="1"/>
    </xf>
    <xf numFmtId="3" fontId="47" fillId="2" borderId="58" xfId="20" applyNumberFormat="1" applyFont="1" applyFill="1" applyBorder="1" applyAlignment="1">
      <alignment horizontal="right" vertical="center" wrapText="1"/>
    </xf>
    <xf numFmtId="3" fontId="47" fillId="2" borderId="58" xfId="20" applyNumberFormat="1" applyFont="1" applyFill="1" applyBorder="1" applyAlignment="1">
      <alignment horizontal="right" vertical="center"/>
    </xf>
    <xf numFmtId="176" fontId="47" fillId="2" borderId="101" xfId="20" applyNumberFormat="1" applyFont="1" applyFill="1" applyBorder="1" applyAlignment="1">
      <alignment horizontal="right" vertical="center"/>
    </xf>
    <xf numFmtId="176" fontId="47" fillId="2" borderId="57" xfId="20" applyNumberFormat="1" applyFont="1" applyFill="1" applyBorder="1" applyAlignment="1">
      <alignment horizontal="right" vertical="center"/>
    </xf>
    <xf numFmtId="0" fontId="47" fillId="2" borderId="58" xfId="20" applyNumberFormat="1" applyFont="1" applyFill="1" applyBorder="1" applyAlignment="1">
      <alignment horizontal="right" vertical="center"/>
    </xf>
    <xf numFmtId="0" fontId="47" fillId="2" borderId="32" xfId="0" quotePrefix="1" applyFont="1" applyFill="1" applyBorder="1" applyAlignment="1">
      <alignment horizontal="center" vertical="center" wrapText="1"/>
    </xf>
    <xf numFmtId="0" fontId="47" fillId="2" borderId="91" xfId="27" applyNumberFormat="1" applyFont="1" applyFill="1" applyBorder="1" applyAlignment="1">
      <alignment horizontal="center" vertical="center"/>
    </xf>
    <xf numFmtId="0" fontId="47" fillId="2" borderId="32" xfId="27" applyNumberFormat="1" applyFont="1" applyFill="1" applyBorder="1" applyAlignment="1" applyProtection="1">
      <alignment horizontal="center" vertical="center" wrapText="1"/>
    </xf>
    <xf numFmtId="0" fontId="47" fillId="2" borderId="32" xfId="27" applyNumberFormat="1" applyFont="1" applyFill="1" applyBorder="1" applyAlignment="1">
      <alignment horizontal="center" vertical="center" wrapText="1"/>
    </xf>
    <xf numFmtId="0" fontId="47" fillId="2" borderId="32" xfId="27" applyNumberFormat="1" applyFont="1" applyFill="1" applyBorder="1" applyAlignment="1">
      <alignment vertical="center" wrapText="1"/>
    </xf>
    <xf numFmtId="41" fontId="47" fillId="2" borderId="101" xfId="42" applyFont="1" applyFill="1" applyBorder="1" applyAlignment="1">
      <alignment horizontal="center" vertical="center" wrapText="1"/>
    </xf>
    <xf numFmtId="41" fontId="47" fillId="2" borderId="57" xfId="42" applyFont="1" applyFill="1" applyBorder="1" applyAlignment="1">
      <alignment horizontal="center" vertical="center" wrapText="1"/>
    </xf>
    <xf numFmtId="0" fontId="47" fillId="2" borderId="57" xfId="42" applyNumberFormat="1" applyFont="1" applyFill="1" applyBorder="1" applyAlignment="1">
      <alignment horizontal="right" vertical="center" wrapText="1"/>
    </xf>
    <xf numFmtId="41" fontId="47" fillId="2" borderId="58" xfId="42" applyFont="1" applyFill="1" applyBorder="1" applyAlignment="1">
      <alignment horizontal="center" vertical="center" wrapText="1"/>
    </xf>
    <xf numFmtId="0" fontId="47" fillId="2" borderId="55" xfId="27" applyFont="1" applyFill="1" applyBorder="1" applyAlignment="1">
      <alignment horizontal="center" vertical="center"/>
    </xf>
    <xf numFmtId="49" fontId="47" fillId="2" borderId="19" xfId="27" applyNumberFormat="1" applyFont="1" applyFill="1" applyBorder="1" applyAlignment="1">
      <alignment horizontal="center" vertical="center" wrapText="1"/>
    </xf>
    <xf numFmtId="0" fontId="47" fillId="2" borderId="55" xfId="27" applyNumberFormat="1" applyFont="1" applyFill="1" applyBorder="1" applyAlignment="1">
      <alignment horizontal="center" vertical="center" wrapText="1"/>
    </xf>
    <xf numFmtId="0" fontId="47" fillId="2" borderId="36" xfId="27" applyNumberFormat="1" applyFont="1" applyFill="1" applyBorder="1" applyAlignment="1">
      <alignment horizontal="center" vertical="center"/>
    </xf>
    <xf numFmtId="41" fontId="47" fillId="2" borderId="101" xfId="42" applyFont="1" applyFill="1" applyBorder="1" applyAlignment="1">
      <alignment horizontal="right" vertical="center" wrapText="1"/>
    </xf>
    <xf numFmtId="0" fontId="47" fillId="2" borderId="58" xfId="42" applyNumberFormat="1" applyFont="1" applyFill="1" applyBorder="1" applyAlignment="1">
      <alignment horizontal="right" vertical="center" wrapText="1"/>
    </xf>
    <xf numFmtId="0" fontId="47" fillId="2" borderId="10" xfId="27" applyNumberFormat="1" applyFont="1" applyFill="1" applyBorder="1" applyAlignment="1">
      <alignment horizontal="center" vertical="center" wrapText="1"/>
    </xf>
    <xf numFmtId="0" fontId="47" fillId="2" borderId="100" xfId="27" applyNumberFormat="1" applyFont="1" applyFill="1" applyBorder="1" applyAlignment="1">
      <alignment horizontal="center" vertical="center"/>
    </xf>
    <xf numFmtId="0" fontId="47" fillId="2" borderId="5" xfId="27" applyFont="1" applyFill="1" applyBorder="1" applyAlignment="1">
      <alignment horizontal="center" vertical="center"/>
    </xf>
    <xf numFmtId="0" fontId="47" fillId="2" borderId="19" xfId="27" applyNumberFormat="1" applyFont="1" applyFill="1" applyBorder="1" applyAlignment="1">
      <alignment horizontal="center" vertical="center"/>
    </xf>
    <xf numFmtId="0" fontId="47" fillId="2" borderId="32" xfId="27" applyNumberFormat="1" applyFont="1" applyFill="1" applyBorder="1" applyAlignment="1">
      <alignment horizontal="center" vertical="center"/>
    </xf>
    <xf numFmtId="0" fontId="47" fillId="2" borderId="32" xfId="27" applyNumberFormat="1" applyFont="1" applyFill="1" applyBorder="1" applyAlignment="1">
      <alignment vertical="center"/>
    </xf>
    <xf numFmtId="41" fontId="47" fillId="2" borderId="101" xfId="42" applyFont="1" applyFill="1" applyBorder="1" applyAlignment="1">
      <alignment horizontal="center" vertical="center"/>
    </xf>
    <xf numFmtId="41" fontId="47" fillId="2" borderId="57" xfId="42" applyFont="1" applyFill="1" applyBorder="1" applyAlignment="1">
      <alignment horizontal="center" vertical="center"/>
    </xf>
    <xf numFmtId="0" fontId="47" fillId="2" borderId="57" xfId="42" applyNumberFormat="1" applyFont="1" applyFill="1" applyBorder="1" applyAlignment="1">
      <alignment horizontal="right" vertical="center"/>
    </xf>
    <xf numFmtId="41" fontId="47" fillId="2" borderId="58" xfId="42" applyFont="1" applyFill="1" applyBorder="1" applyAlignment="1">
      <alignment horizontal="center" vertical="center"/>
    </xf>
    <xf numFmtId="0" fontId="47" fillId="2" borderId="67" xfId="27" applyNumberFormat="1" applyFont="1" applyFill="1" applyBorder="1" applyAlignment="1">
      <alignment horizontal="center" vertical="center"/>
    </xf>
    <xf numFmtId="0" fontId="47" fillId="2" borderId="32" xfId="27" applyNumberFormat="1" applyFont="1" applyFill="1" applyBorder="1" applyAlignment="1">
      <alignment horizontal="left" vertical="center"/>
    </xf>
    <xf numFmtId="41" fontId="53" fillId="2" borderId="8" xfId="42" applyNumberFormat="1" applyFont="1" applyFill="1" applyBorder="1" applyAlignment="1">
      <alignment horizontal="center" vertical="center" wrapText="1"/>
    </xf>
    <xf numFmtId="41" fontId="53" fillId="2" borderId="101" xfId="42" applyNumberFormat="1" applyFont="1" applyFill="1" applyBorder="1" applyAlignment="1">
      <alignment horizontal="center" vertical="center" wrapText="1"/>
    </xf>
    <xf numFmtId="41" fontId="53" fillId="2" borderId="57" xfId="42" applyNumberFormat="1" applyFont="1" applyFill="1" applyBorder="1" applyAlignment="1">
      <alignment horizontal="center" vertical="center" wrapText="1"/>
    </xf>
    <xf numFmtId="0" fontId="53" fillId="2" borderId="57" xfId="42" applyNumberFormat="1" applyFont="1" applyFill="1" applyBorder="1" applyAlignment="1">
      <alignment horizontal="right" vertical="center" wrapText="1"/>
    </xf>
    <xf numFmtId="0" fontId="47" fillId="2" borderId="55" xfId="27" applyNumberFormat="1" applyFont="1" applyFill="1" applyBorder="1" applyAlignment="1">
      <alignment horizontal="center" vertical="center"/>
    </xf>
    <xf numFmtId="0" fontId="47" fillId="2" borderId="58" xfId="42" applyNumberFormat="1" applyFont="1" applyFill="1" applyBorder="1" applyAlignment="1">
      <alignment horizontal="right" vertical="center"/>
    </xf>
    <xf numFmtId="0" fontId="47" fillId="2" borderId="10" xfId="27" applyNumberFormat="1" applyFont="1" applyFill="1" applyBorder="1" applyAlignment="1">
      <alignment horizontal="center" vertical="center"/>
    </xf>
    <xf numFmtId="0" fontId="47" fillId="2" borderId="55" xfId="0" applyFont="1" applyFill="1" applyBorder="1" applyAlignment="1">
      <alignment horizontal="center" vertical="center" shrinkToFit="1"/>
    </xf>
    <xf numFmtId="49" fontId="47" fillId="2" borderId="5" xfId="0" applyNumberFormat="1" applyFont="1" applyFill="1" applyBorder="1" applyAlignment="1">
      <alignment horizontal="center" vertical="center"/>
    </xf>
    <xf numFmtId="0" fontId="47" fillId="2" borderId="5" xfId="0" quotePrefix="1" applyFont="1" applyFill="1" applyBorder="1" applyAlignment="1">
      <alignment horizontal="center" vertical="center" wrapText="1"/>
    </xf>
    <xf numFmtId="0" fontId="12" fillId="2" borderId="33" xfId="0" applyFont="1" applyFill="1" applyBorder="1" applyAlignment="1">
      <alignment horizontal="center" vertical="center"/>
    </xf>
    <xf numFmtId="0" fontId="4" fillId="2" borderId="102" xfId="0" applyFont="1" applyFill="1" applyBorder="1" applyAlignment="1">
      <alignment horizontal="center"/>
    </xf>
    <xf numFmtId="0" fontId="47" fillId="2" borderId="103" xfId="0" applyFont="1" applyFill="1" applyBorder="1" applyAlignment="1">
      <alignment horizontal="center" vertical="center"/>
    </xf>
    <xf numFmtId="0" fontId="47" fillId="2" borderId="33" xfId="0" applyFont="1" applyFill="1" applyBorder="1" applyAlignment="1">
      <alignment horizontal="center" vertical="center" wrapText="1"/>
    </xf>
    <xf numFmtId="0" fontId="47" fillId="2" borderId="33" xfId="0" applyFont="1" applyFill="1" applyBorder="1" applyAlignment="1">
      <alignment vertical="center" wrapText="1"/>
    </xf>
    <xf numFmtId="41" fontId="47" fillId="2" borderId="12" xfId="20" applyFont="1" applyFill="1" applyBorder="1" applyAlignment="1">
      <alignment horizontal="center" vertical="center" wrapText="1"/>
    </xf>
    <xf numFmtId="41" fontId="47" fillId="2" borderId="104" xfId="20" applyFont="1" applyFill="1" applyBorder="1" applyAlignment="1">
      <alignment horizontal="center" vertical="center" wrapText="1"/>
    </xf>
    <xf numFmtId="41" fontId="47" fillId="2" borderId="63" xfId="20" applyFont="1" applyFill="1" applyBorder="1" applyAlignment="1">
      <alignment horizontal="center" vertical="center" wrapText="1"/>
    </xf>
    <xf numFmtId="0" fontId="47" fillId="2" borderId="63" xfId="20" applyNumberFormat="1" applyFont="1" applyFill="1" applyBorder="1" applyAlignment="1">
      <alignment horizontal="right" vertical="center" wrapText="1"/>
    </xf>
    <xf numFmtId="41" fontId="47" fillId="2" borderId="64" xfId="20" applyFont="1" applyFill="1" applyBorder="1" applyAlignment="1">
      <alignment horizontal="center" vertical="center" wrapText="1"/>
    </xf>
    <xf numFmtId="0" fontId="47" fillId="2" borderId="61" xfId="0" applyFont="1" applyFill="1" applyBorder="1" applyAlignment="1">
      <alignment horizontal="center" vertical="center"/>
    </xf>
    <xf numFmtId="0" fontId="47" fillId="2" borderId="13" xfId="0" applyFont="1" applyFill="1" applyBorder="1" applyAlignment="1">
      <alignment horizontal="center" vertical="center"/>
    </xf>
    <xf numFmtId="0" fontId="47" fillId="2" borderId="69" xfId="0" applyFont="1" applyFill="1" applyBorder="1" applyAlignment="1">
      <alignment horizontal="center" vertical="center" wrapText="1"/>
    </xf>
    <xf numFmtId="0" fontId="4" fillId="2" borderId="33" xfId="0" applyFont="1" applyFill="1" applyBorder="1" applyAlignment="1">
      <alignment horizontal="center"/>
    </xf>
    <xf numFmtId="0" fontId="47" fillId="2" borderId="61" xfId="0" applyFont="1" applyFill="1" applyBorder="1" applyAlignment="1">
      <alignment horizontal="center" vertical="center" wrapText="1"/>
    </xf>
    <xf numFmtId="0" fontId="47" fillId="2" borderId="15" xfId="0" applyFont="1" applyFill="1" applyBorder="1" applyAlignment="1">
      <alignment horizontal="center" vertical="center" wrapText="1"/>
    </xf>
    <xf numFmtId="0" fontId="47" fillId="2" borderId="14" xfId="0" applyFont="1" applyFill="1" applyBorder="1" applyAlignment="1">
      <alignment horizontal="center" vertical="center" wrapText="1"/>
    </xf>
    <xf numFmtId="41" fontId="47" fillId="2" borderId="12" xfId="20" applyFont="1" applyFill="1" applyBorder="1" applyAlignment="1">
      <alignment horizontal="right" vertical="center" wrapText="1"/>
    </xf>
    <xf numFmtId="41" fontId="47" fillId="2" borderId="104" xfId="20" applyFont="1" applyFill="1" applyBorder="1" applyAlignment="1">
      <alignment horizontal="right" vertical="center" wrapText="1"/>
    </xf>
    <xf numFmtId="41" fontId="47" fillId="2" borderId="64" xfId="20" applyFont="1" applyFill="1" applyBorder="1" applyAlignment="1">
      <alignment horizontal="right" vertical="center" wrapText="1"/>
    </xf>
    <xf numFmtId="0" fontId="47" fillId="2" borderId="35" xfId="0" applyFont="1" applyFill="1" applyBorder="1" applyAlignment="1">
      <alignment horizontal="center" vertical="center" wrapText="1"/>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12" fillId="2" borderId="19" xfId="0" applyFont="1" applyFill="1" applyBorder="1" applyAlignment="1">
      <alignment horizontal="center" vertical="center" wrapText="1"/>
    </xf>
    <xf numFmtId="0" fontId="12" fillId="2" borderId="19" xfId="0" applyFont="1" applyFill="1" applyBorder="1" applyAlignment="1">
      <alignment horizontal="center" vertical="center"/>
    </xf>
    <xf numFmtId="0" fontId="4" fillId="0" borderId="19" xfId="0" applyFont="1" applyBorder="1"/>
    <xf numFmtId="0" fontId="12" fillId="2" borderId="32" xfId="0" applyFont="1" applyFill="1" applyBorder="1" applyAlignment="1">
      <alignment horizontal="center" vertical="center" wrapText="1"/>
    </xf>
    <xf numFmtId="0" fontId="12"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12"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184" fontId="12" fillId="2" borderId="10" xfId="0" applyNumberFormat="1" applyFont="1" applyFill="1" applyBorder="1" applyAlignment="1">
      <alignment horizontal="center" vertical="center" wrapText="1"/>
    </xf>
    <xf numFmtId="0" fontId="12" fillId="2" borderId="36" xfId="0" applyNumberFormat="1" applyFont="1" applyFill="1" applyBorder="1" applyAlignment="1">
      <alignment horizontal="center" vertical="center" wrapText="1"/>
    </xf>
    <xf numFmtId="0" fontId="12" fillId="2" borderId="37" xfId="0" applyNumberFormat="1" applyFont="1" applyFill="1" applyBorder="1" applyAlignment="1">
      <alignment horizontal="center" vertical="center" wrapText="1"/>
    </xf>
    <xf numFmtId="0" fontId="12" fillId="2" borderId="10" xfId="0" applyNumberFormat="1" applyFont="1" applyFill="1" applyBorder="1" applyAlignment="1">
      <alignment horizontal="center" vertical="center" wrapText="1"/>
    </xf>
    <xf numFmtId="49" fontId="12" fillId="2" borderId="8" xfId="0" applyNumberFormat="1" applyFont="1" applyFill="1" applyBorder="1" applyAlignment="1">
      <alignment horizontal="center" vertical="center" wrapText="1"/>
    </xf>
    <xf numFmtId="0" fontId="12" fillId="0" borderId="76" xfId="0" applyFont="1" applyFill="1" applyBorder="1" applyAlignment="1">
      <alignment horizontal="center" vertical="center"/>
    </xf>
    <xf numFmtId="0" fontId="12" fillId="0" borderId="75" xfId="0" applyFont="1" applyFill="1" applyBorder="1" applyAlignment="1">
      <alignment horizontal="center" vertical="center" wrapText="1"/>
    </xf>
    <xf numFmtId="0" fontId="12" fillId="0" borderId="80" xfId="0" applyFont="1" applyFill="1" applyBorder="1" applyAlignment="1">
      <alignment horizontal="center" vertical="center" wrapText="1"/>
    </xf>
    <xf numFmtId="0" fontId="12" fillId="0" borderId="0" xfId="0" applyFont="1" applyFill="1" applyBorder="1" applyAlignment="1">
      <alignment horizontal="left" vertical="center" wrapText="1"/>
    </xf>
    <xf numFmtId="0" fontId="12" fillId="0" borderId="26" xfId="0" applyFont="1" applyFill="1" applyBorder="1" applyAlignment="1">
      <alignment horizontal="center" vertical="center" wrapText="1"/>
    </xf>
    <xf numFmtId="0" fontId="12" fillId="0" borderId="82" xfId="0" applyFont="1" applyFill="1" applyBorder="1" applyAlignment="1">
      <alignment horizontal="center" vertical="center" wrapText="1"/>
    </xf>
    <xf numFmtId="0" fontId="12" fillId="0" borderId="84" xfId="0" applyFont="1" applyFill="1" applyBorder="1" applyAlignment="1">
      <alignment horizontal="center" vertical="center" wrapText="1"/>
    </xf>
    <xf numFmtId="0" fontId="12" fillId="0" borderId="85" xfId="0" applyFont="1" applyFill="1" applyBorder="1" applyAlignment="1">
      <alignment horizontal="center" vertical="center" wrapText="1"/>
    </xf>
    <xf numFmtId="0" fontId="12" fillId="0" borderId="86" xfId="0" applyFont="1" applyFill="1" applyBorder="1" applyAlignment="1">
      <alignment horizontal="center" vertical="center" wrapText="1"/>
    </xf>
    <xf numFmtId="0" fontId="50" fillId="0" borderId="77" xfId="0" applyFont="1" applyFill="1" applyBorder="1" applyAlignment="1">
      <alignment horizontal="center" vertical="center" wrapText="1"/>
    </xf>
    <xf numFmtId="0" fontId="50" fillId="0" borderId="88" xfId="0" applyFont="1" applyFill="1" applyBorder="1" applyAlignment="1">
      <alignment horizontal="center" vertical="center" wrapText="1"/>
    </xf>
    <xf numFmtId="0" fontId="12" fillId="0" borderId="93" xfId="0" applyFont="1" applyFill="1" applyBorder="1" applyAlignment="1">
      <alignment horizontal="center" vertical="center" wrapText="1"/>
    </xf>
    <xf numFmtId="0" fontId="12" fillId="0" borderId="89" xfId="0" applyFont="1" applyFill="1" applyBorder="1" applyAlignment="1">
      <alignment horizontal="center" vertical="center" wrapText="1"/>
    </xf>
    <xf numFmtId="0" fontId="12" fillId="0" borderId="92" xfId="0" applyFont="1" applyFill="1" applyBorder="1" applyAlignment="1">
      <alignment horizontal="center" vertical="center" wrapText="1"/>
    </xf>
    <xf numFmtId="0" fontId="12" fillId="0" borderId="45" xfId="0" applyFont="1" applyFill="1" applyBorder="1" applyAlignment="1">
      <alignment horizontal="center" vertical="center" wrapText="1"/>
    </xf>
    <xf numFmtId="3" fontId="12" fillId="2" borderId="10" xfId="0" applyNumberFormat="1" applyFont="1" applyFill="1" applyBorder="1" applyAlignment="1">
      <alignment horizontal="center" vertical="center" wrapText="1"/>
    </xf>
    <xf numFmtId="3" fontId="12" fillId="2" borderId="32" xfId="0" applyNumberFormat="1" applyFont="1" applyFill="1" applyBorder="1" applyAlignment="1">
      <alignment horizontal="center" vertical="center" wrapText="1"/>
    </xf>
    <xf numFmtId="0" fontId="12" fillId="0" borderId="10" xfId="0" applyFont="1" applyFill="1" applyBorder="1" applyAlignment="1">
      <alignment horizontal="center" vertical="center" wrapText="1"/>
    </xf>
    <xf numFmtId="41" fontId="12" fillId="2" borderId="32" xfId="20" applyFont="1" applyFill="1" applyBorder="1" applyAlignment="1">
      <alignment horizontal="center" vertical="center" wrapText="1"/>
    </xf>
    <xf numFmtId="0" fontId="12" fillId="2" borderId="60" xfId="0" applyFont="1" applyFill="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19" xfId="0" applyFont="1" applyBorder="1" applyAlignment="1">
      <alignment horizontal="center" vertical="center"/>
    </xf>
    <xf numFmtId="0" fontId="4" fillId="0" borderId="32" xfId="0" applyFont="1" applyBorder="1" applyAlignment="1">
      <alignment horizontal="center" vertical="center" wrapText="1"/>
    </xf>
    <xf numFmtId="0" fontId="4" fillId="0" borderId="19" xfId="0" applyFont="1" applyBorder="1" applyAlignment="1">
      <alignment horizontal="left" vertical="center" wrapText="1"/>
    </xf>
    <xf numFmtId="0" fontId="4" fillId="0" borderId="10" xfId="0" applyFont="1" applyBorder="1" applyAlignment="1">
      <alignment horizontal="center" vertical="center" wrapText="1"/>
    </xf>
    <xf numFmtId="41" fontId="4" fillId="0" borderId="8" xfId="20" applyFont="1" applyBorder="1" applyAlignment="1">
      <alignment horizontal="center" vertical="center"/>
    </xf>
    <xf numFmtId="41" fontId="12" fillId="2" borderId="105" xfId="20" applyFont="1" applyFill="1" applyBorder="1" applyAlignment="1">
      <alignment horizontal="center" vertical="center" wrapText="1"/>
    </xf>
    <xf numFmtId="41" fontId="12" fillId="2" borderId="37" xfId="20" applyFont="1" applyFill="1" applyBorder="1" applyAlignment="1">
      <alignment horizontal="center" vertical="center" wrapText="1"/>
    </xf>
    <xf numFmtId="41" fontId="12" fillId="2" borderId="10" xfId="20" applyFont="1" applyFill="1" applyBorder="1" applyAlignment="1">
      <alignment horizontal="center" vertical="center" wrapText="1"/>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8" xfId="0" applyFont="1" applyBorder="1" applyAlignment="1">
      <alignment horizontal="left"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2" borderId="32" xfId="0" applyFont="1" applyFill="1" applyBorder="1" applyAlignment="1">
      <alignment horizontal="center" vertical="center" wrapText="1"/>
    </xf>
    <xf numFmtId="0" fontId="4" fillId="2" borderId="19" xfId="0" applyFont="1" applyFill="1" applyBorder="1" applyAlignment="1">
      <alignment horizontal="left" vertical="center" wrapText="1"/>
    </xf>
    <xf numFmtId="0" fontId="4" fillId="2" borderId="10" xfId="0" applyFont="1" applyFill="1" applyBorder="1" applyAlignment="1">
      <alignment horizontal="center" vertical="center" wrapText="1"/>
    </xf>
    <xf numFmtId="41" fontId="4" fillId="2" borderId="8" xfId="0" applyNumberFormat="1" applyFont="1" applyFill="1" applyBorder="1" applyAlignment="1">
      <alignment horizontal="center" vertical="center" wrapText="1"/>
    </xf>
    <xf numFmtId="41" fontId="4" fillId="2" borderId="36" xfId="0" applyNumberFormat="1" applyFont="1" applyFill="1" applyBorder="1" applyAlignment="1">
      <alignment horizontal="center" vertical="center" wrapText="1"/>
    </xf>
    <xf numFmtId="41" fontId="4" fillId="2" borderId="37" xfId="0" applyNumberFormat="1" applyFont="1" applyFill="1" applyBorder="1" applyAlignment="1">
      <alignment horizontal="center" vertical="center" wrapText="1"/>
    </xf>
    <xf numFmtId="0" fontId="4" fillId="2" borderId="44"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89" xfId="0" applyFont="1" applyFill="1" applyBorder="1" applyAlignment="1">
      <alignment horizontal="center" vertical="center" wrapText="1"/>
    </xf>
    <xf numFmtId="0" fontId="4" fillId="2" borderId="80"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4" fillId="2" borderId="26" xfId="0" applyFont="1" applyFill="1" applyBorder="1" applyAlignment="1">
      <alignment horizontal="center" vertical="center" wrapText="1"/>
    </xf>
    <xf numFmtId="41" fontId="4" fillId="2" borderId="77" xfId="0" applyNumberFormat="1" applyFont="1" applyFill="1" applyBorder="1" applyAlignment="1">
      <alignment horizontal="center" vertical="center" wrapText="1"/>
    </xf>
    <xf numFmtId="41" fontId="4" fillId="2" borderId="82" xfId="0" applyNumberFormat="1" applyFont="1" applyFill="1" applyBorder="1" applyAlignment="1">
      <alignment horizontal="center" vertical="center" wrapText="1"/>
    </xf>
    <xf numFmtId="41" fontId="4" fillId="2" borderId="84" xfId="0" applyNumberFormat="1" applyFont="1" applyFill="1" applyBorder="1" applyAlignment="1">
      <alignment horizontal="center" vertical="center" wrapText="1"/>
    </xf>
    <xf numFmtId="0" fontId="4" fillId="2" borderId="77" xfId="0" applyFont="1" applyFill="1" applyBorder="1" applyAlignment="1">
      <alignment horizontal="center" vertical="center" wrapText="1"/>
    </xf>
    <xf numFmtId="0" fontId="4" fillId="2" borderId="75" xfId="0" applyFont="1" applyFill="1" applyBorder="1" applyAlignment="1">
      <alignment horizontal="center" vertical="center" wrapText="1"/>
    </xf>
    <xf numFmtId="0" fontId="50" fillId="2" borderId="92" xfId="0" applyFont="1" applyFill="1" applyBorder="1" applyAlignment="1">
      <alignment vertical="center" wrapText="1"/>
    </xf>
    <xf numFmtId="0" fontId="54" fillId="2" borderId="10" xfId="0" applyFont="1" applyFill="1" applyBorder="1" applyAlignment="1">
      <alignment horizontal="center" vertical="center" wrapText="1"/>
    </xf>
    <xf numFmtId="0" fontId="12" fillId="2" borderId="10" xfId="8" applyFont="1" applyFill="1" applyBorder="1" applyAlignment="1">
      <alignment horizontal="center" vertical="center" wrapText="1"/>
    </xf>
    <xf numFmtId="0" fontId="6" fillId="2" borderId="4" xfId="0" applyNumberFormat="1" applyFont="1" applyFill="1" applyBorder="1" applyAlignment="1" applyProtection="1">
      <alignment vertical="center" wrapText="1"/>
      <protection locked="0"/>
    </xf>
    <xf numFmtId="3" fontId="12" fillId="2" borderId="8" xfId="0" applyNumberFormat="1" applyFont="1" applyFill="1" applyBorder="1" applyAlignment="1">
      <alignment horizontal="center" vertical="center" wrapText="1"/>
    </xf>
    <xf numFmtId="3" fontId="12" fillId="2" borderId="37" xfId="0" applyNumberFormat="1" applyFont="1" applyFill="1" applyBorder="1" applyAlignment="1">
      <alignment horizontal="center" vertical="center" wrapText="1"/>
    </xf>
    <xf numFmtId="0" fontId="67" fillId="11" borderId="5" xfId="0" applyFont="1" applyFill="1" applyBorder="1" applyAlignment="1">
      <alignment horizontal="left" vertical="center" wrapText="1"/>
    </xf>
    <xf numFmtId="0" fontId="12" fillId="0" borderId="4" xfId="0" applyFont="1" applyBorder="1" applyAlignment="1">
      <alignment horizontal="center" vertical="center"/>
    </xf>
    <xf numFmtId="3" fontId="12" fillId="2" borderId="36" xfId="0" applyNumberFormat="1"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6" xfId="0" applyFont="1" applyFill="1" applyBorder="1" applyAlignment="1">
      <alignment horizontal="center" vertical="center"/>
    </xf>
    <xf numFmtId="0" fontId="12" fillId="2" borderId="18" xfId="0" applyFont="1" applyFill="1" applyBorder="1" applyAlignment="1">
      <alignment horizontal="center" vertical="center" wrapText="1"/>
    </xf>
    <xf numFmtId="0" fontId="12" fillId="2" borderId="31" xfId="0" applyFont="1" applyFill="1" applyBorder="1" applyAlignment="1">
      <alignment horizontal="center" vertical="center" wrapText="1"/>
    </xf>
    <xf numFmtId="0" fontId="12" fillId="2" borderId="18" xfId="0" applyFont="1" applyFill="1" applyBorder="1" applyAlignment="1">
      <alignment horizontal="left" vertical="center" wrapText="1"/>
    </xf>
    <xf numFmtId="0" fontId="12" fillId="2" borderId="34" xfId="0" applyFont="1" applyFill="1" applyBorder="1" applyAlignment="1">
      <alignment horizontal="center" vertical="center" wrapText="1"/>
    </xf>
    <xf numFmtId="3" fontId="12" fillId="2" borderId="9" xfId="0" applyNumberFormat="1" applyFont="1" applyFill="1" applyBorder="1" applyAlignment="1">
      <alignment horizontal="center" vertical="center" wrapText="1"/>
    </xf>
    <xf numFmtId="0" fontId="12" fillId="2" borderId="67" xfId="0" applyFont="1" applyFill="1" applyBorder="1" applyAlignment="1">
      <alignment horizontal="center" vertical="center" wrapText="1"/>
    </xf>
    <xf numFmtId="0" fontId="12" fillId="2" borderId="38" xfId="0" applyFont="1" applyFill="1" applyBorder="1" applyAlignment="1">
      <alignment horizontal="center" vertical="center" wrapText="1"/>
    </xf>
    <xf numFmtId="3" fontId="12" fillId="2" borderId="38" xfId="0" applyNumberFormat="1" applyFont="1" applyFill="1" applyBorder="1" applyAlignment="1">
      <alignment horizontal="center" vertical="center" wrapText="1"/>
    </xf>
    <xf numFmtId="0" fontId="12" fillId="2" borderId="43" xfId="0" applyFont="1" applyFill="1" applyBorder="1" applyAlignment="1">
      <alignment horizontal="center" vertical="center" wrapText="1"/>
    </xf>
    <xf numFmtId="0" fontId="50" fillId="2" borderId="9" xfId="0" applyFont="1" applyFill="1" applyBorder="1" applyAlignment="1">
      <alignment horizontal="center" vertical="center" wrapText="1"/>
    </xf>
    <xf numFmtId="0" fontId="50" fillId="2" borderId="67" xfId="0" applyFont="1" applyFill="1" applyBorder="1" applyAlignment="1">
      <alignment horizontal="center" vertical="center" wrapText="1"/>
    </xf>
    <xf numFmtId="0" fontId="50" fillId="2" borderId="5" xfId="0" applyFont="1" applyFill="1" applyBorder="1" applyAlignment="1">
      <alignment horizontal="center" vertical="center" wrapText="1"/>
    </xf>
    <xf numFmtId="0" fontId="50" fillId="2" borderId="18" xfId="0" applyFont="1" applyFill="1" applyBorder="1" applyAlignment="1">
      <alignment horizontal="center" vertical="center" wrapText="1"/>
    </xf>
    <xf numFmtId="0" fontId="0" fillId="2" borderId="8" xfId="0" applyFont="1" applyFill="1" applyBorder="1" applyAlignment="1">
      <alignment horizontal="center" vertical="center"/>
    </xf>
    <xf numFmtId="0" fontId="47" fillId="2" borderId="34" xfId="0" applyFont="1" applyFill="1" applyBorder="1" applyAlignment="1">
      <alignment horizontal="center" vertical="center" wrapText="1"/>
    </xf>
    <xf numFmtId="3" fontId="47" fillId="2" borderId="34" xfId="0" applyNumberFormat="1" applyFont="1" applyFill="1" applyBorder="1" applyAlignment="1">
      <alignment horizontal="center" vertical="center" wrapText="1"/>
    </xf>
    <xf numFmtId="3" fontId="47" fillId="2" borderId="31" xfId="0" applyNumberFormat="1" applyFont="1" applyFill="1" applyBorder="1" applyAlignment="1">
      <alignment horizontal="center" vertical="center" wrapText="1"/>
    </xf>
    <xf numFmtId="0" fontId="50" fillId="2" borderId="4" xfId="0" applyFont="1" applyFill="1" applyBorder="1" applyAlignment="1">
      <alignment horizontal="center" vertical="center" wrapText="1"/>
    </xf>
    <xf numFmtId="0" fontId="50" fillId="2" borderId="10" xfId="0" applyFont="1" applyFill="1" applyBorder="1" applyAlignment="1">
      <alignment horizontal="center" vertical="center" wrapText="1"/>
    </xf>
    <xf numFmtId="0" fontId="12" fillId="2" borderId="55" xfId="0" applyFont="1" applyFill="1" applyBorder="1" applyAlignment="1">
      <alignment horizontal="center" vertical="center" wrapText="1"/>
    </xf>
    <xf numFmtId="0" fontId="39" fillId="2" borderId="5" xfId="0" applyFont="1" applyFill="1" applyBorder="1" applyAlignment="1">
      <alignment horizontal="center" vertical="center" wrapText="1"/>
    </xf>
    <xf numFmtId="0" fontId="12" fillId="2" borderId="36" xfId="0" applyFont="1" applyFill="1" applyBorder="1" applyAlignment="1">
      <alignment horizontal="center" vertical="center"/>
    </xf>
    <xf numFmtId="0" fontId="12" fillId="2" borderId="37"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44" xfId="0" applyFont="1" applyFill="1" applyBorder="1" applyAlignment="1">
      <alignment horizontal="center" vertical="center"/>
    </xf>
    <xf numFmtId="0" fontId="31" fillId="2" borderId="19" xfId="0" applyFont="1" applyFill="1" applyBorder="1" applyAlignment="1">
      <alignment horizontal="left" vertical="center" wrapText="1"/>
    </xf>
    <xf numFmtId="0" fontId="12" fillId="2" borderId="7" xfId="0" applyFont="1" applyFill="1" applyBorder="1" applyAlignment="1">
      <alignment horizontal="center" vertical="center"/>
    </xf>
    <xf numFmtId="0" fontId="12" fillId="2" borderId="18" xfId="0" applyFont="1" applyFill="1" applyBorder="1" applyAlignment="1">
      <alignment vertical="center" wrapText="1"/>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39" fillId="2" borderId="4" xfId="0" applyFont="1" applyFill="1" applyBorder="1" applyAlignment="1">
      <alignment horizontal="center" vertical="center" wrapText="1"/>
    </xf>
    <xf numFmtId="0" fontId="39" fillId="2" borderId="5" xfId="0" applyFont="1" applyFill="1" applyBorder="1" applyAlignment="1">
      <alignment horizontal="center" vertical="center"/>
    </xf>
    <xf numFmtId="0" fontId="39" fillId="2" borderId="4" xfId="0" applyFont="1" applyFill="1" applyBorder="1" applyAlignment="1">
      <alignment horizontal="center" vertical="center"/>
    </xf>
    <xf numFmtId="0" fontId="39" fillId="2" borderId="8" xfId="0" applyFont="1" applyFill="1" applyBorder="1" applyAlignment="1">
      <alignment horizontal="center" vertical="center"/>
    </xf>
    <xf numFmtId="0" fontId="39" fillId="2" borderId="19" xfId="0" applyFont="1" applyFill="1" applyBorder="1" applyAlignment="1">
      <alignment vertical="center" wrapText="1"/>
    </xf>
    <xf numFmtId="0" fontId="39" fillId="2" borderId="10" xfId="0" applyFont="1" applyFill="1" applyBorder="1" applyAlignment="1">
      <alignment horizontal="center" vertical="center" wrapText="1"/>
    </xf>
    <xf numFmtId="0" fontId="39" fillId="2" borderId="8" xfId="0" applyFont="1" applyFill="1" applyBorder="1" applyAlignment="1">
      <alignment horizontal="center" vertical="center" wrapText="1"/>
    </xf>
    <xf numFmtId="0" fontId="39" fillId="2" borderId="32" xfId="0" applyFont="1" applyFill="1" applyBorder="1" applyAlignment="1">
      <alignment horizontal="center" vertical="center" wrapText="1"/>
    </xf>
    <xf numFmtId="0" fontId="39" fillId="2" borderId="36" xfId="0" applyFont="1" applyFill="1" applyBorder="1" applyAlignment="1">
      <alignment horizontal="center" vertical="center" wrapText="1"/>
    </xf>
    <xf numFmtId="0" fontId="39" fillId="2" borderId="37" xfId="0" applyFont="1" applyFill="1" applyBorder="1" applyAlignment="1">
      <alignment horizontal="center" vertical="center" wrapText="1"/>
    </xf>
    <xf numFmtId="0" fontId="39" fillId="2" borderId="19" xfId="0" applyFont="1" applyFill="1" applyBorder="1" applyAlignment="1">
      <alignment horizontal="center" vertical="center" wrapText="1"/>
    </xf>
    <xf numFmtId="0" fontId="39" fillId="2" borderId="44" xfId="0" applyFont="1" applyFill="1" applyBorder="1" applyAlignment="1">
      <alignment horizontal="center" vertical="center" wrapText="1"/>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39" fillId="2" borderId="5"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12" fillId="2" borderId="19" xfId="0" applyFont="1" applyFill="1" applyBorder="1" applyAlignment="1">
      <alignment horizontal="center" vertical="center"/>
    </xf>
    <xf numFmtId="0" fontId="12" fillId="2" borderId="19" xfId="39"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2" borderId="32" xfId="0" applyFont="1" applyFill="1" applyBorder="1" applyAlignment="1">
      <alignment horizontal="center" vertical="center"/>
    </xf>
    <xf numFmtId="0" fontId="12" fillId="2" borderId="19" xfId="0" applyFont="1" applyFill="1" applyBorder="1" applyAlignment="1">
      <alignment vertical="center" wrapText="1"/>
    </xf>
    <xf numFmtId="0" fontId="12" fillId="2" borderId="19" xfId="0" applyFont="1" applyFill="1" applyBorder="1" applyAlignment="1">
      <alignment vertical="center"/>
    </xf>
    <xf numFmtId="49" fontId="12" fillId="2" borderId="19" xfId="0" applyNumberFormat="1" applyFont="1" applyFill="1" applyBorder="1" applyAlignment="1">
      <alignment vertical="center" wrapText="1"/>
    </xf>
    <xf numFmtId="0" fontId="39" fillId="2" borderId="19" xfId="0" applyFont="1" applyFill="1" applyBorder="1" applyAlignment="1">
      <alignment vertical="center" wrapText="1"/>
    </xf>
    <xf numFmtId="0" fontId="12" fillId="2" borderId="32" xfId="39" applyFont="1" applyFill="1" applyBorder="1" applyAlignment="1">
      <alignment horizontal="center" vertical="center" wrapText="1"/>
    </xf>
    <xf numFmtId="0" fontId="12" fillId="2" borderId="10" xfId="0" applyFont="1" applyFill="1" applyBorder="1" applyAlignment="1">
      <alignment horizontal="center" vertical="center" wrapText="1"/>
    </xf>
    <xf numFmtId="0" fontId="39"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9" fillId="2" borderId="8"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39" fillId="2" borderId="32" xfId="0" applyFont="1" applyFill="1" applyBorder="1" applyAlignment="1">
      <alignment horizontal="center" vertical="center" wrapText="1"/>
    </xf>
    <xf numFmtId="0" fontId="12" fillId="2" borderId="36" xfId="0" applyFont="1" applyFill="1" applyBorder="1" applyAlignment="1">
      <alignment horizontal="center" vertical="center" wrapText="1"/>
    </xf>
    <xf numFmtId="0" fontId="12" fillId="2" borderId="36" xfId="0" applyFont="1" applyFill="1" applyBorder="1" applyAlignment="1">
      <alignment horizontal="center" vertical="center"/>
    </xf>
    <xf numFmtId="0" fontId="39" fillId="2" borderId="36" xfId="0" applyFont="1" applyFill="1" applyBorder="1" applyAlignment="1">
      <alignment horizontal="center" vertical="center" wrapText="1"/>
    </xf>
    <xf numFmtId="0" fontId="48"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37" xfId="0" applyFont="1" applyFill="1" applyBorder="1" applyAlignment="1">
      <alignment horizontal="center" vertical="center"/>
    </xf>
    <xf numFmtId="0" fontId="39" fillId="2" borderId="37" xfId="0" applyFont="1" applyFill="1" applyBorder="1" applyAlignment="1">
      <alignment horizontal="center" vertical="center" wrapText="1"/>
    </xf>
    <xf numFmtId="0" fontId="48" fillId="2" borderId="37" xfId="0" applyFont="1" applyFill="1" applyBorder="1" applyAlignment="1">
      <alignment horizontal="center" vertical="center" wrapText="1"/>
    </xf>
    <xf numFmtId="3" fontId="12" fillId="2" borderId="37" xfId="0" applyNumberFormat="1" applyFont="1" applyFill="1" applyBorder="1" applyAlignment="1">
      <alignment horizontal="center" vertical="center"/>
    </xf>
    <xf numFmtId="0" fontId="12" fillId="2" borderId="10" xfId="0" applyFont="1" applyFill="1" applyBorder="1" applyAlignment="1">
      <alignment horizontal="center" vertical="center"/>
    </xf>
    <xf numFmtId="0" fontId="48" fillId="2" borderId="10" xfId="0" applyFont="1" applyFill="1" applyBorder="1" applyAlignment="1">
      <alignment horizontal="center" vertical="center" wrapText="1"/>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39" fillId="2" borderId="19" xfId="0" applyFont="1" applyFill="1" applyBorder="1" applyAlignment="1">
      <alignment horizontal="center" vertical="center" wrapText="1"/>
    </xf>
    <xf numFmtId="0" fontId="48" fillId="2" borderId="19" xfId="0" applyFont="1" applyFill="1" applyBorder="1" applyAlignment="1">
      <alignment horizontal="center" vertical="center" wrapText="1"/>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0" fontId="12" fillId="2" borderId="44" xfId="0" applyFont="1" applyFill="1" applyBorder="1" applyAlignment="1">
      <alignment horizontal="center" vertical="center"/>
    </xf>
    <xf numFmtId="0" fontId="39" fillId="2" borderId="44" xfId="0" applyFont="1" applyFill="1" applyBorder="1" applyAlignment="1">
      <alignment horizontal="center" vertical="center" wrapText="1"/>
    </xf>
    <xf numFmtId="0" fontId="48" fillId="2" borderId="44" xfId="0" applyFont="1" applyFill="1" applyBorder="1" applyAlignment="1">
      <alignment horizontal="center" vertical="center" wrapText="1"/>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19" xfId="0" applyFont="1" applyBorder="1" applyAlignment="1">
      <alignment horizontal="center" vertical="center"/>
    </xf>
    <xf numFmtId="0" fontId="12" fillId="0" borderId="32" xfId="0" applyFont="1" applyBorder="1" applyAlignment="1">
      <alignment horizontal="center" vertical="center" wrapText="1"/>
    </xf>
    <xf numFmtId="0" fontId="12" fillId="0" borderId="19" xfId="0" applyFont="1" applyBorder="1" applyAlignment="1">
      <alignment horizontal="left" vertical="center" wrapText="1"/>
    </xf>
    <xf numFmtId="0" fontId="12" fillId="0" borderId="10" xfId="0" applyFont="1" applyBorder="1" applyAlignment="1">
      <alignment horizontal="center" vertical="center"/>
    </xf>
    <xf numFmtId="0" fontId="12" fillId="0" borderId="8"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44" xfId="0" applyFont="1" applyBorder="1" applyAlignment="1">
      <alignment horizontal="center" vertical="center"/>
    </xf>
    <xf numFmtId="0" fontId="12" fillId="0" borderId="32" xfId="0" applyFont="1" applyBorder="1" applyAlignment="1">
      <alignment horizontal="center" vertical="center"/>
    </xf>
    <xf numFmtId="0" fontId="12" fillId="0" borderId="19" xfId="0" applyFont="1" applyBorder="1" applyAlignment="1">
      <alignment vertical="center"/>
    </xf>
    <xf numFmtId="0" fontId="12" fillId="0" borderId="19" xfId="0" applyFont="1" applyBorder="1" applyAlignment="1">
      <alignment vertical="center" wrapText="1"/>
    </xf>
    <xf numFmtId="0" fontId="12" fillId="0" borderId="10" xfId="0" applyFont="1" applyBorder="1" applyAlignment="1">
      <alignment vertical="center"/>
    </xf>
    <xf numFmtId="0" fontId="12" fillId="0" borderId="44" xfId="0" applyFont="1" applyBorder="1" applyAlignment="1">
      <alignment vertical="center"/>
    </xf>
    <xf numFmtId="0" fontId="12" fillId="0" borderId="8" xfId="0" applyFont="1" applyBorder="1" applyAlignment="1">
      <alignment vertical="center"/>
    </xf>
    <xf numFmtId="0" fontId="12" fillId="0" borderId="5" xfId="0" applyFont="1" applyBorder="1" applyAlignment="1">
      <alignment vertical="center"/>
    </xf>
    <xf numFmtId="0" fontId="12" fillId="0" borderId="4" xfId="0" applyFont="1" applyBorder="1" applyAlignment="1">
      <alignment vertical="center"/>
    </xf>
    <xf numFmtId="0" fontId="12" fillId="0" borderId="32" xfId="0" applyFont="1" applyBorder="1" applyAlignment="1">
      <alignment vertical="center"/>
    </xf>
    <xf numFmtId="0" fontId="12" fillId="0" borderId="32" xfId="0" applyFont="1" applyBorder="1" applyAlignment="1">
      <alignment vertical="center" wrapText="1"/>
    </xf>
    <xf numFmtId="0" fontId="12" fillId="0" borderId="10" xfId="0" applyFont="1" applyBorder="1" applyAlignment="1">
      <alignment vertical="center" wrapText="1"/>
    </xf>
    <xf numFmtId="0" fontId="0" fillId="0" borderId="0" xfId="0"/>
    <xf numFmtId="0" fontId="5"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8" xfId="0" applyFont="1" applyFill="1" applyBorder="1" applyAlignment="1">
      <alignment horizontal="center" vertical="center"/>
    </xf>
    <xf numFmtId="0" fontId="7" fillId="6" borderId="1"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Border="1" applyAlignment="1">
      <alignment vertical="center"/>
    </xf>
    <xf numFmtId="0" fontId="39" fillId="2" borderId="5" xfId="0" applyFont="1" applyFill="1" applyBorder="1" applyAlignment="1">
      <alignment horizontal="center" vertical="center" wrapText="1"/>
    </xf>
    <xf numFmtId="0" fontId="12" fillId="2" borderId="12" xfId="0" applyFont="1" applyFill="1" applyBorder="1" applyAlignment="1">
      <alignment horizontal="center" vertical="center"/>
    </xf>
    <xf numFmtId="0" fontId="12" fillId="2" borderId="19" xfId="0" applyFont="1" applyFill="1" applyBorder="1" applyAlignment="1">
      <alignment horizontal="center" vertical="center" wrapText="1"/>
    </xf>
    <xf numFmtId="0" fontId="12" fillId="2" borderId="19" xfId="0" applyFont="1" applyFill="1" applyBorder="1" applyAlignment="1">
      <alignment horizontal="center" vertical="center"/>
    </xf>
    <xf numFmtId="0" fontId="12" fillId="2" borderId="32" xfId="0" applyFont="1" applyFill="1" applyBorder="1" applyAlignment="1">
      <alignment horizontal="center" vertical="center" wrapText="1"/>
    </xf>
    <xf numFmtId="0" fontId="12" fillId="2" borderId="32" xfId="0" applyFont="1" applyFill="1" applyBorder="1" applyAlignment="1">
      <alignment horizontal="center" vertical="center"/>
    </xf>
    <xf numFmtId="0" fontId="12" fillId="2" borderId="19" xfId="0" applyFont="1" applyFill="1" applyBorder="1" applyAlignment="1">
      <alignment vertical="center" wrapText="1"/>
    </xf>
    <xf numFmtId="0" fontId="39" fillId="2" borderId="19" xfId="0" applyFont="1" applyFill="1" applyBorder="1" applyAlignment="1">
      <alignment vertical="center" wrapText="1"/>
    </xf>
    <xf numFmtId="0" fontId="12" fillId="2" borderId="10" xfId="0" applyFont="1" applyFill="1" applyBorder="1" applyAlignment="1">
      <alignment horizontal="center" vertical="center" wrapText="1"/>
    </xf>
    <xf numFmtId="0" fontId="39" fillId="2" borderId="10"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9" fillId="2" borderId="8"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21" xfId="0" applyFont="1" applyFill="1" applyBorder="1" applyAlignment="1">
      <alignment horizontal="center" vertical="center"/>
    </xf>
    <xf numFmtId="0" fontId="17" fillId="0" borderId="20" xfId="0" applyFont="1" applyBorder="1" applyAlignment="1">
      <alignment vertical="center"/>
    </xf>
    <xf numFmtId="0" fontId="39" fillId="2" borderId="32" xfId="0" applyFont="1" applyFill="1" applyBorder="1" applyAlignment="1">
      <alignment horizontal="center" vertical="center" wrapText="1"/>
    </xf>
    <xf numFmtId="0" fontId="12" fillId="2" borderId="36" xfId="0" applyFont="1" applyFill="1" applyBorder="1" applyAlignment="1">
      <alignment horizontal="center" vertical="center" wrapText="1"/>
    </xf>
    <xf numFmtId="0" fontId="12" fillId="2" borderId="36" xfId="0" applyFont="1" applyFill="1" applyBorder="1" applyAlignment="1">
      <alignment horizontal="center" vertical="center"/>
    </xf>
    <xf numFmtId="0" fontId="39" fillId="2" borderId="3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37" xfId="0" applyFont="1" applyFill="1" applyBorder="1" applyAlignment="1">
      <alignment horizontal="center" vertical="center"/>
    </xf>
    <xf numFmtId="0" fontId="39" fillId="2" borderId="37" xfId="0" applyFont="1" applyFill="1" applyBorder="1" applyAlignment="1">
      <alignment horizontal="center" vertical="center" wrapText="1"/>
    </xf>
    <xf numFmtId="0" fontId="12" fillId="2" borderId="10" xfId="0" applyFont="1" applyFill="1" applyBorder="1" applyAlignment="1">
      <alignment horizontal="center" vertical="center"/>
    </xf>
    <xf numFmtId="0" fontId="7" fillId="6" borderId="39" xfId="0" applyFont="1" applyFill="1" applyBorder="1" applyAlignment="1">
      <alignment horizontal="center" vertical="center" wrapText="1"/>
    </xf>
    <xf numFmtId="0" fontId="7" fillId="6" borderId="40" xfId="0" applyFont="1" applyFill="1" applyBorder="1" applyAlignment="1">
      <alignment horizontal="center" vertical="center" wrapText="1"/>
    </xf>
    <xf numFmtId="0" fontId="7" fillId="6" borderId="30" xfId="0" applyFont="1" applyFill="1" applyBorder="1" applyAlignment="1">
      <alignment horizontal="center" vertical="center" wrapText="1"/>
    </xf>
    <xf numFmtId="0" fontId="27" fillId="0" borderId="20" xfId="0" applyFont="1" applyBorder="1" applyAlignment="1">
      <alignment vertical="center"/>
    </xf>
    <xf numFmtId="0" fontId="28" fillId="0" borderId="20" xfId="0" applyFont="1" applyBorder="1" applyAlignment="1">
      <alignment vertical="center"/>
    </xf>
    <xf numFmtId="0" fontId="39" fillId="2" borderId="19" xfId="0" applyFont="1" applyFill="1" applyBorder="1" applyAlignment="1">
      <alignment horizontal="center" vertical="center" wrapText="1"/>
    </xf>
    <xf numFmtId="0" fontId="7" fillId="6" borderId="42" xfId="0" applyFont="1" applyFill="1" applyBorder="1" applyAlignment="1">
      <alignment horizontal="center" vertical="center" wrapText="1"/>
    </xf>
    <xf numFmtId="0" fontId="12" fillId="2" borderId="44" xfId="0" applyFont="1" applyFill="1" applyBorder="1" applyAlignment="1">
      <alignment horizontal="center" vertical="center" wrapText="1"/>
    </xf>
    <xf numFmtId="0" fontId="12" fillId="2" borderId="44" xfId="0" applyFont="1" applyFill="1" applyBorder="1" applyAlignment="1">
      <alignment horizontal="center" vertical="center"/>
    </xf>
    <xf numFmtId="0" fontId="39" fillId="2" borderId="44" xfId="0" applyFont="1" applyFill="1" applyBorder="1" applyAlignment="1">
      <alignment horizontal="center" vertical="center" wrapText="1"/>
    </xf>
    <xf numFmtId="0" fontId="12" fillId="2" borderId="17" xfId="0" applyFont="1" applyFill="1" applyBorder="1" applyAlignment="1">
      <alignment horizontal="center" vertical="center"/>
    </xf>
    <xf numFmtId="0" fontId="68" fillId="0" borderId="11" xfId="0" applyFont="1" applyFill="1" applyBorder="1" applyAlignment="1">
      <alignment horizontal="center" vertical="center"/>
    </xf>
    <xf numFmtId="0" fontId="68" fillId="0" borderId="16" xfId="0" applyFont="1" applyFill="1" applyBorder="1" applyAlignment="1">
      <alignment horizontal="center" vertical="center"/>
    </xf>
    <xf numFmtId="0" fontId="68" fillId="0" borderId="51" xfId="0" applyFont="1" applyFill="1" applyBorder="1" applyAlignment="1">
      <alignment horizontal="center" vertical="center" wrapText="1"/>
    </xf>
    <xf numFmtId="0" fontId="68" fillId="0" borderId="48" xfId="0" applyFont="1" applyFill="1" applyBorder="1" applyAlignment="1">
      <alignment horizontal="center" vertical="center" wrapText="1"/>
    </xf>
    <xf numFmtId="0" fontId="68" fillId="0" borderId="106" xfId="0" applyFont="1" applyFill="1" applyBorder="1" applyAlignment="1">
      <alignment vertical="center" wrapText="1"/>
    </xf>
    <xf numFmtId="0" fontId="68" fillId="0" borderId="53" xfId="0" applyFont="1" applyFill="1" applyBorder="1" applyAlignment="1">
      <alignment horizontal="center" vertical="center" wrapText="1"/>
    </xf>
    <xf numFmtId="0" fontId="68" fillId="0" borderId="17" xfId="0" applyFont="1" applyFill="1" applyBorder="1" applyAlignment="1">
      <alignment horizontal="center" vertical="center" wrapText="1"/>
    </xf>
    <xf numFmtId="0" fontId="68" fillId="0" borderId="47" xfId="0" applyFont="1" applyFill="1" applyBorder="1" applyAlignment="1">
      <alignment horizontal="center" vertical="center" wrapText="1"/>
    </xf>
    <xf numFmtId="0" fontId="68" fillId="0" borderId="50" xfId="0" applyFont="1" applyFill="1" applyBorder="1" applyAlignment="1">
      <alignment horizontal="center" vertical="center" wrapText="1"/>
    </xf>
    <xf numFmtId="0" fontId="68" fillId="0" borderId="52" xfId="0" applyFont="1" applyFill="1" applyBorder="1" applyAlignment="1">
      <alignment horizontal="center" vertical="center" wrapText="1"/>
    </xf>
    <xf numFmtId="0" fontId="4" fillId="0" borderId="51" xfId="0" applyFont="1" applyBorder="1"/>
    <xf numFmtId="0" fontId="68" fillId="0" borderId="16" xfId="0" applyFont="1" applyFill="1" applyBorder="1" applyAlignment="1">
      <alignment horizontal="center" vertical="center" wrapText="1"/>
    </xf>
    <xf numFmtId="0" fontId="68" fillId="0" borderId="11" xfId="0" applyFont="1" applyFill="1" applyBorder="1" applyAlignment="1">
      <alignment horizontal="center" vertical="center" wrapText="1"/>
    </xf>
    <xf numFmtId="0" fontId="12" fillId="2" borderId="32" xfId="0" applyFont="1" applyFill="1" applyBorder="1" applyAlignment="1">
      <alignment horizontal="left" vertical="center" wrapText="1"/>
    </xf>
    <xf numFmtId="176" fontId="12" fillId="2" borderId="8" xfId="0" applyNumberFormat="1" applyFont="1" applyFill="1" applyBorder="1" applyAlignment="1">
      <alignment horizontal="center" vertical="center" wrapText="1"/>
    </xf>
    <xf numFmtId="176" fontId="12" fillId="2" borderId="94" xfId="0" applyNumberFormat="1" applyFont="1" applyFill="1" applyBorder="1" applyAlignment="1">
      <alignment horizontal="center" vertical="center" wrapText="1"/>
    </xf>
    <xf numFmtId="176" fontId="12" fillId="2" borderId="37" xfId="0" applyNumberFormat="1" applyFont="1" applyFill="1" applyBorder="1" applyAlignment="1">
      <alignment horizontal="center" vertical="center" wrapText="1"/>
    </xf>
    <xf numFmtId="176" fontId="12" fillId="2" borderId="95"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48" xfId="0" applyFont="1" applyFill="1" applyBorder="1" applyAlignment="1">
      <alignment horizontal="center" vertical="center" wrapText="1"/>
    </xf>
    <xf numFmtId="0" fontId="12" fillId="2" borderId="55" xfId="0" applyFont="1" applyFill="1" applyBorder="1" applyAlignment="1">
      <alignment horizontal="center" vertical="center" wrapText="1"/>
    </xf>
    <xf numFmtId="0" fontId="12" fillId="2" borderId="15" xfId="0" applyFont="1" applyFill="1" applyBorder="1" applyAlignment="1">
      <alignment horizontal="center" vertical="center"/>
    </xf>
    <xf numFmtId="0" fontId="12" fillId="2" borderId="69" xfId="0" applyFont="1" applyFill="1" applyBorder="1" applyAlignment="1">
      <alignment horizontal="center" vertical="center" wrapText="1"/>
    </xf>
    <xf numFmtId="0" fontId="12" fillId="2" borderId="33" xfId="0" applyFont="1" applyFill="1" applyBorder="1" applyAlignment="1">
      <alignment horizontal="center" vertical="center" wrapText="1"/>
    </xf>
    <xf numFmtId="0" fontId="68" fillId="0" borderId="69" xfId="0" applyFont="1" applyFill="1" applyBorder="1" applyAlignment="1">
      <alignment vertical="center" wrapText="1"/>
    </xf>
    <xf numFmtId="0" fontId="12" fillId="2" borderId="35" xfId="0" applyFont="1" applyFill="1" applyBorder="1" applyAlignment="1">
      <alignment horizontal="center" vertical="center" wrapText="1"/>
    </xf>
    <xf numFmtId="41" fontId="12" fillId="2" borderId="14" xfId="0" applyNumberFormat="1" applyFont="1" applyFill="1" applyBorder="1" applyAlignment="1">
      <alignment horizontal="center" vertical="center" wrapText="1"/>
    </xf>
    <xf numFmtId="41" fontId="12" fillId="2" borderId="70" xfId="0" applyNumberFormat="1" applyFont="1" applyFill="1" applyBorder="1" applyAlignment="1">
      <alignment horizontal="center" vertical="center" wrapText="1"/>
    </xf>
    <xf numFmtId="41" fontId="12" fillId="2" borderId="35" xfId="0" applyNumberFormat="1" applyFont="1" applyFill="1" applyBorder="1" applyAlignment="1">
      <alignment horizontal="center" vertical="center" wrapText="1"/>
    </xf>
    <xf numFmtId="0" fontId="12" fillId="2" borderId="7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0" borderId="8" xfId="0" applyFont="1" applyFill="1" applyBorder="1" applyAlignment="1">
      <alignment horizontal="center" vertical="center"/>
    </xf>
    <xf numFmtId="0" fontId="12" fillId="0" borderId="4"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19" xfId="0" applyFont="1" applyFill="1" applyBorder="1" applyAlignment="1">
      <alignment horizontal="center" vertical="center" wrapText="1"/>
    </xf>
    <xf numFmtId="0" fontId="12" fillId="0" borderId="32" xfId="0" applyFont="1" applyFill="1" applyBorder="1" applyAlignment="1">
      <alignment horizontal="center" vertical="center" wrapText="1"/>
    </xf>
    <xf numFmtId="0" fontId="12" fillId="0" borderId="19" xfId="0" applyFont="1" applyFill="1" applyBorder="1" applyAlignment="1">
      <alignment vertical="center" wrapText="1"/>
    </xf>
    <xf numFmtId="0" fontId="12" fillId="0" borderId="10"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36" xfId="0" quotePrefix="1" applyFont="1" applyFill="1" applyBorder="1" applyAlignment="1">
      <alignment horizontal="center" vertical="center" wrapText="1"/>
    </xf>
    <xf numFmtId="0" fontId="12" fillId="0" borderId="37" xfId="0" applyFont="1" applyFill="1" applyBorder="1" applyAlignment="1">
      <alignment horizontal="center" vertical="center" wrapText="1"/>
    </xf>
    <xf numFmtId="0" fontId="12" fillId="0" borderId="37" xfId="0" quotePrefix="1" applyFont="1" applyFill="1" applyBorder="1" applyAlignment="1">
      <alignment horizontal="center" vertical="center" wrapText="1"/>
    </xf>
    <xf numFmtId="0" fontId="12" fillId="0" borderId="44"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2" borderId="60" xfId="0" applyFont="1" applyFill="1" applyBorder="1" applyAlignment="1">
      <alignment vertical="center" wrapText="1"/>
    </xf>
    <xf numFmtId="41" fontId="12" fillId="2" borderId="10" xfId="20" applyFont="1" applyFill="1" applyBorder="1" applyAlignment="1">
      <alignment horizontal="center" vertical="center" wrapText="1"/>
    </xf>
    <xf numFmtId="41" fontId="12" fillId="2" borderId="32" xfId="20" applyFont="1" applyFill="1" applyBorder="1" applyAlignment="1">
      <alignment horizontal="center" vertical="center" wrapText="1"/>
    </xf>
    <xf numFmtId="3" fontId="12" fillId="2" borderId="8" xfId="0" applyNumberFormat="1" applyFont="1" applyFill="1" applyBorder="1" applyAlignment="1">
      <alignment horizontal="center" vertical="center" wrapText="1"/>
    </xf>
    <xf numFmtId="3" fontId="12" fillId="2" borderId="37" xfId="0" applyNumberFormat="1" applyFont="1" applyFill="1" applyBorder="1" applyAlignment="1">
      <alignment horizontal="center" vertical="center" wrapText="1"/>
    </xf>
    <xf numFmtId="0" fontId="6" fillId="2" borderId="107" xfId="40" applyFont="1" applyFill="1" applyBorder="1" applyAlignment="1">
      <alignment horizontal="center" vertical="center" wrapText="1" readingOrder="1"/>
    </xf>
    <xf numFmtId="185" fontId="12" fillId="2" borderId="108" xfId="0" applyNumberFormat="1" applyFont="1" applyFill="1" applyBorder="1" applyAlignment="1">
      <alignment horizontal="center" vertical="center" wrapText="1"/>
    </xf>
    <xf numFmtId="185" fontId="12" fillId="2" borderId="108" xfId="0" applyNumberFormat="1" applyFont="1" applyFill="1" applyBorder="1" applyAlignment="1">
      <alignment vertical="center" wrapText="1"/>
    </xf>
    <xf numFmtId="0" fontId="12" fillId="2" borderId="8" xfId="46" applyFont="1" applyFill="1" applyBorder="1" applyAlignment="1">
      <alignment horizontal="center" vertical="center"/>
    </xf>
    <xf numFmtId="0" fontId="12" fillId="2" borderId="4" xfId="46" applyFont="1" applyFill="1" applyBorder="1" applyAlignment="1">
      <alignment horizontal="center" vertical="center"/>
    </xf>
    <xf numFmtId="0" fontId="12" fillId="2" borderId="5" xfId="46" applyFont="1" applyFill="1" applyBorder="1" applyAlignment="1">
      <alignment horizontal="center" vertical="center"/>
    </xf>
    <xf numFmtId="0" fontId="12" fillId="2" borderId="19" xfId="46" applyFont="1" applyFill="1" applyBorder="1" applyAlignment="1">
      <alignment horizontal="center" vertical="center"/>
    </xf>
    <xf numFmtId="0" fontId="12" fillId="2" borderId="32" xfId="46" applyFont="1" applyFill="1" applyBorder="1" applyAlignment="1">
      <alignment horizontal="center" vertical="center" wrapText="1"/>
    </xf>
    <xf numFmtId="0" fontId="12" fillId="2" borderId="19" xfId="46" applyFont="1" applyFill="1" applyBorder="1" applyAlignment="1">
      <alignment vertical="center" wrapText="1"/>
    </xf>
    <xf numFmtId="0" fontId="12" fillId="2" borderId="10" xfId="46" applyFont="1" applyFill="1" applyBorder="1" applyAlignment="1">
      <alignment horizontal="center" vertical="center" wrapText="1"/>
    </xf>
    <xf numFmtId="0" fontId="12" fillId="2" borderId="8" xfId="46" applyFont="1" applyFill="1" applyBorder="1" applyAlignment="1">
      <alignment horizontal="center" vertical="center" wrapText="1"/>
    </xf>
    <xf numFmtId="0" fontId="12" fillId="2" borderId="37" xfId="46" applyFont="1" applyFill="1" applyBorder="1" applyAlignment="1">
      <alignment horizontal="center" vertical="center"/>
    </xf>
    <xf numFmtId="0" fontId="12" fillId="2" borderId="10" xfId="46" applyFont="1" applyFill="1" applyBorder="1" applyAlignment="1">
      <alignment horizontal="center" vertical="center"/>
    </xf>
    <xf numFmtId="0" fontId="12" fillId="2" borderId="44" xfId="46" applyFont="1" applyFill="1" applyBorder="1" applyAlignment="1">
      <alignment horizontal="center" vertical="center"/>
    </xf>
    <xf numFmtId="0" fontId="12" fillId="2" borderId="5" xfId="46" applyFont="1" applyFill="1" applyBorder="1" applyAlignment="1">
      <alignment horizontal="center" vertical="center" wrapText="1"/>
    </xf>
    <xf numFmtId="0" fontId="12" fillId="2" borderId="4" xfId="46" applyFont="1" applyFill="1" applyBorder="1" applyAlignment="1">
      <alignment horizontal="center" vertical="center" wrapText="1"/>
    </xf>
    <xf numFmtId="0" fontId="4" fillId="0" borderId="0" xfId="46" applyFont="1"/>
    <xf numFmtId="0" fontId="12" fillId="2" borderId="19" xfId="0" quotePrefix="1" applyFont="1" applyFill="1" applyBorder="1" applyAlignment="1">
      <alignment vertical="center" wrapText="1"/>
    </xf>
    <xf numFmtId="185" fontId="12" fillId="2" borderId="109" xfId="0" applyNumberFormat="1" applyFont="1" applyFill="1" applyBorder="1" applyAlignment="1">
      <alignment horizontal="center" vertical="center" wrapText="1"/>
    </xf>
    <xf numFmtId="185" fontId="12" fillId="2" borderId="110" xfId="0" applyNumberFormat="1" applyFont="1" applyFill="1" applyBorder="1" applyAlignment="1">
      <alignment horizontal="center" vertical="center" wrapText="1"/>
    </xf>
    <xf numFmtId="185" fontId="12" fillId="2" borderId="111" xfId="0" applyNumberFormat="1" applyFont="1" applyFill="1" applyBorder="1" applyAlignment="1">
      <alignment horizontal="center" vertical="center" wrapText="1"/>
    </xf>
    <xf numFmtId="185" fontId="12" fillId="2" borderId="112" xfId="0" applyNumberFormat="1" applyFont="1" applyFill="1" applyBorder="1" applyAlignment="1">
      <alignment horizontal="center" vertical="center" wrapText="1"/>
    </xf>
    <xf numFmtId="0" fontId="68" fillId="0" borderId="10" xfId="0" applyFont="1" applyFill="1" applyBorder="1" applyAlignment="1">
      <alignment horizontal="center" vertical="center" wrapText="1"/>
    </xf>
    <xf numFmtId="0" fontId="68" fillId="0" borderId="32" xfId="0" applyFont="1" applyFill="1" applyBorder="1" applyAlignment="1">
      <alignment horizontal="center" vertical="center" wrapText="1"/>
    </xf>
    <xf numFmtId="0" fontId="12" fillId="2" borderId="13" xfId="0" applyFont="1" applyFill="1" applyBorder="1" applyAlignment="1">
      <alignment horizontal="center" vertical="center"/>
    </xf>
    <xf numFmtId="0" fontId="12" fillId="2" borderId="69" xfId="0" applyFont="1" applyFill="1" applyBorder="1" applyAlignment="1">
      <alignment horizontal="left" vertical="center" wrapText="1"/>
    </xf>
    <xf numFmtId="0" fontId="12" fillId="2" borderId="14" xfId="0" applyFont="1" applyFill="1" applyBorder="1" applyAlignment="1">
      <alignment horizontal="center" vertical="center" wrapText="1"/>
    </xf>
    <xf numFmtId="0" fontId="12" fillId="2" borderId="70" xfId="0" applyFont="1" applyFill="1" applyBorder="1" applyAlignment="1">
      <alignment horizontal="center" vertical="center" wrapText="1"/>
    </xf>
    <xf numFmtId="41" fontId="12" fillId="2" borderId="36" xfId="20" applyFont="1" applyFill="1" applyBorder="1" applyAlignment="1">
      <alignment horizontal="center" vertical="center"/>
    </xf>
    <xf numFmtId="41" fontId="12" fillId="2" borderId="37" xfId="20" applyFont="1" applyFill="1" applyBorder="1" applyAlignment="1">
      <alignment horizontal="center" vertical="center"/>
    </xf>
    <xf numFmtId="0" fontId="68" fillId="2" borderId="107" xfId="0" applyFont="1" applyFill="1" applyBorder="1" applyAlignment="1">
      <alignment horizontal="left" vertical="center" wrapText="1"/>
    </xf>
    <xf numFmtId="0" fontId="68" fillId="2" borderId="19" xfId="0" applyFont="1" applyFill="1" applyBorder="1" applyAlignment="1">
      <alignment vertical="center" wrapText="1"/>
    </xf>
    <xf numFmtId="0" fontId="12" fillId="0" borderId="15" xfId="0" applyFont="1" applyFill="1" applyBorder="1" applyAlignment="1">
      <alignment horizontal="center" vertical="center"/>
    </xf>
    <xf numFmtId="0" fontId="12" fillId="0" borderId="15" xfId="0" applyFont="1" applyFill="1" applyBorder="1" applyAlignment="1">
      <alignment horizontal="center" vertical="center" wrapText="1"/>
    </xf>
    <xf numFmtId="0" fontId="19" fillId="0" borderId="15" xfId="0" applyFont="1" applyFill="1" applyBorder="1" applyAlignment="1">
      <alignment horizontal="left" vertical="center" wrapText="1"/>
    </xf>
    <xf numFmtId="0" fontId="22" fillId="0" borderId="15"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47" fillId="0" borderId="15" xfId="0" applyFont="1" applyFill="1" applyBorder="1" applyAlignment="1">
      <alignment horizontal="center" vertical="center" wrapText="1"/>
    </xf>
    <xf numFmtId="0" fontId="53" fillId="0" borderId="15" xfId="0" applyFont="1" applyFill="1" applyBorder="1" applyAlignment="1">
      <alignment horizontal="center" vertical="center" wrapText="1"/>
    </xf>
    <xf numFmtId="0" fontId="47" fillId="0" borderId="13" xfId="0" applyFont="1" applyFill="1" applyBorder="1" applyAlignment="1">
      <alignment horizontal="center" vertical="center" wrapText="1"/>
    </xf>
    <xf numFmtId="0" fontId="12" fillId="0" borderId="12" xfId="0" applyFont="1" applyFill="1" applyBorder="1" applyAlignment="1">
      <alignment horizontal="center" vertical="center" wrapText="1"/>
    </xf>
    <xf numFmtId="41" fontId="12" fillId="2" borderId="12" xfId="0" applyNumberFormat="1" applyFont="1" applyFill="1" applyBorder="1" applyAlignment="1">
      <alignment horizontal="left" vertical="center" wrapText="1"/>
    </xf>
    <xf numFmtId="0" fontId="39" fillId="2" borderId="8" xfId="0" applyFont="1" applyFill="1" applyBorder="1" applyAlignment="1">
      <alignment horizontal="center" vertical="center"/>
    </xf>
    <xf numFmtId="0" fontId="39" fillId="2" borderId="4" xfId="0" applyFont="1" applyFill="1" applyBorder="1" applyAlignment="1">
      <alignment horizontal="center" vertical="center"/>
    </xf>
    <xf numFmtId="0" fontId="39" fillId="2" borderId="5" xfId="0" applyFont="1" applyFill="1" applyBorder="1" applyAlignment="1">
      <alignment horizontal="center" vertical="center"/>
    </xf>
    <xf numFmtId="0" fontId="60" fillId="0" borderId="0" xfId="0" applyFont="1"/>
    <xf numFmtId="0" fontId="39" fillId="2" borderId="4" xfId="0" applyFont="1" applyFill="1" applyBorder="1" applyAlignment="1">
      <alignment horizontal="center" vertical="center" wrapText="1"/>
    </xf>
    <xf numFmtId="41" fontId="12" fillId="2" borderId="8" xfId="20" applyFont="1" applyFill="1" applyBorder="1" applyAlignment="1">
      <alignment vertical="center" wrapText="1"/>
    </xf>
    <xf numFmtId="0" fontId="12" fillId="2" borderId="69" xfId="0" applyFont="1" applyFill="1" applyBorder="1" applyAlignment="1">
      <alignment vertical="center" wrapText="1"/>
    </xf>
    <xf numFmtId="0" fontId="8" fillId="5" borderId="22" xfId="0" applyFont="1" applyFill="1" applyBorder="1" applyAlignment="1">
      <alignment horizontal="left" vertical="center" wrapText="1"/>
    </xf>
    <xf numFmtId="0" fontId="8" fillId="5" borderId="23" xfId="0" applyFont="1" applyFill="1" applyBorder="1" applyAlignment="1">
      <alignment horizontal="left" vertical="center" wrapText="1"/>
    </xf>
    <xf numFmtId="0" fontId="8" fillId="5" borderId="24" xfId="0" applyFont="1" applyFill="1" applyBorder="1" applyAlignment="1">
      <alignment horizontal="left" vertical="center" wrapText="1"/>
    </xf>
    <xf numFmtId="0" fontId="8" fillId="5" borderId="25" xfId="0" applyFont="1" applyFill="1" applyBorder="1" applyAlignment="1">
      <alignment horizontal="left" vertical="center" wrapText="1"/>
    </xf>
    <xf numFmtId="0" fontId="8" fillId="5" borderId="0" xfId="0" applyFont="1" applyFill="1" applyBorder="1" applyAlignment="1">
      <alignment horizontal="left" vertical="center" wrapText="1"/>
    </xf>
    <xf numFmtId="0" fontId="8" fillId="5" borderId="26" xfId="0" applyFont="1" applyFill="1" applyBorder="1" applyAlignment="1">
      <alignment horizontal="left" vertical="center" wrapText="1"/>
    </xf>
    <xf numFmtId="0" fontId="8" fillId="5" borderId="27" xfId="0" applyFont="1" applyFill="1" applyBorder="1" applyAlignment="1">
      <alignment horizontal="left" vertical="center" wrapText="1"/>
    </xf>
    <xf numFmtId="0" fontId="8" fillId="5" borderId="20" xfId="0" applyFont="1" applyFill="1" applyBorder="1" applyAlignment="1">
      <alignment horizontal="left" vertical="center" wrapText="1"/>
    </xf>
    <xf numFmtId="0" fontId="8" fillId="5" borderId="28" xfId="0" applyFont="1" applyFill="1" applyBorder="1" applyAlignment="1">
      <alignment horizontal="left" vertical="center" wrapText="1"/>
    </xf>
    <xf numFmtId="0" fontId="4" fillId="3" borderId="22" xfId="0" applyFont="1" applyFill="1" applyBorder="1" applyAlignment="1">
      <alignment horizontal="left" vertical="center" wrapText="1"/>
    </xf>
    <xf numFmtId="0" fontId="4" fillId="3" borderId="23" xfId="0" applyFont="1" applyFill="1" applyBorder="1" applyAlignment="1">
      <alignment horizontal="left" vertical="center" wrapText="1"/>
    </xf>
    <xf numFmtId="0" fontId="4" fillId="3" borderId="24" xfId="0" applyFont="1" applyFill="1" applyBorder="1" applyAlignment="1">
      <alignment horizontal="left" vertical="center" wrapText="1"/>
    </xf>
    <xf numFmtId="0" fontId="4" fillId="3" borderId="27"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10" fillId="7" borderId="0" xfId="0" applyFont="1" applyFill="1" applyAlignment="1">
      <alignment horizontal="center"/>
    </xf>
    <xf numFmtId="0" fontId="15" fillId="7" borderId="0" xfId="0" applyFont="1" applyFill="1" applyAlignment="1">
      <alignment horizontal="center"/>
    </xf>
    <xf numFmtId="0" fontId="6" fillId="7" borderId="0" xfId="0" applyFont="1" applyFill="1" applyAlignment="1">
      <alignment horizontal="right" vertical="center"/>
    </xf>
    <xf numFmtId="3" fontId="28" fillId="4" borderId="41" xfId="0" applyNumberFormat="1" applyFont="1" applyFill="1" applyBorder="1" applyAlignment="1">
      <alignment horizontal="center" vertical="center"/>
    </xf>
    <xf numFmtId="3" fontId="28" fillId="4" borderId="29" xfId="0" applyNumberFormat="1" applyFont="1" applyFill="1" applyBorder="1" applyAlignment="1">
      <alignment horizontal="center" vertical="center"/>
    </xf>
    <xf numFmtId="3" fontId="28" fillId="4" borderId="30" xfId="0" applyNumberFormat="1" applyFont="1" applyFill="1" applyBorder="1" applyAlignment="1">
      <alignment horizontal="center" vertical="center"/>
    </xf>
    <xf numFmtId="0" fontId="7" fillId="4" borderId="41" xfId="0" applyFont="1" applyFill="1" applyBorder="1" applyAlignment="1">
      <alignment horizontal="center" vertical="center"/>
    </xf>
    <xf numFmtId="0" fontId="7" fillId="4" borderId="30" xfId="0" applyFont="1" applyFill="1" applyBorder="1" applyAlignment="1">
      <alignment horizontal="center" vertical="center"/>
    </xf>
    <xf numFmtId="0" fontId="10" fillId="0" borderId="0" xfId="0" applyFont="1" applyBorder="1" applyAlignment="1">
      <alignment horizontal="center"/>
    </xf>
    <xf numFmtId="0" fontId="24" fillId="0" borderId="20" xfId="0" applyFont="1" applyBorder="1" applyAlignment="1">
      <alignment horizontal="center" vertical="center"/>
    </xf>
    <xf numFmtId="0" fontId="5" fillId="0" borderId="20" xfId="0" applyFont="1" applyBorder="1" applyAlignment="1">
      <alignment horizontal="center" vertical="center"/>
    </xf>
    <xf numFmtId="0" fontId="28" fillId="4" borderId="22" xfId="0" applyFont="1" applyFill="1" applyBorder="1" applyAlignment="1">
      <alignment horizontal="center" vertical="center"/>
    </xf>
    <xf numFmtId="0" fontId="28" fillId="4" borderId="23" xfId="0" applyFont="1" applyFill="1" applyBorder="1" applyAlignment="1">
      <alignment horizontal="center" vertical="center"/>
    </xf>
    <xf numFmtId="0" fontId="28" fillId="4" borderId="24"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24" xfId="0" applyFont="1" applyFill="1" applyBorder="1" applyAlignment="1">
      <alignment horizontal="center" vertical="center"/>
    </xf>
    <xf numFmtId="0" fontId="24" fillId="0" borderId="0" xfId="0" applyFont="1" applyBorder="1" applyAlignment="1">
      <alignment horizontal="center" vertical="center"/>
    </xf>
    <xf numFmtId="0" fontId="5" fillId="0" borderId="0" xfId="0" applyFont="1" applyBorder="1" applyAlignment="1">
      <alignment horizontal="center" vertical="center"/>
    </xf>
    <xf numFmtId="0" fontId="28" fillId="4" borderId="41" xfId="0" applyFont="1" applyFill="1" applyBorder="1" applyAlignment="1">
      <alignment horizontal="center" vertical="center"/>
    </xf>
    <xf numFmtId="0" fontId="28" fillId="4" borderId="29" xfId="0" applyFont="1" applyFill="1" applyBorder="1" applyAlignment="1">
      <alignment horizontal="center" vertical="center"/>
    </xf>
    <xf numFmtId="0" fontId="28" fillId="4" borderId="30" xfId="0" applyFont="1" applyFill="1" applyBorder="1" applyAlignment="1">
      <alignment horizontal="center" vertical="center"/>
    </xf>
    <xf numFmtId="0" fontId="36" fillId="9" borderId="41" xfId="0" applyFont="1" applyFill="1" applyBorder="1" applyAlignment="1">
      <alignment horizontal="center" vertical="center"/>
    </xf>
    <xf numFmtId="0" fontId="36" fillId="9" borderId="30" xfId="0" applyFont="1" applyFill="1" applyBorder="1" applyAlignment="1">
      <alignment horizontal="center" vertical="center"/>
    </xf>
    <xf numFmtId="0" fontId="37" fillId="0" borderId="0" xfId="0" applyFont="1" applyBorder="1" applyAlignment="1">
      <alignment horizontal="center"/>
    </xf>
    <xf numFmtId="0" fontId="34" fillId="0" borderId="20" xfId="0" applyFont="1" applyBorder="1" applyAlignment="1">
      <alignment horizontal="center" vertical="center"/>
    </xf>
    <xf numFmtId="0" fontId="28" fillId="9" borderId="41" xfId="0" applyFont="1" applyFill="1" applyBorder="1" applyAlignment="1">
      <alignment horizontal="center" vertical="center"/>
    </xf>
    <xf numFmtId="0" fontId="28" fillId="9" borderId="29" xfId="0" applyFont="1" applyFill="1" applyBorder="1" applyAlignment="1">
      <alignment horizontal="center" vertical="center"/>
    </xf>
    <xf numFmtId="0" fontId="28" fillId="9" borderId="30" xfId="0" applyFont="1" applyFill="1" applyBorder="1" applyAlignment="1">
      <alignment horizontal="center" vertical="center"/>
    </xf>
    <xf numFmtId="3" fontId="47" fillId="0" borderId="81" xfId="0" applyNumberFormat="1" applyFont="1" applyFill="1" applyBorder="1" applyAlignment="1">
      <alignment horizontal="center" vertical="center" wrapText="1"/>
    </xf>
    <xf numFmtId="0" fontId="47" fillId="0" borderId="31" xfId="0" applyFont="1" applyFill="1" applyBorder="1" applyAlignment="1">
      <alignment horizontal="center" vertical="center" wrapText="1"/>
    </xf>
    <xf numFmtId="3" fontId="12" fillId="0" borderId="81" xfId="0" applyNumberFormat="1" applyFont="1" applyFill="1" applyBorder="1" applyAlignment="1">
      <alignment horizontal="center" vertical="center" wrapText="1"/>
    </xf>
    <xf numFmtId="0" fontId="12" fillId="0" borderId="31" xfId="0" applyFont="1" applyFill="1" applyBorder="1" applyAlignment="1">
      <alignment horizontal="center" vertical="center" wrapText="1"/>
    </xf>
    <xf numFmtId="0" fontId="47" fillId="0" borderId="81" xfId="0" applyFont="1" applyFill="1" applyBorder="1" applyAlignment="1">
      <alignment horizontal="left" vertical="center" wrapText="1"/>
    </xf>
    <xf numFmtId="0" fontId="47" fillId="0" borderId="31" xfId="0" applyFont="1" applyFill="1" applyBorder="1" applyAlignment="1">
      <alignment horizontal="left" vertical="center" wrapText="1"/>
    </xf>
    <xf numFmtId="0" fontId="50" fillId="0" borderId="75" xfId="0" applyFont="1" applyFill="1" applyBorder="1" applyAlignment="1">
      <alignment horizontal="center" vertical="center" wrapText="1"/>
    </xf>
    <xf numFmtId="0" fontId="50" fillId="0" borderId="7" xfId="0" applyFont="1" applyFill="1" applyBorder="1" applyAlignment="1">
      <alignment horizontal="center" vertical="center" wrapText="1"/>
    </xf>
    <xf numFmtId="0" fontId="50" fillId="0" borderId="26" xfId="0" applyFont="1" applyFill="1" applyBorder="1" applyAlignment="1">
      <alignment horizontal="center" vertical="center" wrapText="1"/>
    </xf>
    <xf numFmtId="0" fontId="50" fillId="0" borderId="34" xfId="0" applyFont="1" applyFill="1" applyBorder="1" applyAlignment="1">
      <alignment horizontal="center" vertical="center" wrapText="1"/>
    </xf>
    <xf numFmtId="0" fontId="47" fillId="0" borderId="77" xfId="0" applyFont="1" applyFill="1" applyBorder="1" applyAlignment="1">
      <alignment horizontal="center" vertical="center" wrapText="1"/>
    </xf>
    <xf numFmtId="0" fontId="0" fillId="0" borderId="9" xfId="0" applyFont="1" applyFill="1" applyBorder="1" applyAlignment="1">
      <alignment horizontal="center"/>
    </xf>
    <xf numFmtId="0" fontId="12" fillId="0" borderId="76"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47" fillId="0" borderId="75" xfId="0" applyFont="1" applyFill="1" applyBorder="1" applyAlignment="1">
      <alignment horizontal="left" vertical="center" wrapText="1"/>
    </xf>
    <xf numFmtId="0" fontId="47" fillId="0" borderId="7" xfId="0" applyFont="1" applyFill="1" applyBorder="1" applyAlignment="1">
      <alignment horizontal="left" vertical="center" wrapText="1"/>
    </xf>
    <xf numFmtId="0" fontId="12" fillId="0" borderId="26" xfId="0" applyFont="1" applyFill="1" applyBorder="1" applyAlignment="1">
      <alignment horizontal="center" vertical="center" wrapText="1"/>
    </xf>
    <xf numFmtId="0" fontId="12" fillId="0" borderId="34" xfId="0" applyFont="1" applyFill="1" applyBorder="1" applyAlignment="1">
      <alignment horizontal="center" vertical="center" wrapText="1"/>
    </xf>
    <xf numFmtId="0" fontId="12" fillId="0" borderId="85" xfId="0" applyFont="1" applyFill="1" applyBorder="1" applyAlignment="1">
      <alignment horizontal="center" vertical="center" wrapText="1"/>
    </xf>
    <xf numFmtId="0" fontId="12" fillId="0" borderId="43" xfId="0" applyFont="1" applyFill="1" applyBorder="1" applyAlignment="1">
      <alignment horizontal="center" vertical="center" wrapText="1"/>
    </xf>
    <xf numFmtId="0" fontId="12" fillId="0" borderId="86" xfId="0" applyFont="1" applyFill="1" applyBorder="1" applyAlignment="1">
      <alignment horizontal="center" vertical="center" wrapText="1"/>
    </xf>
    <xf numFmtId="0" fontId="12" fillId="0" borderId="87" xfId="0" applyFont="1" applyFill="1" applyBorder="1" applyAlignment="1">
      <alignment horizontal="center" vertical="center" wrapText="1"/>
    </xf>
    <xf numFmtId="0" fontId="50" fillId="0" borderId="77" xfId="0" applyFont="1" applyFill="1" applyBorder="1" applyAlignment="1">
      <alignment horizontal="left" vertical="center" wrapText="1"/>
    </xf>
    <xf numFmtId="0" fontId="50" fillId="0" borderId="9" xfId="0" applyFont="1" applyFill="1" applyBorder="1" applyAlignment="1">
      <alignment horizontal="left" vertical="center" wrapText="1"/>
    </xf>
    <xf numFmtId="0" fontId="50" fillId="0" borderId="88"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12" fillId="0" borderId="93"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12" fillId="0" borderId="77" xfId="0" applyFont="1" applyFill="1" applyBorder="1" applyAlignment="1">
      <alignment horizontal="center" vertical="center" wrapText="1"/>
    </xf>
    <xf numFmtId="0" fontId="12" fillId="0" borderId="9" xfId="0" applyFont="1" applyFill="1" applyBorder="1" applyAlignment="1">
      <alignment horizontal="center" vertical="center" wrapText="1"/>
    </xf>
    <xf numFmtId="0" fontId="12" fillId="0" borderId="76" xfId="0" applyFont="1" applyFill="1" applyBorder="1" applyAlignment="1">
      <alignment horizontal="center" vertical="center"/>
    </xf>
    <xf numFmtId="0" fontId="12" fillId="0" borderId="6" xfId="0" applyFont="1" applyFill="1" applyBorder="1" applyAlignment="1">
      <alignment horizontal="center" vertical="center"/>
    </xf>
    <xf numFmtId="0" fontId="12" fillId="0" borderId="80" xfId="0" applyFont="1" applyFill="1" applyBorder="1" applyAlignment="1">
      <alignment horizontal="center" vertical="center" wrapText="1"/>
    </xf>
    <xf numFmtId="0" fontId="12" fillId="0" borderId="80" xfId="0" applyFont="1" applyFill="1" applyBorder="1" applyAlignment="1">
      <alignment horizontal="left" vertical="center" wrapText="1"/>
    </xf>
    <xf numFmtId="0" fontId="0" fillId="0" borderId="31" xfId="0" applyFont="1" applyFill="1" applyBorder="1"/>
    <xf numFmtId="0" fontId="12" fillId="0" borderId="82" xfId="0" applyFont="1" applyFill="1" applyBorder="1" applyAlignment="1">
      <alignment horizontal="center" vertical="center" wrapText="1"/>
    </xf>
    <xf numFmtId="0" fontId="12" fillId="0" borderId="83" xfId="0" applyFont="1" applyFill="1" applyBorder="1" applyAlignment="1">
      <alignment horizontal="center" vertical="center" wrapText="1"/>
    </xf>
    <xf numFmtId="0" fontId="12" fillId="0" borderId="84" xfId="0" applyFont="1" applyFill="1" applyBorder="1" applyAlignment="1">
      <alignment horizontal="center" vertical="center" wrapText="1"/>
    </xf>
    <xf numFmtId="0" fontId="12" fillId="0" borderId="38" xfId="0" applyFont="1" applyFill="1" applyBorder="1" applyAlignment="1">
      <alignment horizontal="center" vertical="center" wrapText="1"/>
    </xf>
  </cellXfs>
  <cellStyles count="47">
    <cellStyle name="Normal" xfId="46"/>
    <cellStyle name="쉼표 [0]" xfId="20" builtinId="6"/>
    <cellStyle name="쉼표 [0] 2" xfId="1"/>
    <cellStyle name="쉼표 [0] 2 2" xfId="2"/>
    <cellStyle name="쉼표 [0] 2 2 2" xfId="22"/>
    <cellStyle name="쉼표 [0] 2 2 2 2" xfId="44"/>
    <cellStyle name="쉼표 [0] 2 3" xfId="21"/>
    <cellStyle name="쉼표 [0] 2 3 2" xfId="43"/>
    <cellStyle name="쉼표 [0] 3" xfId="3"/>
    <cellStyle name="쉼표 [0] 3 2" xfId="23"/>
    <cellStyle name="쉼표 [0] 3 2 2" xfId="45"/>
    <cellStyle name="쉼표 [0] 4" xfId="42"/>
    <cellStyle name="좋음" xfId="38" builtinId="26"/>
    <cellStyle name="표준" xfId="0" builtinId="0"/>
    <cellStyle name="표준 10" xfId="4"/>
    <cellStyle name="표준 10 2" xfId="24"/>
    <cellStyle name="표준 11" xfId="5"/>
    <cellStyle name="표준 11 2" xfId="25"/>
    <cellStyle name="표준 12" xfId="6"/>
    <cellStyle name="표준 12 2" xfId="26"/>
    <cellStyle name="표준 13" xfId="7"/>
    <cellStyle name="표준 13 2" xfId="27"/>
    <cellStyle name="표준 15" xfId="19"/>
    <cellStyle name="표준 2" xfId="8"/>
    <cellStyle name="표준 2 2" xfId="9"/>
    <cellStyle name="표준 2 2 2" xfId="10"/>
    <cellStyle name="표준 2 2 2 2" xfId="30"/>
    <cellStyle name="표준 2 2 3" xfId="29"/>
    <cellStyle name="표준 2 3" xfId="28"/>
    <cellStyle name="표준 3" xfId="11"/>
    <cellStyle name="표준 3 2" xfId="12"/>
    <cellStyle name="표준 3 2 2" xfId="32"/>
    <cellStyle name="표준 3 3" xfId="31"/>
    <cellStyle name="표준 4" xfId="18"/>
    <cellStyle name="표준 4 2" xfId="37"/>
    <cellStyle name="표준 5" xfId="13"/>
    <cellStyle name="표준 5 2" xfId="14"/>
    <cellStyle name="표준 5 2 2" xfId="34"/>
    <cellStyle name="표준 5 3" xfId="33"/>
    <cellStyle name="표준 7" xfId="15"/>
    <cellStyle name="표준 7 2" xfId="35"/>
    <cellStyle name="표준 8" xfId="16"/>
    <cellStyle name="표준 8 2" xfId="36"/>
    <cellStyle name="표준 9" xfId="17"/>
    <cellStyle name="표준_120201_2012년 축제계획 및 2011년 실적(부산시)" xfId="39"/>
    <cellStyle name="표준_120201_2012축제개최계획 및 2011개최실적(충청북도)" xfId="41"/>
    <cellStyle name="표준_2010지역축제표(서울)" xfId="40"/>
  </cellStyles>
  <dxfs count="14">
    <dxf>
      <fill>
        <patternFill patternType="solid">
          <fgColor rgb="FF315F97"/>
          <bgColor rgb="FF315F97"/>
        </patternFill>
      </fill>
    </dxf>
    <dxf>
      <fill>
        <patternFill patternType="solid">
          <fgColor rgb="FF8393B2"/>
          <bgColor rgb="FF8393B2"/>
        </patternFill>
      </fill>
      <border>
        <top style="thin">
          <color rgb="FF315F97"/>
        </top>
        <bottom style="thin">
          <color rgb="FF315F97"/>
        </bottom>
      </border>
    </dxf>
    <dxf>
      <font>
        <b/>
      </font>
    </dxf>
    <dxf>
      <font>
        <b/>
      </font>
    </dxf>
    <dxf>
      <font>
        <b/>
      </font>
      <border>
        <top style="thin">
          <color rgb="FF315F97"/>
        </top>
      </border>
    </dxf>
    <dxf>
      <font>
        <b/>
      </font>
      <border>
        <bottom style="medium">
          <color rgb="FF315F97"/>
        </bottom>
      </border>
    </dxf>
    <dxf>
      <font>
        <color rgb="FF000000"/>
      </font>
      <border>
        <left/>
        <right/>
        <top style="medium">
          <color rgb="FF315F97"/>
        </top>
        <bottom style="medium">
          <color rgb="FF315F97"/>
        </bottom>
        <vertical/>
        <horizontal/>
      </border>
    </dxf>
    <dxf>
      <fill>
        <patternFill patternType="solid">
          <fgColor rgb="FFB2C9E6"/>
          <bgColor rgb="FFB2C9E6"/>
        </patternFill>
      </fill>
    </dxf>
    <dxf>
      <fill>
        <patternFill patternType="solid">
          <fgColor rgb="FFB2C9E6"/>
          <bgColor rgb="FFB2C9E6"/>
        </patternFill>
      </fill>
    </dxf>
    <dxf>
      <font>
        <b/>
        <color rgb="FFFFFFFF"/>
      </font>
      <fill>
        <patternFill patternType="solid">
          <fgColor rgb="FF315F97"/>
          <bgColor rgb="FF315F97"/>
        </patternFill>
      </fill>
    </dxf>
    <dxf>
      <font>
        <b/>
        <color rgb="FFFFFFFF"/>
      </font>
      <fill>
        <patternFill patternType="solid">
          <fgColor rgb="FF315F97"/>
          <bgColor rgb="FF315F97"/>
        </patternFill>
      </fill>
    </dxf>
    <dxf>
      <font>
        <b/>
        <color rgb="FFFFFFFF"/>
      </font>
      <fill>
        <patternFill patternType="solid">
          <fgColor rgb="FF315F97"/>
          <bgColor rgb="FF315F97"/>
        </patternFill>
      </fill>
      <border>
        <top style="thick">
          <color rgb="FFFFFFFF"/>
        </top>
      </border>
    </dxf>
    <dxf>
      <font>
        <b/>
        <color rgb="FFFFFFFF"/>
      </font>
      <fill>
        <patternFill patternType="solid">
          <fgColor rgb="FF315F97"/>
          <bgColor rgb="FF315F97"/>
        </patternFill>
      </fill>
      <border>
        <bottom style="thick">
          <color rgb="FFFFFFFF"/>
        </bottom>
      </border>
    </dxf>
    <dxf>
      <font>
        <color rgb="FF000000"/>
      </font>
      <fill>
        <patternFill patternType="solid">
          <fgColor rgb="FFD8E4F3"/>
          <bgColor rgb="FFD8E4F3"/>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5</xdr:col>
      <xdr:colOff>1005417</xdr:colOff>
      <xdr:row>8</xdr:row>
      <xdr:rowOff>0</xdr:rowOff>
    </xdr:from>
    <xdr:ext cx="184731" cy="264560"/>
    <xdr:sp macro="" textlink="">
      <xdr:nvSpPr>
        <xdr:cNvPr id="2" name="TextBox 1"/>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xdr:row>
      <xdr:rowOff>0</xdr:rowOff>
    </xdr:from>
    <xdr:ext cx="184731" cy="264560"/>
    <xdr:sp macro="" textlink="">
      <xdr:nvSpPr>
        <xdr:cNvPr id="3" name="TextBox 2"/>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xdr:row>
      <xdr:rowOff>0</xdr:rowOff>
    </xdr:from>
    <xdr:ext cx="184731" cy="264560"/>
    <xdr:sp macro="" textlink="">
      <xdr:nvSpPr>
        <xdr:cNvPr id="4" name="TextBox 3"/>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xdr:row>
      <xdr:rowOff>0</xdr:rowOff>
    </xdr:from>
    <xdr:ext cx="184731" cy="264560"/>
    <xdr:sp macro="" textlink="">
      <xdr:nvSpPr>
        <xdr:cNvPr id="5" name="TextBox 4"/>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xdr:row>
      <xdr:rowOff>0</xdr:rowOff>
    </xdr:from>
    <xdr:ext cx="184731" cy="264560"/>
    <xdr:sp macro="" textlink="">
      <xdr:nvSpPr>
        <xdr:cNvPr id="6" name="TextBox 5"/>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xdr:row>
      <xdr:rowOff>0</xdr:rowOff>
    </xdr:from>
    <xdr:ext cx="184731" cy="264560"/>
    <xdr:sp macro="" textlink="">
      <xdr:nvSpPr>
        <xdr:cNvPr id="7" name="TextBox 6"/>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xdr:row>
      <xdr:rowOff>0</xdr:rowOff>
    </xdr:from>
    <xdr:ext cx="184731" cy="264560"/>
    <xdr:sp macro="" textlink="">
      <xdr:nvSpPr>
        <xdr:cNvPr id="8" name="TextBox 7"/>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21</xdr:row>
      <xdr:rowOff>0</xdr:rowOff>
    </xdr:from>
    <xdr:ext cx="184731" cy="264560"/>
    <xdr:sp macro="" textlink="">
      <xdr:nvSpPr>
        <xdr:cNvPr id="9" name="TextBox 8"/>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21</xdr:row>
      <xdr:rowOff>0</xdr:rowOff>
    </xdr:from>
    <xdr:ext cx="184731" cy="264560"/>
    <xdr:sp macro="" textlink="">
      <xdr:nvSpPr>
        <xdr:cNvPr id="10" name="TextBox 9"/>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1" name="TextBox 10"/>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2" name="TextBox 11"/>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3" name="TextBox 12"/>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4" name="TextBox 13"/>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5" name="TextBox 14"/>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6" name="TextBox 15"/>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7" name="TextBox 16"/>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986367</xdr:colOff>
      <xdr:row>36</xdr:row>
      <xdr:rowOff>0</xdr:rowOff>
    </xdr:from>
    <xdr:ext cx="184731" cy="264560"/>
    <xdr:sp macro="" textlink="">
      <xdr:nvSpPr>
        <xdr:cNvPr id="18" name="TextBox 17"/>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36</xdr:row>
      <xdr:rowOff>0</xdr:rowOff>
    </xdr:from>
    <xdr:ext cx="184731" cy="264560"/>
    <xdr:sp macro="" textlink="">
      <xdr:nvSpPr>
        <xdr:cNvPr id="19" name="TextBox 18"/>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36</xdr:row>
      <xdr:rowOff>0</xdr:rowOff>
    </xdr:from>
    <xdr:ext cx="184731" cy="264560"/>
    <xdr:sp macro="" textlink="">
      <xdr:nvSpPr>
        <xdr:cNvPr id="20" name="TextBox 19"/>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36</xdr:row>
      <xdr:rowOff>0</xdr:rowOff>
    </xdr:from>
    <xdr:ext cx="184731" cy="264560"/>
    <xdr:sp macro="" textlink="">
      <xdr:nvSpPr>
        <xdr:cNvPr id="21" name="TextBox 20"/>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36</xdr:row>
      <xdr:rowOff>0</xdr:rowOff>
    </xdr:from>
    <xdr:ext cx="184731" cy="264560"/>
    <xdr:sp macro="" textlink="">
      <xdr:nvSpPr>
        <xdr:cNvPr id="22" name="TextBox 21"/>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36</xdr:row>
      <xdr:rowOff>0</xdr:rowOff>
    </xdr:from>
    <xdr:ext cx="184731" cy="264560"/>
    <xdr:sp macro="" textlink="">
      <xdr:nvSpPr>
        <xdr:cNvPr id="23" name="TextBox 22"/>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36</xdr:row>
      <xdr:rowOff>0</xdr:rowOff>
    </xdr:from>
    <xdr:ext cx="184731" cy="264560"/>
    <xdr:sp macro="" textlink="">
      <xdr:nvSpPr>
        <xdr:cNvPr id="24" name="TextBox 23"/>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36</xdr:row>
      <xdr:rowOff>0</xdr:rowOff>
    </xdr:from>
    <xdr:ext cx="184731" cy="264560"/>
    <xdr:sp macro="" textlink="">
      <xdr:nvSpPr>
        <xdr:cNvPr id="25" name="TextBox 24"/>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36</xdr:row>
      <xdr:rowOff>0</xdr:rowOff>
    </xdr:from>
    <xdr:ext cx="184731" cy="264560"/>
    <xdr:sp macro="" textlink="">
      <xdr:nvSpPr>
        <xdr:cNvPr id="26" name="TextBox 25"/>
        <xdr:cNvSpPr txBox="1"/>
      </xdr:nvSpPr>
      <xdr:spPr>
        <a:xfrm>
          <a:off x="581554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27" name="TextBox 26"/>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28" name="TextBox 27"/>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29" name="TextBox 28"/>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0" name="TextBox 29"/>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1" name="TextBox 30"/>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2" name="TextBox 31"/>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3" name="TextBox 32"/>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4" name="TextBox 33"/>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5" name="TextBox 34"/>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6" name="TextBox 35"/>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7" name="TextBox 36"/>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986367</xdr:colOff>
      <xdr:row>37</xdr:row>
      <xdr:rowOff>0</xdr:rowOff>
    </xdr:from>
    <xdr:ext cx="184731" cy="264560"/>
    <xdr:sp macro="" textlink="">
      <xdr:nvSpPr>
        <xdr:cNvPr id="38" name="TextBox 37"/>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986367</xdr:colOff>
      <xdr:row>37</xdr:row>
      <xdr:rowOff>0</xdr:rowOff>
    </xdr:from>
    <xdr:ext cx="184731" cy="264560"/>
    <xdr:sp macro="" textlink="">
      <xdr:nvSpPr>
        <xdr:cNvPr id="39" name="TextBox 38"/>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986367</xdr:colOff>
      <xdr:row>37</xdr:row>
      <xdr:rowOff>0</xdr:rowOff>
    </xdr:from>
    <xdr:ext cx="184731" cy="264560"/>
    <xdr:sp macro="" textlink="">
      <xdr:nvSpPr>
        <xdr:cNvPr id="40" name="TextBox 39"/>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986367</xdr:colOff>
      <xdr:row>37</xdr:row>
      <xdr:rowOff>0</xdr:rowOff>
    </xdr:from>
    <xdr:ext cx="184731" cy="264560"/>
    <xdr:sp macro="" textlink="">
      <xdr:nvSpPr>
        <xdr:cNvPr id="41" name="TextBox 40"/>
        <xdr:cNvSpPr txBox="1"/>
      </xdr:nvSpPr>
      <xdr:spPr>
        <a:xfrm>
          <a:off x="5815542"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71</xdr:row>
      <xdr:rowOff>0</xdr:rowOff>
    </xdr:from>
    <xdr:ext cx="184731" cy="264560"/>
    <xdr:sp macro="" textlink="">
      <xdr:nvSpPr>
        <xdr:cNvPr id="42" name="TextBox 41"/>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71</xdr:row>
      <xdr:rowOff>0</xdr:rowOff>
    </xdr:from>
    <xdr:ext cx="184731" cy="264560"/>
    <xdr:sp macro="" textlink="">
      <xdr:nvSpPr>
        <xdr:cNvPr id="43" name="TextBox 42"/>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71</xdr:row>
      <xdr:rowOff>0</xdr:rowOff>
    </xdr:from>
    <xdr:ext cx="184731" cy="264560"/>
    <xdr:sp macro="" textlink="">
      <xdr:nvSpPr>
        <xdr:cNvPr id="44" name="TextBox 43"/>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71</xdr:row>
      <xdr:rowOff>0</xdr:rowOff>
    </xdr:from>
    <xdr:ext cx="184731" cy="264560"/>
    <xdr:sp macro="" textlink="">
      <xdr:nvSpPr>
        <xdr:cNvPr id="45" name="TextBox 44"/>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71</xdr:row>
      <xdr:rowOff>0</xdr:rowOff>
    </xdr:from>
    <xdr:ext cx="184731" cy="264560"/>
    <xdr:sp macro="" textlink="">
      <xdr:nvSpPr>
        <xdr:cNvPr id="46" name="TextBox 45"/>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71</xdr:row>
      <xdr:rowOff>0</xdr:rowOff>
    </xdr:from>
    <xdr:ext cx="184731" cy="264560"/>
    <xdr:sp macro="" textlink="">
      <xdr:nvSpPr>
        <xdr:cNvPr id="47" name="TextBox 46"/>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71</xdr:row>
      <xdr:rowOff>0</xdr:rowOff>
    </xdr:from>
    <xdr:ext cx="184731" cy="264560"/>
    <xdr:sp macro="" textlink="">
      <xdr:nvSpPr>
        <xdr:cNvPr id="48" name="TextBox 47"/>
        <xdr:cNvSpPr txBox="1"/>
      </xdr:nvSpPr>
      <xdr:spPr>
        <a:xfrm>
          <a:off x="5834592" y="277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49" name="TextBox 48"/>
        <xdr:cNvSpPr txBox="1"/>
      </xdr:nvSpPr>
      <xdr:spPr>
        <a:xfrm>
          <a:off x="5834592" y="422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50" name="TextBox 49"/>
        <xdr:cNvSpPr txBox="1"/>
      </xdr:nvSpPr>
      <xdr:spPr>
        <a:xfrm>
          <a:off x="5834592" y="422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6"/>
  <sheetViews>
    <sheetView tabSelected="1" view="pageBreakPreview" zoomScaleSheetLayoutView="100" workbookViewId="0"/>
  </sheetViews>
  <sheetFormatPr defaultRowHeight="13.5"/>
  <cols>
    <col min="6" max="6" width="10.6640625" customWidth="1"/>
  </cols>
  <sheetData>
    <row r="1" spans="2:19" ht="31.5">
      <c r="B1" s="1603" t="s">
        <v>56</v>
      </c>
      <c r="C1" s="1604"/>
      <c r="D1" s="1604"/>
      <c r="E1" s="1604"/>
      <c r="F1" s="1604"/>
      <c r="G1" s="1604"/>
      <c r="H1" s="1604"/>
      <c r="I1" s="1604"/>
      <c r="J1" s="1604"/>
      <c r="K1" s="1604"/>
      <c r="L1" s="1604"/>
      <c r="M1" s="1604"/>
      <c r="N1" s="1604"/>
      <c r="O1" s="1604"/>
      <c r="P1" s="1604"/>
      <c r="Q1" s="1604"/>
      <c r="R1" s="1604"/>
      <c r="S1" s="1604"/>
    </row>
    <row r="2" spans="2:19" ht="15" thickBot="1">
      <c r="B2" s="49"/>
      <c r="C2" s="50"/>
      <c r="D2" s="50"/>
      <c r="E2" s="51"/>
      <c r="F2" s="51"/>
      <c r="G2" s="51"/>
      <c r="H2" s="51"/>
      <c r="I2" s="51"/>
      <c r="J2" s="51"/>
      <c r="K2" s="51"/>
      <c r="L2" s="51"/>
      <c r="M2" s="51"/>
      <c r="N2" s="51"/>
      <c r="O2" s="51"/>
      <c r="P2" s="51"/>
      <c r="Q2" s="51"/>
      <c r="R2" s="1605" t="s">
        <v>13</v>
      </c>
      <c r="S2" s="1605"/>
    </row>
    <row r="3" spans="2:19" ht="22.5" customHeight="1">
      <c r="B3" s="17" t="s">
        <v>14</v>
      </c>
      <c r="C3" s="18" t="s">
        <v>15</v>
      </c>
      <c r="D3" s="18" t="s">
        <v>16</v>
      </c>
      <c r="E3" s="18" t="s">
        <v>17</v>
      </c>
      <c r="F3" s="19" t="s">
        <v>18</v>
      </c>
      <c r="G3" s="18" t="s">
        <v>19</v>
      </c>
      <c r="H3" s="19" t="s">
        <v>20</v>
      </c>
      <c r="I3" s="19" t="s">
        <v>21</v>
      </c>
      <c r="J3" s="19" t="s">
        <v>22</v>
      </c>
      <c r="K3" s="19" t="s">
        <v>23</v>
      </c>
      <c r="L3" s="19" t="s">
        <v>24</v>
      </c>
      <c r="M3" s="19" t="s">
        <v>25</v>
      </c>
      <c r="N3" s="19" t="s">
        <v>26</v>
      </c>
      <c r="O3" s="19" t="s">
        <v>27</v>
      </c>
      <c r="P3" s="19" t="s">
        <v>28</v>
      </c>
      <c r="Q3" s="19" t="s">
        <v>29</v>
      </c>
      <c r="R3" s="19" t="s">
        <v>30</v>
      </c>
      <c r="S3" s="20" t="s">
        <v>31</v>
      </c>
    </row>
    <row r="4" spans="2:19" ht="35.25" customHeight="1" thickBot="1">
      <c r="B4" s="21">
        <f>SUM(C4:S4)</f>
        <v>884</v>
      </c>
      <c r="C4" s="22">
        <v>93</v>
      </c>
      <c r="D4" s="22">
        <v>44</v>
      </c>
      <c r="E4" s="22">
        <v>25</v>
      </c>
      <c r="F4" s="22">
        <v>32</v>
      </c>
      <c r="G4" s="22">
        <v>8</v>
      </c>
      <c r="H4" s="22">
        <v>15</v>
      </c>
      <c r="I4" s="22">
        <v>20</v>
      </c>
      <c r="J4" s="22">
        <v>2</v>
      </c>
      <c r="K4" s="22">
        <v>105</v>
      </c>
      <c r="L4" s="22">
        <v>68</v>
      </c>
      <c r="M4" s="22">
        <v>49</v>
      </c>
      <c r="N4" s="22">
        <v>92</v>
      </c>
      <c r="O4" s="22">
        <v>50</v>
      </c>
      <c r="P4" s="22">
        <v>107</v>
      </c>
      <c r="Q4" s="22">
        <v>68</v>
      </c>
      <c r="R4" s="22">
        <v>66</v>
      </c>
      <c r="S4" s="23">
        <v>40</v>
      </c>
    </row>
    <row r="6" spans="2:19" ht="14.25" thickBot="1">
      <c r="F6" s="14"/>
      <c r="G6" s="14"/>
      <c r="H6" s="14"/>
      <c r="I6" s="14"/>
    </row>
    <row r="7" spans="2:19" ht="18.75" customHeight="1">
      <c r="B7" s="1588" t="s">
        <v>33</v>
      </c>
      <c r="C7" s="1589"/>
      <c r="D7" s="1589"/>
      <c r="E7" s="1589"/>
      <c r="F7" s="1590"/>
      <c r="G7" s="15"/>
      <c r="H7" s="15"/>
      <c r="I7" s="15"/>
      <c r="J7" s="6"/>
      <c r="K7" s="6"/>
      <c r="L7" s="6"/>
      <c r="M7" s="6"/>
      <c r="N7" s="6"/>
      <c r="O7" s="7"/>
      <c r="P7" s="7"/>
      <c r="Q7" s="7"/>
      <c r="R7" s="7"/>
      <c r="S7" s="7"/>
    </row>
    <row r="8" spans="2:19" ht="23.25" customHeight="1">
      <c r="B8" s="1591"/>
      <c r="C8" s="1592"/>
      <c r="D8" s="1592"/>
      <c r="E8" s="1592"/>
      <c r="F8" s="1593"/>
      <c r="K8" s="7"/>
      <c r="L8" s="7"/>
      <c r="M8" s="7"/>
      <c r="N8" s="7"/>
      <c r="O8" s="7"/>
      <c r="P8" s="7"/>
      <c r="Q8" s="7"/>
      <c r="R8" s="7"/>
      <c r="S8" s="7"/>
    </row>
    <row r="9" spans="2:19" ht="16.5">
      <c r="B9" s="1591"/>
      <c r="C9" s="1592"/>
      <c r="D9" s="1592"/>
      <c r="E9" s="1592"/>
      <c r="F9" s="1593"/>
      <c r="K9" s="7"/>
      <c r="L9" s="7"/>
      <c r="M9" s="7"/>
      <c r="N9" s="7"/>
      <c r="O9" s="7"/>
      <c r="P9" s="7"/>
      <c r="Q9" s="7"/>
      <c r="R9" s="7"/>
      <c r="S9" s="7"/>
    </row>
    <row r="10" spans="2:19" ht="16.5">
      <c r="B10" s="1591"/>
      <c r="C10" s="1592"/>
      <c r="D10" s="1592"/>
      <c r="E10" s="1592"/>
      <c r="F10" s="1593"/>
      <c r="K10" s="7"/>
      <c r="L10" s="7"/>
      <c r="M10" s="7"/>
      <c r="N10" s="7"/>
      <c r="O10" s="5"/>
      <c r="P10" s="5"/>
      <c r="Q10" s="5"/>
      <c r="R10" s="5"/>
      <c r="S10" s="5"/>
    </row>
    <row r="11" spans="2:19" ht="16.5">
      <c r="B11" s="1591"/>
      <c r="C11" s="1592"/>
      <c r="D11" s="1592"/>
      <c r="E11" s="1592"/>
      <c r="F11" s="1593"/>
      <c r="K11" s="7"/>
      <c r="L11" s="7"/>
      <c r="M11" s="7"/>
      <c r="N11" s="7"/>
      <c r="O11" s="5"/>
      <c r="P11" s="5"/>
      <c r="Q11" s="5"/>
      <c r="R11" s="5"/>
      <c r="S11" s="5"/>
    </row>
    <row r="12" spans="2:19" ht="13.5" customHeight="1">
      <c r="B12" s="1591"/>
      <c r="C12" s="1592"/>
      <c r="D12" s="1592"/>
      <c r="E12" s="1592"/>
      <c r="F12" s="1593"/>
      <c r="K12" s="5"/>
      <c r="L12" s="5"/>
      <c r="M12" s="5"/>
      <c r="N12" s="5"/>
      <c r="O12" s="5"/>
      <c r="P12" s="5"/>
      <c r="Q12" s="5"/>
      <c r="R12" s="5"/>
      <c r="S12" s="5"/>
    </row>
    <row r="13" spans="2:19" ht="13.5" customHeight="1">
      <c r="B13" s="1591"/>
      <c r="C13" s="1592"/>
      <c r="D13" s="1592"/>
      <c r="E13" s="1592"/>
      <c r="F13" s="1593"/>
      <c r="K13" s="5"/>
      <c r="L13" s="5"/>
      <c r="M13" s="5"/>
      <c r="N13" s="5"/>
      <c r="O13" s="5"/>
      <c r="P13" s="5"/>
      <c r="Q13" s="5"/>
      <c r="R13" s="5"/>
      <c r="S13" s="5"/>
    </row>
    <row r="14" spans="2:19" ht="72" customHeight="1" thickBot="1">
      <c r="B14" s="1594"/>
      <c r="C14" s="1595"/>
      <c r="D14" s="1595"/>
      <c r="E14" s="1595"/>
      <c r="F14" s="1596"/>
    </row>
    <row r="15" spans="2:19" ht="95.25" customHeight="1">
      <c r="B15" s="1597" t="s">
        <v>32</v>
      </c>
      <c r="C15" s="1598"/>
      <c r="D15" s="1598"/>
      <c r="E15" s="1598"/>
      <c r="F15" s="1599"/>
    </row>
    <row r="16" spans="2:19" ht="14.25" thickBot="1">
      <c r="B16" s="1600"/>
      <c r="C16" s="1601"/>
      <c r="D16" s="1601"/>
      <c r="E16" s="1601"/>
      <c r="F16" s="1602"/>
    </row>
  </sheetData>
  <mergeCells count="4">
    <mergeCell ref="B7:F14"/>
    <mergeCell ref="B15:F16"/>
    <mergeCell ref="B1:S1"/>
    <mergeCell ref="R2:S2"/>
  </mergeCells>
  <phoneticPr fontId="3" type="noConversion"/>
  <pageMargins left="0.7" right="0.7" top="0.75" bottom="0.75" header="0.3" footer="0.3"/>
  <pageSetup paperSize="9" scale="4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8"/>
  <sheetViews>
    <sheetView zoomScale="85" zoomScaleNormal="85" zoomScaleSheetLayoutView="90" workbookViewId="0">
      <pane ySplit="4" topLeftCell="A94" activePane="bottomLeft" state="frozen"/>
      <selection pane="bottomLeft" activeCell="G58" sqref="G58"/>
    </sheetView>
  </sheetViews>
  <sheetFormatPr defaultRowHeight="13.5"/>
  <cols>
    <col min="1" max="1" width="5.109375" style="8" customWidth="1"/>
    <col min="2" max="2" width="12.33203125" style="8" customWidth="1"/>
    <col min="3" max="3" width="9.109375" style="8" customWidth="1"/>
    <col min="4" max="4" width="21" style="1" customWidth="1"/>
    <col min="5" max="5" width="12.109375" style="1" customWidth="1"/>
    <col min="6" max="6" width="47.6640625" style="1" bestFit="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2" width="12.21875" style="1" customWidth="1"/>
    <col min="23" max="25" width="12.21875" style="60" customWidth="1"/>
    <col min="26" max="26" width="12.21875" style="1" customWidth="1"/>
    <col min="27" max="16384" width="8.88671875" style="1"/>
  </cols>
  <sheetData>
    <row r="1" spans="1:27" ht="29.25" customHeight="1">
      <c r="A1" s="1611" t="s">
        <v>59</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row>
    <row r="2" spans="1:27" s="3" customFormat="1" ht="17.25" customHeight="1"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row>
    <row r="3" spans="1:27" s="3" customFormat="1" ht="22.5" customHeight="1" thickBot="1">
      <c r="A3" s="4"/>
      <c r="B3" s="4"/>
      <c r="C3" s="4"/>
      <c r="D3" s="2"/>
      <c r="E3" s="2"/>
      <c r="F3" s="2"/>
      <c r="G3" s="2"/>
      <c r="H3" s="2"/>
      <c r="I3" s="1612"/>
      <c r="J3" s="1613"/>
      <c r="K3" s="1613"/>
      <c r="L3" s="1613"/>
      <c r="M3" s="1613"/>
      <c r="N3" s="1609" t="s">
        <v>61</v>
      </c>
      <c r="O3" s="1610"/>
      <c r="P3" s="42"/>
      <c r="Q3" s="42"/>
      <c r="R3" s="52"/>
      <c r="S3" s="53"/>
      <c r="T3" s="53"/>
      <c r="U3" s="53"/>
      <c r="V3" s="53"/>
      <c r="W3" s="1606" t="s">
        <v>60</v>
      </c>
      <c r="X3" s="1607"/>
      <c r="Y3" s="1608"/>
      <c r="Z3" s="53"/>
      <c r="AA3" s="25"/>
    </row>
    <row r="4" spans="1:27" ht="39.75" customHeight="1" thickBot="1">
      <c r="A4" s="41" t="s">
        <v>0</v>
      </c>
      <c r="B4" s="16" t="s">
        <v>3</v>
      </c>
      <c r="C4" s="39" t="s">
        <v>4</v>
      </c>
      <c r="D4" s="40" t="s">
        <v>1</v>
      </c>
      <c r="E4" s="37" t="s">
        <v>57</v>
      </c>
      <c r="F4" s="40" t="s">
        <v>2</v>
      </c>
      <c r="G4" s="37" t="s">
        <v>7</v>
      </c>
      <c r="H4" s="37" t="s">
        <v>8</v>
      </c>
      <c r="I4" s="38" t="s">
        <v>58</v>
      </c>
      <c r="J4" s="46" t="s">
        <v>5</v>
      </c>
      <c r="K4" s="47" t="s">
        <v>9</v>
      </c>
      <c r="L4" s="47" t="s">
        <v>43</v>
      </c>
      <c r="M4" s="48" t="s">
        <v>6</v>
      </c>
      <c r="N4" s="54" t="s">
        <v>51</v>
      </c>
      <c r="O4" s="48" t="s">
        <v>54</v>
      </c>
      <c r="P4" s="37" t="s">
        <v>41</v>
      </c>
      <c r="Q4" s="37" t="s">
        <v>55</v>
      </c>
      <c r="R4" s="36" t="s">
        <v>36</v>
      </c>
      <c r="S4" s="35" t="s">
        <v>37</v>
      </c>
      <c r="T4" s="32" t="s">
        <v>38</v>
      </c>
      <c r="U4" s="33" t="s">
        <v>39</v>
      </c>
      <c r="V4" s="34" t="s">
        <v>40</v>
      </c>
      <c r="W4" s="57" t="s">
        <v>50</v>
      </c>
      <c r="X4" s="58" t="s">
        <v>48</v>
      </c>
      <c r="Y4" s="57" t="s">
        <v>49</v>
      </c>
      <c r="Z4" s="36" t="s">
        <v>42</v>
      </c>
    </row>
    <row r="5" spans="1:27" ht="40.5">
      <c r="A5" s="13">
        <v>1</v>
      </c>
      <c r="B5" s="11" t="s">
        <v>34</v>
      </c>
      <c r="C5" s="12" t="s">
        <v>62</v>
      </c>
      <c r="D5" s="27" t="s">
        <v>63</v>
      </c>
      <c r="E5" s="28" t="s">
        <v>64</v>
      </c>
      <c r="F5" s="29" t="s">
        <v>65</v>
      </c>
      <c r="G5" s="28" t="s">
        <v>66</v>
      </c>
      <c r="H5" s="30" t="s">
        <v>68</v>
      </c>
      <c r="I5" s="62">
        <f>SUM(J5:M5)</f>
        <v>729</v>
      </c>
      <c r="J5" s="44">
        <v>0</v>
      </c>
      <c r="K5" s="45">
        <v>200</v>
      </c>
      <c r="L5" s="45">
        <v>246</v>
      </c>
      <c r="M5" s="30">
        <v>283</v>
      </c>
      <c r="N5" s="55"/>
      <c r="O5" s="27"/>
      <c r="P5" s="31" t="s">
        <v>67</v>
      </c>
      <c r="Q5" s="27" t="s">
        <v>93</v>
      </c>
      <c r="R5" s="10" t="s">
        <v>69</v>
      </c>
      <c r="S5" s="30" t="s">
        <v>70</v>
      </c>
      <c r="T5" s="31" t="s">
        <v>73</v>
      </c>
      <c r="U5" s="9" t="s">
        <v>72</v>
      </c>
      <c r="V5" s="10" t="s">
        <v>71</v>
      </c>
      <c r="W5" s="56">
        <f t="shared" ref="W5:W16" si="0">SUM(X5:Y5)</f>
        <v>5060</v>
      </c>
      <c r="X5" s="56">
        <v>5060</v>
      </c>
      <c r="Y5" s="59"/>
      <c r="Z5" s="28" t="s">
        <v>74</v>
      </c>
    </row>
    <row r="6" spans="1:27" ht="38.25" customHeight="1">
      <c r="A6" s="13">
        <v>2</v>
      </c>
      <c r="B6" s="11" t="s">
        <v>98</v>
      </c>
      <c r="C6" s="12" t="s">
        <v>75</v>
      </c>
      <c r="D6" s="27" t="s">
        <v>76</v>
      </c>
      <c r="E6" s="28" t="s">
        <v>77</v>
      </c>
      <c r="F6" s="29" t="s">
        <v>78</v>
      </c>
      <c r="G6" s="28" t="s">
        <v>79</v>
      </c>
      <c r="H6" s="30" t="s">
        <v>80</v>
      </c>
      <c r="I6" s="62">
        <f t="shared" ref="I6:I16" si="1">SUM(J6:M6)</f>
        <v>230</v>
      </c>
      <c r="J6" s="44">
        <v>0</v>
      </c>
      <c r="K6" s="45">
        <v>0</v>
      </c>
      <c r="L6" s="45">
        <v>230</v>
      </c>
      <c r="M6" s="30">
        <v>0</v>
      </c>
      <c r="N6" s="55"/>
      <c r="O6" s="27"/>
      <c r="P6" s="31" t="s">
        <v>67</v>
      </c>
      <c r="Q6" s="27" t="s">
        <v>93</v>
      </c>
      <c r="R6" s="10" t="s">
        <v>81</v>
      </c>
      <c r="S6" s="30" t="s">
        <v>82</v>
      </c>
      <c r="T6" s="31" t="s">
        <v>83</v>
      </c>
      <c r="U6" s="9" t="s">
        <v>84</v>
      </c>
      <c r="V6" s="10" t="s">
        <v>85</v>
      </c>
      <c r="W6" s="56">
        <f t="shared" si="0"/>
        <v>1200</v>
      </c>
      <c r="X6" s="56">
        <v>1200</v>
      </c>
      <c r="Y6" s="59"/>
      <c r="Z6" s="28" t="s">
        <v>86</v>
      </c>
    </row>
    <row r="7" spans="1:27" ht="48.75" customHeight="1">
      <c r="A7" s="13">
        <v>3</v>
      </c>
      <c r="B7" s="11" t="s">
        <v>98</v>
      </c>
      <c r="C7" s="12" t="s">
        <v>75</v>
      </c>
      <c r="D7" s="27" t="s">
        <v>87</v>
      </c>
      <c r="E7" s="28" t="s">
        <v>88</v>
      </c>
      <c r="F7" s="29" t="s">
        <v>89</v>
      </c>
      <c r="G7" s="28" t="s">
        <v>90</v>
      </c>
      <c r="H7" s="30" t="s">
        <v>91</v>
      </c>
      <c r="I7" s="62">
        <f t="shared" si="1"/>
        <v>20</v>
      </c>
      <c r="J7" s="44">
        <v>0</v>
      </c>
      <c r="K7" s="45">
        <v>0</v>
      </c>
      <c r="L7" s="45">
        <v>20</v>
      </c>
      <c r="M7" s="30">
        <v>0</v>
      </c>
      <c r="N7" s="55"/>
      <c r="O7" s="27"/>
      <c r="P7" s="31" t="s">
        <v>92</v>
      </c>
      <c r="Q7" s="27" t="s">
        <v>93</v>
      </c>
      <c r="R7" s="10" t="s">
        <v>94</v>
      </c>
      <c r="S7" s="30" t="s">
        <v>82</v>
      </c>
      <c r="T7" s="31" t="s">
        <v>95</v>
      </c>
      <c r="U7" s="9" t="s">
        <v>84</v>
      </c>
      <c r="V7" s="10" t="s">
        <v>96</v>
      </c>
      <c r="W7" s="56">
        <f t="shared" si="0"/>
        <v>7</v>
      </c>
      <c r="X7" s="56">
        <v>7</v>
      </c>
      <c r="Y7" s="59"/>
      <c r="Z7" s="28" t="s">
        <v>97</v>
      </c>
    </row>
    <row r="8" spans="1:27" ht="54">
      <c r="A8" s="13">
        <v>4</v>
      </c>
      <c r="B8" s="11" t="s">
        <v>99</v>
      </c>
      <c r="C8" s="12" t="s">
        <v>100</v>
      </c>
      <c r="D8" s="27" t="s">
        <v>101</v>
      </c>
      <c r="E8" s="28" t="s">
        <v>102</v>
      </c>
      <c r="F8" s="29" t="s">
        <v>112</v>
      </c>
      <c r="G8" s="28" t="s">
        <v>103</v>
      </c>
      <c r="H8" s="30" t="s">
        <v>104</v>
      </c>
      <c r="I8" s="62">
        <f t="shared" si="1"/>
        <v>693</v>
      </c>
      <c r="J8" s="44">
        <v>225</v>
      </c>
      <c r="K8" s="45">
        <v>300</v>
      </c>
      <c r="L8" s="45">
        <v>168</v>
      </c>
      <c r="M8" s="30">
        <v>0</v>
      </c>
      <c r="N8" s="55"/>
      <c r="O8" s="27"/>
      <c r="P8" s="31" t="s">
        <v>105</v>
      </c>
      <c r="Q8" s="27" t="s">
        <v>93</v>
      </c>
      <c r="R8" s="10" t="s">
        <v>106</v>
      </c>
      <c r="S8" s="30" t="s">
        <v>107</v>
      </c>
      <c r="T8" s="31" t="s">
        <v>108</v>
      </c>
      <c r="U8" s="9" t="s">
        <v>109</v>
      </c>
      <c r="V8" s="10" t="s">
        <v>110</v>
      </c>
      <c r="W8" s="56">
        <f t="shared" si="0"/>
        <v>60</v>
      </c>
      <c r="X8" s="56">
        <v>60</v>
      </c>
      <c r="Y8" s="59"/>
      <c r="Z8" s="28" t="s">
        <v>111</v>
      </c>
    </row>
    <row r="9" spans="1:27" ht="135">
      <c r="A9" s="13">
        <v>5</v>
      </c>
      <c r="B9" s="11" t="s">
        <v>44</v>
      </c>
      <c r="C9" s="12" t="s">
        <v>113</v>
      </c>
      <c r="D9" s="27" t="s">
        <v>114</v>
      </c>
      <c r="E9" s="28" t="s">
        <v>116</v>
      </c>
      <c r="F9" s="29" t="s">
        <v>118</v>
      </c>
      <c r="G9" s="28" t="s">
        <v>120</v>
      </c>
      <c r="H9" s="30" t="s">
        <v>121</v>
      </c>
      <c r="I9" s="62">
        <f t="shared" si="1"/>
        <v>625</v>
      </c>
      <c r="J9" s="44">
        <v>0</v>
      </c>
      <c r="K9" s="45">
        <v>158</v>
      </c>
      <c r="L9" s="45">
        <v>467</v>
      </c>
      <c r="M9" s="30">
        <v>0</v>
      </c>
      <c r="N9" s="55"/>
      <c r="O9" s="27"/>
      <c r="P9" s="31" t="s">
        <v>124</v>
      </c>
      <c r="Q9" s="27" t="s">
        <v>93</v>
      </c>
      <c r="R9" s="10" t="s">
        <v>125</v>
      </c>
      <c r="S9" s="30" t="s">
        <v>70</v>
      </c>
      <c r="T9" s="31" t="s">
        <v>131</v>
      </c>
      <c r="U9" s="9" t="s">
        <v>72</v>
      </c>
      <c r="V9" s="10" t="s">
        <v>128</v>
      </c>
      <c r="W9" s="56">
        <f t="shared" si="0"/>
        <v>2337</v>
      </c>
      <c r="X9" s="56">
        <v>2286</v>
      </c>
      <c r="Y9" s="59">
        <v>51</v>
      </c>
      <c r="Z9" s="28" t="s">
        <v>129</v>
      </c>
    </row>
    <row r="10" spans="1:27" ht="121.5">
      <c r="A10" s="13">
        <v>6</v>
      </c>
      <c r="B10" s="11" t="s">
        <v>44</v>
      </c>
      <c r="C10" s="12" t="s">
        <v>113</v>
      </c>
      <c r="D10" s="27" t="s">
        <v>115</v>
      </c>
      <c r="E10" s="28" t="s">
        <v>117</v>
      </c>
      <c r="F10" s="29" t="s">
        <v>119</v>
      </c>
      <c r="G10" s="28" t="s">
        <v>122</v>
      </c>
      <c r="H10" s="30" t="s">
        <v>123</v>
      </c>
      <c r="I10" s="62">
        <f t="shared" si="1"/>
        <v>130</v>
      </c>
      <c r="J10" s="44">
        <v>0</v>
      </c>
      <c r="K10" s="45">
        <v>30</v>
      </c>
      <c r="L10" s="45">
        <v>100</v>
      </c>
      <c r="M10" s="30">
        <v>0</v>
      </c>
      <c r="N10" s="55"/>
      <c r="O10" s="27"/>
      <c r="P10" s="31" t="s">
        <v>124</v>
      </c>
      <c r="Q10" s="27" t="s">
        <v>93</v>
      </c>
      <c r="R10" s="10" t="s">
        <v>126</v>
      </c>
      <c r="S10" s="30" t="s">
        <v>70</v>
      </c>
      <c r="T10" s="31" t="s">
        <v>73</v>
      </c>
      <c r="U10" s="9" t="s">
        <v>72</v>
      </c>
      <c r="V10" s="10" t="s">
        <v>127</v>
      </c>
      <c r="W10" s="56">
        <f t="shared" si="0"/>
        <v>27</v>
      </c>
      <c r="X10" s="56">
        <v>27</v>
      </c>
      <c r="Y10" s="59"/>
      <c r="Z10" s="28" t="s">
        <v>130</v>
      </c>
    </row>
    <row r="11" spans="1:27" ht="67.5">
      <c r="A11" s="13">
        <v>7</v>
      </c>
      <c r="B11" s="11" t="s">
        <v>44</v>
      </c>
      <c r="C11" s="12" t="s">
        <v>132</v>
      </c>
      <c r="D11" s="27" t="s">
        <v>144</v>
      </c>
      <c r="E11" s="28" t="s">
        <v>145</v>
      </c>
      <c r="F11" s="29" t="s">
        <v>133</v>
      </c>
      <c r="G11" s="28" t="s">
        <v>134</v>
      </c>
      <c r="H11" s="30" t="s">
        <v>135</v>
      </c>
      <c r="I11" s="62">
        <f t="shared" si="1"/>
        <v>1800</v>
      </c>
      <c r="J11" s="44">
        <v>0</v>
      </c>
      <c r="K11" s="45">
        <v>1800</v>
      </c>
      <c r="L11" s="45">
        <v>0</v>
      </c>
      <c r="M11" s="30">
        <v>0</v>
      </c>
      <c r="N11" s="55"/>
      <c r="O11" s="27"/>
      <c r="P11" s="31" t="s">
        <v>67</v>
      </c>
      <c r="Q11" s="27" t="s">
        <v>93</v>
      </c>
      <c r="R11" s="10" t="s">
        <v>137</v>
      </c>
      <c r="S11" s="30" t="s">
        <v>138</v>
      </c>
      <c r="T11" s="31" t="s">
        <v>139</v>
      </c>
      <c r="U11" s="9" t="s">
        <v>141</v>
      </c>
      <c r="V11" s="10" t="s">
        <v>142</v>
      </c>
      <c r="W11" s="56">
        <f t="shared" si="0"/>
        <v>880</v>
      </c>
      <c r="X11" s="56">
        <v>30</v>
      </c>
      <c r="Y11" s="59">
        <v>850</v>
      </c>
      <c r="Z11" s="28" t="s">
        <v>143</v>
      </c>
    </row>
    <row r="12" spans="1:27" ht="54">
      <c r="A12" s="13">
        <v>8</v>
      </c>
      <c r="B12" s="11" t="s">
        <v>146</v>
      </c>
      <c r="C12" s="12" t="s">
        <v>132</v>
      </c>
      <c r="D12" s="27" t="s">
        <v>147</v>
      </c>
      <c r="E12" s="28" t="s">
        <v>148</v>
      </c>
      <c r="F12" s="29" t="s">
        <v>149</v>
      </c>
      <c r="G12" s="28" t="s">
        <v>136</v>
      </c>
      <c r="H12" s="30" t="s">
        <v>150</v>
      </c>
      <c r="I12" s="62">
        <f t="shared" si="1"/>
        <v>300</v>
      </c>
      <c r="J12" s="44">
        <v>0</v>
      </c>
      <c r="K12" s="45">
        <v>300</v>
      </c>
      <c r="L12" s="45">
        <v>0</v>
      </c>
      <c r="M12" s="30">
        <v>0</v>
      </c>
      <c r="N12" s="55"/>
      <c r="O12" s="27"/>
      <c r="P12" s="31" t="s">
        <v>67</v>
      </c>
      <c r="Q12" s="27" t="s">
        <v>93</v>
      </c>
      <c r="R12" s="10" t="s">
        <v>151</v>
      </c>
      <c r="S12" s="30" t="s">
        <v>138</v>
      </c>
      <c r="T12" s="31" t="s">
        <v>140</v>
      </c>
      <c r="U12" s="9" t="s">
        <v>152</v>
      </c>
      <c r="V12" s="10" t="s">
        <v>142</v>
      </c>
      <c r="W12" s="56">
        <f t="shared" si="0"/>
        <v>11</v>
      </c>
      <c r="X12" s="56">
        <v>11</v>
      </c>
      <c r="Y12" s="59">
        <v>0</v>
      </c>
      <c r="Z12" s="28" t="s">
        <v>153</v>
      </c>
    </row>
    <row r="13" spans="1:27" ht="27">
      <c r="A13" s="13">
        <v>9</v>
      </c>
      <c r="B13" s="11" t="s">
        <v>154</v>
      </c>
      <c r="C13" s="12" t="s">
        <v>155</v>
      </c>
      <c r="D13" s="27" t="s">
        <v>156</v>
      </c>
      <c r="E13" s="28" t="s">
        <v>157</v>
      </c>
      <c r="F13" s="29" t="s">
        <v>158</v>
      </c>
      <c r="G13" s="28" t="s">
        <v>159</v>
      </c>
      <c r="H13" s="30" t="s">
        <v>160</v>
      </c>
      <c r="I13" s="62">
        <f t="shared" si="1"/>
        <v>833</v>
      </c>
      <c r="J13" s="44">
        <v>0</v>
      </c>
      <c r="K13" s="45">
        <v>833</v>
      </c>
      <c r="L13" s="45">
        <v>0</v>
      </c>
      <c r="M13" s="30">
        <v>0</v>
      </c>
      <c r="N13" s="55"/>
      <c r="O13" s="27"/>
      <c r="P13" s="31" t="s">
        <v>67</v>
      </c>
      <c r="Q13" s="27" t="s">
        <v>93</v>
      </c>
      <c r="R13" s="10" t="s">
        <v>161</v>
      </c>
      <c r="S13" s="30" t="s">
        <v>162</v>
      </c>
      <c r="T13" s="31" t="s">
        <v>163</v>
      </c>
      <c r="U13" s="9" t="s">
        <v>164</v>
      </c>
      <c r="V13" s="10" t="s">
        <v>165</v>
      </c>
      <c r="W13" s="56">
        <f t="shared" si="0"/>
        <v>2270</v>
      </c>
      <c r="X13" s="56">
        <v>1871</v>
      </c>
      <c r="Y13" s="59">
        <v>399</v>
      </c>
      <c r="Z13" s="28" t="s">
        <v>166</v>
      </c>
    </row>
    <row r="14" spans="1:27" ht="40.5">
      <c r="A14" s="13">
        <v>10</v>
      </c>
      <c r="B14" s="11" t="s">
        <v>168</v>
      </c>
      <c r="C14" s="12" t="s">
        <v>169</v>
      </c>
      <c r="D14" s="27" t="s">
        <v>170</v>
      </c>
      <c r="E14" s="28" t="s">
        <v>171</v>
      </c>
      <c r="F14" s="29" t="s">
        <v>172</v>
      </c>
      <c r="G14" s="28" t="s">
        <v>173</v>
      </c>
      <c r="H14" s="30" t="s">
        <v>174</v>
      </c>
      <c r="I14" s="62">
        <f t="shared" si="1"/>
        <v>75</v>
      </c>
      <c r="J14" s="44">
        <v>0</v>
      </c>
      <c r="K14" s="45">
        <v>55</v>
      </c>
      <c r="L14" s="45">
        <v>20</v>
      </c>
      <c r="M14" s="30">
        <v>0</v>
      </c>
      <c r="N14" s="55"/>
      <c r="O14" s="27"/>
      <c r="P14" s="31" t="s">
        <v>167</v>
      </c>
      <c r="Q14" s="27" t="s">
        <v>93</v>
      </c>
      <c r="R14" s="10" t="s">
        <v>175</v>
      </c>
      <c r="S14" s="30" t="s">
        <v>176</v>
      </c>
      <c r="T14" s="31" t="s">
        <v>177</v>
      </c>
      <c r="U14" s="9" t="s">
        <v>178</v>
      </c>
      <c r="V14" s="10" t="s">
        <v>179</v>
      </c>
      <c r="W14" s="56">
        <f t="shared" si="0"/>
        <v>52000</v>
      </c>
      <c r="X14" s="56">
        <v>52000</v>
      </c>
      <c r="Y14" s="59">
        <v>0</v>
      </c>
      <c r="Z14" s="28" t="s">
        <v>180</v>
      </c>
    </row>
    <row r="15" spans="1:27" ht="40.5">
      <c r="A15" s="13">
        <v>11</v>
      </c>
      <c r="B15" s="11" t="s">
        <v>168</v>
      </c>
      <c r="C15" s="12" t="s">
        <v>169</v>
      </c>
      <c r="D15" s="27" t="s">
        <v>181</v>
      </c>
      <c r="E15" s="28" t="s">
        <v>182</v>
      </c>
      <c r="F15" s="29" t="s">
        <v>183</v>
      </c>
      <c r="G15" s="28" t="s">
        <v>184</v>
      </c>
      <c r="H15" s="30" t="s">
        <v>185</v>
      </c>
      <c r="I15" s="62">
        <f t="shared" si="1"/>
        <v>180</v>
      </c>
      <c r="J15" s="44">
        <v>0</v>
      </c>
      <c r="K15" s="45">
        <v>0</v>
      </c>
      <c r="L15" s="45">
        <v>180</v>
      </c>
      <c r="M15" s="30">
        <v>0</v>
      </c>
      <c r="N15" s="55"/>
      <c r="O15" s="27"/>
      <c r="P15" s="31" t="s">
        <v>67</v>
      </c>
      <c r="Q15" s="27" t="s">
        <v>93</v>
      </c>
      <c r="R15" s="10" t="s">
        <v>186</v>
      </c>
      <c r="S15" s="30" t="s">
        <v>176</v>
      </c>
      <c r="T15" s="31" t="s">
        <v>187</v>
      </c>
      <c r="U15" s="9" t="s">
        <v>178</v>
      </c>
      <c r="V15" s="10" t="s">
        <v>179</v>
      </c>
      <c r="W15" s="56">
        <f t="shared" si="0"/>
        <v>200000</v>
      </c>
      <c r="X15" s="56">
        <v>200000</v>
      </c>
      <c r="Y15" s="59">
        <v>0</v>
      </c>
      <c r="Z15" s="28" t="s">
        <v>188</v>
      </c>
    </row>
    <row r="16" spans="1:27" ht="40.5">
      <c r="A16" s="13">
        <v>12</v>
      </c>
      <c r="B16" s="11" t="s">
        <v>44</v>
      </c>
      <c r="C16" s="12" t="s">
        <v>169</v>
      </c>
      <c r="D16" s="27" t="s">
        <v>189</v>
      </c>
      <c r="E16" s="28" t="s">
        <v>190</v>
      </c>
      <c r="F16" s="29" t="s">
        <v>191</v>
      </c>
      <c r="G16" s="28" t="s">
        <v>192</v>
      </c>
      <c r="H16" s="30" t="s">
        <v>193</v>
      </c>
      <c r="I16" s="62">
        <f t="shared" si="1"/>
        <v>218</v>
      </c>
      <c r="J16" s="44">
        <v>100</v>
      </c>
      <c r="K16" s="45">
        <v>30</v>
      </c>
      <c r="L16" s="45">
        <v>88</v>
      </c>
      <c r="M16" s="30">
        <v>0</v>
      </c>
      <c r="N16" s="55"/>
      <c r="O16" s="27"/>
      <c r="P16" s="31" t="s">
        <v>67</v>
      </c>
      <c r="Q16" s="27" t="s">
        <v>93</v>
      </c>
      <c r="R16" s="10" t="s">
        <v>194</v>
      </c>
      <c r="S16" s="30" t="s">
        <v>195</v>
      </c>
      <c r="T16" s="31" t="s">
        <v>196</v>
      </c>
      <c r="U16" s="9" t="s">
        <v>197</v>
      </c>
      <c r="V16" s="10">
        <v>400000</v>
      </c>
      <c r="W16" s="56">
        <f t="shared" si="0"/>
        <v>400000</v>
      </c>
      <c r="X16" s="56">
        <v>400000</v>
      </c>
      <c r="Y16" s="59">
        <v>0</v>
      </c>
      <c r="Z16" s="28" t="s">
        <v>198</v>
      </c>
    </row>
    <row r="17" spans="1:26" ht="67.5">
      <c r="A17" s="13">
        <v>13</v>
      </c>
      <c r="B17" s="11" t="s">
        <v>44</v>
      </c>
      <c r="C17" s="12" t="s">
        <v>207</v>
      </c>
      <c r="D17" s="27" t="s">
        <v>208</v>
      </c>
      <c r="E17" s="28" t="s">
        <v>209</v>
      </c>
      <c r="F17" s="29" t="s">
        <v>210</v>
      </c>
      <c r="G17" s="28" t="s">
        <v>211</v>
      </c>
      <c r="H17" s="30" t="s">
        <v>121</v>
      </c>
      <c r="I17" s="62">
        <f>SUM(J17:N17)</f>
        <v>141</v>
      </c>
      <c r="J17" s="44">
        <v>0</v>
      </c>
      <c r="K17" s="45">
        <v>39</v>
      </c>
      <c r="L17" s="45">
        <v>102</v>
      </c>
      <c r="M17" s="30">
        <v>0</v>
      </c>
      <c r="N17" s="55"/>
      <c r="O17" s="27"/>
      <c r="P17" s="31" t="s">
        <v>12</v>
      </c>
      <c r="Q17" s="27" t="s">
        <v>93</v>
      </c>
      <c r="R17" s="10" t="s">
        <v>201</v>
      </c>
      <c r="S17" s="30" t="s">
        <v>70</v>
      </c>
      <c r="T17" s="31" t="s">
        <v>204</v>
      </c>
      <c r="U17" s="9" t="s">
        <v>72</v>
      </c>
      <c r="V17" s="10" t="s">
        <v>202</v>
      </c>
      <c r="W17" s="56">
        <v>2</v>
      </c>
      <c r="X17" s="56">
        <v>2</v>
      </c>
      <c r="Y17" s="59">
        <v>0</v>
      </c>
      <c r="Z17" s="28" t="s">
        <v>212</v>
      </c>
    </row>
    <row r="18" spans="1:26" ht="54">
      <c r="A18" s="13">
        <v>14</v>
      </c>
      <c r="B18" s="11" t="s">
        <v>44</v>
      </c>
      <c r="C18" s="12" t="s">
        <v>207</v>
      </c>
      <c r="D18" s="27" t="s">
        <v>199</v>
      </c>
      <c r="E18" s="28" t="s">
        <v>213</v>
      </c>
      <c r="F18" s="29" t="s">
        <v>214</v>
      </c>
      <c r="G18" s="28" t="s">
        <v>215</v>
      </c>
      <c r="H18" s="30" t="s">
        <v>200</v>
      </c>
      <c r="I18" s="62">
        <f>SUM(J18:N18)</f>
        <v>115</v>
      </c>
      <c r="J18" s="44">
        <v>0</v>
      </c>
      <c r="K18" s="45">
        <v>36</v>
      </c>
      <c r="L18" s="45">
        <v>79</v>
      </c>
      <c r="M18" s="30">
        <v>0</v>
      </c>
      <c r="N18" s="55"/>
      <c r="O18" s="27"/>
      <c r="P18" s="31" t="s">
        <v>67</v>
      </c>
      <c r="Q18" s="27" t="s">
        <v>93</v>
      </c>
      <c r="R18" s="10" t="s">
        <v>203</v>
      </c>
      <c r="S18" s="30" t="s">
        <v>70</v>
      </c>
      <c r="T18" s="31" t="s">
        <v>204</v>
      </c>
      <c r="U18" s="9" t="s">
        <v>72</v>
      </c>
      <c r="V18" s="10" t="s">
        <v>202</v>
      </c>
      <c r="W18" s="56">
        <f t="shared" ref="W18" si="2">SUM(X18:Y18)</f>
        <v>0</v>
      </c>
      <c r="X18" s="56">
        <v>0</v>
      </c>
      <c r="Y18" s="59">
        <v>0</v>
      </c>
      <c r="Z18" s="28" t="s">
        <v>216</v>
      </c>
    </row>
    <row r="19" spans="1:26" ht="27">
      <c r="A19" s="13">
        <v>15</v>
      </c>
      <c r="B19" s="11" t="s">
        <v>217</v>
      </c>
      <c r="C19" s="12" t="s">
        <v>207</v>
      </c>
      <c r="D19" s="27" t="s">
        <v>218</v>
      </c>
      <c r="E19" s="28" t="s">
        <v>219</v>
      </c>
      <c r="F19" s="29" t="s">
        <v>220</v>
      </c>
      <c r="G19" s="28" t="s">
        <v>221</v>
      </c>
      <c r="H19" s="30" t="s">
        <v>222</v>
      </c>
      <c r="I19" s="62">
        <f t="shared" ref="I19:I20" si="3">SUM(J19:N19)</f>
        <v>50</v>
      </c>
      <c r="J19" s="44">
        <v>0</v>
      </c>
      <c r="K19" s="45">
        <v>20</v>
      </c>
      <c r="L19" s="45">
        <v>30</v>
      </c>
      <c r="M19" s="30">
        <v>0</v>
      </c>
      <c r="N19" s="55"/>
      <c r="O19" s="27"/>
      <c r="P19" s="31" t="s">
        <v>205</v>
      </c>
      <c r="Q19" s="27" t="s">
        <v>93</v>
      </c>
      <c r="R19" s="10" t="s">
        <v>223</v>
      </c>
      <c r="S19" s="30" t="s">
        <v>70</v>
      </c>
      <c r="T19" s="31" t="s">
        <v>73</v>
      </c>
      <c r="U19" s="9" t="s">
        <v>72</v>
      </c>
      <c r="V19" s="10" t="s">
        <v>202</v>
      </c>
      <c r="W19" s="56">
        <v>1.5</v>
      </c>
      <c r="X19" s="56">
        <v>1.5</v>
      </c>
      <c r="Y19" s="59">
        <v>0</v>
      </c>
      <c r="Z19" s="28" t="s">
        <v>224</v>
      </c>
    </row>
    <row r="20" spans="1:26" ht="94.5">
      <c r="A20" s="13">
        <v>16</v>
      </c>
      <c r="B20" s="11" t="s">
        <v>44</v>
      </c>
      <c r="C20" s="12" t="s">
        <v>225</v>
      </c>
      <c r="D20" s="27" t="s">
        <v>226</v>
      </c>
      <c r="E20" s="28" t="s">
        <v>227</v>
      </c>
      <c r="F20" s="29" t="s">
        <v>228</v>
      </c>
      <c r="G20" s="28" t="s">
        <v>221</v>
      </c>
      <c r="H20" s="30" t="s">
        <v>229</v>
      </c>
      <c r="I20" s="62">
        <f t="shared" si="3"/>
        <v>419</v>
      </c>
      <c r="J20" s="44">
        <v>0</v>
      </c>
      <c r="K20" s="45">
        <v>100</v>
      </c>
      <c r="L20" s="45">
        <v>319</v>
      </c>
      <c r="M20" s="30">
        <v>0</v>
      </c>
      <c r="N20" s="55"/>
      <c r="O20" s="27"/>
      <c r="P20" s="31" t="s">
        <v>12</v>
      </c>
      <c r="Q20" s="27" t="s">
        <v>93</v>
      </c>
      <c r="R20" s="10" t="s">
        <v>206</v>
      </c>
      <c r="S20" s="30" t="s">
        <v>70</v>
      </c>
      <c r="T20" s="31" t="s">
        <v>204</v>
      </c>
      <c r="U20" s="9" t="s">
        <v>72</v>
      </c>
      <c r="V20" s="10" t="s">
        <v>202</v>
      </c>
      <c r="W20" s="56">
        <v>25</v>
      </c>
      <c r="X20" s="56">
        <v>23</v>
      </c>
      <c r="Y20" s="59">
        <v>2</v>
      </c>
      <c r="Z20" s="28" t="s">
        <v>230</v>
      </c>
    </row>
    <row r="21" spans="1:26" ht="67.5">
      <c r="A21" s="13">
        <v>17</v>
      </c>
      <c r="B21" s="11" t="s">
        <v>146</v>
      </c>
      <c r="C21" s="12" t="s">
        <v>234</v>
      </c>
      <c r="D21" s="27" t="s">
        <v>231</v>
      </c>
      <c r="E21" s="28" t="s">
        <v>235</v>
      </c>
      <c r="F21" s="29" t="s">
        <v>232</v>
      </c>
      <c r="G21" s="28" t="s">
        <v>233</v>
      </c>
      <c r="H21" s="30" t="s">
        <v>236</v>
      </c>
      <c r="I21" s="62">
        <v>640</v>
      </c>
      <c r="J21" s="44">
        <v>0</v>
      </c>
      <c r="K21" s="45">
        <v>220</v>
      </c>
      <c r="L21" s="45">
        <v>420</v>
      </c>
      <c r="M21" s="30">
        <v>0</v>
      </c>
      <c r="N21" s="55"/>
      <c r="O21" s="27"/>
      <c r="P21" s="31" t="s">
        <v>237</v>
      </c>
      <c r="Q21" s="27" t="s">
        <v>93</v>
      </c>
      <c r="R21" s="10" t="s">
        <v>238</v>
      </c>
      <c r="S21" s="30" t="s">
        <v>70</v>
      </c>
      <c r="T21" s="31" t="s">
        <v>239</v>
      </c>
      <c r="U21" s="9" t="s">
        <v>240</v>
      </c>
      <c r="V21" s="10" t="s">
        <v>241</v>
      </c>
      <c r="W21" s="56">
        <f>SUM(X21:Y21)</f>
        <v>400</v>
      </c>
      <c r="X21" s="56">
        <v>399</v>
      </c>
      <c r="Y21" s="59">
        <v>1</v>
      </c>
      <c r="Z21" s="28" t="s">
        <v>242</v>
      </c>
    </row>
    <row r="22" spans="1:26" ht="54">
      <c r="A22" s="13">
        <v>18</v>
      </c>
      <c r="B22" s="11" t="s">
        <v>246</v>
      </c>
      <c r="C22" s="12" t="s">
        <v>247</v>
      </c>
      <c r="D22" s="27" t="s">
        <v>248</v>
      </c>
      <c r="E22" s="28" t="s">
        <v>249</v>
      </c>
      <c r="F22" s="29" t="s">
        <v>250</v>
      </c>
      <c r="G22" s="28" t="s">
        <v>251</v>
      </c>
      <c r="H22" s="30" t="s">
        <v>252</v>
      </c>
      <c r="I22" s="62">
        <v>380</v>
      </c>
      <c r="J22" s="44">
        <v>0</v>
      </c>
      <c r="K22" s="45">
        <v>200</v>
      </c>
      <c r="L22" s="45">
        <v>180</v>
      </c>
      <c r="M22" s="30">
        <v>0</v>
      </c>
      <c r="N22" s="55"/>
      <c r="O22" s="27"/>
      <c r="P22" s="31" t="s">
        <v>12</v>
      </c>
      <c r="Q22" s="27" t="s">
        <v>93</v>
      </c>
      <c r="R22" s="10" t="s">
        <v>245</v>
      </c>
      <c r="S22" s="30" t="s">
        <v>253</v>
      </c>
      <c r="T22" s="31" t="s">
        <v>254</v>
      </c>
      <c r="U22" s="9" t="s">
        <v>255</v>
      </c>
      <c r="V22" s="10" t="s">
        <v>256</v>
      </c>
      <c r="W22" s="56">
        <v>150</v>
      </c>
      <c r="X22" s="56">
        <v>150</v>
      </c>
      <c r="Y22" s="59"/>
      <c r="Z22" s="28" t="s">
        <v>257</v>
      </c>
    </row>
    <row r="23" spans="1:26" ht="40.5">
      <c r="A23" s="13">
        <v>19</v>
      </c>
      <c r="B23" s="11" t="s">
        <v>246</v>
      </c>
      <c r="C23" s="12" t="s">
        <v>247</v>
      </c>
      <c r="D23" s="27" t="s">
        <v>258</v>
      </c>
      <c r="E23" s="28" t="s">
        <v>259</v>
      </c>
      <c r="F23" s="29" t="s">
        <v>260</v>
      </c>
      <c r="G23" s="28" t="s">
        <v>243</v>
      </c>
      <c r="H23" s="30" t="s">
        <v>261</v>
      </c>
      <c r="I23" s="62">
        <v>110</v>
      </c>
      <c r="J23" s="44">
        <v>0</v>
      </c>
      <c r="K23" s="45">
        <v>30</v>
      </c>
      <c r="L23" s="45">
        <v>80</v>
      </c>
      <c r="M23" s="30">
        <v>0</v>
      </c>
      <c r="N23" s="55"/>
      <c r="O23" s="27"/>
      <c r="P23" s="31" t="s">
        <v>244</v>
      </c>
      <c r="Q23" s="27" t="s">
        <v>93</v>
      </c>
      <c r="R23" s="10" t="s">
        <v>262</v>
      </c>
      <c r="S23" s="30" t="s">
        <v>253</v>
      </c>
      <c r="T23" s="31" t="s">
        <v>254</v>
      </c>
      <c r="U23" s="9" t="s">
        <v>255</v>
      </c>
      <c r="V23" s="10" t="s">
        <v>256</v>
      </c>
      <c r="W23" s="56">
        <v>20</v>
      </c>
      <c r="X23" s="56">
        <v>20</v>
      </c>
      <c r="Y23" s="59"/>
      <c r="Z23" s="28" t="s">
        <v>263</v>
      </c>
    </row>
    <row r="24" spans="1:26" ht="27">
      <c r="A24" s="13">
        <v>20</v>
      </c>
      <c r="B24" s="11" t="s">
        <v>44</v>
      </c>
      <c r="C24" s="12" t="s">
        <v>268</v>
      </c>
      <c r="D24" s="27" t="s">
        <v>264</v>
      </c>
      <c r="E24" s="28" t="s">
        <v>269</v>
      </c>
      <c r="F24" s="29" t="s">
        <v>270</v>
      </c>
      <c r="G24" s="28" t="s">
        <v>271</v>
      </c>
      <c r="H24" s="30" t="s">
        <v>272</v>
      </c>
      <c r="I24" s="62" t="s">
        <v>265</v>
      </c>
      <c r="J24" s="44">
        <v>0</v>
      </c>
      <c r="K24" s="45">
        <v>240</v>
      </c>
      <c r="L24" s="45">
        <v>550</v>
      </c>
      <c r="M24" s="30">
        <v>0</v>
      </c>
      <c r="N24" s="55"/>
      <c r="O24" s="27"/>
      <c r="P24" s="31" t="s">
        <v>12</v>
      </c>
      <c r="Q24" s="27" t="s">
        <v>93</v>
      </c>
      <c r="R24" s="10" t="s">
        <v>266</v>
      </c>
      <c r="S24" s="30" t="s">
        <v>70</v>
      </c>
      <c r="T24" s="31" t="s">
        <v>140</v>
      </c>
      <c r="U24" s="9" t="s">
        <v>267</v>
      </c>
      <c r="V24" s="10" t="s">
        <v>71</v>
      </c>
      <c r="W24" s="56">
        <v>36500</v>
      </c>
      <c r="X24" s="56">
        <v>36500</v>
      </c>
      <c r="Y24" s="59">
        <v>0</v>
      </c>
      <c r="Z24" s="28" t="s">
        <v>273</v>
      </c>
    </row>
    <row r="25" spans="1:26" ht="40.5">
      <c r="A25" s="13">
        <v>21</v>
      </c>
      <c r="B25" s="11" t="s">
        <v>275</v>
      </c>
      <c r="C25" s="12" t="s">
        <v>276</v>
      </c>
      <c r="D25" s="27" t="s">
        <v>277</v>
      </c>
      <c r="E25" s="28" t="s">
        <v>278</v>
      </c>
      <c r="F25" s="29" t="s">
        <v>279</v>
      </c>
      <c r="G25" s="28" t="s">
        <v>280</v>
      </c>
      <c r="H25" s="30" t="s">
        <v>281</v>
      </c>
      <c r="I25" s="62">
        <v>113</v>
      </c>
      <c r="J25" s="44">
        <v>0</v>
      </c>
      <c r="K25" s="45">
        <v>50</v>
      </c>
      <c r="L25" s="45">
        <v>63</v>
      </c>
      <c r="M25" s="30">
        <v>0</v>
      </c>
      <c r="N25" s="55"/>
      <c r="O25" s="27"/>
      <c r="P25" s="31" t="s">
        <v>11</v>
      </c>
      <c r="Q25" s="27" t="s">
        <v>93</v>
      </c>
      <c r="R25" s="10" t="s">
        <v>282</v>
      </c>
      <c r="S25" s="30" t="s">
        <v>70</v>
      </c>
      <c r="T25" s="31" t="s">
        <v>283</v>
      </c>
      <c r="U25" s="9" t="s">
        <v>284</v>
      </c>
      <c r="V25" s="10" t="s">
        <v>285</v>
      </c>
      <c r="W25" s="56">
        <v>5</v>
      </c>
      <c r="X25" s="56"/>
      <c r="Y25" s="59"/>
      <c r="Z25" s="28" t="s">
        <v>286</v>
      </c>
    </row>
    <row r="26" spans="1:26" ht="67.5">
      <c r="A26" s="13">
        <v>22</v>
      </c>
      <c r="B26" s="11" t="s">
        <v>44</v>
      </c>
      <c r="C26" s="12" t="s">
        <v>287</v>
      </c>
      <c r="D26" s="27" t="s">
        <v>288</v>
      </c>
      <c r="E26" s="28" t="s">
        <v>289</v>
      </c>
      <c r="F26" s="29" t="s">
        <v>290</v>
      </c>
      <c r="G26" s="28" t="s">
        <v>291</v>
      </c>
      <c r="H26" s="30" t="s">
        <v>274</v>
      </c>
      <c r="I26" s="62">
        <v>160</v>
      </c>
      <c r="J26" s="44">
        <v>40</v>
      </c>
      <c r="K26" s="45">
        <v>100</v>
      </c>
      <c r="L26" s="45">
        <v>20</v>
      </c>
      <c r="M26" s="30">
        <v>0</v>
      </c>
      <c r="N26" s="55"/>
      <c r="O26" s="27"/>
      <c r="P26" s="31" t="s">
        <v>45</v>
      </c>
      <c r="Q26" s="27" t="s">
        <v>93</v>
      </c>
      <c r="R26" s="10" t="s">
        <v>292</v>
      </c>
      <c r="S26" s="30" t="s">
        <v>293</v>
      </c>
      <c r="T26" s="31" t="s">
        <v>294</v>
      </c>
      <c r="U26" s="9" t="s">
        <v>295</v>
      </c>
      <c r="V26" s="10" t="s">
        <v>296</v>
      </c>
      <c r="W26" s="56">
        <v>500</v>
      </c>
      <c r="X26" s="56"/>
      <c r="Y26" s="59"/>
      <c r="Z26" s="28" t="s">
        <v>297</v>
      </c>
    </row>
    <row r="27" spans="1:26" ht="40.5">
      <c r="A27" s="13">
        <v>23</v>
      </c>
      <c r="B27" s="11" t="s">
        <v>298</v>
      </c>
      <c r="C27" s="12" t="s">
        <v>299</v>
      </c>
      <c r="D27" s="27" t="s">
        <v>300</v>
      </c>
      <c r="E27" s="28" t="s">
        <v>301</v>
      </c>
      <c r="F27" s="29" t="s">
        <v>302</v>
      </c>
      <c r="G27" s="28" t="s">
        <v>303</v>
      </c>
      <c r="H27" s="30" t="s">
        <v>304</v>
      </c>
      <c r="I27" s="62">
        <v>85</v>
      </c>
      <c r="J27" s="44">
        <v>0</v>
      </c>
      <c r="K27" s="45">
        <v>35</v>
      </c>
      <c r="L27" s="45">
        <v>50</v>
      </c>
      <c r="M27" s="30">
        <v>0</v>
      </c>
      <c r="N27" s="55"/>
      <c r="O27" s="27"/>
      <c r="P27" s="31" t="s">
        <v>11</v>
      </c>
      <c r="Q27" s="27" t="s">
        <v>93</v>
      </c>
      <c r="R27" s="10" t="s">
        <v>305</v>
      </c>
      <c r="S27" s="30" t="s">
        <v>306</v>
      </c>
      <c r="T27" s="31" t="s">
        <v>307</v>
      </c>
      <c r="U27" s="9" t="s">
        <v>308</v>
      </c>
      <c r="V27" s="10" t="s">
        <v>309</v>
      </c>
      <c r="W27" s="56">
        <v>10</v>
      </c>
      <c r="X27" s="56"/>
      <c r="Y27" s="59"/>
      <c r="Z27" s="28" t="s">
        <v>310</v>
      </c>
    </row>
    <row r="28" spans="1:26" ht="40.5">
      <c r="A28" s="13">
        <v>24</v>
      </c>
      <c r="B28" s="11" t="s">
        <v>311</v>
      </c>
      <c r="C28" s="12" t="s">
        <v>299</v>
      </c>
      <c r="D28" s="27" t="s">
        <v>312</v>
      </c>
      <c r="E28" s="28" t="s">
        <v>313</v>
      </c>
      <c r="F28" s="29" t="s">
        <v>314</v>
      </c>
      <c r="G28" s="28" t="s">
        <v>315</v>
      </c>
      <c r="H28" s="30" t="s">
        <v>316</v>
      </c>
      <c r="I28" s="62">
        <v>205</v>
      </c>
      <c r="J28" s="44">
        <v>0</v>
      </c>
      <c r="K28" s="45">
        <v>120</v>
      </c>
      <c r="L28" s="45">
        <v>65</v>
      </c>
      <c r="M28" s="30">
        <v>20</v>
      </c>
      <c r="N28" s="55"/>
      <c r="O28" s="27"/>
      <c r="P28" s="31" t="s">
        <v>317</v>
      </c>
      <c r="Q28" s="27" t="s">
        <v>93</v>
      </c>
      <c r="R28" s="10" t="s">
        <v>318</v>
      </c>
      <c r="S28" s="30" t="s">
        <v>70</v>
      </c>
      <c r="T28" s="31" t="s">
        <v>283</v>
      </c>
      <c r="U28" s="9" t="s">
        <v>308</v>
      </c>
      <c r="V28" s="10" t="s">
        <v>309</v>
      </c>
      <c r="W28" s="56">
        <v>45</v>
      </c>
      <c r="X28" s="56"/>
      <c r="Y28" s="59"/>
      <c r="Z28" s="28" t="s">
        <v>319</v>
      </c>
    </row>
    <row r="29" spans="1:26" ht="81">
      <c r="A29" s="13">
        <v>25</v>
      </c>
      <c r="B29" s="11" t="s">
        <v>275</v>
      </c>
      <c r="C29" s="12" t="s">
        <v>320</v>
      </c>
      <c r="D29" s="27" t="s">
        <v>326</v>
      </c>
      <c r="E29" s="28" t="s">
        <v>327</v>
      </c>
      <c r="F29" s="29" t="s">
        <v>321</v>
      </c>
      <c r="G29" s="28" t="s">
        <v>328</v>
      </c>
      <c r="H29" s="30" t="s">
        <v>329</v>
      </c>
      <c r="I29" s="62">
        <v>542</v>
      </c>
      <c r="J29" s="44">
        <v>2</v>
      </c>
      <c r="K29" s="45">
        <v>240</v>
      </c>
      <c r="L29" s="45">
        <v>300</v>
      </c>
      <c r="M29" s="30">
        <v>0</v>
      </c>
      <c r="N29" s="55" t="s">
        <v>322</v>
      </c>
      <c r="O29" s="27" t="s">
        <v>323</v>
      </c>
      <c r="P29" s="31" t="s">
        <v>12</v>
      </c>
      <c r="Q29" s="27" t="s">
        <v>93</v>
      </c>
      <c r="R29" s="10" t="s">
        <v>330</v>
      </c>
      <c r="S29" s="30" t="s">
        <v>306</v>
      </c>
      <c r="T29" s="31" t="s">
        <v>331</v>
      </c>
      <c r="U29" s="9" t="s">
        <v>332</v>
      </c>
      <c r="V29" s="10" t="s">
        <v>333</v>
      </c>
      <c r="W29" s="56">
        <f>SUM(X29:Y29)</f>
        <v>150</v>
      </c>
      <c r="X29" s="56">
        <v>150</v>
      </c>
      <c r="Y29" s="59"/>
      <c r="Z29" s="28" t="s">
        <v>334</v>
      </c>
    </row>
    <row r="30" spans="1:26" ht="94.5">
      <c r="A30" s="13">
        <v>26</v>
      </c>
      <c r="B30" s="11" t="s">
        <v>343</v>
      </c>
      <c r="C30" s="12" t="s">
        <v>335</v>
      </c>
      <c r="D30" s="27" t="s">
        <v>336</v>
      </c>
      <c r="E30" s="28" t="s">
        <v>344</v>
      </c>
      <c r="F30" s="29" t="s">
        <v>337</v>
      </c>
      <c r="G30" s="28" t="s">
        <v>338</v>
      </c>
      <c r="H30" s="30" t="s">
        <v>339</v>
      </c>
      <c r="I30" s="62">
        <v>834</v>
      </c>
      <c r="J30" s="44">
        <v>334</v>
      </c>
      <c r="K30" s="45">
        <v>100</v>
      </c>
      <c r="L30" s="45">
        <v>400</v>
      </c>
      <c r="M30" s="30">
        <v>0</v>
      </c>
      <c r="N30" s="55" t="s">
        <v>322</v>
      </c>
      <c r="O30" s="27" t="s">
        <v>347</v>
      </c>
      <c r="P30" s="31" t="s">
        <v>345</v>
      </c>
      <c r="Q30" s="27" t="s">
        <v>93</v>
      </c>
      <c r="R30" s="10" t="s">
        <v>340</v>
      </c>
      <c r="S30" s="30" t="s">
        <v>324</v>
      </c>
      <c r="T30" s="31" t="s">
        <v>346</v>
      </c>
      <c r="U30" s="9" t="s">
        <v>341</v>
      </c>
      <c r="V30" s="10" t="s">
        <v>325</v>
      </c>
      <c r="W30" s="56">
        <v>120</v>
      </c>
      <c r="X30" s="56">
        <v>100</v>
      </c>
      <c r="Y30" s="59">
        <v>20</v>
      </c>
      <c r="Z30" s="28" t="s">
        <v>342</v>
      </c>
    </row>
    <row r="31" spans="1:26" ht="67.5">
      <c r="A31" s="13">
        <v>27</v>
      </c>
      <c r="B31" s="11" t="s">
        <v>44</v>
      </c>
      <c r="C31" s="12" t="s">
        <v>352</v>
      </c>
      <c r="D31" s="27" t="s">
        <v>348</v>
      </c>
      <c r="E31" s="28" t="s">
        <v>353</v>
      </c>
      <c r="F31" s="29" t="s">
        <v>356</v>
      </c>
      <c r="G31" s="28" t="s">
        <v>354</v>
      </c>
      <c r="H31" s="30" t="s">
        <v>349</v>
      </c>
      <c r="I31" s="62">
        <v>197</v>
      </c>
      <c r="J31" s="44">
        <v>0</v>
      </c>
      <c r="K31" s="45">
        <v>70</v>
      </c>
      <c r="L31" s="45">
        <v>127</v>
      </c>
      <c r="M31" s="30">
        <v>0</v>
      </c>
      <c r="N31" s="55"/>
      <c r="O31" s="27"/>
      <c r="P31" s="31" t="s">
        <v>12</v>
      </c>
      <c r="Q31" s="27" t="s">
        <v>93</v>
      </c>
      <c r="R31" s="10" t="s">
        <v>350</v>
      </c>
      <c r="S31" s="30" t="s">
        <v>70</v>
      </c>
      <c r="T31" s="31" t="s">
        <v>73</v>
      </c>
      <c r="U31" s="9" t="s">
        <v>72</v>
      </c>
      <c r="V31" s="10" t="s">
        <v>355</v>
      </c>
      <c r="W31" s="56">
        <v>4</v>
      </c>
      <c r="X31" s="56">
        <v>4</v>
      </c>
      <c r="Y31" s="59"/>
      <c r="Z31" s="28" t="s">
        <v>351</v>
      </c>
    </row>
    <row r="32" spans="1:26" ht="67.5">
      <c r="A32" s="13">
        <v>28</v>
      </c>
      <c r="B32" s="11" t="s">
        <v>44</v>
      </c>
      <c r="C32" s="12" t="s">
        <v>366</v>
      </c>
      <c r="D32" s="27" t="s">
        <v>357</v>
      </c>
      <c r="E32" s="28" t="s">
        <v>367</v>
      </c>
      <c r="F32" s="29" t="s">
        <v>358</v>
      </c>
      <c r="G32" s="28" t="s">
        <v>359</v>
      </c>
      <c r="H32" s="30" t="s">
        <v>360</v>
      </c>
      <c r="I32" s="62">
        <f>SUM(J32:M32)</f>
        <v>391</v>
      </c>
      <c r="J32" s="44">
        <v>0</v>
      </c>
      <c r="K32" s="45">
        <v>100</v>
      </c>
      <c r="L32" s="45">
        <v>291</v>
      </c>
      <c r="M32" s="30">
        <v>0</v>
      </c>
      <c r="N32" s="55"/>
      <c r="O32" s="27"/>
      <c r="P32" s="31" t="s">
        <v>345</v>
      </c>
      <c r="Q32" s="27" t="s">
        <v>93</v>
      </c>
      <c r="R32" s="10" t="s">
        <v>364</v>
      </c>
      <c r="S32" s="30" t="s">
        <v>70</v>
      </c>
      <c r="T32" s="31" t="s">
        <v>331</v>
      </c>
      <c r="U32" s="9" t="s">
        <v>341</v>
      </c>
      <c r="V32" s="10" t="s">
        <v>309</v>
      </c>
      <c r="W32" s="56">
        <f>SUM(X32:Y32)</f>
        <v>340</v>
      </c>
      <c r="X32" s="56">
        <v>339</v>
      </c>
      <c r="Y32" s="59">
        <v>1</v>
      </c>
      <c r="Z32" s="28" t="s">
        <v>297</v>
      </c>
    </row>
    <row r="33" spans="1:26" ht="54">
      <c r="A33" s="13">
        <v>29</v>
      </c>
      <c r="B33" s="11" t="s">
        <v>44</v>
      </c>
      <c r="C33" s="12" t="s">
        <v>366</v>
      </c>
      <c r="D33" s="27" t="s">
        <v>368</v>
      </c>
      <c r="E33" s="28" t="s">
        <v>369</v>
      </c>
      <c r="F33" s="29" t="s">
        <v>361</v>
      </c>
      <c r="G33" s="28" t="s">
        <v>362</v>
      </c>
      <c r="H33" s="30" t="s">
        <v>363</v>
      </c>
      <c r="I33" s="62">
        <f>SUM(J33:M33)</f>
        <v>163</v>
      </c>
      <c r="J33" s="44">
        <v>0</v>
      </c>
      <c r="K33" s="45">
        <v>50</v>
      </c>
      <c r="L33" s="45">
        <v>113</v>
      </c>
      <c r="M33" s="30">
        <v>0</v>
      </c>
      <c r="N33" s="55"/>
      <c r="O33" s="27"/>
      <c r="P33" s="31" t="s">
        <v>345</v>
      </c>
      <c r="Q33" s="27" t="s">
        <v>93</v>
      </c>
      <c r="R33" s="10" t="s">
        <v>370</v>
      </c>
      <c r="S33" s="30" t="s">
        <v>70</v>
      </c>
      <c r="T33" s="31" t="s">
        <v>73</v>
      </c>
      <c r="U33" s="9" t="s">
        <v>72</v>
      </c>
      <c r="V33" s="10" t="s">
        <v>309</v>
      </c>
      <c r="W33" s="56">
        <f t="shared" ref="W33" si="4">SUM(X33:Y33)</f>
        <v>280</v>
      </c>
      <c r="X33" s="56">
        <v>280</v>
      </c>
      <c r="Y33" s="59"/>
      <c r="Z33" s="28" t="s">
        <v>365</v>
      </c>
    </row>
    <row r="34" spans="1:26" ht="67.5">
      <c r="A34" s="13">
        <v>30</v>
      </c>
      <c r="B34" s="11" t="s">
        <v>44</v>
      </c>
      <c r="C34" s="12" t="s">
        <v>35</v>
      </c>
      <c r="D34" s="27" t="s">
        <v>375</v>
      </c>
      <c r="E34" s="28" t="s">
        <v>376</v>
      </c>
      <c r="F34" s="29" t="s">
        <v>377</v>
      </c>
      <c r="G34" s="28" t="s">
        <v>371</v>
      </c>
      <c r="H34" s="30" t="s">
        <v>378</v>
      </c>
      <c r="I34" s="62">
        <v>80</v>
      </c>
      <c r="J34" s="44">
        <v>0</v>
      </c>
      <c r="K34" s="45">
        <v>80</v>
      </c>
      <c r="L34" s="45">
        <v>0</v>
      </c>
      <c r="M34" s="30">
        <v>0</v>
      </c>
      <c r="N34" s="55" t="s">
        <v>372</v>
      </c>
      <c r="O34" s="27" t="s">
        <v>372</v>
      </c>
      <c r="P34" s="31" t="s">
        <v>345</v>
      </c>
      <c r="Q34" s="27" t="s">
        <v>93</v>
      </c>
      <c r="R34" s="10" t="s">
        <v>373</v>
      </c>
      <c r="S34" s="30" t="s">
        <v>70</v>
      </c>
      <c r="T34" s="31" t="s">
        <v>381</v>
      </c>
      <c r="U34" s="9" t="s">
        <v>72</v>
      </c>
      <c r="V34" s="10" t="s">
        <v>379</v>
      </c>
      <c r="W34" s="56">
        <v>20</v>
      </c>
      <c r="X34" s="56">
        <v>16</v>
      </c>
      <c r="Y34" s="59">
        <v>4</v>
      </c>
      <c r="Z34" s="28" t="s">
        <v>380</v>
      </c>
    </row>
    <row r="35" spans="1:26" ht="27">
      <c r="A35" s="13">
        <v>31</v>
      </c>
      <c r="B35" s="11" t="s">
        <v>44</v>
      </c>
      <c r="C35" s="12" t="s">
        <v>35</v>
      </c>
      <c r="D35" s="27" t="s">
        <v>382</v>
      </c>
      <c r="E35" s="28" t="s">
        <v>386</v>
      </c>
      <c r="F35" s="29" t="s">
        <v>383</v>
      </c>
      <c r="G35" s="28" t="s">
        <v>387</v>
      </c>
      <c r="H35" s="30" t="s">
        <v>388</v>
      </c>
      <c r="I35" s="62">
        <v>30</v>
      </c>
      <c r="J35" s="44">
        <v>0</v>
      </c>
      <c r="K35" s="45">
        <v>30</v>
      </c>
      <c r="L35" s="45">
        <v>0</v>
      </c>
      <c r="M35" s="30">
        <v>0</v>
      </c>
      <c r="N35" s="55"/>
      <c r="O35" s="27"/>
      <c r="P35" s="31" t="s">
        <v>345</v>
      </c>
      <c r="Q35" s="27" t="s">
        <v>93</v>
      </c>
      <c r="R35" s="10" t="s">
        <v>389</v>
      </c>
      <c r="S35" s="30" t="s">
        <v>70</v>
      </c>
      <c r="T35" s="31" t="s">
        <v>384</v>
      </c>
      <c r="U35" s="9" t="s">
        <v>72</v>
      </c>
      <c r="V35" s="10" t="s">
        <v>374</v>
      </c>
      <c r="W35" s="56">
        <f t="shared" ref="W35" si="5">SUM(X35:Y35)</f>
        <v>2</v>
      </c>
      <c r="X35" s="56">
        <v>2</v>
      </c>
      <c r="Y35" s="59"/>
      <c r="Z35" s="28" t="s">
        <v>385</v>
      </c>
    </row>
    <row r="36" spans="1:26" ht="67.5">
      <c r="A36" s="13">
        <v>32</v>
      </c>
      <c r="B36" s="11" t="s">
        <v>44</v>
      </c>
      <c r="C36" s="12" t="s">
        <v>35</v>
      </c>
      <c r="D36" s="27" t="s">
        <v>391</v>
      </c>
      <c r="E36" s="28" t="s">
        <v>392</v>
      </c>
      <c r="F36" s="29" t="s">
        <v>393</v>
      </c>
      <c r="G36" s="28" t="s">
        <v>390</v>
      </c>
      <c r="H36" s="30" t="s">
        <v>339</v>
      </c>
      <c r="I36" s="62">
        <v>1635</v>
      </c>
      <c r="J36" s="44">
        <v>0</v>
      </c>
      <c r="K36" s="45">
        <v>1635</v>
      </c>
      <c r="L36" s="45">
        <v>0</v>
      </c>
      <c r="M36" s="30">
        <v>0</v>
      </c>
      <c r="N36" s="55"/>
      <c r="O36" s="27"/>
      <c r="P36" s="31" t="s">
        <v>394</v>
      </c>
      <c r="Q36" s="27" t="s">
        <v>93</v>
      </c>
      <c r="R36" s="10" t="s">
        <v>395</v>
      </c>
      <c r="S36" s="30" t="s">
        <v>70</v>
      </c>
      <c r="T36" s="31" t="s">
        <v>396</v>
      </c>
      <c r="U36" s="9" t="s">
        <v>72</v>
      </c>
      <c r="V36" s="10" t="s">
        <v>397</v>
      </c>
      <c r="W36" s="56">
        <f>SUM(X36:Y36)</f>
        <v>905</v>
      </c>
      <c r="X36" s="56">
        <v>897</v>
      </c>
      <c r="Y36" s="59">
        <v>8</v>
      </c>
      <c r="Z36" s="28" t="s">
        <v>398</v>
      </c>
    </row>
    <row r="37" spans="1:26" ht="40.5">
      <c r="A37" s="13">
        <v>33</v>
      </c>
      <c r="B37" s="11" t="s">
        <v>399</v>
      </c>
      <c r="C37" s="12" t="s">
        <v>400</v>
      </c>
      <c r="D37" s="27" t="s">
        <v>401</v>
      </c>
      <c r="E37" s="28" t="s">
        <v>402</v>
      </c>
      <c r="F37" s="29" t="s">
        <v>403</v>
      </c>
      <c r="G37" s="28" t="s">
        <v>404</v>
      </c>
      <c r="H37" s="30" t="s">
        <v>405</v>
      </c>
      <c r="I37" s="62">
        <v>300</v>
      </c>
      <c r="J37" s="44">
        <v>0</v>
      </c>
      <c r="K37" s="45">
        <v>0</v>
      </c>
      <c r="L37" s="45">
        <v>300</v>
      </c>
      <c r="M37" s="30">
        <v>0</v>
      </c>
      <c r="N37" s="55"/>
      <c r="O37" s="27"/>
      <c r="P37" s="31" t="s">
        <v>406</v>
      </c>
      <c r="Q37" s="27" t="s">
        <v>93</v>
      </c>
      <c r="R37" s="10" t="s">
        <v>407</v>
      </c>
      <c r="S37" s="30" t="s">
        <v>408</v>
      </c>
      <c r="T37" s="31" t="s">
        <v>409</v>
      </c>
      <c r="U37" s="9" t="s">
        <v>410</v>
      </c>
      <c r="V37" s="10" t="s">
        <v>411</v>
      </c>
      <c r="W37" s="56">
        <v>650</v>
      </c>
      <c r="X37" s="56"/>
      <c r="Y37" s="59"/>
      <c r="Z37" s="28" t="s">
        <v>412</v>
      </c>
    </row>
    <row r="38" spans="1:26" ht="27">
      <c r="A38" s="13">
        <v>34</v>
      </c>
      <c r="B38" s="11" t="s">
        <v>399</v>
      </c>
      <c r="C38" s="12" t="s">
        <v>413</v>
      </c>
      <c r="D38" s="27" t="s">
        <v>414</v>
      </c>
      <c r="E38" s="28" t="s">
        <v>415</v>
      </c>
      <c r="F38" s="29" t="s">
        <v>416</v>
      </c>
      <c r="G38" s="28" t="s">
        <v>417</v>
      </c>
      <c r="H38" s="30" t="s">
        <v>418</v>
      </c>
      <c r="I38" s="62" t="s">
        <v>450</v>
      </c>
      <c r="J38" s="44"/>
      <c r="K38" s="45"/>
      <c r="L38" s="45"/>
      <c r="M38" s="30"/>
      <c r="N38" s="55"/>
      <c r="O38" s="27"/>
      <c r="P38" s="31" t="s">
        <v>406</v>
      </c>
      <c r="Q38" s="27" t="s">
        <v>93</v>
      </c>
      <c r="R38" s="10" t="s">
        <v>419</v>
      </c>
      <c r="S38" s="30" t="s">
        <v>408</v>
      </c>
      <c r="T38" s="31" t="s">
        <v>420</v>
      </c>
      <c r="U38" s="9" t="s">
        <v>410</v>
      </c>
      <c r="V38" s="10" t="s">
        <v>421</v>
      </c>
      <c r="W38" s="56">
        <v>300</v>
      </c>
      <c r="X38" s="56"/>
      <c r="Y38" s="59"/>
      <c r="Z38" s="28" t="s">
        <v>422</v>
      </c>
    </row>
    <row r="39" spans="1:26" ht="27">
      <c r="A39" s="13">
        <v>35</v>
      </c>
      <c r="B39" s="11" t="s">
        <v>399</v>
      </c>
      <c r="C39" s="12" t="s">
        <v>400</v>
      </c>
      <c r="D39" s="27" t="s">
        <v>423</v>
      </c>
      <c r="E39" s="28" t="s">
        <v>424</v>
      </c>
      <c r="F39" s="29" t="s">
        <v>425</v>
      </c>
      <c r="G39" s="28" t="s">
        <v>426</v>
      </c>
      <c r="H39" s="30" t="s">
        <v>427</v>
      </c>
      <c r="I39" s="62" t="s">
        <v>450</v>
      </c>
      <c r="J39" s="44"/>
      <c r="K39" s="45"/>
      <c r="L39" s="45"/>
      <c r="M39" s="30"/>
      <c r="N39" s="55"/>
      <c r="O39" s="27"/>
      <c r="P39" s="31" t="s">
        <v>406</v>
      </c>
      <c r="Q39" s="27" t="s">
        <v>93</v>
      </c>
      <c r="R39" s="10" t="s">
        <v>428</v>
      </c>
      <c r="S39" s="30" t="s">
        <v>408</v>
      </c>
      <c r="T39" s="31" t="s">
        <v>420</v>
      </c>
      <c r="U39" s="9" t="s">
        <v>410</v>
      </c>
      <c r="V39" s="10" t="s">
        <v>421</v>
      </c>
      <c r="W39" s="56">
        <v>4</v>
      </c>
      <c r="X39" s="56"/>
      <c r="Y39" s="59"/>
      <c r="Z39" s="28" t="s">
        <v>429</v>
      </c>
    </row>
    <row r="40" spans="1:26" ht="40.5">
      <c r="A40" s="13">
        <v>36</v>
      </c>
      <c r="B40" s="11" t="s">
        <v>399</v>
      </c>
      <c r="C40" s="12" t="s">
        <v>400</v>
      </c>
      <c r="D40" s="27" t="s">
        <v>430</v>
      </c>
      <c r="E40" s="28" t="s">
        <v>424</v>
      </c>
      <c r="F40" s="29" t="s">
        <v>431</v>
      </c>
      <c r="G40" s="28" t="s">
        <v>432</v>
      </c>
      <c r="H40" s="30" t="s">
        <v>433</v>
      </c>
      <c r="I40" s="62" t="s">
        <v>450</v>
      </c>
      <c r="J40" s="44"/>
      <c r="K40" s="45"/>
      <c r="L40" s="45"/>
      <c r="M40" s="30"/>
      <c r="N40" s="55"/>
      <c r="O40" s="27"/>
      <c r="P40" s="31" t="s">
        <v>406</v>
      </c>
      <c r="Q40" s="27" t="s">
        <v>93</v>
      </c>
      <c r="R40" s="10" t="s">
        <v>434</v>
      </c>
      <c r="S40" s="30" t="s">
        <v>408</v>
      </c>
      <c r="T40" s="31" t="s">
        <v>420</v>
      </c>
      <c r="U40" s="9" t="s">
        <v>410</v>
      </c>
      <c r="V40" s="10" t="s">
        <v>421</v>
      </c>
      <c r="W40" s="56">
        <v>55</v>
      </c>
      <c r="X40" s="56"/>
      <c r="Y40" s="59"/>
      <c r="Z40" s="28" t="s">
        <v>435</v>
      </c>
    </row>
    <row r="41" spans="1:26" ht="40.5">
      <c r="A41" s="13">
        <v>37</v>
      </c>
      <c r="B41" s="11" t="s">
        <v>399</v>
      </c>
      <c r="C41" s="12" t="s">
        <v>400</v>
      </c>
      <c r="D41" s="27" t="s">
        <v>436</v>
      </c>
      <c r="E41" s="28" t="s">
        <v>437</v>
      </c>
      <c r="F41" s="29" t="s">
        <v>438</v>
      </c>
      <c r="G41" s="28" t="s">
        <v>439</v>
      </c>
      <c r="H41" s="30" t="s">
        <v>440</v>
      </c>
      <c r="I41" s="62" t="s">
        <v>450</v>
      </c>
      <c r="J41" s="44"/>
      <c r="K41" s="45"/>
      <c r="L41" s="45"/>
      <c r="M41" s="30"/>
      <c r="N41" s="55"/>
      <c r="O41" s="27"/>
      <c r="P41" s="31" t="s">
        <v>406</v>
      </c>
      <c r="Q41" s="27" t="s">
        <v>93</v>
      </c>
      <c r="R41" s="10" t="s">
        <v>441</v>
      </c>
      <c r="S41" s="30" t="s">
        <v>408</v>
      </c>
      <c r="T41" s="31" t="s">
        <v>420</v>
      </c>
      <c r="U41" s="9" t="s">
        <v>410</v>
      </c>
      <c r="V41" s="10" t="s">
        <v>421</v>
      </c>
      <c r="W41" s="56">
        <v>10</v>
      </c>
      <c r="X41" s="56"/>
      <c r="Y41" s="59"/>
      <c r="Z41" s="28" t="s">
        <v>442</v>
      </c>
    </row>
    <row r="42" spans="1:26" ht="27">
      <c r="A42" s="13">
        <v>38</v>
      </c>
      <c r="B42" s="11" t="s">
        <v>399</v>
      </c>
      <c r="C42" s="12" t="s">
        <v>400</v>
      </c>
      <c r="D42" s="27" t="s">
        <v>443</v>
      </c>
      <c r="E42" s="28" t="s">
        <v>444</v>
      </c>
      <c r="F42" s="29" t="s">
        <v>445</v>
      </c>
      <c r="G42" s="28" t="s">
        <v>446</v>
      </c>
      <c r="H42" s="30" t="s">
        <v>447</v>
      </c>
      <c r="I42" s="62" t="s">
        <v>450</v>
      </c>
      <c r="J42" s="44"/>
      <c r="K42" s="45"/>
      <c r="L42" s="45"/>
      <c r="M42" s="30"/>
      <c r="N42" s="55"/>
      <c r="O42" s="27"/>
      <c r="P42" s="31" t="s">
        <v>406</v>
      </c>
      <c r="Q42" s="27" t="s">
        <v>93</v>
      </c>
      <c r="R42" s="10" t="s">
        <v>448</v>
      </c>
      <c r="S42" s="30" t="s">
        <v>408</v>
      </c>
      <c r="T42" s="31" t="s">
        <v>420</v>
      </c>
      <c r="U42" s="9" t="s">
        <v>410</v>
      </c>
      <c r="V42" s="10" t="s">
        <v>421</v>
      </c>
      <c r="W42" s="56">
        <v>10</v>
      </c>
      <c r="X42" s="56"/>
      <c r="Y42" s="59"/>
      <c r="Z42" s="28" t="s">
        <v>449</v>
      </c>
    </row>
    <row r="43" spans="1:26" ht="27">
      <c r="A43" s="13">
        <v>39</v>
      </c>
      <c r="B43" s="11" t="s">
        <v>451</v>
      </c>
      <c r="C43" s="12" t="s">
        <v>452</v>
      </c>
      <c r="D43" s="27" t="s">
        <v>453</v>
      </c>
      <c r="E43" s="28" t="s">
        <v>454</v>
      </c>
      <c r="F43" s="29" t="s">
        <v>455</v>
      </c>
      <c r="G43" s="28" t="s">
        <v>456</v>
      </c>
      <c r="H43" s="30" t="s">
        <v>457</v>
      </c>
      <c r="I43" s="62">
        <f>SUM(J43:M43)</f>
        <v>70</v>
      </c>
      <c r="J43" s="44">
        <v>0</v>
      </c>
      <c r="K43" s="45">
        <v>70</v>
      </c>
      <c r="L43" s="45">
        <v>0</v>
      </c>
      <c r="M43" s="30">
        <v>0</v>
      </c>
      <c r="N43" s="55"/>
      <c r="O43" s="27"/>
      <c r="P43" s="31" t="s">
        <v>12</v>
      </c>
      <c r="Q43" s="27" t="s">
        <v>93</v>
      </c>
      <c r="R43" s="10" t="s">
        <v>458</v>
      </c>
      <c r="S43" s="30" t="s">
        <v>459</v>
      </c>
      <c r="T43" s="31" t="s">
        <v>460</v>
      </c>
      <c r="U43" s="9" t="s">
        <v>461</v>
      </c>
      <c r="V43" s="10" t="s">
        <v>462</v>
      </c>
      <c r="W43" s="56">
        <f>SUM(X43:Y43)</f>
        <v>266</v>
      </c>
      <c r="X43" s="56">
        <v>266</v>
      </c>
      <c r="Y43" s="59"/>
      <c r="Z43" s="28" t="s">
        <v>463</v>
      </c>
    </row>
    <row r="44" spans="1:26" ht="27">
      <c r="A44" s="13">
        <v>40</v>
      </c>
      <c r="B44" s="11" t="s">
        <v>464</v>
      </c>
      <c r="C44" s="12" t="s">
        <v>452</v>
      </c>
      <c r="D44" s="27" t="s">
        <v>465</v>
      </c>
      <c r="E44" s="28" t="s">
        <v>466</v>
      </c>
      <c r="F44" s="29" t="s">
        <v>467</v>
      </c>
      <c r="G44" s="28" t="s">
        <v>468</v>
      </c>
      <c r="H44" s="30" t="s">
        <v>469</v>
      </c>
      <c r="I44" s="62">
        <f>SUM(J44:M44)</f>
        <v>50</v>
      </c>
      <c r="J44" s="44">
        <v>0</v>
      </c>
      <c r="K44" s="45">
        <v>50</v>
      </c>
      <c r="L44" s="45">
        <v>0</v>
      </c>
      <c r="M44" s="30">
        <v>0</v>
      </c>
      <c r="N44" s="55"/>
      <c r="O44" s="27"/>
      <c r="P44" s="31" t="s">
        <v>12</v>
      </c>
      <c r="Q44" s="27" t="s">
        <v>93</v>
      </c>
      <c r="R44" s="10" t="s">
        <v>470</v>
      </c>
      <c r="S44" s="30" t="s">
        <v>459</v>
      </c>
      <c r="T44" s="31" t="s">
        <v>471</v>
      </c>
      <c r="U44" s="9" t="s">
        <v>461</v>
      </c>
      <c r="V44" s="10" t="s">
        <v>462</v>
      </c>
      <c r="W44" s="56">
        <f t="shared" ref="W44:W45" si="6">SUM(X44:Y44)</f>
        <v>110</v>
      </c>
      <c r="X44" s="56">
        <v>110</v>
      </c>
      <c r="Y44" s="59"/>
      <c r="Z44" s="28" t="s">
        <v>472</v>
      </c>
    </row>
    <row r="45" spans="1:26" ht="27">
      <c r="A45" s="13">
        <v>41</v>
      </c>
      <c r="B45" s="11" t="s">
        <v>473</v>
      </c>
      <c r="C45" s="12" t="s">
        <v>452</v>
      </c>
      <c r="D45" s="27" t="s">
        <v>474</v>
      </c>
      <c r="E45" s="28" t="s">
        <v>475</v>
      </c>
      <c r="F45" s="29" t="s">
        <v>476</v>
      </c>
      <c r="G45" s="28" t="s">
        <v>477</v>
      </c>
      <c r="H45" s="30" t="s">
        <v>478</v>
      </c>
      <c r="I45" s="62">
        <f>SUM(J45:M45)</f>
        <v>100</v>
      </c>
      <c r="J45" s="44">
        <v>0</v>
      </c>
      <c r="K45" s="45">
        <v>100</v>
      </c>
      <c r="L45" s="45">
        <v>0</v>
      </c>
      <c r="M45" s="30">
        <v>0</v>
      </c>
      <c r="N45" s="55"/>
      <c r="O45" s="27"/>
      <c r="P45" s="31" t="s">
        <v>12</v>
      </c>
      <c r="Q45" s="27" t="s">
        <v>93</v>
      </c>
      <c r="R45" s="10" t="s">
        <v>479</v>
      </c>
      <c r="S45" s="30" t="s">
        <v>480</v>
      </c>
      <c r="T45" s="31" t="s">
        <v>460</v>
      </c>
      <c r="U45" s="9" t="s">
        <v>461</v>
      </c>
      <c r="V45" s="10" t="s">
        <v>481</v>
      </c>
      <c r="W45" s="56">
        <f t="shared" si="6"/>
        <v>157</v>
      </c>
      <c r="X45" s="56">
        <v>157</v>
      </c>
      <c r="Y45" s="59"/>
      <c r="Z45" s="28" t="s">
        <v>463</v>
      </c>
    </row>
    <row r="46" spans="1:26" ht="40.5">
      <c r="A46" s="13">
        <v>42</v>
      </c>
      <c r="B46" s="11" t="s">
        <v>514</v>
      </c>
      <c r="C46" s="12" t="s">
        <v>515</v>
      </c>
      <c r="D46" s="27" t="s">
        <v>516</v>
      </c>
      <c r="E46" s="28" t="s">
        <v>517</v>
      </c>
      <c r="F46" s="29" t="s">
        <v>486</v>
      </c>
      <c r="G46" s="28" t="s">
        <v>487</v>
      </c>
      <c r="H46" s="30" t="s">
        <v>488</v>
      </c>
      <c r="I46" s="62">
        <v>30</v>
      </c>
      <c r="J46" s="44">
        <v>0</v>
      </c>
      <c r="K46" s="45">
        <v>30</v>
      </c>
      <c r="L46" s="45">
        <v>0</v>
      </c>
      <c r="M46" s="30">
        <v>0</v>
      </c>
      <c r="N46" s="55"/>
      <c r="O46" s="27"/>
      <c r="P46" s="31" t="s">
        <v>498</v>
      </c>
      <c r="Q46" s="27" t="s">
        <v>93</v>
      </c>
      <c r="R46" s="10" t="s">
        <v>518</v>
      </c>
      <c r="S46" s="30" t="s">
        <v>499</v>
      </c>
      <c r="T46" s="31" t="s">
        <v>500</v>
      </c>
      <c r="U46" s="9" t="s">
        <v>501</v>
      </c>
      <c r="V46" s="10" t="s">
        <v>503</v>
      </c>
      <c r="W46" s="56">
        <v>1150</v>
      </c>
      <c r="X46" s="56">
        <v>1150</v>
      </c>
      <c r="Y46" s="59"/>
      <c r="Z46" s="28" t="s">
        <v>504</v>
      </c>
    </row>
    <row r="47" spans="1:26" ht="54">
      <c r="A47" s="13">
        <v>43</v>
      </c>
      <c r="B47" s="11" t="s">
        <v>98</v>
      </c>
      <c r="C47" s="12" t="s">
        <v>515</v>
      </c>
      <c r="D47" s="27" t="s">
        <v>482</v>
      </c>
      <c r="E47" s="28" t="s">
        <v>519</v>
      </c>
      <c r="F47" s="29" t="s">
        <v>520</v>
      </c>
      <c r="G47" s="28" t="s">
        <v>489</v>
      </c>
      <c r="H47" s="30" t="s">
        <v>490</v>
      </c>
      <c r="I47" s="62">
        <v>180</v>
      </c>
      <c r="J47" s="44">
        <v>0</v>
      </c>
      <c r="K47" s="45">
        <v>180</v>
      </c>
      <c r="L47" s="45">
        <v>0</v>
      </c>
      <c r="M47" s="30">
        <v>0</v>
      </c>
      <c r="N47" s="55"/>
      <c r="O47" s="27"/>
      <c r="P47" s="31" t="s">
        <v>521</v>
      </c>
      <c r="Q47" s="27" t="s">
        <v>93</v>
      </c>
      <c r="R47" s="10" t="s">
        <v>505</v>
      </c>
      <c r="S47" s="30" t="s">
        <v>499</v>
      </c>
      <c r="T47" s="31" t="s">
        <v>506</v>
      </c>
      <c r="U47" s="9" t="s">
        <v>522</v>
      </c>
      <c r="V47" s="10" t="s">
        <v>507</v>
      </c>
      <c r="W47" s="56">
        <f>SUM(X47:Y47)</f>
        <v>40</v>
      </c>
      <c r="X47" s="56">
        <v>40</v>
      </c>
      <c r="Y47" s="59"/>
      <c r="Z47" s="28" t="s">
        <v>508</v>
      </c>
    </row>
    <row r="48" spans="1:26" ht="40.5">
      <c r="A48" s="13">
        <v>44</v>
      </c>
      <c r="B48" s="11" t="s">
        <v>523</v>
      </c>
      <c r="C48" s="12" t="s">
        <v>515</v>
      </c>
      <c r="D48" s="27" t="s">
        <v>483</v>
      </c>
      <c r="E48" s="28" t="s">
        <v>524</v>
      </c>
      <c r="F48" s="29" t="s">
        <v>491</v>
      </c>
      <c r="G48" s="28" t="s">
        <v>492</v>
      </c>
      <c r="H48" s="30" t="s">
        <v>493</v>
      </c>
      <c r="I48" s="62">
        <v>65</v>
      </c>
      <c r="J48" s="44">
        <v>0</v>
      </c>
      <c r="K48" s="45">
        <v>15</v>
      </c>
      <c r="L48" s="45">
        <v>50</v>
      </c>
      <c r="M48" s="30">
        <v>0</v>
      </c>
      <c r="N48" s="55"/>
      <c r="O48" s="27"/>
      <c r="P48" s="31" t="s">
        <v>498</v>
      </c>
      <c r="Q48" s="27" t="s">
        <v>93</v>
      </c>
      <c r="R48" s="10" t="s">
        <v>525</v>
      </c>
      <c r="S48" s="30" t="s">
        <v>499</v>
      </c>
      <c r="T48" s="31" t="s">
        <v>506</v>
      </c>
      <c r="U48" s="9" t="s">
        <v>526</v>
      </c>
      <c r="V48" s="10" t="s">
        <v>507</v>
      </c>
      <c r="W48" s="56">
        <f t="shared" ref="W48" si="7">SUM(X48:Y48)</f>
        <v>10</v>
      </c>
      <c r="X48" s="56">
        <v>10</v>
      </c>
      <c r="Y48" s="59"/>
      <c r="Z48" s="28" t="s">
        <v>508</v>
      </c>
    </row>
    <row r="49" spans="1:26" ht="40.5">
      <c r="A49" s="13">
        <v>45</v>
      </c>
      <c r="B49" s="11" t="s">
        <v>523</v>
      </c>
      <c r="C49" s="12" t="s">
        <v>527</v>
      </c>
      <c r="D49" s="27" t="s">
        <v>484</v>
      </c>
      <c r="E49" s="28" t="s">
        <v>528</v>
      </c>
      <c r="F49" s="29" t="s">
        <v>494</v>
      </c>
      <c r="G49" s="28" t="s">
        <v>495</v>
      </c>
      <c r="H49" s="30" t="s">
        <v>529</v>
      </c>
      <c r="I49" s="62">
        <v>290</v>
      </c>
      <c r="J49" s="44">
        <v>0</v>
      </c>
      <c r="K49" s="45">
        <v>240</v>
      </c>
      <c r="L49" s="45">
        <v>50</v>
      </c>
      <c r="M49" s="30">
        <v>0</v>
      </c>
      <c r="N49" s="55"/>
      <c r="O49" s="27"/>
      <c r="P49" s="31" t="s">
        <v>530</v>
      </c>
      <c r="Q49" s="27" t="s">
        <v>93</v>
      </c>
      <c r="R49" s="10" t="s">
        <v>531</v>
      </c>
      <c r="S49" s="30" t="s">
        <v>499</v>
      </c>
      <c r="T49" s="31" t="s">
        <v>509</v>
      </c>
      <c r="U49" s="9" t="s">
        <v>510</v>
      </c>
      <c r="V49" s="10" t="s">
        <v>511</v>
      </c>
      <c r="W49" s="56">
        <f>SUM(X49:Y49)</f>
        <v>137</v>
      </c>
      <c r="X49" s="56">
        <v>137</v>
      </c>
      <c r="Y49" s="59">
        <v>0</v>
      </c>
      <c r="Z49" s="28" t="s">
        <v>512</v>
      </c>
    </row>
    <row r="50" spans="1:26" ht="67.5">
      <c r="A50" s="13">
        <v>46</v>
      </c>
      <c r="B50" s="11" t="s">
        <v>523</v>
      </c>
      <c r="C50" s="12" t="s">
        <v>515</v>
      </c>
      <c r="D50" s="27" t="s">
        <v>485</v>
      </c>
      <c r="E50" s="28" t="s">
        <v>532</v>
      </c>
      <c r="F50" s="29" t="s">
        <v>496</v>
      </c>
      <c r="G50" s="28" t="s">
        <v>533</v>
      </c>
      <c r="H50" s="30" t="s">
        <v>497</v>
      </c>
      <c r="I50" s="62">
        <v>80</v>
      </c>
      <c r="J50" s="44">
        <v>0</v>
      </c>
      <c r="K50" s="45">
        <v>25</v>
      </c>
      <c r="L50" s="45">
        <v>55</v>
      </c>
      <c r="M50" s="30">
        <v>0</v>
      </c>
      <c r="N50" s="55"/>
      <c r="O50" s="27"/>
      <c r="P50" s="31" t="s">
        <v>498</v>
      </c>
      <c r="Q50" s="27" t="s">
        <v>93</v>
      </c>
      <c r="R50" s="10" t="s">
        <v>534</v>
      </c>
      <c r="S50" s="30" t="s">
        <v>499</v>
      </c>
      <c r="T50" s="31" t="s">
        <v>513</v>
      </c>
      <c r="U50" s="9" t="s">
        <v>535</v>
      </c>
      <c r="V50" s="10" t="s">
        <v>503</v>
      </c>
      <c r="W50" s="56">
        <f>SUM(X50:Y50)</f>
        <v>10</v>
      </c>
      <c r="X50" s="56">
        <v>10</v>
      </c>
      <c r="Y50" s="59"/>
      <c r="Z50" s="28" t="s">
        <v>536</v>
      </c>
    </row>
    <row r="51" spans="1:26" ht="54">
      <c r="A51" s="13">
        <v>47</v>
      </c>
      <c r="B51" s="11" t="s">
        <v>523</v>
      </c>
      <c r="C51" s="12" t="s">
        <v>537</v>
      </c>
      <c r="D51" s="27" t="s">
        <v>551</v>
      </c>
      <c r="E51" s="28" t="s">
        <v>552</v>
      </c>
      <c r="F51" s="29" t="s">
        <v>539</v>
      </c>
      <c r="G51" s="28" t="s">
        <v>553</v>
      </c>
      <c r="H51" s="30" t="s">
        <v>540</v>
      </c>
      <c r="I51" s="62">
        <v>295</v>
      </c>
      <c r="J51" s="44">
        <v>0</v>
      </c>
      <c r="K51" s="45">
        <v>0</v>
      </c>
      <c r="L51" s="45">
        <v>295</v>
      </c>
      <c r="M51" s="30">
        <v>0</v>
      </c>
      <c r="N51" s="55"/>
      <c r="O51" s="27"/>
      <c r="P51" s="31" t="s">
        <v>205</v>
      </c>
      <c r="Q51" s="27" t="s">
        <v>93</v>
      </c>
      <c r="R51" s="10" t="s">
        <v>554</v>
      </c>
      <c r="S51" s="30" t="s">
        <v>499</v>
      </c>
      <c r="T51" s="31" t="s">
        <v>500</v>
      </c>
      <c r="U51" s="9" t="s">
        <v>535</v>
      </c>
      <c r="V51" s="10" t="s">
        <v>511</v>
      </c>
      <c r="W51" s="56">
        <v>70</v>
      </c>
      <c r="X51" s="56"/>
      <c r="Y51" s="59"/>
      <c r="Z51" s="28" t="s">
        <v>542</v>
      </c>
    </row>
    <row r="52" spans="1:26" ht="54">
      <c r="A52" s="13">
        <v>48</v>
      </c>
      <c r="B52" s="11" t="s">
        <v>523</v>
      </c>
      <c r="C52" s="12" t="s">
        <v>537</v>
      </c>
      <c r="D52" s="27" t="s">
        <v>555</v>
      </c>
      <c r="E52" s="28" t="s">
        <v>556</v>
      </c>
      <c r="F52" s="29" t="s">
        <v>557</v>
      </c>
      <c r="G52" s="28" t="s">
        <v>558</v>
      </c>
      <c r="H52" s="30" t="s">
        <v>559</v>
      </c>
      <c r="I52" s="62">
        <v>78</v>
      </c>
      <c r="J52" s="44">
        <v>0</v>
      </c>
      <c r="K52" s="45">
        <v>0</v>
      </c>
      <c r="L52" s="45">
        <v>78</v>
      </c>
      <c r="M52" s="30">
        <v>0</v>
      </c>
      <c r="N52" s="55"/>
      <c r="O52" s="27"/>
      <c r="P52" s="31" t="s">
        <v>498</v>
      </c>
      <c r="Q52" s="27" t="s">
        <v>93</v>
      </c>
      <c r="R52" s="10" t="s">
        <v>498</v>
      </c>
      <c r="S52" s="30" t="s">
        <v>499</v>
      </c>
      <c r="T52" s="31" t="s">
        <v>560</v>
      </c>
      <c r="U52" s="9" t="s">
        <v>535</v>
      </c>
      <c r="V52" s="10" t="s">
        <v>511</v>
      </c>
      <c r="W52" s="56">
        <v>25</v>
      </c>
      <c r="X52" s="56"/>
      <c r="Y52" s="59"/>
      <c r="Z52" s="28" t="s">
        <v>561</v>
      </c>
    </row>
    <row r="53" spans="1:26" ht="40.5">
      <c r="A53" s="13">
        <v>49</v>
      </c>
      <c r="B53" s="11" t="s">
        <v>523</v>
      </c>
      <c r="C53" s="12" t="s">
        <v>537</v>
      </c>
      <c r="D53" s="27" t="s">
        <v>562</v>
      </c>
      <c r="E53" s="28" t="s">
        <v>556</v>
      </c>
      <c r="F53" s="29" t="s">
        <v>563</v>
      </c>
      <c r="G53" s="28" t="s">
        <v>564</v>
      </c>
      <c r="H53" s="30" t="s">
        <v>261</v>
      </c>
      <c r="I53" s="62">
        <v>40</v>
      </c>
      <c r="J53" s="44">
        <v>0</v>
      </c>
      <c r="K53" s="45">
        <v>0</v>
      </c>
      <c r="L53" s="45">
        <v>40</v>
      </c>
      <c r="M53" s="30">
        <v>0</v>
      </c>
      <c r="N53" s="55"/>
      <c r="O53" s="27"/>
      <c r="P53" s="31" t="s">
        <v>498</v>
      </c>
      <c r="Q53" s="27" t="s">
        <v>93</v>
      </c>
      <c r="R53" s="10" t="s">
        <v>498</v>
      </c>
      <c r="S53" s="30" t="s">
        <v>499</v>
      </c>
      <c r="T53" s="31" t="s">
        <v>560</v>
      </c>
      <c r="U53" s="9" t="s">
        <v>535</v>
      </c>
      <c r="V53" s="10" t="s">
        <v>502</v>
      </c>
      <c r="W53" s="56">
        <v>1.5</v>
      </c>
      <c r="X53" s="56"/>
      <c r="Y53" s="59"/>
      <c r="Z53" s="28" t="s">
        <v>565</v>
      </c>
    </row>
    <row r="54" spans="1:26" ht="54">
      <c r="A54" s="13">
        <v>50</v>
      </c>
      <c r="B54" s="11" t="s">
        <v>523</v>
      </c>
      <c r="C54" s="12" t="s">
        <v>537</v>
      </c>
      <c r="D54" s="27" t="s">
        <v>566</v>
      </c>
      <c r="E54" s="28" t="s">
        <v>567</v>
      </c>
      <c r="F54" s="29" t="s">
        <v>568</v>
      </c>
      <c r="G54" s="28" t="s">
        <v>569</v>
      </c>
      <c r="H54" s="30" t="s">
        <v>490</v>
      </c>
      <c r="I54" s="62">
        <v>25</v>
      </c>
      <c r="J54" s="44">
        <v>0</v>
      </c>
      <c r="K54" s="45">
        <v>0</v>
      </c>
      <c r="L54" s="45">
        <v>25</v>
      </c>
      <c r="M54" s="30">
        <v>0</v>
      </c>
      <c r="N54" s="55"/>
      <c r="O54" s="27"/>
      <c r="P54" s="31" t="s">
        <v>498</v>
      </c>
      <c r="Q54" s="27" t="s">
        <v>93</v>
      </c>
      <c r="R54" s="10" t="s">
        <v>498</v>
      </c>
      <c r="S54" s="30" t="s">
        <v>499</v>
      </c>
      <c r="T54" s="31" t="s">
        <v>570</v>
      </c>
      <c r="U54" s="9" t="s">
        <v>535</v>
      </c>
      <c r="V54" s="10" t="s">
        <v>502</v>
      </c>
      <c r="W54" s="56">
        <v>2</v>
      </c>
      <c r="X54" s="56"/>
      <c r="Y54" s="59"/>
      <c r="Z54" s="28" t="s">
        <v>571</v>
      </c>
    </row>
    <row r="55" spans="1:26" ht="27">
      <c r="A55" s="13">
        <v>51</v>
      </c>
      <c r="B55" s="11" t="s">
        <v>523</v>
      </c>
      <c r="C55" s="12" t="s">
        <v>537</v>
      </c>
      <c r="D55" s="27" t="s">
        <v>572</v>
      </c>
      <c r="E55" s="28" t="s">
        <v>556</v>
      </c>
      <c r="F55" s="29" t="s">
        <v>573</v>
      </c>
      <c r="G55" s="28" t="s">
        <v>574</v>
      </c>
      <c r="H55" s="30" t="s">
        <v>575</v>
      </c>
      <c r="I55" s="62">
        <v>12.5</v>
      </c>
      <c r="J55" s="44">
        <v>0</v>
      </c>
      <c r="K55" s="45">
        <v>0</v>
      </c>
      <c r="L55" s="45">
        <v>12.5</v>
      </c>
      <c r="M55" s="30">
        <v>0</v>
      </c>
      <c r="N55" s="55"/>
      <c r="O55" s="27"/>
      <c r="P55" s="31" t="s">
        <v>498</v>
      </c>
      <c r="Q55" s="27" t="s">
        <v>93</v>
      </c>
      <c r="R55" s="10" t="s">
        <v>498</v>
      </c>
      <c r="S55" s="30" t="s">
        <v>499</v>
      </c>
      <c r="T55" s="31" t="s">
        <v>570</v>
      </c>
      <c r="U55" s="9" t="s">
        <v>535</v>
      </c>
      <c r="V55" s="10" t="s">
        <v>502</v>
      </c>
      <c r="W55" s="56">
        <v>3</v>
      </c>
      <c r="X55" s="56"/>
      <c r="Y55" s="59"/>
      <c r="Z55" s="28" t="s">
        <v>543</v>
      </c>
    </row>
    <row r="56" spans="1:26" ht="27">
      <c r="A56" s="13">
        <v>52</v>
      </c>
      <c r="B56" s="11" t="s">
        <v>523</v>
      </c>
      <c r="C56" s="12" t="s">
        <v>537</v>
      </c>
      <c r="D56" s="27" t="s">
        <v>576</v>
      </c>
      <c r="E56" s="28" t="s">
        <v>577</v>
      </c>
      <c r="F56" s="29" t="s">
        <v>578</v>
      </c>
      <c r="G56" s="28" t="s">
        <v>579</v>
      </c>
      <c r="H56" s="30" t="s">
        <v>580</v>
      </c>
      <c r="I56" s="62">
        <v>2</v>
      </c>
      <c r="J56" s="44">
        <v>0</v>
      </c>
      <c r="K56" s="45">
        <v>0</v>
      </c>
      <c r="L56" s="45">
        <v>0</v>
      </c>
      <c r="M56" s="30">
        <v>2</v>
      </c>
      <c r="N56" s="55"/>
      <c r="O56" s="27"/>
      <c r="P56" s="31" t="s">
        <v>45</v>
      </c>
      <c r="Q56" s="27" t="s">
        <v>93</v>
      </c>
      <c r="R56" s="10" t="s">
        <v>498</v>
      </c>
      <c r="S56" s="30" t="s">
        <v>499</v>
      </c>
      <c r="T56" s="31" t="s">
        <v>544</v>
      </c>
      <c r="U56" s="9" t="s">
        <v>535</v>
      </c>
      <c r="V56" s="10" t="s">
        <v>502</v>
      </c>
      <c r="W56" s="56">
        <v>2</v>
      </c>
      <c r="X56" s="56"/>
      <c r="Y56" s="59"/>
      <c r="Z56" s="28" t="s">
        <v>581</v>
      </c>
    </row>
    <row r="57" spans="1:26" ht="27">
      <c r="A57" s="13">
        <v>53</v>
      </c>
      <c r="B57" s="11" t="s">
        <v>523</v>
      </c>
      <c r="C57" s="12" t="s">
        <v>537</v>
      </c>
      <c r="D57" s="27" t="s">
        <v>582</v>
      </c>
      <c r="E57" s="28" t="s">
        <v>583</v>
      </c>
      <c r="F57" s="29" t="s">
        <v>584</v>
      </c>
      <c r="G57" s="28" t="s">
        <v>585</v>
      </c>
      <c r="H57" s="30" t="s">
        <v>540</v>
      </c>
      <c r="I57" s="62">
        <v>1</v>
      </c>
      <c r="J57" s="44">
        <v>0</v>
      </c>
      <c r="K57" s="45">
        <v>0</v>
      </c>
      <c r="L57" s="45">
        <v>0</v>
      </c>
      <c r="M57" s="30">
        <v>1</v>
      </c>
      <c r="N57" s="55"/>
      <c r="O57" s="27"/>
      <c r="P57" s="31" t="s">
        <v>549</v>
      </c>
      <c r="Q57" s="27" t="s">
        <v>93</v>
      </c>
      <c r="R57" s="10" t="s">
        <v>498</v>
      </c>
      <c r="S57" s="30" t="s">
        <v>499</v>
      </c>
      <c r="T57" s="31" t="s">
        <v>544</v>
      </c>
      <c r="U57" s="9" t="s">
        <v>535</v>
      </c>
      <c r="V57" s="10" t="s">
        <v>502</v>
      </c>
      <c r="W57" s="56">
        <v>2</v>
      </c>
      <c r="X57" s="56"/>
      <c r="Y57" s="59"/>
      <c r="Z57" s="28" t="s">
        <v>545</v>
      </c>
    </row>
    <row r="58" spans="1:26" ht="27">
      <c r="A58" s="13">
        <v>54</v>
      </c>
      <c r="B58" s="11" t="s">
        <v>523</v>
      </c>
      <c r="C58" s="12" t="s">
        <v>537</v>
      </c>
      <c r="D58" s="27" t="s">
        <v>586</v>
      </c>
      <c r="E58" s="28" t="s">
        <v>587</v>
      </c>
      <c r="F58" s="29" t="s">
        <v>588</v>
      </c>
      <c r="G58" s="28" t="s">
        <v>589</v>
      </c>
      <c r="H58" s="30" t="s">
        <v>540</v>
      </c>
      <c r="I58" s="62">
        <v>0</v>
      </c>
      <c r="J58" s="44">
        <v>0</v>
      </c>
      <c r="K58" s="45">
        <v>0</v>
      </c>
      <c r="L58" s="45">
        <v>0</v>
      </c>
      <c r="M58" s="30">
        <v>0</v>
      </c>
      <c r="N58" s="55"/>
      <c r="O58" s="27"/>
      <c r="P58" s="31" t="s">
        <v>549</v>
      </c>
      <c r="Q58" s="27" t="s">
        <v>93</v>
      </c>
      <c r="R58" s="10" t="s">
        <v>498</v>
      </c>
      <c r="S58" s="30" t="s">
        <v>499</v>
      </c>
      <c r="T58" s="31" t="s">
        <v>544</v>
      </c>
      <c r="U58" s="9" t="s">
        <v>535</v>
      </c>
      <c r="V58" s="10" t="s">
        <v>502</v>
      </c>
      <c r="W58" s="56">
        <v>0.5</v>
      </c>
      <c r="X58" s="56"/>
      <c r="Y58" s="59"/>
      <c r="Z58" s="28" t="s">
        <v>590</v>
      </c>
    </row>
    <row r="59" spans="1:26" ht="27">
      <c r="A59" s="13">
        <v>55</v>
      </c>
      <c r="B59" s="11" t="s">
        <v>523</v>
      </c>
      <c r="C59" s="12" t="s">
        <v>537</v>
      </c>
      <c r="D59" s="27" t="s">
        <v>591</v>
      </c>
      <c r="E59" s="28" t="s">
        <v>556</v>
      </c>
      <c r="F59" s="29" t="s">
        <v>592</v>
      </c>
      <c r="G59" s="28" t="s">
        <v>593</v>
      </c>
      <c r="H59" s="30" t="s">
        <v>121</v>
      </c>
      <c r="I59" s="62">
        <v>15</v>
      </c>
      <c r="J59" s="44">
        <v>0</v>
      </c>
      <c r="K59" s="45">
        <v>0</v>
      </c>
      <c r="L59" s="45">
        <v>10</v>
      </c>
      <c r="M59" s="30">
        <v>5</v>
      </c>
      <c r="N59" s="55"/>
      <c r="O59" s="27"/>
      <c r="P59" s="31" t="s">
        <v>498</v>
      </c>
      <c r="Q59" s="27" t="s">
        <v>93</v>
      </c>
      <c r="R59" s="10" t="s">
        <v>498</v>
      </c>
      <c r="S59" s="30" t="s">
        <v>499</v>
      </c>
      <c r="T59" s="31" t="s">
        <v>544</v>
      </c>
      <c r="U59" s="9" t="s">
        <v>72</v>
      </c>
      <c r="V59" s="10" t="s">
        <v>502</v>
      </c>
      <c r="W59" s="56">
        <v>1</v>
      </c>
      <c r="X59" s="56"/>
      <c r="Y59" s="59"/>
      <c r="Z59" s="28" t="s">
        <v>594</v>
      </c>
    </row>
    <row r="60" spans="1:26" ht="27">
      <c r="A60" s="13">
        <v>56</v>
      </c>
      <c r="B60" s="11" t="s">
        <v>523</v>
      </c>
      <c r="C60" s="12" t="s">
        <v>537</v>
      </c>
      <c r="D60" s="27" t="s">
        <v>595</v>
      </c>
      <c r="E60" s="28" t="s">
        <v>596</v>
      </c>
      <c r="F60" s="29" t="s">
        <v>597</v>
      </c>
      <c r="G60" s="28" t="s">
        <v>598</v>
      </c>
      <c r="H60" s="30" t="s">
        <v>540</v>
      </c>
      <c r="I60" s="62">
        <v>2</v>
      </c>
      <c r="J60" s="44">
        <v>0</v>
      </c>
      <c r="K60" s="45">
        <v>0</v>
      </c>
      <c r="L60" s="45">
        <v>0</v>
      </c>
      <c r="M60" s="30">
        <v>2</v>
      </c>
      <c r="N60" s="55"/>
      <c r="O60" s="27"/>
      <c r="P60" s="31" t="s">
        <v>549</v>
      </c>
      <c r="Q60" s="27" t="s">
        <v>93</v>
      </c>
      <c r="R60" s="10" t="s">
        <v>498</v>
      </c>
      <c r="S60" s="30" t="s">
        <v>499</v>
      </c>
      <c r="T60" s="31" t="s">
        <v>544</v>
      </c>
      <c r="U60" s="9" t="s">
        <v>535</v>
      </c>
      <c r="V60" s="10" t="s">
        <v>502</v>
      </c>
      <c r="W60" s="56">
        <v>1</v>
      </c>
      <c r="X60" s="56"/>
      <c r="Y60" s="59"/>
      <c r="Z60" s="28" t="s">
        <v>546</v>
      </c>
    </row>
    <row r="61" spans="1:26" ht="27">
      <c r="A61" s="13">
        <v>57</v>
      </c>
      <c r="B61" s="11" t="s">
        <v>523</v>
      </c>
      <c r="C61" s="12" t="s">
        <v>537</v>
      </c>
      <c r="D61" s="27" t="s">
        <v>599</v>
      </c>
      <c r="E61" s="28" t="s">
        <v>596</v>
      </c>
      <c r="F61" s="29" t="s">
        <v>600</v>
      </c>
      <c r="G61" s="28" t="s">
        <v>601</v>
      </c>
      <c r="H61" s="30" t="s">
        <v>540</v>
      </c>
      <c r="I61" s="62">
        <v>13</v>
      </c>
      <c r="J61" s="44">
        <v>0</v>
      </c>
      <c r="K61" s="45">
        <v>0</v>
      </c>
      <c r="L61" s="45">
        <v>0</v>
      </c>
      <c r="M61" s="30">
        <v>13</v>
      </c>
      <c r="N61" s="55"/>
      <c r="O61" s="27"/>
      <c r="P61" s="31" t="s">
        <v>549</v>
      </c>
      <c r="Q61" s="27" t="s">
        <v>93</v>
      </c>
      <c r="R61" s="10" t="s">
        <v>498</v>
      </c>
      <c r="S61" s="30" t="s">
        <v>499</v>
      </c>
      <c r="T61" s="31" t="s">
        <v>560</v>
      </c>
      <c r="U61" s="9" t="s">
        <v>535</v>
      </c>
      <c r="V61" s="10" t="s">
        <v>502</v>
      </c>
      <c r="W61" s="56">
        <v>1.5</v>
      </c>
      <c r="X61" s="56"/>
      <c r="Y61" s="59"/>
      <c r="Z61" s="28" t="s">
        <v>602</v>
      </c>
    </row>
    <row r="62" spans="1:26" ht="27">
      <c r="A62" s="13">
        <v>58</v>
      </c>
      <c r="B62" s="11" t="s">
        <v>523</v>
      </c>
      <c r="C62" s="12" t="s">
        <v>537</v>
      </c>
      <c r="D62" s="27" t="s">
        <v>603</v>
      </c>
      <c r="E62" s="28" t="s">
        <v>556</v>
      </c>
      <c r="F62" s="29" t="s">
        <v>604</v>
      </c>
      <c r="G62" s="28" t="s">
        <v>605</v>
      </c>
      <c r="H62" s="30" t="s">
        <v>529</v>
      </c>
      <c r="I62" s="62">
        <v>10</v>
      </c>
      <c r="J62" s="44">
        <v>0</v>
      </c>
      <c r="K62" s="45">
        <v>0</v>
      </c>
      <c r="L62" s="45">
        <v>10</v>
      </c>
      <c r="M62" s="30">
        <v>0</v>
      </c>
      <c r="N62" s="55"/>
      <c r="O62" s="27"/>
      <c r="P62" s="31" t="s">
        <v>498</v>
      </c>
      <c r="Q62" s="27" t="s">
        <v>93</v>
      </c>
      <c r="R62" s="10" t="s">
        <v>498</v>
      </c>
      <c r="S62" s="30" t="s">
        <v>499</v>
      </c>
      <c r="T62" s="31" t="s">
        <v>560</v>
      </c>
      <c r="U62" s="9" t="s">
        <v>535</v>
      </c>
      <c r="V62" s="10" t="s">
        <v>502</v>
      </c>
      <c r="W62" s="56">
        <v>0.5</v>
      </c>
      <c r="X62" s="56"/>
      <c r="Y62" s="59"/>
      <c r="Z62" s="28" t="s">
        <v>547</v>
      </c>
    </row>
    <row r="63" spans="1:26" ht="27">
      <c r="A63" s="13">
        <v>59</v>
      </c>
      <c r="B63" s="11" t="s">
        <v>523</v>
      </c>
      <c r="C63" s="12" t="s">
        <v>537</v>
      </c>
      <c r="D63" s="27" t="s">
        <v>538</v>
      </c>
      <c r="E63" s="28" t="s">
        <v>556</v>
      </c>
      <c r="F63" s="29" t="s">
        <v>606</v>
      </c>
      <c r="G63" s="28" t="s">
        <v>607</v>
      </c>
      <c r="H63" s="30" t="s">
        <v>608</v>
      </c>
      <c r="I63" s="62">
        <v>25</v>
      </c>
      <c r="J63" s="44">
        <v>0</v>
      </c>
      <c r="K63" s="45">
        <v>0</v>
      </c>
      <c r="L63" s="45">
        <v>0</v>
      </c>
      <c r="M63" s="30">
        <v>25</v>
      </c>
      <c r="N63" s="55"/>
      <c r="O63" s="27"/>
      <c r="P63" s="31" t="s">
        <v>498</v>
      </c>
      <c r="Q63" s="27" t="s">
        <v>93</v>
      </c>
      <c r="R63" s="10" t="s">
        <v>498</v>
      </c>
      <c r="S63" s="30" t="s">
        <v>499</v>
      </c>
      <c r="T63" s="31" t="s">
        <v>560</v>
      </c>
      <c r="U63" s="9" t="s">
        <v>535</v>
      </c>
      <c r="V63" s="10" t="s">
        <v>502</v>
      </c>
      <c r="W63" s="56">
        <v>1.5</v>
      </c>
      <c r="X63" s="56"/>
      <c r="Y63" s="59"/>
      <c r="Z63" s="28" t="s">
        <v>548</v>
      </c>
    </row>
    <row r="64" spans="1:26" ht="27">
      <c r="A64" s="13">
        <v>60</v>
      </c>
      <c r="B64" s="11" t="s">
        <v>523</v>
      </c>
      <c r="C64" s="12" t="s">
        <v>537</v>
      </c>
      <c r="D64" s="27" t="s">
        <v>609</v>
      </c>
      <c r="E64" s="28" t="s">
        <v>610</v>
      </c>
      <c r="F64" s="29" t="s">
        <v>611</v>
      </c>
      <c r="G64" s="28" t="s">
        <v>541</v>
      </c>
      <c r="H64" s="30" t="s">
        <v>529</v>
      </c>
      <c r="I64" s="62">
        <v>1</v>
      </c>
      <c r="J64" s="44">
        <v>0</v>
      </c>
      <c r="K64" s="45">
        <v>0</v>
      </c>
      <c r="L64" s="45">
        <v>0</v>
      </c>
      <c r="M64" s="30">
        <v>1</v>
      </c>
      <c r="N64" s="55"/>
      <c r="O64" s="27"/>
      <c r="P64" s="31" t="s">
        <v>549</v>
      </c>
      <c r="Q64" s="27" t="s">
        <v>93</v>
      </c>
      <c r="R64" s="10" t="s">
        <v>498</v>
      </c>
      <c r="S64" s="30" t="s">
        <v>499</v>
      </c>
      <c r="T64" s="31" t="s">
        <v>544</v>
      </c>
      <c r="U64" s="9" t="s">
        <v>535</v>
      </c>
      <c r="V64" s="10" t="s">
        <v>502</v>
      </c>
      <c r="W64" s="56">
        <v>1</v>
      </c>
      <c r="X64" s="56"/>
      <c r="Y64" s="59"/>
      <c r="Z64" s="28" t="s">
        <v>550</v>
      </c>
    </row>
    <row r="65" spans="1:26" ht="40.5">
      <c r="A65" s="13">
        <v>61</v>
      </c>
      <c r="B65" s="11" t="s">
        <v>98</v>
      </c>
      <c r="C65" s="12" t="s">
        <v>612</v>
      </c>
      <c r="D65" s="27" t="s">
        <v>618</v>
      </c>
      <c r="E65" s="28" t="s">
        <v>619</v>
      </c>
      <c r="F65" s="29" t="s">
        <v>620</v>
      </c>
      <c r="G65" s="28" t="s">
        <v>613</v>
      </c>
      <c r="H65" s="30" t="s">
        <v>621</v>
      </c>
      <c r="I65" s="62">
        <v>125</v>
      </c>
      <c r="J65" s="44">
        <v>0</v>
      </c>
      <c r="K65" s="45">
        <v>25</v>
      </c>
      <c r="L65" s="45">
        <v>100</v>
      </c>
      <c r="M65" s="30">
        <v>0</v>
      </c>
      <c r="N65" s="55"/>
      <c r="O65" s="27"/>
      <c r="P65" s="31" t="s">
        <v>205</v>
      </c>
      <c r="Q65" s="27" t="s">
        <v>93</v>
      </c>
      <c r="R65" s="10" t="s">
        <v>622</v>
      </c>
      <c r="S65" s="30" t="s">
        <v>70</v>
      </c>
      <c r="T65" s="31" t="s">
        <v>623</v>
      </c>
      <c r="U65" s="9" t="s">
        <v>72</v>
      </c>
      <c r="V65" s="10" t="s">
        <v>309</v>
      </c>
      <c r="W65" s="56">
        <v>30</v>
      </c>
      <c r="X65" s="56">
        <v>30</v>
      </c>
      <c r="Y65" s="59"/>
      <c r="Z65" s="28" t="s">
        <v>622</v>
      </c>
    </row>
    <row r="66" spans="1:26" ht="40.5">
      <c r="A66" s="13">
        <v>62</v>
      </c>
      <c r="B66" s="11" t="s">
        <v>98</v>
      </c>
      <c r="C66" s="12" t="s">
        <v>612</v>
      </c>
      <c r="D66" s="27" t="s">
        <v>624</v>
      </c>
      <c r="E66" s="28" t="s">
        <v>625</v>
      </c>
      <c r="F66" s="29" t="s">
        <v>626</v>
      </c>
      <c r="G66" s="28" t="s">
        <v>627</v>
      </c>
      <c r="H66" s="30" t="s">
        <v>628</v>
      </c>
      <c r="I66" s="62">
        <v>130</v>
      </c>
      <c r="J66" s="44">
        <v>0</v>
      </c>
      <c r="K66" s="45">
        <v>0</v>
      </c>
      <c r="L66" s="45">
        <v>130</v>
      </c>
      <c r="M66" s="30">
        <v>0</v>
      </c>
      <c r="N66" s="55"/>
      <c r="O66" s="27"/>
      <c r="P66" s="31" t="s">
        <v>205</v>
      </c>
      <c r="Q66" s="27" t="s">
        <v>93</v>
      </c>
      <c r="R66" s="10" t="s">
        <v>629</v>
      </c>
      <c r="S66" s="30" t="s">
        <v>46</v>
      </c>
      <c r="T66" s="31" t="s">
        <v>630</v>
      </c>
      <c r="U66" s="9" t="s">
        <v>72</v>
      </c>
      <c r="V66" s="10" t="s">
        <v>127</v>
      </c>
      <c r="W66" s="56">
        <v>150</v>
      </c>
      <c r="X66" s="56">
        <v>150</v>
      </c>
      <c r="Y66" s="59"/>
      <c r="Z66" s="28" t="s">
        <v>631</v>
      </c>
    </row>
    <row r="67" spans="1:26" ht="40.5">
      <c r="A67" s="13">
        <v>63</v>
      </c>
      <c r="B67" s="11" t="s">
        <v>98</v>
      </c>
      <c r="C67" s="12" t="s">
        <v>612</v>
      </c>
      <c r="D67" s="27" t="s">
        <v>632</v>
      </c>
      <c r="E67" s="28" t="s">
        <v>633</v>
      </c>
      <c r="F67" s="29" t="s">
        <v>626</v>
      </c>
      <c r="G67" s="28" t="s">
        <v>627</v>
      </c>
      <c r="H67" s="30" t="s">
        <v>634</v>
      </c>
      <c r="I67" s="62">
        <v>190</v>
      </c>
      <c r="J67" s="44">
        <v>0</v>
      </c>
      <c r="K67" s="45">
        <v>90</v>
      </c>
      <c r="L67" s="45">
        <v>100</v>
      </c>
      <c r="M67" s="30">
        <v>0</v>
      </c>
      <c r="N67" s="55"/>
      <c r="O67" s="27"/>
      <c r="P67" s="31" t="s">
        <v>205</v>
      </c>
      <c r="Q67" s="27" t="s">
        <v>93</v>
      </c>
      <c r="R67" s="10" t="s">
        <v>629</v>
      </c>
      <c r="S67" s="30" t="s">
        <v>70</v>
      </c>
      <c r="T67" s="31" t="s">
        <v>630</v>
      </c>
      <c r="U67" s="9" t="s">
        <v>72</v>
      </c>
      <c r="V67" s="10" t="s">
        <v>127</v>
      </c>
      <c r="W67" s="56">
        <v>150</v>
      </c>
      <c r="X67" s="56">
        <v>150</v>
      </c>
      <c r="Y67" s="59"/>
      <c r="Z67" s="28" t="s">
        <v>635</v>
      </c>
    </row>
    <row r="68" spans="1:26" ht="27">
      <c r="A68" s="13">
        <v>64</v>
      </c>
      <c r="B68" s="11" t="s">
        <v>98</v>
      </c>
      <c r="C68" s="12" t="s">
        <v>612</v>
      </c>
      <c r="D68" s="27" t="s">
        <v>614</v>
      </c>
      <c r="E68" s="28" t="s">
        <v>636</v>
      </c>
      <c r="F68" s="29" t="s">
        <v>615</v>
      </c>
      <c r="G68" s="28" t="s">
        <v>616</v>
      </c>
      <c r="H68" s="30" t="s">
        <v>637</v>
      </c>
      <c r="I68" s="62">
        <v>42</v>
      </c>
      <c r="J68" s="44">
        <v>0</v>
      </c>
      <c r="K68" s="45">
        <v>20</v>
      </c>
      <c r="L68" s="45">
        <v>20</v>
      </c>
      <c r="M68" s="30">
        <v>2</v>
      </c>
      <c r="N68" s="55"/>
      <c r="O68" s="27"/>
      <c r="P68" s="31" t="s">
        <v>205</v>
      </c>
      <c r="Q68" s="27" t="s">
        <v>93</v>
      </c>
      <c r="R68" s="10" t="s">
        <v>617</v>
      </c>
      <c r="S68" s="30" t="s">
        <v>70</v>
      </c>
      <c r="T68" s="31" t="s">
        <v>139</v>
      </c>
      <c r="U68" s="9" t="s">
        <v>72</v>
      </c>
      <c r="V68" s="10" t="s">
        <v>309</v>
      </c>
      <c r="W68" s="56">
        <f t="shared" ref="W68" si="8">SUM(X68:Y68)</f>
        <v>5</v>
      </c>
      <c r="X68" s="56">
        <v>5</v>
      </c>
      <c r="Y68" s="59"/>
      <c r="Z68" s="28" t="s">
        <v>638</v>
      </c>
    </row>
    <row r="69" spans="1:26" ht="40.5">
      <c r="A69" s="13">
        <v>65</v>
      </c>
      <c r="B69" s="11" t="s">
        <v>523</v>
      </c>
      <c r="C69" s="12" t="s">
        <v>649</v>
      </c>
      <c r="D69" s="27" t="s">
        <v>639</v>
      </c>
      <c r="E69" s="28" t="s">
        <v>650</v>
      </c>
      <c r="F69" s="29" t="s">
        <v>640</v>
      </c>
      <c r="G69" s="28" t="s">
        <v>641</v>
      </c>
      <c r="H69" s="30" t="s">
        <v>642</v>
      </c>
      <c r="I69" s="62">
        <f>SUM(J69:M69)</f>
        <v>1287</v>
      </c>
      <c r="J69" s="44">
        <v>0</v>
      </c>
      <c r="K69" s="45">
        <v>1287</v>
      </c>
      <c r="L69" s="45">
        <v>0</v>
      </c>
      <c r="M69" s="30">
        <v>0</v>
      </c>
      <c r="N69" s="55"/>
      <c r="O69" s="27"/>
      <c r="P69" s="31" t="s">
        <v>498</v>
      </c>
      <c r="Q69" s="27" t="s">
        <v>93</v>
      </c>
      <c r="R69" s="10" t="s">
        <v>643</v>
      </c>
      <c r="S69" s="30" t="s">
        <v>499</v>
      </c>
      <c r="T69" s="31" t="s">
        <v>644</v>
      </c>
      <c r="U69" s="9" t="s">
        <v>535</v>
      </c>
      <c r="V69" s="10" t="s">
        <v>645</v>
      </c>
      <c r="W69" s="56">
        <f>SUM(X69:Y69)</f>
        <v>9915</v>
      </c>
      <c r="X69" s="56">
        <v>9600</v>
      </c>
      <c r="Y69" s="59">
        <v>315</v>
      </c>
      <c r="Z69" s="28" t="s">
        <v>646</v>
      </c>
    </row>
    <row r="70" spans="1:26" ht="27">
      <c r="A70" s="13">
        <v>66</v>
      </c>
      <c r="B70" s="11" t="s">
        <v>523</v>
      </c>
      <c r="C70" s="12" t="s">
        <v>649</v>
      </c>
      <c r="D70" s="27" t="s">
        <v>651</v>
      </c>
      <c r="E70" s="28" t="s">
        <v>652</v>
      </c>
      <c r="F70" s="29" t="s">
        <v>653</v>
      </c>
      <c r="G70" s="28" t="s">
        <v>654</v>
      </c>
      <c r="H70" s="30" t="s">
        <v>647</v>
      </c>
      <c r="I70" s="62">
        <f>SUM(J70:M70)</f>
        <v>70</v>
      </c>
      <c r="J70" s="44">
        <v>0</v>
      </c>
      <c r="K70" s="45">
        <v>70</v>
      </c>
      <c r="L70" s="45">
        <v>0</v>
      </c>
      <c r="M70" s="30">
        <v>0</v>
      </c>
      <c r="N70" s="55"/>
      <c r="O70" s="27"/>
      <c r="P70" s="31" t="s">
        <v>655</v>
      </c>
      <c r="Q70" s="27" t="s">
        <v>93</v>
      </c>
      <c r="R70" s="10" t="s">
        <v>648</v>
      </c>
      <c r="S70" s="30" t="s">
        <v>499</v>
      </c>
      <c r="T70" s="31" t="s">
        <v>644</v>
      </c>
      <c r="U70" s="9" t="s">
        <v>535</v>
      </c>
      <c r="V70" s="10" t="s">
        <v>656</v>
      </c>
      <c r="W70" s="56">
        <f t="shared" ref="W70" si="9">SUM(X70:Y70)</f>
        <v>38</v>
      </c>
      <c r="X70" s="56">
        <v>35</v>
      </c>
      <c r="Y70" s="59">
        <v>3</v>
      </c>
      <c r="Z70" s="28" t="s">
        <v>657</v>
      </c>
    </row>
    <row r="71" spans="1:26" ht="27">
      <c r="A71" s="13">
        <v>67</v>
      </c>
      <c r="B71" s="11" t="s">
        <v>660</v>
      </c>
      <c r="C71" s="12" t="s">
        <v>661</v>
      </c>
      <c r="D71" s="27" t="s">
        <v>662</v>
      </c>
      <c r="E71" s="28" t="s">
        <v>663</v>
      </c>
      <c r="F71" s="29" t="s">
        <v>664</v>
      </c>
      <c r="G71" s="28" t="s">
        <v>665</v>
      </c>
      <c r="H71" s="30" t="s">
        <v>666</v>
      </c>
      <c r="I71" s="62" t="s">
        <v>658</v>
      </c>
      <c r="J71" s="44">
        <v>0</v>
      </c>
      <c r="K71" s="45">
        <v>240</v>
      </c>
      <c r="L71" s="45">
        <v>550</v>
      </c>
      <c r="M71" s="30">
        <v>0</v>
      </c>
      <c r="N71" s="55"/>
      <c r="O71" s="27"/>
      <c r="P71" s="31" t="s">
        <v>667</v>
      </c>
      <c r="Q71" s="27" t="s">
        <v>93</v>
      </c>
      <c r="R71" s="10" t="s">
        <v>266</v>
      </c>
      <c r="S71" s="30" t="s">
        <v>668</v>
      </c>
      <c r="T71" s="31" t="s">
        <v>139</v>
      </c>
      <c r="U71" s="9" t="s">
        <v>669</v>
      </c>
      <c r="V71" s="10" t="s">
        <v>71</v>
      </c>
      <c r="W71" s="56">
        <v>36.5</v>
      </c>
      <c r="X71" s="56">
        <v>36.5</v>
      </c>
      <c r="Y71" s="59">
        <v>0</v>
      </c>
      <c r="Z71" s="28" t="s">
        <v>670</v>
      </c>
    </row>
    <row r="72" spans="1:26" ht="40.5">
      <c r="A72" s="13">
        <v>68</v>
      </c>
      <c r="B72" s="11" t="s">
        <v>523</v>
      </c>
      <c r="C72" s="12" t="s">
        <v>671</v>
      </c>
      <c r="D72" s="27" t="s">
        <v>684</v>
      </c>
      <c r="E72" s="28" t="s">
        <v>685</v>
      </c>
      <c r="F72" s="29" t="s">
        <v>686</v>
      </c>
      <c r="G72" s="28" t="s">
        <v>687</v>
      </c>
      <c r="H72" s="30" t="s">
        <v>688</v>
      </c>
      <c r="I72" s="62">
        <v>238</v>
      </c>
      <c r="J72" s="44">
        <v>0</v>
      </c>
      <c r="K72" s="45">
        <v>30</v>
      </c>
      <c r="L72" s="45">
        <v>208</v>
      </c>
      <c r="M72" s="30">
        <v>0</v>
      </c>
      <c r="N72" s="55"/>
      <c r="O72" s="27"/>
      <c r="P72" s="31" t="s">
        <v>530</v>
      </c>
      <c r="Q72" s="27" t="s">
        <v>93</v>
      </c>
      <c r="R72" s="10" t="s">
        <v>689</v>
      </c>
      <c r="S72" s="30" t="s">
        <v>499</v>
      </c>
      <c r="T72" s="31" t="s">
        <v>500</v>
      </c>
      <c r="U72" s="9" t="s">
        <v>535</v>
      </c>
      <c r="V72" s="10" t="s">
        <v>674</v>
      </c>
      <c r="W72" s="56">
        <v>50</v>
      </c>
      <c r="X72" s="56"/>
      <c r="Y72" s="59"/>
      <c r="Z72" s="28" t="s">
        <v>690</v>
      </c>
    </row>
    <row r="73" spans="1:26" ht="54">
      <c r="A73" s="13">
        <v>69</v>
      </c>
      <c r="B73" s="11" t="s">
        <v>523</v>
      </c>
      <c r="C73" s="12" t="s">
        <v>671</v>
      </c>
      <c r="D73" s="27" t="s">
        <v>691</v>
      </c>
      <c r="E73" s="28" t="s">
        <v>692</v>
      </c>
      <c r="F73" s="29" t="s">
        <v>693</v>
      </c>
      <c r="G73" s="28" t="s">
        <v>694</v>
      </c>
      <c r="H73" s="30" t="s">
        <v>695</v>
      </c>
      <c r="I73" s="62">
        <v>155</v>
      </c>
      <c r="J73" s="44">
        <v>0</v>
      </c>
      <c r="K73" s="45">
        <v>15</v>
      </c>
      <c r="L73" s="45">
        <v>140</v>
      </c>
      <c r="M73" s="30">
        <v>0</v>
      </c>
      <c r="N73" s="55"/>
      <c r="O73" s="27"/>
      <c r="P73" s="31" t="s">
        <v>498</v>
      </c>
      <c r="Q73" s="27" t="s">
        <v>93</v>
      </c>
      <c r="R73" s="10" t="s">
        <v>696</v>
      </c>
      <c r="S73" s="30" t="s">
        <v>499</v>
      </c>
      <c r="T73" s="31" t="s">
        <v>644</v>
      </c>
      <c r="U73" s="9" t="s">
        <v>535</v>
      </c>
      <c r="V73" s="10" t="s">
        <v>503</v>
      </c>
      <c r="W73" s="56">
        <v>20</v>
      </c>
      <c r="X73" s="56"/>
      <c r="Y73" s="59"/>
      <c r="Z73" s="28" t="s">
        <v>697</v>
      </c>
    </row>
    <row r="74" spans="1:26" ht="27">
      <c r="A74" s="13">
        <v>70</v>
      </c>
      <c r="B74" s="11" t="s">
        <v>523</v>
      </c>
      <c r="C74" s="12" t="s">
        <v>671</v>
      </c>
      <c r="D74" s="27" t="s">
        <v>698</v>
      </c>
      <c r="E74" s="28" t="s">
        <v>699</v>
      </c>
      <c r="F74" s="29" t="s">
        <v>700</v>
      </c>
      <c r="G74" s="28" t="s">
        <v>701</v>
      </c>
      <c r="H74" s="30" t="s">
        <v>672</v>
      </c>
      <c r="I74" s="62">
        <v>290</v>
      </c>
      <c r="J74" s="44">
        <v>0</v>
      </c>
      <c r="K74" s="45">
        <v>220</v>
      </c>
      <c r="L74" s="45">
        <v>0</v>
      </c>
      <c r="M74" s="30">
        <v>70</v>
      </c>
      <c r="N74" s="55"/>
      <c r="O74" s="27"/>
      <c r="P74" s="31" t="s">
        <v>498</v>
      </c>
      <c r="Q74" s="27" t="s">
        <v>93</v>
      </c>
      <c r="R74" s="10" t="s">
        <v>673</v>
      </c>
      <c r="S74" s="30" t="s">
        <v>499</v>
      </c>
      <c r="T74" s="31" t="s">
        <v>544</v>
      </c>
      <c r="U74" s="9" t="s">
        <v>535</v>
      </c>
      <c r="V74" s="10" t="s">
        <v>674</v>
      </c>
      <c r="W74" s="56">
        <v>50</v>
      </c>
      <c r="X74" s="56"/>
      <c r="Y74" s="59"/>
      <c r="Z74" s="28" t="s">
        <v>702</v>
      </c>
    </row>
    <row r="75" spans="1:26" ht="40.5">
      <c r="A75" s="13">
        <v>71</v>
      </c>
      <c r="B75" s="11" t="s">
        <v>523</v>
      </c>
      <c r="C75" s="12" t="s">
        <v>671</v>
      </c>
      <c r="D75" s="27" t="s">
        <v>703</v>
      </c>
      <c r="E75" s="28" t="s">
        <v>704</v>
      </c>
      <c r="F75" s="29" t="s">
        <v>705</v>
      </c>
      <c r="G75" s="28" t="s">
        <v>694</v>
      </c>
      <c r="H75" s="30" t="s">
        <v>706</v>
      </c>
      <c r="I75" s="62">
        <v>55</v>
      </c>
      <c r="J75" s="44">
        <v>0</v>
      </c>
      <c r="K75" s="45">
        <v>10</v>
      </c>
      <c r="L75" s="45">
        <v>45</v>
      </c>
      <c r="M75" s="30">
        <v>0</v>
      </c>
      <c r="N75" s="55"/>
      <c r="O75" s="27"/>
      <c r="P75" s="31" t="s">
        <v>498</v>
      </c>
      <c r="Q75" s="27" t="s">
        <v>93</v>
      </c>
      <c r="R75" s="10" t="s">
        <v>675</v>
      </c>
      <c r="S75" s="30" t="s">
        <v>499</v>
      </c>
      <c r="T75" s="31" t="s">
        <v>644</v>
      </c>
      <c r="U75" s="9" t="s">
        <v>535</v>
      </c>
      <c r="V75" s="10" t="s">
        <v>503</v>
      </c>
      <c r="W75" s="56">
        <v>30</v>
      </c>
      <c r="X75" s="56"/>
      <c r="Y75" s="59"/>
      <c r="Z75" s="28" t="s">
        <v>707</v>
      </c>
    </row>
    <row r="76" spans="1:26" ht="27">
      <c r="A76" s="13">
        <v>72</v>
      </c>
      <c r="B76" s="11" t="s">
        <v>523</v>
      </c>
      <c r="C76" s="12" t="s">
        <v>671</v>
      </c>
      <c r="D76" s="27" t="s">
        <v>708</v>
      </c>
      <c r="E76" s="28" t="s">
        <v>709</v>
      </c>
      <c r="F76" s="29" t="s">
        <v>710</v>
      </c>
      <c r="G76" s="28" t="s">
        <v>711</v>
      </c>
      <c r="H76" s="30" t="s">
        <v>712</v>
      </c>
      <c r="I76" s="62">
        <v>35</v>
      </c>
      <c r="J76" s="44">
        <v>0</v>
      </c>
      <c r="K76" s="45">
        <v>0</v>
      </c>
      <c r="L76" s="45">
        <v>35</v>
      </c>
      <c r="M76" s="30">
        <v>0</v>
      </c>
      <c r="N76" s="55"/>
      <c r="O76" s="27"/>
      <c r="P76" s="31" t="s">
        <v>498</v>
      </c>
      <c r="Q76" s="27" t="s">
        <v>93</v>
      </c>
      <c r="R76" s="10" t="s">
        <v>713</v>
      </c>
      <c r="S76" s="30" t="s">
        <v>499</v>
      </c>
      <c r="T76" s="31" t="s">
        <v>644</v>
      </c>
      <c r="U76" s="9" t="s">
        <v>535</v>
      </c>
      <c r="V76" s="10" t="s">
        <v>674</v>
      </c>
      <c r="W76" s="56">
        <v>5</v>
      </c>
      <c r="X76" s="56"/>
      <c r="Y76" s="59"/>
      <c r="Z76" s="28" t="s">
        <v>702</v>
      </c>
    </row>
    <row r="77" spans="1:26" ht="27">
      <c r="A77" s="13">
        <v>73</v>
      </c>
      <c r="B77" s="11" t="s">
        <v>523</v>
      </c>
      <c r="C77" s="12" t="s">
        <v>671</v>
      </c>
      <c r="D77" s="27" t="s">
        <v>714</v>
      </c>
      <c r="E77" s="28" t="s">
        <v>715</v>
      </c>
      <c r="F77" s="29" t="s">
        <v>716</v>
      </c>
      <c r="G77" s="28" t="s">
        <v>676</v>
      </c>
      <c r="H77" s="30" t="s">
        <v>717</v>
      </c>
      <c r="I77" s="62">
        <v>4</v>
      </c>
      <c r="J77" s="44">
        <v>0</v>
      </c>
      <c r="K77" s="45">
        <v>0</v>
      </c>
      <c r="L77" s="45">
        <v>4</v>
      </c>
      <c r="M77" s="30">
        <v>0</v>
      </c>
      <c r="N77" s="55"/>
      <c r="O77" s="27"/>
      <c r="P77" s="31" t="s">
        <v>498</v>
      </c>
      <c r="Q77" s="27" t="s">
        <v>93</v>
      </c>
      <c r="R77" s="10" t="s">
        <v>718</v>
      </c>
      <c r="S77" s="30" t="s">
        <v>499</v>
      </c>
      <c r="T77" s="31" t="s">
        <v>644</v>
      </c>
      <c r="U77" s="9" t="s">
        <v>535</v>
      </c>
      <c r="V77" s="10" t="s">
        <v>674</v>
      </c>
      <c r="W77" s="56">
        <v>100</v>
      </c>
      <c r="X77" s="56"/>
      <c r="Y77" s="59"/>
      <c r="Z77" s="28" t="s">
        <v>702</v>
      </c>
    </row>
    <row r="78" spans="1:26" ht="27">
      <c r="A78" s="13">
        <v>74</v>
      </c>
      <c r="B78" s="11" t="s">
        <v>523</v>
      </c>
      <c r="C78" s="12" t="s">
        <v>671</v>
      </c>
      <c r="D78" s="27" t="s">
        <v>719</v>
      </c>
      <c r="E78" s="28" t="s">
        <v>720</v>
      </c>
      <c r="F78" s="29" t="s">
        <v>677</v>
      </c>
      <c r="G78" s="28" t="s">
        <v>711</v>
      </c>
      <c r="H78" s="30" t="s">
        <v>721</v>
      </c>
      <c r="I78" s="62">
        <v>10</v>
      </c>
      <c r="J78" s="44">
        <v>0</v>
      </c>
      <c r="K78" s="45">
        <v>0</v>
      </c>
      <c r="L78" s="45">
        <v>10</v>
      </c>
      <c r="M78" s="30">
        <v>0</v>
      </c>
      <c r="N78" s="55"/>
      <c r="O78" s="27"/>
      <c r="P78" s="31" t="s">
        <v>498</v>
      </c>
      <c r="Q78" s="27" t="s">
        <v>93</v>
      </c>
      <c r="R78" s="10" t="s">
        <v>678</v>
      </c>
      <c r="S78" s="30" t="s">
        <v>722</v>
      </c>
      <c r="T78" s="31" t="s">
        <v>644</v>
      </c>
      <c r="U78" s="9" t="s">
        <v>535</v>
      </c>
      <c r="V78" s="10" t="s">
        <v>674</v>
      </c>
      <c r="W78" s="56" t="s">
        <v>659</v>
      </c>
      <c r="X78" s="56"/>
      <c r="Y78" s="59"/>
      <c r="Z78" s="28" t="s">
        <v>702</v>
      </c>
    </row>
    <row r="79" spans="1:26" ht="27">
      <c r="A79" s="13">
        <v>75</v>
      </c>
      <c r="B79" s="11" t="s">
        <v>523</v>
      </c>
      <c r="C79" s="12" t="s">
        <v>671</v>
      </c>
      <c r="D79" s="27" t="s">
        <v>723</v>
      </c>
      <c r="E79" s="28" t="s">
        <v>724</v>
      </c>
      <c r="F79" s="29" t="s">
        <v>725</v>
      </c>
      <c r="G79" s="28" t="s">
        <v>676</v>
      </c>
      <c r="H79" s="30" t="s">
        <v>679</v>
      </c>
      <c r="I79" s="62">
        <v>54</v>
      </c>
      <c r="J79" s="44">
        <v>27</v>
      </c>
      <c r="K79" s="45">
        <v>0</v>
      </c>
      <c r="L79" s="45">
        <v>60</v>
      </c>
      <c r="M79" s="30">
        <v>0</v>
      </c>
      <c r="N79" s="55"/>
      <c r="O79" s="27"/>
      <c r="P79" s="31" t="s">
        <v>498</v>
      </c>
      <c r="Q79" s="27" t="s">
        <v>93</v>
      </c>
      <c r="R79" s="10" t="s">
        <v>726</v>
      </c>
      <c r="S79" s="30" t="s">
        <v>499</v>
      </c>
      <c r="T79" s="31" t="s">
        <v>644</v>
      </c>
      <c r="U79" s="9" t="s">
        <v>535</v>
      </c>
      <c r="V79" s="10" t="s">
        <v>674</v>
      </c>
      <c r="W79" s="56">
        <v>2</v>
      </c>
      <c r="X79" s="56"/>
      <c r="Y79" s="59"/>
      <c r="Z79" s="28" t="s">
        <v>680</v>
      </c>
    </row>
    <row r="80" spans="1:26" ht="40.5">
      <c r="A80" s="13">
        <v>76</v>
      </c>
      <c r="B80" s="11" t="s">
        <v>523</v>
      </c>
      <c r="C80" s="12" t="s">
        <v>671</v>
      </c>
      <c r="D80" s="27" t="s">
        <v>727</v>
      </c>
      <c r="E80" s="28" t="s">
        <v>728</v>
      </c>
      <c r="F80" s="29" t="s">
        <v>681</v>
      </c>
      <c r="G80" s="28" t="s">
        <v>682</v>
      </c>
      <c r="H80" s="30" t="s">
        <v>729</v>
      </c>
      <c r="I80" s="62">
        <v>40</v>
      </c>
      <c r="J80" s="44">
        <v>0</v>
      </c>
      <c r="K80" s="45">
        <v>0</v>
      </c>
      <c r="L80" s="45">
        <v>40</v>
      </c>
      <c r="M80" s="30">
        <v>0</v>
      </c>
      <c r="N80" s="55"/>
      <c r="O80" s="27"/>
      <c r="P80" s="31" t="s">
        <v>549</v>
      </c>
      <c r="Q80" s="27" t="s">
        <v>93</v>
      </c>
      <c r="R80" s="10" t="s">
        <v>499</v>
      </c>
      <c r="S80" s="30" t="s">
        <v>499</v>
      </c>
      <c r="T80" s="31" t="s">
        <v>644</v>
      </c>
      <c r="U80" s="9" t="s">
        <v>535</v>
      </c>
      <c r="V80" s="10" t="s">
        <v>507</v>
      </c>
      <c r="W80" s="56">
        <v>13</v>
      </c>
      <c r="X80" s="56"/>
      <c r="Y80" s="59"/>
      <c r="Z80" s="28" t="s">
        <v>730</v>
      </c>
    </row>
    <row r="81" spans="1:26" ht="40.5">
      <c r="A81" s="13">
        <v>77</v>
      </c>
      <c r="B81" s="11" t="s">
        <v>732</v>
      </c>
      <c r="C81" s="12" t="s">
        <v>733</v>
      </c>
      <c r="D81" s="27" t="s">
        <v>731</v>
      </c>
      <c r="E81" s="28" t="s">
        <v>734</v>
      </c>
      <c r="F81" s="29" t="s">
        <v>735</v>
      </c>
      <c r="G81" s="28" t="s">
        <v>736</v>
      </c>
      <c r="H81" s="30" t="s">
        <v>737</v>
      </c>
      <c r="I81" s="62">
        <v>334</v>
      </c>
      <c r="J81" s="44">
        <v>0</v>
      </c>
      <c r="K81" s="45">
        <v>110</v>
      </c>
      <c r="L81" s="45">
        <v>164</v>
      </c>
      <c r="M81" s="30">
        <v>60</v>
      </c>
      <c r="N81" s="55"/>
      <c r="O81" s="27"/>
      <c r="P81" s="31" t="s">
        <v>738</v>
      </c>
      <c r="Q81" s="27" t="s">
        <v>93</v>
      </c>
      <c r="R81" s="10" t="s">
        <v>739</v>
      </c>
      <c r="S81" s="30" t="s">
        <v>740</v>
      </c>
      <c r="T81" s="31" t="s">
        <v>741</v>
      </c>
      <c r="U81" s="9" t="s">
        <v>742</v>
      </c>
      <c r="V81" s="10" t="s">
        <v>743</v>
      </c>
      <c r="W81" s="56">
        <f>SUM(X81:Y81)</f>
        <v>400</v>
      </c>
      <c r="X81" s="56">
        <v>350</v>
      </c>
      <c r="Y81" s="59">
        <v>50</v>
      </c>
      <c r="Z81" s="28" t="s">
        <v>744</v>
      </c>
    </row>
    <row r="82" spans="1:26" ht="40.5">
      <c r="A82" s="13">
        <v>78</v>
      </c>
      <c r="B82" s="11" t="s">
        <v>732</v>
      </c>
      <c r="C82" s="12" t="s">
        <v>733</v>
      </c>
      <c r="D82" s="27" t="s">
        <v>745</v>
      </c>
      <c r="E82" s="28" t="s">
        <v>746</v>
      </c>
      <c r="F82" s="29" t="s">
        <v>747</v>
      </c>
      <c r="G82" s="28" t="s">
        <v>748</v>
      </c>
      <c r="H82" s="30">
        <v>2018</v>
      </c>
      <c r="I82" s="62">
        <v>68</v>
      </c>
      <c r="J82" s="44">
        <v>0</v>
      </c>
      <c r="K82" s="45">
        <v>68</v>
      </c>
      <c r="L82" s="45">
        <v>0</v>
      </c>
      <c r="M82" s="30">
        <v>0</v>
      </c>
      <c r="N82" s="55"/>
      <c r="O82" s="27"/>
      <c r="P82" s="31" t="s">
        <v>738</v>
      </c>
      <c r="Q82" s="27" t="s">
        <v>93</v>
      </c>
      <c r="R82" s="10" t="s">
        <v>749</v>
      </c>
      <c r="S82" s="30" t="s">
        <v>740</v>
      </c>
      <c r="T82" s="31" t="s">
        <v>750</v>
      </c>
      <c r="U82" s="9" t="s">
        <v>751</v>
      </c>
      <c r="V82" s="10" t="s">
        <v>752</v>
      </c>
      <c r="W82" s="56">
        <f t="shared" ref="W82" si="10">SUM(X82:Y82)</f>
        <v>50</v>
      </c>
      <c r="X82" s="56">
        <v>50</v>
      </c>
      <c r="Y82" s="59"/>
      <c r="Z82" s="28" t="s">
        <v>753</v>
      </c>
    </row>
    <row r="83" spans="1:26" ht="40.5">
      <c r="A83" s="13">
        <v>79</v>
      </c>
      <c r="B83" s="11" t="s">
        <v>44</v>
      </c>
      <c r="C83" s="12" t="s">
        <v>780</v>
      </c>
      <c r="D83" s="27" t="s">
        <v>781</v>
      </c>
      <c r="E83" s="28" t="s">
        <v>782</v>
      </c>
      <c r="F83" s="29" t="s">
        <v>783</v>
      </c>
      <c r="G83" s="28" t="s">
        <v>757</v>
      </c>
      <c r="H83" s="30" t="s">
        <v>758</v>
      </c>
      <c r="I83" s="62">
        <v>95</v>
      </c>
      <c r="J83" s="44">
        <v>0</v>
      </c>
      <c r="K83" s="45" t="s">
        <v>759</v>
      </c>
      <c r="L83" s="45">
        <v>95</v>
      </c>
      <c r="M83" s="30">
        <v>0</v>
      </c>
      <c r="N83" s="55"/>
      <c r="O83" s="27"/>
      <c r="P83" s="31" t="s">
        <v>12</v>
      </c>
      <c r="Q83" s="27" t="s">
        <v>93</v>
      </c>
      <c r="R83" s="10" t="s">
        <v>760</v>
      </c>
      <c r="S83" s="30" t="s">
        <v>138</v>
      </c>
      <c r="T83" s="31" t="s">
        <v>108</v>
      </c>
      <c r="U83" s="9" t="s">
        <v>72</v>
      </c>
      <c r="V83" s="10" t="s">
        <v>179</v>
      </c>
      <c r="W83" s="56">
        <v>30</v>
      </c>
      <c r="X83" s="56">
        <v>30</v>
      </c>
      <c r="Y83" s="59"/>
      <c r="Z83" s="28" t="s">
        <v>784</v>
      </c>
    </row>
    <row r="84" spans="1:26" ht="54">
      <c r="A84" s="13">
        <v>80</v>
      </c>
      <c r="B84" s="11" t="s">
        <v>44</v>
      </c>
      <c r="C84" s="12" t="s">
        <v>780</v>
      </c>
      <c r="D84" s="27" t="s">
        <v>785</v>
      </c>
      <c r="E84" s="28" t="s">
        <v>786</v>
      </c>
      <c r="F84" s="29" t="s">
        <v>761</v>
      </c>
      <c r="G84" s="28" t="s">
        <v>762</v>
      </c>
      <c r="H84" s="30" t="s">
        <v>763</v>
      </c>
      <c r="I84" s="62">
        <v>62</v>
      </c>
      <c r="J84" s="44">
        <v>0</v>
      </c>
      <c r="K84" s="45">
        <v>0</v>
      </c>
      <c r="L84" s="45">
        <v>62</v>
      </c>
      <c r="M84" s="30">
        <v>0</v>
      </c>
      <c r="N84" s="55"/>
      <c r="O84" s="27"/>
      <c r="P84" s="31" t="s">
        <v>11</v>
      </c>
      <c r="Q84" s="27" t="s">
        <v>93</v>
      </c>
      <c r="R84" s="10" t="s">
        <v>764</v>
      </c>
      <c r="S84" s="30" t="s">
        <v>138</v>
      </c>
      <c r="T84" s="31" t="s">
        <v>108</v>
      </c>
      <c r="U84" s="9" t="s">
        <v>72</v>
      </c>
      <c r="V84" s="10" t="s">
        <v>179</v>
      </c>
      <c r="W84" s="56">
        <f t="shared" ref="W84:W86" si="11">SUM(X84:Y84)</f>
        <v>7</v>
      </c>
      <c r="X84" s="56">
        <v>7</v>
      </c>
      <c r="Y84" s="59"/>
      <c r="Z84" s="28" t="s">
        <v>765</v>
      </c>
    </row>
    <row r="85" spans="1:26" ht="54">
      <c r="A85" s="13">
        <v>81</v>
      </c>
      <c r="B85" s="11" t="s">
        <v>44</v>
      </c>
      <c r="C85" s="12" t="s">
        <v>780</v>
      </c>
      <c r="D85" s="27" t="s">
        <v>754</v>
      </c>
      <c r="E85" s="28" t="s">
        <v>787</v>
      </c>
      <c r="F85" s="29" t="s">
        <v>788</v>
      </c>
      <c r="G85" s="28" t="s">
        <v>766</v>
      </c>
      <c r="H85" s="30" t="s">
        <v>767</v>
      </c>
      <c r="I85" s="62">
        <v>15</v>
      </c>
      <c r="J85" s="44">
        <v>0</v>
      </c>
      <c r="K85" s="45">
        <v>6</v>
      </c>
      <c r="L85" s="45">
        <v>9</v>
      </c>
      <c r="M85" s="30">
        <v>0</v>
      </c>
      <c r="N85" s="55"/>
      <c r="O85" s="27"/>
      <c r="P85" s="31" t="s">
        <v>12</v>
      </c>
      <c r="Q85" s="27" t="s">
        <v>93</v>
      </c>
      <c r="R85" s="10" t="s">
        <v>683</v>
      </c>
      <c r="S85" s="30" t="s">
        <v>138</v>
      </c>
      <c r="T85" s="31" t="s">
        <v>139</v>
      </c>
      <c r="U85" s="9" t="s">
        <v>768</v>
      </c>
      <c r="V85" s="10" t="s">
        <v>309</v>
      </c>
      <c r="W85" s="56">
        <v>0.5</v>
      </c>
      <c r="X85" s="56">
        <v>0.5</v>
      </c>
      <c r="Y85" s="59"/>
      <c r="Z85" s="28" t="s">
        <v>769</v>
      </c>
    </row>
    <row r="86" spans="1:26" ht="27">
      <c r="A86" s="13">
        <v>82</v>
      </c>
      <c r="B86" s="11" t="s">
        <v>44</v>
      </c>
      <c r="C86" s="12" t="s">
        <v>780</v>
      </c>
      <c r="D86" s="27" t="s">
        <v>755</v>
      </c>
      <c r="E86" s="28" t="s">
        <v>789</v>
      </c>
      <c r="F86" s="29" t="s">
        <v>770</v>
      </c>
      <c r="G86" s="28" t="s">
        <v>771</v>
      </c>
      <c r="H86" s="30" t="s">
        <v>772</v>
      </c>
      <c r="I86" s="62">
        <v>7</v>
      </c>
      <c r="J86" s="44">
        <v>0</v>
      </c>
      <c r="K86" s="45">
        <v>0</v>
      </c>
      <c r="L86" s="45">
        <v>7</v>
      </c>
      <c r="M86" s="30">
        <v>0</v>
      </c>
      <c r="N86" s="55"/>
      <c r="O86" s="27"/>
      <c r="P86" s="31" t="s">
        <v>12</v>
      </c>
      <c r="Q86" s="27" t="s">
        <v>93</v>
      </c>
      <c r="R86" s="10" t="s">
        <v>683</v>
      </c>
      <c r="S86" s="30" t="s">
        <v>138</v>
      </c>
      <c r="T86" s="31" t="s">
        <v>790</v>
      </c>
      <c r="U86" s="9" t="s">
        <v>768</v>
      </c>
      <c r="V86" s="10" t="s">
        <v>309</v>
      </c>
      <c r="W86" s="56">
        <f t="shared" si="11"/>
        <v>0.5</v>
      </c>
      <c r="X86" s="56">
        <v>0.5</v>
      </c>
      <c r="Y86" s="59"/>
      <c r="Z86" s="28" t="s">
        <v>773</v>
      </c>
    </row>
    <row r="87" spans="1:26" ht="54">
      <c r="A87" s="13">
        <v>83</v>
      </c>
      <c r="B87" s="11" t="s">
        <v>44</v>
      </c>
      <c r="C87" s="12" t="s">
        <v>780</v>
      </c>
      <c r="D87" s="27" t="s">
        <v>756</v>
      </c>
      <c r="E87" s="28" t="s">
        <v>791</v>
      </c>
      <c r="F87" s="29" t="s">
        <v>774</v>
      </c>
      <c r="G87" s="28" t="s">
        <v>775</v>
      </c>
      <c r="H87" s="30" t="s">
        <v>776</v>
      </c>
      <c r="I87" s="62">
        <v>20</v>
      </c>
      <c r="J87" s="44">
        <v>0</v>
      </c>
      <c r="K87" s="45">
        <v>20</v>
      </c>
      <c r="L87" s="45">
        <v>0</v>
      </c>
      <c r="M87" s="30">
        <v>0</v>
      </c>
      <c r="N87" s="55"/>
      <c r="O87" s="27"/>
      <c r="P87" s="31" t="s">
        <v>12</v>
      </c>
      <c r="Q87" s="27" t="s">
        <v>93</v>
      </c>
      <c r="R87" s="10" t="s">
        <v>777</v>
      </c>
      <c r="S87" s="30" t="s">
        <v>138</v>
      </c>
      <c r="T87" s="31" t="s">
        <v>630</v>
      </c>
      <c r="U87" s="9" t="s">
        <v>72</v>
      </c>
      <c r="V87" s="10" t="s">
        <v>179</v>
      </c>
      <c r="W87" s="56">
        <v>0.3</v>
      </c>
      <c r="X87" s="56">
        <v>0.3</v>
      </c>
      <c r="Y87" s="59"/>
      <c r="Z87" s="28" t="s">
        <v>778</v>
      </c>
    </row>
    <row r="88" spans="1:26" ht="40.5">
      <c r="A88" s="13">
        <v>84</v>
      </c>
      <c r="B88" s="11" t="s">
        <v>44</v>
      </c>
      <c r="C88" s="12" t="s">
        <v>780</v>
      </c>
      <c r="D88" s="27" t="s">
        <v>792</v>
      </c>
      <c r="E88" s="28" t="s">
        <v>793</v>
      </c>
      <c r="F88" s="29" t="s">
        <v>794</v>
      </c>
      <c r="G88" s="28" t="s">
        <v>795</v>
      </c>
      <c r="H88" s="30" t="s">
        <v>779</v>
      </c>
      <c r="I88" s="62">
        <v>20</v>
      </c>
      <c r="J88" s="44">
        <v>0</v>
      </c>
      <c r="K88" s="45">
        <v>0</v>
      </c>
      <c r="L88" s="45">
        <v>20</v>
      </c>
      <c r="M88" s="30">
        <v>0</v>
      </c>
      <c r="N88" s="55"/>
      <c r="O88" s="27"/>
      <c r="P88" s="31" t="s">
        <v>6</v>
      </c>
      <c r="Q88" s="27" t="s">
        <v>93</v>
      </c>
      <c r="R88" s="10" t="s">
        <v>796</v>
      </c>
      <c r="S88" s="30" t="s">
        <v>138</v>
      </c>
      <c r="T88" s="31" t="s">
        <v>239</v>
      </c>
      <c r="U88" s="9" t="s">
        <v>72</v>
      </c>
      <c r="V88" s="10" t="s">
        <v>309</v>
      </c>
      <c r="W88" s="56">
        <v>2</v>
      </c>
      <c r="X88" s="56">
        <v>2</v>
      </c>
      <c r="Y88" s="59"/>
      <c r="Z88" s="28" t="s">
        <v>797</v>
      </c>
    </row>
    <row r="89" spans="1:26" ht="54">
      <c r="A89" s="13">
        <v>85</v>
      </c>
      <c r="B89" s="11" t="s">
        <v>800</v>
      </c>
      <c r="C89" s="12" t="s">
        <v>801</v>
      </c>
      <c r="D89" s="27" t="s">
        <v>802</v>
      </c>
      <c r="E89" s="28" t="s">
        <v>803</v>
      </c>
      <c r="F89" s="29" t="s">
        <v>804</v>
      </c>
      <c r="G89" s="28" t="s">
        <v>805</v>
      </c>
      <c r="H89" s="30" t="s">
        <v>806</v>
      </c>
      <c r="I89" s="62">
        <v>40</v>
      </c>
      <c r="J89" s="44">
        <v>0</v>
      </c>
      <c r="K89" s="45" t="s">
        <v>798</v>
      </c>
      <c r="L89" s="45">
        <v>15</v>
      </c>
      <c r="M89" s="30">
        <v>0</v>
      </c>
      <c r="N89" s="55"/>
      <c r="O89" s="27"/>
      <c r="P89" s="31" t="s">
        <v>807</v>
      </c>
      <c r="Q89" s="27" t="s">
        <v>93</v>
      </c>
      <c r="R89" s="10" t="s">
        <v>808</v>
      </c>
      <c r="S89" s="30" t="s">
        <v>809</v>
      </c>
      <c r="T89" s="31" t="s">
        <v>810</v>
      </c>
      <c r="U89" s="9" t="s">
        <v>811</v>
      </c>
      <c r="V89" s="10" t="s">
        <v>812</v>
      </c>
      <c r="W89" s="56">
        <f>SUM(X89:Y89)</f>
        <v>14</v>
      </c>
      <c r="X89" s="56">
        <v>13.7</v>
      </c>
      <c r="Y89" s="59">
        <v>0.3</v>
      </c>
      <c r="Z89" s="28" t="s">
        <v>813</v>
      </c>
    </row>
    <row r="90" spans="1:26" ht="54">
      <c r="A90" s="13">
        <v>86</v>
      </c>
      <c r="B90" s="11" t="s">
        <v>800</v>
      </c>
      <c r="C90" s="12" t="s">
        <v>801</v>
      </c>
      <c r="D90" s="27" t="s">
        <v>814</v>
      </c>
      <c r="E90" s="28" t="s">
        <v>815</v>
      </c>
      <c r="F90" s="29" t="s">
        <v>816</v>
      </c>
      <c r="G90" s="28" t="s">
        <v>805</v>
      </c>
      <c r="H90" s="30" t="s">
        <v>817</v>
      </c>
      <c r="I90" s="62">
        <v>164</v>
      </c>
      <c r="J90" s="44">
        <v>0</v>
      </c>
      <c r="K90" s="45" t="s">
        <v>799</v>
      </c>
      <c r="L90" s="45">
        <v>14</v>
      </c>
      <c r="M90" s="30">
        <v>0</v>
      </c>
      <c r="N90" s="55"/>
      <c r="O90" s="27"/>
      <c r="P90" s="31" t="s">
        <v>818</v>
      </c>
      <c r="Q90" s="27" t="s">
        <v>93</v>
      </c>
      <c r="R90" s="10" t="s">
        <v>819</v>
      </c>
      <c r="S90" s="30" t="s">
        <v>809</v>
      </c>
      <c r="T90" s="31" t="s">
        <v>810</v>
      </c>
      <c r="U90" s="9" t="s">
        <v>811</v>
      </c>
      <c r="V90" s="10" t="s">
        <v>812</v>
      </c>
      <c r="W90" s="56">
        <f t="shared" ref="W90" si="12">SUM(X90:Y90)</f>
        <v>10</v>
      </c>
      <c r="X90" s="56">
        <v>9.9</v>
      </c>
      <c r="Y90" s="59">
        <v>0.1</v>
      </c>
      <c r="Z90" s="28" t="s">
        <v>820</v>
      </c>
    </row>
    <row r="91" spans="1:26" ht="40.5">
      <c r="A91" s="13">
        <v>87</v>
      </c>
      <c r="B91" s="11" t="s">
        <v>44</v>
      </c>
      <c r="C91" s="12" t="s">
        <v>829</v>
      </c>
      <c r="D91" s="27" t="s">
        <v>830</v>
      </c>
      <c r="E91" s="28" t="s">
        <v>831</v>
      </c>
      <c r="F91" s="29" t="s">
        <v>832</v>
      </c>
      <c r="G91" s="28" t="s">
        <v>833</v>
      </c>
      <c r="H91" s="30" t="s">
        <v>821</v>
      </c>
      <c r="I91" s="62">
        <v>200</v>
      </c>
      <c r="J91" s="44">
        <v>0</v>
      </c>
      <c r="K91" s="45">
        <v>0</v>
      </c>
      <c r="L91" s="45">
        <v>0</v>
      </c>
      <c r="M91" s="30">
        <v>200</v>
      </c>
      <c r="N91" s="55"/>
      <c r="O91" s="27"/>
      <c r="P91" s="31" t="s">
        <v>10</v>
      </c>
      <c r="Q91" s="27" t="s">
        <v>93</v>
      </c>
      <c r="R91" s="10" t="s">
        <v>834</v>
      </c>
      <c r="S91" s="30" t="s">
        <v>835</v>
      </c>
      <c r="T91" s="31" t="s">
        <v>836</v>
      </c>
      <c r="U91" s="9" t="s">
        <v>837</v>
      </c>
      <c r="V91" s="10" t="s">
        <v>838</v>
      </c>
      <c r="W91" s="56" t="s">
        <v>822</v>
      </c>
      <c r="X91" s="56"/>
      <c r="Y91" s="59"/>
      <c r="Z91" s="28" t="s">
        <v>839</v>
      </c>
    </row>
    <row r="92" spans="1:26" ht="121.5">
      <c r="A92" s="13">
        <v>88</v>
      </c>
      <c r="B92" s="11" t="s">
        <v>840</v>
      </c>
      <c r="C92" s="12" t="s">
        <v>829</v>
      </c>
      <c r="D92" s="27" t="s">
        <v>841</v>
      </c>
      <c r="E92" s="28" t="s">
        <v>842</v>
      </c>
      <c r="F92" s="29" t="s">
        <v>843</v>
      </c>
      <c r="G92" s="28" t="s">
        <v>844</v>
      </c>
      <c r="H92" s="30" t="s">
        <v>823</v>
      </c>
      <c r="I92" s="62">
        <v>970</v>
      </c>
      <c r="J92" s="44">
        <v>0</v>
      </c>
      <c r="K92" s="45">
        <v>0</v>
      </c>
      <c r="L92" s="45">
        <v>500</v>
      </c>
      <c r="M92" s="30">
        <v>470</v>
      </c>
      <c r="N92" s="55"/>
      <c r="O92" s="27"/>
      <c r="P92" s="31" t="s">
        <v>845</v>
      </c>
      <c r="Q92" s="27" t="s">
        <v>93</v>
      </c>
      <c r="R92" s="10" t="s">
        <v>846</v>
      </c>
      <c r="S92" s="30" t="s">
        <v>835</v>
      </c>
      <c r="T92" s="31" t="s">
        <v>73</v>
      </c>
      <c r="U92" s="9" t="s">
        <v>72</v>
      </c>
      <c r="V92" s="10" t="s">
        <v>256</v>
      </c>
      <c r="W92" s="56" t="s">
        <v>824</v>
      </c>
      <c r="X92" s="56"/>
      <c r="Y92" s="59"/>
      <c r="Z92" s="28" t="s">
        <v>847</v>
      </c>
    </row>
    <row r="93" spans="1:26" ht="54">
      <c r="A93" s="13">
        <v>89</v>
      </c>
      <c r="B93" s="11" t="s">
        <v>840</v>
      </c>
      <c r="C93" s="12" t="s">
        <v>829</v>
      </c>
      <c r="D93" s="27" t="s">
        <v>848</v>
      </c>
      <c r="E93" s="28" t="s">
        <v>849</v>
      </c>
      <c r="F93" s="29" t="s">
        <v>850</v>
      </c>
      <c r="G93" s="28" t="s">
        <v>851</v>
      </c>
      <c r="H93" s="30" t="s">
        <v>825</v>
      </c>
      <c r="I93" s="62" t="s">
        <v>826</v>
      </c>
      <c r="J93" s="44">
        <v>0</v>
      </c>
      <c r="K93" s="45">
        <v>30</v>
      </c>
      <c r="L93" s="45">
        <v>50</v>
      </c>
      <c r="M93" s="30">
        <v>0</v>
      </c>
      <c r="N93" s="55"/>
      <c r="O93" s="27"/>
      <c r="P93" s="31" t="s">
        <v>10</v>
      </c>
      <c r="Q93" s="27" t="s">
        <v>93</v>
      </c>
      <c r="R93" s="10" t="s">
        <v>852</v>
      </c>
      <c r="S93" s="30" t="s">
        <v>835</v>
      </c>
      <c r="T93" s="31" t="s">
        <v>836</v>
      </c>
      <c r="U93" s="9" t="s">
        <v>837</v>
      </c>
      <c r="V93" s="10" t="s">
        <v>838</v>
      </c>
      <c r="W93" s="56" t="s">
        <v>827</v>
      </c>
      <c r="X93" s="56" t="s">
        <v>827</v>
      </c>
      <c r="Y93" s="59"/>
      <c r="Z93" s="28" t="s">
        <v>853</v>
      </c>
    </row>
    <row r="94" spans="1:26" ht="94.5">
      <c r="A94" s="13">
        <v>90</v>
      </c>
      <c r="B94" s="11" t="s">
        <v>44</v>
      </c>
      <c r="C94" s="12" t="s">
        <v>829</v>
      </c>
      <c r="D94" s="27" t="s">
        <v>854</v>
      </c>
      <c r="E94" s="28" t="s">
        <v>855</v>
      </c>
      <c r="F94" s="29" t="s">
        <v>856</v>
      </c>
      <c r="G94" s="28" t="s">
        <v>857</v>
      </c>
      <c r="H94" s="30" t="s">
        <v>828</v>
      </c>
      <c r="I94" s="62">
        <v>50</v>
      </c>
      <c r="J94" s="44">
        <v>0</v>
      </c>
      <c r="K94" s="45">
        <v>10</v>
      </c>
      <c r="L94" s="45">
        <v>0</v>
      </c>
      <c r="M94" s="30">
        <v>40</v>
      </c>
      <c r="N94" s="55"/>
      <c r="O94" s="27"/>
      <c r="P94" s="31" t="s">
        <v>12</v>
      </c>
      <c r="Q94" s="27" t="s">
        <v>93</v>
      </c>
      <c r="R94" s="10" t="s">
        <v>858</v>
      </c>
      <c r="S94" s="30" t="s">
        <v>835</v>
      </c>
      <c r="T94" s="31" t="s">
        <v>859</v>
      </c>
      <c r="U94" s="9" t="s">
        <v>72</v>
      </c>
      <c r="V94" s="10" t="s">
        <v>860</v>
      </c>
      <c r="W94" s="56">
        <v>20</v>
      </c>
      <c r="X94" s="56">
        <v>20</v>
      </c>
      <c r="Y94" s="59"/>
      <c r="Z94" s="28" t="s">
        <v>861</v>
      </c>
    </row>
    <row r="95" spans="1:26" ht="67.5">
      <c r="A95" s="13">
        <v>91</v>
      </c>
      <c r="B95" s="11" t="s">
        <v>870</v>
      </c>
      <c r="C95" s="12" t="s">
        <v>871</v>
      </c>
      <c r="D95" s="27" t="s">
        <v>872</v>
      </c>
      <c r="E95" s="28" t="s">
        <v>873</v>
      </c>
      <c r="F95" s="29" t="s">
        <v>874</v>
      </c>
      <c r="G95" s="28" t="s">
        <v>875</v>
      </c>
      <c r="H95" s="30" t="s">
        <v>864</v>
      </c>
      <c r="I95" s="62">
        <v>420</v>
      </c>
      <c r="J95" s="44">
        <v>0</v>
      </c>
      <c r="K95" s="45">
        <v>420</v>
      </c>
      <c r="L95" s="45">
        <v>0</v>
      </c>
      <c r="M95" s="30">
        <v>0</v>
      </c>
      <c r="N95" s="55"/>
      <c r="O95" s="27"/>
      <c r="P95" s="31" t="s">
        <v>876</v>
      </c>
      <c r="Q95" s="27" t="s">
        <v>877</v>
      </c>
      <c r="R95" s="10" t="s">
        <v>878</v>
      </c>
      <c r="S95" s="30" t="s">
        <v>879</v>
      </c>
      <c r="T95" s="31" t="s">
        <v>865</v>
      </c>
      <c r="U95" s="9" t="s">
        <v>867</v>
      </c>
      <c r="V95" s="10" t="s">
        <v>880</v>
      </c>
      <c r="W95" s="56">
        <v>50</v>
      </c>
      <c r="X95" s="56"/>
      <c r="Y95" s="59"/>
      <c r="Z95" s="28" t="s">
        <v>868</v>
      </c>
    </row>
    <row r="96" spans="1:26" ht="67.5">
      <c r="A96" s="13">
        <v>92</v>
      </c>
      <c r="B96" s="11" t="s">
        <v>44</v>
      </c>
      <c r="C96" s="12" t="s">
        <v>871</v>
      </c>
      <c r="D96" s="27" t="s">
        <v>881</v>
      </c>
      <c r="E96" s="28" t="s">
        <v>882</v>
      </c>
      <c r="F96" s="29" t="s">
        <v>883</v>
      </c>
      <c r="G96" s="28" t="s">
        <v>862</v>
      </c>
      <c r="H96" s="30" t="s">
        <v>869</v>
      </c>
      <c r="I96" s="62">
        <v>522</v>
      </c>
      <c r="J96" s="44">
        <v>0</v>
      </c>
      <c r="K96" s="45">
        <v>522</v>
      </c>
      <c r="L96" s="45">
        <v>0</v>
      </c>
      <c r="M96" s="30">
        <v>0</v>
      </c>
      <c r="N96" s="55"/>
      <c r="O96" s="27"/>
      <c r="P96" s="31" t="s">
        <v>876</v>
      </c>
      <c r="Q96" s="27" t="s">
        <v>884</v>
      </c>
      <c r="R96" s="10" t="s">
        <v>885</v>
      </c>
      <c r="S96" s="30" t="s">
        <v>879</v>
      </c>
      <c r="T96" s="31" t="s">
        <v>886</v>
      </c>
      <c r="U96" s="9" t="s">
        <v>887</v>
      </c>
      <c r="V96" s="10" t="s">
        <v>880</v>
      </c>
      <c r="W96" s="56">
        <v>60</v>
      </c>
      <c r="X96" s="56"/>
      <c r="Y96" s="59"/>
      <c r="Z96" s="28" t="s">
        <v>888</v>
      </c>
    </row>
    <row r="97" spans="1:26" ht="54">
      <c r="A97" s="13">
        <v>93</v>
      </c>
      <c r="B97" s="11" t="s">
        <v>889</v>
      </c>
      <c r="C97" s="12" t="s">
        <v>35</v>
      </c>
      <c r="D97" s="27" t="s">
        <v>890</v>
      </c>
      <c r="E97" s="28" t="s">
        <v>891</v>
      </c>
      <c r="F97" s="29" t="s">
        <v>863</v>
      </c>
      <c r="G97" s="28" t="s">
        <v>892</v>
      </c>
      <c r="H97" s="30" t="s">
        <v>580</v>
      </c>
      <c r="I97" s="62">
        <v>930</v>
      </c>
      <c r="J97" s="44">
        <v>0</v>
      </c>
      <c r="K97" s="45">
        <v>930</v>
      </c>
      <c r="L97" s="45">
        <v>0</v>
      </c>
      <c r="M97" s="30">
        <v>0</v>
      </c>
      <c r="N97" s="55"/>
      <c r="O97" s="27"/>
      <c r="P97" s="31" t="s">
        <v>12</v>
      </c>
      <c r="Q97" s="27" t="s">
        <v>93</v>
      </c>
      <c r="R97" s="10" t="s">
        <v>893</v>
      </c>
      <c r="S97" s="30" t="s">
        <v>70</v>
      </c>
      <c r="T97" s="31" t="s">
        <v>886</v>
      </c>
      <c r="U97" s="9" t="s">
        <v>887</v>
      </c>
      <c r="V97" s="10" t="s">
        <v>256</v>
      </c>
      <c r="W97" s="56">
        <v>100</v>
      </c>
      <c r="X97" s="56"/>
      <c r="Y97" s="59"/>
      <c r="Z97" s="28" t="s">
        <v>866</v>
      </c>
    </row>
    <row r="98" spans="1:26" s="3" customFormat="1" ht="26.25" customHeight="1">
      <c r="A98" s="24"/>
      <c r="B98" s="24"/>
      <c r="C98" s="24"/>
      <c r="W98" s="61"/>
      <c r="X98" s="61"/>
      <c r="Y98" s="61"/>
    </row>
    <row r="99" spans="1:26" s="3" customFormat="1" ht="26.25" customHeight="1">
      <c r="A99" s="24"/>
      <c r="B99" s="24"/>
      <c r="C99" s="24"/>
      <c r="W99" s="61"/>
      <c r="X99" s="61"/>
      <c r="Y99" s="61"/>
    </row>
    <row r="100" spans="1:26" s="3" customFormat="1" ht="26.25" customHeight="1">
      <c r="A100" s="24"/>
      <c r="B100" s="24"/>
      <c r="C100" s="24"/>
      <c r="W100" s="61"/>
      <c r="X100" s="61"/>
      <c r="Y100" s="61"/>
    </row>
    <row r="101" spans="1:26" s="3" customFormat="1" ht="26.25" customHeight="1">
      <c r="A101" s="24"/>
      <c r="B101" s="24"/>
      <c r="C101" s="24"/>
      <c r="W101" s="61"/>
      <c r="X101" s="61"/>
      <c r="Y101" s="61"/>
    </row>
    <row r="102" spans="1:26" s="3" customFormat="1" ht="26.25" customHeight="1">
      <c r="A102" s="24"/>
      <c r="B102" s="24"/>
      <c r="C102" s="24"/>
      <c r="W102" s="61"/>
      <c r="X102" s="61"/>
      <c r="Y102" s="61"/>
    </row>
    <row r="103" spans="1:26" s="3" customFormat="1" ht="26.25" customHeight="1">
      <c r="A103" s="24"/>
      <c r="B103" s="24"/>
      <c r="C103" s="24"/>
      <c r="W103" s="61"/>
      <c r="X103" s="61"/>
      <c r="Y103" s="61"/>
    </row>
    <row r="104" spans="1:26" s="3" customFormat="1" ht="26.25" customHeight="1">
      <c r="A104" s="24"/>
      <c r="B104" s="24"/>
      <c r="C104" s="24"/>
      <c r="W104" s="61"/>
      <c r="X104" s="61"/>
      <c r="Y104" s="61"/>
    </row>
    <row r="105" spans="1:26" s="3" customFormat="1" ht="26.25" customHeight="1">
      <c r="A105" s="24"/>
      <c r="B105" s="24"/>
      <c r="C105" s="24"/>
      <c r="W105" s="61"/>
      <c r="X105" s="61"/>
      <c r="Y105" s="61"/>
    </row>
    <row r="106" spans="1:26" s="3" customFormat="1" ht="26.25" customHeight="1">
      <c r="A106" s="24"/>
      <c r="B106" s="24"/>
      <c r="C106" s="24"/>
      <c r="W106" s="61"/>
      <c r="X106" s="61"/>
      <c r="Y106" s="61"/>
    </row>
    <row r="107" spans="1:26" s="3" customFormat="1" ht="26.25" customHeight="1">
      <c r="A107" s="24"/>
      <c r="B107" s="24"/>
      <c r="C107" s="24"/>
      <c r="W107" s="61"/>
      <c r="X107" s="61"/>
      <c r="Y107" s="61"/>
    </row>
    <row r="108" spans="1:26" s="3" customFormat="1" ht="26.25" customHeight="1">
      <c r="A108" s="24"/>
      <c r="B108" s="24"/>
      <c r="C108" s="24"/>
      <c r="W108" s="61"/>
      <c r="X108" s="61"/>
      <c r="Y108" s="61"/>
    </row>
  </sheetData>
  <autoFilter ref="A4:Y43"/>
  <mergeCells count="4">
    <mergeCell ref="W3:Y3"/>
    <mergeCell ref="N3:O3"/>
    <mergeCell ref="A1:Y2"/>
    <mergeCell ref="I3:M3"/>
  </mergeCells>
  <phoneticPr fontId="3" type="noConversion"/>
  <pageMargins left="0.19685039370078741" right="0.19685039370078741" top="0.35433070866141736" bottom="0.19685039370078741" header="0.19685039370078741" footer="0.19685039370078741"/>
  <pageSetup paperSize="9" scale="44" orientation="landscape" r:id="rId1"/>
  <headerFooter alignWithMargins="0"/>
  <rowBreaks count="3" manualBreakCount="3">
    <brk id="17" max="20" man="1"/>
    <brk id="30" max="20" man="1"/>
    <brk id="43" max="1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7"/>
  <sheetViews>
    <sheetView workbookViewId="0">
      <selection activeCell="G3" sqref="G1:G1048576"/>
    </sheetView>
  </sheetViews>
  <sheetFormatPr defaultRowHeight="13.5"/>
  <cols>
    <col min="6" max="6" width="29.109375" bestFit="1"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323"/>
      <c r="AA1" s="323"/>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325"/>
      <c r="AA2" s="325"/>
    </row>
    <row r="3" spans="1:27" ht="17.25" thickBot="1">
      <c r="A3" s="326"/>
      <c r="B3" s="326"/>
      <c r="C3" s="326"/>
      <c r="D3" s="324"/>
      <c r="E3" s="324"/>
      <c r="F3" s="324"/>
      <c r="G3" s="324"/>
      <c r="H3" s="324"/>
      <c r="I3" s="1619"/>
      <c r="J3" s="1620"/>
      <c r="K3" s="1620"/>
      <c r="L3" s="1620"/>
      <c r="M3" s="1620"/>
      <c r="N3" s="1617" t="s">
        <v>1754</v>
      </c>
      <c r="O3" s="1618"/>
      <c r="P3" s="349"/>
      <c r="Q3" s="349"/>
      <c r="R3" s="350"/>
      <c r="S3" s="351"/>
      <c r="T3" s="351"/>
      <c r="U3" s="351"/>
      <c r="V3" s="351"/>
      <c r="W3" s="1614" t="s">
        <v>896</v>
      </c>
      <c r="X3" s="1615"/>
      <c r="Y3" s="1616"/>
      <c r="Z3" s="351"/>
      <c r="AA3" s="332"/>
    </row>
    <row r="4" spans="1:27" ht="57">
      <c r="A4" s="352" t="s">
        <v>897</v>
      </c>
      <c r="B4" s="353" t="s">
        <v>898</v>
      </c>
      <c r="C4" s="353" t="s">
        <v>899</v>
      </c>
      <c r="D4" s="353" t="s">
        <v>900</v>
      </c>
      <c r="E4" s="354" t="s">
        <v>901</v>
      </c>
      <c r="F4" s="353" t="s">
        <v>902</v>
      </c>
      <c r="G4" s="354" t="s">
        <v>903</v>
      </c>
      <c r="H4" s="354" t="s">
        <v>904</v>
      </c>
      <c r="I4" s="354" t="s">
        <v>905</v>
      </c>
      <c r="J4" s="354" t="s">
        <v>906</v>
      </c>
      <c r="K4" s="354" t="s">
        <v>907</v>
      </c>
      <c r="L4" s="354" t="s">
        <v>908</v>
      </c>
      <c r="M4" s="354" t="s">
        <v>909</v>
      </c>
      <c r="N4" s="354" t="s">
        <v>910</v>
      </c>
      <c r="O4" s="354" t="s">
        <v>911</v>
      </c>
      <c r="P4" s="354" t="s">
        <v>912</v>
      </c>
      <c r="Q4" s="354" t="s">
        <v>913</v>
      </c>
      <c r="R4" s="355" t="s">
        <v>914</v>
      </c>
      <c r="S4" s="355" t="s">
        <v>915</v>
      </c>
      <c r="T4" s="355" t="s">
        <v>916</v>
      </c>
      <c r="U4" s="355" t="s">
        <v>917</v>
      </c>
      <c r="V4" s="355" t="s">
        <v>918</v>
      </c>
      <c r="W4" s="355" t="s">
        <v>919</v>
      </c>
      <c r="X4" s="355" t="s">
        <v>920</v>
      </c>
      <c r="Y4" s="355" t="s">
        <v>921</v>
      </c>
      <c r="Z4" s="355" t="s">
        <v>922</v>
      </c>
      <c r="AA4" s="356"/>
    </row>
    <row r="5" spans="1:27" ht="36">
      <c r="A5" s="329">
        <v>1</v>
      </c>
      <c r="B5" s="335" t="s">
        <v>1944</v>
      </c>
      <c r="C5" s="335" t="s">
        <v>924</v>
      </c>
      <c r="D5" s="336" t="s">
        <v>1945</v>
      </c>
      <c r="E5" s="336" t="s">
        <v>1946</v>
      </c>
      <c r="F5" s="337" t="s">
        <v>1947</v>
      </c>
      <c r="G5" s="336" t="s">
        <v>1948</v>
      </c>
      <c r="H5" s="336" t="s">
        <v>1949</v>
      </c>
      <c r="I5" s="338">
        <v>530</v>
      </c>
      <c r="J5" s="338">
        <v>0</v>
      </c>
      <c r="K5" s="338">
        <v>330</v>
      </c>
      <c r="L5" s="338">
        <v>20</v>
      </c>
      <c r="M5" s="338">
        <v>180</v>
      </c>
      <c r="N5" s="339" t="s">
        <v>1950</v>
      </c>
      <c r="O5" s="340"/>
      <c r="P5" s="341" t="s">
        <v>1951</v>
      </c>
      <c r="Q5" s="336"/>
      <c r="R5" s="336" t="s">
        <v>1952</v>
      </c>
      <c r="S5" s="336" t="s">
        <v>82</v>
      </c>
      <c r="T5" s="336" t="s">
        <v>83</v>
      </c>
      <c r="U5" s="336" t="s">
        <v>1953</v>
      </c>
      <c r="V5" s="336" t="s">
        <v>1954</v>
      </c>
      <c r="W5" s="338">
        <v>60</v>
      </c>
      <c r="X5" s="338">
        <v>59</v>
      </c>
      <c r="Y5" s="338">
        <v>1</v>
      </c>
      <c r="Z5" s="336" t="s">
        <v>1017</v>
      </c>
      <c r="AA5" s="330"/>
    </row>
    <row r="6" spans="1:27" ht="60">
      <c r="A6" s="329">
        <v>2</v>
      </c>
      <c r="B6" s="335" t="s">
        <v>1944</v>
      </c>
      <c r="C6" s="339" t="s">
        <v>924</v>
      </c>
      <c r="D6" s="341" t="s">
        <v>1955</v>
      </c>
      <c r="E6" s="341" t="s">
        <v>1956</v>
      </c>
      <c r="F6" s="342" t="s">
        <v>1957</v>
      </c>
      <c r="G6" s="336" t="s">
        <v>1958</v>
      </c>
      <c r="H6" s="341" t="s">
        <v>1959</v>
      </c>
      <c r="I6" s="338">
        <v>200</v>
      </c>
      <c r="J6" s="343">
        <v>0</v>
      </c>
      <c r="K6" s="343">
        <v>200</v>
      </c>
      <c r="L6" s="343">
        <v>0</v>
      </c>
      <c r="M6" s="343">
        <v>0</v>
      </c>
      <c r="N6" s="339" t="s">
        <v>1950</v>
      </c>
      <c r="O6" s="340"/>
      <c r="P6" s="341" t="s">
        <v>1951</v>
      </c>
      <c r="Q6" s="336"/>
      <c r="R6" s="336" t="s">
        <v>1960</v>
      </c>
      <c r="S6" s="336" t="s">
        <v>82</v>
      </c>
      <c r="T6" s="336" t="s">
        <v>1961</v>
      </c>
      <c r="U6" s="336" t="s">
        <v>1962</v>
      </c>
      <c r="V6" s="336" t="s">
        <v>1963</v>
      </c>
      <c r="W6" s="338">
        <v>200</v>
      </c>
      <c r="X6" s="338">
        <v>180</v>
      </c>
      <c r="Y6" s="344">
        <v>20</v>
      </c>
      <c r="Z6" s="336" t="s">
        <v>930</v>
      </c>
      <c r="AA6" s="330"/>
    </row>
    <row r="7" spans="1:27" ht="48">
      <c r="A7" s="329">
        <v>3</v>
      </c>
      <c r="B7" s="335" t="s">
        <v>1944</v>
      </c>
      <c r="C7" s="335" t="s">
        <v>924</v>
      </c>
      <c r="D7" s="336" t="s">
        <v>1964</v>
      </c>
      <c r="E7" s="336" t="s">
        <v>1965</v>
      </c>
      <c r="F7" s="337" t="s">
        <v>1966</v>
      </c>
      <c r="G7" s="336" t="s">
        <v>1967</v>
      </c>
      <c r="H7" s="336" t="s">
        <v>80</v>
      </c>
      <c r="I7" s="338">
        <v>460</v>
      </c>
      <c r="J7" s="338">
        <v>0</v>
      </c>
      <c r="K7" s="338">
        <v>450</v>
      </c>
      <c r="L7" s="338">
        <v>10</v>
      </c>
      <c r="M7" s="338">
        <v>0</v>
      </c>
      <c r="N7" s="335" t="s">
        <v>1950</v>
      </c>
      <c r="O7" s="345"/>
      <c r="P7" s="336" t="s">
        <v>105</v>
      </c>
      <c r="Q7" s="336"/>
      <c r="R7" s="336" t="s">
        <v>1968</v>
      </c>
      <c r="S7" s="336" t="s">
        <v>82</v>
      </c>
      <c r="T7" s="336" t="s">
        <v>1969</v>
      </c>
      <c r="U7" s="336" t="s">
        <v>1970</v>
      </c>
      <c r="V7" s="336" t="s">
        <v>1963</v>
      </c>
      <c r="W7" s="338">
        <v>220</v>
      </c>
      <c r="X7" s="338">
        <v>200</v>
      </c>
      <c r="Y7" s="338">
        <v>20</v>
      </c>
      <c r="Z7" s="336" t="s">
        <v>1028</v>
      </c>
      <c r="AA7" s="330"/>
    </row>
    <row r="8" spans="1:27" ht="72">
      <c r="A8" s="329">
        <v>4</v>
      </c>
      <c r="B8" s="335" t="s">
        <v>1944</v>
      </c>
      <c r="C8" s="335" t="s">
        <v>924</v>
      </c>
      <c r="D8" s="336" t="s">
        <v>1971</v>
      </c>
      <c r="E8" s="336" t="s">
        <v>1972</v>
      </c>
      <c r="F8" s="337" t="s">
        <v>1973</v>
      </c>
      <c r="G8" s="336" t="s">
        <v>1974</v>
      </c>
      <c r="H8" s="336" t="s">
        <v>1015</v>
      </c>
      <c r="I8" s="338">
        <v>150</v>
      </c>
      <c r="J8" s="338">
        <v>0</v>
      </c>
      <c r="K8" s="338">
        <v>150</v>
      </c>
      <c r="L8" s="338">
        <v>0</v>
      </c>
      <c r="M8" s="338">
        <v>0</v>
      </c>
      <c r="N8" s="339" t="s">
        <v>1950</v>
      </c>
      <c r="O8" s="340"/>
      <c r="P8" s="336" t="s">
        <v>92</v>
      </c>
      <c r="Q8" s="336"/>
      <c r="R8" s="341" t="s">
        <v>1975</v>
      </c>
      <c r="S8" s="336" t="s">
        <v>82</v>
      </c>
      <c r="T8" s="336" t="s">
        <v>1961</v>
      </c>
      <c r="U8" s="336" t="s">
        <v>1962</v>
      </c>
      <c r="V8" s="336" t="s">
        <v>1963</v>
      </c>
      <c r="W8" s="338">
        <v>16</v>
      </c>
      <c r="X8" s="338">
        <v>16</v>
      </c>
      <c r="Y8" s="344">
        <v>0</v>
      </c>
      <c r="Z8" s="341" t="s">
        <v>938</v>
      </c>
      <c r="AA8" s="330"/>
    </row>
    <row r="9" spans="1:27" ht="84">
      <c r="A9" s="329">
        <v>5</v>
      </c>
      <c r="B9" s="335" t="s">
        <v>1944</v>
      </c>
      <c r="C9" s="335" t="s">
        <v>924</v>
      </c>
      <c r="D9" s="336" t="s">
        <v>1976</v>
      </c>
      <c r="E9" s="336" t="s">
        <v>1972</v>
      </c>
      <c r="F9" s="337" t="s">
        <v>1977</v>
      </c>
      <c r="G9" s="336" t="s">
        <v>1958</v>
      </c>
      <c r="H9" s="336" t="s">
        <v>1978</v>
      </c>
      <c r="I9" s="338">
        <v>980</v>
      </c>
      <c r="J9" s="338">
        <v>300</v>
      </c>
      <c r="K9" s="338">
        <v>300</v>
      </c>
      <c r="L9" s="338">
        <v>0</v>
      </c>
      <c r="M9" s="338">
        <v>380</v>
      </c>
      <c r="N9" s="335" t="s">
        <v>1979</v>
      </c>
      <c r="O9" s="337" t="s">
        <v>1980</v>
      </c>
      <c r="P9" s="336" t="s">
        <v>67</v>
      </c>
      <c r="Q9" s="336"/>
      <c r="R9" s="336" t="s">
        <v>1981</v>
      </c>
      <c r="S9" s="336" t="s">
        <v>82</v>
      </c>
      <c r="T9" s="336" t="s">
        <v>1961</v>
      </c>
      <c r="U9" s="336" t="s">
        <v>1962</v>
      </c>
      <c r="V9" s="336" t="s">
        <v>1963</v>
      </c>
      <c r="W9" s="338">
        <v>400</v>
      </c>
      <c r="X9" s="338">
        <v>400</v>
      </c>
      <c r="Y9" s="338"/>
      <c r="Z9" s="336" t="s">
        <v>1982</v>
      </c>
      <c r="AA9" s="330"/>
    </row>
    <row r="10" spans="1:27" ht="60">
      <c r="A10" s="329">
        <v>6</v>
      </c>
      <c r="B10" s="335" t="s">
        <v>1944</v>
      </c>
      <c r="C10" s="335" t="s">
        <v>924</v>
      </c>
      <c r="D10" s="336" t="s">
        <v>1983</v>
      </c>
      <c r="E10" s="336" t="s">
        <v>1984</v>
      </c>
      <c r="F10" s="337" t="s">
        <v>1985</v>
      </c>
      <c r="G10" s="336" t="s">
        <v>1958</v>
      </c>
      <c r="H10" s="336" t="s">
        <v>1871</v>
      </c>
      <c r="I10" s="338">
        <v>500</v>
      </c>
      <c r="J10" s="338">
        <v>0</v>
      </c>
      <c r="K10" s="338">
        <v>500</v>
      </c>
      <c r="L10" s="338">
        <v>0</v>
      </c>
      <c r="M10" s="338">
        <v>0</v>
      </c>
      <c r="N10" s="339" t="s">
        <v>1950</v>
      </c>
      <c r="O10" s="340"/>
      <c r="P10" s="336" t="s">
        <v>67</v>
      </c>
      <c r="Q10" s="336"/>
      <c r="R10" s="341" t="s">
        <v>1986</v>
      </c>
      <c r="S10" s="336" t="s">
        <v>82</v>
      </c>
      <c r="T10" s="336" t="s">
        <v>1961</v>
      </c>
      <c r="U10" s="336" t="s">
        <v>1962</v>
      </c>
      <c r="V10" s="336" t="s">
        <v>1963</v>
      </c>
      <c r="W10" s="338">
        <v>55</v>
      </c>
      <c r="X10" s="338">
        <v>53</v>
      </c>
      <c r="Y10" s="344">
        <v>2</v>
      </c>
      <c r="Z10" s="341" t="s">
        <v>930</v>
      </c>
      <c r="AA10" s="330"/>
    </row>
    <row r="11" spans="1:27" ht="60">
      <c r="A11" s="329">
        <v>7</v>
      </c>
      <c r="B11" s="335" t="s">
        <v>1944</v>
      </c>
      <c r="C11" s="335" t="s">
        <v>924</v>
      </c>
      <c r="D11" s="336" t="s">
        <v>1987</v>
      </c>
      <c r="E11" s="336" t="s">
        <v>1988</v>
      </c>
      <c r="F11" s="337" t="s">
        <v>1989</v>
      </c>
      <c r="G11" s="336" t="s">
        <v>1958</v>
      </c>
      <c r="H11" s="336" t="s">
        <v>1990</v>
      </c>
      <c r="I11" s="338">
        <v>1000</v>
      </c>
      <c r="J11" s="338">
        <v>0</v>
      </c>
      <c r="K11" s="338">
        <v>1000</v>
      </c>
      <c r="L11" s="338">
        <v>0</v>
      </c>
      <c r="M11" s="338">
        <v>0</v>
      </c>
      <c r="N11" s="339" t="s">
        <v>1950</v>
      </c>
      <c r="O11" s="340"/>
      <c r="P11" s="336" t="s">
        <v>67</v>
      </c>
      <c r="Q11" s="336"/>
      <c r="R11" s="341" t="s">
        <v>1017</v>
      </c>
      <c r="S11" s="336" t="s">
        <v>82</v>
      </c>
      <c r="T11" s="336" t="s">
        <v>1961</v>
      </c>
      <c r="U11" s="336" t="s">
        <v>1962</v>
      </c>
      <c r="V11" s="336" t="s">
        <v>1963</v>
      </c>
      <c r="W11" s="338">
        <v>500</v>
      </c>
      <c r="X11" s="338">
        <v>450</v>
      </c>
      <c r="Y11" s="344">
        <v>50</v>
      </c>
      <c r="Z11" s="341" t="s">
        <v>1017</v>
      </c>
      <c r="AA11" s="330"/>
    </row>
    <row r="12" spans="1:27" ht="60">
      <c r="A12" s="329">
        <v>8</v>
      </c>
      <c r="B12" s="335" t="s">
        <v>1944</v>
      </c>
      <c r="C12" s="335" t="s">
        <v>924</v>
      </c>
      <c r="D12" s="336" t="s">
        <v>1991</v>
      </c>
      <c r="E12" s="336">
        <v>11.2</v>
      </c>
      <c r="F12" s="337" t="s">
        <v>1992</v>
      </c>
      <c r="G12" s="336" t="s">
        <v>1958</v>
      </c>
      <c r="H12" s="336" t="s">
        <v>1993</v>
      </c>
      <c r="I12" s="338">
        <v>1700</v>
      </c>
      <c r="J12" s="338">
        <v>900</v>
      </c>
      <c r="K12" s="338">
        <v>800</v>
      </c>
      <c r="L12" s="338">
        <v>0</v>
      </c>
      <c r="M12" s="338"/>
      <c r="N12" s="339" t="s">
        <v>1994</v>
      </c>
      <c r="O12" s="336" t="s">
        <v>1995</v>
      </c>
      <c r="P12" s="336" t="s">
        <v>67</v>
      </c>
      <c r="Q12" s="336"/>
      <c r="R12" s="341" t="s">
        <v>1996</v>
      </c>
      <c r="S12" s="336" t="s">
        <v>82</v>
      </c>
      <c r="T12" s="336" t="s">
        <v>1961</v>
      </c>
      <c r="U12" s="336" t="s">
        <v>1997</v>
      </c>
      <c r="V12" s="336" t="s">
        <v>1963</v>
      </c>
      <c r="W12" s="338">
        <v>1330</v>
      </c>
      <c r="X12" s="338">
        <v>900</v>
      </c>
      <c r="Y12" s="344">
        <v>430</v>
      </c>
      <c r="Z12" s="341" t="s">
        <v>1017</v>
      </c>
      <c r="AA12" s="330"/>
    </row>
    <row r="13" spans="1:27" ht="60">
      <c r="A13" s="329">
        <v>9</v>
      </c>
      <c r="B13" s="335" t="s">
        <v>1944</v>
      </c>
      <c r="C13" s="336" t="s">
        <v>1998</v>
      </c>
      <c r="D13" s="336" t="s">
        <v>1999</v>
      </c>
      <c r="E13" s="336" t="s">
        <v>2000</v>
      </c>
      <c r="F13" s="337" t="s">
        <v>2001</v>
      </c>
      <c r="G13" s="336" t="s">
        <v>2002</v>
      </c>
      <c r="H13" s="336" t="s">
        <v>1867</v>
      </c>
      <c r="I13" s="338">
        <v>620</v>
      </c>
      <c r="J13" s="346">
        <v>0</v>
      </c>
      <c r="K13" s="346">
        <v>350</v>
      </c>
      <c r="L13" s="346">
        <v>200</v>
      </c>
      <c r="M13" s="346">
        <v>70</v>
      </c>
      <c r="N13" s="339" t="s">
        <v>1950</v>
      </c>
      <c r="O13" s="340"/>
      <c r="P13" s="336" t="s">
        <v>67</v>
      </c>
      <c r="Q13" s="336"/>
      <c r="R13" s="341" t="s">
        <v>2003</v>
      </c>
      <c r="S13" s="336" t="s">
        <v>82</v>
      </c>
      <c r="T13" s="336" t="s">
        <v>1961</v>
      </c>
      <c r="U13" s="336" t="s">
        <v>1953</v>
      </c>
      <c r="V13" s="336" t="s">
        <v>1047</v>
      </c>
      <c r="W13" s="338">
        <v>8500</v>
      </c>
      <c r="X13" s="338">
        <v>8300</v>
      </c>
      <c r="Y13" s="338">
        <v>200</v>
      </c>
      <c r="Z13" s="341" t="s">
        <v>1028</v>
      </c>
      <c r="AA13" s="330"/>
    </row>
    <row r="14" spans="1:27" ht="60">
      <c r="A14" s="329">
        <v>10</v>
      </c>
      <c r="B14" s="335" t="s">
        <v>1944</v>
      </c>
      <c r="C14" s="336" t="s">
        <v>1998</v>
      </c>
      <c r="D14" s="336" t="s">
        <v>2004</v>
      </c>
      <c r="E14" s="336" t="s">
        <v>2005</v>
      </c>
      <c r="F14" s="337" t="s">
        <v>2006</v>
      </c>
      <c r="G14" s="336" t="s">
        <v>2007</v>
      </c>
      <c r="H14" s="336" t="s">
        <v>2008</v>
      </c>
      <c r="I14" s="338">
        <v>120</v>
      </c>
      <c r="J14" s="338">
        <v>0</v>
      </c>
      <c r="K14" s="338">
        <v>120</v>
      </c>
      <c r="L14" s="338">
        <v>0</v>
      </c>
      <c r="M14" s="338">
        <v>0</v>
      </c>
      <c r="N14" s="339" t="s">
        <v>1950</v>
      </c>
      <c r="O14" s="340"/>
      <c r="P14" s="336" t="s">
        <v>67</v>
      </c>
      <c r="Q14" s="336"/>
      <c r="R14" s="341" t="s">
        <v>2009</v>
      </c>
      <c r="S14" s="336" t="s">
        <v>82</v>
      </c>
      <c r="T14" s="336" t="s">
        <v>1961</v>
      </c>
      <c r="U14" s="336" t="s">
        <v>1997</v>
      </c>
      <c r="V14" s="336" t="s">
        <v>1047</v>
      </c>
      <c r="W14" s="338">
        <v>340</v>
      </c>
      <c r="X14" s="338">
        <v>310</v>
      </c>
      <c r="Y14" s="344">
        <v>30</v>
      </c>
      <c r="Z14" s="341" t="s">
        <v>1028</v>
      </c>
      <c r="AA14" s="330"/>
    </row>
    <row r="15" spans="1:27" ht="121.5">
      <c r="A15" s="329">
        <v>11</v>
      </c>
      <c r="B15" s="328" t="s">
        <v>1944</v>
      </c>
      <c r="C15" s="328" t="s">
        <v>2010</v>
      </c>
      <c r="D15" s="327" t="s">
        <v>2011</v>
      </c>
      <c r="E15" s="327" t="s">
        <v>2012</v>
      </c>
      <c r="F15" s="333" t="s">
        <v>2013</v>
      </c>
      <c r="G15" s="327" t="s">
        <v>2014</v>
      </c>
      <c r="H15" s="327" t="s">
        <v>1015</v>
      </c>
      <c r="I15" s="327">
        <v>285</v>
      </c>
      <c r="J15" s="327"/>
      <c r="K15" s="327"/>
      <c r="L15" s="327">
        <v>280</v>
      </c>
      <c r="M15" s="327">
        <v>5</v>
      </c>
      <c r="N15" s="327"/>
      <c r="O15" s="327"/>
      <c r="P15" s="327" t="s">
        <v>167</v>
      </c>
      <c r="Q15" s="327" t="s">
        <v>936</v>
      </c>
      <c r="R15" s="327" t="s">
        <v>1011</v>
      </c>
      <c r="S15" s="327" t="s">
        <v>82</v>
      </c>
      <c r="T15" s="327" t="s">
        <v>2015</v>
      </c>
      <c r="U15" s="327" t="s">
        <v>1953</v>
      </c>
      <c r="V15" s="327" t="s">
        <v>85</v>
      </c>
      <c r="W15" s="327">
        <v>200</v>
      </c>
      <c r="X15" s="327">
        <v>200</v>
      </c>
      <c r="Y15" s="327"/>
      <c r="Z15" s="327" t="s">
        <v>2016</v>
      </c>
      <c r="AA15" s="330"/>
    </row>
    <row r="16" spans="1:27" ht="94.5">
      <c r="A16" s="329">
        <v>12</v>
      </c>
      <c r="B16" s="328" t="s">
        <v>1944</v>
      </c>
      <c r="C16" s="328" t="s">
        <v>2010</v>
      </c>
      <c r="D16" s="327" t="s">
        <v>2017</v>
      </c>
      <c r="E16" s="327" t="s">
        <v>2018</v>
      </c>
      <c r="F16" s="333" t="s">
        <v>2019</v>
      </c>
      <c r="G16" s="1437" t="s">
        <v>6291</v>
      </c>
      <c r="H16" s="327" t="s">
        <v>1015</v>
      </c>
      <c r="I16" s="327">
        <v>75</v>
      </c>
      <c r="J16" s="327"/>
      <c r="K16" s="327">
        <v>20</v>
      </c>
      <c r="L16" s="327">
        <v>40</v>
      </c>
      <c r="M16" s="327">
        <v>15</v>
      </c>
      <c r="N16" s="357"/>
      <c r="O16" s="357"/>
      <c r="P16" s="327" t="s">
        <v>92</v>
      </c>
      <c r="Q16" s="327" t="s">
        <v>936</v>
      </c>
      <c r="R16" s="327" t="s">
        <v>2020</v>
      </c>
      <c r="S16" s="327" t="s">
        <v>82</v>
      </c>
      <c r="T16" s="327" t="s">
        <v>2015</v>
      </c>
      <c r="U16" s="327" t="s">
        <v>1953</v>
      </c>
      <c r="V16" s="327" t="s">
        <v>85</v>
      </c>
      <c r="W16" s="327">
        <v>12</v>
      </c>
      <c r="X16" s="327">
        <v>12</v>
      </c>
      <c r="Y16" s="327"/>
      <c r="Z16" s="327" t="s">
        <v>2021</v>
      </c>
      <c r="AA16" s="330"/>
    </row>
    <row r="17" spans="1:27" ht="121.5">
      <c r="A17" s="329">
        <v>13</v>
      </c>
      <c r="B17" s="328" t="s">
        <v>1944</v>
      </c>
      <c r="C17" s="328" t="s">
        <v>2010</v>
      </c>
      <c r="D17" s="327" t="s">
        <v>2022</v>
      </c>
      <c r="E17" s="327" t="s">
        <v>2023</v>
      </c>
      <c r="F17" s="333" t="s">
        <v>2024</v>
      </c>
      <c r="G17" s="327" t="s">
        <v>2025</v>
      </c>
      <c r="H17" s="327" t="s">
        <v>1022</v>
      </c>
      <c r="I17" s="327">
        <v>40</v>
      </c>
      <c r="J17" s="327"/>
      <c r="K17" s="327"/>
      <c r="L17" s="327">
        <v>40</v>
      </c>
      <c r="M17" s="327"/>
      <c r="N17" s="327"/>
      <c r="O17" s="327"/>
      <c r="P17" s="327" t="s">
        <v>92</v>
      </c>
      <c r="Q17" s="327" t="s">
        <v>936</v>
      </c>
      <c r="R17" s="327" t="s">
        <v>2026</v>
      </c>
      <c r="S17" s="327" t="s">
        <v>82</v>
      </c>
      <c r="T17" s="327" t="s">
        <v>2015</v>
      </c>
      <c r="U17" s="327" t="s">
        <v>1953</v>
      </c>
      <c r="V17" s="327" t="s">
        <v>85</v>
      </c>
      <c r="W17" s="327">
        <v>34</v>
      </c>
      <c r="X17" s="327">
        <v>34</v>
      </c>
      <c r="Y17" s="327"/>
      <c r="Z17" s="327" t="s">
        <v>2027</v>
      </c>
      <c r="AA17" s="330"/>
    </row>
    <row r="18" spans="1:27" ht="121.5">
      <c r="A18" s="329">
        <v>14</v>
      </c>
      <c r="B18" s="328" t="s">
        <v>1944</v>
      </c>
      <c r="C18" s="328" t="s">
        <v>2010</v>
      </c>
      <c r="D18" s="327" t="s">
        <v>2028</v>
      </c>
      <c r="E18" s="327" t="s">
        <v>2029</v>
      </c>
      <c r="F18" s="333" t="s">
        <v>2030</v>
      </c>
      <c r="G18" s="327" t="s">
        <v>2031</v>
      </c>
      <c r="H18" s="327" t="s">
        <v>1022</v>
      </c>
      <c r="I18" s="327">
        <v>310</v>
      </c>
      <c r="J18" s="327"/>
      <c r="K18" s="327"/>
      <c r="L18" s="327">
        <v>40</v>
      </c>
      <c r="M18" s="327">
        <v>270</v>
      </c>
      <c r="N18" s="327"/>
      <c r="O18" s="327"/>
      <c r="P18" s="327" t="s">
        <v>92</v>
      </c>
      <c r="Q18" s="327" t="s">
        <v>936</v>
      </c>
      <c r="R18" s="327" t="s">
        <v>2032</v>
      </c>
      <c r="S18" s="327" t="s">
        <v>82</v>
      </c>
      <c r="T18" s="327" t="s">
        <v>2015</v>
      </c>
      <c r="U18" s="327" t="s">
        <v>1953</v>
      </c>
      <c r="V18" s="327" t="s">
        <v>85</v>
      </c>
      <c r="W18" s="327">
        <v>100</v>
      </c>
      <c r="X18" s="358">
        <v>100</v>
      </c>
      <c r="Y18" s="327"/>
      <c r="Z18" s="327" t="s">
        <v>2033</v>
      </c>
      <c r="AA18" s="330"/>
    </row>
    <row r="19" spans="1:27" ht="135">
      <c r="A19" s="329">
        <v>15</v>
      </c>
      <c r="B19" s="328" t="s">
        <v>1944</v>
      </c>
      <c r="C19" s="328" t="s">
        <v>1098</v>
      </c>
      <c r="D19" s="327" t="s">
        <v>2034</v>
      </c>
      <c r="E19" s="327" t="s">
        <v>2035</v>
      </c>
      <c r="F19" s="333" t="s">
        <v>2036</v>
      </c>
      <c r="G19" s="327" t="s">
        <v>2037</v>
      </c>
      <c r="H19" s="327" t="s">
        <v>2038</v>
      </c>
      <c r="I19" s="327">
        <v>219</v>
      </c>
      <c r="J19" s="327">
        <v>0</v>
      </c>
      <c r="K19" s="327">
        <v>10</v>
      </c>
      <c r="L19" s="327">
        <v>80</v>
      </c>
      <c r="M19" s="327">
        <v>129</v>
      </c>
      <c r="N19" s="327"/>
      <c r="O19" s="327"/>
      <c r="P19" s="327" t="s">
        <v>92</v>
      </c>
      <c r="Q19" s="327" t="s">
        <v>936</v>
      </c>
      <c r="R19" s="327" t="s">
        <v>2039</v>
      </c>
      <c r="S19" s="327" t="s">
        <v>82</v>
      </c>
      <c r="T19" s="327" t="s">
        <v>83</v>
      </c>
      <c r="U19" s="327" t="s">
        <v>2040</v>
      </c>
      <c r="V19" s="327" t="s">
        <v>85</v>
      </c>
      <c r="W19" s="327">
        <v>470</v>
      </c>
      <c r="X19" s="327">
        <v>470</v>
      </c>
      <c r="Y19" s="327"/>
      <c r="Z19" s="327" t="s">
        <v>2041</v>
      </c>
      <c r="AA19" s="330"/>
    </row>
    <row r="20" spans="1:27" ht="243">
      <c r="A20" s="329">
        <v>16</v>
      </c>
      <c r="B20" s="328" t="s">
        <v>1944</v>
      </c>
      <c r="C20" s="328" t="s">
        <v>2042</v>
      </c>
      <c r="D20" s="327" t="s">
        <v>2043</v>
      </c>
      <c r="E20" s="327" t="s">
        <v>2044</v>
      </c>
      <c r="F20" s="333" t="s">
        <v>2045</v>
      </c>
      <c r="G20" s="327" t="s">
        <v>2046</v>
      </c>
      <c r="H20" s="327" t="s">
        <v>966</v>
      </c>
      <c r="I20" s="327">
        <v>195</v>
      </c>
      <c r="J20" s="327"/>
      <c r="K20" s="327">
        <v>55</v>
      </c>
      <c r="L20" s="327">
        <v>110</v>
      </c>
      <c r="M20" s="327">
        <v>30</v>
      </c>
      <c r="N20" s="327"/>
      <c r="O20" s="327"/>
      <c r="P20" s="327" t="s">
        <v>105</v>
      </c>
      <c r="Q20" s="327" t="s">
        <v>67</v>
      </c>
      <c r="R20" s="327" t="s">
        <v>2047</v>
      </c>
      <c r="S20" s="327" t="s">
        <v>82</v>
      </c>
      <c r="T20" s="327" t="s">
        <v>83</v>
      </c>
      <c r="U20" s="327" t="s">
        <v>84</v>
      </c>
      <c r="V20" s="327" t="s">
        <v>85</v>
      </c>
      <c r="W20" s="327">
        <v>70</v>
      </c>
      <c r="X20" s="327">
        <v>43</v>
      </c>
      <c r="Y20" s="327">
        <v>27</v>
      </c>
      <c r="Z20" s="327" t="s">
        <v>2048</v>
      </c>
      <c r="AA20" s="330"/>
    </row>
    <row r="21" spans="1:27" ht="81">
      <c r="A21" s="329">
        <v>17</v>
      </c>
      <c r="B21" s="328" t="s">
        <v>1944</v>
      </c>
      <c r="C21" s="328" t="s">
        <v>2042</v>
      </c>
      <c r="D21" s="327" t="s">
        <v>2049</v>
      </c>
      <c r="E21" s="327" t="s">
        <v>2050</v>
      </c>
      <c r="F21" s="333" t="s">
        <v>2051</v>
      </c>
      <c r="G21" s="327" t="s">
        <v>2052</v>
      </c>
      <c r="H21" s="327" t="s">
        <v>2053</v>
      </c>
      <c r="I21" s="327">
        <v>30</v>
      </c>
      <c r="J21" s="327" t="s">
        <v>945</v>
      </c>
      <c r="K21" s="327" t="s">
        <v>945</v>
      </c>
      <c r="L21" s="327">
        <v>10</v>
      </c>
      <c r="M21" s="327">
        <v>20</v>
      </c>
      <c r="N21" s="327" t="s">
        <v>945</v>
      </c>
      <c r="O21" s="327" t="s">
        <v>2054</v>
      </c>
      <c r="P21" s="327" t="s">
        <v>92</v>
      </c>
      <c r="Q21" s="327" t="s">
        <v>936</v>
      </c>
      <c r="R21" s="327" t="s">
        <v>2055</v>
      </c>
      <c r="S21" s="327" t="s">
        <v>82</v>
      </c>
      <c r="T21" s="327" t="s">
        <v>929</v>
      </c>
      <c r="U21" s="327" t="s">
        <v>2056</v>
      </c>
      <c r="V21" s="327" t="s">
        <v>1064</v>
      </c>
      <c r="W21" s="327" t="s">
        <v>945</v>
      </c>
      <c r="X21" s="327" t="s">
        <v>945</v>
      </c>
      <c r="Y21" s="327" t="s">
        <v>945</v>
      </c>
      <c r="Z21" s="327" t="s">
        <v>2057</v>
      </c>
      <c r="AA21" s="359" t="s">
        <v>2058</v>
      </c>
    </row>
    <row r="22" spans="1:27" ht="94.5">
      <c r="A22" s="329">
        <v>18</v>
      </c>
      <c r="B22" s="328" t="s">
        <v>1944</v>
      </c>
      <c r="C22" s="328" t="s">
        <v>2042</v>
      </c>
      <c r="D22" s="327" t="s">
        <v>2059</v>
      </c>
      <c r="E22" s="327" t="s">
        <v>2060</v>
      </c>
      <c r="F22" s="333" t="s">
        <v>2061</v>
      </c>
      <c r="G22" s="327" t="s">
        <v>2062</v>
      </c>
      <c r="H22" s="327" t="s">
        <v>1117</v>
      </c>
      <c r="I22" s="327">
        <v>60</v>
      </c>
      <c r="J22" s="327"/>
      <c r="K22" s="327"/>
      <c r="L22" s="327">
        <v>60</v>
      </c>
      <c r="M22" s="327"/>
      <c r="N22" s="327"/>
      <c r="O22" s="327"/>
      <c r="P22" s="327" t="s">
        <v>67</v>
      </c>
      <c r="Q22" s="327" t="s">
        <v>936</v>
      </c>
      <c r="R22" s="327" t="s">
        <v>2063</v>
      </c>
      <c r="S22" s="327" t="s">
        <v>82</v>
      </c>
      <c r="T22" s="327" t="s">
        <v>995</v>
      </c>
      <c r="U22" s="327" t="s">
        <v>84</v>
      </c>
      <c r="V22" s="327" t="s">
        <v>1047</v>
      </c>
      <c r="W22" s="327">
        <v>4</v>
      </c>
      <c r="X22" s="327">
        <v>4</v>
      </c>
      <c r="Y22" s="327">
        <v>0</v>
      </c>
      <c r="Z22" s="327" t="s">
        <v>2064</v>
      </c>
      <c r="AA22" s="330"/>
    </row>
    <row r="23" spans="1:27" ht="135">
      <c r="A23" s="329">
        <v>19</v>
      </c>
      <c r="B23" s="328" t="s">
        <v>1944</v>
      </c>
      <c r="C23" s="328" t="s">
        <v>2042</v>
      </c>
      <c r="D23" s="327" t="s">
        <v>2065</v>
      </c>
      <c r="E23" s="327" t="s">
        <v>2066</v>
      </c>
      <c r="F23" s="333" t="s">
        <v>2067</v>
      </c>
      <c r="G23" s="327" t="s">
        <v>2068</v>
      </c>
      <c r="H23" s="327" t="s">
        <v>2069</v>
      </c>
      <c r="I23" s="327">
        <v>80</v>
      </c>
      <c r="J23" s="327" t="s">
        <v>945</v>
      </c>
      <c r="K23" s="327">
        <v>20</v>
      </c>
      <c r="L23" s="327">
        <v>20</v>
      </c>
      <c r="M23" s="327">
        <v>40</v>
      </c>
      <c r="N23" s="327" t="s">
        <v>945</v>
      </c>
      <c r="O23" s="327" t="s">
        <v>2054</v>
      </c>
      <c r="P23" s="327" t="s">
        <v>105</v>
      </c>
      <c r="Q23" s="327" t="s">
        <v>936</v>
      </c>
      <c r="R23" s="327" t="s">
        <v>2070</v>
      </c>
      <c r="S23" s="327" t="s">
        <v>82</v>
      </c>
      <c r="T23" s="327" t="s">
        <v>929</v>
      </c>
      <c r="U23" s="327" t="s">
        <v>2056</v>
      </c>
      <c r="V23" s="327" t="s">
        <v>1064</v>
      </c>
      <c r="W23" s="327">
        <v>11.5</v>
      </c>
      <c r="X23" s="327">
        <v>11.5</v>
      </c>
      <c r="Y23" s="327"/>
      <c r="Z23" s="327" t="s">
        <v>2071</v>
      </c>
      <c r="AA23" s="330"/>
    </row>
    <row r="24" spans="1:27" ht="108">
      <c r="A24" s="329">
        <v>20</v>
      </c>
      <c r="B24" s="328" t="s">
        <v>1944</v>
      </c>
      <c r="C24" s="328" t="s">
        <v>2042</v>
      </c>
      <c r="D24" s="327" t="s">
        <v>2072</v>
      </c>
      <c r="E24" s="327" t="s">
        <v>2073</v>
      </c>
      <c r="F24" s="333" t="s">
        <v>2074</v>
      </c>
      <c r="G24" s="327" t="s">
        <v>2075</v>
      </c>
      <c r="H24" s="327" t="s">
        <v>1015</v>
      </c>
      <c r="I24" s="327">
        <v>120</v>
      </c>
      <c r="J24" s="327">
        <v>60</v>
      </c>
      <c r="K24" s="327">
        <v>30</v>
      </c>
      <c r="L24" s="327">
        <v>30</v>
      </c>
      <c r="M24" s="327">
        <v>0</v>
      </c>
      <c r="N24" s="327" t="s">
        <v>1148</v>
      </c>
      <c r="O24" s="327" t="s">
        <v>2076</v>
      </c>
      <c r="P24" s="327" t="s">
        <v>92</v>
      </c>
      <c r="Q24" s="327" t="s">
        <v>936</v>
      </c>
      <c r="R24" s="327" t="s">
        <v>2077</v>
      </c>
      <c r="S24" s="327" t="s">
        <v>82</v>
      </c>
      <c r="T24" s="327" t="s">
        <v>83</v>
      </c>
      <c r="U24" s="327" t="s">
        <v>2078</v>
      </c>
      <c r="V24" s="327" t="s">
        <v>85</v>
      </c>
      <c r="W24" s="327">
        <v>26</v>
      </c>
      <c r="X24" s="327">
        <v>26</v>
      </c>
      <c r="Y24" s="327"/>
      <c r="Z24" s="327" t="s">
        <v>2079</v>
      </c>
      <c r="AA24" s="330"/>
    </row>
    <row r="25" spans="1:27" ht="108">
      <c r="A25" s="329">
        <v>21</v>
      </c>
      <c r="B25" s="328" t="s">
        <v>1944</v>
      </c>
      <c r="C25" s="328" t="s">
        <v>2080</v>
      </c>
      <c r="D25" s="327" t="s">
        <v>2081</v>
      </c>
      <c r="E25" s="327" t="s">
        <v>2082</v>
      </c>
      <c r="F25" s="360" t="s">
        <v>2083</v>
      </c>
      <c r="G25" s="347" t="s">
        <v>2084</v>
      </c>
      <c r="H25" s="347" t="s">
        <v>1993</v>
      </c>
      <c r="I25" s="327">
        <v>520</v>
      </c>
      <c r="J25" s="327"/>
      <c r="K25" s="327">
        <v>45</v>
      </c>
      <c r="L25" s="327">
        <v>475</v>
      </c>
      <c r="M25" s="327"/>
      <c r="N25" s="327"/>
      <c r="O25" s="327"/>
      <c r="P25" s="327" t="s">
        <v>167</v>
      </c>
      <c r="Q25" s="327" t="s">
        <v>167</v>
      </c>
      <c r="R25" s="327" t="s">
        <v>2085</v>
      </c>
      <c r="S25" s="327" t="s">
        <v>82</v>
      </c>
      <c r="T25" s="327" t="s">
        <v>2086</v>
      </c>
      <c r="U25" s="327" t="s">
        <v>84</v>
      </c>
      <c r="V25" s="327" t="s">
        <v>1047</v>
      </c>
      <c r="W25" s="327">
        <v>2000</v>
      </c>
      <c r="X25" s="327">
        <v>2000</v>
      </c>
      <c r="Y25" s="327"/>
      <c r="Z25" s="327" t="s">
        <v>1017</v>
      </c>
      <c r="AA25" s="330"/>
    </row>
    <row r="26" spans="1:27" ht="108">
      <c r="A26" s="329">
        <v>22</v>
      </c>
      <c r="B26" s="328" t="s">
        <v>1944</v>
      </c>
      <c r="C26" s="328" t="s">
        <v>2080</v>
      </c>
      <c r="D26" s="327" t="s">
        <v>2087</v>
      </c>
      <c r="E26" s="347" t="s">
        <v>2088</v>
      </c>
      <c r="F26" s="348" t="s">
        <v>2089</v>
      </c>
      <c r="G26" s="347" t="s">
        <v>2090</v>
      </c>
      <c r="H26" s="347" t="s">
        <v>1717</v>
      </c>
      <c r="I26" s="327">
        <v>56</v>
      </c>
      <c r="J26" s="327"/>
      <c r="K26" s="327">
        <v>10</v>
      </c>
      <c r="L26" s="327">
        <v>12</v>
      </c>
      <c r="M26" s="327">
        <v>34</v>
      </c>
      <c r="N26" s="327"/>
      <c r="O26" s="327"/>
      <c r="P26" s="327" t="s">
        <v>67</v>
      </c>
      <c r="Q26" s="327" t="s">
        <v>167</v>
      </c>
      <c r="R26" s="327" t="s">
        <v>2091</v>
      </c>
      <c r="S26" s="327" t="s">
        <v>82</v>
      </c>
      <c r="T26" s="327" t="s">
        <v>2086</v>
      </c>
      <c r="U26" s="327" t="s">
        <v>84</v>
      </c>
      <c r="V26" s="327" t="s">
        <v>1064</v>
      </c>
      <c r="W26" s="327">
        <v>50</v>
      </c>
      <c r="X26" s="327">
        <v>50</v>
      </c>
      <c r="Y26" s="327"/>
      <c r="Z26" s="327" t="s">
        <v>1017</v>
      </c>
      <c r="AA26" s="330"/>
    </row>
    <row r="27" spans="1:27" ht="94.5">
      <c r="A27" s="329">
        <v>23</v>
      </c>
      <c r="B27" s="328" t="s">
        <v>1944</v>
      </c>
      <c r="C27" s="328" t="s">
        <v>2080</v>
      </c>
      <c r="D27" s="327" t="s">
        <v>2092</v>
      </c>
      <c r="E27" s="357" t="s">
        <v>2093</v>
      </c>
      <c r="F27" s="333" t="s">
        <v>2094</v>
      </c>
      <c r="G27" s="327" t="s">
        <v>2095</v>
      </c>
      <c r="H27" s="327" t="s">
        <v>1038</v>
      </c>
      <c r="I27" s="327" t="s">
        <v>2096</v>
      </c>
      <c r="J27" s="327"/>
      <c r="K27" s="327">
        <v>20</v>
      </c>
      <c r="L27" s="327" t="s">
        <v>2096</v>
      </c>
      <c r="M27" s="327"/>
      <c r="N27" s="327"/>
      <c r="O27" s="327"/>
      <c r="P27" s="327" t="s">
        <v>67</v>
      </c>
      <c r="Q27" s="327" t="s">
        <v>909</v>
      </c>
      <c r="R27" s="327" t="s">
        <v>2097</v>
      </c>
      <c r="S27" s="327" t="s">
        <v>82</v>
      </c>
      <c r="T27" s="327" t="s">
        <v>1005</v>
      </c>
      <c r="U27" s="327" t="s">
        <v>84</v>
      </c>
      <c r="V27" s="327" t="s">
        <v>1047</v>
      </c>
      <c r="W27" s="327">
        <v>240</v>
      </c>
      <c r="X27" s="327">
        <v>240</v>
      </c>
      <c r="Y27" s="327"/>
      <c r="Z27" s="327" t="s">
        <v>938</v>
      </c>
      <c r="AA27" s="330"/>
    </row>
    <row r="28" spans="1:27" ht="121.5">
      <c r="A28" s="329">
        <v>24</v>
      </c>
      <c r="B28" s="328" t="s">
        <v>1944</v>
      </c>
      <c r="C28" s="328" t="s">
        <v>2098</v>
      </c>
      <c r="D28" s="327" t="s">
        <v>2099</v>
      </c>
      <c r="E28" s="327" t="s">
        <v>2100</v>
      </c>
      <c r="F28" s="333" t="s">
        <v>2101</v>
      </c>
      <c r="G28" s="347" t="s">
        <v>2102</v>
      </c>
      <c r="H28" s="327" t="s">
        <v>2103</v>
      </c>
      <c r="I28" s="327">
        <v>60</v>
      </c>
      <c r="J28" s="327">
        <v>0</v>
      </c>
      <c r="K28" s="327">
        <v>0</v>
      </c>
      <c r="L28" s="327">
        <v>60</v>
      </c>
      <c r="M28" s="327">
        <v>0</v>
      </c>
      <c r="N28" s="327"/>
      <c r="O28" s="327"/>
      <c r="P28" s="327" t="s">
        <v>92</v>
      </c>
      <c r="Q28" s="327" t="s">
        <v>92</v>
      </c>
      <c r="R28" s="327" t="s">
        <v>2104</v>
      </c>
      <c r="S28" s="327" t="s">
        <v>82</v>
      </c>
      <c r="T28" s="327" t="s">
        <v>929</v>
      </c>
      <c r="U28" s="327" t="s">
        <v>2105</v>
      </c>
      <c r="V28" s="327" t="s">
        <v>85</v>
      </c>
      <c r="W28" s="327">
        <v>60</v>
      </c>
      <c r="X28" s="327">
        <v>60</v>
      </c>
      <c r="Y28" s="327">
        <v>0</v>
      </c>
      <c r="Z28" s="327" t="s">
        <v>2106</v>
      </c>
      <c r="AA28" s="330"/>
    </row>
    <row r="29" spans="1:27" ht="108">
      <c r="A29" s="329">
        <v>25</v>
      </c>
      <c r="B29" s="328" t="s">
        <v>1944</v>
      </c>
      <c r="C29" s="328" t="s">
        <v>2098</v>
      </c>
      <c r="D29" s="327" t="s">
        <v>2107</v>
      </c>
      <c r="E29" s="327" t="s">
        <v>2108</v>
      </c>
      <c r="F29" s="333" t="s">
        <v>2109</v>
      </c>
      <c r="G29" s="347" t="s">
        <v>2110</v>
      </c>
      <c r="H29" s="327" t="s">
        <v>2111</v>
      </c>
      <c r="I29" s="327">
        <v>130</v>
      </c>
      <c r="J29" s="327">
        <v>0</v>
      </c>
      <c r="K29" s="327">
        <v>30</v>
      </c>
      <c r="L29" s="327">
        <v>100</v>
      </c>
      <c r="M29" s="327">
        <v>0</v>
      </c>
      <c r="N29" s="327"/>
      <c r="O29" s="327"/>
      <c r="P29" s="327" t="s">
        <v>92</v>
      </c>
      <c r="Q29" s="327" t="s">
        <v>92</v>
      </c>
      <c r="R29" s="327" t="s">
        <v>2112</v>
      </c>
      <c r="S29" s="327" t="s">
        <v>82</v>
      </c>
      <c r="T29" s="327" t="s">
        <v>929</v>
      </c>
      <c r="U29" s="327" t="s">
        <v>2105</v>
      </c>
      <c r="V29" s="327" t="s">
        <v>85</v>
      </c>
      <c r="W29" s="327">
        <v>450</v>
      </c>
      <c r="X29" s="327">
        <v>450</v>
      </c>
      <c r="Y29" s="327">
        <v>0</v>
      </c>
      <c r="Z29" s="327" t="s">
        <v>2106</v>
      </c>
      <c r="AA29" s="330"/>
    </row>
    <row r="30" spans="1:27" ht="108">
      <c r="A30" s="329">
        <v>26</v>
      </c>
      <c r="B30" s="328" t="s">
        <v>1944</v>
      </c>
      <c r="C30" s="361" t="s">
        <v>2098</v>
      </c>
      <c r="D30" s="361" t="s">
        <v>2113</v>
      </c>
      <c r="E30" s="347" t="s">
        <v>2114</v>
      </c>
      <c r="F30" s="348" t="s">
        <v>2115</v>
      </c>
      <c r="G30" s="347" t="s">
        <v>2116</v>
      </c>
      <c r="H30" s="347" t="s">
        <v>2117</v>
      </c>
      <c r="I30" s="361">
        <v>70</v>
      </c>
      <c r="J30" s="327">
        <v>0</v>
      </c>
      <c r="K30" s="327">
        <v>0</v>
      </c>
      <c r="L30" s="361">
        <v>70</v>
      </c>
      <c r="M30" s="327">
        <v>0</v>
      </c>
      <c r="N30" s="362"/>
      <c r="O30" s="362"/>
      <c r="P30" s="327" t="s">
        <v>124</v>
      </c>
      <c r="Q30" s="361" t="s">
        <v>936</v>
      </c>
      <c r="R30" s="361" t="s">
        <v>1017</v>
      </c>
      <c r="S30" s="327" t="s">
        <v>82</v>
      </c>
      <c r="T30" s="327" t="s">
        <v>2015</v>
      </c>
      <c r="U30" s="327" t="s">
        <v>2105</v>
      </c>
      <c r="V30" s="327" t="s">
        <v>85</v>
      </c>
      <c r="W30" s="361">
        <v>10</v>
      </c>
      <c r="X30" s="361">
        <v>10</v>
      </c>
      <c r="Y30" s="327">
        <v>0</v>
      </c>
      <c r="Z30" s="347" t="s">
        <v>1017</v>
      </c>
      <c r="AA30" s="330"/>
    </row>
    <row r="31" spans="1:27" ht="108">
      <c r="A31" s="329">
        <v>27</v>
      </c>
      <c r="B31" s="328" t="s">
        <v>1944</v>
      </c>
      <c r="C31" s="328" t="s">
        <v>2098</v>
      </c>
      <c r="D31" s="327" t="s">
        <v>2118</v>
      </c>
      <c r="E31" s="327" t="s">
        <v>2119</v>
      </c>
      <c r="F31" s="333" t="s">
        <v>2120</v>
      </c>
      <c r="G31" s="327" t="s">
        <v>2121</v>
      </c>
      <c r="H31" s="327" t="s">
        <v>2122</v>
      </c>
      <c r="I31" s="327">
        <v>290</v>
      </c>
      <c r="J31" s="327">
        <v>0</v>
      </c>
      <c r="K31" s="327">
        <v>0</v>
      </c>
      <c r="L31" s="327">
        <v>290</v>
      </c>
      <c r="M31" s="327">
        <v>0</v>
      </c>
      <c r="N31" s="327"/>
      <c r="O31" s="327"/>
      <c r="P31" s="327" t="s">
        <v>67</v>
      </c>
      <c r="Q31" s="327" t="s">
        <v>67</v>
      </c>
      <c r="R31" s="327" t="s">
        <v>2123</v>
      </c>
      <c r="S31" s="327" t="s">
        <v>2124</v>
      </c>
      <c r="T31" s="327" t="s">
        <v>2015</v>
      </c>
      <c r="U31" s="327" t="s">
        <v>2105</v>
      </c>
      <c r="V31" s="327" t="s">
        <v>85</v>
      </c>
      <c r="W31" s="327">
        <v>50</v>
      </c>
      <c r="X31" s="327">
        <v>50</v>
      </c>
      <c r="Y31" s="327">
        <v>0</v>
      </c>
      <c r="Z31" s="327" t="s">
        <v>2125</v>
      </c>
      <c r="AA31" s="330"/>
    </row>
    <row r="32" spans="1:27" ht="135">
      <c r="A32" s="329">
        <v>28</v>
      </c>
      <c r="B32" s="328" t="s">
        <v>1944</v>
      </c>
      <c r="C32" s="328" t="s">
        <v>2098</v>
      </c>
      <c r="D32" s="327" t="s">
        <v>2126</v>
      </c>
      <c r="E32" s="327" t="s">
        <v>2119</v>
      </c>
      <c r="F32" s="333" t="s">
        <v>2127</v>
      </c>
      <c r="G32" s="327" t="s">
        <v>2128</v>
      </c>
      <c r="H32" s="327" t="s">
        <v>2129</v>
      </c>
      <c r="I32" s="327">
        <v>80</v>
      </c>
      <c r="J32" s="327">
        <v>0</v>
      </c>
      <c r="K32" s="327">
        <v>0</v>
      </c>
      <c r="L32" s="327">
        <v>80</v>
      </c>
      <c r="M32" s="327">
        <v>0</v>
      </c>
      <c r="N32" s="327"/>
      <c r="O32" s="327"/>
      <c r="P32" s="327" t="s">
        <v>92</v>
      </c>
      <c r="Q32" s="327" t="s">
        <v>92</v>
      </c>
      <c r="R32" s="327" t="s">
        <v>2130</v>
      </c>
      <c r="S32" s="327" t="s">
        <v>82</v>
      </c>
      <c r="T32" s="327" t="s">
        <v>2015</v>
      </c>
      <c r="U32" s="327" t="s">
        <v>2105</v>
      </c>
      <c r="V32" s="327" t="s">
        <v>85</v>
      </c>
      <c r="W32" s="327">
        <v>200</v>
      </c>
      <c r="X32" s="327">
        <v>200</v>
      </c>
      <c r="Y32" s="327">
        <v>0</v>
      </c>
      <c r="Z32" s="327" t="s">
        <v>2131</v>
      </c>
      <c r="AA32" s="330"/>
    </row>
    <row r="33" spans="1:26" ht="135">
      <c r="A33" s="329">
        <v>29</v>
      </c>
      <c r="B33" s="328" t="s">
        <v>1944</v>
      </c>
      <c r="C33" s="328" t="s">
        <v>2098</v>
      </c>
      <c r="D33" s="327" t="s">
        <v>2132</v>
      </c>
      <c r="E33" s="327" t="s">
        <v>2133</v>
      </c>
      <c r="F33" s="333" t="s">
        <v>2134</v>
      </c>
      <c r="G33" s="327" t="s">
        <v>2135</v>
      </c>
      <c r="H33" s="327" t="s">
        <v>2136</v>
      </c>
      <c r="I33" s="327">
        <v>150</v>
      </c>
      <c r="J33" s="327"/>
      <c r="K33" s="327"/>
      <c r="L33" s="327">
        <v>150</v>
      </c>
      <c r="M33" s="327"/>
      <c r="N33" s="327"/>
      <c r="O33" s="327"/>
      <c r="P33" s="327" t="s">
        <v>124</v>
      </c>
      <c r="Q33" s="361" t="s">
        <v>936</v>
      </c>
      <c r="R33" s="327" t="s">
        <v>2137</v>
      </c>
      <c r="S33" s="327" t="s">
        <v>82</v>
      </c>
      <c r="T33" s="327" t="s">
        <v>2015</v>
      </c>
      <c r="U33" s="327" t="s">
        <v>2105</v>
      </c>
      <c r="V33" s="327" t="s">
        <v>85</v>
      </c>
      <c r="W33" s="327">
        <v>50</v>
      </c>
      <c r="X33" s="327">
        <v>50</v>
      </c>
      <c r="Y33" s="327">
        <v>0</v>
      </c>
      <c r="Z33" s="327" t="s">
        <v>1648</v>
      </c>
    </row>
    <row r="34" spans="1:26" ht="82.5">
      <c r="A34" s="329">
        <v>30</v>
      </c>
      <c r="B34" s="328" t="s">
        <v>1944</v>
      </c>
      <c r="C34" s="328" t="s">
        <v>997</v>
      </c>
      <c r="D34" s="334" t="s">
        <v>2138</v>
      </c>
      <c r="E34" s="327" t="s">
        <v>2139</v>
      </c>
      <c r="F34" s="363" t="s">
        <v>2140</v>
      </c>
      <c r="G34" s="334" t="s">
        <v>2141</v>
      </c>
      <c r="H34" s="327" t="s">
        <v>1038</v>
      </c>
      <c r="I34" s="327">
        <v>60</v>
      </c>
      <c r="J34" s="327"/>
      <c r="K34" s="327"/>
      <c r="L34" s="327">
        <v>50</v>
      </c>
      <c r="M34" s="327">
        <v>10</v>
      </c>
      <c r="N34" s="327"/>
      <c r="O34" s="327"/>
      <c r="P34" s="327" t="s">
        <v>67</v>
      </c>
      <c r="Q34" s="327"/>
      <c r="R34" s="327" t="s">
        <v>1777</v>
      </c>
      <c r="S34" s="327" t="s">
        <v>82</v>
      </c>
      <c r="T34" s="327" t="s">
        <v>95</v>
      </c>
      <c r="U34" s="327" t="s">
        <v>84</v>
      </c>
      <c r="V34" s="327" t="s">
        <v>1047</v>
      </c>
      <c r="W34" s="327">
        <v>10</v>
      </c>
      <c r="X34" s="327">
        <v>5</v>
      </c>
      <c r="Y34" s="327">
        <v>5</v>
      </c>
      <c r="Z34" s="327" t="s">
        <v>2142</v>
      </c>
    </row>
    <row r="35" spans="1:26" ht="99">
      <c r="A35" s="329">
        <v>31</v>
      </c>
      <c r="B35" s="328" t="s">
        <v>1944</v>
      </c>
      <c r="C35" s="328" t="s">
        <v>997</v>
      </c>
      <c r="D35" s="334" t="s">
        <v>2143</v>
      </c>
      <c r="E35" s="327" t="s">
        <v>2144</v>
      </c>
      <c r="F35" s="363" t="s">
        <v>2145</v>
      </c>
      <c r="G35" s="334" t="s">
        <v>2146</v>
      </c>
      <c r="H35" s="334" t="s">
        <v>2147</v>
      </c>
      <c r="I35" s="327">
        <v>337</v>
      </c>
      <c r="J35" s="327"/>
      <c r="K35" s="327">
        <v>180</v>
      </c>
      <c r="L35" s="327">
        <v>130</v>
      </c>
      <c r="M35" s="327">
        <v>27</v>
      </c>
      <c r="N35" s="327"/>
      <c r="O35" s="327"/>
      <c r="P35" s="334" t="s">
        <v>92</v>
      </c>
      <c r="Q35" s="328"/>
      <c r="R35" s="334" t="s">
        <v>2148</v>
      </c>
      <c r="S35" s="334" t="s">
        <v>82</v>
      </c>
      <c r="T35" s="334" t="s">
        <v>929</v>
      </c>
      <c r="U35" s="334" t="s">
        <v>2149</v>
      </c>
      <c r="V35" s="364" t="s">
        <v>1047</v>
      </c>
      <c r="W35" s="358">
        <v>1047</v>
      </c>
      <c r="X35" s="358">
        <v>1046</v>
      </c>
      <c r="Y35" s="327">
        <v>1</v>
      </c>
      <c r="Z35" s="334" t="s">
        <v>2150</v>
      </c>
    </row>
    <row r="36" spans="1:26" ht="66">
      <c r="A36" s="329">
        <v>32</v>
      </c>
      <c r="B36" s="328" t="s">
        <v>1944</v>
      </c>
      <c r="C36" s="328" t="s">
        <v>997</v>
      </c>
      <c r="D36" s="334" t="s">
        <v>2151</v>
      </c>
      <c r="E36" s="327" t="s">
        <v>2152</v>
      </c>
      <c r="F36" s="363" t="s">
        <v>2153</v>
      </c>
      <c r="G36" s="334" t="s">
        <v>2154</v>
      </c>
      <c r="H36" s="327" t="s">
        <v>1054</v>
      </c>
      <c r="I36" s="327">
        <v>15</v>
      </c>
      <c r="J36" s="327"/>
      <c r="K36" s="327"/>
      <c r="L36" s="327">
        <v>10</v>
      </c>
      <c r="M36" s="327">
        <v>5</v>
      </c>
      <c r="N36" s="327"/>
      <c r="O36" s="327"/>
      <c r="P36" s="327" t="s">
        <v>67</v>
      </c>
      <c r="Q36" s="327"/>
      <c r="R36" s="327" t="s">
        <v>2155</v>
      </c>
      <c r="S36" s="327" t="s">
        <v>82</v>
      </c>
      <c r="T36" s="327" t="s">
        <v>95</v>
      </c>
      <c r="U36" s="327" t="s">
        <v>84</v>
      </c>
      <c r="V36" s="327" t="s">
        <v>1047</v>
      </c>
      <c r="W36" s="327">
        <v>20</v>
      </c>
      <c r="X36" s="327">
        <v>15</v>
      </c>
      <c r="Y36" s="327">
        <v>5</v>
      </c>
      <c r="Z36" s="327" t="s">
        <v>2156</v>
      </c>
    </row>
    <row r="37" spans="1:26" ht="324">
      <c r="A37" s="329">
        <v>33</v>
      </c>
      <c r="B37" s="328" t="s">
        <v>1944</v>
      </c>
      <c r="C37" s="328" t="s">
        <v>1040</v>
      </c>
      <c r="D37" s="327" t="s">
        <v>2157</v>
      </c>
      <c r="E37" s="327" t="s">
        <v>2152</v>
      </c>
      <c r="F37" s="333" t="s">
        <v>2158</v>
      </c>
      <c r="G37" s="327" t="s">
        <v>2159</v>
      </c>
      <c r="H37" s="327" t="s">
        <v>1054</v>
      </c>
      <c r="I37" s="327">
        <v>125</v>
      </c>
      <c r="J37" s="327">
        <v>0</v>
      </c>
      <c r="K37" s="327">
        <v>45</v>
      </c>
      <c r="L37" s="327">
        <v>80</v>
      </c>
      <c r="M37" s="327">
        <v>0</v>
      </c>
      <c r="N37" s="327"/>
      <c r="O37" s="327"/>
      <c r="P37" s="327" t="s">
        <v>105</v>
      </c>
      <c r="Q37" s="365" t="s">
        <v>936</v>
      </c>
      <c r="R37" s="327" t="s">
        <v>2160</v>
      </c>
      <c r="S37" s="327" t="s">
        <v>82</v>
      </c>
      <c r="T37" s="327" t="s">
        <v>929</v>
      </c>
      <c r="U37" s="327" t="s">
        <v>2105</v>
      </c>
      <c r="V37" s="327" t="s">
        <v>1064</v>
      </c>
      <c r="W37" s="327">
        <v>431</v>
      </c>
      <c r="X37" s="327">
        <v>431</v>
      </c>
      <c r="Y37" s="327"/>
      <c r="Z37" s="327" t="s">
        <v>2161</v>
      </c>
    </row>
    <row r="38" spans="1:26" ht="94.5">
      <c r="A38" s="329">
        <v>34</v>
      </c>
      <c r="B38" s="328" t="s">
        <v>1944</v>
      </c>
      <c r="C38" s="328" t="s">
        <v>2162</v>
      </c>
      <c r="D38" s="327" t="s">
        <v>2163</v>
      </c>
      <c r="E38" s="327" t="s">
        <v>2164</v>
      </c>
      <c r="F38" s="333" t="s">
        <v>2165</v>
      </c>
      <c r="G38" s="327" t="s">
        <v>2166</v>
      </c>
      <c r="H38" s="327" t="s">
        <v>2167</v>
      </c>
      <c r="I38" s="327">
        <v>270</v>
      </c>
      <c r="J38" s="327"/>
      <c r="K38" s="327"/>
      <c r="L38" s="327">
        <v>260</v>
      </c>
      <c r="M38" s="327">
        <v>10</v>
      </c>
      <c r="N38" s="327"/>
      <c r="O38" s="327"/>
      <c r="P38" s="327" t="s">
        <v>167</v>
      </c>
      <c r="Q38" s="327" t="s">
        <v>167</v>
      </c>
      <c r="R38" s="327" t="s">
        <v>2168</v>
      </c>
      <c r="S38" s="327" t="s">
        <v>2124</v>
      </c>
      <c r="T38" s="327" t="s">
        <v>83</v>
      </c>
      <c r="U38" s="327" t="s">
        <v>2169</v>
      </c>
      <c r="V38" s="327" t="s">
        <v>1064</v>
      </c>
      <c r="W38" s="327">
        <v>80</v>
      </c>
      <c r="X38" s="327">
        <v>70</v>
      </c>
      <c r="Y38" s="327">
        <v>10</v>
      </c>
      <c r="Z38" s="327" t="s">
        <v>2170</v>
      </c>
    </row>
    <row r="39" spans="1:26" ht="108">
      <c r="A39" s="329">
        <v>35</v>
      </c>
      <c r="B39" s="328" t="s">
        <v>1944</v>
      </c>
      <c r="C39" s="328" t="s">
        <v>2171</v>
      </c>
      <c r="D39" s="327" t="s">
        <v>2172</v>
      </c>
      <c r="E39" s="327" t="s">
        <v>2173</v>
      </c>
      <c r="F39" s="333" t="s">
        <v>2174</v>
      </c>
      <c r="G39" s="327" t="s">
        <v>2175</v>
      </c>
      <c r="H39" s="327" t="s">
        <v>1908</v>
      </c>
      <c r="I39" s="327">
        <v>230</v>
      </c>
      <c r="J39" s="327"/>
      <c r="K39" s="327"/>
      <c r="L39" s="327">
        <v>230</v>
      </c>
      <c r="M39" s="327"/>
      <c r="N39" s="327"/>
      <c r="O39" s="327"/>
      <c r="P39" s="327" t="s">
        <v>105</v>
      </c>
      <c r="Q39" s="366" t="s">
        <v>936</v>
      </c>
      <c r="R39" s="327" t="s">
        <v>1004</v>
      </c>
      <c r="S39" s="327" t="s">
        <v>82</v>
      </c>
      <c r="T39" s="327" t="s">
        <v>995</v>
      </c>
      <c r="U39" s="327" t="s">
        <v>84</v>
      </c>
      <c r="V39" s="327" t="s">
        <v>85</v>
      </c>
      <c r="W39" s="327">
        <v>18</v>
      </c>
      <c r="X39" s="327">
        <v>18</v>
      </c>
      <c r="Y39" s="327"/>
      <c r="Z39" s="327" t="s">
        <v>930</v>
      </c>
    </row>
    <row r="40" spans="1:26" ht="162">
      <c r="A40" s="329">
        <v>36</v>
      </c>
      <c r="B40" s="328" t="s">
        <v>1944</v>
      </c>
      <c r="C40" s="328" t="s">
        <v>1912</v>
      </c>
      <c r="D40" s="327" t="s">
        <v>2176</v>
      </c>
      <c r="E40" s="327" t="s">
        <v>2177</v>
      </c>
      <c r="F40" s="333" t="s">
        <v>2178</v>
      </c>
      <c r="G40" s="327" t="s">
        <v>2179</v>
      </c>
      <c r="H40" s="327" t="s">
        <v>779</v>
      </c>
      <c r="I40" s="327">
        <v>440</v>
      </c>
      <c r="J40" s="327"/>
      <c r="K40" s="327">
        <v>30</v>
      </c>
      <c r="L40" s="327">
        <v>330</v>
      </c>
      <c r="M40" s="327">
        <v>80</v>
      </c>
      <c r="N40" s="327"/>
      <c r="O40" s="327"/>
      <c r="P40" s="367" t="s">
        <v>167</v>
      </c>
      <c r="Q40" s="327" t="s">
        <v>936</v>
      </c>
      <c r="R40" s="327" t="s">
        <v>2180</v>
      </c>
      <c r="S40" s="327" t="s">
        <v>82</v>
      </c>
      <c r="T40" s="327" t="s">
        <v>83</v>
      </c>
      <c r="U40" s="327" t="s">
        <v>2181</v>
      </c>
      <c r="V40" s="327" t="s">
        <v>85</v>
      </c>
      <c r="W40" s="327">
        <v>370</v>
      </c>
      <c r="X40" s="327">
        <v>370</v>
      </c>
      <c r="Y40" s="327"/>
      <c r="Z40" s="327" t="s">
        <v>2182</v>
      </c>
    </row>
    <row r="41" spans="1:26" ht="108">
      <c r="A41" s="329">
        <v>37</v>
      </c>
      <c r="B41" s="335" t="s">
        <v>1944</v>
      </c>
      <c r="C41" s="335" t="s">
        <v>2183</v>
      </c>
      <c r="D41" s="336" t="s">
        <v>2184</v>
      </c>
      <c r="E41" s="336" t="s">
        <v>2185</v>
      </c>
      <c r="F41" s="337" t="s">
        <v>2186</v>
      </c>
      <c r="G41" s="336" t="s">
        <v>2187</v>
      </c>
      <c r="H41" s="336" t="s">
        <v>2188</v>
      </c>
      <c r="I41" s="338">
        <v>445</v>
      </c>
      <c r="J41" s="338">
        <v>0</v>
      </c>
      <c r="K41" s="338">
        <v>45</v>
      </c>
      <c r="L41" s="338">
        <v>400</v>
      </c>
      <c r="M41" s="338">
        <v>0</v>
      </c>
      <c r="N41" s="335" t="s">
        <v>1950</v>
      </c>
      <c r="O41" s="336" t="s">
        <v>945</v>
      </c>
      <c r="P41" s="336" t="s">
        <v>105</v>
      </c>
      <c r="Q41" s="336" t="s">
        <v>928</v>
      </c>
      <c r="R41" s="336" t="s">
        <v>2189</v>
      </c>
      <c r="S41" s="336" t="s">
        <v>82</v>
      </c>
      <c r="T41" s="336" t="s">
        <v>83</v>
      </c>
      <c r="U41" s="336" t="s">
        <v>1953</v>
      </c>
      <c r="V41" s="336" t="s">
        <v>85</v>
      </c>
      <c r="W41" s="327">
        <v>159</v>
      </c>
      <c r="X41" s="327">
        <v>153</v>
      </c>
      <c r="Y41" s="327">
        <v>6</v>
      </c>
      <c r="Z41" s="327" t="s">
        <v>2190</v>
      </c>
    </row>
    <row r="42" spans="1:26" ht="81">
      <c r="A42" s="329">
        <v>38</v>
      </c>
      <c r="B42" s="328" t="s">
        <v>1944</v>
      </c>
      <c r="C42" s="328" t="s">
        <v>1873</v>
      </c>
      <c r="D42" s="327" t="s">
        <v>2191</v>
      </c>
      <c r="E42" s="327" t="s">
        <v>2152</v>
      </c>
      <c r="F42" s="367" t="s">
        <v>2192</v>
      </c>
      <c r="G42" s="327" t="s">
        <v>2193</v>
      </c>
      <c r="H42" s="327" t="s">
        <v>2111</v>
      </c>
      <c r="I42" s="327">
        <v>200</v>
      </c>
      <c r="J42" s="327"/>
      <c r="K42" s="327"/>
      <c r="L42" s="327">
        <v>200</v>
      </c>
      <c r="M42" s="327"/>
      <c r="N42" s="327"/>
      <c r="O42" s="327"/>
      <c r="P42" s="327" t="s">
        <v>67</v>
      </c>
      <c r="Q42" s="327"/>
      <c r="R42" s="327" t="s">
        <v>2194</v>
      </c>
      <c r="S42" s="327" t="s">
        <v>82</v>
      </c>
      <c r="T42" s="327" t="s">
        <v>2195</v>
      </c>
      <c r="U42" s="327" t="s">
        <v>84</v>
      </c>
      <c r="V42" s="327" t="s">
        <v>1047</v>
      </c>
      <c r="W42" s="327">
        <v>45</v>
      </c>
      <c r="X42" s="327">
        <v>44</v>
      </c>
      <c r="Y42" s="327">
        <v>1</v>
      </c>
      <c r="Z42" s="327" t="s">
        <v>2196</v>
      </c>
    </row>
    <row r="43" spans="1:26" ht="120">
      <c r="A43" s="329">
        <v>39</v>
      </c>
      <c r="B43" s="335" t="s">
        <v>1944</v>
      </c>
      <c r="C43" s="335" t="s">
        <v>2197</v>
      </c>
      <c r="D43" s="336" t="s">
        <v>2198</v>
      </c>
      <c r="E43" s="336" t="s">
        <v>2199</v>
      </c>
      <c r="F43" s="337" t="s">
        <v>2200</v>
      </c>
      <c r="G43" s="336" t="s">
        <v>2201</v>
      </c>
      <c r="H43" s="336" t="s">
        <v>1022</v>
      </c>
      <c r="I43" s="338">
        <v>600</v>
      </c>
      <c r="J43" s="338">
        <v>0</v>
      </c>
      <c r="K43" s="338">
        <v>95</v>
      </c>
      <c r="L43" s="338">
        <v>505</v>
      </c>
      <c r="M43" s="338">
        <v>0</v>
      </c>
      <c r="N43" s="336"/>
      <c r="O43" s="336"/>
      <c r="P43" s="336" t="s">
        <v>105</v>
      </c>
      <c r="Q43" s="336" t="s">
        <v>2202</v>
      </c>
      <c r="R43" s="336" t="s">
        <v>2203</v>
      </c>
      <c r="S43" s="336" t="s">
        <v>82</v>
      </c>
      <c r="T43" s="336" t="s">
        <v>929</v>
      </c>
      <c r="U43" s="336" t="s">
        <v>2204</v>
      </c>
      <c r="V43" s="336" t="s">
        <v>85</v>
      </c>
      <c r="W43" s="338">
        <v>220</v>
      </c>
      <c r="X43" s="338">
        <v>220</v>
      </c>
      <c r="Y43" s="338">
        <v>0</v>
      </c>
      <c r="Z43" s="336" t="s">
        <v>2205</v>
      </c>
    </row>
    <row r="44" spans="1:26" ht="162">
      <c r="A44" s="329">
        <v>40</v>
      </c>
      <c r="B44" s="328" t="s">
        <v>1944</v>
      </c>
      <c r="C44" s="328" t="s">
        <v>2206</v>
      </c>
      <c r="D44" s="327" t="s">
        <v>2207</v>
      </c>
      <c r="E44" s="327" t="s">
        <v>2208</v>
      </c>
      <c r="F44" s="333" t="s">
        <v>2209</v>
      </c>
      <c r="G44" s="327" t="s">
        <v>2210</v>
      </c>
      <c r="H44" s="327" t="s">
        <v>2211</v>
      </c>
      <c r="I44" s="358">
        <v>30</v>
      </c>
      <c r="J44" s="327"/>
      <c r="K44" s="327"/>
      <c r="L44" s="358">
        <v>30</v>
      </c>
      <c r="M44" s="327"/>
      <c r="N44" s="327"/>
      <c r="O44" s="327"/>
      <c r="P44" s="327" t="s">
        <v>124</v>
      </c>
      <c r="Q44" s="327" t="s">
        <v>2212</v>
      </c>
      <c r="R44" s="327" t="s">
        <v>2213</v>
      </c>
      <c r="S44" s="327" t="s">
        <v>82</v>
      </c>
      <c r="T44" s="327" t="s">
        <v>1005</v>
      </c>
      <c r="U44" s="327" t="s">
        <v>84</v>
      </c>
      <c r="V44" s="327" t="s">
        <v>1047</v>
      </c>
      <c r="W44" s="327">
        <v>50</v>
      </c>
      <c r="X44" s="327">
        <v>50</v>
      </c>
      <c r="Y44" s="327"/>
      <c r="Z44" s="327" t="s">
        <v>1028</v>
      </c>
    </row>
    <row r="45" spans="1:26" ht="148.5">
      <c r="A45" s="329">
        <v>41</v>
      </c>
      <c r="B45" s="328" t="s">
        <v>1944</v>
      </c>
      <c r="C45" s="328" t="s">
        <v>2206</v>
      </c>
      <c r="D45" s="327" t="s">
        <v>2214</v>
      </c>
      <c r="E45" s="327" t="s">
        <v>1905</v>
      </c>
      <c r="F45" s="367" t="s">
        <v>2215</v>
      </c>
      <c r="G45" s="327" t="s">
        <v>2216</v>
      </c>
      <c r="H45" s="327" t="s">
        <v>966</v>
      </c>
      <c r="I45" s="327">
        <v>100</v>
      </c>
      <c r="J45" s="327"/>
      <c r="K45" s="327">
        <v>50</v>
      </c>
      <c r="L45" s="327">
        <v>20</v>
      </c>
      <c r="M45" s="327">
        <v>30</v>
      </c>
      <c r="N45" s="327"/>
      <c r="O45" s="327"/>
      <c r="P45" s="327" t="s">
        <v>909</v>
      </c>
      <c r="Q45" s="327" t="s">
        <v>909</v>
      </c>
      <c r="R45" s="327" t="s">
        <v>2217</v>
      </c>
      <c r="S45" s="327" t="s">
        <v>82</v>
      </c>
      <c r="T45" s="327" t="s">
        <v>2218</v>
      </c>
      <c r="U45" s="327" t="s">
        <v>84</v>
      </c>
      <c r="V45" s="327" t="s">
        <v>1064</v>
      </c>
      <c r="W45" s="327">
        <v>10</v>
      </c>
      <c r="X45" s="327">
        <v>10</v>
      </c>
      <c r="Y45" s="327">
        <v>0</v>
      </c>
      <c r="Z45" s="327" t="s">
        <v>938</v>
      </c>
    </row>
    <row r="46" spans="1:26" ht="94.5">
      <c r="A46" s="328">
        <v>42</v>
      </c>
      <c r="B46" s="328" t="s">
        <v>1944</v>
      </c>
      <c r="C46" s="328" t="s">
        <v>2219</v>
      </c>
      <c r="D46" s="327" t="s">
        <v>2220</v>
      </c>
      <c r="E46" s="327" t="s">
        <v>2221</v>
      </c>
      <c r="F46" s="333" t="s">
        <v>2222</v>
      </c>
      <c r="G46" s="327" t="s">
        <v>2223</v>
      </c>
      <c r="H46" s="327" t="s">
        <v>2224</v>
      </c>
      <c r="I46" s="327">
        <v>375</v>
      </c>
      <c r="J46" s="327">
        <v>150</v>
      </c>
      <c r="K46" s="327">
        <v>225</v>
      </c>
      <c r="L46" s="327"/>
      <c r="M46" s="327"/>
      <c r="N46" s="327" t="s">
        <v>927</v>
      </c>
      <c r="O46" s="327" t="s">
        <v>1248</v>
      </c>
      <c r="P46" s="327" t="s">
        <v>105</v>
      </c>
      <c r="Q46" s="327" t="s">
        <v>2225</v>
      </c>
      <c r="R46" s="327" t="s">
        <v>2226</v>
      </c>
      <c r="S46" s="327" t="s">
        <v>82</v>
      </c>
      <c r="T46" s="327" t="s">
        <v>1103</v>
      </c>
      <c r="U46" s="327" t="s">
        <v>2227</v>
      </c>
      <c r="V46" s="327" t="s">
        <v>1047</v>
      </c>
      <c r="W46" s="327">
        <v>21511</v>
      </c>
      <c r="X46" s="327">
        <v>21311</v>
      </c>
      <c r="Y46" s="327">
        <v>200</v>
      </c>
      <c r="Z46" s="327" t="s">
        <v>2228</v>
      </c>
    </row>
    <row r="47" spans="1:26" ht="94.5">
      <c r="A47" s="329">
        <v>43</v>
      </c>
      <c r="B47" s="328" t="s">
        <v>1944</v>
      </c>
      <c r="C47" s="368" t="s">
        <v>2229</v>
      </c>
      <c r="D47" s="369" t="s">
        <v>2230</v>
      </c>
      <c r="E47" s="370" t="s">
        <v>1137</v>
      </c>
      <c r="F47" s="371" t="s">
        <v>2231</v>
      </c>
      <c r="G47" s="370" t="s">
        <v>2232</v>
      </c>
      <c r="H47" s="372" t="s">
        <v>2233</v>
      </c>
      <c r="I47" s="373">
        <v>400</v>
      </c>
      <c r="J47" s="374"/>
      <c r="K47" s="375">
        <v>45</v>
      </c>
      <c r="L47" s="375">
        <v>237</v>
      </c>
      <c r="M47" s="372">
        <v>118</v>
      </c>
      <c r="N47" s="376"/>
      <c r="O47" s="369"/>
      <c r="P47" s="373" t="s">
        <v>67</v>
      </c>
      <c r="Q47" s="327"/>
      <c r="R47" s="372" t="s">
        <v>2234</v>
      </c>
      <c r="S47" s="370" t="s">
        <v>82</v>
      </c>
      <c r="T47" s="377" t="s">
        <v>995</v>
      </c>
      <c r="U47" s="327" t="s">
        <v>1950</v>
      </c>
      <c r="V47" s="372" t="s">
        <v>1047</v>
      </c>
      <c r="W47" s="370">
        <v>150</v>
      </c>
      <c r="X47" s="370">
        <v>147</v>
      </c>
      <c r="Y47" s="370">
        <v>3</v>
      </c>
      <c r="Z47" s="370" t="s">
        <v>1017</v>
      </c>
    </row>
    <row r="48" spans="1:26" ht="40.5">
      <c r="A48" s="329">
        <v>44</v>
      </c>
      <c r="B48" s="328" t="s">
        <v>1944</v>
      </c>
      <c r="C48" s="368" t="s">
        <v>2229</v>
      </c>
      <c r="D48" s="369" t="s">
        <v>2235</v>
      </c>
      <c r="E48" s="370" t="s">
        <v>2236</v>
      </c>
      <c r="F48" s="371" t="s">
        <v>2237</v>
      </c>
      <c r="G48" s="370" t="s">
        <v>2238</v>
      </c>
      <c r="H48" s="372" t="s">
        <v>1845</v>
      </c>
      <c r="I48" s="373">
        <v>40</v>
      </c>
      <c r="J48" s="374"/>
      <c r="K48" s="375">
        <v>10</v>
      </c>
      <c r="L48" s="375">
        <v>3</v>
      </c>
      <c r="M48" s="372">
        <v>27</v>
      </c>
      <c r="N48" s="376"/>
      <c r="O48" s="369"/>
      <c r="P48" s="373" t="s">
        <v>167</v>
      </c>
      <c r="Q48" s="327" t="s">
        <v>2239</v>
      </c>
      <c r="R48" s="372" t="s">
        <v>2240</v>
      </c>
      <c r="S48" s="370" t="s">
        <v>82</v>
      </c>
      <c r="T48" s="377" t="s">
        <v>95</v>
      </c>
      <c r="U48" s="327" t="s">
        <v>1950</v>
      </c>
      <c r="V48" s="372" t="s">
        <v>1047</v>
      </c>
      <c r="W48" s="370">
        <v>75</v>
      </c>
      <c r="X48" s="370">
        <v>74</v>
      </c>
      <c r="Y48" s="370">
        <v>1</v>
      </c>
      <c r="Z48" s="370" t="s">
        <v>930</v>
      </c>
    </row>
    <row r="49" spans="1:3">
      <c r="A49" s="331"/>
      <c r="B49" s="331"/>
      <c r="C49" s="331"/>
    </row>
    <row r="50" spans="1:3">
      <c r="A50" s="331"/>
      <c r="B50" s="331"/>
      <c r="C50" s="331"/>
    </row>
    <row r="51" spans="1:3">
      <c r="A51" s="331"/>
      <c r="B51" s="331"/>
      <c r="C51" s="331"/>
    </row>
    <row r="52" spans="1:3">
      <c r="A52" s="331"/>
      <c r="B52" s="331"/>
      <c r="C52" s="331"/>
    </row>
    <row r="53" spans="1:3">
      <c r="A53" s="331"/>
      <c r="B53" s="331"/>
      <c r="C53" s="331"/>
    </row>
    <row r="54" spans="1:3">
      <c r="A54" s="331"/>
      <c r="B54" s="331"/>
      <c r="C54" s="331"/>
    </row>
    <row r="55" spans="1:3">
      <c r="A55" s="331"/>
      <c r="B55" s="331"/>
      <c r="C55" s="331"/>
    </row>
    <row r="56" spans="1:3">
      <c r="A56" s="331"/>
      <c r="B56" s="331"/>
      <c r="C56" s="331"/>
    </row>
    <row r="57" spans="1:3">
      <c r="A57" s="331"/>
      <c r="B57" s="331"/>
      <c r="C57" s="331"/>
    </row>
    <row r="58" spans="1:3">
      <c r="A58" s="331"/>
      <c r="B58" s="331"/>
      <c r="C58" s="331"/>
    </row>
    <row r="59" spans="1:3">
      <c r="A59" s="331"/>
      <c r="B59" s="331"/>
      <c r="C59" s="331"/>
    </row>
    <row r="60" spans="1:3">
      <c r="A60" s="331"/>
      <c r="B60" s="331"/>
      <c r="C60" s="331"/>
    </row>
    <row r="61" spans="1:3">
      <c r="A61" s="331"/>
      <c r="B61" s="331"/>
      <c r="C61" s="331"/>
    </row>
    <row r="62" spans="1:3">
      <c r="A62" s="331"/>
      <c r="B62" s="331"/>
      <c r="C62" s="331"/>
    </row>
    <row r="63" spans="1:3">
      <c r="A63" s="331"/>
      <c r="B63" s="331"/>
      <c r="C63" s="331"/>
    </row>
    <row r="64" spans="1:3">
      <c r="A64" s="331"/>
      <c r="B64" s="331"/>
      <c r="C64" s="331"/>
    </row>
    <row r="65" spans="1:3">
      <c r="A65" s="331"/>
      <c r="B65" s="331"/>
      <c r="C65" s="331"/>
    </row>
    <row r="66" spans="1:3">
      <c r="A66" s="331"/>
      <c r="B66" s="331"/>
      <c r="C66" s="331"/>
    </row>
    <row r="67" spans="1:3">
      <c r="A67" s="331"/>
      <c r="B67" s="331"/>
      <c r="C67" s="331"/>
    </row>
  </sheetData>
  <mergeCells count="4">
    <mergeCell ref="W3:Y3"/>
    <mergeCell ref="N3:O3"/>
    <mergeCell ref="A1:Y2"/>
    <mergeCell ref="I3:M3"/>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5"/>
  <sheetViews>
    <sheetView workbookViewId="0">
      <selection activeCell="G3" sqref="G1:G1048576"/>
    </sheetView>
  </sheetViews>
  <sheetFormatPr defaultRowHeight="13.5"/>
  <cols>
    <col min="4" max="4" width="20.77734375" customWidth="1"/>
    <col min="5" max="5" width="11.6640625" customWidth="1"/>
    <col min="6" max="6" width="35.6640625" customWidth="1"/>
    <col min="7" max="7" width="14.21875"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222"/>
      <c r="AA1" s="222"/>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230"/>
      <c r="AA2" s="224"/>
    </row>
    <row r="3" spans="1:27" ht="17.25" thickBot="1">
      <c r="A3" s="225"/>
      <c r="B3" s="225"/>
      <c r="C3" s="225"/>
      <c r="D3" s="223"/>
      <c r="E3" s="223"/>
      <c r="F3" s="223"/>
      <c r="G3" s="223"/>
      <c r="H3" s="223"/>
      <c r="I3" s="1612"/>
      <c r="J3" s="1613"/>
      <c r="K3" s="1613"/>
      <c r="L3" s="1613"/>
      <c r="M3" s="1613"/>
      <c r="N3" s="1609" t="s">
        <v>1754</v>
      </c>
      <c r="O3" s="1610"/>
      <c r="P3" s="243"/>
      <c r="Q3" s="243"/>
      <c r="R3" s="250"/>
      <c r="S3" s="251"/>
      <c r="T3" s="251"/>
      <c r="U3" s="251"/>
      <c r="V3" s="251"/>
      <c r="W3" s="1621" t="s">
        <v>896</v>
      </c>
      <c r="X3" s="1622"/>
      <c r="Y3" s="1623"/>
      <c r="Z3" s="319"/>
      <c r="AA3" s="231"/>
    </row>
    <row r="4" spans="1:27" ht="57.75" thickBot="1">
      <c r="A4" s="291" t="s">
        <v>897</v>
      </c>
      <c r="B4" s="229" t="s">
        <v>898</v>
      </c>
      <c r="C4" s="241" t="s">
        <v>899</v>
      </c>
      <c r="D4" s="242" t="s">
        <v>900</v>
      </c>
      <c r="E4" s="239" t="s">
        <v>901</v>
      </c>
      <c r="F4" s="242" t="s">
        <v>902</v>
      </c>
      <c r="G4" s="239" t="s">
        <v>903</v>
      </c>
      <c r="H4" s="239" t="s">
        <v>904</v>
      </c>
      <c r="I4" s="240" t="s">
        <v>905</v>
      </c>
      <c r="J4" s="247" t="s">
        <v>906</v>
      </c>
      <c r="K4" s="248" t="s">
        <v>907</v>
      </c>
      <c r="L4" s="248" t="s">
        <v>908</v>
      </c>
      <c r="M4" s="249" t="s">
        <v>909</v>
      </c>
      <c r="N4" s="252" t="s">
        <v>910</v>
      </c>
      <c r="O4" s="249" t="s">
        <v>911</v>
      </c>
      <c r="P4" s="239" t="s">
        <v>912</v>
      </c>
      <c r="Q4" s="289" t="s">
        <v>913</v>
      </c>
      <c r="R4" s="238" t="s">
        <v>914</v>
      </c>
      <c r="S4" s="238" t="s">
        <v>915</v>
      </c>
      <c r="T4" s="287" t="s">
        <v>916</v>
      </c>
      <c r="U4" s="237" t="s">
        <v>917</v>
      </c>
      <c r="V4" s="237" t="s">
        <v>918</v>
      </c>
      <c r="W4" s="238" t="s">
        <v>919</v>
      </c>
      <c r="X4" s="238" t="s">
        <v>920</v>
      </c>
      <c r="Y4" s="238" t="s">
        <v>921</v>
      </c>
      <c r="Z4" s="238" t="s">
        <v>922</v>
      </c>
      <c r="AA4" s="222"/>
    </row>
    <row r="5" spans="1:27" ht="80.099999999999994" customHeight="1">
      <c r="A5" s="292">
        <v>1</v>
      </c>
      <c r="B5" s="228" t="s">
        <v>1755</v>
      </c>
      <c r="C5" s="227" t="s">
        <v>1756</v>
      </c>
      <c r="D5" s="232" t="s">
        <v>1757</v>
      </c>
      <c r="E5" s="233" t="s">
        <v>1758</v>
      </c>
      <c r="F5" s="234" t="s">
        <v>1759</v>
      </c>
      <c r="G5" s="233" t="s">
        <v>1760</v>
      </c>
      <c r="H5" s="235" t="s">
        <v>1761</v>
      </c>
      <c r="I5" s="321">
        <v>510</v>
      </c>
      <c r="J5" s="245">
        <v>70</v>
      </c>
      <c r="K5" s="246">
        <v>400</v>
      </c>
      <c r="L5" s="246">
        <v>20</v>
      </c>
      <c r="M5" s="235">
        <v>20</v>
      </c>
      <c r="N5" s="253" t="s">
        <v>927</v>
      </c>
      <c r="O5" s="232" t="s">
        <v>1248</v>
      </c>
      <c r="P5" s="236" t="s">
        <v>105</v>
      </c>
      <c r="Q5" s="232" t="s">
        <v>105</v>
      </c>
      <c r="R5" s="233" t="s">
        <v>1762</v>
      </c>
      <c r="S5" s="233" t="s">
        <v>82</v>
      </c>
      <c r="T5" s="285" t="s">
        <v>83</v>
      </c>
      <c r="U5" s="226" t="s">
        <v>1763</v>
      </c>
      <c r="V5" s="245" t="s">
        <v>85</v>
      </c>
      <c r="W5" s="233">
        <v>254</v>
      </c>
      <c r="X5" s="233">
        <v>246</v>
      </c>
      <c r="Y5" s="233">
        <v>8</v>
      </c>
      <c r="Z5" s="233" t="s">
        <v>1024</v>
      </c>
      <c r="AA5" s="222"/>
    </row>
    <row r="6" spans="1:27" ht="80.099999999999994" customHeight="1">
      <c r="A6" s="292">
        <v>2</v>
      </c>
      <c r="B6" s="228" t="s">
        <v>1755</v>
      </c>
      <c r="C6" s="254" t="s">
        <v>924</v>
      </c>
      <c r="D6" s="232" t="s">
        <v>1764</v>
      </c>
      <c r="E6" s="233" t="s">
        <v>1765</v>
      </c>
      <c r="F6" s="234" t="s">
        <v>1766</v>
      </c>
      <c r="G6" s="255" t="s">
        <v>1767</v>
      </c>
      <c r="H6" s="233" t="s">
        <v>1768</v>
      </c>
      <c r="I6" s="321">
        <v>1900</v>
      </c>
      <c r="J6" s="256">
        <v>800</v>
      </c>
      <c r="K6" s="257">
        <v>1100</v>
      </c>
      <c r="L6" s="257">
        <v>0</v>
      </c>
      <c r="M6" s="258">
        <v>0</v>
      </c>
      <c r="N6" s="253"/>
      <c r="O6" s="232"/>
      <c r="P6" s="236" t="s">
        <v>67</v>
      </c>
      <c r="Q6" s="245"/>
      <c r="R6" s="233" t="s">
        <v>1769</v>
      </c>
      <c r="S6" s="233" t="s">
        <v>82</v>
      </c>
      <c r="T6" s="285" t="s">
        <v>1103</v>
      </c>
      <c r="U6" s="226" t="s">
        <v>1770</v>
      </c>
      <c r="V6" s="245" t="s">
        <v>85</v>
      </c>
      <c r="W6" s="259">
        <v>1174</v>
      </c>
      <c r="X6" s="259">
        <v>1151</v>
      </c>
      <c r="Y6" s="259">
        <v>23</v>
      </c>
      <c r="Z6" s="233" t="s">
        <v>1771</v>
      </c>
      <c r="AA6" s="222"/>
    </row>
    <row r="7" spans="1:27" ht="80.099999999999994" customHeight="1">
      <c r="A7" s="292">
        <v>3</v>
      </c>
      <c r="B7" s="228" t="s">
        <v>1755</v>
      </c>
      <c r="C7" s="254" t="s">
        <v>924</v>
      </c>
      <c r="D7" s="232" t="s">
        <v>1772</v>
      </c>
      <c r="E7" s="233" t="s">
        <v>1773</v>
      </c>
      <c r="F7" s="234" t="s">
        <v>1774</v>
      </c>
      <c r="G7" s="233" t="s">
        <v>1775</v>
      </c>
      <c r="H7" s="235" t="s">
        <v>1776</v>
      </c>
      <c r="I7" s="321">
        <v>610</v>
      </c>
      <c r="J7" s="245">
        <v>270</v>
      </c>
      <c r="K7" s="246">
        <v>330</v>
      </c>
      <c r="L7" s="246"/>
      <c r="M7" s="235">
        <v>10</v>
      </c>
      <c r="N7" s="253" t="s">
        <v>927</v>
      </c>
      <c r="O7" s="232" t="s">
        <v>1248</v>
      </c>
      <c r="P7" s="236" t="s">
        <v>67</v>
      </c>
      <c r="Q7" s="232" t="s">
        <v>67</v>
      </c>
      <c r="R7" s="233" t="s">
        <v>1777</v>
      </c>
      <c r="S7" s="233" t="s">
        <v>82</v>
      </c>
      <c r="T7" s="285" t="s">
        <v>1778</v>
      </c>
      <c r="U7" s="226" t="s">
        <v>84</v>
      </c>
      <c r="V7" s="245" t="s">
        <v>1779</v>
      </c>
      <c r="W7" s="233">
        <v>486</v>
      </c>
      <c r="X7" s="233">
        <v>485.5</v>
      </c>
      <c r="Y7" s="233">
        <v>0.5</v>
      </c>
      <c r="Z7" s="233" t="s">
        <v>1780</v>
      </c>
      <c r="AA7" s="222"/>
    </row>
    <row r="8" spans="1:27" ht="80.099999999999994" customHeight="1">
      <c r="A8" s="292">
        <v>4</v>
      </c>
      <c r="B8" s="228" t="s">
        <v>1755</v>
      </c>
      <c r="C8" s="254" t="s">
        <v>1755</v>
      </c>
      <c r="D8" s="232" t="s">
        <v>1781</v>
      </c>
      <c r="E8" s="233" t="s">
        <v>1782</v>
      </c>
      <c r="F8" s="234" t="s">
        <v>1783</v>
      </c>
      <c r="G8" s="233" t="s">
        <v>1784</v>
      </c>
      <c r="H8" s="235" t="s">
        <v>1785</v>
      </c>
      <c r="I8" s="321">
        <v>2010</v>
      </c>
      <c r="J8" s="245">
        <v>70</v>
      </c>
      <c r="K8" s="260">
        <v>1040</v>
      </c>
      <c r="L8" s="246"/>
      <c r="M8" s="235">
        <v>900</v>
      </c>
      <c r="N8" s="253" t="s">
        <v>927</v>
      </c>
      <c r="O8" s="232" t="s">
        <v>1248</v>
      </c>
      <c r="P8" s="236" t="s">
        <v>92</v>
      </c>
      <c r="Q8" s="232"/>
      <c r="R8" s="233" t="s">
        <v>1786</v>
      </c>
      <c r="S8" s="233" t="s">
        <v>82</v>
      </c>
      <c r="T8" s="285" t="s">
        <v>1778</v>
      </c>
      <c r="U8" s="226" t="s">
        <v>1787</v>
      </c>
      <c r="V8" s="245" t="s">
        <v>1064</v>
      </c>
      <c r="W8" s="233">
        <v>588</v>
      </c>
      <c r="X8" s="261">
        <v>586.79999999999995</v>
      </c>
      <c r="Y8" s="261">
        <v>1.2</v>
      </c>
      <c r="Z8" s="233" t="s">
        <v>1788</v>
      </c>
      <c r="AA8" s="222"/>
    </row>
    <row r="9" spans="1:27" ht="80.099999999999994" customHeight="1">
      <c r="A9" s="292">
        <v>5</v>
      </c>
      <c r="B9" s="228" t="s">
        <v>1755</v>
      </c>
      <c r="C9" s="254" t="s">
        <v>1789</v>
      </c>
      <c r="D9" s="232" t="s">
        <v>1790</v>
      </c>
      <c r="E9" s="233" t="s">
        <v>1791</v>
      </c>
      <c r="F9" s="234" t="s">
        <v>1792</v>
      </c>
      <c r="G9" s="233" t="s">
        <v>1793</v>
      </c>
      <c r="H9" s="235" t="s">
        <v>1794</v>
      </c>
      <c r="I9" s="321">
        <v>250</v>
      </c>
      <c r="J9" s="245">
        <v>150</v>
      </c>
      <c r="K9" s="246">
        <v>100</v>
      </c>
      <c r="L9" s="246"/>
      <c r="M9" s="235"/>
      <c r="N9" s="253" t="s">
        <v>927</v>
      </c>
      <c r="O9" s="232" t="s">
        <v>1795</v>
      </c>
      <c r="P9" s="236" t="s">
        <v>67</v>
      </c>
      <c r="Q9" s="245"/>
      <c r="R9" s="233" t="s">
        <v>1796</v>
      </c>
      <c r="S9" s="233" t="s">
        <v>82</v>
      </c>
      <c r="T9" s="285" t="s">
        <v>929</v>
      </c>
      <c r="U9" s="227" t="s">
        <v>1797</v>
      </c>
      <c r="V9" s="286" t="s">
        <v>85</v>
      </c>
      <c r="W9" s="233">
        <v>60</v>
      </c>
      <c r="X9" s="233">
        <v>58</v>
      </c>
      <c r="Y9" s="233">
        <v>2</v>
      </c>
      <c r="Z9" s="233" t="s">
        <v>1798</v>
      </c>
      <c r="AA9" s="222"/>
    </row>
    <row r="10" spans="1:27" ht="80.099999999999994" customHeight="1">
      <c r="A10" s="292">
        <v>6</v>
      </c>
      <c r="B10" s="228" t="s">
        <v>1755</v>
      </c>
      <c r="C10" s="254" t="s">
        <v>924</v>
      </c>
      <c r="D10" s="232" t="s">
        <v>1799</v>
      </c>
      <c r="E10" s="233" t="s">
        <v>1800</v>
      </c>
      <c r="F10" s="234" t="s">
        <v>1801</v>
      </c>
      <c r="G10" s="233" t="s">
        <v>1802</v>
      </c>
      <c r="H10" s="235" t="s">
        <v>1803</v>
      </c>
      <c r="I10" s="321">
        <v>449</v>
      </c>
      <c r="J10" s="245"/>
      <c r="K10" s="246">
        <v>299</v>
      </c>
      <c r="L10" s="246"/>
      <c r="M10" s="235">
        <v>150</v>
      </c>
      <c r="N10" s="253"/>
      <c r="O10" s="232"/>
      <c r="P10" s="236" t="s">
        <v>67</v>
      </c>
      <c r="Q10" s="232"/>
      <c r="R10" s="233" t="s">
        <v>1804</v>
      </c>
      <c r="S10" s="233" t="s">
        <v>82</v>
      </c>
      <c r="T10" s="285" t="s">
        <v>929</v>
      </c>
      <c r="U10" s="226" t="s">
        <v>84</v>
      </c>
      <c r="V10" s="245" t="s">
        <v>85</v>
      </c>
      <c r="W10" s="233">
        <v>25</v>
      </c>
      <c r="X10" s="261">
        <v>25</v>
      </c>
      <c r="Y10" s="233"/>
      <c r="Z10" s="233" t="s">
        <v>1805</v>
      </c>
      <c r="AA10" s="244"/>
    </row>
    <row r="11" spans="1:27" ht="80.099999999999994" customHeight="1">
      <c r="A11" s="292">
        <v>7</v>
      </c>
      <c r="B11" s="228" t="s">
        <v>1755</v>
      </c>
      <c r="C11" s="254" t="s">
        <v>924</v>
      </c>
      <c r="D11" s="232" t="s">
        <v>1806</v>
      </c>
      <c r="E11" s="233" t="s">
        <v>952</v>
      </c>
      <c r="F11" s="234" t="s">
        <v>1807</v>
      </c>
      <c r="G11" s="233" t="s">
        <v>1808</v>
      </c>
      <c r="H11" s="235" t="s">
        <v>1809</v>
      </c>
      <c r="I11" s="321">
        <v>200</v>
      </c>
      <c r="J11" s="245">
        <v>80</v>
      </c>
      <c r="K11" s="246">
        <v>120</v>
      </c>
      <c r="L11" s="246">
        <v>0</v>
      </c>
      <c r="M11" s="235">
        <v>0</v>
      </c>
      <c r="N11" s="253" t="s">
        <v>927</v>
      </c>
      <c r="O11" s="232" t="s">
        <v>1248</v>
      </c>
      <c r="P11" s="236" t="s">
        <v>67</v>
      </c>
      <c r="Q11" s="232" t="s">
        <v>67</v>
      </c>
      <c r="R11" s="233" t="s">
        <v>1810</v>
      </c>
      <c r="S11" s="233" t="s">
        <v>82</v>
      </c>
      <c r="T11" s="285" t="s">
        <v>1103</v>
      </c>
      <c r="U11" s="226" t="s">
        <v>1811</v>
      </c>
      <c r="V11" s="245" t="s">
        <v>85</v>
      </c>
      <c r="W11" s="233">
        <v>8</v>
      </c>
      <c r="X11" s="233">
        <v>8</v>
      </c>
      <c r="Y11" s="233">
        <v>0</v>
      </c>
      <c r="Z11" s="233" t="s">
        <v>1812</v>
      </c>
      <c r="AA11" s="244"/>
    </row>
    <row r="12" spans="1:27" ht="80.099999999999994" customHeight="1">
      <c r="A12" s="292">
        <v>8</v>
      </c>
      <c r="B12" s="228" t="s">
        <v>1755</v>
      </c>
      <c r="C12" s="254" t="s">
        <v>924</v>
      </c>
      <c r="D12" s="232" t="s">
        <v>1813</v>
      </c>
      <c r="E12" s="233" t="s">
        <v>1019</v>
      </c>
      <c r="F12" s="234" t="s">
        <v>1814</v>
      </c>
      <c r="G12" s="233" t="s">
        <v>1815</v>
      </c>
      <c r="H12" s="235" t="s">
        <v>1816</v>
      </c>
      <c r="I12" s="321">
        <v>800</v>
      </c>
      <c r="J12" s="245">
        <v>300</v>
      </c>
      <c r="K12" s="246">
        <v>300</v>
      </c>
      <c r="L12" s="246"/>
      <c r="M12" s="235">
        <v>200</v>
      </c>
      <c r="N12" s="253" t="s">
        <v>927</v>
      </c>
      <c r="O12" s="232" t="s">
        <v>1817</v>
      </c>
      <c r="P12" s="236" t="s">
        <v>105</v>
      </c>
      <c r="Q12" s="232"/>
      <c r="R12" s="233" t="s">
        <v>1818</v>
      </c>
      <c r="S12" s="233" t="s">
        <v>82</v>
      </c>
      <c r="T12" s="285" t="s">
        <v>929</v>
      </c>
      <c r="U12" s="226" t="s">
        <v>84</v>
      </c>
      <c r="V12" s="245" t="s">
        <v>85</v>
      </c>
      <c r="W12" s="233">
        <v>40</v>
      </c>
      <c r="X12" s="261">
        <v>40</v>
      </c>
      <c r="Y12" s="233"/>
      <c r="Z12" s="233" t="s">
        <v>1819</v>
      </c>
      <c r="AA12" s="244"/>
    </row>
    <row r="13" spans="1:27" ht="80.099999999999994" customHeight="1">
      <c r="A13" s="292">
        <v>9</v>
      </c>
      <c r="B13" s="228" t="s">
        <v>1755</v>
      </c>
      <c r="C13" s="254" t="s">
        <v>1820</v>
      </c>
      <c r="D13" s="232" t="s">
        <v>1821</v>
      </c>
      <c r="E13" s="233" t="s">
        <v>1822</v>
      </c>
      <c r="F13" s="234" t="s">
        <v>1823</v>
      </c>
      <c r="G13" s="233" t="s">
        <v>1824</v>
      </c>
      <c r="H13" s="235" t="s">
        <v>1809</v>
      </c>
      <c r="I13" s="321">
        <v>550</v>
      </c>
      <c r="J13" s="245">
        <v>220</v>
      </c>
      <c r="K13" s="246">
        <v>330</v>
      </c>
      <c r="L13" s="246">
        <v>0</v>
      </c>
      <c r="M13" s="235">
        <v>0</v>
      </c>
      <c r="N13" s="253" t="s">
        <v>927</v>
      </c>
      <c r="O13" s="232" t="s">
        <v>1825</v>
      </c>
      <c r="P13" s="236" t="s">
        <v>67</v>
      </c>
      <c r="Q13" s="232" t="s">
        <v>67</v>
      </c>
      <c r="R13" s="233" t="s">
        <v>1826</v>
      </c>
      <c r="S13" s="233" t="s">
        <v>82</v>
      </c>
      <c r="T13" s="285" t="s">
        <v>995</v>
      </c>
      <c r="U13" s="226" t="s">
        <v>84</v>
      </c>
      <c r="V13" s="245" t="s">
        <v>1827</v>
      </c>
      <c r="W13" s="233">
        <v>46107</v>
      </c>
      <c r="X13" s="261">
        <v>45969</v>
      </c>
      <c r="Y13" s="233">
        <v>138</v>
      </c>
      <c r="Z13" s="233" t="s">
        <v>930</v>
      </c>
      <c r="AA13" s="244"/>
    </row>
    <row r="14" spans="1:27" ht="80.099999999999994" customHeight="1">
      <c r="A14" s="292">
        <v>10</v>
      </c>
      <c r="B14" s="228" t="s">
        <v>1755</v>
      </c>
      <c r="C14" s="254" t="s">
        <v>924</v>
      </c>
      <c r="D14" s="232" t="s">
        <v>1828</v>
      </c>
      <c r="E14" s="233" t="s">
        <v>1829</v>
      </c>
      <c r="F14" s="234" t="s">
        <v>1830</v>
      </c>
      <c r="G14" s="233" t="s">
        <v>1831</v>
      </c>
      <c r="H14" s="235" t="s">
        <v>1832</v>
      </c>
      <c r="I14" s="321">
        <v>120</v>
      </c>
      <c r="J14" s="245"/>
      <c r="K14" s="246">
        <v>120</v>
      </c>
      <c r="L14" s="246"/>
      <c r="M14" s="235"/>
      <c r="N14" s="253"/>
      <c r="O14" s="232"/>
      <c r="P14" s="236" t="s">
        <v>67</v>
      </c>
      <c r="Q14" s="245" t="s">
        <v>936</v>
      </c>
      <c r="R14" s="233" t="s">
        <v>1833</v>
      </c>
      <c r="S14" s="233" t="s">
        <v>82</v>
      </c>
      <c r="T14" s="285" t="s">
        <v>95</v>
      </c>
      <c r="U14" s="226" t="s">
        <v>84</v>
      </c>
      <c r="V14" s="245" t="s">
        <v>85</v>
      </c>
      <c r="W14" s="233">
        <v>68</v>
      </c>
      <c r="X14" s="261">
        <v>68</v>
      </c>
      <c r="Y14" s="233"/>
      <c r="Z14" s="283" t="s">
        <v>930</v>
      </c>
      <c r="AA14" s="244"/>
    </row>
    <row r="15" spans="1:27" ht="80.099999999999994" customHeight="1">
      <c r="A15" s="292">
        <v>11</v>
      </c>
      <c r="B15" s="305" t="s">
        <v>1755</v>
      </c>
      <c r="C15" s="306" t="s">
        <v>997</v>
      </c>
      <c r="D15" s="307" t="s">
        <v>1834</v>
      </c>
      <c r="E15" s="282" t="s">
        <v>1835</v>
      </c>
      <c r="F15" s="274" t="s">
        <v>1836</v>
      </c>
      <c r="G15" s="308" t="s">
        <v>1837</v>
      </c>
      <c r="H15" s="308" t="s">
        <v>1838</v>
      </c>
      <c r="I15" s="321">
        <v>120</v>
      </c>
      <c r="J15" s="310">
        <v>0</v>
      </c>
      <c r="K15" s="311">
        <v>35</v>
      </c>
      <c r="L15" s="311">
        <v>20</v>
      </c>
      <c r="M15" s="308">
        <v>65</v>
      </c>
      <c r="N15" s="312"/>
      <c r="O15" s="313"/>
      <c r="P15" s="309" t="s">
        <v>67</v>
      </c>
      <c r="Q15" s="314"/>
      <c r="R15" s="282" t="s">
        <v>1839</v>
      </c>
      <c r="S15" s="282" t="s">
        <v>82</v>
      </c>
      <c r="T15" s="315" t="s">
        <v>83</v>
      </c>
      <c r="U15" s="316" t="s">
        <v>84</v>
      </c>
      <c r="V15" s="310" t="s">
        <v>85</v>
      </c>
      <c r="W15" s="317">
        <v>580</v>
      </c>
      <c r="X15" s="317">
        <v>580</v>
      </c>
      <c r="Y15" s="318" t="s">
        <v>945</v>
      </c>
      <c r="Z15" s="282" t="s">
        <v>1840</v>
      </c>
      <c r="AA15" s="244"/>
    </row>
    <row r="16" spans="1:27" ht="80.099999999999994" customHeight="1">
      <c r="A16" s="292">
        <v>12</v>
      </c>
      <c r="B16" s="293" t="s">
        <v>1755</v>
      </c>
      <c r="C16" s="262" t="s">
        <v>997</v>
      </c>
      <c r="D16" s="263" t="s">
        <v>1841</v>
      </c>
      <c r="E16" s="264" t="s">
        <v>1842</v>
      </c>
      <c r="F16" s="265" t="s">
        <v>1843</v>
      </c>
      <c r="G16" s="266" t="s">
        <v>1844</v>
      </c>
      <c r="H16" s="266" t="s">
        <v>1845</v>
      </c>
      <c r="I16" s="321">
        <v>45</v>
      </c>
      <c r="J16" s="268">
        <v>0</v>
      </c>
      <c r="K16" s="269">
        <v>20</v>
      </c>
      <c r="L16" s="269">
        <v>10</v>
      </c>
      <c r="M16" s="266">
        <v>15</v>
      </c>
      <c r="N16" s="253"/>
      <c r="O16" s="232"/>
      <c r="P16" s="267" t="s">
        <v>67</v>
      </c>
      <c r="Q16" s="268" t="s">
        <v>1141</v>
      </c>
      <c r="R16" s="264" t="s">
        <v>1846</v>
      </c>
      <c r="S16" s="264" t="s">
        <v>82</v>
      </c>
      <c r="T16" s="288" t="s">
        <v>929</v>
      </c>
      <c r="U16" s="273" t="s">
        <v>84</v>
      </c>
      <c r="V16" s="268" t="s">
        <v>85</v>
      </c>
      <c r="W16" s="264">
        <v>160</v>
      </c>
      <c r="X16" s="272">
        <v>150</v>
      </c>
      <c r="Y16" s="264">
        <v>10</v>
      </c>
      <c r="Z16" s="264" t="s">
        <v>1847</v>
      </c>
      <c r="AA16" s="244"/>
    </row>
    <row r="17" spans="1:26" ht="80.099999999999994" customHeight="1">
      <c r="A17" s="292">
        <v>13</v>
      </c>
      <c r="B17" s="228" t="s">
        <v>1755</v>
      </c>
      <c r="C17" s="254" t="s">
        <v>997</v>
      </c>
      <c r="D17" s="232" t="s">
        <v>1848</v>
      </c>
      <c r="E17" s="233" t="s">
        <v>1849</v>
      </c>
      <c r="F17" s="234" t="s">
        <v>1850</v>
      </c>
      <c r="G17" s="233" t="s">
        <v>1851</v>
      </c>
      <c r="H17" s="235" t="s">
        <v>1852</v>
      </c>
      <c r="I17" s="321">
        <v>200</v>
      </c>
      <c r="J17" s="245">
        <v>40</v>
      </c>
      <c r="K17" s="246">
        <v>100</v>
      </c>
      <c r="L17" s="246">
        <v>30</v>
      </c>
      <c r="M17" s="235">
        <v>30</v>
      </c>
      <c r="N17" s="253" t="s">
        <v>1853</v>
      </c>
      <c r="O17" s="232" t="s">
        <v>1854</v>
      </c>
      <c r="P17" s="236" t="s">
        <v>67</v>
      </c>
      <c r="Q17" s="245" t="s">
        <v>67</v>
      </c>
      <c r="R17" s="233" t="s">
        <v>1855</v>
      </c>
      <c r="S17" s="233" t="s">
        <v>82</v>
      </c>
      <c r="T17" s="285" t="s">
        <v>95</v>
      </c>
      <c r="U17" s="226" t="s">
        <v>84</v>
      </c>
      <c r="V17" s="245" t="s">
        <v>85</v>
      </c>
      <c r="W17" s="233">
        <v>6</v>
      </c>
      <c r="X17" s="233">
        <v>5</v>
      </c>
      <c r="Y17" s="233">
        <v>1</v>
      </c>
      <c r="Z17" s="233" t="s">
        <v>1024</v>
      </c>
    </row>
    <row r="18" spans="1:26" ht="80.099999999999994" customHeight="1">
      <c r="A18" s="292">
        <v>14</v>
      </c>
      <c r="B18" s="293" t="s">
        <v>1755</v>
      </c>
      <c r="C18" s="262" t="s">
        <v>997</v>
      </c>
      <c r="D18" s="263" t="s">
        <v>1856</v>
      </c>
      <c r="E18" s="264" t="s">
        <v>1857</v>
      </c>
      <c r="F18" s="274" t="s">
        <v>1858</v>
      </c>
      <c r="G18" s="266" t="s">
        <v>1859</v>
      </c>
      <c r="H18" s="266" t="s">
        <v>1860</v>
      </c>
      <c r="I18" s="321">
        <v>50</v>
      </c>
      <c r="J18" s="268">
        <v>0</v>
      </c>
      <c r="K18" s="269">
        <v>30</v>
      </c>
      <c r="L18" s="269">
        <v>20</v>
      </c>
      <c r="M18" s="266" t="s">
        <v>952</v>
      </c>
      <c r="N18" s="270"/>
      <c r="O18" s="271"/>
      <c r="P18" s="267" t="s">
        <v>105</v>
      </c>
      <c r="Q18" s="290"/>
      <c r="R18" s="264" t="s">
        <v>1861</v>
      </c>
      <c r="S18" s="264" t="s">
        <v>82</v>
      </c>
      <c r="T18" s="288" t="s">
        <v>929</v>
      </c>
      <c r="U18" s="273" t="s">
        <v>84</v>
      </c>
      <c r="V18" s="268" t="s">
        <v>85</v>
      </c>
      <c r="W18" s="264">
        <v>20</v>
      </c>
      <c r="X18" s="264">
        <v>18</v>
      </c>
      <c r="Y18" s="272">
        <v>2</v>
      </c>
      <c r="Z18" s="264" t="s">
        <v>1862</v>
      </c>
    </row>
    <row r="19" spans="1:26" ht="80.099999999999994" customHeight="1">
      <c r="A19" s="292">
        <v>15</v>
      </c>
      <c r="B19" s="294" t="s">
        <v>1755</v>
      </c>
      <c r="C19" s="295" t="s">
        <v>1040</v>
      </c>
      <c r="D19" s="296" t="s">
        <v>1863</v>
      </c>
      <c r="E19" s="284" t="s">
        <v>1864</v>
      </c>
      <c r="F19" s="297" t="s">
        <v>1865</v>
      </c>
      <c r="G19" s="284" t="s">
        <v>1866</v>
      </c>
      <c r="H19" s="298" t="s">
        <v>1867</v>
      </c>
      <c r="I19" s="321">
        <v>45</v>
      </c>
      <c r="J19" s="300"/>
      <c r="K19" s="301">
        <v>20</v>
      </c>
      <c r="L19" s="301">
        <v>10</v>
      </c>
      <c r="M19" s="298">
        <v>15</v>
      </c>
      <c r="N19" s="302"/>
      <c r="O19" s="296"/>
      <c r="P19" s="299" t="s">
        <v>167</v>
      </c>
      <c r="Q19" s="296" t="s">
        <v>167</v>
      </c>
      <c r="R19" s="284" t="s">
        <v>1011</v>
      </c>
      <c r="S19" s="284" t="s">
        <v>82</v>
      </c>
      <c r="T19" s="303" t="s">
        <v>929</v>
      </c>
      <c r="U19" s="304" t="s">
        <v>84</v>
      </c>
      <c r="V19" s="300" t="s">
        <v>1064</v>
      </c>
      <c r="W19" s="284">
        <v>20</v>
      </c>
      <c r="X19" s="284">
        <v>15</v>
      </c>
      <c r="Y19" s="284">
        <v>5</v>
      </c>
      <c r="Z19" s="284" t="s">
        <v>938</v>
      </c>
    </row>
    <row r="20" spans="1:26" ht="80.099999999999994" customHeight="1">
      <c r="A20" s="292">
        <v>16</v>
      </c>
      <c r="B20" s="228" t="s">
        <v>1755</v>
      </c>
      <c r="C20" s="254" t="s">
        <v>1040</v>
      </c>
      <c r="D20" s="232" t="s">
        <v>1868</v>
      </c>
      <c r="E20" s="233" t="s">
        <v>1869</v>
      </c>
      <c r="F20" s="234" t="s">
        <v>1870</v>
      </c>
      <c r="G20" s="233" t="s">
        <v>1866</v>
      </c>
      <c r="H20" s="235" t="s">
        <v>1871</v>
      </c>
      <c r="I20" s="321">
        <v>45</v>
      </c>
      <c r="J20" s="245"/>
      <c r="K20" s="246">
        <v>30</v>
      </c>
      <c r="L20" s="246"/>
      <c r="M20" s="235">
        <v>15</v>
      </c>
      <c r="N20" s="253"/>
      <c r="O20" s="232"/>
      <c r="P20" s="236" t="s">
        <v>167</v>
      </c>
      <c r="Q20" s="232" t="s">
        <v>167</v>
      </c>
      <c r="R20" s="233" t="s">
        <v>1872</v>
      </c>
      <c r="S20" s="233" t="s">
        <v>82</v>
      </c>
      <c r="T20" s="285" t="s">
        <v>929</v>
      </c>
      <c r="U20" s="226" t="s">
        <v>84</v>
      </c>
      <c r="V20" s="245" t="s">
        <v>1064</v>
      </c>
      <c r="W20" s="233">
        <v>20</v>
      </c>
      <c r="X20" s="233">
        <v>15</v>
      </c>
      <c r="Y20" s="233">
        <v>5</v>
      </c>
      <c r="Z20" s="233" t="s">
        <v>938</v>
      </c>
    </row>
    <row r="21" spans="1:26" ht="80.099999999999994" customHeight="1">
      <c r="A21" s="292">
        <v>17</v>
      </c>
      <c r="B21" s="228" t="s">
        <v>1755</v>
      </c>
      <c r="C21" s="254" t="s">
        <v>1873</v>
      </c>
      <c r="D21" s="232" t="s">
        <v>1874</v>
      </c>
      <c r="E21" s="233" t="s">
        <v>1875</v>
      </c>
      <c r="F21" s="234" t="s">
        <v>1876</v>
      </c>
      <c r="G21" s="233" t="s">
        <v>1877</v>
      </c>
      <c r="H21" s="235" t="s">
        <v>1878</v>
      </c>
      <c r="I21" s="321">
        <v>275</v>
      </c>
      <c r="J21" s="245">
        <v>0</v>
      </c>
      <c r="K21" s="246">
        <v>10</v>
      </c>
      <c r="L21" s="246">
        <v>265</v>
      </c>
      <c r="M21" s="235">
        <v>0</v>
      </c>
      <c r="N21" s="253"/>
      <c r="O21" s="232"/>
      <c r="P21" s="236" t="s">
        <v>105</v>
      </c>
      <c r="Q21" s="232" t="s">
        <v>105</v>
      </c>
      <c r="R21" s="233" t="s">
        <v>1879</v>
      </c>
      <c r="S21" s="233" t="s">
        <v>82</v>
      </c>
      <c r="T21" s="285" t="s">
        <v>1880</v>
      </c>
      <c r="U21" s="226" t="s">
        <v>84</v>
      </c>
      <c r="V21" s="245" t="s">
        <v>1064</v>
      </c>
      <c r="W21" s="233">
        <v>53</v>
      </c>
      <c r="X21" s="233">
        <v>53</v>
      </c>
      <c r="Y21" s="233">
        <v>0</v>
      </c>
      <c r="Z21" s="233" t="s">
        <v>1881</v>
      </c>
    </row>
    <row r="22" spans="1:26" ht="80.099999999999994" customHeight="1">
      <c r="A22" s="292">
        <v>18</v>
      </c>
      <c r="B22" s="228" t="s">
        <v>1755</v>
      </c>
      <c r="C22" s="254" t="s">
        <v>1873</v>
      </c>
      <c r="D22" s="232" t="s">
        <v>1882</v>
      </c>
      <c r="E22" s="233" t="s">
        <v>1883</v>
      </c>
      <c r="F22" s="234" t="s">
        <v>1884</v>
      </c>
      <c r="G22" s="233" t="s">
        <v>1885</v>
      </c>
      <c r="H22" s="235" t="s">
        <v>1886</v>
      </c>
      <c r="I22" s="321">
        <v>50</v>
      </c>
      <c r="J22" s="245">
        <v>0</v>
      </c>
      <c r="K22" s="246">
        <v>30</v>
      </c>
      <c r="L22" s="246">
        <v>15</v>
      </c>
      <c r="M22" s="235">
        <v>5</v>
      </c>
      <c r="N22" s="253"/>
      <c r="O22" s="232"/>
      <c r="P22" s="236" t="s">
        <v>67</v>
      </c>
      <c r="Q22" s="232" t="s">
        <v>67</v>
      </c>
      <c r="R22" s="233" t="s">
        <v>1887</v>
      </c>
      <c r="S22" s="233" t="s">
        <v>82</v>
      </c>
      <c r="T22" s="285" t="s">
        <v>1880</v>
      </c>
      <c r="U22" s="226" t="s">
        <v>84</v>
      </c>
      <c r="V22" s="245" t="s">
        <v>1047</v>
      </c>
      <c r="W22" s="233">
        <v>2</v>
      </c>
      <c r="X22" s="233">
        <v>2</v>
      </c>
      <c r="Y22" s="233">
        <v>0</v>
      </c>
      <c r="Z22" s="233" t="s">
        <v>1888</v>
      </c>
    </row>
    <row r="23" spans="1:26" ht="80.099999999999994" customHeight="1">
      <c r="A23" s="292">
        <v>19</v>
      </c>
      <c r="B23" s="228" t="s">
        <v>1755</v>
      </c>
      <c r="C23" s="254" t="s">
        <v>1873</v>
      </c>
      <c r="D23" s="232" t="s">
        <v>1889</v>
      </c>
      <c r="E23" s="233" t="s">
        <v>1890</v>
      </c>
      <c r="F23" s="234" t="s">
        <v>1891</v>
      </c>
      <c r="G23" s="233" t="s">
        <v>1877</v>
      </c>
      <c r="H23" s="235" t="s">
        <v>1892</v>
      </c>
      <c r="I23" s="321">
        <v>140</v>
      </c>
      <c r="J23" s="245">
        <v>0</v>
      </c>
      <c r="K23" s="246">
        <v>25</v>
      </c>
      <c r="L23" s="246">
        <v>115</v>
      </c>
      <c r="M23" s="235">
        <v>0</v>
      </c>
      <c r="N23" s="253"/>
      <c r="O23" s="232"/>
      <c r="P23" s="236" t="s">
        <v>67</v>
      </c>
      <c r="Q23" s="232" t="s">
        <v>67</v>
      </c>
      <c r="R23" s="233" t="s">
        <v>1893</v>
      </c>
      <c r="S23" s="233" t="s">
        <v>82</v>
      </c>
      <c r="T23" s="285" t="s">
        <v>1880</v>
      </c>
      <c r="U23" s="226" t="s">
        <v>84</v>
      </c>
      <c r="V23" s="245" t="s">
        <v>1064</v>
      </c>
      <c r="W23" s="233">
        <v>22</v>
      </c>
      <c r="X23" s="233">
        <v>22</v>
      </c>
      <c r="Y23" s="233">
        <v>0</v>
      </c>
      <c r="Z23" s="233" t="s">
        <v>1894</v>
      </c>
    </row>
    <row r="24" spans="1:26" ht="80.099999999999994" customHeight="1">
      <c r="A24" s="292">
        <v>20</v>
      </c>
      <c r="B24" s="228" t="s">
        <v>1755</v>
      </c>
      <c r="C24" s="254" t="s">
        <v>1873</v>
      </c>
      <c r="D24" s="232" t="s">
        <v>1895</v>
      </c>
      <c r="E24" s="233" t="s">
        <v>1896</v>
      </c>
      <c r="F24" s="234" t="s">
        <v>1897</v>
      </c>
      <c r="G24" s="233" t="s">
        <v>1898</v>
      </c>
      <c r="H24" s="235" t="s">
        <v>1899</v>
      </c>
      <c r="I24" s="321">
        <v>95</v>
      </c>
      <c r="J24" s="245">
        <v>0</v>
      </c>
      <c r="K24" s="246">
        <v>0</v>
      </c>
      <c r="L24" s="246">
        <v>25</v>
      </c>
      <c r="M24" s="235">
        <v>70</v>
      </c>
      <c r="N24" s="253"/>
      <c r="O24" s="232"/>
      <c r="P24" s="236" t="s">
        <v>92</v>
      </c>
      <c r="Q24" s="232" t="s">
        <v>92</v>
      </c>
      <c r="R24" s="233" t="s">
        <v>1900</v>
      </c>
      <c r="S24" s="233" t="s">
        <v>82</v>
      </c>
      <c r="T24" s="285" t="s">
        <v>1901</v>
      </c>
      <c r="U24" s="226" t="s">
        <v>84</v>
      </c>
      <c r="V24" s="245" t="s">
        <v>1064</v>
      </c>
      <c r="W24" s="233">
        <v>0</v>
      </c>
      <c r="X24" s="233" t="s">
        <v>1902</v>
      </c>
      <c r="Y24" s="233" t="s">
        <v>1902</v>
      </c>
      <c r="Z24" s="233" t="s">
        <v>1903</v>
      </c>
    </row>
    <row r="25" spans="1:26" ht="80.099999999999994" customHeight="1">
      <c r="A25" s="292">
        <v>21</v>
      </c>
      <c r="B25" s="228" t="s">
        <v>1755</v>
      </c>
      <c r="C25" s="254" t="s">
        <v>1873</v>
      </c>
      <c r="D25" s="232" t="s">
        <v>1904</v>
      </c>
      <c r="E25" s="233" t="s">
        <v>1905</v>
      </c>
      <c r="F25" s="234" t="s">
        <v>1906</v>
      </c>
      <c r="G25" s="233" t="s">
        <v>1907</v>
      </c>
      <c r="H25" s="235" t="s">
        <v>1908</v>
      </c>
      <c r="I25" s="320">
        <v>13.8</v>
      </c>
      <c r="J25" s="245">
        <v>12</v>
      </c>
      <c r="K25" s="246">
        <v>0.9</v>
      </c>
      <c r="L25" s="246">
        <v>0.9</v>
      </c>
      <c r="M25" s="235">
        <v>0</v>
      </c>
      <c r="N25" s="253" t="s">
        <v>927</v>
      </c>
      <c r="O25" s="232" t="s">
        <v>1909</v>
      </c>
      <c r="P25" s="236" t="s">
        <v>67</v>
      </c>
      <c r="Q25" s="232" t="s">
        <v>67</v>
      </c>
      <c r="R25" s="233" t="s">
        <v>1910</v>
      </c>
      <c r="S25" s="233" t="s">
        <v>82</v>
      </c>
      <c r="T25" s="285" t="s">
        <v>83</v>
      </c>
      <c r="U25" s="226" t="s">
        <v>84</v>
      </c>
      <c r="V25" s="245" t="s">
        <v>1064</v>
      </c>
      <c r="W25" s="233">
        <v>20</v>
      </c>
      <c r="X25" s="233">
        <v>19</v>
      </c>
      <c r="Y25" s="233">
        <v>1</v>
      </c>
      <c r="Z25" s="233" t="s">
        <v>1911</v>
      </c>
    </row>
    <row r="26" spans="1:26" ht="80.099999999999994" customHeight="1">
      <c r="A26" s="292">
        <v>22</v>
      </c>
      <c r="B26" s="228" t="s">
        <v>1755</v>
      </c>
      <c r="C26" s="254" t="s">
        <v>1912</v>
      </c>
      <c r="D26" s="232" t="s">
        <v>1913</v>
      </c>
      <c r="E26" s="233" t="s">
        <v>1914</v>
      </c>
      <c r="F26" s="234" t="s">
        <v>1915</v>
      </c>
      <c r="G26" s="233" t="s">
        <v>1916</v>
      </c>
      <c r="H26" s="235" t="s">
        <v>1917</v>
      </c>
      <c r="I26" s="321">
        <v>310</v>
      </c>
      <c r="J26" s="245"/>
      <c r="K26" s="246">
        <v>20</v>
      </c>
      <c r="L26" s="246">
        <v>290</v>
      </c>
      <c r="M26" s="235"/>
      <c r="N26" s="253"/>
      <c r="O26" s="232"/>
      <c r="P26" s="236" t="s">
        <v>909</v>
      </c>
      <c r="Q26" s="232" t="s">
        <v>909</v>
      </c>
      <c r="R26" s="233" t="s">
        <v>1918</v>
      </c>
      <c r="S26" s="233" t="s">
        <v>82</v>
      </c>
      <c r="T26" s="285" t="s">
        <v>1103</v>
      </c>
      <c r="U26" s="226" t="s">
        <v>84</v>
      </c>
      <c r="V26" s="245" t="s">
        <v>1064</v>
      </c>
      <c r="W26" s="233">
        <v>0</v>
      </c>
      <c r="X26" s="233" t="s">
        <v>1919</v>
      </c>
      <c r="Y26" s="233" t="s">
        <v>1920</v>
      </c>
      <c r="Z26" s="233" t="s">
        <v>1648</v>
      </c>
    </row>
    <row r="27" spans="1:26" ht="80.099999999999994" customHeight="1">
      <c r="A27" s="292">
        <v>23</v>
      </c>
      <c r="B27" s="228" t="s">
        <v>1755</v>
      </c>
      <c r="C27" s="254" t="s">
        <v>1921</v>
      </c>
      <c r="D27" s="232" t="s">
        <v>1922</v>
      </c>
      <c r="E27" s="233" t="s">
        <v>1923</v>
      </c>
      <c r="F27" s="234" t="s">
        <v>1924</v>
      </c>
      <c r="G27" s="233" t="s">
        <v>1925</v>
      </c>
      <c r="H27" s="235" t="s">
        <v>1809</v>
      </c>
      <c r="I27" s="321">
        <v>405</v>
      </c>
      <c r="J27" s="245"/>
      <c r="K27" s="246">
        <v>45</v>
      </c>
      <c r="L27" s="246">
        <v>260</v>
      </c>
      <c r="M27" s="235">
        <v>100</v>
      </c>
      <c r="N27" s="253"/>
      <c r="O27" s="232"/>
      <c r="P27" s="236" t="s">
        <v>67</v>
      </c>
      <c r="Q27" s="245" t="s">
        <v>936</v>
      </c>
      <c r="R27" s="233" t="s">
        <v>1926</v>
      </c>
      <c r="S27" s="233" t="s">
        <v>82</v>
      </c>
      <c r="T27" s="285" t="s">
        <v>1103</v>
      </c>
      <c r="U27" s="226" t="s">
        <v>1927</v>
      </c>
      <c r="V27" s="245" t="s">
        <v>1928</v>
      </c>
      <c r="W27" s="233">
        <v>161</v>
      </c>
      <c r="X27" s="233">
        <v>161</v>
      </c>
      <c r="Y27" s="233">
        <v>0</v>
      </c>
      <c r="Z27" s="233" t="s">
        <v>1929</v>
      </c>
    </row>
    <row r="28" spans="1:26" ht="80.099999999999994" customHeight="1">
      <c r="A28" s="292">
        <v>24</v>
      </c>
      <c r="B28" s="228" t="s">
        <v>1755</v>
      </c>
      <c r="C28" s="275" t="s">
        <v>1930</v>
      </c>
      <c r="D28" s="276" t="s">
        <v>1931</v>
      </c>
      <c r="E28" s="233" t="s">
        <v>1932</v>
      </c>
      <c r="F28" s="277" t="s">
        <v>1933</v>
      </c>
      <c r="G28" s="233" t="s">
        <v>1934</v>
      </c>
      <c r="H28" s="235" t="s">
        <v>1935</v>
      </c>
      <c r="I28" s="321">
        <v>65</v>
      </c>
      <c r="J28" s="278"/>
      <c r="K28" s="279">
        <v>20</v>
      </c>
      <c r="L28" s="279">
        <v>45</v>
      </c>
      <c r="M28" s="280"/>
      <c r="N28" s="281"/>
      <c r="O28" s="276"/>
      <c r="P28" s="236" t="s">
        <v>167</v>
      </c>
      <c r="Q28" s="232" t="s">
        <v>167</v>
      </c>
      <c r="R28" s="233" t="s">
        <v>1242</v>
      </c>
      <c r="S28" s="233" t="s">
        <v>82</v>
      </c>
      <c r="T28" s="285" t="s">
        <v>1103</v>
      </c>
      <c r="U28" s="226" t="s">
        <v>1936</v>
      </c>
      <c r="V28" s="245" t="s">
        <v>1047</v>
      </c>
      <c r="W28" s="233">
        <v>8</v>
      </c>
      <c r="X28" s="233">
        <v>6</v>
      </c>
      <c r="Y28" s="233">
        <v>2</v>
      </c>
      <c r="Z28" s="233" t="s">
        <v>930</v>
      </c>
    </row>
    <row r="29" spans="1:26" ht="80.099999999999994" customHeight="1">
      <c r="A29" s="292">
        <v>25</v>
      </c>
      <c r="B29" s="228" t="s">
        <v>1755</v>
      </c>
      <c r="C29" s="254" t="s">
        <v>1937</v>
      </c>
      <c r="D29" s="232" t="s">
        <v>1938</v>
      </c>
      <c r="E29" s="233" t="s">
        <v>1939</v>
      </c>
      <c r="F29" s="234" t="s">
        <v>1940</v>
      </c>
      <c r="G29" s="233" t="s">
        <v>1941</v>
      </c>
      <c r="H29" s="235" t="s">
        <v>1086</v>
      </c>
      <c r="I29" s="321">
        <v>290</v>
      </c>
      <c r="J29" s="245"/>
      <c r="K29" s="246">
        <v>40</v>
      </c>
      <c r="L29" s="246">
        <v>250</v>
      </c>
      <c r="M29" s="235"/>
      <c r="N29" s="253"/>
      <c r="O29" s="232"/>
      <c r="P29" s="236" t="s">
        <v>67</v>
      </c>
      <c r="Q29" s="232" t="s">
        <v>936</v>
      </c>
      <c r="R29" s="233" t="s">
        <v>1942</v>
      </c>
      <c r="S29" s="233" t="s">
        <v>82</v>
      </c>
      <c r="T29" s="285" t="s">
        <v>1103</v>
      </c>
      <c r="U29" s="226" t="s">
        <v>84</v>
      </c>
      <c r="V29" s="245" t="s">
        <v>85</v>
      </c>
      <c r="W29" s="233">
        <v>150</v>
      </c>
      <c r="X29" s="233">
        <v>150</v>
      </c>
      <c r="Y29" s="233"/>
      <c r="Z29" s="233" t="s">
        <v>1943</v>
      </c>
    </row>
    <row r="30" spans="1:26">
      <c r="A30" s="230"/>
      <c r="B30" s="230"/>
      <c r="C30" s="230"/>
      <c r="D30" s="224"/>
      <c r="E30" s="224"/>
      <c r="F30" s="224"/>
      <c r="G30" s="224"/>
      <c r="H30" s="224"/>
      <c r="I30" s="224"/>
      <c r="J30" s="224"/>
      <c r="K30" s="224"/>
      <c r="L30" s="224"/>
      <c r="M30" s="224"/>
      <c r="N30" s="224"/>
      <c r="O30" s="224"/>
      <c r="P30" s="224"/>
      <c r="Q30" s="224"/>
      <c r="R30" s="224"/>
      <c r="S30" s="224"/>
      <c r="T30" s="224"/>
      <c r="U30" s="224"/>
      <c r="V30" s="224"/>
      <c r="W30" s="224"/>
      <c r="X30" s="224"/>
      <c r="Y30" s="224"/>
      <c r="Z30" s="230"/>
    </row>
    <row r="31" spans="1:26">
      <c r="A31" s="230"/>
      <c r="B31" s="230"/>
      <c r="C31" s="230"/>
      <c r="D31" s="224"/>
      <c r="E31" s="224"/>
      <c r="F31" s="224"/>
      <c r="G31" s="224"/>
      <c r="H31" s="224"/>
      <c r="I31" s="224"/>
      <c r="J31" s="224"/>
      <c r="K31" s="224"/>
      <c r="L31" s="224"/>
      <c r="M31" s="224"/>
      <c r="N31" s="224"/>
      <c r="O31" s="224"/>
      <c r="P31" s="224"/>
      <c r="Q31" s="224"/>
      <c r="R31" s="224"/>
      <c r="S31" s="224"/>
      <c r="T31" s="224"/>
      <c r="U31" s="224"/>
      <c r="V31" s="224"/>
      <c r="W31" s="224"/>
      <c r="X31" s="224"/>
      <c r="Y31" s="224"/>
      <c r="Z31" s="230"/>
    </row>
    <row r="32" spans="1:26">
      <c r="A32" s="230"/>
      <c r="B32" s="230"/>
      <c r="C32" s="230"/>
      <c r="D32" s="224"/>
      <c r="E32" s="224"/>
      <c r="F32" s="224"/>
      <c r="G32" s="224"/>
      <c r="H32" s="224"/>
      <c r="I32" s="322"/>
      <c r="J32" s="224"/>
      <c r="K32" s="224"/>
      <c r="L32" s="224"/>
      <c r="M32" s="224"/>
      <c r="N32" s="224"/>
      <c r="O32" s="224"/>
      <c r="P32" s="224"/>
      <c r="Q32" s="224"/>
      <c r="R32" s="224"/>
      <c r="S32" s="224"/>
      <c r="T32" s="224"/>
      <c r="U32" s="224"/>
      <c r="V32" s="224"/>
      <c r="W32" s="224"/>
      <c r="X32" s="224"/>
      <c r="Y32" s="224"/>
      <c r="Z32" s="230"/>
    </row>
    <row r="33" spans="1:26">
      <c r="A33" s="230"/>
      <c r="B33" s="230"/>
      <c r="C33" s="230"/>
      <c r="D33" s="224"/>
      <c r="E33" s="224"/>
      <c r="F33" s="224"/>
      <c r="G33" s="224"/>
      <c r="H33" s="224"/>
      <c r="I33" s="224"/>
      <c r="J33" s="224"/>
      <c r="K33" s="224"/>
      <c r="L33" s="224"/>
      <c r="M33" s="224"/>
      <c r="N33" s="224"/>
      <c r="O33" s="224"/>
      <c r="P33" s="224"/>
      <c r="Q33" s="224"/>
      <c r="R33" s="224"/>
      <c r="S33" s="224"/>
      <c r="T33" s="224"/>
      <c r="U33" s="224"/>
      <c r="V33" s="224"/>
      <c r="W33" s="224"/>
      <c r="X33" s="224"/>
      <c r="Y33" s="224"/>
      <c r="Z33" s="230"/>
    </row>
    <row r="34" spans="1:26">
      <c r="A34" s="230"/>
      <c r="B34" s="230"/>
      <c r="C34" s="230"/>
      <c r="D34" s="224"/>
      <c r="E34" s="224"/>
      <c r="F34" s="224"/>
      <c r="G34" s="224"/>
      <c r="H34" s="224"/>
      <c r="I34" s="224"/>
      <c r="J34" s="224"/>
      <c r="K34" s="224"/>
      <c r="L34" s="224"/>
      <c r="M34" s="224"/>
      <c r="N34" s="224"/>
      <c r="O34" s="224"/>
      <c r="P34" s="224"/>
      <c r="Q34" s="224"/>
      <c r="R34" s="224"/>
      <c r="S34" s="224"/>
      <c r="T34" s="224"/>
      <c r="U34" s="224"/>
      <c r="V34" s="224"/>
      <c r="W34" s="224"/>
      <c r="X34" s="224"/>
      <c r="Y34" s="224"/>
      <c r="Z34" s="230"/>
    </row>
    <row r="35" spans="1:26">
      <c r="A35" s="230"/>
      <c r="B35" s="230"/>
      <c r="C35" s="230"/>
      <c r="D35" s="224"/>
      <c r="E35" s="224"/>
      <c r="F35" s="224"/>
      <c r="G35" s="224"/>
      <c r="H35" s="224"/>
      <c r="I35" s="224"/>
      <c r="J35" s="224"/>
      <c r="K35" s="224"/>
      <c r="L35" s="224"/>
      <c r="M35" s="224"/>
      <c r="N35" s="224"/>
      <c r="O35" s="224"/>
      <c r="P35" s="224"/>
      <c r="Q35" s="224"/>
      <c r="R35" s="224"/>
      <c r="S35" s="224"/>
      <c r="T35" s="224"/>
      <c r="U35" s="224"/>
      <c r="V35" s="224"/>
      <c r="W35" s="224"/>
      <c r="X35" s="224"/>
      <c r="Y35" s="224"/>
      <c r="Z35" s="230"/>
    </row>
    <row r="36" spans="1:26">
      <c r="A36" s="230"/>
      <c r="B36" s="230"/>
      <c r="C36" s="230"/>
      <c r="D36" s="224"/>
      <c r="E36" s="224"/>
      <c r="F36" s="224"/>
      <c r="G36" s="224"/>
      <c r="H36" s="224"/>
      <c r="I36" s="224"/>
      <c r="J36" s="224"/>
      <c r="K36" s="224"/>
      <c r="L36" s="224"/>
      <c r="M36" s="224"/>
      <c r="N36" s="224"/>
      <c r="O36" s="224"/>
      <c r="P36" s="224"/>
      <c r="Q36" s="224"/>
      <c r="R36" s="224"/>
      <c r="S36" s="224"/>
      <c r="T36" s="224"/>
      <c r="U36" s="224"/>
      <c r="V36" s="224"/>
      <c r="W36" s="224"/>
      <c r="X36" s="224"/>
      <c r="Y36" s="224"/>
      <c r="Z36" s="230"/>
    </row>
    <row r="37" spans="1:26">
      <c r="A37" s="230"/>
      <c r="B37" s="230"/>
      <c r="C37" s="230"/>
      <c r="D37" s="224"/>
      <c r="E37" s="224"/>
      <c r="F37" s="224"/>
      <c r="G37" s="224"/>
      <c r="H37" s="224"/>
      <c r="I37" s="224"/>
      <c r="J37" s="224"/>
      <c r="K37" s="224"/>
      <c r="L37" s="224"/>
      <c r="M37" s="224"/>
      <c r="N37" s="224"/>
      <c r="O37" s="224"/>
      <c r="P37" s="224"/>
      <c r="Q37" s="224"/>
      <c r="R37" s="224"/>
      <c r="S37" s="224"/>
      <c r="T37" s="224"/>
      <c r="U37" s="224"/>
      <c r="V37" s="224"/>
      <c r="W37" s="224"/>
      <c r="X37" s="224"/>
      <c r="Y37" s="224"/>
      <c r="Z37" s="230"/>
    </row>
    <row r="38" spans="1:26">
      <c r="A38" s="230"/>
      <c r="B38" s="230"/>
      <c r="C38" s="230"/>
      <c r="D38" s="224"/>
      <c r="E38" s="224"/>
      <c r="F38" s="224"/>
      <c r="G38" s="224"/>
      <c r="H38" s="224"/>
      <c r="I38" s="224"/>
      <c r="J38" s="224"/>
      <c r="K38" s="224"/>
      <c r="L38" s="224"/>
      <c r="M38" s="224"/>
      <c r="N38" s="224"/>
      <c r="O38" s="224"/>
      <c r="P38" s="224"/>
      <c r="Q38" s="224"/>
      <c r="R38" s="224"/>
      <c r="S38" s="224"/>
      <c r="T38" s="224"/>
      <c r="U38" s="224"/>
      <c r="V38" s="224"/>
      <c r="W38" s="224"/>
      <c r="X38" s="224"/>
      <c r="Y38" s="224"/>
      <c r="Z38" s="230"/>
    </row>
    <row r="39" spans="1:26">
      <c r="A39" s="230"/>
      <c r="B39" s="230"/>
      <c r="C39" s="230"/>
      <c r="D39" s="224"/>
      <c r="E39" s="224"/>
      <c r="F39" s="224"/>
      <c r="G39" s="224"/>
      <c r="H39" s="224"/>
      <c r="I39" s="224"/>
      <c r="J39" s="224"/>
      <c r="K39" s="224"/>
      <c r="L39" s="224"/>
      <c r="M39" s="224"/>
      <c r="N39" s="224"/>
      <c r="O39" s="224"/>
      <c r="P39" s="224"/>
      <c r="Q39" s="224"/>
      <c r="R39" s="224"/>
      <c r="S39" s="224"/>
      <c r="T39" s="224"/>
      <c r="U39" s="224"/>
      <c r="V39" s="224"/>
      <c r="W39" s="224"/>
      <c r="X39" s="224"/>
      <c r="Y39" s="224"/>
      <c r="Z39" s="230"/>
    </row>
    <row r="40" spans="1:26">
      <c r="A40" s="230"/>
      <c r="B40" s="230"/>
      <c r="C40" s="230"/>
      <c r="D40" s="224"/>
      <c r="E40" s="224"/>
      <c r="F40" s="224"/>
      <c r="G40" s="224"/>
      <c r="H40" s="224"/>
      <c r="I40" s="224"/>
      <c r="J40" s="224"/>
      <c r="K40" s="224"/>
      <c r="L40" s="224"/>
      <c r="M40" s="224"/>
      <c r="N40" s="224"/>
      <c r="O40" s="224"/>
      <c r="P40" s="224"/>
      <c r="Q40" s="224"/>
      <c r="R40" s="224"/>
      <c r="S40" s="224"/>
      <c r="T40" s="224"/>
      <c r="U40" s="224"/>
      <c r="V40" s="224"/>
      <c r="W40" s="224"/>
      <c r="X40" s="224"/>
      <c r="Y40" s="224"/>
      <c r="Z40" s="230"/>
    </row>
    <row r="41" spans="1:26">
      <c r="A41" s="230"/>
      <c r="B41" s="230"/>
      <c r="C41" s="230"/>
      <c r="D41" s="224"/>
      <c r="E41" s="224"/>
      <c r="F41" s="224"/>
      <c r="G41" s="224"/>
      <c r="H41" s="224"/>
      <c r="I41" s="224"/>
      <c r="J41" s="224"/>
      <c r="K41" s="224"/>
      <c r="L41" s="224"/>
      <c r="M41" s="224"/>
      <c r="N41" s="224"/>
      <c r="O41" s="224"/>
      <c r="P41" s="224"/>
      <c r="Q41" s="224"/>
      <c r="R41" s="224"/>
      <c r="S41" s="224"/>
      <c r="T41" s="224"/>
      <c r="U41" s="224"/>
      <c r="V41" s="224"/>
      <c r="W41" s="224"/>
      <c r="X41" s="224"/>
      <c r="Y41" s="224"/>
      <c r="Z41" s="230"/>
    </row>
    <row r="42" spans="1:26">
      <c r="A42" s="230"/>
      <c r="B42" s="230"/>
      <c r="C42" s="230"/>
      <c r="D42" s="224"/>
      <c r="E42" s="224"/>
      <c r="F42" s="224"/>
      <c r="G42" s="224"/>
      <c r="H42" s="224"/>
      <c r="I42" s="224"/>
      <c r="J42" s="224"/>
      <c r="K42" s="224"/>
      <c r="L42" s="224"/>
      <c r="M42" s="224"/>
      <c r="N42" s="224"/>
      <c r="O42" s="224"/>
      <c r="P42" s="224"/>
      <c r="Q42" s="224"/>
      <c r="R42" s="224"/>
      <c r="S42" s="224"/>
      <c r="T42" s="224"/>
      <c r="U42" s="224"/>
      <c r="V42" s="224"/>
      <c r="W42" s="224"/>
      <c r="X42" s="224"/>
      <c r="Y42" s="224"/>
      <c r="Z42" s="230"/>
    </row>
    <row r="43" spans="1:26">
      <c r="A43" s="230"/>
      <c r="B43" s="230"/>
      <c r="C43" s="230"/>
      <c r="D43" s="224"/>
      <c r="E43" s="224"/>
      <c r="F43" s="224"/>
      <c r="G43" s="224"/>
      <c r="H43" s="224"/>
      <c r="I43" s="224"/>
      <c r="J43" s="224"/>
      <c r="K43" s="224"/>
      <c r="L43" s="224"/>
      <c r="M43" s="224"/>
      <c r="N43" s="224"/>
      <c r="O43" s="224"/>
      <c r="P43" s="224"/>
      <c r="Q43" s="224"/>
      <c r="R43" s="224"/>
      <c r="S43" s="224"/>
      <c r="T43" s="224"/>
      <c r="U43" s="224"/>
      <c r="V43" s="224"/>
      <c r="W43" s="224"/>
      <c r="X43" s="224"/>
      <c r="Y43" s="224"/>
      <c r="Z43" s="230"/>
    </row>
    <row r="44" spans="1:26">
      <c r="A44" s="230"/>
      <c r="B44" s="230"/>
      <c r="C44" s="230"/>
      <c r="D44" s="224"/>
      <c r="E44" s="224"/>
      <c r="F44" s="224"/>
      <c r="G44" s="224"/>
      <c r="H44" s="224"/>
      <c r="I44" s="224"/>
      <c r="J44" s="224"/>
      <c r="K44" s="224"/>
      <c r="L44" s="224"/>
      <c r="M44" s="224"/>
      <c r="N44" s="224"/>
      <c r="O44" s="224"/>
      <c r="P44" s="224"/>
      <c r="Q44" s="224"/>
      <c r="R44" s="224"/>
      <c r="S44" s="224"/>
      <c r="T44" s="224"/>
      <c r="U44" s="224"/>
      <c r="V44" s="224"/>
      <c r="W44" s="224"/>
      <c r="X44" s="224"/>
      <c r="Y44" s="224"/>
      <c r="Z44" s="230"/>
    </row>
    <row r="45" spans="1:26">
      <c r="A45" s="230"/>
      <c r="B45" s="230"/>
      <c r="C45" s="230"/>
      <c r="D45" s="224"/>
      <c r="E45" s="224"/>
      <c r="F45" s="224"/>
      <c r="G45" s="224"/>
      <c r="H45" s="224"/>
      <c r="I45" s="224"/>
      <c r="J45" s="224"/>
      <c r="K45" s="224"/>
      <c r="L45" s="224"/>
      <c r="M45" s="224"/>
      <c r="N45" s="224"/>
      <c r="O45" s="224"/>
      <c r="P45" s="224"/>
      <c r="Q45" s="224"/>
      <c r="R45" s="224"/>
      <c r="S45" s="224"/>
      <c r="T45" s="224"/>
      <c r="U45" s="224"/>
      <c r="V45" s="224"/>
      <c r="W45" s="224"/>
      <c r="X45" s="224"/>
      <c r="Y45" s="224"/>
      <c r="Z45" s="230"/>
    </row>
  </sheetData>
  <mergeCells count="4">
    <mergeCell ref="N3:O3"/>
    <mergeCell ref="A1:Y2"/>
    <mergeCell ref="I3:M3"/>
    <mergeCell ref="W3:Y3"/>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7"/>
  <sheetViews>
    <sheetView workbookViewId="0">
      <selection activeCell="G3" sqref="G1:G1048576"/>
    </sheetView>
  </sheetViews>
  <sheetFormatPr defaultColWidth="8.88671875" defaultRowHeight="13.5"/>
  <cols>
    <col min="1" max="1" width="5.109375" style="79" customWidth="1"/>
    <col min="2" max="2" width="12.33203125" style="79" customWidth="1"/>
    <col min="3" max="3" width="9.109375" style="79" customWidth="1"/>
    <col min="4" max="4" width="17.6640625" style="80" customWidth="1"/>
    <col min="5" max="5" width="12.109375" style="80" customWidth="1"/>
    <col min="6" max="6" width="42" style="80" customWidth="1"/>
    <col min="7" max="7" width="25.109375" style="80" customWidth="1"/>
    <col min="8" max="8" width="12.21875" style="80" customWidth="1"/>
    <col min="9" max="9" width="14.21875" style="80" customWidth="1"/>
    <col min="10" max="13" width="7.6640625" style="80" customWidth="1"/>
    <col min="14" max="14" width="10.21875" style="80" customWidth="1"/>
    <col min="15" max="15" width="30.21875" style="80" customWidth="1"/>
    <col min="16" max="18" width="12.77734375" style="80" customWidth="1"/>
    <col min="19" max="19" width="12.21875" style="80" customWidth="1"/>
    <col min="20" max="20" width="13.33203125" style="80" customWidth="1"/>
    <col min="21" max="21" width="12.77734375" style="80" customWidth="1"/>
    <col min="22" max="26" width="12.21875" style="80" customWidth="1"/>
    <col min="27" max="16384" width="8.88671875" style="80"/>
  </cols>
  <sheetData>
    <row r="1" spans="1:27">
      <c r="A1" s="1626" t="s">
        <v>894</v>
      </c>
      <c r="B1" s="1626"/>
      <c r="C1" s="1626"/>
      <c r="D1" s="1626"/>
      <c r="E1" s="1626"/>
      <c r="F1" s="1626"/>
      <c r="G1" s="1626"/>
      <c r="H1" s="1626"/>
      <c r="I1" s="1626"/>
      <c r="J1" s="1626"/>
      <c r="K1" s="1626"/>
      <c r="L1" s="1626"/>
      <c r="M1" s="1626"/>
      <c r="N1" s="1626"/>
      <c r="O1" s="1626"/>
      <c r="P1" s="1626"/>
      <c r="Q1" s="1626"/>
      <c r="R1" s="1626"/>
      <c r="S1" s="1626"/>
      <c r="T1" s="1626"/>
      <c r="U1" s="1626"/>
      <c r="V1" s="1626"/>
      <c r="W1" s="1626"/>
      <c r="X1" s="1626"/>
      <c r="Y1" s="1626"/>
    </row>
    <row r="2" spans="1:27" s="78" customFormat="1" ht="14.25" thickBot="1">
      <c r="A2" s="1626"/>
      <c r="B2" s="1626"/>
      <c r="C2" s="1626"/>
      <c r="D2" s="1626"/>
      <c r="E2" s="1626"/>
      <c r="F2" s="1626"/>
      <c r="G2" s="1626"/>
      <c r="H2" s="1626"/>
      <c r="I2" s="1626"/>
      <c r="J2" s="1626"/>
      <c r="K2" s="1626"/>
      <c r="L2" s="1626"/>
      <c r="M2" s="1626"/>
      <c r="N2" s="1626"/>
      <c r="O2" s="1626"/>
      <c r="P2" s="1626"/>
      <c r="Q2" s="1626"/>
      <c r="R2" s="1626"/>
      <c r="S2" s="1626"/>
      <c r="T2" s="1626"/>
      <c r="U2" s="1626"/>
      <c r="V2" s="1626"/>
      <c r="W2" s="1626"/>
      <c r="X2" s="1626"/>
      <c r="Y2" s="1626"/>
    </row>
    <row r="3" spans="1:27" s="78" customFormat="1" ht="17.25" thickBot="1">
      <c r="A3" s="114"/>
      <c r="B3" s="114"/>
      <c r="C3" s="114"/>
      <c r="D3" s="113"/>
      <c r="E3" s="113"/>
      <c r="F3" s="113"/>
      <c r="G3" s="113"/>
      <c r="H3" s="113"/>
      <c r="I3" s="1612"/>
      <c r="J3" s="1627"/>
      <c r="K3" s="1627"/>
      <c r="L3" s="1627"/>
      <c r="M3" s="1627"/>
      <c r="N3" s="1624" t="s">
        <v>895</v>
      </c>
      <c r="O3" s="1625"/>
      <c r="P3" s="42"/>
      <c r="Q3" s="42"/>
      <c r="R3" s="52"/>
      <c r="S3" s="53"/>
      <c r="T3" s="53"/>
      <c r="U3" s="53"/>
      <c r="V3" s="53"/>
      <c r="W3" s="1628" t="s">
        <v>896</v>
      </c>
      <c r="X3" s="1629"/>
      <c r="Y3" s="1630"/>
      <c r="Z3" s="53"/>
      <c r="AA3" s="112"/>
    </row>
    <row r="4" spans="1:27" ht="29.25" thickBot="1">
      <c r="A4" s="111" t="s">
        <v>897</v>
      </c>
      <c r="B4" s="110" t="s">
        <v>898</v>
      </c>
      <c r="C4" s="109" t="s">
        <v>899</v>
      </c>
      <c r="D4" s="108" t="s">
        <v>900</v>
      </c>
      <c r="E4" s="102" t="s">
        <v>901</v>
      </c>
      <c r="F4" s="108" t="s">
        <v>902</v>
      </c>
      <c r="G4" s="102" t="s">
        <v>903</v>
      </c>
      <c r="H4" s="102" t="s">
        <v>904</v>
      </c>
      <c r="I4" s="107" t="s">
        <v>905</v>
      </c>
      <c r="J4" s="106" t="s">
        <v>906</v>
      </c>
      <c r="K4" s="105" t="s">
        <v>907</v>
      </c>
      <c r="L4" s="105" t="s">
        <v>908</v>
      </c>
      <c r="M4" s="103" t="s">
        <v>909</v>
      </c>
      <c r="N4" s="104" t="s">
        <v>910</v>
      </c>
      <c r="O4" s="103" t="s">
        <v>911</v>
      </c>
      <c r="P4" s="102" t="s">
        <v>912</v>
      </c>
      <c r="Q4" s="102" t="s">
        <v>913</v>
      </c>
      <c r="R4" s="97" t="s">
        <v>914</v>
      </c>
      <c r="S4" s="98" t="s">
        <v>915</v>
      </c>
      <c r="T4" s="101" t="s">
        <v>916</v>
      </c>
      <c r="U4" s="100" t="s">
        <v>917</v>
      </c>
      <c r="V4" s="99" t="s">
        <v>918</v>
      </c>
      <c r="W4" s="97" t="s">
        <v>919</v>
      </c>
      <c r="X4" s="98" t="s">
        <v>920</v>
      </c>
      <c r="Y4" s="97" t="s">
        <v>921</v>
      </c>
      <c r="Z4" s="97" t="s">
        <v>922</v>
      </c>
    </row>
    <row r="5" spans="1:27" ht="54">
      <c r="A5" s="82">
        <v>1</v>
      </c>
      <c r="B5" s="91" t="s">
        <v>923</v>
      </c>
      <c r="C5" s="88" t="s">
        <v>1169</v>
      </c>
      <c r="D5" s="87" t="s">
        <v>1168</v>
      </c>
      <c r="E5" s="75" t="s">
        <v>925</v>
      </c>
      <c r="F5" s="86" t="s">
        <v>1167</v>
      </c>
      <c r="G5" s="75" t="s">
        <v>926</v>
      </c>
      <c r="H5" s="74" t="s">
        <v>1166</v>
      </c>
      <c r="I5" s="95">
        <v>1070</v>
      </c>
      <c r="J5" s="85">
        <v>70</v>
      </c>
      <c r="K5" s="94">
        <v>1000</v>
      </c>
      <c r="L5" s="84"/>
      <c r="M5" s="74"/>
      <c r="N5" s="83" t="s">
        <v>1165</v>
      </c>
      <c r="O5" s="70" t="s">
        <v>1164</v>
      </c>
      <c r="P5" s="90" t="s">
        <v>67</v>
      </c>
      <c r="Q5" s="96" t="s">
        <v>1163</v>
      </c>
      <c r="R5" s="73" t="s">
        <v>1162</v>
      </c>
      <c r="S5" s="74" t="s">
        <v>82</v>
      </c>
      <c r="T5" s="71" t="s">
        <v>929</v>
      </c>
      <c r="U5" s="72" t="s">
        <v>84</v>
      </c>
      <c r="V5" s="73" t="s">
        <v>1161</v>
      </c>
      <c r="W5" s="74">
        <v>94</v>
      </c>
      <c r="X5" s="74">
        <v>94</v>
      </c>
      <c r="Y5" s="75"/>
      <c r="Z5" s="75" t="s">
        <v>1160</v>
      </c>
    </row>
    <row r="6" spans="1:27" ht="54">
      <c r="A6" s="82">
        <v>2</v>
      </c>
      <c r="B6" s="91" t="s">
        <v>1159</v>
      </c>
      <c r="C6" s="88" t="s">
        <v>1158</v>
      </c>
      <c r="D6" s="87" t="s">
        <v>931</v>
      </c>
      <c r="E6" s="75" t="s">
        <v>932</v>
      </c>
      <c r="F6" s="86" t="s">
        <v>933</v>
      </c>
      <c r="G6" s="75" t="s">
        <v>934</v>
      </c>
      <c r="H6" s="74" t="s">
        <v>935</v>
      </c>
      <c r="I6" s="95">
        <v>150</v>
      </c>
      <c r="J6" s="85"/>
      <c r="K6" s="94">
        <v>150</v>
      </c>
      <c r="L6" s="84"/>
      <c r="M6" s="74"/>
      <c r="N6" s="83"/>
      <c r="O6" s="70"/>
      <c r="P6" s="90" t="s">
        <v>67</v>
      </c>
      <c r="Q6" s="93" t="s">
        <v>1157</v>
      </c>
      <c r="R6" s="73" t="s">
        <v>937</v>
      </c>
      <c r="S6" s="74" t="s">
        <v>82</v>
      </c>
      <c r="T6" s="71" t="s">
        <v>929</v>
      </c>
      <c r="U6" s="72" t="s">
        <v>84</v>
      </c>
      <c r="V6" s="73" t="s">
        <v>85</v>
      </c>
      <c r="W6" s="74">
        <v>3500</v>
      </c>
      <c r="X6" s="74">
        <v>3500</v>
      </c>
      <c r="Y6" s="75"/>
      <c r="Z6" s="75" t="s">
        <v>938</v>
      </c>
    </row>
    <row r="7" spans="1:27" ht="67.5">
      <c r="A7" s="82">
        <v>3</v>
      </c>
      <c r="B7" s="91" t="s">
        <v>923</v>
      </c>
      <c r="C7" s="88" t="s">
        <v>924</v>
      </c>
      <c r="D7" s="87" t="s">
        <v>939</v>
      </c>
      <c r="E7" s="75" t="s">
        <v>940</v>
      </c>
      <c r="F7" s="86" t="s">
        <v>941</v>
      </c>
      <c r="G7" s="75" t="s">
        <v>942</v>
      </c>
      <c r="H7" s="74" t="s">
        <v>943</v>
      </c>
      <c r="I7" s="95" t="s">
        <v>944</v>
      </c>
      <c r="J7" s="85" t="s">
        <v>945</v>
      </c>
      <c r="K7" s="94">
        <v>300</v>
      </c>
      <c r="L7" s="84" t="s">
        <v>945</v>
      </c>
      <c r="M7" s="74" t="s">
        <v>945</v>
      </c>
      <c r="N7" s="83"/>
      <c r="O7" s="70"/>
      <c r="P7" s="90" t="s">
        <v>124</v>
      </c>
      <c r="Q7" s="93" t="s">
        <v>936</v>
      </c>
      <c r="R7" s="73" t="s">
        <v>946</v>
      </c>
      <c r="S7" s="74" t="s">
        <v>82</v>
      </c>
      <c r="T7" s="71" t="s">
        <v>947</v>
      </c>
      <c r="U7" s="72" t="s">
        <v>84</v>
      </c>
      <c r="V7" s="73" t="s">
        <v>85</v>
      </c>
      <c r="W7" s="74">
        <v>60</v>
      </c>
      <c r="X7" s="74">
        <v>59</v>
      </c>
      <c r="Y7" s="75">
        <v>1</v>
      </c>
      <c r="Z7" s="75" t="s">
        <v>948</v>
      </c>
    </row>
    <row r="8" spans="1:27" ht="54">
      <c r="A8" s="82">
        <v>4</v>
      </c>
      <c r="B8" s="91" t="s">
        <v>923</v>
      </c>
      <c r="C8" s="88" t="s">
        <v>924</v>
      </c>
      <c r="D8" s="87" t="s">
        <v>949</v>
      </c>
      <c r="E8" s="75" t="s">
        <v>950</v>
      </c>
      <c r="F8" s="86" t="s">
        <v>951</v>
      </c>
      <c r="G8" s="75" t="s">
        <v>942</v>
      </c>
      <c r="H8" s="74" t="s">
        <v>943</v>
      </c>
      <c r="I8" s="95" t="s">
        <v>952</v>
      </c>
      <c r="J8" s="85" t="s">
        <v>945</v>
      </c>
      <c r="K8" s="94" t="s">
        <v>945</v>
      </c>
      <c r="L8" s="84" t="s">
        <v>945</v>
      </c>
      <c r="M8" s="74" t="s">
        <v>945</v>
      </c>
      <c r="N8" s="83"/>
      <c r="O8" s="70"/>
      <c r="P8" s="90" t="s">
        <v>124</v>
      </c>
      <c r="Q8" s="93" t="s">
        <v>936</v>
      </c>
      <c r="R8" s="73" t="s">
        <v>953</v>
      </c>
      <c r="S8" s="74" t="s">
        <v>82</v>
      </c>
      <c r="T8" s="71" t="s">
        <v>947</v>
      </c>
      <c r="U8" s="72" t="s">
        <v>84</v>
      </c>
      <c r="V8" s="73" t="s">
        <v>85</v>
      </c>
      <c r="W8" s="74">
        <v>10</v>
      </c>
      <c r="X8" s="74">
        <v>9.5</v>
      </c>
      <c r="Y8" s="75">
        <v>0.5</v>
      </c>
      <c r="Z8" s="75" t="s">
        <v>938</v>
      </c>
    </row>
    <row r="9" spans="1:27" ht="40.5">
      <c r="A9" s="82">
        <v>5</v>
      </c>
      <c r="B9" s="91" t="s">
        <v>923</v>
      </c>
      <c r="C9" s="88" t="s">
        <v>924</v>
      </c>
      <c r="D9" s="87" t="s">
        <v>954</v>
      </c>
      <c r="E9" s="75" t="s">
        <v>955</v>
      </c>
      <c r="F9" s="86" t="s">
        <v>956</v>
      </c>
      <c r="G9" s="75" t="s">
        <v>957</v>
      </c>
      <c r="H9" s="74" t="s">
        <v>958</v>
      </c>
      <c r="I9" s="95">
        <v>600</v>
      </c>
      <c r="J9" s="85" t="s">
        <v>945</v>
      </c>
      <c r="K9" s="94">
        <v>600</v>
      </c>
      <c r="L9" s="84" t="s">
        <v>945</v>
      </c>
      <c r="M9" s="74" t="s">
        <v>945</v>
      </c>
      <c r="N9" s="83" t="s">
        <v>959</v>
      </c>
      <c r="O9" s="70"/>
      <c r="P9" s="90" t="s">
        <v>67</v>
      </c>
      <c r="Q9" s="93" t="s">
        <v>936</v>
      </c>
      <c r="R9" s="73" t="s">
        <v>960</v>
      </c>
      <c r="S9" s="74" t="s">
        <v>82</v>
      </c>
      <c r="T9" s="71" t="s">
        <v>947</v>
      </c>
      <c r="U9" s="72" t="s">
        <v>84</v>
      </c>
      <c r="V9" s="73" t="s">
        <v>85</v>
      </c>
      <c r="W9" s="74">
        <v>40</v>
      </c>
      <c r="X9" s="74">
        <v>28</v>
      </c>
      <c r="Y9" s="75">
        <v>12</v>
      </c>
      <c r="Z9" s="75" t="s">
        <v>961</v>
      </c>
    </row>
    <row r="10" spans="1:27" ht="40.5">
      <c r="A10" s="82">
        <v>6</v>
      </c>
      <c r="B10" s="91" t="s">
        <v>923</v>
      </c>
      <c r="C10" s="88" t="s">
        <v>924</v>
      </c>
      <c r="D10" s="87" t="s">
        <v>962</v>
      </c>
      <c r="E10" s="75" t="s">
        <v>963</v>
      </c>
      <c r="F10" s="86" t="s">
        <v>964</v>
      </c>
      <c r="G10" s="75" t="s">
        <v>965</v>
      </c>
      <c r="H10" s="74" t="s">
        <v>966</v>
      </c>
      <c r="I10" s="95">
        <v>1030</v>
      </c>
      <c r="J10" s="85" t="s">
        <v>945</v>
      </c>
      <c r="K10" s="94">
        <v>200</v>
      </c>
      <c r="L10" s="84"/>
      <c r="M10" s="74">
        <v>830</v>
      </c>
      <c r="N10" s="83"/>
      <c r="O10" s="70"/>
      <c r="P10" s="90" t="s">
        <v>124</v>
      </c>
      <c r="Q10" s="93" t="s">
        <v>936</v>
      </c>
      <c r="R10" s="73" t="s">
        <v>967</v>
      </c>
      <c r="S10" s="74" t="s">
        <v>82</v>
      </c>
      <c r="T10" s="71" t="s">
        <v>947</v>
      </c>
      <c r="U10" s="72" t="s">
        <v>84</v>
      </c>
      <c r="V10" s="73" t="s">
        <v>85</v>
      </c>
      <c r="W10" s="74">
        <v>150</v>
      </c>
      <c r="X10" s="74">
        <v>150</v>
      </c>
      <c r="Y10" s="75"/>
      <c r="Z10" s="75" t="s">
        <v>930</v>
      </c>
    </row>
    <row r="11" spans="1:27" ht="40.5">
      <c r="A11" s="82">
        <v>7</v>
      </c>
      <c r="B11" s="91" t="s">
        <v>923</v>
      </c>
      <c r="C11" s="88" t="s">
        <v>924</v>
      </c>
      <c r="D11" s="87" t="s">
        <v>968</v>
      </c>
      <c r="E11" s="75" t="s">
        <v>969</v>
      </c>
      <c r="F11" s="86" t="s">
        <v>970</v>
      </c>
      <c r="G11" s="75" t="s">
        <v>971</v>
      </c>
      <c r="H11" s="74" t="s">
        <v>972</v>
      </c>
      <c r="I11" s="95">
        <v>60</v>
      </c>
      <c r="J11" s="85" t="s">
        <v>945</v>
      </c>
      <c r="K11" s="94">
        <v>60</v>
      </c>
      <c r="L11" s="84" t="s">
        <v>945</v>
      </c>
      <c r="M11" s="74" t="s">
        <v>945</v>
      </c>
      <c r="N11" s="83"/>
      <c r="O11" s="70"/>
      <c r="P11" s="90" t="s">
        <v>67</v>
      </c>
      <c r="Q11" s="93" t="s">
        <v>936</v>
      </c>
      <c r="R11" s="73" t="s">
        <v>973</v>
      </c>
      <c r="S11" s="74" t="s">
        <v>82</v>
      </c>
      <c r="T11" s="71" t="s">
        <v>947</v>
      </c>
      <c r="U11" s="72" t="s">
        <v>84</v>
      </c>
      <c r="V11" s="73" t="s">
        <v>85</v>
      </c>
      <c r="W11" s="74">
        <v>800</v>
      </c>
      <c r="X11" s="74">
        <v>723</v>
      </c>
      <c r="Y11" s="75">
        <v>77</v>
      </c>
      <c r="Z11" s="75" t="s">
        <v>973</v>
      </c>
    </row>
    <row r="12" spans="1:27" ht="40.5">
      <c r="A12" s="82">
        <v>8</v>
      </c>
      <c r="B12" s="91" t="s">
        <v>923</v>
      </c>
      <c r="C12" s="88" t="s">
        <v>924</v>
      </c>
      <c r="D12" s="87" t="s">
        <v>974</v>
      </c>
      <c r="E12" s="75" t="s">
        <v>975</v>
      </c>
      <c r="F12" s="86" t="s">
        <v>976</v>
      </c>
      <c r="G12" s="75" t="s">
        <v>977</v>
      </c>
      <c r="H12" s="74" t="s">
        <v>978</v>
      </c>
      <c r="I12" s="95">
        <v>175</v>
      </c>
      <c r="J12" s="85" t="s">
        <v>945</v>
      </c>
      <c r="K12" s="94">
        <v>100</v>
      </c>
      <c r="L12" s="84" t="s">
        <v>945</v>
      </c>
      <c r="M12" s="74">
        <v>75</v>
      </c>
      <c r="N12" s="83"/>
      <c r="O12" s="70"/>
      <c r="P12" s="90" t="s">
        <v>124</v>
      </c>
      <c r="Q12" s="93" t="s">
        <v>936</v>
      </c>
      <c r="R12" s="73" t="s">
        <v>979</v>
      </c>
      <c r="S12" s="74" t="s">
        <v>82</v>
      </c>
      <c r="T12" s="71" t="s">
        <v>947</v>
      </c>
      <c r="U12" s="72" t="s">
        <v>84</v>
      </c>
      <c r="V12" s="73" t="s">
        <v>85</v>
      </c>
      <c r="W12" s="74">
        <v>7000</v>
      </c>
      <c r="X12" s="74">
        <v>7000</v>
      </c>
      <c r="Y12" s="75"/>
      <c r="Z12" s="75" t="s">
        <v>980</v>
      </c>
    </row>
    <row r="13" spans="1:27" ht="40.5">
      <c r="A13" s="82">
        <v>9</v>
      </c>
      <c r="B13" s="91" t="s">
        <v>923</v>
      </c>
      <c r="C13" s="88" t="s">
        <v>924</v>
      </c>
      <c r="D13" s="87" t="s">
        <v>981</v>
      </c>
      <c r="E13" s="75" t="s">
        <v>982</v>
      </c>
      <c r="F13" s="86" t="s">
        <v>983</v>
      </c>
      <c r="G13" s="75" t="s">
        <v>984</v>
      </c>
      <c r="H13" s="74" t="s">
        <v>985</v>
      </c>
      <c r="I13" s="95">
        <v>200</v>
      </c>
      <c r="J13" s="85">
        <v>0</v>
      </c>
      <c r="K13" s="94">
        <v>200</v>
      </c>
      <c r="L13" s="84">
        <v>0</v>
      </c>
      <c r="M13" s="74" t="s">
        <v>952</v>
      </c>
      <c r="N13" s="83" t="s">
        <v>945</v>
      </c>
      <c r="O13" s="70" t="s">
        <v>945</v>
      </c>
      <c r="P13" s="90" t="s">
        <v>67</v>
      </c>
      <c r="Q13" s="93" t="s">
        <v>67</v>
      </c>
      <c r="R13" s="73" t="s">
        <v>986</v>
      </c>
      <c r="S13" s="74" t="s">
        <v>82</v>
      </c>
      <c r="T13" s="71" t="s">
        <v>987</v>
      </c>
      <c r="U13" s="72" t="s">
        <v>84</v>
      </c>
      <c r="V13" s="73" t="s">
        <v>85</v>
      </c>
      <c r="W13" s="74">
        <v>140</v>
      </c>
      <c r="X13" s="74">
        <v>140</v>
      </c>
      <c r="Y13" s="75"/>
      <c r="Z13" s="75" t="s">
        <v>988</v>
      </c>
    </row>
    <row r="14" spans="1:27" ht="40.5">
      <c r="A14" s="82">
        <v>10</v>
      </c>
      <c r="B14" s="91" t="s">
        <v>923</v>
      </c>
      <c r="C14" s="88" t="s">
        <v>924</v>
      </c>
      <c r="D14" s="87" t="s">
        <v>989</v>
      </c>
      <c r="E14" s="75" t="s">
        <v>990</v>
      </c>
      <c r="F14" s="86" t="s">
        <v>991</v>
      </c>
      <c r="G14" s="75" t="s">
        <v>992</v>
      </c>
      <c r="H14" s="74" t="s">
        <v>993</v>
      </c>
      <c r="I14" s="95">
        <v>350</v>
      </c>
      <c r="J14" s="85">
        <v>0</v>
      </c>
      <c r="K14" s="94">
        <v>350</v>
      </c>
      <c r="L14" s="84">
        <v>0</v>
      </c>
      <c r="M14" s="74">
        <v>0</v>
      </c>
      <c r="N14" s="83" t="s">
        <v>945</v>
      </c>
      <c r="O14" s="70" t="s">
        <v>945</v>
      </c>
      <c r="P14" s="90" t="s">
        <v>67</v>
      </c>
      <c r="Q14" s="93" t="s">
        <v>67</v>
      </c>
      <c r="R14" s="73" t="s">
        <v>994</v>
      </c>
      <c r="S14" s="74" t="s">
        <v>82</v>
      </c>
      <c r="T14" s="71" t="s">
        <v>995</v>
      </c>
      <c r="U14" s="72" t="s">
        <v>84</v>
      </c>
      <c r="V14" s="73" t="s">
        <v>85</v>
      </c>
      <c r="W14" s="74">
        <v>330</v>
      </c>
      <c r="X14" s="74">
        <v>330</v>
      </c>
      <c r="Y14" s="75"/>
      <c r="Z14" s="75" t="s">
        <v>996</v>
      </c>
    </row>
    <row r="15" spans="1:27" ht="27">
      <c r="A15" s="82">
        <v>11</v>
      </c>
      <c r="B15" s="91" t="s">
        <v>923</v>
      </c>
      <c r="C15" s="88" t="s">
        <v>997</v>
      </c>
      <c r="D15" s="87" t="s">
        <v>998</v>
      </c>
      <c r="E15" s="75" t="s">
        <v>999</v>
      </c>
      <c r="F15" s="86" t="s">
        <v>1000</v>
      </c>
      <c r="G15" s="75" t="s">
        <v>1001</v>
      </c>
      <c r="H15" s="74" t="s">
        <v>935</v>
      </c>
      <c r="I15" s="95">
        <v>588</v>
      </c>
      <c r="J15" s="85">
        <v>294</v>
      </c>
      <c r="K15" s="94">
        <v>147</v>
      </c>
      <c r="L15" s="84">
        <v>147</v>
      </c>
      <c r="M15" s="74"/>
      <c r="N15" s="83" t="s">
        <v>1002</v>
      </c>
      <c r="O15" s="70" t="s">
        <v>1003</v>
      </c>
      <c r="P15" s="90" t="s">
        <v>67</v>
      </c>
      <c r="Q15" s="93" t="s">
        <v>67</v>
      </c>
      <c r="R15" s="73" t="s">
        <v>1004</v>
      </c>
      <c r="S15" s="74" t="s">
        <v>82</v>
      </c>
      <c r="T15" s="71" t="s">
        <v>1005</v>
      </c>
      <c r="U15" s="72"/>
      <c r="V15" s="73"/>
      <c r="W15" s="74">
        <v>85</v>
      </c>
      <c r="X15" s="74">
        <v>85</v>
      </c>
      <c r="Y15" s="75"/>
      <c r="Z15" s="75" t="s">
        <v>938</v>
      </c>
    </row>
    <row r="16" spans="1:27" ht="40.5">
      <c r="A16" s="82">
        <v>12</v>
      </c>
      <c r="B16" s="91" t="s">
        <v>923</v>
      </c>
      <c r="C16" s="88" t="s">
        <v>997</v>
      </c>
      <c r="D16" s="87" t="s">
        <v>1006</v>
      </c>
      <c r="E16" s="75" t="s">
        <v>1007</v>
      </c>
      <c r="F16" s="86" t="s">
        <v>1008</v>
      </c>
      <c r="G16" s="75" t="s">
        <v>1009</v>
      </c>
      <c r="H16" s="74" t="s">
        <v>1010</v>
      </c>
      <c r="I16" s="95">
        <v>115</v>
      </c>
      <c r="J16" s="85"/>
      <c r="K16" s="94"/>
      <c r="L16" s="84">
        <v>115</v>
      </c>
      <c r="M16" s="74"/>
      <c r="N16" s="83"/>
      <c r="O16" s="70"/>
      <c r="P16" s="90" t="s">
        <v>67</v>
      </c>
      <c r="Q16" s="93" t="s">
        <v>936</v>
      </c>
      <c r="R16" s="73" t="s">
        <v>1011</v>
      </c>
      <c r="S16" s="74" t="s">
        <v>82</v>
      </c>
      <c r="T16" s="71"/>
      <c r="U16" s="72" t="s">
        <v>84</v>
      </c>
      <c r="V16" s="73" t="s">
        <v>85</v>
      </c>
      <c r="W16" s="74">
        <v>5</v>
      </c>
      <c r="X16" s="74">
        <v>5</v>
      </c>
      <c r="Y16" s="75"/>
      <c r="Z16" s="75" t="s">
        <v>930</v>
      </c>
    </row>
    <row r="17" spans="1:26" ht="40.5">
      <c r="A17" s="82">
        <v>13</v>
      </c>
      <c r="B17" s="91" t="s">
        <v>923</v>
      </c>
      <c r="C17" s="88" t="s">
        <v>997</v>
      </c>
      <c r="D17" s="87" t="s">
        <v>1012</v>
      </c>
      <c r="E17" s="75" t="s">
        <v>1013</v>
      </c>
      <c r="F17" s="86" t="s">
        <v>1014</v>
      </c>
      <c r="G17" s="75" t="s">
        <v>1009</v>
      </c>
      <c r="H17" s="74" t="s">
        <v>1015</v>
      </c>
      <c r="I17" s="95">
        <v>100</v>
      </c>
      <c r="J17" s="85"/>
      <c r="K17" s="94">
        <v>50</v>
      </c>
      <c r="L17" s="84">
        <v>50</v>
      </c>
      <c r="M17" s="74"/>
      <c r="N17" s="83"/>
      <c r="O17" s="70"/>
      <c r="P17" s="90" t="s">
        <v>67</v>
      </c>
      <c r="Q17" s="93" t="s">
        <v>936</v>
      </c>
      <c r="R17" s="73" t="s">
        <v>1016</v>
      </c>
      <c r="S17" s="74" t="s">
        <v>82</v>
      </c>
      <c r="T17" s="71"/>
      <c r="U17" s="72" t="s">
        <v>84</v>
      </c>
      <c r="V17" s="73" t="s">
        <v>85</v>
      </c>
      <c r="W17" s="74">
        <v>150</v>
      </c>
      <c r="X17" s="74">
        <v>150</v>
      </c>
      <c r="Y17" s="75"/>
      <c r="Z17" s="75" t="s">
        <v>1017</v>
      </c>
    </row>
    <row r="18" spans="1:26" ht="40.5">
      <c r="A18" s="82">
        <v>14</v>
      </c>
      <c r="B18" s="91" t="s">
        <v>923</v>
      </c>
      <c r="C18" s="88" t="s">
        <v>997</v>
      </c>
      <c r="D18" s="87" t="s">
        <v>1018</v>
      </c>
      <c r="E18" s="75" t="s">
        <v>1019</v>
      </c>
      <c r="F18" s="86" t="s">
        <v>1020</v>
      </c>
      <c r="G18" s="75" t="s">
        <v>1021</v>
      </c>
      <c r="H18" s="74" t="s">
        <v>1022</v>
      </c>
      <c r="I18" s="95">
        <v>80</v>
      </c>
      <c r="J18" s="85"/>
      <c r="K18" s="94"/>
      <c r="L18" s="84">
        <v>80</v>
      </c>
      <c r="M18" s="74"/>
      <c r="N18" s="83"/>
      <c r="O18" s="70"/>
      <c r="P18" s="90" t="s">
        <v>67</v>
      </c>
      <c r="Q18" s="93" t="s">
        <v>936</v>
      </c>
      <c r="R18" s="73" t="s">
        <v>1023</v>
      </c>
      <c r="S18" s="74" t="s">
        <v>82</v>
      </c>
      <c r="T18" s="71"/>
      <c r="U18" s="72" t="s">
        <v>84</v>
      </c>
      <c r="V18" s="73" t="s">
        <v>85</v>
      </c>
      <c r="W18" s="74">
        <v>20</v>
      </c>
      <c r="X18" s="74">
        <v>20</v>
      </c>
      <c r="Y18" s="75"/>
      <c r="Z18" s="75" t="s">
        <v>1024</v>
      </c>
    </row>
    <row r="19" spans="1:26" ht="40.5">
      <c r="A19" s="82">
        <v>15</v>
      </c>
      <c r="B19" s="91" t="s">
        <v>923</v>
      </c>
      <c r="C19" s="88" t="s">
        <v>997</v>
      </c>
      <c r="D19" s="87" t="s">
        <v>1025</v>
      </c>
      <c r="E19" s="75" t="s">
        <v>1013</v>
      </c>
      <c r="F19" s="86" t="s">
        <v>1026</v>
      </c>
      <c r="G19" s="75" t="s">
        <v>1009</v>
      </c>
      <c r="H19" s="74" t="s">
        <v>972</v>
      </c>
      <c r="I19" s="95">
        <v>90</v>
      </c>
      <c r="J19" s="85"/>
      <c r="K19" s="94"/>
      <c r="L19" s="84">
        <v>90</v>
      </c>
      <c r="M19" s="74"/>
      <c r="N19" s="83"/>
      <c r="O19" s="70"/>
      <c r="P19" s="90" t="s">
        <v>124</v>
      </c>
      <c r="Q19" s="93" t="s">
        <v>936</v>
      </c>
      <c r="R19" s="73" t="s">
        <v>1027</v>
      </c>
      <c r="S19" s="74" t="s">
        <v>82</v>
      </c>
      <c r="T19" s="71"/>
      <c r="U19" s="72" t="s">
        <v>84</v>
      </c>
      <c r="V19" s="73" t="s">
        <v>85</v>
      </c>
      <c r="W19" s="74">
        <v>5</v>
      </c>
      <c r="X19" s="74">
        <v>5</v>
      </c>
      <c r="Y19" s="75"/>
      <c r="Z19" s="75" t="s">
        <v>1028</v>
      </c>
    </row>
    <row r="20" spans="1:26" ht="40.5">
      <c r="A20" s="82">
        <v>16</v>
      </c>
      <c r="B20" s="91" t="s">
        <v>923</v>
      </c>
      <c r="C20" s="88" t="s">
        <v>997</v>
      </c>
      <c r="D20" s="87" t="s">
        <v>1029</v>
      </c>
      <c r="E20" s="75" t="s">
        <v>1013</v>
      </c>
      <c r="F20" s="86" t="s">
        <v>1030</v>
      </c>
      <c r="G20" s="75" t="s">
        <v>1031</v>
      </c>
      <c r="H20" s="74" t="s">
        <v>1032</v>
      </c>
      <c r="I20" s="95">
        <v>30</v>
      </c>
      <c r="J20" s="85"/>
      <c r="K20" s="94"/>
      <c r="L20" s="84">
        <v>30</v>
      </c>
      <c r="M20" s="74"/>
      <c r="N20" s="83"/>
      <c r="O20" s="70"/>
      <c r="P20" s="90" t="s">
        <v>67</v>
      </c>
      <c r="Q20" s="93" t="s">
        <v>936</v>
      </c>
      <c r="R20" s="73" t="s">
        <v>1033</v>
      </c>
      <c r="S20" s="74" t="s">
        <v>82</v>
      </c>
      <c r="T20" s="71"/>
      <c r="U20" s="72" t="s">
        <v>84</v>
      </c>
      <c r="V20" s="73" t="s">
        <v>85</v>
      </c>
      <c r="W20" s="74">
        <v>1</v>
      </c>
      <c r="X20" s="74">
        <v>1</v>
      </c>
      <c r="Y20" s="75"/>
      <c r="Z20" s="75" t="s">
        <v>1034</v>
      </c>
    </row>
    <row r="21" spans="1:26" ht="40.5">
      <c r="A21" s="82">
        <v>17</v>
      </c>
      <c r="B21" s="91" t="s">
        <v>923</v>
      </c>
      <c r="C21" s="88" t="s">
        <v>997</v>
      </c>
      <c r="D21" s="87" t="s">
        <v>1035</v>
      </c>
      <c r="E21" s="75" t="s">
        <v>1036</v>
      </c>
      <c r="F21" s="86" t="s">
        <v>1037</v>
      </c>
      <c r="G21" s="75" t="s">
        <v>1009</v>
      </c>
      <c r="H21" s="74" t="s">
        <v>1038</v>
      </c>
      <c r="I21" s="95">
        <v>200</v>
      </c>
      <c r="J21" s="85"/>
      <c r="K21" s="94">
        <v>50</v>
      </c>
      <c r="L21" s="84">
        <v>150</v>
      </c>
      <c r="M21" s="74"/>
      <c r="N21" s="83"/>
      <c r="O21" s="70"/>
      <c r="P21" s="90" t="s">
        <v>67</v>
      </c>
      <c r="Q21" s="93" t="s">
        <v>1039</v>
      </c>
      <c r="R21" s="73" t="s">
        <v>82</v>
      </c>
      <c r="S21" s="74" t="s">
        <v>82</v>
      </c>
      <c r="T21" s="71"/>
      <c r="U21" s="72" t="s">
        <v>84</v>
      </c>
      <c r="V21" s="73" t="s">
        <v>85</v>
      </c>
      <c r="W21" s="74">
        <v>30</v>
      </c>
      <c r="X21" s="74">
        <v>30</v>
      </c>
      <c r="Y21" s="75"/>
      <c r="Z21" s="75" t="s">
        <v>1028</v>
      </c>
    </row>
    <row r="22" spans="1:26" ht="94.5">
      <c r="A22" s="82">
        <v>18</v>
      </c>
      <c r="B22" s="91" t="s">
        <v>923</v>
      </c>
      <c r="C22" s="88" t="s">
        <v>1040</v>
      </c>
      <c r="D22" s="87" t="s">
        <v>1041</v>
      </c>
      <c r="E22" s="75" t="s">
        <v>1042</v>
      </c>
      <c r="F22" s="86" t="s">
        <v>1043</v>
      </c>
      <c r="G22" s="75" t="s">
        <v>1044</v>
      </c>
      <c r="H22" s="74" t="s">
        <v>1045</v>
      </c>
      <c r="I22" s="71">
        <v>300</v>
      </c>
      <c r="J22" s="85"/>
      <c r="K22" s="84"/>
      <c r="L22" s="84">
        <v>300</v>
      </c>
      <c r="M22" s="74"/>
      <c r="N22" s="83"/>
      <c r="O22" s="70"/>
      <c r="P22" s="90" t="s">
        <v>105</v>
      </c>
      <c r="Q22" s="92" t="s">
        <v>936</v>
      </c>
      <c r="R22" s="73" t="s">
        <v>1046</v>
      </c>
      <c r="S22" s="74" t="s">
        <v>82</v>
      </c>
      <c r="T22" s="71" t="s">
        <v>995</v>
      </c>
      <c r="U22" s="72" t="s">
        <v>84</v>
      </c>
      <c r="V22" s="73" t="s">
        <v>1047</v>
      </c>
      <c r="W22" s="74">
        <v>120</v>
      </c>
      <c r="X22" s="74">
        <v>120</v>
      </c>
      <c r="Y22" s="75"/>
      <c r="Z22" s="75" t="s">
        <v>1048</v>
      </c>
    </row>
    <row r="23" spans="1:26" ht="94.5">
      <c r="A23" s="82">
        <v>19</v>
      </c>
      <c r="B23" s="91" t="s">
        <v>923</v>
      </c>
      <c r="C23" s="88" t="s">
        <v>1049</v>
      </c>
      <c r="D23" s="87" t="s">
        <v>1050</v>
      </c>
      <c r="E23" s="75" t="s">
        <v>1051</v>
      </c>
      <c r="F23" s="86" t="s">
        <v>1052</v>
      </c>
      <c r="G23" s="75" t="s">
        <v>1053</v>
      </c>
      <c r="H23" s="74" t="s">
        <v>1054</v>
      </c>
      <c r="I23" s="71">
        <v>300</v>
      </c>
      <c r="J23" s="85">
        <v>0</v>
      </c>
      <c r="K23" s="84">
        <v>0</v>
      </c>
      <c r="L23" s="84">
        <v>300</v>
      </c>
      <c r="M23" s="74">
        <v>0</v>
      </c>
      <c r="N23" s="83"/>
      <c r="O23" s="70"/>
      <c r="P23" s="90" t="s">
        <v>67</v>
      </c>
      <c r="Q23" s="89" t="s">
        <v>909</v>
      </c>
      <c r="R23" s="73" t="s">
        <v>1055</v>
      </c>
      <c r="S23" s="74" t="s">
        <v>82</v>
      </c>
      <c r="T23" s="71" t="s">
        <v>1005</v>
      </c>
      <c r="U23" s="72" t="s">
        <v>84</v>
      </c>
      <c r="V23" s="73" t="s">
        <v>1047</v>
      </c>
      <c r="W23" s="74">
        <v>21</v>
      </c>
      <c r="X23" s="74">
        <v>20</v>
      </c>
      <c r="Y23" s="75">
        <v>1</v>
      </c>
      <c r="Z23" s="75" t="s">
        <v>1056</v>
      </c>
    </row>
    <row r="24" spans="1:26" ht="54">
      <c r="A24" s="82">
        <v>20</v>
      </c>
      <c r="B24" s="81" t="s">
        <v>923</v>
      </c>
      <c r="C24" s="88" t="s">
        <v>1057</v>
      </c>
      <c r="D24" s="87" t="s">
        <v>1058</v>
      </c>
      <c r="E24" s="75" t="s">
        <v>1059</v>
      </c>
      <c r="F24" s="86" t="s">
        <v>1060</v>
      </c>
      <c r="G24" s="75" t="s">
        <v>1061</v>
      </c>
      <c r="H24" s="74" t="s">
        <v>1062</v>
      </c>
      <c r="I24" s="71">
        <v>595</v>
      </c>
      <c r="J24" s="85"/>
      <c r="K24" s="84"/>
      <c r="L24" s="84">
        <v>295</v>
      </c>
      <c r="M24" s="74">
        <v>300</v>
      </c>
      <c r="N24" s="83"/>
      <c r="O24" s="70"/>
      <c r="P24" s="71" t="s">
        <v>67</v>
      </c>
      <c r="Q24" s="70" t="s">
        <v>936</v>
      </c>
      <c r="R24" s="73" t="s">
        <v>1063</v>
      </c>
      <c r="S24" s="74" t="s">
        <v>82</v>
      </c>
      <c r="T24" s="71" t="s">
        <v>929</v>
      </c>
      <c r="U24" s="72" t="s">
        <v>84</v>
      </c>
      <c r="V24" s="73" t="s">
        <v>1064</v>
      </c>
      <c r="W24" s="74">
        <v>0</v>
      </c>
      <c r="X24" s="74"/>
      <c r="Y24" s="75"/>
      <c r="Z24" s="75" t="s">
        <v>1017</v>
      </c>
    </row>
    <row r="25" spans="1:26" ht="27">
      <c r="A25" s="82">
        <v>21</v>
      </c>
      <c r="B25" s="81" t="s">
        <v>923</v>
      </c>
      <c r="C25" s="88" t="s">
        <v>1057</v>
      </c>
      <c r="D25" s="87" t="s">
        <v>1065</v>
      </c>
      <c r="E25" s="75" t="s">
        <v>1066</v>
      </c>
      <c r="F25" s="86" t="s">
        <v>1067</v>
      </c>
      <c r="G25" s="75" t="s">
        <v>1068</v>
      </c>
      <c r="H25" s="74" t="s">
        <v>1069</v>
      </c>
      <c r="I25" s="71">
        <v>449</v>
      </c>
      <c r="J25" s="85"/>
      <c r="K25" s="84"/>
      <c r="L25" s="84">
        <v>449</v>
      </c>
      <c r="M25" s="74"/>
      <c r="N25" s="83"/>
      <c r="O25" s="70"/>
      <c r="P25" s="71" t="s">
        <v>67</v>
      </c>
      <c r="Q25" s="70" t="s">
        <v>1070</v>
      </c>
      <c r="R25" s="73" t="s">
        <v>1071</v>
      </c>
      <c r="S25" s="74" t="s">
        <v>82</v>
      </c>
      <c r="T25" s="71" t="s">
        <v>929</v>
      </c>
      <c r="U25" s="72" t="s">
        <v>84</v>
      </c>
      <c r="V25" s="73" t="s">
        <v>1047</v>
      </c>
      <c r="W25" s="74">
        <v>83</v>
      </c>
      <c r="X25" s="74">
        <v>83</v>
      </c>
      <c r="Y25" s="75"/>
      <c r="Z25" s="75" t="s">
        <v>930</v>
      </c>
    </row>
    <row r="26" spans="1:26" ht="67.5">
      <c r="A26" s="82">
        <v>22</v>
      </c>
      <c r="B26" s="81" t="s">
        <v>923</v>
      </c>
      <c r="C26" s="88" t="s">
        <v>1072</v>
      </c>
      <c r="D26" s="87" t="s">
        <v>1073</v>
      </c>
      <c r="E26" s="75" t="s">
        <v>1074</v>
      </c>
      <c r="F26" s="86" t="s">
        <v>1075</v>
      </c>
      <c r="G26" s="75" t="s">
        <v>1076</v>
      </c>
      <c r="H26" s="74" t="s">
        <v>1077</v>
      </c>
      <c r="I26" s="71">
        <v>700</v>
      </c>
      <c r="J26" s="85"/>
      <c r="K26" s="84"/>
      <c r="L26" s="84">
        <v>700</v>
      </c>
      <c r="M26" s="74"/>
      <c r="N26" s="83"/>
      <c r="O26" s="70"/>
      <c r="P26" s="71" t="s">
        <v>92</v>
      </c>
      <c r="Q26" s="70"/>
      <c r="R26" s="73" t="s">
        <v>1078</v>
      </c>
      <c r="S26" s="74" t="s">
        <v>82</v>
      </c>
      <c r="T26" s="71" t="s">
        <v>1079</v>
      </c>
      <c r="U26" s="72" t="s">
        <v>945</v>
      </c>
      <c r="V26" s="73" t="s">
        <v>1047</v>
      </c>
      <c r="W26" s="74">
        <v>400</v>
      </c>
      <c r="X26" s="74">
        <v>400</v>
      </c>
      <c r="Y26" s="75"/>
      <c r="Z26" s="75" t="s">
        <v>1080</v>
      </c>
    </row>
    <row r="27" spans="1:26" ht="67.5">
      <c r="A27" s="82">
        <v>23</v>
      </c>
      <c r="B27" s="81" t="s">
        <v>923</v>
      </c>
      <c r="C27" s="88" t="s">
        <v>1081</v>
      </c>
      <c r="D27" s="87" t="s">
        <v>1082</v>
      </c>
      <c r="E27" s="75" t="s">
        <v>1083</v>
      </c>
      <c r="F27" s="86" t="s">
        <v>1084</v>
      </c>
      <c r="G27" s="75" t="s">
        <v>1085</v>
      </c>
      <c r="H27" s="74" t="s">
        <v>1086</v>
      </c>
      <c r="I27" s="71">
        <v>790</v>
      </c>
      <c r="J27" s="85">
        <v>190</v>
      </c>
      <c r="K27" s="84">
        <v>200</v>
      </c>
      <c r="L27" s="84">
        <v>400</v>
      </c>
      <c r="M27" s="74">
        <v>0</v>
      </c>
      <c r="N27" s="83" t="s">
        <v>927</v>
      </c>
      <c r="O27" s="70" t="s">
        <v>1087</v>
      </c>
      <c r="P27" s="71" t="s">
        <v>67</v>
      </c>
      <c r="Q27" s="70"/>
      <c r="R27" s="73" t="s">
        <v>1088</v>
      </c>
      <c r="S27" s="74" t="s">
        <v>82</v>
      </c>
      <c r="T27" s="71" t="s">
        <v>1089</v>
      </c>
      <c r="U27" s="72" t="s">
        <v>1090</v>
      </c>
      <c r="V27" s="73" t="s">
        <v>85</v>
      </c>
      <c r="W27" s="74">
        <v>800</v>
      </c>
      <c r="X27" s="74">
        <v>780</v>
      </c>
      <c r="Y27" s="75">
        <v>20</v>
      </c>
      <c r="Z27" s="75" t="s">
        <v>1091</v>
      </c>
    </row>
    <row r="28" spans="1:26" ht="27">
      <c r="A28" s="82">
        <v>24</v>
      </c>
      <c r="B28" s="81" t="s">
        <v>923</v>
      </c>
      <c r="C28" s="88" t="s">
        <v>1092</v>
      </c>
      <c r="D28" s="87" t="s">
        <v>1093</v>
      </c>
      <c r="E28" s="75" t="s">
        <v>1094</v>
      </c>
      <c r="F28" s="86" t="s">
        <v>1095</v>
      </c>
      <c r="G28" s="75" t="s">
        <v>1096</v>
      </c>
      <c r="H28" s="74" t="s">
        <v>1015</v>
      </c>
      <c r="I28" s="71">
        <v>305</v>
      </c>
      <c r="J28" s="85"/>
      <c r="K28" s="84">
        <v>150</v>
      </c>
      <c r="L28" s="84">
        <v>155</v>
      </c>
      <c r="M28" s="74"/>
      <c r="N28" s="83"/>
      <c r="O28" s="70"/>
      <c r="P28" s="71" t="s">
        <v>67</v>
      </c>
      <c r="Q28" s="70" t="s">
        <v>909</v>
      </c>
      <c r="R28" s="73" t="s">
        <v>1097</v>
      </c>
      <c r="S28" s="74" t="s">
        <v>82</v>
      </c>
      <c r="T28" s="71" t="s">
        <v>995</v>
      </c>
      <c r="U28" s="72" t="s">
        <v>84</v>
      </c>
      <c r="V28" s="73" t="s">
        <v>1047</v>
      </c>
      <c r="W28" s="74">
        <v>4000</v>
      </c>
      <c r="X28" s="74">
        <v>4000</v>
      </c>
      <c r="Y28" s="75"/>
      <c r="Z28" s="75" t="s">
        <v>930</v>
      </c>
    </row>
    <row r="29" spans="1:26" ht="40.5">
      <c r="A29" s="82">
        <v>25</v>
      </c>
      <c r="B29" s="81" t="s">
        <v>923</v>
      </c>
      <c r="C29" s="88" t="s">
        <v>1098</v>
      </c>
      <c r="D29" s="87" t="s">
        <v>1099</v>
      </c>
      <c r="E29" s="75" t="s">
        <v>1013</v>
      </c>
      <c r="F29" s="86" t="s">
        <v>1100</v>
      </c>
      <c r="G29" s="75" t="s">
        <v>1101</v>
      </c>
      <c r="H29" s="74" t="s">
        <v>978</v>
      </c>
      <c r="I29" s="71">
        <v>700</v>
      </c>
      <c r="J29" s="85"/>
      <c r="K29" s="84"/>
      <c r="L29" s="84">
        <v>700</v>
      </c>
      <c r="M29" s="74"/>
      <c r="N29" s="83"/>
      <c r="O29" s="70"/>
      <c r="P29" s="71" t="s">
        <v>67</v>
      </c>
      <c r="Q29" s="70" t="s">
        <v>1102</v>
      </c>
      <c r="R29" s="73" t="s">
        <v>82</v>
      </c>
      <c r="S29" s="74" t="s">
        <v>1005</v>
      </c>
      <c r="T29" s="71" t="s">
        <v>1103</v>
      </c>
      <c r="U29" s="72" t="s">
        <v>84</v>
      </c>
      <c r="V29" s="73" t="s">
        <v>1064</v>
      </c>
      <c r="W29" s="74">
        <v>11</v>
      </c>
      <c r="X29" s="74">
        <v>11</v>
      </c>
      <c r="Y29" s="75"/>
      <c r="Z29" s="75" t="s">
        <v>1104</v>
      </c>
    </row>
    <row r="30" spans="1:26" ht="40.5">
      <c r="A30" s="82">
        <v>26</v>
      </c>
      <c r="B30" s="81" t="s">
        <v>923</v>
      </c>
      <c r="C30" s="88" t="s">
        <v>1105</v>
      </c>
      <c r="D30" s="87" t="s">
        <v>1106</v>
      </c>
      <c r="E30" s="75" t="s">
        <v>1107</v>
      </c>
      <c r="F30" s="86" t="s">
        <v>1108</v>
      </c>
      <c r="G30" s="75" t="s">
        <v>1109</v>
      </c>
      <c r="H30" s="74" t="s">
        <v>943</v>
      </c>
      <c r="I30" s="71">
        <v>90</v>
      </c>
      <c r="J30" s="85"/>
      <c r="K30" s="84"/>
      <c r="L30" s="84">
        <v>90</v>
      </c>
      <c r="M30" s="74"/>
      <c r="N30" s="83"/>
      <c r="O30" s="70"/>
      <c r="P30" s="71" t="s">
        <v>92</v>
      </c>
      <c r="Q30" s="70" t="s">
        <v>92</v>
      </c>
      <c r="R30" s="73" t="s">
        <v>1110</v>
      </c>
      <c r="S30" s="74" t="s">
        <v>82</v>
      </c>
      <c r="T30" s="71" t="s">
        <v>1111</v>
      </c>
      <c r="U30" s="72" t="s">
        <v>84</v>
      </c>
      <c r="V30" s="73" t="s">
        <v>1112</v>
      </c>
      <c r="W30" s="74">
        <v>0</v>
      </c>
      <c r="X30" s="74">
        <v>0</v>
      </c>
      <c r="Y30" s="75">
        <v>0</v>
      </c>
      <c r="Z30" s="75" t="s">
        <v>952</v>
      </c>
    </row>
    <row r="31" spans="1:26" ht="40.5">
      <c r="A31" s="82">
        <v>27</v>
      </c>
      <c r="B31" s="81" t="s">
        <v>923</v>
      </c>
      <c r="C31" s="88" t="s">
        <v>1105</v>
      </c>
      <c r="D31" s="87" t="s">
        <v>1113</v>
      </c>
      <c r="E31" s="75" t="s">
        <v>1114</v>
      </c>
      <c r="F31" s="86" t="s">
        <v>1115</v>
      </c>
      <c r="G31" s="75" t="s">
        <v>1116</v>
      </c>
      <c r="H31" s="74" t="s">
        <v>1117</v>
      </c>
      <c r="I31" s="71">
        <v>200</v>
      </c>
      <c r="J31" s="85"/>
      <c r="K31" s="84">
        <v>80</v>
      </c>
      <c r="L31" s="84">
        <v>80</v>
      </c>
      <c r="M31" s="74">
        <v>40</v>
      </c>
      <c r="N31" s="83"/>
      <c r="O31" s="70"/>
      <c r="P31" s="71" t="s">
        <v>92</v>
      </c>
      <c r="Q31" s="70" t="s">
        <v>92</v>
      </c>
      <c r="R31" s="73" t="s">
        <v>1118</v>
      </c>
      <c r="S31" s="74" t="s">
        <v>82</v>
      </c>
      <c r="T31" s="71" t="s">
        <v>929</v>
      </c>
      <c r="U31" s="72" t="s">
        <v>84</v>
      </c>
      <c r="V31" s="73" t="s">
        <v>1112</v>
      </c>
      <c r="W31" s="74">
        <v>60</v>
      </c>
      <c r="X31" s="74">
        <v>60</v>
      </c>
      <c r="Y31" s="75">
        <v>0</v>
      </c>
      <c r="Z31" s="75" t="s">
        <v>1119</v>
      </c>
    </row>
    <row r="32" spans="1:26" ht="67.5">
      <c r="A32" s="82">
        <v>28</v>
      </c>
      <c r="B32" s="81" t="s">
        <v>923</v>
      </c>
      <c r="C32" s="88" t="s">
        <v>1105</v>
      </c>
      <c r="D32" s="87" t="s">
        <v>1120</v>
      </c>
      <c r="E32" s="75" t="s">
        <v>1121</v>
      </c>
      <c r="F32" s="86" t="s">
        <v>1122</v>
      </c>
      <c r="G32" s="75" t="s">
        <v>1123</v>
      </c>
      <c r="H32" s="74" t="s">
        <v>1124</v>
      </c>
      <c r="I32" s="71">
        <v>322</v>
      </c>
      <c r="J32" s="85">
        <v>0</v>
      </c>
      <c r="K32" s="84">
        <v>0</v>
      </c>
      <c r="L32" s="84">
        <v>322</v>
      </c>
      <c r="M32" s="74">
        <v>0</v>
      </c>
      <c r="N32" s="83" t="s">
        <v>945</v>
      </c>
      <c r="O32" s="70" t="s">
        <v>945</v>
      </c>
      <c r="P32" s="71" t="s">
        <v>167</v>
      </c>
      <c r="Q32" s="70" t="s">
        <v>945</v>
      </c>
      <c r="R32" s="73" t="s">
        <v>1125</v>
      </c>
      <c r="S32" s="74" t="s">
        <v>82</v>
      </c>
      <c r="T32" s="71" t="s">
        <v>929</v>
      </c>
      <c r="U32" s="72" t="s">
        <v>84</v>
      </c>
      <c r="V32" s="73" t="s">
        <v>1047</v>
      </c>
      <c r="W32" s="74">
        <v>400</v>
      </c>
      <c r="X32" s="74">
        <v>400</v>
      </c>
      <c r="Y32" s="75">
        <v>0</v>
      </c>
      <c r="Z32" s="75" t="s">
        <v>1126</v>
      </c>
    </row>
    <row r="33" spans="1:26" ht="67.5">
      <c r="A33" s="82">
        <v>29</v>
      </c>
      <c r="B33" s="81" t="s">
        <v>923</v>
      </c>
      <c r="C33" s="73" t="s">
        <v>1127</v>
      </c>
      <c r="D33" s="64" t="s">
        <v>1128</v>
      </c>
      <c r="E33" s="75" t="s">
        <v>1129</v>
      </c>
      <c r="F33" s="86" t="s">
        <v>1130</v>
      </c>
      <c r="G33" s="75" t="s">
        <v>1131</v>
      </c>
      <c r="H33" s="74" t="s">
        <v>1022</v>
      </c>
      <c r="I33" s="71">
        <v>234</v>
      </c>
      <c r="J33" s="66">
        <v>15</v>
      </c>
      <c r="K33" s="63">
        <v>100</v>
      </c>
      <c r="L33" s="63">
        <v>35</v>
      </c>
      <c r="M33" s="67">
        <v>100</v>
      </c>
      <c r="N33" s="68" t="s">
        <v>927</v>
      </c>
      <c r="O33" s="69" t="s">
        <v>1132</v>
      </c>
      <c r="P33" s="71" t="s">
        <v>105</v>
      </c>
      <c r="Q33" s="70" t="s">
        <v>945</v>
      </c>
      <c r="R33" s="73" t="s">
        <v>1133</v>
      </c>
      <c r="S33" s="74" t="s">
        <v>82</v>
      </c>
      <c r="T33" s="71" t="s">
        <v>929</v>
      </c>
      <c r="U33" s="72" t="s">
        <v>1134</v>
      </c>
      <c r="V33" s="73" t="s">
        <v>1047</v>
      </c>
      <c r="W33" s="74">
        <v>40</v>
      </c>
      <c r="X33" s="74">
        <v>40</v>
      </c>
      <c r="Y33" s="75">
        <v>0</v>
      </c>
      <c r="Z33" s="75" t="s">
        <v>1135</v>
      </c>
    </row>
    <row r="34" spans="1:26" ht="54">
      <c r="A34" s="82">
        <v>30</v>
      </c>
      <c r="B34" s="81" t="s">
        <v>923</v>
      </c>
      <c r="C34" s="73" t="s">
        <v>1105</v>
      </c>
      <c r="D34" s="87" t="s">
        <v>1136</v>
      </c>
      <c r="E34" s="75" t="s">
        <v>1137</v>
      </c>
      <c r="F34" s="86" t="s">
        <v>1138</v>
      </c>
      <c r="G34" s="75" t="s">
        <v>1139</v>
      </c>
      <c r="H34" s="74" t="s">
        <v>1054</v>
      </c>
      <c r="I34" s="71">
        <v>225</v>
      </c>
      <c r="J34" s="66">
        <v>0</v>
      </c>
      <c r="K34" s="63">
        <v>90</v>
      </c>
      <c r="L34" s="63">
        <v>90</v>
      </c>
      <c r="M34" s="67">
        <v>45</v>
      </c>
      <c r="N34" s="68"/>
      <c r="O34" s="69"/>
      <c r="P34" s="71" t="s">
        <v>92</v>
      </c>
      <c r="Q34" s="70" t="s">
        <v>92</v>
      </c>
      <c r="R34" s="73" t="s">
        <v>1140</v>
      </c>
      <c r="S34" s="74" t="s">
        <v>82</v>
      </c>
      <c r="T34" s="71" t="s">
        <v>929</v>
      </c>
      <c r="U34" s="72" t="s">
        <v>1141</v>
      </c>
      <c r="V34" s="73" t="s">
        <v>1142</v>
      </c>
      <c r="W34" s="74">
        <v>60</v>
      </c>
      <c r="X34" s="74">
        <v>60</v>
      </c>
      <c r="Y34" s="75"/>
      <c r="Z34" s="75" t="s">
        <v>1143</v>
      </c>
    </row>
    <row r="35" spans="1:26" ht="81">
      <c r="A35" s="82">
        <v>31</v>
      </c>
      <c r="B35" s="81" t="s">
        <v>923</v>
      </c>
      <c r="C35" s="73" t="s">
        <v>1105</v>
      </c>
      <c r="D35" s="87" t="s">
        <v>1144</v>
      </c>
      <c r="E35" s="75" t="s">
        <v>1145</v>
      </c>
      <c r="F35" s="86" t="s">
        <v>1146</v>
      </c>
      <c r="G35" s="75" t="s">
        <v>1147</v>
      </c>
      <c r="H35" s="74" t="s">
        <v>1015</v>
      </c>
      <c r="I35" s="71">
        <v>30</v>
      </c>
      <c r="J35" s="85">
        <v>15</v>
      </c>
      <c r="K35" s="84">
        <v>7.5</v>
      </c>
      <c r="L35" s="84">
        <v>7.5</v>
      </c>
      <c r="M35" s="74"/>
      <c r="N35" s="83" t="s">
        <v>1148</v>
      </c>
      <c r="O35" s="70" t="s">
        <v>1149</v>
      </c>
      <c r="P35" s="71" t="s">
        <v>124</v>
      </c>
      <c r="Q35" s="70" t="s">
        <v>124</v>
      </c>
      <c r="R35" s="73" t="s">
        <v>1150</v>
      </c>
      <c r="S35" s="74" t="s">
        <v>82</v>
      </c>
      <c r="T35" s="71" t="s">
        <v>1151</v>
      </c>
      <c r="U35" s="72"/>
      <c r="V35" s="73" t="s">
        <v>1152</v>
      </c>
      <c r="W35" s="74">
        <v>300</v>
      </c>
      <c r="X35" s="74">
        <v>300</v>
      </c>
      <c r="Y35" s="75"/>
      <c r="Z35" s="75" t="s">
        <v>1153</v>
      </c>
    </row>
    <row r="36" spans="1:26" ht="27">
      <c r="A36" s="82">
        <v>32</v>
      </c>
      <c r="B36" s="81" t="s">
        <v>923</v>
      </c>
      <c r="C36" s="73" t="s">
        <v>1105</v>
      </c>
      <c r="D36" s="64" t="s">
        <v>1154</v>
      </c>
      <c r="E36" s="75" t="s">
        <v>1155</v>
      </c>
      <c r="F36" s="65" t="s">
        <v>1156</v>
      </c>
      <c r="G36" s="75" t="s">
        <v>1001</v>
      </c>
      <c r="H36" s="74" t="s">
        <v>943</v>
      </c>
      <c r="I36" s="71">
        <v>200</v>
      </c>
      <c r="J36" s="66">
        <v>100</v>
      </c>
      <c r="K36" s="63"/>
      <c r="L36" s="63">
        <v>100</v>
      </c>
      <c r="M36" s="67"/>
      <c r="N36" s="68" t="s">
        <v>1002</v>
      </c>
      <c r="O36" s="69" t="s">
        <v>1003</v>
      </c>
      <c r="P36" s="71" t="s">
        <v>67</v>
      </c>
      <c r="Q36" s="70" t="s">
        <v>67</v>
      </c>
      <c r="R36" s="73" t="s">
        <v>1004</v>
      </c>
      <c r="S36" s="74" t="s">
        <v>82</v>
      </c>
      <c r="T36" s="71" t="s">
        <v>1005</v>
      </c>
      <c r="U36" s="72"/>
      <c r="V36" s="73"/>
      <c r="W36" s="74">
        <v>15</v>
      </c>
      <c r="X36" s="74">
        <v>15</v>
      </c>
      <c r="Y36" s="75"/>
      <c r="Z36" s="75" t="s">
        <v>938</v>
      </c>
    </row>
    <row r="37" spans="1:26" s="78" customFormat="1">
      <c r="A37" s="76"/>
      <c r="B37" s="76"/>
      <c r="C37" s="76"/>
      <c r="D37" s="77"/>
    </row>
  </sheetData>
  <mergeCells count="4">
    <mergeCell ref="N3:O3"/>
    <mergeCell ref="A1:Y2"/>
    <mergeCell ref="I3:M3"/>
    <mergeCell ref="W3:Y3"/>
  </mergeCells>
  <phoneticPr fontId="3" type="noConversion"/>
  <dataValidations count="2">
    <dataValidation type="list" allowBlank="1" showInputMessage="1" showErrorMessage="1" sqref="P24:Q36 P5:P23">
      <formula1>#REF!</formula1>
    </dataValidation>
    <dataValidation type="list" allowBlank="1" showInputMessage="1" showErrorMessage="1" sqref="B5:B36">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1"/>
  <sheetViews>
    <sheetView workbookViewId="0">
      <selection activeCell="G3" sqref="G1:G1048576"/>
    </sheetView>
  </sheetViews>
  <sheetFormatPr defaultRowHeight="13.5"/>
  <cols>
    <col min="1" max="1" width="5.109375" style="8" customWidth="1"/>
    <col min="2" max="2" width="12.33203125" style="8" customWidth="1"/>
    <col min="3" max="3" width="9.109375" style="8"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256" width="8.88671875" style="1"/>
    <col min="257" max="257" width="5.109375" style="1" customWidth="1"/>
    <col min="258" max="258" width="12.33203125" style="1" customWidth="1"/>
    <col min="259" max="259" width="9.109375" style="1" customWidth="1"/>
    <col min="260" max="260" width="17.6640625" style="1" customWidth="1"/>
    <col min="261" max="261" width="12.109375" style="1" customWidth="1"/>
    <col min="262" max="262" width="42" style="1" customWidth="1"/>
    <col min="263" max="263" width="25.109375" style="1" customWidth="1"/>
    <col min="264" max="264" width="12.21875" style="1" customWidth="1"/>
    <col min="265" max="265" width="14.21875" style="1" customWidth="1"/>
    <col min="266" max="269" width="7.6640625" style="1" customWidth="1"/>
    <col min="270" max="270" width="10.21875" style="1" customWidth="1"/>
    <col min="271" max="271" width="30.21875" style="1" customWidth="1"/>
    <col min="272" max="274" width="12.77734375" style="1" customWidth="1"/>
    <col min="275" max="275" width="12.21875" style="1" customWidth="1"/>
    <col min="276" max="276" width="13.33203125" style="1" customWidth="1"/>
    <col min="277" max="277" width="12.77734375" style="1" customWidth="1"/>
    <col min="278" max="282" width="12.21875" style="1" customWidth="1"/>
    <col min="283" max="512" width="8.88671875" style="1"/>
    <col min="513" max="513" width="5.109375" style="1" customWidth="1"/>
    <col min="514" max="514" width="12.33203125" style="1" customWidth="1"/>
    <col min="515" max="515" width="9.109375" style="1" customWidth="1"/>
    <col min="516" max="516" width="17.6640625" style="1" customWidth="1"/>
    <col min="517" max="517" width="12.109375" style="1" customWidth="1"/>
    <col min="518" max="518" width="42" style="1" customWidth="1"/>
    <col min="519" max="519" width="25.109375" style="1" customWidth="1"/>
    <col min="520" max="520" width="12.21875" style="1" customWidth="1"/>
    <col min="521" max="521" width="14.21875" style="1" customWidth="1"/>
    <col min="522" max="525" width="7.6640625" style="1" customWidth="1"/>
    <col min="526" max="526" width="10.21875" style="1" customWidth="1"/>
    <col min="527" max="527" width="30.21875" style="1" customWidth="1"/>
    <col min="528" max="530" width="12.77734375" style="1" customWidth="1"/>
    <col min="531" max="531" width="12.21875" style="1" customWidth="1"/>
    <col min="532" max="532" width="13.33203125" style="1" customWidth="1"/>
    <col min="533" max="533" width="12.77734375" style="1" customWidth="1"/>
    <col min="534" max="538" width="12.21875" style="1" customWidth="1"/>
    <col min="539" max="768" width="8.88671875" style="1"/>
    <col min="769" max="769" width="5.109375" style="1" customWidth="1"/>
    <col min="770" max="770" width="12.33203125" style="1" customWidth="1"/>
    <col min="771" max="771" width="9.109375" style="1" customWidth="1"/>
    <col min="772" max="772" width="17.6640625" style="1" customWidth="1"/>
    <col min="773" max="773" width="12.109375" style="1" customWidth="1"/>
    <col min="774" max="774" width="42" style="1" customWidth="1"/>
    <col min="775" max="775" width="25.109375" style="1" customWidth="1"/>
    <col min="776" max="776" width="12.21875" style="1" customWidth="1"/>
    <col min="777" max="777" width="14.21875" style="1" customWidth="1"/>
    <col min="778" max="781" width="7.6640625" style="1" customWidth="1"/>
    <col min="782" max="782" width="10.21875" style="1" customWidth="1"/>
    <col min="783" max="783" width="30.21875" style="1" customWidth="1"/>
    <col min="784" max="786" width="12.77734375" style="1" customWidth="1"/>
    <col min="787" max="787" width="12.21875" style="1" customWidth="1"/>
    <col min="788" max="788" width="13.33203125" style="1" customWidth="1"/>
    <col min="789" max="789" width="12.77734375" style="1" customWidth="1"/>
    <col min="790" max="794" width="12.21875" style="1" customWidth="1"/>
    <col min="795" max="1024" width="8.88671875" style="1"/>
    <col min="1025" max="1025" width="5.109375" style="1" customWidth="1"/>
    <col min="1026" max="1026" width="12.33203125" style="1" customWidth="1"/>
    <col min="1027" max="1027" width="9.109375" style="1" customWidth="1"/>
    <col min="1028" max="1028" width="17.6640625" style="1" customWidth="1"/>
    <col min="1029" max="1029" width="12.109375" style="1" customWidth="1"/>
    <col min="1030" max="1030" width="42" style="1" customWidth="1"/>
    <col min="1031" max="1031" width="25.109375" style="1" customWidth="1"/>
    <col min="1032" max="1032" width="12.21875" style="1" customWidth="1"/>
    <col min="1033" max="1033" width="14.21875" style="1" customWidth="1"/>
    <col min="1034" max="1037" width="7.6640625" style="1" customWidth="1"/>
    <col min="1038" max="1038" width="10.21875" style="1" customWidth="1"/>
    <col min="1039" max="1039" width="30.21875" style="1" customWidth="1"/>
    <col min="1040" max="1042" width="12.77734375" style="1" customWidth="1"/>
    <col min="1043" max="1043" width="12.21875" style="1" customWidth="1"/>
    <col min="1044" max="1044" width="13.33203125" style="1" customWidth="1"/>
    <col min="1045" max="1045" width="12.77734375" style="1" customWidth="1"/>
    <col min="1046" max="1050" width="12.21875" style="1" customWidth="1"/>
    <col min="1051" max="1280" width="8.88671875" style="1"/>
    <col min="1281" max="1281" width="5.109375" style="1" customWidth="1"/>
    <col min="1282" max="1282" width="12.33203125" style="1" customWidth="1"/>
    <col min="1283" max="1283" width="9.109375" style="1" customWidth="1"/>
    <col min="1284" max="1284" width="17.6640625" style="1" customWidth="1"/>
    <col min="1285" max="1285" width="12.109375" style="1" customWidth="1"/>
    <col min="1286" max="1286" width="42" style="1" customWidth="1"/>
    <col min="1287" max="1287" width="25.109375" style="1" customWidth="1"/>
    <col min="1288" max="1288" width="12.21875" style="1" customWidth="1"/>
    <col min="1289" max="1289" width="14.21875" style="1" customWidth="1"/>
    <col min="1290" max="1293" width="7.6640625" style="1" customWidth="1"/>
    <col min="1294" max="1294" width="10.21875" style="1" customWidth="1"/>
    <col min="1295" max="1295" width="30.21875" style="1" customWidth="1"/>
    <col min="1296" max="1298" width="12.77734375" style="1" customWidth="1"/>
    <col min="1299" max="1299" width="12.21875" style="1" customWidth="1"/>
    <col min="1300" max="1300" width="13.33203125" style="1" customWidth="1"/>
    <col min="1301" max="1301" width="12.77734375" style="1" customWidth="1"/>
    <col min="1302" max="1306" width="12.21875" style="1" customWidth="1"/>
    <col min="1307" max="1536" width="8.88671875" style="1"/>
    <col min="1537" max="1537" width="5.109375" style="1" customWidth="1"/>
    <col min="1538" max="1538" width="12.33203125" style="1" customWidth="1"/>
    <col min="1539" max="1539" width="9.109375" style="1" customWidth="1"/>
    <col min="1540" max="1540" width="17.6640625" style="1" customWidth="1"/>
    <col min="1541" max="1541" width="12.109375" style="1" customWidth="1"/>
    <col min="1542" max="1542" width="42" style="1" customWidth="1"/>
    <col min="1543" max="1543" width="25.109375" style="1" customWidth="1"/>
    <col min="1544" max="1544" width="12.21875" style="1" customWidth="1"/>
    <col min="1545" max="1545" width="14.21875" style="1" customWidth="1"/>
    <col min="1546" max="1549" width="7.6640625" style="1" customWidth="1"/>
    <col min="1550" max="1550" width="10.21875" style="1" customWidth="1"/>
    <col min="1551" max="1551" width="30.21875" style="1" customWidth="1"/>
    <col min="1552" max="1554" width="12.77734375" style="1" customWidth="1"/>
    <col min="1555" max="1555" width="12.21875" style="1" customWidth="1"/>
    <col min="1556" max="1556" width="13.33203125" style="1" customWidth="1"/>
    <col min="1557" max="1557" width="12.77734375" style="1" customWidth="1"/>
    <col min="1558" max="1562" width="12.21875" style="1" customWidth="1"/>
    <col min="1563" max="1792" width="8.88671875" style="1"/>
    <col min="1793" max="1793" width="5.109375" style="1" customWidth="1"/>
    <col min="1794" max="1794" width="12.33203125" style="1" customWidth="1"/>
    <col min="1795" max="1795" width="9.109375" style="1" customWidth="1"/>
    <col min="1796" max="1796" width="17.6640625" style="1" customWidth="1"/>
    <col min="1797" max="1797" width="12.109375" style="1" customWidth="1"/>
    <col min="1798" max="1798" width="42" style="1" customWidth="1"/>
    <col min="1799" max="1799" width="25.109375" style="1" customWidth="1"/>
    <col min="1800" max="1800" width="12.21875" style="1" customWidth="1"/>
    <col min="1801" max="1801" width="14.21875" style="1" customWidth="1"/>
    <col min="1802" max="1805" width="7.6640625" style="1" customWidth="1"/>
    <col min="1806" max="1806" width="10.21875" style="1" customWidth="1"/>
    <col min="1807" max="1807" width="30.21875" style="1" customWidth="1"/>
    <col min="1808" max="1810" width="12.77734375" style="1" customWidth="1"/>
    <col min="1811" max="1811" width="12.21875" style="1" customWidth="1"/>
    <col min="1812" max="1812" width="13.33203125" style="1" customWidth="1"/>
    <col min="1813" max="1813" width="12.77734375" style="1" customWidth="1"/>
    <col min="1814" max="1818" width="12.21875" style="1" customWidth="1"/>
    <col min="1819" max="2048" width="8.88671875" style="1"/>
    <col min="2049" max="2049" width="5.109375" style="1" customWidth="1"/>
    <col min="2050" max="2050" width="12.33203125" style="1" customWidth="1"/>
    <col min="2051" max="2051" width="9.109375" style="1" customWidth="1"/>
    <col min="2052" max="2052" width="17.6640625" style="1" customWidth="1"/>
    <col min="2053" max="2053" width="12.109375" style="1" customWidth="1"/>
    <col min="2054" max="2054" width="42" style="1" customWidth="1"/>
    <col min="2055" max="2055" width="25.109375" style="1" customWidth="1"/>
    <col min="2056" max="2056" width="12.21875" style="1" customWidth="1"/>
    <col min="2057" max="2057" width="14.21875" style="1" customWidth="1"/>
    <col min="2058" max="2061" width="7.6640625" style="1" customWidth="1"/>
    <col min="2062" max="2062" width="10.21875" style="1" customWidth="1"/>
    <col min="2063" max="2063" width="30.21875" style="1" customWidth="1"/>
    <col min="2064" max="2066" width="12.77734375" style="1" customWidth="1"/>
    <col min="2067" max="2067" width="12.21875" style="1" customWidth="1"/>
    <col min="2068" max="2068" width="13.33203125" style="1" customWidth="1"/>
    <col min="2069" max="2069" width="12.77734375" style="1" customWidth="1"/>
    <col min="2070" max="2074" width="12.21875" style="1" customWidth="1"/>
    <col min="2075" max="2304" width="8.88671875" style="1"/>
    <col min="2305" max="2305" width="5.109375" style="1" customWidth="1"/>
    <col min="2306" max="2306" width="12.33203125" style="1" customWidth="1"/>
    <col min="2307" max="2307" width="9.109375" style="1" customWidth="1"/>
    <col min="2308" max="2308" width="17.6640625" style="1" customWidth="1"/>
    <col min="2309" max="2309" width="12.109375" style="1" customWidth="1"/>
    <col min="2310" max="2310" width="42" style="1" customWidth="1"/>
    <col min="2311" max="2311" width="25.109375" style="1" customWidth="1"/>
    <col min="2312" max="2312" width="12.21875" style="1" customWidth="1"/>
    <col min="2313" max="2313" width="14.21875" style="1" customWidth="1"/>
    <col min="2314" max="2317" width="7.6640625" style="1" customWidth="1"/>
    <col min="2318" max="2318" width="10.21875" style="1" customWidth="1"/>
    <col min="2319" max="2319" width="30.21875" style="1" customWidth="1"/>
    <col min="2320" max="2322" width="12.77734375" style="1" customWidth="1"/>
    <col min="2323" max="2323" width="12.21875" style="1" customWidth="1"/>
    <col min="2324" max="2324" width="13.33203125" style="1" customWidth="1"/>
    <col min="2325" max="2325" width="12.77734375" style="1" customWidth="1"/>
    <col min="2326" max="2330" width="12.21875" style="1" customWidth="1"/>
    <col min="2331" max="2560" width="8.88671875" style="1"/>
    <col min="2561" max="2561" width="5.109375" style="1" customWidth="1"/>
    <col min="2562" max="2562" width="12.33203125" style="1" customWidth="1"/>
    <col min="2563" max="2563" width="9.109375" style="1" customWidth="1"/>
    <col min="2564" max="2564" width="17.6640625" style="1" customWidth="1"/>
    <col min="2565" max="2565" width="12.109375" style="1" customWidth="1"/>
    <col min="2566" max="2566" width="42" style="1" customWidth="1"/>
    <col min="2567" max="2567" width="25.109375" style="1" customWidth="1"/>
    <col min="2568" max="2568" width="12.21875" style="1" customWidth="1"/>
    <col min="2569" max="2569" width="14.21875" style="1" customWidth="1"/>
    <col min="2570" max="2573" width="7.6640625" style="1" customWidth="1"/>
    <col min="2574" max="2574" width="10.21875" style="1" customWidth="1"/>
    <col min="2575" max="2575" width="30.21875" style="1" customWidth="1"/>
    <col min="2576" max="2578" width="12.77734375" style="1" customWidth="1"/>
    <col min="2579" max="2579" width="12.21875" style="1" customWidth="1"/>
    <col min="2580" max="2580" width="13.33203125" style="1" customWidth="1"/>
    <col min="2581" max="2581" width="12.77734375" style="1" customWidth="1"/>
    <col min="2582" max="2586" width="12.21875" style="1" customWidth="1"/>
    <col min="2587" max="2816" width="8.88671875" style="1"/>
    <col min="2817" max="2817" width="5.109375" style="1" customWidth="1"/>
    <col min="2818" max="2818" width="12.33203125" style="1" customWidth="1"/>
    <col min="2819" max="2819" width="9.109375" style="1" customWidth="1"/>
    <col min="2820" max="2820" width="17.6640625" style="1" customWidth="1"/>
    <col min="2821" max="2821" width="12.109375" style="1" customWidth="1"/>
    <col min="2822" max="2822" width="42" style="1" customWidth="1"/>
    <col min="2823" max="2823" width="25.109375" style="1" customWidth="1"/>
    <col min="2824" max="2824" width="12.21875" style="1" customWidth="1"/>
    <col min="2825" max="2825" width="14.21875" style="1" customWidth="1"/>
    <col min="2826" max="2829" width="7.6640625" style="1" customWidth="1"/>
    <col min="2830" max="2830" width="10.21875" style="1" customWidth="1"/>
    <col min="2831" max="2831" width="30.21875" style="1" customWidth="1"/>
    <col min="2832" max="2834" width="12.77734375" style="1" customWidth="1"/>
    <col min="2835" max="2835" width="12.21875" style="1" customWidth="1"/>
    <col min="2836" max="2836" width="13.33203125" style="1" customWidth="1"/>
    <col min="2837" max="2837" width="12.77734375" style="1" customWidth="1"/>
    <col min="2838" max="2842" width="12.21875" style="1" customWidth="1"/>
    <col min="2843" max="3072" width="8.88671875" style="1"/>
    <col min="3073" max="3073" width="5.109375" style="1" customWidth="1"/>
    <col min="3074" max="3074" width="12.33203125" style="1" customWidth="1"/>
    <col min="3075" max="3075" width="9.109375" style="1" customWidth="1"/>
    <col min="3076" max="3076" width="17.6640625" style="1" customWidth="1"/>
    <col min="3077" max="3077" width="12.109375" style="1" customWidth="1"/>
    <col min="3078" max="3078" width="42" style="1" customWidth="1"/>
    <col min="3079" max="3079" width="25.109375" style="1" customWidth="1"/>
    <col min="3080" max="3080" width="12.21875" style="1" customWidth="1"/>
    <col min="3081" max="3081" width="14.21875" style="1" customWidth="1"/>
    <col min="3082" max="3085" width="7.6640625" style="1" customWidth="1"/>
    <col min="3086" max="3086" width="10.21875" style="1" customWidth="1"/>
    <col min="3087" max="3087" width="30.21875" style="1" customWidth="1"/>
    <col min="3088" max="3090" width="12.77734375" style="1" customWidth="1"/>
    <col min="3091" max="3091" width="12.21875" style="1" customWidth="1"/>
    <col min="3092" max="3092" width="13.33203125" style="1" customWidth="1"/>
    <col min="3093" max="3093" width="12.77734375" style="1" customWidth="1"/>
    <col min="3094" max="3098" width="12.21875" style="1" customWidth="1"/>
    <col min="3099" max="3328" width="8.88671875" style="1"/>
    <col min="3329" max="3329" width="5.109375" style="1" customWidth="1"/>
    <col min="3330" max="3330" width="12.33203125" style="1" customWidth="1"/>
    <col min="3331" max="3331" width="9.109375" style="1" customWidth="1"/>
    <col min="3332" max="3332" width="17.6640625" style="1" customWidth="1"/>
    <col min="3333" max="3333" width="12.109375" style="1" customWidth="1"/>
    <col min="3334" max="3334" width="42" style="1" customWidth="1"/>
    <col min="3335" max="3335" width="25.109375" style="1" customWidth="1"/>
    <col min="3336" max="3336" width="12.21875" style="1" customWidth="1"/>
    <col min="3337" max="3337" width="14.21875" style="1" customWidth="1"/>
    <col min="3338" max="3341" width="7.6640625" style="1" customWidth="1"/>
    <col min="3342" max="3342" width="10.21875" style="1" customWidth="1"/>
    <col min="3343" max="3343" width="30.21875" style="1" customWidth="1"/>
    <col min="3344" max="3346" width="12.77734375" style="1" customWidth="1"/>
    <col min="3347" max="3347" width="12.21875" style="1" customWidth="1"/>
    <col min="3348" max="3348" width="13.33203125" style="1" customWidth="1"/>
    <col min="3349" max="3349" width="12.77734375" style="1" customWidth="1"/>
    <col min="3350" max="3354" width="12.21875" style="1" customWidth="1"/>
    <col min="3355" max="3584" width="8.88671875" style="1"/>
    <col min="3585" max="3585" width="5.109375" style="1" customWidth="1"/>
    <col min="3586" max="3586" width="12.33203125" style="1" customWidth="1"/>
    <col min="3587" max="3587" width="9.109375" style="1" customWidth="1"/>
    <col min="3588" max="3588" width="17.6640625" style="1" customWidth="1"/>
    <col min="3589" max="3589" width="12.109375" style="1" customWidth="1"/>
    <col min="3590" max="3590" width="42" style="1" customWidth="1"/>
    <col min="3591" max="3591" width="25.109375" style="1" customWidth="1"/>
    <col min="3592" max="3592" width="12.21875" style="1" customWidth="1"/>
    <col min="3593" max="3593" width="14.21875" style="1" customWidth="1"/>
    <col min="3594" max="3597" width="7.6640625" style="1" customWidth="1"/>
    <col min="3598" max="3598" width="10.21875" style="1" customWidth="1"/>
    <col min="3599" max="3599" width="30.21875" style="1" customWidth="1"/>
    <col min="3600" max="3602" width="12.77734375" style="1" customWidth="1"/>
    <col min="3603" max="3603" width="12.21875" style="1" customWidth="1"/>
    <col min="3604" max="3604" width="13.33203125" style="1" customWidth="1"/>
    <col min="3605" max="3605" width="12.77734375" style="1" customWidth="1"/>
    <col min="3606" max="3610" width="12.21875" style="1" customWidth="1"/>
    <col min="3611" max="3840" width="8.88671875" style="1"/>
    <col min="3841" max="3841" width="5.109375" style="1" customWidth="1"/>
    <col min="3842" max="3842" width="12.33203125" style="1" customWidth="1"/>
    <col min="3843" max="3843" width="9.109375" style="1" customWidth="1"/>
    <col min="3844" max="3844" width="17.6640625" style="1" customWidth="1"/>
    <col min="3845" max="3845" width="12.109375" style="1" customWidth="1"/>
    <col min="3846" max="3846" width="42" style="1" customWidth="1"/>
    <col min="3847" max="3847" width="25.109375" style="1" customWidth="1"/>
    <col min="3848" max="3848" width="12.21875" style="1" customWidth="1"/>
    <col min="3849" max="3849" width="14.21875" style="1" customWidth="1"/>
    <col min="3850" max="3853" width="7.6640625" style="1" customWidth="1"/>
    <col min="3854" max="3854" width="10.21875" style="1" customWidth="1"/>
    <col min="3855" max="3855" width="30.21875" style="1" customWidth="1"/>
    <col min="3856" max="3858" width="12.77734375" style="1" customWidth="1"/>
    <col min="3859" max="3859" width="12.21875" style="1" customWidth="1"/>
    <col min="3860" max="3860" width="13.33203125" style="1" customWidth="1"/>
    <col min="3861" max="3861" width="12.77734375" style="1" customWidth="1"/>
    <col min="3862" max="3866" width="12.21875" style="1" customWidth="1"/>
    <col min="3867" max="4096" width="8.88671875" style="1"/>
    <col min="4097" max="4097" width="5.109375" style="1" customWidth="1"/>
    <col min="4098" max="4098" width="12.33203125" style="1" customWidth="1"/>
    <col min="4099" max="4099" width="9.109375" style="1" customWidth="1"/>
    <col min="4100" max="4100" width="17.6640625" style="1" customWidth="1"/>
    <col min="4101" max="4101" width="12.109375" style="1" customWidth="1"/>
    <col min="4102" max="4102" width="42" style="1" customWidth="1"/>
    <col min="4103" max="4103" width="25.109375" style="1" customWidth="1"/>
    <col min="4104" max="4104" width="12.21875" style="1" customWidth="1"/>
    <col min="4105" max="4105" width="14.21875" style="1" customWidth="1"/>
    <col min="4106" max="4109" width="7.6640625" style="1" customWidth="1"/>
    <col min="4110" max="4110" width="10.21875" style="1" customWidth="1"/>
    <col min="4111" max="4111" width="30.21875" style="1" customWidth="1"/>
    <col min="4112" max="4114" width="12.77734375" style="1" customWidth="1"/>
    <col min="4115" max="4115" width="12.21875" style="1" customWidth="1"/>
    <col min="4116" max="4116" width="13.33203125" style="1" customWidth="1"/>
    <col min="4117" max="4117" width="12.77734375" style="1" customWidth="1"/>
    <col min="4118" max="4122" width="12.21875" style="1" customWidth="1"/>
    <col min="4123" max="4352" width="8.88671875" style="1"/>
    <col min="4353" max="4353" width="5.109375" style="1" customWidth="1"/>
    <col min="4354" max="4354" width="12.33203125" style="1" customWidth="1"/>
    <col min="4355" max="4355" width="9.109375" style="1" customWidth="1"/>
    <col min="4356" max="4356" width="17.6640625" style="1" customWidth="1"/>
    <col min="4357" max="4357" width="12.109375" style="1" customWidth="1"/>
    <col min="4358" max="4358" width="42" style="1" customWidth="1"/>
    <col min="4359" max="4359" width="25.109375" style="1" customWidth="1"/>
    <col min="4360" max="4360" width="12.21875" style="1" customWidth="1"/>
    <col min="4361" max="4361" width="14.21875" style="1" customWidth="1"/>
    <col min="4362" max="4365" width="7.6640625" style="1" customWidth="1"/>
    <col min="4366" max="4366" width="10.21875" style="1" customWidth="1"/>
    <col min="4367" max="4367" width="30.21875" style="1" customWidth="1"/>
    <col min="4368" max="4370" width="12.77734375" style="1" customWidth="1"/>
    <col min="4371" max="4371" width="12.21875" style="1" customWidth="1"/>
    <col min="4372" max="4372" width="13.33203125" style="1" customWidth="1"/>
    <col min="4373" max="4373" width="12.77734375" style="1" customWidth="1"/>
    <col min="4374" max="4378" width="12.21875" style="1" customWidth="1"/>
    <col min="4379" max="4608" width="8.88671875" style="1"/>
    <col min="4609" max="4609" width="5.109375" style="1" customWidth="1"/>
    <col min="4610" max="4610" width="12.33203125" style="1" customWidth="1"/>
    <col min="4611" max="4611" width="9.109375" style="1" customWidth="1"/>
    <col min="4612" max="4612" width="17.6640625" style="1" customWidth="1"/>
    <col min="4613" max="4613" width="12.109375" style="1" customWidth="1"/>
    <col min="4614" max="4614" width="42" style="1" customWidth="1"/>
    <col min="4615" max="4615" width="25.109375" style="1" customWidth="1"/>
    <col min="4616" max="4616" width="12.21875" style="1" customWidth="1"/>
    <col min="4617" max="4617" width="14.21875" style="1" customWidth="1"/>
    <col min="4618" max="4621" width="7.6640625" style="1" customWidth="1"/>
    <col min="4622" max="4622" width="10.21875" style="1" customWidth="1"/>
    <col min="4623" max="4623" width="30.21875" style="1" customWidth="1"/>
    <col min="4624" max="4626" width="12.77734375" style="1" customWidth="1"/>
    <col min="4627" max="4627" width="12.21875" style="1" customWidth="1"/>
    <col min="4628" max="4628" width="13.33203125" style="1" customWidth="1"/>
    <col min="4629" max="4629" width="12.77734375" style="1" customWidth="1"/>
    <col min="4630" max="4634" width="12.21875" style="1" customWidth="1"/>
    <col min="4635" max="4864" width="8.88671875" style="1"/>
    <col min="4865" max="4865" width="5.109375" style="1" customWidth="1"/>
    <col min="4866" max="4866" width="12.33203125" style="1" customWidth="1"/>
    <col min="4867" max="4867" width="9.109375" style="1" customWidth="1"/>
    <col min="4868" max="4868" width="17.6640625" style="1" customWidth="1"/>
    <col min="4869" max="4869" width="12.109375" style="1" customWidth="1"/>
    <col min="4870" max="4870" width="42" style="1" customWidth="1"/>
    <col min="4871" max="4871" width="25.109375" style="1" customWidth="1"/>
    <col min="4872" max="4872" width="12.21875" style="1" customWidth="1"/>
    <col min="4873" max="4873" width="14.21875" style="1" customWidth="1"/>
    <col min="4874" max="4877" width="7.6640625" style="1" customWidth="1"/>
    <col min="4878" max="4878" width="10.21875" style="1" customWidth="1"/>
    <col min="4879" max="4879" width="30.21875" style="1" customWidth="1"/>
    <col min="4880" max="4882" width="12.77734375" style="1" customWidth="1"/>
    <col min="4883" max="4883" width="12.21875" style="1" customWidth="1"/>
    <col min="4884" max="4884" width="13.33203125" style="1" customWidth="1"/>
    <col min="4885" max="4885" width="12.77734375" style="1" customWidth="1"/>
    <col min="4886" max="4890" width="12.21875" style="1" customWidth="1"/>
    <col min="4891" max="5120" width="8.88671875" style="1"/>
    <col min="5121" max="5121" width="5.109375" style="1" customWidth="1"/>
    <col min="5122" max="5122" width="12.33203125" style="1" customWidth="1"/>
    <col min="5123" max="5123" width="9.109375" style="1" customWidth="1"/>
    <col min="5124" max="5124" width="17.6640625" style="1" customWidth="1"/>
    <col min="5125" max="5125" width="12.109375" style="1" customWidth="1"/>
    <col min="5126" max="5126" width="42" style="1" customWidth="1"/>
    <col min="5127" max="5127" width="25.109375" style="1" customWidth="1"/>
    <col min="5128" max="5128" width="12.21875" style="1" customWidth="1"/>
    <col min="5129" max="5129" width="14.21875" style="1" customWidth="1"/>
    <col min="5130" max="5133" width="7.6640625" style="1" customWidth="1"/>
    <col min="5134" max="5134" width="10.21875" style="1" customWidth="1"/>
    <col min="5135" max="5135" width="30.21875" style="1" customWidth="1"/>
    <col min="5136" max="5138" width="12.77734375" style="1" customWidth="1"/>
    <col min="5139" max="5139" width="12.21875" style="1" customWidth="1"/>
    <col min="5140" max="5140" width="13.33203125" style="1" customWidth="1"/>
    <col min="5141" max="5141" width="12.77734375" style="1" customWidth="1"/>
    <col min="5142" max="5146" width="12.21875" style="1" customWidth="1"/>
    <col min="5147" max="5376" width="8.88671875" style="1"/>
    <col min="5377" max="5377" width="5.109375" style="1" customWidth="1"/>
    <col min="5378" max="5378" width="12.33203125" style="1" customWidth="1"/>
    <col min="5379" max="5379" width="9.109375" style="1" customWidth="1"/>
    <col min="5380" max="5380" width="17.6640625" style="1" customWidth="1"/>
    <col min="5381" max="5381" width="12.109375" style="1" customWidth="1"/>
    <col min="5382" max="5382" width="42" style="1" customWidth="1"/>
    <col min="5383" max="5383" width="25.109375" style="1" customWidth="1"/>
    <col min="5384" max="5384" width="12.21875" style="1" customWidth="1"/>
    <col min="5385" max="5385" width="14.21875" style="1" customWidth="1"/>
    <col min="5386" max="5389" width="7.6640625" style="1" customWidth="1"/>
    <col min="5390" max="5390" width="10.21875" style="1" customWidth="1"/>
    <col min="5391" max="5391" width="30.21875" style="1" customWidth="1"/>
    <col min="5392" max="5394" width="12.77734375" style="1" customWidth="1"/>
    <col min="5395" max="5395" width="12.21875" style="1" customWidth="1"/>
    <col min="5396" max="5396" width="13.33203125" style="1" customWidth="1"/>
    <col min="5397" max="5397" width="12.77734375" style="1" customWidth="1"/>
    <col min="5398" max="5402" width="12.21875" style="1" customWidth="1"/>
    <col min="5403" max="5632" width="8.88671875" style="1"/>
    <col min="5633" max="5633" width="5.109375" style="1" customWidth="1"/>
    <col min="5634" max="5634" width="12.33203125" style="1" customWidth="1"/>
    <col min="5635" max="5635" width="9.109375" style="1" customWidth="1"/>
    <col min="5636" max="5636" width="17.6640625" style="1" customWidth="1"/>
    <col min="5637" max="5637" width="12.109375" style="1" customWidth="1"/>
    <col min="5638" max="5638" width="42" style="1" customWidth="1"/>
    <col min="5639" max="5639" width="25.109375" style="1" customWidth="1"/>
    <col min="5640" max="5640" width="12.21875" style="1" customWidth="1"/>
    <col min="5641" max="5641" width="14.21875" style="1" customWidth="1"/>
    <col min="5642" max="5645" width="7.6640625" style="1" customWidth="1"/>
    <col min="5646" max="5646" width="10.21875" style="1" customWidth="1"/>
    <col min="5647" max="5647" width="30.21875" style="1" customWidth="1"/>
    <col min="5648" max="5650" width="12.77734375" style="1" customWidth="1"/>
    <col min="5651" max="5651" width="12.21875" style="1" customWidth="1"/>
    <col min="5652" max="5652" width="13.33203125" style="1" customWidth="1"/>
    <col min="5653" max="5653" width="12.77734375" style="1" customWidth="1"/>
    <col min="5654" max="5658" width="12.21875" style="1" customWidth="1"/>
    <col min="5659" max="5888" width="8.88671875" style="1"/>
    <col min="5889" max="5889" width="5.109375" style="1" customWidth="1"/>
    <col min="5890" max="5890" width="12.33203125" style="1" customWidth="1"/>
    <col min="5891" max="5891" width="9.109375" style="1" customWidth="1"/>
    <col min="5892" max="5892" width="17.6640625" style="1" customWidth="1"/>
    <col min="5893" max="5893" width="12.109375" style="1" customWidth="1"/>
    <col min="5894" max="5894" width="42" style="1" customWidth="1"/>
    <col min="5895" max="5895" width="25.109375" style="1" customWidth="1"/>
    <col min="5896" max="5896" width="12.21875" style="1" customWidth="1"/>
    <col min="5897" max="5897" width="14.21875" style="1" customWidth="1"/>
    <col min="5898" max="5901" width="7.6640625" style="1" customWidth="1"/>
    <col min="5902" max="5902" width="10.21875" style="1" customWidth="1"/>
    <col min="5903" max="5903" width="30.21875" style="1" customWidth="1"/>
    <col min="5904" max="5906" width="12.77734375" style="1" customWidth="1"/>
    <col min="5907" max="5907" width="12.21875" style="1" customWidth="1"/>
    <col min="5908" max="5908" width="13.33203125" style="1" customWidth="1"/>
    <col min="5909" max="5909" width="12.77734375" style="1" customWidth="1"/>
    <col min="5910" max="5914" width="12.21875" style="1" customWidth="1"/>
    <col min="5915" max="6144" width="8.88671875" style="1"/>
    <col min="6145" max="6145" width="5.109375" style="1" customWidth="1"/>
    <col min="6146" max="6146" width="12.33203125" style="1" customWidth="1"/>
    <col min="6147" max="6147" width="9.109375" style="1" customWidth="1"/>
    <col min="6148" max="6148" width="17.6640625" style="1" customWidth="1"/>
    <col min="6149" max="6149" width="12.109375" style="1" customWidth="1"/>
    <col min="6150" max="6150" width="42" style="1" customWidth="1"/>
    <col min="6151" max="6151" width="25.109375" style="1" customWidth="1"/>
    <col min="6152" max="6152" width="12.21875" style="1" customWidth="1"/>
    <col min="6153" max="6153" width="14.21875" style="1" customWidth="1"/>
    <col min="6154" max="6157" width="7.6640625" style="1" customWidth="1"/>
    <col min="6158" max="6158" width="10.21875" style="1" customWidth="1"/>
    <col min="6159" max="6159" width="30.21875" style="1" customWidth="1"/>
    <col min="6160" max="6162" width="12.77734375" style="1" customWidth="1"/>
    <col min="6163" max="6163" width="12.21875" style="1" customWidth="1"/>
    <col min="6164" max="6164" width="13.33203125" style="1" customWidth="1"/>
    <col min="6165" max="6165" width="12.77734375" style="1" customWidth="1"/>
    <col min="6166" max="6170" width="12.21875" style="1" customWidth="1"/>
    <col min="6171" max="6400" width="8.88671875" style="1"/>
    <col min="6401" max="6401" width="5.109375" style="1" customWidth="1"/>
    <col min="6402" max="6402" width="12.33203125" style="1" customWidth="1"/>
    <col min="6403" max="6403" width="9.109375" style="1" customWidth="1"/>
    <col min="6404" max="6404" width="17.6640625" style="1" customWidth="1"/>
    <col min="6405" max="6405" width="12.109375" style="1" customWidth="1"/>
    <col min="6406" max="6406" width="42" style="1" customWidth="1"/>
    <col min="6407" max="6407" width="25.109375" style="1" customWidth="1"/>
    <col min="6408" max="6408" width="12.21875" style="1" customWidth="1"/>
    <col min="6409" max="6409" width="14.21875" style="1" customWidth="1"/>
    <col min="6410" max="6413" width="7.6640625" style="1" customWidth="1"/>
    <col min="6414" max="6414" width="10.21875" style="1" customWidth="1"/>
    <col min="6415" max="6415" width="30.21875" style="1" customWidth="1"/>
    <col min="6416" max="6418" width="12.77734375" style="1" customWidth="1"/>
    <col min="6419" max="6419" width="12.21875" style="1" customWidth="1"/>
    <col min="6420" max="6420" width="13.33203125" style="1" customWidth="1"/>
    <col min="6421" max="6421" width="12.77734375" style="1" customWidth="1"/>
    <col min="6422" max="6426" width="12.21875" style="1" customWidth="1"/>
    <col min="6427" max="6656" width="8.88671875" style="1"/>
    <col min="6657" max="6657" width="5.109375" style="1" customWidth="1"/>
    <col min="6658" max="6658" width="12.33203125" style="1" customWidth="1"/>
    <col min="6659" max="6659" width="9.109375" style="1" customWidth="1"/>
    <col min="6660" max="6660" width="17.6640625" style="1" customWidth="1"/>
    <col min="6661" max="6661" width="12.109375" style="1" customWidth="1"/>
    <col min="6662" max="6662" width="42" style="1" customWidth="1"/>
    <col min="6663" max="6663" width="25.109375" style="1" customWidth="1"/>
    <col min="6664" max="6664" width="12.21875" style="1" customWidth="1"/>
    <col min="6665" max="6665" width="14.21875" style="1" customWidth="1"/>
    <col min="6666" max="6669" width="7.6640625" style="1" customWidth="1"/>
    <col min="6670" max="6670" width="10.21875" style="1" customWidth="1"/>
    <col min="6671" max="6671" width="30.21875" style="1" customWidth="1"/>
    <col min="6672" max="6674" width="12.77734375" style="1" customWidth="1"/>
    <col min="6675" max="6675" width="12.21875" style="1" customWidth="1"/>
    <col min="6676" max="6676" width="13.33203125" style="1" customWidth="1"/>
    <col min="6677" max="6677" width="12.77734375" style="1" customWidth="1"/>
    <col min="6678" max="6682" width="12.21875" style="1" customWidth="1"/>
    <col min="6683" max="6912" width="8.88671875" style="1"/>
    <col min="6913" max="6913" width="5.109375" style="1" customWidth="1"/>
    <col min="6914" max="6914" width="12.33203125" style="1" customWidth="1"/>
    <col min="6915" max="6915" width="9.109375" style="1" customWidth="1"/>
    <col min="6916" max="6916" width="17.6640625" style="1" customWidth="1"/>
    <col min="6917" max="6917" width="12.109375" style="1" customWidth="1"/>
    <col min="6918" max="6918" width="42" style="1" customWidth="1"/>
    <col min="6919" max="6919" width="25.109375" style="1" customWidth="1"/>
    <col min="6920" max="6920" width="12.21875" style="1" customWidth="1"/>
    <col min="6921" max="6921" width="14.21875" style="1" customWidth="1"/>
    <col min="6922" max="6925" width="7.6640625" style="1" customWidth="1"/>
    <col min="6926" max="6926" width="10.21875" style="1" customWidth="1"/>
    <col min="6927" max="6927" width="30.21875" style="1" customWidth="1"/>
    <col min="6928" max="6930" width="12.77734375" style="1" customWidth="1"/>
    <col min="6931" max="6931" width="12.21875" style="1" customWidth="1"/>
    <col min="6932" max="6932" width="13.33203125" style="1" customWidth="1"/>
    <col min="6933" max="6933" width="12.77734375" style="1" customWidth="1"/>
    <col min="6934" max="6938" width="12.21875" style="1" customWidth="1"/>
    <col min="6939" max="7168" width="8.88671875" style="1"/>
    <col min="7169" max="7169" width="5.109375" style="1" customWidth="1"/>
    <col min="7170" max="7170" width="12.33203125" style="1" customWidth="1"/>
    <col min="7171" max="7171" width="9.109375" style="1" customWidth="1"/>
    <col min="7172" max="7172" width="17.6640625" style="1" customWidth="1"/>
    <col min="7173" max="7173" width="12.109375" style="1" customWidth="1"/>
    <col min="7174" max="7174" width="42" style="1" customWidth="1"/>
    <col min="7175" max="7175" width="25.109375" style="1" customWidth="1"/>
    <col min="7176" max="7176" width="12.21875" style="1" customWidth="1"/>
    <col min="7177" max="7177" width="14.21875" style="1" customWidth="1"/>
    <col min="7178" max="7181" width="7.6640625" style="1" customWidth="1"/>
    <col min="7182" max="7182" width="10.21875" style="1" customWidth="1"/>
    <col min="7183" max="7183" width="30.21875" style="1" customWidth="1"/>
    <col min="7184" max="7186" width="12.77734375" style="1" customWidth="1"/>
    <col min="7187" max="7187" width="12.21875" style="1" customWidth="1"/>
    <col min="7188" max="7188" width="13.33203125" style="1" customWidth="1"/>
    <col min="7189" max="7189" width="12.77734375" style="1" customWidth="1"/>
    <col min="7190" max="7194" width="12.21875" style="1" customWidth="1"/>
    <col min="7195" max="7424" width="8.88671875" style="1"/>
    <col min="7425" max="7425" width="5.109375" style="1" customWidth="1"/>
    <col min="7426" max="7426" width="12.33203125" style="1" customWidth="1"/>
    <col min="7427" max="7427" width="9.109375" style="1" customWidth="1"/>
    <col min="7428" max="7428" width="17.6640625" style="1" customWidth="1"/>
    <col min="7429" max="7429" width="12.109375" style="1" customWidth="1"/>
    <col min="7430" max="7430" width="42" style="1" customWidth="1"/>
    <col min="7431" max="7431" width="25.109375" style="1" customWidth="1"/>
    <col min="7432" max="7432" width="12.21875" style="1" customWidth="1"/>
    <col min="7433" max="7433" width="14.21875" style="1" customWidth="1"/>
    <col min="7434" max="7437" width="7.6640625" style="1" customWidth="1"/>
    <col min="7438" max="7438" width="10.21875" style="1" customWidth="1"/>
    <col min="7439" max="7439" width="30.21875" style="1" customWidth="1"/>
    <col min="7440" max="7442" width="12.77734375" style="1" customWidth="1"/>
    <col min="7443" max="7443" width="12.21875" style="1" customWidth="1"/>
    <col min="7444" max="7444" width="13.33203125" style="1" customWidth="1"/>
    <col min="7445" max="7445" width="12.77734375" style="1" customWidth="1"/>
    <col min="7446" max="7450" width="12.21875" style="1" customWidth="1"/>
    <col min="7451" max="7680" width="8.88671875" style="1"/>
    <col min="7681" max="7681" width="5.109375" style="1" customWidth="1"/>
    <col min="7682" max="7682" width="12.33203125" style="1" customWidth="1"/>
    <col min="7683" max="7683" width="9.109375" style="1" customWidth="1"/>
    <col min="7684" max="7684" width="17.6640625" style="1" customWidth="1"/>
    <col min="7685" max="7685" width="12.109375" style="1" customWidth="1"/>
    <col min="7686" max="7686" width="42" style="1" customWidth="1"/>
    <col min="7687" max="7687" width="25.109375" style="1" customWidth="1"/>
    <col min="7688" max="7688" width="12.21875" style="1" customWidth="1"/>
    <col min="7689" max="7689" width="14.21875" style="1" customWidth="1"/>
    <col min="7690" max="7693" width="7.6640625" style="1" customWidth="1"/>
    <col min="7694" max="7694" width="10.21875" style="1" customWidth="1"/>
    <col min="7695" max="7695" width="30.21875" style="1" customWidth="1"/>
    <col min="7696" max="7698" width="12.77734375" style="1" customWidth="1"/>
    <col min="7699" max="7699" width="12.21875" style="1" customWidth="1"/>
    <col min="7700" max="7700" width="13.33203125" style="1" customWidth="1"/>
    <col min="7701" max="7701" width="12.77734375" style="1" customWidth="1"/>
    <col min="7702" max="7706" width="12.21875" style="1" customWidth="1"/>
    <col min="7707" max="7936" width="8.88671875" style="1"/>
    <col min="7937" max="7937" width="5.109375" style="1" customWidth="1"/>
    <col min="7938" max="7938" width="12.33203125" style="1" customWidth="1"/>
    <col min="7939" max="7939" width="9.109375" style="1" customWidth="1"/>
    <col min="7940" max="7940" width="17.6640625" style="1" customWidth="1"/>
    <col min="7941" max="7941" width="12.109375" style="1" customWidth="1"/>
    <col min="7942" max="7942" width="42" style="1" customWidth="1"/>
    <col min="7943" max="7943" width="25.109375" style="1" customWidth="1"/>
    <col min="7944" max="7944" width="12.21875" style="1" customWidth="1"/>
    <col min="7945" max="7945" width="14.21875" style="1" customWidth="1"/>
    <col min="7946" max="7949" width="7.6640625" style="1" customWidth="1"/>
    <col min="7950" max="7950" width="10.21875" style="1" customWidth="1"/>
    <col min="7951" max="7951" width="30.21875" style="1" customWidth="1"/>
    <col min="7952" max="7954" width="12.77734375" style="1" customWidth="1"/>
    <col min="7955" max="7955" width="12.21875" style="1" customWidth="1"/>
    <col min="7956" max="7956" width="13.33203125" style="1" customWidth="1"/>
    <col min="7957" max="7957" width="12.77734375" style="1" customWidth="1"/>
    <col min="7958" max="7962" width="12.21875" style="1" customWidth="1"/>
    <col min="7963" max="8192" width="8.88671875" style="1"/>
    <col min="8193" max="8193" width="5.109375" style="1" customWidth="1"/>
    <col min="8194" max="8194" width="12.33203125" style="1" customWidth="1"/>
    <col min="8195" max="8195" width="9.109375" style="1" customWidth="1"/>
    <col min="8196" max="8196" width="17.6640625" style="1" customWidth="1"/>
    <col min="8197" max="8197" width="12.109375" style="1" customWidth="1"/>
    <col min="8198" max="8198" width="42" style="1" customWidth="1"/>
    <col min="8199" max="8199" width="25.109375" style="1" customWidth="1"/>
    <col min="8200" max="8200" width="12.21875" style="1" customWidth="1"/>
    <col min="8201" max="8201" width="14.21875" style="1" customWidth="1"/>
    <col min="8202" max="8205" width="7.6640625" style="1" customWidth="1"/>
    <col min="8206" max="8206" width="10.21875" style="1" customWidth="1"/>
    <col min="8207" max="8207" width="30.21875" style="1" customWidth="1"/>
    <col min="8208" max="8210" width="12.77734375" style="1" customWidth="1"/>
    <col min="8211" max="8211" width="12.21875" style="1" customWidth="1"/>
    <col min="8212" max="8212" width="13.33203125" style="1" customWidth="1"/>
    <col min="8213" max="8213" width="12.77734375" style="1" customWidth="1"/>
    <col min="8214" max="8218" width="12.21875" style="1" customWidth="1"/>
    <col min="8219" max="8448" width="8.88671875" style="1"/>
    <col min="8449" max="8449" width="5.109375" style="1" customWidth="1"/>
    <col min="8450" max="8450" width="12.33203125" style="1" customWidth="1"/>
    <col min="8451" max="8451" width="9.109375" style="1" customWidth="1"/>
    <col min="8452" max="8452" width="17.6640625" style="1" customWidth="1"/>
    <col min="8453" max="8453" width="12.109375" style="1" customWidth="1"/>
    <col min="8454" max="8454" width="42" style="1" customWidth="1"/>
    <col min="8455" max="8455" width="25.109375" style="1" customWidth="1"/>
    <col min="8456" max="8456" width="12.21875" style="1" customWidth="1"/>
    <col min="8457" max="8457" width="14.21875" style="1" customWidth="1"/>
    <col min="8458" max="8461" width="7.6640625" style="1" customWidth="1"/>
    <col min="8462" max="8462" width="10.21875" style="1" customWidth="1"/>
    <col min="8463" max="8463" width="30.21875" style="1" customWidth="1"/>
    <col min="8464" max="8466" width="12.77734375" style="1" customWidth="1"/>
    <col min="8467" max="8467" width="12.21875" style="1" customWidth="1"/>
    <col min="8468" max="8468" width="13.33203125" style="1" customWidth="1"/>
    <col min="8469" max="8469" width="12.77734375" style="1" customWidth="1"/>
    <col min="8470" max="8474" width="12.21875" style="1" customWidth="1"/>
    <col min="8475" max="8704" width="8.88671875" style="1"/>
    <col min="8705" max="8705" width="5.109375" style="1" customWidth="1"/>
    <col min="8706" max="8706" width="12.33203125" style="1" customWidth="1"/>
    <col min="8707" max="8707" width="9.109375" style="1" customWidth="1"/>
    <col min="8708" max="8708" width="17.6640625" style="1" customWidth="1"/>
    <col min="8709" max="8709" width="12.109375" style="1" customWidth="1"/>
    <col min="8710" max="8710" width="42" style="1" customWidth="1"/>
    <col min="8711" max="8711" width="25.109375" style="1" customWidth="1"/>
    <col min="8712" max="8712" width="12.21875" style="1" customWidth="1"/>
    <col min="8713" max="8713" width="14.21875" style="1" customWidth="1"/>
    <col min="8714" max="8717" width="7.6640625" style="1" customWidth="1"/>
    <col min="8718" max="8718" width="10.21875" style="1" customWidth="1"/>
    <col min="8719" max="8719" width="30.21875" style="1" customWidth="1"/>
    <col min="8720" max="8722" width="12.77734375" style="1" customWidth="1"/>
    <col min="8723" max="8723" width="12.21875" style="1" customWidth="1"/>
    <col min="8724" max="8724" width="13.33203125" style="1" customWidth="1"/>
    <col min="8725" max="8725" width="12.77734375" style="1" customWidth="1"/>
    <col min="8726" max="8730" width="12.21875" style="1" customWidth="1"/>
    <col min="8731" max="8960" width="8.88671875" style="1"/>
    <col min="8961" max="8961" width="5.109375" style="1" customWidth="1"/>
    <col min="8962" max="8962" width="12.33203125" style="1" customWidth="1"/>
    <col min="8963" max="8963" width="9.109375" style="1" customWidth="1"/>
    <col min="8964" max="8964" width="17.6640625" style="1" customWidth="1"/>
    <col min="8965" max="8965" width="12.109375" style="1" customWidth="1"/>
    <col min="8966" max="8966" width="42" style="1" customWidth="1"/>
    <col min="8967" max="8967" width="25.109375" style="1" customWidth="1"/>
    <col min="8968" max="8968" width="12.21875" style="1" customWidth="1"/>
    <col min="8969" max="8969" width="14.21875" style="1" customWidth="1"/>
    <col min="8970" max="8973" width="7.6640625" style="1" customWidth="1"/>
    <col min="8974" max="8974" width="10.21875" style="1" customWidth="1"/>
    <col min="8975" max="8975" width="30.21875" style="1" customWidth="1"/>
    <col min="8976" max="8978" width="12.77734375" style="1" customWidth="1"/>
    <col min="8979" max="8979" width="12.21875" style="1" customWidth="1"/>
    <col min="8980" max="8980" width="13.33203125" style="1" customWidth="1"/>
    <col min="8981" max="8981" width="12.77734375" style="1" customWidth="1"/>
    <col min="8982" max="8986" width="12.21875" style="1" customWidth="1"/>
    <col min="8987" max="9216" width="8.88671875" style="1"/>
    <col min="9217" max="9217" width="5.109375" style="1" customWidth="1"/>
    <col min="9218" max="9218" width="12.33203125" style="1" customWidth="1"/>
    <col min="9219" max="9219" width="9.109375" style="1" customWidth="1"/>
    <col min="9220" max="9220" width="17.6640625" style="1" customWidth="1"/>
    <col min="9221" max="9221" width="12.109375" style="1" customWidth="1"/>
    <col min="9222" max="9222" width="42" style="1" customWidth="1"/>
    <col min="9223" max="9223" width="25.109375" style="1" customWidth="1"/>
    <col min="9224" max="9224" width="12.21875" style="1" customWidth="1"/>
    <col min="9225" max="9225" width="14.21875" style="1" customWidth="1"/>
    <col min="9226" max="9229" width="7.6640625" style="1" customWidth="1"/>
    <col min="9230" max="9230" width="10.21875" style="1" customWidth="1"/>
    <col min="9231" max="9231" width="30.21875" style="1" customWidth="1"/>
    <col min="9232" max="9234" width="12.77734375" style="1" customWidth="1"/>
    <col min="9235" max="9235" width="12.21875" style="1" customWidth="1"/>
    <col min="9236" max="9236" width="13.33203125" style="1" customWidth="1"/>
    <col min="9237" max="9237" width="12.77734375" style="1" customWidth="1"/>
    <col min="9238" max="9242" width="12.21875" style="1" customWidth="1"/>
    <col min="9243" max="9472" width="8.88671875" style="1"/>
    <col min="9473" max="9473" width="5.109375" style="1" customWidth="1"/>
    <col min="9474" max="9474" width="12.33203125" style="1" customWidth="1"/>
    <col min="9475" max="9475" width="9.109375" style="1" customWidth="1"/>
    <col min="9476" max="9476" width="17.6640625" style="1" customWidth="1"/>
    <col min="9477" max="9477" width="12.109375" style="1" customWidth="1"/>
    <col min="9478" max="9478" width="42" style="1" customWidth="1"/>
    <col min="9479" max="9479" width="25.109375" style="1" customWidth="1"/>
    <col min="9480" max="9480" width="12.21875" style="1" customWidth="1"/>
    <col min="9481" max="9481" width="14.21875" style="1" customWidth="1"/>
    <col min="9482" max="9485" width="7.6640625" style="1" customWidth="1"/>
    <col min="9486" max="9486" width="10.21875" style="1" customWidth="1"/>
    <col min="9487" max="9487" width="30.21875" style="1" customWidth="1"/>
    <col min="9488" max="9490" width="12.77734375" style="1" customWidth="1"/>
    <col min="9491" max="9491" width="12.21875" style="1" customWidth="1"/>
    <col min="9492" max="9492" width="13.33203125" style="1" customWidth="1"/>
    <col min="9493" max="9493" width="12.77734375" style="1" customWidth="1"/>
    <col min="9494" max="9498" width="12.21875" style="1" customWidth="1"/>
    <col min="9499" max="9728" width="8.88671875" style="1"/>
    <col min="9729" max="9729" width="5.109375" style="1" customWidth="1"/>
    <col min="9730" max="9730" width="12.33203125" style="1" customWidth="1"/>
    <col min="9731" max="9731" width="9.109375" style="1" customWidth="1"/>
    <col min="9732" max="9732" width="17.6640625" style="1" customWidth="1"/>
    <col min="9733" max="9733" width="12.109375" style="1" customWidth="1"/>
    <col min="9734" max="9734" width="42" style="1" customWidth="1"/>
    <col min="9735" max="9735" width="25.109375" style="1" customWidth="1"/>
    <col min="9736" max="9736" width="12.21875" style="1" customWidth="1"/>
    <col min="9737" max="9737" width="14.21875" style="1" customWidth="1"/>
    <col min="9738" max="9741" width="7.6640625" style="1" customWidth="1"/>
    <col min="9742" max="9742" width="10.21875" style="1" customWidth="1"/>
    <col min="9743" max="9743" width="30.21875" style="1" customWidth="1"/>
    <col min="9744" max="9746" width="12.77734375" style="1" customWidth="1"/>
    <col min="9747" max="9747" width="12.21875" style="1" customWidth="1"/>
    <col min="9748" max="9748" width="13.33203125" style="1" customWidth="1"/>
    <col min="9749" max="9749" width="12.77734375" style="1" customWidth="1"/>
    <col min="9750" max="9754" width="12.21875" style="1" customWidth="1"/>
    <col min="9755" max="9984" width="8.88671875" style="1"/>
    <col min="9985" max="9985" width="5.109375" style="1" customWidth="1"/>
    <col min="9986" max="9986" width="12.33203125" style="1" customWidth="1"/>
    <col min="9987" max="9987" width="9.109375" style="1" customWidth="1"/>
    <col min="9988" max="9988" width="17.6640625" style="1" customWidth="1"/>
    <col min="9989" max="9989" width="12.109375" style="1" customWidth="1"/>
    <col min="9990" max="9990" width="42" style="1" customWidth="1"/>
    <col min="9991" max="9991" width="25.109375" style="1" customWidth="1"/>
    <col min="9992" max="9992" width="12.21875" style="1" customWidth="1"/>
    <col min="9993" max="9993" width="14.21875" style="1" customWidth="1"/>
    <col min="9994" max="9997" width="7.6640625" style="1" customWidth="1"/>
    <col min="9998" max="9998" width="10.21875" style="1" customWidth="1"/>
    <col min="9999" max="9999" width="30.21875" style="1" customWidth="1"/>
    <col min="10000" max="10002" width="12.77734375" style="1" customWidth="1"/>
    <col min="10003" max="10003" width="12.21875" style="1" customWidth="1"/>
    <col min="10004" max="10004" width="13.33203125" style="1" customWidth="1"/>
    <col min="10005" max="10005" width="12.77734375" style="1" customWidth="1"/>
    <col min="10006" max="10010" width="12.21875" style="1" customWidth="1"/>
    <col min="10011" max="10240" width="8.88671875" style="1"/>
    <col min="10241" max="10241" width="5.109375" style="1" customWidth="1"/>
    <col min="10242" max="10242" width="12.33203125" style="1" customWidth="1"/>
    <col min="10243" max="10243" width="9.109375" style="1" customWidth="1"/>
    <col min="10244" max="10244" width="17.6640625" style="1" customWidth="1"/>
    <col min="10245" max="10245" width="12.109375" style="1" customWidth="1"/>
    <col min="10246" max="10246" width="42" style="1" customWidth="1"/>
    <col min="10247" max="10247" width="25.109375" style="1" customWidth="1"/>
    <col min="10248" max="10248" width="12.21875" style="1" customWidth="1"/>
    <col min="10249" max="10249" width="14.21875" style="1" customWidth="1"/>
    <col min="10250" max="10253" width="7.6640625" style="1" customWidth="1"/>
    <col min="10254" max="10254" width="10.21875" style="1" customWidth="1"/>
    <col min="10255" max="10255" width="30.21875" style="1" customWidth="1"/>
    <col min="10256" max="10258" width="12.77734375" style="1" customWidth="1"/>
    <col min="10259" max="10259" width="12.21875" style="1" customWidth="1"/>
    <col min="10260" max="10260" width="13.33203125" style="1" customWidth="1"/>
    <col min="10261" max="10261" width="12.77734375" style="1" customWidth="1"/>
    <col min="10262" max="10266" width="12.21875" style="1" customWidth="1"/>
    <col min="10267" max="10496" width="8.88671875" style="1"/>
    <col min="10497" max="10497" width="5.109375" style="1" customWidth="1"/>
    <col min="10498" max="10498" width="12.33203125" style="1" customWidth="1"/>
    <col min="10499" max="10499" width="9.109375" style="1" customWidth="1"/>
    <col min="10500" max="10500" width="17.6640625" style="1" customWidth="1"/>
    <col min="10501" max="10501" width="12.109375" style="1" customWidth="1"/>
    <col min="10502" max="10502" width="42" style="1" customWidth="1"/>
    <col min="10503" max="10503" width="25.109375" style="1" customWidth="1"/>
    <col min="10504" max="10504" width="12.21875" style="1" customWidth="1"/>
    <col min="10505" max="10505" width="14.21875" style="1" customWidth="1"/>
    <col min="10506" max="10509" width="7.6640625" style="1" customWidth="1"/>
    <col min="10510" max="10510" width="10.21875" style="1" customWidth="1"/>
    <col min="10511" max="10511" width="30.21875" style="1" customWidth="1"/>
    <col min="10512" max="10514" width="12.77734375" style="1" customWidth="1"/>
    <col min="10515" max="10515" width="12.21875" style="1" customWidth="1"/>
    <col min="10516" max="10516" width="13.33203125" style="1" customWidth="1"/>
    <col min="10517" max="10517" width="12.77734375" style="1" customWidth="1"/>
    <col min="10518" max="10522" width="12.21875" style="1" customWidth="1"/>
    <col min="10523" max="10752" width="8.88671875" style="1"/>
    <col min="10753" max="10753" width="5.109375" style="1" customWidth="1"/>
    <col min="10754" max="10754" width="12.33203125" style="1" customWidth="1"/>
    <col min="10755" max="10755" width="9.109375" style="1" customWidth="1"/>
    <col min="10756" max="10756" width="17.6640625" style="1" customWidth="1"/>
    <col min="10757" max="10757" width="12.109375" style="1" customWidth="1"/>
    <col min="10758" max="10758" width="42" style="1" customWidth="1"/>
    <col min="10759" max="10759" width="25.109375" style="1" customWidth="1"/>
    <col min="10760" max="10760" width="12.21875" style="1" customWidth="1"/>
    <col min="10761" max="10761" width="14.21875" style="1" customWidth="1"/>
    <col min="10762" max="10765" width="7.6640625" style="1" customWidth="1"/>
    <col min="10766" max="10766" width="10.21875" style="1" customWidth="1"/>
    <col min="10767" max="10767" width="30.21875" style="1" customWidth="1"/>
    <col min="10768" max="10770" width="12.77734375" style="1" customWidth="1"/>
    <col min="10771" max="10771" width="12.21875" style="1" customWidth="1"/>
    <col min="10772" max="10772" width="13.33203125" style="1" customWidth="1"/>
    <col min="10773" max="10773" width="12.77734375" style="1" customWidth="1"/>
    <col min="10774" max="10778" width="12.21875" style="1" customWidth="1"/>
    <col min="10779" max="11008" width="8.88671875" style="1"/>
    <col min="11009" max="11009" width="5.109375" style="1" customWidth="1"/>
    <col min="11010" max="11010" width="12.33203125" style="1" customWidth="1"/>
    <col min="11011" max="11011" width="9.109375" style="1" customWidth="1"/>
    <col min="11012" max="11012" width="17.6640625" style="1" customWidth="1"/>
    <col min="11013" max="11013" width="12.109375" style="1" customWidth="1"/>
    <col min="11014" max="11014" width="42" style="1" customWidth="1"/>
    <col min="11015" max="11015" width="25.109375" style="1" customWidth="1"/>
    <col min="11016" max="11016" width="12.21875" style="1" customWidth="1"/>
    <col min="11017" max="11017" width="14.21875" style="1" customWidth="1"/>
    <col min="11018" max="11021" width="7.6640625" style="1" customWidth="1"/>
    <col min="11022" max="11022" width="10.21875" style="1" customWidth="1"/>
    <col min="11023" max="11023" width="30.21875" style="1" customWidth="1"/>
    <col min="11024" max="11026" width="12.77734375" style="1" customWidth="1"/>
    <col min="11027" max="11027" width="12.21875" style="1" customWidth="1"/>
    <col min="11028" max="11028" width="13.33203125" style="1" customWidth="1"/>
    <col min="11029" max="11029" width="12.77734375" style="1" customWidth="1"/>
    <col min="11030" max="11034" width="12.21875" style="1" customWidth="1"/>
    <col min="11035" max="11264" width="8.88671875" style="1"/>
    <col min="11265" max="11265" width="5.109375" style="1" customWidth="1"/>
    <col min="11266" max="11266" width="12.33203125" style="1" customWidth="1"/>
    <col min="11267" max="11267" width="9.109375" style="1" customWidth="1"/>
    <col min="11268" max="11268" width="17.6640625" style="1" customWidth="1"/>
    <col min="11269" max="11269" width="12.109375" style="1" customWidth="1"/>
    <col min="11270" max="11270" width="42" style="1" customWidth="1"/>
    <col min="11271" max="11271" width="25.109375" style="1" customWidth="1"/>
    <col min="11272" max="11272" width="12.21875" style="1" customWidth="1"/>
    <col min="11273" max="11273" width="14.21875" style="1" customWidth="1"/>
    <col min="11274" max="11277" width="7.6640625" style="1" customWidth="1"/>
    <col min="11278" max="11278" width="10.21875" style="1" customWidth="1"/>
    <col min="11279" max="11279" width="30.21875" style="1" customWidth="1"/>
    <col min="11280" max="11282" width="12.77734375" style="1" customWidth="1"/>
    <col min="11283" max="11283" width="12.21875" style="1" customWidth="1"/>
    <col min="11284" max="11284" width="13.33203125" style="1" customWidth="1"/>
    <col min="11285" max="11285" width="12.77734375" style="1" customWidth="1"/>
    <col min="11286" max="11290" width="12.21875" style="1" customWidth="1"/>
    <col min="11291" max="11520" width="8.88671875" style="1"/>
    <col min="11521" max="11521" width="5.109375" style="1" customWidth="1"/>
    <col min="11522" max="11522" width="12.33203125" style="1" customWidth="1"/>
    <col min="11523" max="11523" width="9.109375" style="1" customWidth="1"/>
    <col min="11524" max="11524" width="17.6640625" style="1" customWidth="1"/>
    <col min="11525" max="11525" width="12.109375" style="1" customWidth="1"/>
    <col min="11526" max="11526" width="42" style="1" customWidth="1"/>
    <col min="11527" max="11527" width="25.109375" style="1" customWidth="1"/>
    <col min="11528" max="11528" width="12.21875" style="1" customWidth="1"/>
    <col min="11529" max="11529" width="14.21875" style="1" customWidth="1"/>
    <col min="11530" max="11533" width="7.6640625" style="1" customWidth="1"/>
    <col min="11534" max="11534" width="10.21875" style="1" customWidth="1"/>
    <col min="11535" max="11535" width="30.21875" style="1" customWidth="1"/>
    <col min="11536" max="11538" width="12.77734375" style="1" customWidth="1"/>
    <col min="11539" max="11539" width="12.21875" style="1" customWidth="1"/>
    <col min="11540" max="11540" width="13.33203125" style="1" customWidth="1"/>
    <col min="11541" max="11541" width="12.77734375" style="1" customWidth="1"/>
    <col min="11542" max="11546" width="12.21875" style="1" customWidth="1"/>
    <col min="11547" max="11776" width="8.88671875" style="1"/>
    <col min="11777" max="11777" width="5.109375" style="1" customWidth="1"/>
    <col min="11778" max="11778" width="12.33203125" style="1" customWidth="1"/>
    <col min="11779" max="11779" width="9.109375" style="1" customWidth="1"/>
    <col min="11780" max="11780" width="17.6640625" style="1" customWidth="1"/>
    <col min="11781" max="11781" width="12.109375" style="1" customWidth="1"/>
    <col min="11782" max="11782" width="42" style="1" customWidth="1"/>
    <col min="11783" max="11783" width="25.109375" style="1" customWidth="1"/>
    <col min="11784" max="11784" width="12.21875" style="1" customWidth="1"/>
    <col min="11785" max="11785" width="14.21875" style="1" customWidth="1"/>
    <col min="11786" max="11789" width="7.6640625" style="1" customWidth="1"/>
    <col min="11790" max="11790" width="10.21875" style="1" customWidth="1"/>
    <col min="11791" max="11791" width="30.21875" style="1" customWidth="1"/>
    <col min="11792" max="11794" width="12.77734375" style="1" customWidth="1"/>
    <col min="11795" max="11795" width="12.21875" style="1" customWidth="1"/>
    <col min="11796" max="11796" width="13.33203125" style="1" customWidth="1"/>
    <col min="11797" max="11797" width="12.77734375" style="1" customWidth="1"/>
    <col min="11798" max="11802" width="12.21875" style="1" customWidth="1"/>
    <col min="11803" max="12032" width="8.88671875" style="1"/>
    <col min="12033" max="12033" width="5.109375" style="1" customWidth="1"/>
    <col min="12034" max="12034" width="12.33203125" style="1" customWidth="1"/>
    <col min="12035" max="12035" width="9.109375" style="1" customWidth="1"/>
    <col min="12036" max="12036" width="17.6640625" style="1" customWidth="1"/>
    <col min="12037" max="12037" width="12.109375" style="1" customWidth="1"/>
    <col min="12038" max="12038" width="42" style="1" customWidth="1"/>
    <col min="12039" max="12039" width="25.109375" style="1" customWidth="1"/>
    <col min="12040" max="12040" width="12.21875" style="1" customWidth="1"/>
    <col min="12041" max="12041" width="14.21875" style="1" customWidth="1"/>
    <col min="12042" max="12045" width="7.6640625" style="1" customWidth="1"/>
    <col min="12046" max="12046" width="10.21875" style="1" customWidth="1"/>
    <col min="12047" max="12047" width="30.21875" style="1" customWidth="1"/>
    <col min="12048" max="12050" width="12.77734375" style="1" customWidth="1"/>
    <col min="12051" max="12051" width="12.21875" style="1" customWidth="1"/>
    <col min="12052" max="12052" width="13.33203125" style="1" customWidth="1"/>
    <col min="12053" max="12053" width="12.77734375" style="1" customWidth="1"/>
    <col min="12054" max="12058" width="12.21875" style="1" customWidth="1"/>
    <col min="12059" max="12288" width="8.88671875" style="1"/>
    <col min="12289" max="12289" width="5.109375" style="1" customWidth="1"/>
    <col min="12290" max="12290" width="12.33203125" style="1" customWidth="1"/>
    <col min="12291" max="12291" width="9.109375" style="1" customWidth="1"/>
    <col min="12292" max="12292" width="17.6640625" style="1" customWidth="1"/>
    <col min="12293" max="12293" width="12.109375" style="1" customWidth="1"/>
    <col min="12294" max="12294" width="42" style="1" customWidth="1"/>
    <col min="12295" max="12295" width="25.109375" style="1" customWidth="1"/>
    <col min="12296" max="12296" width="12.21875" style="1" customWidth="1"/>
    <col min="12297" max="12297" width="14.21875" style="1" customWidth="1"/>
    <col min="12298" max="12301" width="7.6640625" style="1" customWidth="1"/>
    <col min="12302" max="12302" width="10.21875" style="1" customWidth="1"/>
    <col min="12303" max="12303" width="30.21875" style="1" customWidth="1"/>
    <col min="12304" max="12306" width="12.77734375" style="1" customWidth="1"/>
    <col min="12307" max="12307" width="12.21875" style="1" customWidth="1"/>
    <col min="12308" max="12308" width="13.33203125" style="1" customWidth="1"/>
    <col min="12309" max="12309" width="12.77734375" style="1" customWidth="1"/>
    <col min="12310" max="12314" width="12.21875" style="1" customWidth="1"/>
    <col min="12315" max="12544" width="8.88671875" style="1"/>
    <col min="12545" max="12545" width="5.109375" style="1" customWidth="1"/>
    <col min="12546" max="12546" width="12.33203125" style="1" customWidth="1"/>
    <col min="12547" max="12547" width="9.109375" style="1" customWidth="1"/>
    <col min="12548" max="12548" width="17.6640625" style="1" customWidth="1"/>
    <col min="12549" max="12549" width="12.109375" style="1" customWidth="1"/>
    <col min="12550" max="12550" width="42" style="1" customWidth="1"/>
    <col min="12551" max="12551" width="25.109375" style="1" customWidth="1"/>
    <col min="12552" max="12552" width="12.21875" style="1" customWidth="1"/>
    <col min="12553" max="12553" width="14.21875" style="1" customWidth="1"/>
    <col min="12554" max="12557" width="7.6640625" style="1" customWidth="1"/>
    <col min="12558" max="12558" width="10.21875" style="1" customWidth="1"/>
    <col min="12559" max="12559" width="30.21875" style="1" customWidth="1"/>
    <col min="12560" max="12562" width="12.77734375" style="1" customWidth="1"/>
    <col min="12563" max="12563" width="12.21875" style="1" customWidth="1"/>
    <col min="12564" max="12564" width="13.33203125" style="1" customWidth="1"/>
    <col min="12565" max="12565" width="12.77734375" style="1" customWidth="1"/>
    <col min="12566" max="12570" width="12.21875" style="1" customWidth="1"/>
    <col min="12571" max="12800" width="8.88671875" style="1"/>
    <col min="12801" max="12801" width="5.109375" style="1" customWidth="1"/>
    <col min="12802" max="12802" width="12.33203125" style="1" customWidth="1"/>
    <col min="12803" max="12803" width="9.109375" style="1" customWidth="1"/>
    <col min="12804" max="12804" width="17.6640625" style="1" customWidth="1"/>
    <col min="12805" max="12805" width="12.109375" style="1" customWidth="1"/>
    <col min="12806" max="12806" width="42" style="1" customWidth="1"/>
    <col min="12807" max="12807" width="25.109375" style="1" customWidth="1"/>
    <col min="12808" max="12808" width="12.21875" style="1" customWidth="1"/>
    <col min="12809" max="12809" width="14.21875" style="1" customWidth="1"/>
    <col min="12810" max="12813" width="7.6640625" style="1" customWidth="1"/>
    <col min="12814" max="12814" width="10.21875" style="1" customWidth="1"/>
    <col min="12815" max="12815" width="30.21875" style="1" customWidth="1"/>
    <col min="12816" max="12818" width="12.77734375" style="1" customWidth="1"/>
    <col min="12819" max="12819" width="12.21875" style="1" customWidth="1"/>
    <col min="12820" max="12820" width="13.33203125" style="1" customWidth="1"/>
    <col min="12821" max="12821" width="12.77734375" style="1" customWidth="1"/>
    <col min="12822" max="12826" width="12.21875" style="1" customWidth="1"/>
    <col min="12827" max="13056" width="8.88671875" style="1"/>
    <col min="13057" max="13057" width="5.109375" style="1" customWidth="1"/>
    <col min="13058" max="13058" width="12.33203125" style="1" customWidth="1"/>
    <col min="13059" max="13059" width="9.109375" style="1" customWidth="1"/>
    <col min="13060" max="13060" width="17.6640625" style="1" customWidth="1"/>
    <col min="13061" max="13061" width="12.109375" style="1" customWidth="1"/>
    <col min="13062" max="13062" width="42" style="1" customWidth="1"/>
    <col min="13063" max="13063" width="25.109375" style="1" customWidth="1"/>
    <col min="13064" max="13064" width="12.21875" style="1" customWidth="1"/>
    <col min="13065" max="13065" width="14.21875" style="1" customWidth="1"/>
    <col min="13066" max="13069" width="7.6640625" style="1" customWidth="1"/>
    <col min="13070" max="13070" width="10.21875" style="1" customWidth="1"/>
    <col min="13071" max="13071" width="30.21875" style="1" customWidth="1"/>
    <col min="13072" max="13074" width="12.77734375" style="1" customWidth="1"/>
    <col min="13075" max="13075" width="12.21875" style="1" customWidth="1"/>
    <col min="13076" max="13076" width="13.33203125" style="1" customWidth="1"/>
    <col min="13077" max="13077" width="12.77734375" style="1" customWidth="1"/>
    <col min="13078" max="13082" width="12.21875" style="1" customWidth="1"/>
    <col min="13083" max="13312" width="8.88671875" style="1"/>
    <col min="13313" max="13313" width="5.109375" style="1" customWidth="1"/>
    <col min="13314" max="13314" width="12.33203125" style="1" customWidth="1"/>
    <col min="13315" max="13315" width="9.109375" style="1" customWidth="1"/>
    <col min="13316" max="13316" width="17.6640625" style="1" customWidth="1"/>
    <col min="13317" max="13317" width="12.109375" style="1" customWidth="1"/>
    <col min="13318" max="13318" width="42" style="1" customWidth="1"/>
    <col min="13319" max="13319" width="25.109375" style="1" customWidth="1"/>
    <col min="13320" max="13320" width="12.21875" style="1" customWidth="1"/>
    <col min="13321" max="13321" width="14.21875" style="1" customWidth="1"/>
    <col min="13322" max="13325" width="7.6640625" style="1" customWidth="1"/>
    <col min="13326" max="13326" width="10.21875" style="1" customWidth="1"/>
    <col min="13327" max="13327" width="30.21875" style="1" customWidth="1"/>
    <col min="13328" max="13330" width="12.77734375" style="1" customWidth="1"/>
    <col min="13331" max="13331" width="12.21875" style="1" customWidth="1"/>
    <col min="13332" max="13332" width="13.33203125" style="1" customWidth="1"/>
    <col min="13333" max="13333" width="12.77734375" style="1" customWidth="1"/>
    <col min="13334" max="13338" width="12.21875" style="1" customWidth="1"/>
    <col min="13339" max="13568" width="8.88671875" style="1"/>
    <col min="13569" max="13569" width="5.109375" style="1" customWidth="1"/>
    <col min="13570" max="13570" width="12.33203125" style="1" customWidth="1"/>
    <col min="13571" max="13571" width="9.109375" style="1" customWidth="1"/>
    <col min="13572" max="13572" width="17.6640625" style="1" customWidth="1"/>
    <col min="13573" max="13573" width="12.109375" style="1" customWidth="1"/>
    <col min="13574" max="13574" width="42" style="1" customWidth="1"/>
    <col min="13575" max="13575" width="25.109375" style="1" customWidth="1"/>
    <col min="13576" max="13576" width="12.21875" style="1" customWidth="1"/>
    <col min="13577" max="13577" width="14.21875" style="1" customWidth="1"/>
    <col min="13578" max="13581" width="7.6640625" style="1" customWidth="1"/>
    <col min="13582" max="13582" width="10.21875" style="1" customWidth="1"/>
    <col min="13583" max="13583" width="30.21875" style="1" customWidth="1"/>
    <col min="13584" max="13586" width="12.77734375" style="1" customWidth="1"/>
    <col min="13587" max="13587" width="12.21875" style="1" customWidth="1"/>
    <col min="13588" max="13588" width="13.33203125" style="1" customWidth="1"/>
    <col min="13589" max="13589" width="12.77734375" style="1" customWidth="1"/>
    <col min="13590" max="13594" width="12.21875" style="1" customWidth="1"/>
    <col min="13595" max="13824" width="8.88671875" style="1"/>
    <col min="13825" max="13825" width="5.109375" style="1" customWidth="1"/>
    <col min="13826" max="13826" width="12.33203125" style="1" customWidth="1"/>
    <col min="13827" max="13827" width="9.109375" style="1" customWidth="1"/>
    <col min="13828" max="13828" width="17.6640625" style="1" customWidth="1"/>
    <col min="13829" max="13829" width="12.109375" style="1" customWidth="1"/>
    <col min="13830" max="13830" width="42" style="1" customWidth="1"/>
    <col min="13831" max="13831" width="25.109375" style="1" customWidth="1"/>
    <col min="13832" max="13832" width="12.21875" style="1" customWidth="1"/>
    <col min="13833" max="13833" width="14.21875" style="1" customWidth="1"/>
    <col min="13834" max="13837" width="7.6640625" style="1" customWidth="1"/>
    <col min="13838" max="13838" width="10.21875" style="1" customWidth="1"/>
    <col min="13839" max="13839" width="30.21875" style="1" customWidth="1"/>
    <col min="13840" max="13842" width="12.77734375" style="1" customWidth="1"/>
    <col min="13843" max="13843" width="12.21875" style="1" customWidth="1"/>
    <col min="13844" max="13844" width="13.33203125" style="1" customWidth="1"/>
    <col min="13845" max="13845" width="12.77734375" style="1" customWidth="1"/>
    <col min="13846" max="13850" width="12.21875" style="1" customWidth="1"/>
    <col min="13851" max="14080" width="8.88671875" style="1"/>
    <col min="14081" max="14081" width="5.109375" style="1" customWidth="1"/>
    <col min="14082" max="14082" width="12.33203125" style="1" customWidth="1"/>
    <col min="14083" max="14083" width="9.109375" style="1" customWidth="1"/>
    <col min="14084" max="14084" width="17.6640625" style="1" customWidth="1"/>
    <col min="14085" max="14085" width="12.109375" style="1" customWidth="1"/>
    <col min="14086" max="14086" width="42" style="1" customWidth="1"/>
    <col min="14087" max="14087" width="25.109375" style="1" customWidth="1"/>
    <col min="14088" max="14088" width="12.21875" style="1" customWidth="1"/>
    <col min="14089" max="14089" width="14.21875" style="1" customWidth="1"/>
    <col min="14090" max="14093" width="7.6640625" style="1" customWidth="1"/>
    <col min="14094" max="14094" width="10.21875" style="1" customWidth="1"/>
    <col min="14095" max="14095" width="30.21875" style="1" customWidth="1"/>
    <col min="14096" max="14098" width="12.77734375" style="1" customWidth="1"/>
    <col min="14099" max="14099" width="12.21875" style="1" customWidth="1"/>
    <col min="14100" max="14100" width="13.33203125" style="1" customWidth="1"/>
    <col min="14101" max="14101" width="12.77734375" style="1" customWidth="1"/>
    <col min="14102" max="14106" width="12.21875" style="1" customWidth="1"/>
    <col min="14107" max="14336" width="8.88671875" style="1"/>
    <col min="14337" max="14337" width="5.109375" style="1" customWidth="1"/>
    <col min="14338" max="14338" width="12.33203125" style="1" customWidth="1"/>
    <col min="14339" max="14339" width="9.109375" style="1" customWidth="1"/>
    <col min="14340" max="14340" width="17.6640625" style="1" customWidth="1"/>
    <col min="14341" max="14341" width="12.109375" style="1" customWidth="1"/>
    <col min="14342" max="14342" width="42" style="1" customWidth="1"/>
    <col min="14343" max="14343" width="25.109375" style="1" customWidth="1"/>
    <col min="14344" max="14344" width="12.21875" style="1" customWidth="1"/>
    <col min="14345" max="14345" width="14.21875" style="1" customWidth="1"/>
    <col min="14346" max="14349" width="7.6640625" style="1" customWidth="1"/>
    <col min="14350" max="14350" width="10.21875" style="1" customWidth="1"/>
    <col min="14351" max="14351" width="30.21875" style="1" customWidth="1"/>
    <col min="14352" max="14354" width="12.77734375" style="1" customWidth="1"/>
    <col min="14355" max="14355" width="12.21875" style="1" customWidth="1"/>
    <col min="14356" max="14356" width="13.33203125" style="1" customWidth="1"/>
    <col min="14357" max="14357" width="12.77734375" style="1" customWidth="1"/>
    <col min="14358" max="14362" width="12.21875" style="1" customWidth="1"/>
    <col min="14363" max="14592" width="8.88671875" style="1"/>
    <col min="14593" max="14593" width="5.109375" style="1" customWidth="1"/>
    <col min="14594" max="14594" width="12.33203125" style="1" customWidth="1"/>
    <col min="14595" max="14595" width="9.109375" style="1" customWidth="1"/>
    <col min="14596" max="14596" width="17.6640625" style="1" customWidth="1"/>
    <col min="14597" max="14597" width="12.109375" style="1" customWidth="1"/>
    <col min="14598" max="14598" width="42" style="1" customWidth="1"/>
    <col min="14599" max="14599" width="25.109375" style="1" customWidth="1"/>
    <col min="14600" max="14600" width="12.21875" style="1" customWidth="1"/>
    <col min="14601" max="14601" width="14.21875" style="1" customWidth="1"/>
    <col min="14602" max="14605" width="7.6640625" style="1" customWidth="1"/>
    <col min="14606" max="14606" width="10.21875" style="1" customWidth="1"/>
    <col min="14607" max="14607" width="30.21875" style="1" customWidth="1"/>
    <col min="14608" max="14610" width="12.77734375" style="1" customWidth="1"/>
    <col min="14611" max="14611" width="12.21875" style="1" customWidth="1"/>
    <col min="14612" max="14612" width="13.33203125" style="1" customWidth="1"/>
    <col min="14613" max="14613" width="12.77734375" style="1" customWidth="1"/>
    <col min="14614" max="14618" width="12.21875" style="1" customWidth="1"/>
    <col min="14619" max="14848" width="8.88671875" style="1"/>
    <col min="14849" max="14849" width="5.109375" style="1" customWidth="1"/>
    <col min="14850" max="14850" width="12.33203125" style="1" customWidth="1"/>
    <col min="14851" max="14851" width="9.109375" style="1" customWidth="1"/>
    <col min="14852" max="14852" width="17.6640625" style="1" customWidth="1"/>
    <col min="14853" max="14853" width="12.109375" style="1" customWidth="1"/>
    <col min="14854" max="14854" width="42" style="1" customWidth="1"/>
    <col min="14855" max="14855" width="25.109375" style="1" customWidth="1"/>
    <col min="14856" max="14856" width="12.21875" style="1" customWidth="1"/>
    <col min="14857" max="14857" width="14.21875" style="1" customWidth="1"/>
    <col min="14858" max="14861" width="7.6640625" style="1" customWidth="1"/>
    <col min="14862" max="14862" width="10.21875" style="1" customWidth="1"/>
    <col min="14863" max="14863" width="30.21875" style="1" customWidth="1"/>
    <col min="14864" max="14866" width="12.77734375" style="1" customWidth="1"/>
    <col min="14867" max="14867" width="12.21875" style="1" customWidth="1"/>
    <col min="14868" max="14868" width="13.33203125" style="1" customWidth="1"/>
    <col min="14869" max="14869" width="12.77734375" style="1" customWidth="1"/>
    <col min="14870" max="14874" width="12.21875" style="1" customWidth="1"/>
    <col min="14875" max="15104" width="8.88671875" style="1"/>
    <col min="15105" max="15105" width="5.109375" style="1" customWidth="1"/>
    <col min="15106" max="15106" width="12.33203125" style="1" customWidth="1"/>
    <col min="15107" max="15107" width="9.109375" style="1" customWidth="1"/>
    <col min="15108" max="15108" width="17.6640625" style="1" customWidth="1"/>
    <col min="15109" max="15109" width="12.109375" style="1" customWidth="1"/>
    <col min="15110" max="15110" width="42" style="1" customWidth="1"/>
    <col min="15111" max="15111" width="25.109375" style="1" customWidth="1"/>
    <col min="15112" max="15112" width="12.21875" style="1" customWidth="1"/>
    <col min="15113" max="15113" width="14.21875" style="1" customWidth="1"/>
    <col min="15114" max="15117" width="7.6640625" style="1" customWidth="1"/>
    <col min="15118" max="15118" width="10.21875" style="1" customWidth="1"/>
    <col min="15119" max="15119" width="30.21875" style="1" customWidth="1"/>
    <col min="15120" max="15122" width="12.77734375" style="1" customWidth="1"/>
    <col min="15123" max="15123" width="12.21875" style="1" customWidth="1"/>
    <col min="15124" max="15124" width="13.33203125" style="1" customWidth="1"/>
    <col min="15125" max="15125" width="12.77734375" style="1" customWidth="1"/>
    <col min="15126" max="15130" width="12.21875" style="1" customWidth="1"/>
    <col min="15131" max="15360" width="8.88671875" style="1"/>
    <col min="15361" max="15361" width="5.109375" style="1" customWidth="1"/>
    <col min="15362" max="15362" width="12.33203125" style="1" customWidth="1"/>
    <col min="15363" max="15363" width="9.109375" style="1" customWidth="1"/>
    <col min="15364" max="15364" width="17.6640625" style="1" customWidth="1"/>
    <col min="15365" max="15365" width="12.109375" style="1" customWidth="1"/>
    <col min="15366" max="15366" width="42" style="1" customWidth="1"/>
    <col min="15367" max="15367" width="25.109375" style="1" customWidth="1"/>
    <col min="15368" max="15368" width="12.21875" style="1" customWidth="1"/>
    <col min="15369" max="15369" width="14.21875" style="1" customWidth="1"/>
    <col min="15370" max="15373" width="7.6640625" style="1" customWidth="1"/>
    <col min="15374" max="15374" width="10.21875" style="1" customWidth="1"/>
    <col min="15375" max="15375" width="30.21875" style="1" customWidth="1"/>
    <col min="15376" max="15378" width="12.77734375" style="1" customWidth="1"/>
    <col min="15379" max="15379" width="12.21875" style="1" customWidth="1"/>
    <col min="15380" max="15380" width="13.33203125" style="1" customWidth="1"/>
    <col min="15381" max="15381" width="12.77734375" style="1" customWidth="1"/>
    <col min="15382" max="15386" width="12.21875" style="1" customWidth="1"/>
    <col min="15387" max="15616" width="8.88671875" style="1"/>
    <col min="15617" max="15617" width="5.109375" style="1" customWidth="1"/>
    <col min="15618" max="15618" width="12.33203125" style="1" customWidth="1"/>
    <col min="15619" max="15619" width="9.109375" style="1" customWidth="1"/>
    <col min="15620" max="15620" width="17.6640625" style="1" customWidth="1"/>
    <col min="15621" max="15621" width="12.109375" style="1" customWidth="1"/>
    <col min="15622" max="15622" width="42" style="1" customWidth="1"/>
    <col min="15623" max="15623" width="25.109375" style="1" customWidth="1"/>
    <col min="15624" max="15624" width="12.21875" style="1" customWidth="1"/>
    <col min="15625" max="15625" width="14.21875" style="1" customWidth="1"/>
    <col min="15626" max="15629" width="7.6640625" style="1" customWidth="1"/>
    <col min="15630" max="15630" width="10.21875" style="1" customWidth="1"/>
    <col min="15631" max="15631" width="30.21875" style="1" customWidth="1"/>
    <col min="15632" max="15634" width="12.77734375" style="1" customWidth="1"/>
    <col min="15635" max="15635" width="12.21875" style="1" customWidth="1"/>
    <col min="15636" max="15636" width="13.33203125" style="1" customWidth="1"/>
    <col min="15637" max="15637" width="12.77734375" style="1" customWidth="1"/>
    <col min="15638" max="15642" width="12.21875" style="1" customWidth="1"/>
    <col min="15643" max="15872" width="8.88671875" style="1"/>
    <col min="15873" max="15873" width="5.109375" style="1" customWidth="1"/>
    <col min="15874" max="15874" width="12.33203125" style="1" customWidth="1"/>
    <col min="15875" max="15875" width="9.109375" style="1" customWidth="1"/>
    <col min="15876" max="15876" width="17.6640625" style="1" customWidth="1"/>
    <col min="15877" max="15877" width="12.109375" style="1" customWidth="1"/>
    <col min="15878" max="15878" width="42" style="1" customWidth="1"/>
    <col min="15879" max="15879" width="25.109375" style="1" customWidth="1"/>
    <col min="15880" max="15880" width="12.21875" style="1" customWidth="1"/>
    <col min="15881" max="15881" width="14.21875" style="1" customWidth="1"/>
    <col min="15882" max="15885" width="7.6640625" style="1" customWidth="1"/>
    <col min="15886" max="15886" width="10.21875" style="1" customWidth="1"/>
    <col min="15887" max="15887" width="30.21875" style="1" customWidth="1"/>
    <col min="15888" max="15890" width="12.77734375" style="1" customWidth="1"/>
    <col min="15891" max="15891" width="12.21875" style="1" customWidth="1"/>
    <col min="15892" max="15892" width="13.33203125" style="1" customWidth="1"/>
    <col min="15893" max="15893" width="12.77734375" style="1" customWidth="1"/>
    <col min="15894" max="15898" width="12.21875" style="1" customWidth="1"/>
    <col min="15899" max="16128" width="8.88671875" style="1"/>
    <col min="16129" max="16129" width="5.109375" style="1" customWidth="1"/>
    <col min="16130" max="16130" width="12.33203125" style="1" customWidth="1"/>
    <col min="16131" max="16131" width="9.109375" style="1" customWidth="1"/>
    <col min="16132" max="16132" width="17.6640625" style="1" customWidth="1"/>
    <col min="16133" max="16133" width="12.109375" style="1" customWidth="1"/>
    <col min="16134" max="16134" width="42" style="1" customWidth="1"/>
    <col min="16135" max="16135" width="25.109375" style="1" customWidth="1"/>
    <col min="16136" max="16136" width="12.21875" style="1" customWidth="1"/>
    <col min="16137" max="16137" width="14.21875" style="1" customWidth="1"/>
    <col min="16138" max="16141" width="7.6640625" style="1" customWidth="1"/>
    <col min="16142" max="16142" width="10.21875" style="1" customWidth="1"/>
    <col min="16143" max="16143" width="30.21875" style="1" customWidth="1"/>
    <col min="16144" max="16146" width="12.77734375" style="1" customWidth="1"/>
    <col min="16147" max="16147" width="12.21875" style="1" customWidth="1"/>
    <col min="16148" max="16148" width="13.33203125" style="1" customWidth="1"/>
    <col min="16149" max="16149" width="12.77734375" style="1" customWidth="1"/>
    <col min="16150" max="16154" width="12.21875" style="1" customWidth="1"/>
    <col min="16155" max="16384" width="8.88671875" style="1"/>
  </cols>
  <sheetData>
    <row r="1" spans="1:27">
      <c r="A1" s="1611" t="s">
        <v>2241</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row>
    <row r="2" spans="1:27" s="325" customFormat="1"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row>
    <row r="3" spans="1:27" s="325" customFormat="1" ht="17.25" thickBot="1">
      <c r="A3" s="326"/>
      <c r="B3" s="326"/>
      <c r="C3" s="326"/>
      <c r="D3" s="324"/>
      <c r="E3" s="324"/>
      <c r="F3" s="324"/>
      <c r="G3" s="324"/>
      <c r="H3" s="324"/>
      <c r="I3" s="1612"/>
      <c r="J3" s="1613"/>
      <c r="K3" s="1613"/>
      <c r="L3" s="1613"/>
      <c r="M3" s="1613"/>
      <c r="N3" s="1609" t="s">
        <v>2242</v>
      </c>
      <c r="O3" s="1610"/>
      <c r="P3" s="243"/>
      <c r="Q3" s="243"/>
      <c r="R3" s="250"/>
      <c r="S3" s="251"/>
      <c r="T3" s="251"/>
      <c r="U3" s="251"/>
      <c r="V3" s="251"/>
      <c r="W3" s="1621" t="s">
        <v>2243</v>
      </c>
      <c r="X3" s="1622"/>
      <c r="Y3" s="1623"/>
      <c r="Z3" s="251"/>
      <c r="AA3" s="332"/>
    </row>
    <row r="4" spans="1:27" ht="29.25" thickBot="1">
      <c r="A4" s="41" t="s">
        <v>2244</v>
      </c>
      <c r="B4" s="229" t="s">
        <v>2245</v>
      </c>
      <c r="C4" s="241" t="s">
        <v>2246</v>
      </c>
      <c r="D4" s="242" t="s">
        <v>2247</v>
      </c>
      <c r="E4" s="239" t="s">
        <v>2248</v>
      </c>
      <c r="F4" s="242" t="s">
        <v>2249</v>
      </c>
      <c r="G4" s="239" t="s">
        <v>2250</v>
      </c>
      <c r="H4" s="239" t="s">
        <v>2251</v>
      </c>
      <c r="I4" s="240" t="s">
        <v>2252</v>
      </c>
      <c r="J4" s="247" t="s">
        <v>2253</v>
      </c>
      <c r="K4" s="248" t="s">
        <v>2254</v>
      </c>
      <c r="L4" s="248" t="s">
        <v>2255</v>
      </c>
      <c r="M4" s="249" t="s">
        <v>2256</v>
      </c>
      <c r="N4" s="252" t="s">
        <v>2257</v>
      </c>
      <c r="O4" s="249" t="s">
        <v>2258</v>
      </c>
      <c r="P4" s="239" t="s">
        <v>2259</v>
      </c>
      <c r="Q4" s="239" t="s">
        <v>2260</v>
      </c>
      <c r="R4" s="238" t="s">
        <v>2261</v>
      </c>
      <c r="S4" s="35" t="s">
        <v>2262</v>
      </c>
      <c r="T4" s="32" t="s">
        <v>2263</v>
      </c>
      <c r="U4" s="237" t="s">
        <v>2264</v>
      </c>
      <c r="V4" s="34" t="s">
        <v>2265</v>
      </c>
      <c r="W4" s="238" t="s">
        <v>2266</v>
      </c>
      <c r="X4" s="35" t="s">
        <v>2267</v>
      </c>
      <c r="Y4" s="238" t="s">
        <v>2268</v>
      </c>
      <c r="Z4" s="238" t="s">
        <v>2269</v>
      </c>
    </row>
    <row r="5" spans="1:27" s="80" customFormat="1" ht="54">
      <c r="A5" s="378">
        <v>1</v>
      </c>
      <c r="B5" s="379" t="s">
        <v>2270</v>
      </c>
      <c r="C5" s="380" t="s">
        <v>924</v>
      </c>
      <c r="D5" s="381" t="s">
        <v>2271</v>
      </c>
      <c r="E5" s="382" t="s">
        <v>2272</v>
      </c>
      <c r="F5" s="383" t="s">
        <v>2273</v>
      </c>
      <c r="G5" s="382" t="s">
        <v>2274</v>
      </c>
      <c r="H5" s="384" t="s">
        <v>2275</v>
      </c>
      <c r="I5" s="385">
        <v>300</v>
      </c>
      <c r="J5" s="386"/>
      <c r="K5" s="387">
        <v>300</v>
      </c>
      <c r="L5" s="387"/>
      <c r="M5" s="384"/>
      <c r="N5" s="388"/>
      <c r="O5" s="381"/>
      <c r="P5" s="389" t="s">
        <v>67</v>
      </c>
      <c r="Q5" s="390"/>
      <c r="R5" s="391" t="s">
        <v>2276</v>
      </c>
      <c r="S5" s="384" t="s">
        <v>82</v>
      </c>
      <c r="T5" s="392" t="s">
        <v>995</v>
      </c>
      <c r="U5" s="393" t="s">
        <v>84</v>
      </c>
      <c r="V5" s="391" t="s">
        <v>2277</v>
      </c>
      <c r="W5" s="393">
        <f>SUM(X5:Y5)</f>
        <v>70</v>
      </c>
      <c r="X5" s="393">
        <v>67</v>
      </c>
      <c r="Y5" s="393">
        <v>3</v>
      </c>
      <c r="Z5" s="382" t="s">
        <v>2278</v>
      </c>
    </row>
    <row r="6" spans="1:27" ht="52.5">
      <c r="A6" s="329">
        <v>2</v>
      </c>
      <c r="B6" s="328" t="s">
        <v>2270</v>
      </c>
      <c r="C6" s="380" t="s">
        <v>924</v>
      </c>
      <c r="D6" s="369" t="s">
        <v>2279</v>
      </c>
      <c r="E6" s="370" t="s">
        <v>2280</v>
      </c>
      <c r="F6" s="371" t="s">
        <v>2281</v>
      </c>
      <c r="G6" s="370" t="s">
        <v>2282</v>
      </c>
      <c r="H6" s="372" t="s">
        <v>2283</v>
      </c>
      <c r="I6" s="394">
        <v>1200</v>
      </c>
      <c r="J6" s="395"/>
      <c r="K6" s="396">
        <v>1200</v>
      </c>
      <c r="L6" s="396"/>
      <c r="M6" s="372"/>
      <c r="N6" s="376"/>
      <c r="O6" s="369"/>
      <c r="P6" s="373" t="s">
        <v>67</v>
      </c>
      <c r="Q6" s="369" t="s">
        <v>2284</v>
      </c>
      <c r="R6" s="227" t="s">
        <v>2285</v>
      </c>
      <c r="S6" s="372" t="s">
        <v>2286</v>
      </c>
      <c r="T6" s="373" t="s">
        <v>2287</v>
      </c>
      <c r="U6" s="327" t="s">
        <v>2288</v>
      </c>
      <c r="V6" s="227" t="s">
        <v>2289</v>
      </c>
      <c r="W6" s="327">
        <f>SUM(X6:Y6)</f>
        <v>430</v>
      </c>
      <c r="X6" s="327">
        <v>408</v>
      </c>
      <c r="Y6" s="327">
        <v>22</v>
      </c>
      <c r="Z6" s="370" t="s">
        <v>2290</v>
      </c>
    </row>
    <row r="7" spans="1:27" ht="54">
      <c r="A7" s="378">
        <v>3</v>
      </c>
      <c r="B7" s="397" t="s">
        <v>2270</v>
      </c>
      <c r="C7" s="380" t="s">
        <v>924</v>
      </c>
      <c r="D7" s="398" t="s">
        <v>2291</v>
      </c>
      <c r="E7" s="399" t="s">
        <v>2292</v>
      </c>
      <c r="F7" s="400" t="s">
        <v>2293</v>
      </c>
      <c r="G7" s="399" t="s">
        <v>2294</v>
      </c>
      <c r="H7" s="401" t="s">
        <v>2295</v>
      </c>
      <c r="I7" s="402">
        <v>400</v>
      </c>
      <c r="J7" s="403"/>
      <c r="K7" s="404">
        <v>400</v>
      </c>
      <c r="L7" s="404"/>
      <c r="M7" s="401"/>
      <c r="N7" s="405"/>
      <c r="O7" s="398"/>
      <c r="P7" s="406" t="s">
        <v>67</v>
      </c>
      <c r="Q7" s="407" t="s">
        <v>67</v>
      </c>
      <c r="R7" s="408" t="s">
        <v>2296</v>
      </c>
      <c r="S7" s="401" t="s">
        <v>2297</v>
      </c>
      <c r="T7" s="409" t="s">
        <v>1880</v>
      </c>
      <c r="U7" s="410" t="s">
        <v>84</v>
      </c>
      <c r="V7" s="408" t="s">
        <v>85</v>
      </c>
      <c r="W7" s="410">
        <f>SUM(X7:Y7)</f>
        <v>11</v>
      </c>
      <c r="X7" s="410">
        <v>10</v>
      </c>
      <c r="Y7" s="410">
        <v>1</v>
      </c>
      <c r="Z7" s="399" t="s">
        <v>2298</v>
      </c>
    </row>
    <row r="8" spans="1:27" ht="95.25" thickBot="1">
      <c r="A8" s="329">
        <v>4</v>
      </c>
      <c r="B8" s="207" t="s">
        <v>2299</v>
      </c>
      <c r="C8" s="411" t="s">
        <v>2300</v>
      </c>
      <c r="D8" s="412" t="s">
        <v>2301</v>
      </c>
      <c r="E8" s="209" t="s">
        <v>2302</v>
      </c>
      <c r="F8" s="413" t="s">
        <v>2303</v>
      </c>
      <c r="G8" s="209" t="s">
        <v>2304</v>
      </c>
      <c r="H8" s="216" t="s">
        <v>2305</v>
      </c>
      <c r="I8" s="414">
        <v>1000</v>
      </c>
      <c r="J8" s="415"/>
      <c r="K8" s="416">
        <v>1000</v>
      </c>
      <c r="L8" s="416"/>
      <c r="M8" s="216"/>
      <c r="N8" s="417"/>
      <c r="O8" s="412"/>
      <c r="P8" s="418" t="s">
        <v>2306</v>
      </c>
      <c r="Q8" s="412" t="s">
        <v>2306</v>
      </c>
      <c r="R8" s="219" t="s">
        <v>2307</v>
      </c>
      <c r="S8" s="216" t="s">
        <v>2286</v>
      </c>
      <c r="T8" s="418" t="s">
        <v>2308</v>
      </c>
      <c r="U8" s="218" t="s">
        <v>2309</v>
      </c>
      <c r="V8" s="219" t="s">
        <v>2310</v>
      </c>
      <c r="W8" s="419">
        <v>52</v>
      </c>
      <c r="X8" s="419">
        <v>52</v>
      </c>
      <c r="Y8" s="327"/>
      <c r="Z8" s="209" t="s">
        <v>2311</v>
      </c>
    </row>
    <row r="9" spans="1:27" ht="67.5">
      <c r="A9" s="378">
        <v>5</v>
      </c>
      <c r="B9" s="328" t="s">
        <v>2270</v>
      </c>
      <c r="C9" s="368" t="s">
        <v>2312</v>
      </c>
      <c r="D9" s="369" t="s">
        <v>2313</v>
      </c>
      <c r="E9" s="370" t="s">
        <v>2314</v>
      </c>
      <c r="F9" s="371" t="s">
        <v>2315</v>
      </c>
      <c r="G9" s="370" t="s">
        <v>2316</v>
      </c>
      <c r="H9" s="372" t="s">
        <v>2317</v>
      </c>
      <c r="I9" s="394">
        <v>1375</v>
      </c>
      <c r="J9" s="395">
        <v>170</v>
      </c>
      <c r="K9" s="396">
        <v>1000</v>
      </c>
      <c r="L9" s="396">
        <v>205</v>
      </c>
      <c r="M9" s="372"/>
      <c r="N9" s="376" t="s">
        <v>2318</v>
      </c>
      <c r="O9" s="369" t="s">
        <v>2319</v>
      </c>
      <c r="P9" s="373" t="s">
        <v>67</v>
      </c>
      <c r="Q9" s="369" t="s">
        <v>2320</v>
      </c>
      <c r="R9" s="227" t="s">
        <v>2321</v>
      </c>
      <c r="S9" s="372" t="s">
        <v>2322</v>
      </c>
      <c r="T9" s="373" t="s">
        <v>2323</v>
      </c>
      <c r="U9" s="327" t="s">
        <v>2324</v>
      </c>
      <c r="V9" s="227" t="s">
        <v>2325</v>
      </c>
      <c r="W9" s="327">
        <v>282</v>
      </c>
      <c r="X9" s="327">
        <v>281.60000000000002</v>
      </c>
      <c r="Y9" s="327">
        <v>0.6</v>
      </c>
      <c r="Z9" s="370" t="s">
        <v>2326</v>
      </c>
    </row>
    <row r="10" spans="1:27" ht="54">
      <c r="A10" s="329">
        <v>6</v>
      </c>
      <c r="B10" s="328" t="s">
        <v>2270</v>
      </c>
      <c r="C10" s="368" t="s">
        <v>2327</v>
      </c>
      <c r="D10" s="369" t="s">
        <v>2328</v>
      </c>
      <c r="E10" s="370" t="s">
        <v>2329</v>
      </c>
      <c r="F10" s="420" t="s">
        <v>2330</v>
      </c>
      <c r="G10" s="370" t="s">
        <v>2331</v>
      </c>
      <c r="H10" s="372" t="s">
        <v>2332</v>
      </c>
      <c r="I10" s="394">
        <v>170</v>
      </c>
      <c r="J10" s="395"/>
      <c r="K10" s="396">
        <v>100</v>
      </c>
      <c r="L10" s="396">
        <v>70</v>
      </c>
      <c r="M10" s="372"/>
      <c r="N10" s="376"/>
      <c r="O10" s="369"/>
      <c r="P10" s="373" t="s">
        <v>167</v>
      </c>
      <c r="Q10" s="369" t="s">
        <v>2333</v>
      </c>
      <c r="R10" s="227" t="s">
        <v>2334</v>
      </c>
      <c r="S10" s="372" t="s">
        <v>2322</v>
      </c>
      <c r="T10" s="373" t="s">
        <v>2335</v>
      </c>
      <c r="U10" s="327" t="s">
        <v>2324</v>
      </c>
      <c r="V10" s="227" t="s">
        <v>2336</v>
      </c>
      <c r="W10" s="327">
        <v>30</v>
      </c>
      <c r="X10" s="327">
        <v>30</v>
      </c>
      <c r="Y10" s="327"/>
      <c r="Z10" s="370" t="s">
        <v>2337</v>
      </c>
    </row>
    <row r="11" spans="1:27" ht="94.5">
      <c r="A11" s="378">
        <v>7</v>
      </c>
      <c r="B11" s="328" t="s">
        <v>2270</v>
      </c>
      <c r="C11" s="368" t="s">
        <v>2338</v>
      </c>
      <c r="D11" s="369" t="s">
        <v>2339</v>
      </c>
      <c r="E11" s="370" t="s">
        <v>2340</v>
      </c>
      <c r="F11" s="371" t="s">
        <v>2341</v>
      </c>
      <c r="G11" s="370" t="s">
        <v>2342</v>
      </c>
      <c r="H11" s="372" t="s">
        <v>2343</v>
      </c>
      <c r="I11" s="394" t="s">
        <v>2344</v>
      </c>
      <c r="J11" s="395">
        <v>120</v>
      </c>
      <c r="K11" s="396">
        <v>30</v>
      </c>
      <c r="L11" s="396">
        <v>30</v>
      </c>
      <c r="M11" s="372">
        <v>25</v>
      </c>
      <c r="N11" s="376" t="s">
        <v>2345</v>
      </c>
      <c r="O11" s="369" t="s">
        <v>2346</v>
      </c>
      <c r="P11" s="373" t="s">
        <v>105</v>
      </c>
      <c r="Q11" s="369" t="s">
        <v>105</v>
      </c>
      <c r="R11" s="227" t="s">
        <v>2347</v>
      </c>
      <c r="S11" s="372" t="s">
        <v>2322</v>
      </c>
      <c r="T11" s="373" t="s">
        <v>2348</v>
      </c>
      <c r="U11" s="327" t="s">
        <v>2349</v>
      </c>
      <c r="V11" s="227" t="s">
        <v>2336</v>
      </c>
      <c r="W11" s="327">
        <v>23</v>
      </c>
      <c r="X11" s="327">
        <v>23</v>
      </c>
      <c r="Y11" s="327"/>
      <c r="Z11" s="370" t="s">
        <v>2350</v>
      </c>
    </row>
    <row r="12" spans="1:27" ht="67.5">
      <c r="A12" s="329">
        <v>8</v>
      </c>
      <c r="B12" s="328" t="s">
        <v>2351</v>
      </c>
      <c r="C12" s="368" t="s">
        <v>2338</v>
      </c>
      <c r="D12" s="369" t="s">
        <v>2352</v>
      </c>
      <c r="E12" s="370" t="s">
        <v>2353</v>
      </c>
      <c r="F12" s="371" t="s">
        <v>2354</v>
      </c>
      <c r="G12" s="370" t="s">
        <v>2355</v>
      </c>
      <c r="H12" s="372" t="s">
        <v>2356</v>
      </c>
      <c r="I12" s="394">
        <v>160</v>
      </c>
      <c r="J12" s="395"/>
      <c r="K12" s="396">
        <v>100</v>
      </c>
      <c r="L12" s="396">
        <v>60</v>
      </c>
      <c r="M12" s="372"/>
      <c r="N12" s="376"/>
      <c r="O12" s="369"/>
      <c r="P12" s="373" t="s">
        <v>67</v>
      </c>
      <c r="Q12" s="369" t="s">
        <v>909</v>
      </c>
      <c r="R12" s="227" t="s">
        <v>2357</v>
      </c>
      <c r="S12" s="372" t="s">
        <v>2322</v>
      </c>
      <c r="T12" s="373" t="s">
        <v>2358</v>
      </c>
      <c r="U12" s="327" t="s">
        <v>2349</v>
      </c>
      <c r="V12" s="227" t="s">
        <v>2336</v>
      </c>
      <c r="W12" s="327">
        <v>60</v>
      </c>
      <c r="X12" s="327">
        <v>58.5</v>
      </c>
      <c r="Y12" s="327">
        <v>1.5</v>
      </c>
      <c r="Z12" s="370" t="s">
        <v>2359</v>
      </c>
    </row>
    <row r="13" spans="1:27" s="325" customFormat="1">
      <c r="A13" s="331"/>
      <c r="B13" s="331"/>
      <c r="C13" s="331"/>
      <c r="W13" s="421"/>
      <c r="X13" s="421"/>
      <c r="Y13" s="422"/>
    </row>
    <row r="14" spans="1:27" s="325" customFormat="1">
      <c r="A14" s="331"/>
      <c r="B14" s="331"/>
      <c r="C14" s="331"/>
    </row>
    <row r="15" spans="1:27" s="325" customFormat="1">
      <c r="A15" s="331"/>
      <c r="B15" s="331"/>
      <c r="C15" s="331"/>
    </row>
    <row r="16" spans="1:27" s="325" customFormat="1">
      <c r="A16" s="331"/>
      <c r="B16" s="331"/>
      <c r="C16" s="331"/>
    </row>
    <row r="17" spans="1:3" s="325" customFormat="1">
      <c r="A17" s="331"/>
      <c r="B17" s="331"/>
      <c r="C17" s="331"/>
    </row>
    <row r="18" spans="1:3" s="325" customFormat="1">
      <c r="A18" s="331"/>
      <c r="B18" s="331"/>
      <c r="C18" s="331"/>
    </row>
    <row r="19" spans="1:3" s="325" customFormat="1">
      <c r="A19" s="331"/>
      <c r="B19" s="331"/>
      <c r="C19" s="331"/>
    </row>
    <row r="20" spans="1:3" s="325" customFormat="1">
      <c r="A20" s="331"/>
      <c r="B20" s="331"/>
      <c r="C20" s="331"/>
    </row>
    <row r="21" spans="1:3" s="325" customFormat="1">
      <c r="A21" s="331"/>
      <c r="B21" s="331"/>
      <c r="C21" s="331"/>
    </row>
  </sheetData>
  <mergeCells count="4">
    <mergeCell ref="A1:Y2"/>
    <mergeCell ref="I3:M3"/>
    <mergeCell ref="N3:O3"/>
    <mergeCell ref="W3:Y3"/>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5"/>
  <sheetViews>
    <sheetView workbookViewId="0">
      <selection activeCell="G3" sqref="G1:G1048576"/>
    </sheetView>
  </sheetViews>
  <sheetFormatPr defaultRowHeight="13.5"/>
  <cols>
    <col min="4" max="4" width="16.77734375" customWidth="1"/>
    <col min="5" max="5" width="14" customWidth="1"/>
    <col min="6" max="6" width="37.44140625" customWidth="1"/>
    <col min="7" max="7" width="24.6640625"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423"/>
      <c r="AA1" s="423"/>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426"/>
      <c r="AA2" s="426"/>
    </row>
    <row r="3" spans="1:27" ht="17.25" thickBot="1">
      <c r="A3" s="427"/>
      <c r="B3" s="427"/>
      <c r="C3" s="427"/>
      <c r="D3" s="425"/>
      <c r="E3" s="425"/>
      <c r="F3" s="425"/>
      <c r="G3" s="425"/>
      <c r="H3" s="425"/>
      <c r="I3" s="1612"/>
      <c r="J3" s="1613"/>
      <c r="K3" s="1613"/>
      <c r="L3" s="1613"/>
      <c r="M3" s="1613"/>
      <c r="N3" s="1609" t="s">
        <v>1754</v>
      </c>
      <c r="O3" s="1610"/>
      <c r="P3" s="452"/>
      <c r="Q3" s="452"/>
      <c r="R3" s="464"/>
      <c r="S3" s="465"/>
      <c r="T3" s="465"/>
      <c r="U3" s="465"/>
      <c r="V3" s="465"/>
      <c r="W3" s="1621" t="s">
        <v>896</v>
      </c>
      <c r="X3" s="1622"/>
      <c r="Y3" s="1623"/>
      <c r="Z3" s="465"/>
      <c r="AA3" s="435"/>
    </row>
    <row r="4" spans="1:27" ht="57.75" thickBot="1">
      <c r="A4" s="451" t="s">
        <v>897</v>
      </c>
      <c r="B4" s="433" t="s">
        <v>898</v>
      </c>
      <c r="C4" s="449" t="s">
        <v>899</v>
      </c>
      <c r="D4" s="450" t="s">
        <v>900</v>
      </c>
      <c r="E4" s="447" t="s">
        <v>901</v>
      </c>
      <c r="F4" s="450" t="s">
        <v>902</v>
      </c>
      <c r="G4" s="447" t="s">
        <v>903</v>
      </c>
      <c r="H4" s="447" t="s">
        <v>904</v>
      </c>
      <c r="I4" s="448" t="s">
        <v>905</v>
      </c>
      <c r="J4" s="461" t="s">
        <v>906</v>
      </c>
      <c r="K4" s="462" t="s">
        <v>907</v>
      </c>
      <c r="L4" s="462" t="s">
        <v>908</v>
      </c>
      <c r="M4" s="463" t="s">
        <v>909</v>
      </c>
      <c r="N4" s="467" t="s">
        <v>910</v>
      </c>
      <c r="O4" s="463" t="s">
        <v>911</v>
      </c>
      <c r="P4" s="447" t="s">
        <v>912</v>
      </c>
      <c r="Q4" s="447" t="s">
        <v>913</v>
      </c>
      <c r="R4" s="446" t="s">
        <v>914</v>
      </c>
      <c r="S4" s="445" t="s">
        <v>915</v>
      </c>
      <c r="T4" s="442" t="s">
        <v>916</v>
      </c>
      <c r="U4" s="443" t="s">
        <v>917</v>
      </c>
      <c r="V4" s="444" t="s">
        <v>918</v>
      </c>
      <c r="W4" s="446" t="s">
        <v>919</v>
      </c>
      <c r="X4" s="445" t="s">
        <v>920</v>
      </c>
      <c r="Y4" s="446" t="s">
        <v>921</v>
      </c>
      <c r="Z4" s="446" t="s">
        <v>922</v>
      </c>
      <c r="AA4" s="423"/>
    </row>
    <row r="5" spans="1:27" ht="80.099999999999994" customHeight="1">
      <c r="A5" s="432">
        <v>1</v>
      </c>
      <c r="B5" s="430" t="s">
        <v>2360</v>
      </c>
      <c r="C5" s="431" t="s">
        <v>2361</v>
      </c>
      <c r="D5" s="436" t="s">
        <v>2362</v>
      </c>
      <c r="E5" s="438" t="s">
        <v>2029</v>
      </c>
      <c r="F5" s="439" t="s">
        <v>2363</v>
      </c>
      <c r="G5" s="438" t="s">
        <v>2364</v>
      </c>
      <c r="H5" s="440" t="s">
        <v>1959</v>
      </c>
      <c r="I5" s="441">
        <v>200</v>
      </c>
      <c r="J5" s="453"/>
      <c r="K5" s="456"/>
      <c r="L5" s="456">
        <v>200</v>
      </c>
      <c r="M5" s="440"/>
      <c r="N5" s="468"/>
      <c r="O5" s="436"/>
      <c r="P5" s="441" t="s">
        <v>67</v>
      </c>
      <c r="Q5" s="436" t="s">
        <v>909</v>
      </c>
      <c r="R5" s="429" t="s">
        <v>2365</v>
      </c>
      <c r="S5" s="440" t="s">
        <v>82</v>
      </c>
      <c r="T5" s="441" t="s">
        <v>995</v>
      </c>
      <c r="U5" s="428" t="s">
        <v>1950</v>
      </c>
      <c r="V5" s="429" t="s">
        <v>1064</v>
      </c>
      <c r="W5" s="440">
        <v>100</v>
      </c>
      <c r="X5" s="440">
        <v>100</v>
      </c>
      <c r="Y5" s="438"/>
      <c r="Z5" s="438" t="s">
        <v>930</v>
      </c>
      <c r="AA5" s="423"/>
    </row>
    <row r="6" spans="1:27" ht="80.099999999999994" customHeight="1">
      <c r="A6" s="432">
        <v>2</v>
      </c>
      <c r="B6" s="430" t="s">
        <v>2360</v>
      </c>
      <c r="C6" s="429" t="s">
        <v>2361</v>
      </c>
      <c r="D6" s="436" t="s">
        <v>2366</v>
      </c>
      <c r="E6" s="438" t="s">
        <v>2367</v>
      </c>
      <c r="F6" s="439" t="s">
        <v>2368</v>
      </c>
      <c r="G6" s="438" t="s">
        <v>2369</v>
      </c>
      <c r="H6" s="440" t="s">
        <v>2370</v>
      </c>
      <c r="I6" s="441">
        <v>60</v>
      </c>
      <c r="J6" s="455"/>
      <c r="K6" s="458">
        <v>26</v>
      </c>
      <c r="L6" s="458">
        <v>34</v>
      </c>
      <c r="M6" s="460"/>
      <c r="N6" s="470"/>
      <c r="O6" s="466"/>
      <c r="P6" s="441" t="s">
        <v>105</v>
      </c>
      <c r="Q6" s="436" t="s">
        <v>909</v>
      </c>
      <c r="R6" s="429" t="s">
        <v>2371</v>
      </c>
      <c r="S6" s="440" t="s">
        <v>82</v>
      </c>
      <c r="T6" s="441" t="s">
        <v>995</v>
      </c>
      <c r="U6" s="428" t="s">
        <v>1950</v>
      </c>
      <c r="V6" s="429" t="s">
        <v>1064</v>
      </c>
      <c r="W6" s="440">
        <v>20</v>
      </c>
      <c r="X6" s="440">
        <v>10</v>
      </c>
      <c r="Y6" s="438">
        <v>10</v>
      </c>
      <c r="Z6" s="438" t="s">
        <v>1119</v>
      </c>
      <c r="AA6" s="423"/>
    </row>
    <row r="7" spans="1:27" ht="80.099999999999994" customHeight="1">
      <c r="A7" s="432">
        <v>3</v>
      </c>
      <c r="B7" s="430" t="s">
        <v>2360</v>
      </c>
      <c r="C7" s="431" t="s">
        <v>2361</v>
      </c>
      <c r="D7" s="436" t="s">
        <v>2372</v>
      </c>
      <c r="E7" s="438" t="s">
        <v>2373</v>
      </c>
      <c r="F7" s="439" t="s">
        <v>2374</v>
      </c>
      <c r="G7" s="438" t="s">
        <v>2375</v>
      </c>
      <c r="H7" s="440" t="s">
        <v>1038</v>
      </c>
      <c r="I7" s="441">
        <v>20</v>
      </c>
      <c r="J7" s="453"/>
      <c r="K7" s="456"/>
      <c r="L7" s="456">
        <v>20</v>
      </c>
      <c r="M7" s="440"/>
      <c r="N7" s="468"/>
      <c r="O7" s="436"/>
      <c r="P7" s="441" t="s">
        <v>167</v>
      </c>
      <c r="Q7" s="436" t="s">
        <v>909</v>
      </c>
      <c r="R7" s="429" t="s">
        <v>2376</v>
      </c>
      <c r="S7" s="440" t="s">
        <v>82</v>
      </c>
      <c r="T7" s="441" t="s">
        <v>929</v>
      </c>
      <c r="U7" s="428" t="s">
        <v>1950</v>
      </c>
      <c r="V7" s="429" t="s">
        <v>85</v>
      </c>
      <c r="W7" s="440">
        <v>30</v>
      </c>
      <c r="X7" s="440">
        <v>30</v>
      </c>
      <c r="Y7" s="438"/>
      <c r="Z7" s="438" t="s">
        <v>930</v>
      </c>
      <c r="AA7" s="423"/>
    </row>
    <row r="8" spans="1:27" ht="80.099999999999994" customHeight="1">
      <c r="A8" s="432">
        <v>4</v>
      </c>
      <c r="B8" s="430" t="s">
        <v>2360</v>
      </c>
      <c r="C8" s="431" t="s">
        <v>2361</v>
      </c>
      <c r="D8" s="436" t="s">
        <v>2377</v>
      </c>
      <c r="E8" s="438" t="s">
        <v>2378</v>
      </c>
      <c r="F8" s="439" t="s">
        <v>2379</v>
      </c>
      <c r="G8" s="438" t="s">
        <v>2380</v>
      </c>
      <c r="H8" s="440" t="s">
        <v>2381</v>
      </c>
      <c r="I8" s="441">
        <v>200</v>
      </c>
      <c r="J8" s="453"/>
      <c r="K8" s="456"/>
      <c r="L8" s="456"/>
      <c r="M8" s="440"/>
      <c r="N8" s="468"/>
      <c r="O8" s="436"/>
      <c r="P8" s="441" t="s">
        <v>167</v>
      </c>
      <c r="Q8" s="436" t="s">
        <v>167</v>
      </c>
      <c r="R8" s="429" t="s">
        <v>2382</v>
      </c>
      <c r="S8" s="440" t="s">
        <v>82</v>
      </c>
      <c r="T8" s="441" t="s">
        <v>929</v>
      </c>
      <c r="U8" s="428" t="s">
        <v>2383</v>
      </c>
      <c r="V8" s="429" t="s">
        <v>1047</v>
      </c>
      <c r="W8" s="440">
        <v>40</v>
      </c>
      <c r="X8" s="440">
        <v>39</v>
      </c>
      <c r="Y8" s="438">
        <v>1</v>
      </c>
      <c r="Z8" s="438" t="s">
        <v>2384</v>
      </c>
      <c r="AA8" s="423"/>
    </row>
    <row r="9" spans="1:27" ht="80.099999999999994" customHeight="1">
      <c r="A9" s="432">
        <v>5</v>
      </c>
      <c r="B9" s="430" t="s">
        <v>2360</v>
      </c>
      <c r="C9" s="431" t="s">
        <v>924</v>
      </c>
      <c r="D9" s="436" t="s">
        <v>2385</v>
      </c>
      <c r="E9" s="438" t="s">
        <v>2386</v>
      </c>
      <c r="F9" s="439" t="s">
        <v>2387</v>
      </c>
      <c r="G9" s="438" t="s">
        <v>2388</v>
      </c>
      <c r="H9" s="440" t="s">
        <v>2389</v>
      </c>
      <c r="I9" s="441">
        <v>224</v>
      </c>
      <c r="J9" s="453">
        <v>0</v>
      </c>
      <c r="K9" s="456">
        <v>104</v>
      </c>
      <c r="L9" s="456">
        <v>0</v>
      </c>
      <c r="M9" s="440">
        <v>120</v>
      </c>
      <c r="N9" s="468"/>
      <c r="O9" s="436"/>
      <c r="P9" s="441" t="s">
        <v>92</v>
      </c>
      <c r="Q9" s="436" t="s">
        <v>92</v>
      </c>
      <c r="R9" s="429" t="s">
        <v>2390</v>
      </c>
      <c r="S9" s="440" t="s">
        <v>82</v>
      </c>
      <c r="T9" s="441"/>
      <c r="U9" s="428"/>
      <c r="V9" s="429"/>
      <c r="W9" s="440">
        <v>100</v>
      </c>
      <c r="X9" s="440">
        <v>100</v>
      </c>
      <c r="Y9" s="438"/>
      <c r="Z9" s="438" t="s">
        <v>2391</v>
      </c>
      <c r="AA9" s="424"/>
    </row>
    <row r="10" spans="1:27" ht="80.099999999999994" customHeight="1">
      <c r="A10" s="432">
        <v>6</v>
      </c>
      <c r="B10" s="430" t="s">
        <v>2360</v>
      </c>
      <c r="C10" s="431" t="s">
        <v>924</v>
      </c>
      <c r="D10" s="436" t="s">
        <v>2392</v>
      </c>
      <c r="E10" s="438" t="s">
        <v>2393</v>
      </c>
      <c r="F10" s="439" t="s">
        <v>2394</v>
      </c>
      <c r="G10" s="438" t="s">
        <v>2395</v>
      </c>
      <c r="H10" s="440" t="s">
        <v>1015</v>
      </c>
      <c r="I10" s="441">
        <v>100</v>
      </c>
      <c r="J10" s="453">
        <v>0</v>
      </c>
      <c r="K10" s="456">
        <v>100</v>
      </c>
      <c r="L10" s="456">
        <v>0</v>
      </c>
      <c r="M10" s="440">
        <v>0</v>
      </c>
      <c r="N10" s="468"/>
      <c r="O10" s="436"/>
      <c r="P10" s="441" t="s">
        <v>124</v>
      </c>
      <c r="Q10" s="436" t="s">
        <v>124</v>
      </c>
      <c r="R10" s="429" t="s">
        <v>2396</v>
      </c>
      <c r="S10" s="440" t="s">
        <v>82</v>
      </c>
      <c r="T10" s="441" t="s">
        <v>1005</v>
      </c>
      <c r="U10" s="428" t="s">
        <v>84</v>
      </c>
      <c r="V10" s="429" t="s">
        <v>85</v>
      </c>
      <c r="W10" s="440">
        <v>35</v>
      </c>
      <c r="X10" s="440">
        <v>35</v>
      </c>
      <c r="Y10" s="438"/>
      <c r="Z10" s="438" t="s">
        <v>2397</v>
      </c>
      <c r="AA10" s="424"/>
    </row>
    <row r="11" spans="1:27" ht="80.099999999999994" customHeight="1">
      <c r="A11" s="432">
        <v>7</v>
      </c>
      <c r="B11" s="430" t="s">
        <v>2360</v>
      </c>
      <c r="C11" s="431" t="s">
        <v>1098</v>
      </c>
      <c r="D11" s="436" t="s">
        <v>2398</v>
      </c>
      <c r="E11" s="438" t="s">
        <v>2399</v>
      </c>
      <c r="F11" s="439" t="s">
        <v>2400</v>
      </c>
      <c r="G11" s="438" t="s">
        <v>2401</v>
      </c>
      <c r="H11" s="440" t="s">
        <v>2402</v>
      </c>
      <c r="I11" s="441">
        <v>35</v>
      </c>
      <c r="J11" s="453"/>
      <c r="K11" s="456"/>
      <c r="L11" s="456"/>
      <c r="M11" s="440">
        <v>35</v>
      </c>
      <c r="N11" s="468"/>
      <c r="O11" s="436"/>
      <c r="P11" s="441" t="s">
        <v>67</v>
      </c>
      <c r="Q11" s="436"/>
      <c r="R11" s="429" t="s">
        <v>2403</v>
      </c>
      <c r="S11" s="440" t="s">
        <v>2404</v>
      </c>
      <c r="T11" s="441" t="s">
        <v>2405</v>
      </c>
      <c r="U11" s="428" t="s">
        <v>2406</v>
      </c>
      <c r="V11" s="429" t="s">
        <v>1047</v>
      </c>
      <c r="W11" s="440">
        <v>16</v>
      </c>
      <c r="X11" s="440">
        <v>15.5</v>
      </c>
      <c r="Y11" s="438">
        <v>0.5</v>
      </c>
      <c r="Z11" s="438" t="s">
        <v>2407</v>
      </c>
      <c r="AA11" s="423"/>
    </row>
    <row r="12" spans="1:27" ht="80.099999999999994" customHeight="1">
      <c r="A12" s="432">
        <v>8</v>
      </c>
      <c r="B12" s="430" t="s">
        <v>2360</v>
      </c>
      <c r="C12" s="431" t="s">
        <v>1098</v>
      </c>
      <c r="D12" s="436" t="s">
        <v>2408</v>
      </c>
      <c r="E12" s="438" t="s">
        <v>952</v>
      </c>
      <c r="F12" s="439" t="s">
        <v>2400</v>
      </c>
      <c r="G12" s="438" t="s">
        <v>2401</v>
      </c>
      <c r="H12" s="440" t="s">
        <v>2409</v>
      </c>
      <c r="I12" s="441"/>
      <c r="J12" s="453"/>
      <c r="K12" s="456"/>
      <c r="L12" s="456"/>
      <c r="M12" s="440"/>
      <c r="N12" s="468"/>
      <c r="O12" s="436"/>
      <c r="P12" s="441" t="s">
        <v>67</v>
      </c>
      <c r="Q12" s="436"/>
      <c r="R12" s="429" t="s">
        <v>2403</v>
      </c>
      <c r="S12" s="440" t="s">
        <v>2404</v>
      </c>
      <c r="T12" s="441" t="s">
        <v>2405</v>
      </c>
      <c r="U12" s="428" t="s">
        <v>2406</v>
      </c>
      <c r="V12" s="429" t="s">
        <v>1047</v>
      </c>
      <c r="W12" s="440">
        <v>16</v>
      </c>
      <c r="X12" s="440">
        <v>15.5</v>
      </c>
      <c r="Y12" s="438">
        <v>0.5</v>
      </c>
      <c r="Z12" s="438" t="s">
        <v>952</v>
      </c>
      <c r="AA12" s="423"/>
    </row>
    <row r="13" spans="1:27" ht="80.099999999999994" customHeight="1">
      <c r="A13" s="432">
        <v>9</v>
      </c>
      <c r="B13" s="430" t="s">
        <v>2360</v>
      </c>
      <c r="C13" s="431" t="s">
        <v>924</v>
      </c>
      <c r="D13" s="436" t="s">
        <v>2410</v>
      </c>
      <c r="E13" s="438" t="s">
        <v>2411</v>
      </c>
      <c r="F13" s="439" t="s">
        <v>2412</v>
      </c>
      <c r="G13" s="438" t="s">
        <v>2413</v>
      </c>
      <c r="H13" s="440" t="s">
        <v>2414</v>
      </c>
      <c r="I13" s="441">
        <v>1160</v>
      </c>
      <c r="J13" s="453"/>
      <c r="K13" s="456">
        <v>1160</v>
      </c>
      <c r="L13" s="456"/>
      <c r="M13" s="440"/>
      <c r="N13" s="468"/>
      <c r="O13" s="436"/>
      <c r="P13" s="441" t="s">
        <v>67</v>
      </c>
      <c r="Q13" s="436" t="s">
        <v>909</v>
      </c>
      <c r="R13" s="429" t="s">
        <v>2415</v>
      </c>
      <c r="S13" s="440" t="s">
        <v>82</v>
      </c>
      <c r="T13" s="441" t="s">
        <v>2416</v>
      </c>
      <c r="U13" s="428" t="s">
        <v>1141</v>
      </c>
      <c r="V13" s="429" t="s">
        <v>85</v>
      </c>
      <c r="W13" s="440">
        <v>235</v>
      </c>
      <c r="X13" s="440">
        <v>235</v>
      </c>
      <c r="Y13" s="438"/>
      <c r="Z13" s="438" t="s">
        <v>2417</v>
      </c>
      <c r="AA13" s="423"/>
    </row>
    <row r="14" spans="1:27" ht="80.099999999999994" customHeight="1">
      <c r="A14" s="432">
        <v>10</v>
      </c>
      <c r="B14" s="430" t="s">
        <v>2360</v>
      </c>
      <c r="C14" s="431" t="s">
        <v>2418</v>
      </c>
      <c r="D14" s="436" t="s">
        <v>2419</v>
      </c>
      <c r="E14" s="438" t="s">
        <v>2420</v>
      </c>
      <c r="F14" s="439" t="s">
        <v>2421</v>
      </c>
      <c r="G14" s="438" t="s">
        <v>2422</v>
      </c>
      <c r="H14" s="440" t="s">
        <v>2423</v>
      </c>
      <c r="I14" s="441">
        <v>880</v>
      </c>
      <c r="J14" s="453">
        <v>0</v>
      </c>
      <c r="K14" s="456">
        <v>0</v>
      </c>
      <c r="L14" s="456">
        <v>880</v>
      </c>
      <c r="M14" s="440">
        <v>0</v>
      </c>
      <c r="N14" s="468"/>
      <c r="O14" s="436"/>
      <c r="P14" s="441" t="s">
        <v>909</v>
      </c>
      <c r="Q14" s="436" t="s">
        <v>909</v>
      </c>
      <c r="R14" s="429" t="s">
        <v>2424</v>
      </c>
      <c r="S14" s="440" t="s">
        <v>82</v>
      </c>
      <c r="T14" s="441" t="s">
        <v>995</v>
      </c>
      <c r="U14" s="428" t="s">
        <v>84</v>
      </c>
      <c r="V14" s="429" t="s">
        <v>2425</v>
      </c>
      <c r="W14" s="440">
        <v>649</v>
      </c>
      <c r="X14" s="440">
        <v>649</v>
      </c>
      <c r="Y14" s="438"/>
      <c r="Z14" s="438" t="s">
        <v>2426</v>
      </c>
      <c r="AA14" s="423"/>
    </row>
    <row r="15" spans="1:27" ht="80.099999999999994" customHeight="1">
      <c r="A15" s="432">
        <v>11</v>
      </c>
      <c r="B15" s="430" t="s">
        <v>2360</v>
      </c>
      <c r="C15" s="431" t="s">
        <v>2418</v>
      </c>
      <c r="D15" s="436" t="s">
        <v>2427</v>
      </c>
      <c r="E15" s="438" t="s">
        <v>2428</v>
      </c>
      <c r="F15" s="439" t="s">
        <v>2429</v>
      </c>
      <c r="G15" s="438" t="s">
        <v>2430</v>
      </c>
      <c r="H15" s="440" t="s">
        <v>1816</v>
      </c>
      <c r="I15" s="441">
        <v>237</v>
      </c>
      <c r="J15" s="453">
        <v>0</v>
      </c>
      <c r="K15" s="456">
        <v>0</v>
      </c>
      <c r="L15" s="456">
        <v>237</v>
      </c>
      <c r="M15" s="440">
        <v>0</v>
      </c>
      <c r="N15" s="468"/>
      <c r="O15" s="436"/>
      <c r="P15" s="441" t="s">
        <v>909</v>
      </c>
      <c r="Q15" s="436" t="s">
        <v>909</v>
      </c>
      <c r="R15" s="429" t="s">
        <v>2431</v>
      </c>
      <c r="S15" s="440" t="s">
        <v>82</v>
      </c>
      <c r="T15" s="441" t="s">
        <v>995</v>
      </c>
      <c r="U15" s="428" t="s">
        <v>84</v>
      </c>
      <c r="V15" s="429" t="s">
        <v>1047</v>
      </c>
      <c r="W15" s="440">
        <v>500</v>
      </c>
      <c r="X15" s="440">
        <v>500</v>
      </c>
      <c r="Y15" s="438"/>
      <c r="Z15" s="438" t="s">
        <v>2432</v>
      </c>
      <c r="AA15" s="423"/>
    </row>
    <row r="16" spans="1:27" ht="80.099999999999994" customHeight="1">
      <c r="A16" s="432">
        <v>12</v>
      </c>
      <c r="B16" s="430" t="s">
        <v>2360</v>
      </c>
      <c r="C16" s="431" t="s">
        <v>2433</v>
      </c>
      <c r="D16" s="436" t="s">
        <v>2434</v>
      </c>
      <c r="E16" s="438" t="s">
        <v>2435</v>
      </c>
      <c r="F16" s="439" t="s">
        <v>2436</v>
      </c>
      <c r="G16" s="438" t="s">
        <v>2437</v>
      </c>
      <c r="H16" s="440" t="s">
        <v>2438</v>
      </c>
      <c r="I16" s="441">
        <v>180</v>
      </c>
      <c r="J16" s="453"/>
      <c r="K16" s="456"/>
      <c r="L16" s="456">
        <v>180</v>
      </c>
      <c r="M16" s="440"/>
      <c r="N16" s="468"/>
      <c r="O16" s="436"/>
      <c r="P16" s="441" t="s">
        <v>92</v>
      </c>
      <c r="Q16" s="423"/>
      <c r="R16" s="429" t="s">
        <v>2439</v>
      </c>
      <c r="S16" s="440" t="s">
        <v>82</v>
      </c>
      <c r="T16" s="441" t="s">
        <v>1089</v>
      </c>
      <c r="U16" s="428" t="s">
        <v>84</v>
      </c>
      <c r="V16" s="429" t="s">
        <v>1064</v>
      </c>
      <c r="W16" s="440">
        <v>90</v>
      </c>
      <c r="X16" s="438">
        <v>90</v>
      </c>
      <c r="Y16" s="438"/>
      <c r="Z16" s="438" t="s">
        <v>2440</v>
      </c>
      <c r="AA16" s="423"/>
    </row>
    <row r="17" spans="1:27" ht="80.099999999999994" customHeight="1">
      <c r="A17" s="432">
        <v>13</v>
      </c>
      <c r="B17" s="430" t="s">
        <v>2360</v>
      </c>
      <c r="C17" s="431" t="s">
        <v>2433</v>
      </c>
      <c r="D17" s="437" t="s">
        <v>2441</v>
      </c>
      <c r="E17" s="438" t="s">
        <v>2442</v>
      </c>
      <c r="F17" s="439" t="s">
        <v>2443</v>
      </c>
      <c r="G17" s="438" t="s">
        <v>2444</v>
      </c>
      <c r="H17" s="440" t="s">
        <v>2445</v>
      </c>
      <c r="I17" s="441">
        <v>830</v>
      </c>
      <c r="J17" s="454"/>
      <c r="K17" s="457">
        <v>50</v>
      </c>
      <c r="L17" s="457">
        <v>780</v>
      </c>
      <c r="M17" s="459"/>
      <c r="N17" s="469"/>
      <c r="O17" s="437"/>
      <c r="P17" s="441" t="s">
        <v>105</v>
      </c>
      <c r="Q17" s="436"/>
      <c r="R17" s="429" t="s">
        <v>2446</v>
      </c>
      <c r="S17" s="440" t="s">
        <v>82</v>
      </c>
      <c r="T17" s="441" t="s">
        <v>2447</v>
      </c>
      <c r="U17" s="428" t="s">
        <v>2448</v>
      </c>
      <c r="V17" s="429" t="s">
        <v>1064</v>
      </c>
      <c r="W17" s="440">
        <v>221</v>
      </c>
      <c r="X17" s="440"/>
      <c r="Y17" s="438"/>
      <c r="Z17" s="438" t="s">
        <v>930</v>
      </c>
      <c r="AA17" s="423"/>
    </row>
    <row r="18" spans="1:27" ht="80.099999999999994" customHeight="1">
      <c r="A18" s="432">
        <v>14</v>
      </c>
      <c r="B18" s="430" t="s">
        <v>2360</v>
      </c>
      <c r="C18" s="431" t="s">
        <v>1098</v>
      </c>
      <c r="D18" s="436" t="s">
        <v>2449</v>
      </c>
      <c r="E18" s="438" t="s">
        <v>2450</v>
      </c>
      <c r="F18" s="439" t="s">
        <v>2451</v>
      </c>
      <c r="G18" s="438" t="s">
        <v>2452</v>
      </c>
      <c r="H18" s="440" t="s">
        <v>2453</v>
      </c>
      <c r="I18" s="441">
        <v>734</v>
      </c>
      <c r="J18" s="453"/>
      <c r="K18" s="456"/>
      <c r="L18" s="456">
        <v>734</v>
      </c>
      <c r="M18" s="440"/>
      <c r="N18" s="468"/>
      <c r="O18" s="436" t="s">
        <v>1950</v>
      </c>
      <c r="P18" s="441" t="s">
        <v>67</v>
      </c>
      <c r="Q18" s="436" t="s">
        <v>67</v>
      </c>
      <c r="R18" s="429" t="s">
        <v>2454</v>
      </c>
      <c r="S18" s="440" t="s">
        <v>82</v>
      </c>
      <c r="T18" s="441" t="s">
        <v>995</v>
      </c>
      <c r="U18" s="428" t="s">
        <v>84</v>
      </c>
      <c r="V18" s="429" t="s">
        <v>1047</v>
      </c>
      <c r="W18" s="440">
        <v>252</v>
      </c>
      <c r="X18" s="440">
        <v>252</v>
      </c>
      <c r="Y18" s="438"/>
      <c r="Z18" s="438" t="s">
        <v>930</v>
      </c>
      <c r="AA18" s="423"/>
    </row>
    <row r="19" spans="1:27" ht="80.099999999999994" customHeight="1">
      <c r="A19" s="432">
        <v>15</v>
      </c>
      <c r="B19" s="430" t="s">
        <v>2360</v>
      </c>
      <c r="C19" s="431" t="s">
        <v>2361</v>
      </c>
      <c r="D19" s="436" t="s">
        <v>2377</v>
      </c>
      <c r="E19" s="438" t="s">
        <v>2378</v>
      </c>
      <c r="F19" s="439" t="s">
        <v>2379</v>
      </c>
      <c r="G19" s="438" t="s">
        <v>2380</v>
      </c>
      <c r="H19" s="440" t="s">
        <v>2381</v>
      </c>
      <c r="I19" s="441">
        <v>200</v>
      </c>
      <c r="J19" s="453"/>
      <c r="K19" s="456"/>
      <c r="L19" s="456"/>
      <c r="M19" s="440"/>
      <c r="N19" s="468"/>
      <c r="O19" s="436"/>
      <c r="P19" s="441" t="s">
        <v>167</v>
      </c>
      <c r="Q19" s="436" t="s">
        <v>167</v>
      </c>
      <c r="R19" s="429" t="s">
        <v>2382</v>
      </c>
      <c r="S19" s="440" t="s">
        <v>82</v>
      </c>
      <c r="T19" s="441" t="s">
        <v>929</v>
      </c>
      <c r="U19" s="428" t="s">
        <v>2383</v>
      </c>
      <c r="V19" s="429" t="s">
        <v>1047</v>
      </c>
      <c r="W19" s="440">
        <v>40</v>
      </c>
      <c r="X19" s="440">
        <v>39</v>
      </c>
      <c r="Y19" s="438">
        <v>1</v>
      </c>
      <c r="Z19" s="438" t="s">
        <v>2384</v>
      </c>
      <c r="AA19" s="423"/>
    </row>
    <row r="20" spans="1:27">
      <c r="A20" s="434"/>
      <c r="B20" s="434"/>
      <c r="C20" s="434"/>
      <c r="D20" s="426"/>
      <c r="E20" s="426"/>
      <c r="F20" s="426"/>
      <c r="G20" s="426"/>
      <c r="H20" s="426"/>
      <c r="I20" s="426"/>
      <c r="J20" s="426"/>
      <c r="K20" s="426"/>
      <c r="L20" s="426"/>
      <c r="M20" s="426"/>
      <c r="N20" s="426"/>
      <c r="O20" s="426"/>
      <c r="P20" s="426"/>
      <c r="Q20" s="426"/>
      <c r="R20" s="426"/>
      <c r="S20" s="426"/>
      <c r="T20" s="426"/>
      <c r="U20" s="426"/>
    </row>
    <row r="21" spans="1:27">
      <c r="A21" s="434"/>
      <c r="B21" s="434"/>
      <c r="C21" s="434"/>
    </row>
    <row r="22" spans="1:27">
      <c r="A22" s="434"/>
      <c r="B22" s="434"/>
      <c r="C22" s="434"/>
    </row>
    <row r="23" spans="1:27">
      <c r="A23" s="434"/>
      <c r="B23" s="434"/>
      <c r="C23" s="434"/>
    </row>
    <row r="24" spans="1:27">
      <c r="A24" s="434"/>
      <c r="B24" s="434"/>
      <c r="C24" s="434"/>
    </row>
    <row r="25" spans="1:27">
      <c r="A25" s="434"/>
      <c r="B25" s="434"/>
      <c r="C25" s="434"/>
    </row>
    <row r="26" spans="1:27">
      <c r="A26" s="434"/>
      <c r="B26" s="434"/>
      <c r="C26" s="434"/>
    </row>
    <row r="27" spans="1:27">
      <c r="A27" s="434"/>
      <c r="B27" s="434"/>
      <c r="C27" s="434"/>
    </row>
    <row r="28" spans="1:27">
      <c r="A28" s="434"/>
      <c r="B28" s="434"/>
      <c r="C28" s="434"/>
    </row>
    <row r="29" spans="1:27">
      <c r="A29" s="434"/>
      <c r="B29" s="434"/>
      <c r="C29" s="434"/>
    </row>
    <row r="30" spans="1:27">
      <c r="A30" s="434"/>
      <c r="B30" s="434"/>
      <c r="C30" s="434"/>
    </row>
    <row r="31" spans="1:27">
      <c r="A31" s="434"/>
      <c r="B31" s="434"/>
      <c r="C31" s="434"/>
    </row>
    <row r="32" spans="1:27">
      <c r="A32" s="434"/>
      <c r="B32" s="434"/>
      <c r="C32" s="434"/>
    </row>
    <row r="33" spans="1:3">
      <c r="A33" s="434"/>
      <c r="B33" s="434"/>
      <c r="C33" s="434"/>
    </row>
    <row r="34" spans="1:3">
      <c r="A34" s="434"/>
      <c r="B34" s="434"/>
      <c r="C34" s="434"/>
    </row>
    <row r="35" spans="1:3">
      <c r="A35" s="434"/>
      <c r="B35" s="434"/>
      <c r="C35" s="434"/>
    </row>
  </sheetData>
  <mergeCells count="4">
    <mergeCell ref="W3:Y3"/>
    <mergeCell ref="N3:O3"/>
    <mergeCell ref="A1:Y2"/>
    <mergeCell ref="I3:M3"/>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7"/>
  <sheetViews>
    <sheetView workbookViewId="0">
      <selection activeCell="G3" sqref="G1:G1048576"/>
    </sheetView>
  </sheetViews>
  <sheetFormatPr defaultRowHeight="13.5"/>
  <cols>
    <col min="4" max="4" width="22.5546875" customWidth="1"/>
    <col min="5" max="5" width="17" customWidth="1"/>
    <col min="6" max="6" width="36.109375" customWidth="1"/>
    <col min="7" max="7" width="20.77734375"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471"/>
      <c r="AA1" s="471"/>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473"/>
      <c r="AA2" s="473"/>
    </row>
    <row r="3" spans="1:27" ht="17.25" thickBot="1">
      <c r="A3" s="474"/>
      <c r="B3" s="474"/>
      <c r="C3" s="474"/>
      <c r="D3" s="472"/>
      <c r="E3" s="472"/>
      <c r="F3" s="472"/>
      <c r="G3" s="472"/>
      <c r="H3" s="472"/>
      <c r="I3" s="1612"/>
      <c r="J3" s="1613"/>
      <c r="K3" s="1613"/>
      <c r="L3" s="1613"/>
      <c r="M3" s="1613"/>
      <c r="N3" s="1609" t="s">
        <v>1754</v>
      </c>
      <c r="O3" s="1610"/>
      <c r="P3" s="498"/>
      <c r="Q3" s="498"/>
      <c r="R3" s="504"/>
      <c r="S3" s="505"/>
      <c r="T3" s="505"/>
      <c r="U3" s="505"/>
      <c r="V3" s="505"/>
      <c r="W3" s="1621" t="s">
        <v>896</v>
      </c>
      <c r="X3" s="1622"/>
      <c r="Y3" s="1623"/>
      <c r="Z3" s="505"/>
      <c r="AA3" s="482"/>
    </row>
    <row r="4" spans="1:27" ht="57.75" thickBot="1">
      <c r="A4" s="497" t="s">
        <v>897</v>
      </c>
      <c r="B4" s="480" t="s">
        <v>898</v>
      </c>
      <c r="C4" s="495" t="s">
        <v>899</v>
      </c>
      <c r="D4" s="496" t="s">
        <v>900</v>
      </c>
      <c r="E4" s="493" t="s">
        <v>901</v>
      </c>
      <c r="F4" s="496" t="s">
        <v>902</v>
      </c>
      <c r="G4" s="493" t="s">
        <v>903</v>
      </c>
      <c r="H4" s="493" t="s">
        <v>904</v>
      </c>
      <c r="I4" s="494" t="s">
        <v>905</v>
      </c>
      <c r="J4" s="501" t="s">
        <v>906</v>
      </c>
      <c r="K4" s="502" t="s">
        <v>907</v>
      </c>
      <c r="L4" s="502" t="s">
        <v>908</v>
      </c>
      <c r="M4" s="503" t="s">
        <v>909</v>
      </c>
      <c r="N4" s="506" t="s">
        <v>910</v>
      </c>
      <c r="O4" s="503" t="s">
        <v>911</v>
      </c>
      <c r="P4" s="493" t="s">
        <v>912</v>
      </c>
      <c r="Q4" s="493" t="s">
        <v>913</v>
      </c>
      <c r="R4" s="492" t="s">
        <v>914</v>
      </c>
      <c r="S4" s="491" t="s">
        <v>915</v>
      </c>
      <c r="T4" s="488" t="s">
        <v>916</v>
      </c>
      <c r="U4" s="489" t="s">
        <v>917</v>
      </c>
      <c r="V4" s="490" t="s">
        <v>918</v>
      </c>
      <c r="W4" s="492" t="s">
        <v>919</v>
      </c>
      <c r="X4" s="491" t="s">
        <v>920</v>
      </c>
      <c r="Y4" s="492" t="s">
        <v>921</v>
      </c>
      <c r="Z4" s="492" t="s">
        <v>922</v>
      </c>
      <c r="AA4" s="471"/>
    </row>
    <row r="5" spans="1:27" ht="50.1" customHeight="1">
      <c r="A5" s="479">
        <v>1</v>
      </c>
      <c r="B5" s="477" t="s">
        <v>2455</v>
      </c>
      <c r="C5" s="478" t="s">
        <v>924</v>
      </c>
      <c r="D5" s="483" t="s">
        <v>2456</v>
      </c>
      <c r="E5" s="484" t="s">
        <v>2119</v>
      </c>
      <c r="F5" s="485" t="s">
        <v>2457</v>
      </c>
      <c r="G5" s="484" t="s">
        <v>2458</v>
      </c>
      <c r="H5" s="486" t="s">
        <v>1010</v>
      </c>
      <c r="I5" s="487">
        <v>570</v>
      </c>
      <c r="J5" s="499"/>
      <c r="K5" s="500">
        <v>570</v>
      </c>
      <c r="L5" s="500"/>
      <c r="M5" s="486"/>
      <c r="N5" s="507"/>
      <c r="O5" s="483"/>
      <c r="P5" s="487" t="s">
        <v>105</v>
      </c>
      <c r="Q5" s="483"/>
      <c r="R5" s="476" t="s">
        <v>2459</v>
      </c>
      <c r="S5" s="486" t="s">
        <v>82</v>
      </c>
      <c r="T5" s="487" t="s">
        <v>2460</v>
      </c>
      <c r="U5" s="475" t="s">
        <v>84</v>
      </c>
      <c r="V5" s="476" t="s">
        <v>85</v>
      </c>
      <c r="W5" s="486">
        <v>100</v>
      </c>
      <c r="X5" s="486">
        <v>90</v>
      </c>
      <c r="Y5" s="484">
        <v>10</v>
      </c>
      <c r="Z5" s="484" t="s">
        <v>1028</v>
      </c>
      <c r="AA5" s="471"/>
    </row>
    <row r="6" spans="1:27" ht="50.1" customHeight="1">
      <c r="A6" s="479">
        <v>2</v>
      </c>
      <c r="B6" s="477" t="s">
        <v>2455</v>
      </c>
      <c r="C6" s="478" t="s">
        <v>924</v>
      </c>
      <c r="D6" s="483" t="s">
        <v>2461</v>
      </c>
      <c r="E6" s="484" t="s">
        <v>2462</v>
      </c>
      <c r="F6" s="485" t="s">
        <v>2463</v>
      </c>
      <c r="G6" s="484" t="s">
        <v>2464</v>
      </c>
      <c r="H6" s="486" t="s">
        <v>2465</v>
      </c>
      <c r="I6" s="487">
        <v>1200</v>
      </c>
      <c r="J6" s="499"/>
      <c r="K6" s="500">
        <v>700</v>
      </c>
      <c r="L6" s="500">
        <v>370</v>
      </c>
      <c r="M6" s="486">
        <v>130</v>
      </c>
      <c r="N6" s="507"/>
      <c r="O6" s="483"/>
      <c r="P6" s="487" t="s">
        <v>67</v>
      </c>
      <c r="Q6" s="475" t="s">
        <v>2466</v>
      </c>
      <c r="R6" s="476" t="s">
        <v>2467</v>
      </c>
      <c r="S6" s="484" t="s">
        <v>82</v>
      </c>
      <c r="T6" s="513" t="s">
        <v>83</v>
      </c>
      <c r="U6" s="475" t="s">
        <v>84</v>
      </c>
      <c r="V6" s="486" t="s">
        <v>85</v>
      </c>
      <c r="W6" s="486">
        <v>63</v>
      </c>
      <c r="X6" s="486">
        <v>63</v>
      </c>
      <c r="Y6" s="484"/>
      <c r="Z6" s="484" t="s">
        <v>2468</v>
      </c>
      <c r="AA6" s="471"/>
    </row>
    <row r="7" spans="1:27" ht="50.1" customHeight="1">
      <c r="A7" s="479">
        <v>3</v>
      </c>
      <c r="B7" s="477" t="s">
        <v>2455</v>
      </c>
      <c r="C7" s="478" t="s">
        <v>924</v>
      </c>
      <c r="D7" s="483" t="s">
        <v>2469</v>
      </c>
      <c r="E7" s="484" t="s">
        <v>2470</v>
      </c>
      <c r="F7" s="485" t="s">
        <v>2471</v>
      </c>
      <c r="G7" s="484" t="s">
        <v>2472</v>
      </c>
      <c r="H7" s="486" t="s">
        <v>2473</v>
      </c>
      <c r="I7" s="487">
        <v>340</v>
      </c>
      <c r="J7" s="499">
        <v>240</v>
      </c>
      <c r="K7" s="500">
        <v>100</v>
      </c>
      <c r="L7" s="500"/>
      <c r="M7" s="486"/>
      <c r="N7" s="507" t="s">
        <v>927</v>
      </c>
      <c r="O7" s="483" t="s">
        <v>2474</v>
      </c>
      <c r="P7" s="487" t="s">
        <v>67</v>
      </c>
      <c r="Q7" s="475" t="s">
        <v>2466</v>
      </c>
      <c r="R7" s="476" t="s">
        <v>2475</v>
      </c>
      <c r="S7" s="484" t="s">
        <v>82</v>
      </c>
      <c r="T7" s="513" t="s">
        <v>1103</v>
      </c>
      <c r="U7" s="475" t="s">
        <v>84</v>
      </c>
      <c r="V7" s="486" t="s">
        <v>85</v>
      </c>
      <c r="W7" s="486">
        <v>51</v>
      </c>
      <c r="X7" s="486">
        <v>50</v>
      </c>
      <c r="Y7" s="484">
        <v>1</v>
      </c>
      <c r="Z7" s="484" t="s">
        <v>930</v>
      </c>
      <c r="AA7" s="471"/>
    </row>
    <row r="8" spans="1:27" ht="50.1" customHeight="1">
      <c r="A8" s="479">
        <v>4</v>
      </c>
      <c r="B8" s="477" t="s">
        <v>2455</v>
      </c>
      <c r="C8" s="478" t="s">
        <v>924</v>
      </c>
      <c r="D8" s="483" t="s">
        <v>2476</v>
      </c>
      <c r="E8" s="484" t="s">
        <v>1137</v>
      </c>
      <c r="F8" s="485" t="s">
        <v>2477</v>
      </c>
      <c r="G8" s="484" t="s">
        <v>2478</v>
      </c>
      <c r="H8" s="486" t="s">
        <v>2129</v>
      </c>
      <c r="I8" s="487">
        <v>300</v>
      </c>
      <c r="J8" s="499"/>
      <c r="K8" s="500">
        <v>300</v>
      </c>
      <c r="L8" s="500"/>
      <c r="M8" s="486"/>
      <c r="N8" s="507"/>
      <c r="O8" s="483"/>
      <c r="P8" s="487" t="s">
        <v>909</v>
      </c>
      <c r="Q8" s="483"/>
      <c r="R8" s="476" t="s">
        <v>2479</v>
      </c>
      <c r="S8" s="486" t="s">
        <v>82</v>
      </c>
      <c r="T8" s="487" t="s">
        <v>2480</v>
      </c>
      <c r="U8" s="475" t="s">
        <v>2481</v>
      </c>
      <c r="V8" s="476" t="s">
        <v>1047</v>
      </c>
      <c r="W8" s="486">
        <v>90</v>
      </c>
      <c r="X8" s="486">
        <v>90</v>
      </c>
      <c r="Y8" s="484"/>
      <c r="Z8" s="484" t="s">
        <v>930</v>
      </c>
      <c r="AA8" s="471"/>
    </row>
    <row r="9" spans="1:27" ht="50.1" customHeight="1">
      <c r="A9" s="479">
        <v>5</v>
      </c>
      <c r="B9" s="477" t="s">
        <v>2455</v>
      </c>
      <c r="C9" s="478" t="s">
        <v>924</v>
      </c>
      <c r="D9" s="483" t="s">
        <v>2482</v>
      </c>
      <c r="E9" s="484" t="s">
        <v>2119</v>
      </c>
      <c r="F9" s="485" t="s">
        <v>2483</v>
      </c>
      <c r="G9" s="484" t="s">
        <v>2484</v>
      </c>
      <c r="H9" s="486" t="s">
        <v>2485</v>
      </c>
      <c r="I9" s="487">
        <v>160</v>
      </c>
      <c r="J9" s="499">
        <v>0</v>
      </c>
      <c r="K9" s="500">
        <v>150</v>
      </c>
      <c r="L9" s="500"/>
      <c r="M9" s="486">
        <v>10</v>
      </c>
      <c r="N9" s="507"/>
      <c r="O9" s="483"/>
      <c r="P9" s="487" t="s">
        <v>92</v>
      </c>
      <c r="Q9" s="483"/>
      <c r="R9" s="476" t="s">
        <v>2486</v>
      </c>
      <c r="S9" s="486" t="s">
        <v>82</v>
      </c>
      <c r="T9" s="487" t="s">
        <v>83</v>
      </c>
      <c r="U9" s="475" t="s">
        <v>2487</v>
      </c>
      <c r="V9" s="476" t="s">
        <v>85</v>
      </c>
      <c r="W9" s="486">
        <v>86</v>
      </c>
      <c r="X9" s="486">
        <v>86</v>
      </c>
      <c r="Y9" s="484"/>
      <c r="Z9" s="484" t="s">
        <v>930</v>
      </c>
      <c r="AA9" s="471"/>
    </row>
    <row r="10" spans="1:27" ht="50.1" customHeight="1">
      <c r="A10" s="479">
        <v>6</v>
      </c>
      <c r="B10" s="477" t="s">
        <v>2455</v>
      </c>
      <c r="C10" s="478" t="s">
        <v>924</v>
      </c>
      <c r="D10" s="483" t="s">
        <v>2488</v>
      </c>
      <c r="E10" s="484" t="s">
        <v>2489</v>
      </c>
      <c r="F10" s="485" t="s">
        <v>2490</v>
      </c>
      <c r="G10" s="484" t="s">
        <v>2491</v>
      </c>
      <c r="H10" s="486" t="s">
        <v>1010</v>
      </c>
      <c r="I10" s="487">
        <v>250</v>
      </c>
      <c r="J10" s="499"/>
      <c r="K10" s="500">
        <v>250</v>
      </c>
      <c r="L10" s="500"/>
      <c r="M10" s="486"/>
      <c r="N10" s="507"/>
      <c r="O10" s="483"/>
      <c r="P10" s="487" t="s">
        <v>167</v>
      </c>
      <c r="Q10" s="475"/>
      <c r="R10" s="486" t="s">
        <v>2492</v>
      </c>
      <c r="S10" s="486" t="s">
        <v>82</v>
      </c>
      <c r="T10" s="475" t="s">
        <v>1005</v>
      </c>
      <c r="U10" s="475" t="s">
        <v>84</v>
      </c>
      <c r="V10" s="486" t="s">
        <v>1047</v>
      </c>
      <c r="W10" s="486">
        <v>262</v>
      </c>
      <c r="X10" s="484">
        <v>262</v>
      </c>
      <c r="Y10" s="484" t="s">
        <v>959</v>
      </c>
      <c r="Z10" s="484" t="s">
        <v>930</v>
      </c>
      <c r="AA10" s="471"/>
    </row>
    <row r="11" spans="1:27" ht="50.1" customHeight="1">
      <c r="A11" s="479">
        <v>7</v>
      </c>
      <c r="B11" s="477" t="s">
        <v>2455</v>
      </c>
      <c r="C11" s="478" t="s">
        <v>924</v>
      </c>
      <c r="D11" s="483" t="s">
        <v>2493</v>
      </c>
      <c r="E11" s="484" t="s">
        <v>2494</v>
      </c>
      <c r="F11" s="485" t="s">
        <v>2495</v>
      </c>
      <c r="G11" s="484" t="s">
        <v>2496</v>
      </c>
      <c r="H11" s="486" t="s">
        <v>2497</v>
      </c>
      <c r="I11" s="487">
        <v>1000</v>
      </c>
      <c r="J11" s="499"/>
      <c r="K11" s="500">
        <v>500</v>
      </c>
      <c r="L11" s="500"/>
      <c r="M11" s="486">
        <v>500</v>
      </c>
      <c r="N11" s="507"/>
      <c r="O11" s="483"/>
      <c r="P11" s="487" t="s">
        <v>167</v>
      </c>
      <c r="Q11" s="483"/>
      <c r="R11" s="476" t="s">
        <v>1242</v>
      </c>
      <c r="S11" s="486" t="s">
        <v>82</v>
      </c>
      <c r="T11" s="487" t="s">
        <v>1005</v>
      </c>
      <c r="U11" s="475" t="s">
        <v>84</v>
      </c>
      <c r="V11" s="476" t="s">
        <v>85</v>
      </c>
      <c r="W11" s="486">
        <v>265</v>
      </c>
      <c r="X11" s="486">
        <v>265</v>
      </c>
      <c r="Y11" s="484"/>
      <c r="Z11" s="484" t="s">
        <v>930</v>
      </c>
      <c r="AA11" s="471"/>
    </row>
    <row r="12" spans="1:27" ht="50.1" customHeight="1">
      <c r="A12" s="479">
        <v>8</v>
      </c>
      <c r="B12" s="477" t="s">
        <v>2455</v>
      </c>
      <c r="C12" s="478" t="s">
        <v>924</v>
      </c>
      <c r="D12" s="483" t="s">
        <v>2498</v>
      </c>
      <c r="E12" s="484" t="s">
        <v>2499</v>
      </c>
      <c r="F12" s="485" t="s">
        <v>2500</v>
      </c>
      <c r="G12" s="484" t="s">
        <v>2501</v>
      </c>
      <c r="H12" s="486" t="s">
        <v>2502</v>
      </c>
      <c r="I12" s="487">
        <v>350</v>
      </c>
      <c r="J12" s="499"/>
      <c r="K12" s="500">
        <v>350</v>
      </c>
      <c r="L12" s="500"/>
      <c r="M12" s="486"/>
      <c r="N12" s="507"/>
      <c r="O12" s="483"/>
      <c r="P12" s="487" t="s">
        <v>105</v>
      </c>
      <c r="Q12" s="483"/>
      <c r="R12" s="476" t="s">
        <v>2503</v>
      </c>
      <c r="S12" s="486" t="s">
        <v>82</v>
      </c>
      <c r="T12" s="487" t="s">
        <v>2504</v>
      </c>
      <c r="U12" s="475" t="s">
        <v>84</v>
      </c>
      <c r="V12" s="476" t="s">
        <v>2505</v>
      </c>
      <c r="W12" s="486">
        <v>100</v>
      </c>
      <c r="X12" s="486">
        <v>100</v>
      </c>
      <c r="Y12" s="484"/>
      <c r="Z12" s="484" t="s">
        <v>930</v>
      </c>
      <c r="AA12" s="471"/>
    </row>
    <row r="13" spans="1:27" ht="50.1" customHeight="1">
      <c r="A13" s="479">
        <v>9</v>
      </c>
      <c r="B13" s="477" t="s">
        <v>2455</v>
      </c>
      <c r="C13" s="478" t="s">
        <v>924</v>
      </c>
      <c r="D13" s="483" t="s">
        <v>2506</v>
      </c>
      <c r="E13" s="484" t="s">
        <v>2507</v>
      </c>
      <c r="F13" s="485" t="s">
        <v>2508</v>
      </c>
      <c r="G13" s="484" t="s">
        <v>2509</v>
      </c>
      <c r="H13" s="486" t="s">
        <v>2510</v>
      </c>
      <c r="I13" s="487">
        <v>588</v>
      </c>
      <c r="J13" s="499"/>
      <c r="K13" s="500">
        <v>588</v>
      </c>
      <c r="L13" s="500"/>
      <c r="M13" s="486"/>
      <c r="N13" s="507"/>
      <c r="O13" s="483"/>
      <c r="P13" s="487" t="s">
        <v>67</v>
      </c>
      <c r="Q13" s="483"/>
      <c r="R13" s="476" t="s">
        <v>2511</v>
      </c>
      <c r="S13" s="486" t="s">
        <v>82</v>
      </c>
      <c r="T13" s="487" t="s">
        <v>1103</v>
      </c>
      <c r="U13" s="475" t="s">
        <v>84</v>
      </c>
      <c r="V13" s="476" t="s">
        <v>1064</v>
      </c>
      <c r="W13" s="486">
        <v>0</v>
      </c>
      <c r="X13" s="486">
        <v>0</v>
      </c>
      <c r="Y13" s="484"/>
      <c r="Z13" s="484" t="s">
        <v>930</v>
      </c>
      <c r="AA13" s="471"/>
    </row>
    <row r="14" spans="1:27" ht="50.1" customHeight="1">
      <c r="A14" s="479">
        <v>10</v>
      </c>
      <c r="B14" s="477" t="s">
        <v>2455</v>
      </c>
      <c r="C14" s="478" t="s">
        <v>924</v>
      </c>
      <c r="D14" s="483" t="s">
        <v>2512</v>
      </c>
      <c r="E14" s="484" t="s">
        <v>2513</v>
      </c>
      <c r="F14" s="485" t="s">
        <v>2514</v>
      </c>
      <c r="G14" s="484" t="s">
        <v>2515</v>
      </c>
      <c r="H14" s="486" t="s">
        <v>943</v>
      </c>
      <c r="I14" s="487">
        <v>229</v>
      </c>
      <c r="J14" s="499"/>
      <c r="K14" s="500">
        <v>229</v>
      </c>
      <c r="L14" s="500"/>
      <c r="M14" s="486"/>
      <c r="N14" s="507"/>
      <c r="O14" s="483"/>
      <c r="P14" s="487" t="s">
        <v>67</v>
      </c>
      <c r="Q14" s="483"/>
      <c r="R14" s="476" t="s">
        <v>2516</v>
      </c>
      <c r="S14" s="509" t="s">
        <v>2517</v>
      </c>
      <c r="T14" s="487" t="s">
        <v>2518</v>
      </c>
      <c r="U14" s="475" t="s">
        <v>2519</v>
      </c>
      <c r="V14" s="476" t="s">
        <v>2520</v>
      </c>
      <c r="W14" s="486">
        <v>11</v>
      </c>
      <c r="X14" s="486">
        <v>11</v>
      </c>
      <c r="Y14" s="484"/>
      <c r="Z14" s="484" t="s">
        <v>930</v>
      </c>
      <c r="AA14" s="471"/>
    </row>
    <row r="15" spans="1:27" ht="50.1" customHeight="1">
      <c r="A15" s="479">
        <v>11</v>
      </c>
      <c r="B15" s="477" t="s">
        <v>2455</v>
      </c>
      <c r="C15" s="476" t="s">
        <v>2521</v>
      </c>
      <c r="D15" s="483" t="s">
        <v>2522</v>
      </c>
      <c r="E15" s="484" t="s">
        <v>2523</v>
      </c>
      <c r="F15" s="485" t="s">
        <v>2524</v>
      </c>
      <c r="G15" s="484" t="s">
        <v>2525</v>
      </c>
      <c r="H15" s="486" t="s">
        <v>2526</v>
      </c>
      <c r="I15" s="487">
        <v>30</v>
      </c>
      <c r="J15" s="499"/>
      <c r="K15" s="500">
        <v>30</v>
      </c>
      <c r="L15" s="500"/>
      <c r="M15" s="486"/>
      <c r="N15" s="507"/>
      <c r="O15" s="483"/>
      <c r="P15" s="487" t="s">
        <v>167</v>
      </c>
      <c r="Q15" s="483"/>
      <c r="R15" s="476" t="s">
        <v>2527</v>
      </c>
      <c r="S15" s="486" t="s">
        <v>82</v>
      </c>
      <c r="T15" s="487" t="s">
        <v>2480</v>
      </c>
      <c r="U15" s="475" t="s">
        <v>84</v>
      </c>
      <c r="V15" s="476" t="s">
        <v>1047</v>
      </c>
      <c r="W15" s="486">
        <v>43</v>
      </c>
      <c r="X15" s="486">
        <v>43</v>
      </c>
      <c r="Y15" s="484"/>
      <c r="Z15" s="484" t="s">
        <v>930</v>
      </c>
      <c r="AA15" s="471"/>
    </row>
    <row r="16" spans="1:27" ht="50.1" customHeight="1">
      <c r="A16" s="479">
        <v>12</v>
      </c>
      <c r="B16" s="477" t="s">
        <v>2455</v>
      </c>
      <c r="C16" s="476" t="s">
        <v>2521</v>
      </c>
      <c r="D16" s="483" t="s">
        <v>2528</v>
      </c>
      <c r="E16" s="484" t="s">
        <v>2529</v>
      </c>
      <c r="F16" s="485" t="s">
        <v>2530</v>
      </c>
      <c r="G16" s="484" t="s">
        <v>2531</v>
      </c>
      <c r="H16" s="486" t="s">
        <v>2532</v>
      </c>
      <c r="I16" s="487">
        <v>580</v>
      </c>
      <c r="J16" s="499"/>
      <c r="K16" s="500">
        <v>580</v>
      </c>
      <c r="L16" s="500"/>
      <c r="M16" s="486"/>
      <c r="N16" s="507"/>
      <c r="O16" s="483"/>
      <c r="P16" s="487" t="s">
        <v>67</v>
      </c>
      <c r="Q16" s="483"/>
      <c r="R16" s="476" t="s">
        <v>2533</v>
      </c>
      <c r="S16" s="486" t="s">
        <v>82</v>
      </c>
      <c r="T16" s="487" t="s">
        <v>2534</v>
      </c>
      <c r="U16" s="475" t="s">
        <v>84</v>
      </c>
      <c r="V16" s="476" t="s">
        <v>1064</v>
      </c>
      <c r="W16" s="486">
        <v>102</v>
      </c>
      <c r="X16" s="486">
        <v>102</v>
      </c>
      <c r="Y16" s="484"/>
      <c r="Z16" s="484" t="s">
        <v>930</v>
      </c>
      <c r="AA16" s="471"/>
    </row>
    <row r="17" spans="1:26" ht="50.1" customHeight="1">
      <c r="A17" s="479">
        <v>13</v>
      </c>
      <c r="B17" s="477" t="s">
        <v>2455</v>
      </c>
      <c r="C17" s="478" t="s">
        <v>997</v>
      </c>
      <c r="D17" s="483" t="s">
        <v>2535</v>
      </c>
      <c r="E17" s="484" t="s">
        <v>2536</v>
      </c>
      <c r="F17" s="508" t="s">
        <v>2537</v>
      </c>
      <c r="G17" s="484" t="s">
        <v>2538</v>
      </c>
      <c r="H17" s="486" t="s">
        <v>1038</v>
      </c>
      <c r="I17" s="487">
        <v>450</v>
      </c>
      <c r="J17" s="499"/>
      <c r="K17" s="500">
        <v>150</v>
      </c>
      <c r="L17" s="500">
        <v>300</v>
      </c>
      <c r="M17" s="509"/>
      <c r="N17" s="507"/>
      <c r="O17" s="483"/>
      <c r="P17" s="487" t="s">
        <v>105</v>
      </c>
      <c r="Q17" s="483"/>
      <c r="R17" s="476" t="s">
        <v>2539</v>
      </c>
      <c r="S17" s="486" t="s">
        <v>82</v>
      </c>
      <c r="T17" s="487" t="s">
        <v>929</v>
      </c>
      <c r="U17" s="475" t="s">
        <v>2540</v>
      </c>
      <c r="V17" s="476" t="s">
        <v>85</v>
      </c>
      <c r="W17" s="486">
        <v>530</v>
      </c>
      <c r="X17" s="486">
        <v>530</v>
      </c>
      <c r="Y17" s="484"/>
      <c r="Z17" s="484" t="s">
        <v>1028</v>
      </c>
    </row>
    <row r="18" spans="1:26" ht="50.1" customHeight="1">
      <c r="A18" s="479">
        <v>14</v>
      </c>
      <c r="B18" s="477" t="s">
        <v>2455</v>
      </c>
      <c r="C18" s="478" t="s">
        <v>1873</v>
      </c>
      <c r="D18" s="483" t="s">
        <v>2541</v>
      </c>
      <c r="E18" s="484" t="s">
        <v>2542</v>
      </c>
      <c r="F18" s="485" t="s">
        <v>2543</v>
      </c>
      <c r="G18" s="484" t="s">
        <v>2544</v>
      </c>
      <c r="H18" s="486" t="s">
        <v>2188</v>
      </c>
      <c r="I18" s="510">
        <v>1900</v>
      </c>
      <c r="J18" s="499"/>
      <c r="K18" s="500">
        <v>300</v>
      </c>
      <c r="L18" s="511">
        <v>1600</v>
      </c>
      <c r="M18" s="486"/>
      <c r="N18" s="507"/>
      <c r="O18" s="483"/>
      <c r="P18" s="512" t="s">
        <v>167</v>
      </c>
      <c r="Q18" s="475"/>
      <c r="R18" s="486" t="s">
        <v>2545</v>
      </c>
      <c r="S18" s="486" t="s">
        <v>82</v>
      </c>
      <c r="T18" s="512" t="s">
        <v>1103</v>
      </c>
      <c r="U18" s="475" t="s">
        <v>2546</v>
      </c>
      <c r="V18" s="476" t="s">
        <v>1047</v>
      </c>
      <c r="W18" s="486" t="s">
        <v>2547</v>
      </c>
      <c r="X18" s="486"/>
      <c r="Y18" s="484"/>
      <c r="Z18" s="484" t="s">
        <v>2548</v>
      </c>
    </row>
    <row r="19" spans="1:26" ht="50.1" customHeight="1">
      <c r="A19" s="479">
        <v>15</v>
      </c>
      <c r="B19" s="477" t="s">
        <v>2455</v>
      </c>
      <c r="C19" s="478" t="s">
        <v>1873</v>
      </c>
      <c r="D19" s="483" t="s">
        <v>2549</v>
      </c>
      <c r="E19" s="484" t="s">
        <v>2550</v>
      </c>
      <c r="F19" s="485" t="s">
        <v>2551</v>
      </c>
      <c r="G19" s="484" t="s">
        <v>2552</v>
      </c>
      <c r="H19" s="486" t="s">
        <v>1867</v>
      </c>
      <c r="I19" s="487">
        <v>170</v>
      </c>
      <c r="J19" s="499"/>
      <c r="K19" s="500"/>
      <c r="L19" s="500">
        <v>170</v>
      </c>
      <c r="M19" s="486"/>
      <c r="N19" s="507"/>
      <c r="O19" s="483"/>
      <c r="P19" s="512" t="s">
        <v>67</v>
      </c>
      <c r="Q19" s="475"/>
      <c r="R19" s="486" t="s">
        <v>1011</v>
      </c>
      <c r="S19" s="486" t="s">
        <v>82</v>
      </c>
      <c r="T19" s="512" t="s">
        <v>995</v>
      </c>
      <c r="U19" s="475" t="s">
        <v>84</v>
      </c>
      <c r="V19" s="476" t="s">
        <v>85</v>
      </c>
      <c r="W19" s="486">
        <v>200</v>
      </c>
      <c r="X19" s="486">
        <v>200</v>
      </c>
      <c r="Y19" s="484"/>
      <c r="Z19" s="484" t="s">
        <v>1648</v>
      </c>
    </row>
    <row r="20" spans="1:26" ht="50.1" customHeight="1">
      <c r="A20" s="479">
        <v>16</v>
      </c>
      <c r="B20" s="514" t="s">
        <v>2455</v>
      </c>
      <c r="C20" s="515" t="s">
        <v>1040</v>
      </c>
      <c r="D20" s="516" t="s">
        <v>2553</v>
      </c>
      <c r="E20" s="517" t="s">
        <v>2554</v>
      </c>
      <c r="F20" s="518" t="s">
        <v>2555</v>
      </c>
      <c r="G20" s="517" t="s">
        <v>2556</v>
      </c>
      <c r="H20" s="519" t="s">
        <v>958</v>
      </c>
      <c r="I20" s="520">
        <v>400</v>
      </c>
      <c r="J20" s="521"/>
      <c r="K20" s="522">
        <v>200</v>
      </c>
      <c r="L20" s="522">
        <v>200</v>
      </c>
      <c r="M20" s="519"/>
      <c r="N20" s="523"/>
      <c r="O20" s="516"/>
      <c r="P20" s="520" t="s">
        <v>67</v>
      </c>
      <c r="Q20" s="524"/>
      <c r="R20" s="525" t="s">
        <v>1017</v>
      </c>
      <c r="S20" s="519" t="s">
        <v>82</v>
      </c>
      <c r="T20" s="520" t="s">
        <v>929</v>
      </c>
      <c r="U20" s="524" t="s">
        <v>84</v>
      </c>
      <c r="V20" s="525" t="s">
        <v>85</v>
      </c>
      <c r="W20" s="486">
        <v>203</v>
      </c>
      <c r="X20" s="519">
        <v>200</v>
      </c>
      <c r="Y20" s="517">
        <v>3</v>
      </c>
      <c r="Z20" s="517" t="s">
        <v>1017</v>
      </c>
    </row>
    <row r="21" spans="1:26" ht="50.1" customHeight="1">
      <c r="A21" s="479">
        <v>17</v>
      </c>
      <c r="B21" s="477" t="s">
        <v>2455</v>
      </c>
      <c r="C21" s="478" t="s">
        <v>1912</v>
      </c>
      <c r="D21" s="483" t="s">
        <v>2557</v>
      </c>
      <c r="E21" s="484" t="s">
        <v>2558</v>
      </c>
      <c r="F21" s="485" t="s">
        <v>2559</v>
      </c>
      <c r="G21" s="484" t="s">
        <v>2560</v>
      </c>
      <c r="H21" s="486" t="s">
        <v>1768</v>
      </c>
      <c r="I21" s="487">
        <v>591</v>
      </c>
      <c r="J21" s="499">
        <v>0</v>
      </c>
      <c r="K21" s="500">
        <v>200</v>
      </c>
      <c r="L21" s="500">
        <v>391</v>
      </c>
      <c r="M21" s="486"/>
      <c r="N21" s="507" t="s">
        <v>945</v>
      </c>
      <c r="O21" s="483" t="s">
        <v>945</v>
      </c>
      <c r="P21" s="487" t="s">
        <v>105</v>
      </c>
      <c r="Q21" s="483"/>
      <c r="R21" s="476" t="s">
        <v>2561</v>
      </c>
      <c r="S21" s="486" t="s">
        <v>82</v>
      </c>
      <c r="T21" s="487" t="s">
        <v>929</v>
      </c>
      <c r="U21" s="475" t="s">
        <v>2562</v>
      </c>
      <c r="V21" s="476" t="s">
        <v>85</v>
      </c>
      <c r="W21" s="486">
        <v>139</v>
      </c>
      <c r="X21" s="519">
        <v>139</v>
      </c>
      <c r="Y21" s="484"/>
      <c r="Z21" s="484" t="s">
        <v>909</v>
      </c>
    </row>
    <row r="22" spans="1:26" ht="50.1" customHeight="1">
      <c r="A22" s="479">
        <v>18</v>
      </c>
      <c r="B22" s="526" t="s">
        <v>2455</v>
      </c>
      <c r="C22" s="527" t="s">
        <v>2563</v>
      </c>
      <c r="D22" s="528" t="s">
        <v>2564</v>
      </c>
      <c r="E22" s="529" t="s">
        <v>2565</v>
      </c>
      <c r="F22" s="530" t="s">
        <v>2566</v>
      </c>
      <c r="G22" s="529" t="s">
        <v>2567</v>
      </c>
      <c r="H22" s="528" t="s">
        <v>2568</v>
      </c>
      <c r="I22" s="531">
        <v>700</v>
      </c>
      <c r="J22" s="532">
        <v>0</v>
      </c>
      <c r="K22" s="533">
        <v>200</v>
      </c>
      <c r="L22" s="533">
        <v>500</v>
      </c>
      <c r="M22" s="534">
        <v>0</v>
      </c>
      <c r="N22" s="535"/>
      <c r="O22" s="529"/>
      <c r="P22" s="531" t="s">
        <v>105</v>
      </c>
      <c r="Q22" s="537"/>
      <c r="R22" s="532" t="s">
        <v>2569</v>
      </c>
      <c r="S22" s="528" t="s">
        <v>82</v>
      </c>
      <c r="T22" s="564" t="s">
        <v>929</v>
      </c>
      <c r="U22" s="537" t="s">
        <v>2078</v>
      </c>
      <c r="V22" s="534" t="s">
        <v>85</v>
      </c>
      <c r="W22" s="486">
        <v>150</v>
      </c>
      <c r="X22" s="528">
        <v>140</v>
      </c>
      <c r="Y22" s="528">
        <v>10</v>
      </c>
      <c r="Z22" s="528" t="s">
        <v>2548</v>
      </c>
    </row>
    <row r="23" spans="1:26" ht="50.1" customHeight="1">
      <c r="A23" s="479">
        <v>19</v>
      </c>
      <c r="B23" s="526" t="s">
        <v>2455</v>
      </c>
      <c r="C23" s="536" t="s">
        <v>2563</v>
      </c>
      <c r="D23" s="538" t="s">
        <v>2570</v>
      </c>
      <c r="E23" s="529" t="s">
        <v>2571</v>
      </c>
      <c r="F23" s="539" t="s">
        <v>2572</v>
      </c>
      <c r="G23" s="529" t="s">
        <v>2573</v>
      </c>
      <c r="H23" s="528" t="s">
        <v>2574</v>
      </c>
      <c r="I23" s="540">
        <v>2400</v>
      </c>
      <c r="J23" s="541"/>
      <c r="K23" s="558"/>
      <c r="L23" s="561">
        <v>2400</v>
      </c>
      <c r="M23" s="560"/>
      <c r="N23" s="535"/>
      <c r="O23" s="529"/>
      <c r="P23" s="531" t="s">
        <v>67</v>
      </c>
      <c r="Q23" s="537"/>
      <c r="R23" s="534" t="s">
        <v>2575</v>
      </c>
      <c r="S23" s="528" t="s">
        <v>82</v>
      </c>
      <c r="T23" s="529" t="s">
        <v>83</v>
      </c>
      <c r="U23" s="537" t="s">
        <v>2576</v>
      </c>
      <c r="V23" s="562" t="s">
        <v>85</v>
      </c>
      <c r="W23" s="486">
        <v>42</v>
      </c>
      <c r="X23" s="538">
        <v>42</v>
      </c>
      <c r="Y23" s="542"/>
      <c r="Z23" s="543" t="s">
        <v>909</v>
      </c>
    </row>
    <row r="24" spans="1:26" ht="50.1" customHeight="1" thickBot="1">
      <c r="A24" s="479">
        <v>20</v>
      </c>
      <c r="B24" s="544" t="s">
        <v>2455</v>
      </c>
      <c r="C24" s="545" t="s">
        <v>2563</v>
      </c>
      <c r="D24" s="546" t="s">
        <v>2577</v>
      </c>
      <c r="E24" s="547" t="s">
        <v>2578</v>
      </c>
      <c r="F24" s="548" t="s">
        <v>2579</v>
      </c>
      <c r="G24" s="549" t="s">
        <v>2580</v>
      </c>
      <c r="H24" s="550" t="s">
        <v>2581</v>
      </c>
      <c r="I24" s="544">
        <v>450</v>
      </c>
      <c r="J24" s="555"/>
      <c r="K24" s="559">
        <v>200</v>
      </c>
      <c r="L24" s="559">
        <v>250</v>
      </c>
      <c r="M24" s="557"/>
      <c r="N24" s="551"/>
      <c r="O24" s="547"/>
      <c r="P24" s="552" t="s">
        <v>167</v>
      </c>
      <c r="Q24" s="554"/>
      <c r="R24" s="553" t="s">
        <v>2009</v>
      </c>
      <c r="S24" s="550" t="s">
        <v>82</v>
      </c>
      <c r="T24" s="547" t="s">
        <v>95</v>
      </c>
      <c r="U24" s="554" t="s">
        <v>84</v>
      </c>
      <c r="V24" s="563" t="s">
        <v>85</v>
      </c>
      <c r="W24" s="486">
        <v>190</v>
      </c>
      <c r="X24" s="546">
        <v>180</v>
      </c>
      <c r="Y24" s="556">
        <v>10</v>
      </c>
      <c r="Z24" s="550" t="s">
        <v>1017</v>
      </c>
    </row>
    <row r="25" spans="1:26">
      <c r="A25" s="481"/>
      <c r="B25" s="481"/>
      <c r="C25" s="481"/>
      <c r="D25" s="473"/>
      <c r="E25" s="473"/>
      <c r="F25" s="473"/>
      <c r="G25" s="473"/>
      <c r="H25" s="473"/>
      <c r="I25" s="473"/>
      <c r="J25" s="473"/>
      <c r="K25" s="473"/>
      <c r="L25" s="473"/>
      <c r="M25" s="473"/>
      <c r="N25" s="473"/>
      <c r="O25" s="473"/>
      <c r="P25" s="473"/>
      <c r="Q25" s="473"/>
      <c r="R25" s="473"/>
      <c r="S25" s="473"/>
      <c r="T25" s="473"/>
      <c r="U25" s="473"/>
      <c r="V25" s="473"/>
      <c r="W25" s="473"/>
      <c r="X25" s="473"/>
      <c r="Y25" s="473"/>
      <c r="Z25" s="473"/>
    </row>
    <row r="26" spans="1:26">
      <c r="A26" s="481"/>
      <c r="B26" s="481"/>
      <c r="C26" s="481"/>
      <c r="D26" s="473"/>
      <c r="E26" s="473"/>
      <c r="F26" s="473"/>
      <c r="G26" s="473"/>
      <c r="H26" s="473"/>
      <c r="I26" s="473"/>
      <c r="J26" s="473"/>
      <c r="K26" s="473"/>
      <c r="L26" s="473"/>
      <c r="M26" s="473"/>
      <c r="N26" s="473"/>
      <c r="O26" s="473"/>
      <c r="P26" s="473"/>
      <c r="Q26" s="473"/>
      <c r="R26" s="473"/>
      <c r="S26" s="473"/>
      <c r="T26" s="473"/>
      <c r="U26" s="473"/>
      <c r="V26" s="473"/>
      <c r="W26" s="473"/>
      <c r="X26" s="473"/>
      <c r="Y26" s="473"/>
      <c r="Z26" s="473"/>
    </row>
    <row r="27" spans="1:26">
      <c r="A27" s="481"/>
      <c r="B27" s="481"/>
      <c r="C27" s="481"/>
      <c r="D27" s="473"/>
      <c r="E27" s="473"/>
      <c r="F27" s="473"/>
      <c r="G27" s="473"/>
      <c r="H27" s="473"/>
      <c r="I27" s="473"/>
      <c r="J27" s="473"/>
      <c r="K27" s="473"/>
      <c r="L27" s="473"/>
      <c r="M27" s="473"/>
      <c r="N27" s="473"/>
      <c r="O27" s="473"/>
      <c r="P27" s="473"/>
      <c r="Q27" s="473"/>
      <c r="R27" s="473"/>
      <c r="S27" s="473"/>
      <c r="T27" s="473"/>
      <c r="U27" s="473"/>
      <c r="V27" s="473"/>
      <c r="W27" s="473"/>
      <c r="X27" s="473"/>
      <c r="Y27" s="473"/>
      <c r="Z27" s="473"/>
    </row>
  </sheetData>
  <mergeCells count="4">
    <mergeCell ref="W3:Y3"/>
    <mergeCell ref="N3:O3"/>
    <mergeCell ref="A1:Y2"/>
    <mergeCell ref="I3:M3"/>
  </mergeCells>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1"/>
  <sheetViews>
    <sheetView workbookViewId="0">
      <selection activeCell="C11" sqref="C11"/>
    </sheetView>
  </sheetViews>
  <sheetFormatPr defaultRowHeight="13.5"/>
  <cols>
    <col min="2" max="2" width="15.33203125" bestFit="1" customWidth="1"/>
    <col min="5" max="5" width="11.44140625" customWidth="1"/>
    <col min="6" max="6" width="37.5546875" customWidth="1"/>
    <col min="7" max="7" width="23.6640625"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565"/>
      <c r="AA1" s="565"/>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567"/>
      <c r="AA2" s="567"/>
    </row>
    <row r="3" spans="1:27" ht="17.25" thickBot="1">
      <c r="A3" s="568"/>
      <c r="B3" s="568"/>
      <c r="C3" s="568"/>
      <c r="D3" s="566"/>
      <c r="E3" s="566"/>
      <c r="F3" s="566"/>
      <c r="G3" s="566"/>
      <c r="H3" s="566"/>
      <c r="I3" s="1612"/>
      <c r="J3" s="1613"/>
      <c r="K3" s="1613"/>
      <c r="L3" s="1613"/>
      <c r="M3" s="1613"/>
      <c r="N3" s="1609" t="s">
        <v>1754</v>
      </c>
      <c r="O3" s="1610"/>
      <c r="P3" s="592"/>
      <c r="Q3" s="592"/>
      <c r="R3" s="596"/>
      <c r="S3" s="597"/>
      <c r="T3" s="597"/>
      <c r="U3" s="597"/>
      <c r="V3" s="597"/>
      <c r="W3" s="1621" t="s">
        <v>896</v>
      </c>
      <c r="X3" s="1622"/>
      <c r="Y3" s="1623"/>
      <c r="Z3" s="597"/>
      <c r="AA3" s="576"/>
    </row>
    <row r="4" spans="1:27" ht="57.75" thickBot="1">
      <c r="A4" s="591" t="s">
        <v>897</v>
      </c>
      <c r="B4" s="574" t="s">
        <v>898</v>
      </c>
      <c r="C4" s="589" t="s">
        <v>899</v>
      </c>
      <c r="D4" s="590" t="s">
        <v>900</v>
      </c>
      <c r="E4" s="587" t="s">
        <v>901</v>
      </c>
      <c r="F4" s="590" t="s">
        <v>902</v>
      </c>
      <c r="G4" s="587" t="s">
        <v>903</v>
      </c>
      <c r="H4" s="587" t="s">
        <v>904</v>
      </c>
      <c r="I4" s="588" t="s">
        <v>905</v>
      </c>
      <c r="J4" s="593" t="s">
        <v>906</v>
      </c>
      <c r="K4" s="594" t="s">
        <v>907</v>
      </c>
      <c r="L4" s="594" t="s">
        <v>908</v>
      </c>
      <c r="M4" s="595" t="s">
        <v>909</v>
      </c>
      <c r="N4" s="598" t="s">
        <v>910</v>
      </c>
      <c r="O4" s="595" t="s">
        <v>911</v>
      </c>
      <c r="P4" s="587" t="s">
        <v>912</v>
      </c>
      <c r="Q4" s="587" t="s">
        <v>913</v>
      </c>
      <c r="R4" s="586" t="s">
        <v>914</v>
      </c>
      <c r="S4" s="585" t="s">
        <v>915</v>
      </c>
      <c r="T4" s="582" t="s">
        <v>916</v>
      </c>
      <c r="U4" s="583" t="s">
        <v>917</v>
      </c>
      <c r="V4" s="584" t="s">
        <v>918</v>
      </c>
      <c r="W4" s="586" t="s">
        <v>919</v>
      </c>
      <c r="X4" s="585" t="s">
        <v>920</v>
      </c>
      <c r="Y4" s="586" t="s">
        <v>921</v>
      </c>
      <c r="Z4" s="586" t="s">
        <v>922</v>
      </c>
      <c r="AA4" s="565"/>
    </row>
    <row r="5" spans="1:27" ht="94.5">
      <c r="A5" s="573">
        <v>1</v>
      </c>
      <c r="B5" s="571" t="s">
        <v>2582</v>
      </c>
      <c r="C5" s="572" t="s">
        <v>2583</v>
      </c>
      <c r="D5" s="577" t="s">
        <v>2584</v>
      </c>
      <c r="E5" s="578" t="s">
        <v>2585</v>
      </c>
      <c r="F5" s="600" t="s">
        <v>2586</v>
      </c>
      <c r="G5" s="578" t="s">
        <v>2587</v>
      </c>
      <c r="H5" s="580" t="s">
        <v>2588</v>
      </c>
      <c r="I5" s="601">
        <v>1000</v>
      </c>
      <c r="J5" s="602"/>
      <c r="K5" s="603">
        <v>1000</v>
      </c>
      <c r="L5" s="603"/>
      <c r="M5" s="604"/>
      <c r="N5" s="599"/>
      <c r="O5" s="577"/>
      <c r="P5" s="581" t="s">
        <v>67</v>
      </c>
      <c r="Q5" s="577"/>
      <c r="R5" s="570" t="s">
        <v>2589</v>
      </c>
      <c r="S5" s="580" t="s">
        <v>82</v>
      </c>
      <c r="T5" s="581" t="s">
        <v>1005</v>
      </c>
      <c r="U5" s="569" t="s">
        <v>2590</v>
      </c>
      <c r="V5" s="570" t="s">
        <v>85</v>
      </c>
      <c r="W5" s="580">
        <v>180</v>
      </c>
      <c r="X5" s="580">
        <v>179.8</v>
      </c>
      <c r="Y5" s="578">
        <v>0.2</v>
      </c>
      <c r="Z5" s="578" t="s">
        <v>2591</v>
      </c>
      <c r="AA5" s="565"/>
    </row>
    <row r="6" spans="1:27" ht="108">
      <c r="A6" s="573">
        <v>2</v>
      </c>
      <c r="B6" s="571" t="s">
        <v>2582</v>
      </c>
      <c r="C6" s="572" t="s">
        <v>2583</v>
      </c>
      <c r="D6" s="577" t="s">
        <v>2592</v>
      </c>
      <c r="E6" s="578" t="s">
        <v>2593</v>
      </c>
      <c r="F6" s="579" t="s">
        <v>2594</v>
      </c>
      <c r="G6" s="578" t="s">
        <v>2595</v>
      </c>
      <c r="H6" s="580" t="s">
        <v>2596</v>
      </c>
      <c r="I6" s="605">
        <v>210</v>
      </c>
      <c r="J6" s="606"/>
      <c r="K6" s="607">
        <v>210</v>
      </c>
      <c r="L6" s="607"/>
      <c r="M6" s="580"/>
      <c r="N6" s="599"/>
      <c r="O6" s="577"/>
      <c r="P6" s="581" t="s">
        <v>92</v>
      </c>
      <c r="Q6" s="577"/>
      <c r="R6" s="570" t="s">
        <v>2597</v>
      </c>
      <c r="S6" s="580" t="s">
        <v>82</v>
      </c>
      <c r="T6" s="581" t="s">
        <v>929</v>
      </c>
      <c r="U6" s="569" t="s">
        <v>84</v>
      </c>
      <c r="V6" s="570" t="s">
        <v>85</v>
      </c>
      <c r="W6" s="580">
        <v>40</v>
      </c>
      <c r="X6" s="580">
        <v>40</v>
      </c>
      <c r="Y6" s="578"/>
      <c r="Z6" s="578" t="s">
        <v>2598</v>
      </c>
      <c r="AA6" s="565"/>
    </row>
    <row r="7" spans="1:27">
      <c r="A7" s="575"/>
      <c r="B7" s="575"/>
      <c r="C7" s="575"/>
    </row>
    <row r="8" spans="1:27">
      <c r="A8" s="575"/>
      <c r="B8" s="575"/>
      <c r="C8" s="575"/>
    </row>
    <row r="9" spans="1:27">
      <c r="A9" s="575"/>
      <c r="B9" s="575"/>
      <c r="C9" s="575"/>
    </row>
    <row r="10" spans="1:27">
      <c r="A10" s="575"/>
      <c r="B10" s="575"/>
      <c r="C10" s="575"/>
    </row>
    <row r="11" spans="1:27">
      <c r="A11" s="575"/>
      <c r="B11" s="575"/>
      <c r="C11" s="575"/>
    </row>
    <row r="12" spans="1:27">
      <c r="A12" s="575"/>
      <c r="B12" s="575"/>
      <c r="C12" s="575"/>
    </row>
    <row r="13" spans="1:27">
      <c r="A13" s="575"/>
      <c r="B13" s="575"/>
      <c r="C13" s="575"/>
    </row>
    <row r="14" spans="1:27">
      <c r="A14" s="575"/>
      <c r="B14" s="575"/>
      <c r="C14" s="575"/>
    </row>
    <row r="15" spans="1:27">
      <c r="A15" s="575"/>
      <c r="B15" s="575"/>
      <c r="C15" s="575"/>
    </row>
    <row r="16" spans="1:27">
      <c r="A16" s="575"/>
      <c r="B16" s="575"/>
      <c r="C16" s="575"/>
    </row>
    <row r="17" spans="1:3">
      <c r="A17" s="575"/>
      <c r="B17" s="575"/>
      <c r="C17" s="575"/>
    </row>
    <row r="18" spans="1:3">
      <c r="A18" s="575"/>
      <c r="B18" s="575"/>
      <c r="C18" s="575"/>
    </row>
    <row r="19" spans="1:3">
      <c r="A19" s="575"/>
      <c r="B19" s="575"/>
      <c r="C19" s="575"/>
    </row>
    <row r="20" spans="1:3">
      <c r="A20" s="575"/>
      <c r="B20" s="575"/>
      <c r="C20" s="575"/>
    </row>
    <row r="21" spans="1:3">
      <c r="A21" s="575"/>
      <c r="B21" s="575"/>
      <c r="C21" s="575"/>
    </row>
  </sheetData>
  <mergeCells count="4">
    <mergeCell ref="N3:O3"/>
    <mergeCell ref="A1:Y2"/>
    <mergeCell ref="I3:M3"/>
    <mergeCell ref="W3:Y3"/>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8"/>
  <sheetViews>
    <sheetView topLeftCell="A70" workbookViewId="0">
      <selection activeCell="G70" sqref="G1:G1048576"/>
    </sheetView>
  </sheetViews>
  <sheetFormatPr defaultRowHeight="13.5"/>
  <cols>
    <col min="4" max="4" width="18" customWidth="1"/>
    <col min="5" max="5" width="15" customWidth="1"/>
    <col min="6" max="6" width="22.77734375" customWidth="1"/>
    <col min="7" max="7" width="16.21875"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616"/>
      <c r="AA1" s="616"/>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618"/>
      <c r="AA2" s="618"/>
    </row>
    <row r="3" spans="1:27" ht="17.25" thickBot="1">
      <c r="A3" s="619"/>
      <c r="B3" s="619"/>
      <c r="C3" s="619"/>
      <c r="D3" s="617"/>
      <c r="E3" s="617"/>
      <c r="F3" s="617"/>
      <c r="G3" s="617"/>
      <c r="H3" s="617"/>
      <c r="I3" s="1612"/>
      <c r="J3" s="1613"/>
      <c r="K3" s="1613"/>
      <c r="L3" s="1613"/>
      <c r="M3" s="1613"/>
      <c r="N3" s="1609" t="s">
        <v>1754</v>
      </c>
      <c r="O3" s="1610"/>
      <c r="P3" s="633"/>
      <c r="Q3" s="633"/>
      <c r="R3" s="640"/>
      <c r="S3" s="641"/>
      <c r="T3" s="641"/>
      <c r="U3" s="641"/>
      <c r="V3" s="641"/>
      <c r="W3" s="1621" t="s">
        <v>896</v>
      </c>
      <c r="X3" s="1622"/>
      <c r="Y3" s="1623"/>
      <c r="Z3" s="641"/>
      <c r="AA3" s="622"/>
    </row>
    <row r="4" spans="1:27" ht="57.75" thickBot="1">
      <c r="A4" s="632" t="s">
        <v>897</v>
      </c>
      <c r="B4" s="620" t="s">
        <v>898</v>
      </c>
      <c r="C4" s="630" t="s">
        <v>899</v>
      </c>
      <c r="D4" s="631" t="s">
        <v>900</v>
      </c>
      <c r="E4" s="628" t="s">
        <v>901</v>
      </c>
      <c r="F4" s="631" t="s">
        <v>902</v>
      </c>
      <c r="G4" s="628" t="s">
        <v>903</v>
      </c>
      <c r="H4" s="628" t="s">
        <v>904</v>
      </c>
      <c r="I4" s="629" t="s">
        <v>905</v>
      </c>
      <c r="J4" s="637" t="s">
        <v>906</v>
      </c>
      <c r="K4" s="638" t="s">
        <v>907</v>
      </c>
      <c r="L4" s="638" t="s">
        <v>908</v>
      </c>
      <c r="M4" s="639" t="s">
        <v>909</v>
      </c>
      <c r="N4" s="642" t="s">
        <v>910</v>
      </c>
      <c r="O4" s="639" t="s">
        <v>911</v>
      </c>
      <c r="P4" s="628" t="s">
        <v>912</v>
      </c>
      <c r="Q4" s="628" t="s">
        <v>913</v>
      </c>
      <c r="R4" s="627" t="s">
        <v>914</v>
      </c>
      <c r="S4" s="626" t="s">
        <v>915</v>
      </c>
      <c r="T4" s="623" t="s">
        <v>916</v>
      </c>
      <c r="U4" s="624" t="s">
        <v>917</v>
      </c>
      <c r="V4" s="625" t="s">
        <v>918</v>
      </c>
      <c r="W4" s="627" t="s">
        <v>919</v>
      </c>
      <c r="X4" s="626" t="s">
        <v>920</v>
      </c>
      <c r="Y4" s="627" t="s">
        <v>921</v>
      </c>
      <c r="Z4" s="627" t="s">
        <v>922</v>
      </c>
      <c r="AA4" s="616"/>
    </row>
    <row r="5" spans="1:27" ht="80.099999999999994" customHeight="1">
      <c r="A5" s="643">
        <v>1</v>
      </c>
      <c r="B5" s="644" t="s">
        <v>2599</v>
      </c>
      <c r="C5" s="645" t="s">
        <v>2607</v>
      </c>
      <c r="D5" s="646" t="s">
        <v>2608</v>
      </c>
      <c r="E5" s="646" t="s">
        <v>2609</v>
      </c>
      <c r="F5" s="647" t="s">
        <v>2610</v>
      </c>
      <c r="G5" s="646" t="s">
        <v>2611</v>
      </c>
      <c r="H5" s="646" t="s">
        <v>2612</v>
      </c>
      <c r="I5" s="648">
        <v>3149</v>
      </c>
      <c r="J5" s="649">
        <v>92</v>
      </c>
      <c r="K5" s="649">
        <v>486</v>
      </c>
      <c r="L5" s="650">
        <v>2571</v>
      </c>
      <c r="M5" s="651"/>
      <c r="N5" s="652" t="s">
        <v>927</v>
      </c>
      <c r="O5" s="653" t="s">
        <v>2613</v>
      </c>
      <c r="P5" s="654" t="s">
        <v>67</v>
      </c>
      <c r="Q5" s="655" t="s">
        <v>2614</v>
      </c>
      <c r="R5" s="651" t="s">
        <v>2615</v>
      </c>
      <c r="S5" s="646" t="s">
        <v>82</v>
      </c>
      <c r="T5" s="654" t="s">
        <v>1103</v>
      </c>
      <c r="U5" s="649" t="s">
        <v>2616</v>
      </c>
      <c r="V5" s="651" t="s">
        <v>85</v>
      </c>
      <c r="W5" s="656">
        <v>177</v>
      </c>
      <c r="X5" s="656">
        <v>177</v>
      </c>
      <c r="Y5" s="656"/>
      <c r="Z5" s="646" t="s">
        <v>2617</v>
      </c>
      <c r="AA5" s="616"/>
    </row>
    <row r="6" spans="1:27" ht="80.099999999999994" customHeight="1">
      <c r="A6" s="643">
        <v>2</v>
      </c>
      <c r="B6" s="644" t="s">
        <v>2599</v>
      </c>
      <c r="C6" s="645" t="s">
        <v>2618</v>
      </c>
      <c r="D6" s="646" t="s">
        <v>2619</v>
      </c>
      <c r="E6" s="646" t="s">
        <v>2620</v>
      </c>
      <c r="F6" s="657" t="s">
        <v>2621</v>
      </c>
      <c r="G6" s="646" t="s">
        <v>2622</v>
      </c>
      <c r="H6" s="646" t="s">
        <v>2623</v>
      </c>
      <c r="I6" s="654">
        <v>190</v>
      </c>
      <c r="J6" s="649"/>
      <c r="K6" s="649"/>
      <c r="L6" s="649">
        <v>190</v>
      </c>
      <c r="M6" s="651"/>
      <c r="N6" s="652"/>
      <c r="O6" s="653"/>
      <c r="P6" s="654" t="s">
        <v>124</v>
      </c>
      <c r="Q6" s="649" t="s">
        <v>936</v>
      </c>
      <c r="R6" s="651" t="s">
        <v>2624</v>
      </c>
      <c r="S6" s="646" t="s">
        <v>82</v>
      </c>
      <c r="T6" s="654" t="s">
        <v>929</v>
      </c>
      <c r="U6" s="649" t="s">
        <v>84</v>
      </c>
      <c r="V6" s="651" t="s">
        <v>85</v>
      </c>
      <c r="W6" s="656">
        <v>35</v>
      </c>
      <c r="X6" s="656">
        <v>30</v>
      </c>
      <c r="Y6" s="656">
        <v>5</v>
      </c>
      <c r="Z6" s="646" t="s">
        <v>952</v>
      </c>
      <c r="AA6" s="616"/>
    </row>
    <row r="7" spans="1:27" ht="80.099999999999994" customHeight="1">
      <c r="A7" s="643">
        <v>3</v>
      </c>
      <c r="B7" s="644" t="s">
        <v>2599</v>
      </c>
      <c r="C7" s="645" t="s">
        <v>2607</v>
      </c>
      <c r="D7" s="646" t="s">
        <v>2625</v>
      </c>
      <c r="E7" s="646" t="s">
        <v>2626</v>
      </c>
      <c r="F7" s="657" t="s">
        <v>2627</v>
      </c>
      <c r="G7" s="646" t="s">
        <v>2628</v>
      </c>
      <c r="H7" s="646" t="s">
        <v>2370</v>
      </c>
      <c r="I7" s="654">
        <v>450</v>
      </c>
      <c r="J7" s="649"/>
      <c r="K7" s="649"/>
      <c r="L7" s="649">
        <v>450</v>
      </c>
      <c r="M7" s="651"/>
      <c r="N7" s="652"/>
      <c r="O7" s="653"/>
      <c r="P7" s="654" t="s">
        <v>67</v>
      </c>
      <c r="Q7" s="649" t="s">
        <v>936</v>
      </c>
      <c r="R7" s="651" t="s">
        <v>1887</v>
      </c>
      <c r="S7" s="646" t="s">
        <v>82</v>
      </c>
      <c r="T7" s="654" t="s">
        <v>1103</v>
      </c>
      <c r="U7" s="649" t="s">
        <v>2629</v>
      </c>
      <c r="V7" s="651" t="s">
        <v>85</v>
      </c>
      <c r="W7" s="656">
        <v>48</v>
      </c>
      <c r="X7" s="656">
        <v>48</v>
      </c>
      <c r="Y7" s="656"/>
      <c r="Z7" s="646" t="s">
        <v>2630</v>
      </c>
      <c r="AA7" s="616"/>
    </row>
    <row r="8" spans="1:27" ht="80.099999999999994" customHeight="1">
      <c r="A8" s="643">
        <v>4</v>
      </c>
      <c r="B8" s="644" t="s">
        <v>2599</v>
      </c>
      <c r="C8" s="645" t="s">
        <v>2607</v>
      </c>
      <c r="D8" s="646" t="s">
        <v>2631</v>
      </c>
      <c r="E8" s="646" t="s">
        <v>2632</v>
      </c>
      <c r="F8" s="657" t="s">
        <v>2633</v>
      </c>
      <c r="G8" s="646" t="s">
        <v>2628</v>
      </c>
      <c r="H8" s="646" t="s">
        <v>1015</v>
      </c>
      <c r="I8" s="654">
        <v>452</v>
      </c>
      <c r="J8" s="649"/>
      <c r="K8" s="649"/>
      <c r="L8" s="649">
        <v>300</v>
      </c>
      <c r="M8" s="651">
        <v>152</v>
      </c>
      <c r="N8" s="652"/>
      <c r="O8" s="653"/>
      <c r="P8" s="654" t="s">
        <v>67</v>
      </c>
      <c r="Q8" s="644" t="s">
        <v>936</v>
      </c>
      <c r="R8" s="651" t="s">
        <v>2634</v>
      </c>
      <c r="S8" s="646" t="s">
        <v>82</v>
      </c>
      <c r="T8" s="654" t="s">
        <v>1103</v>
      </c>
      <c r="U8" s="649" t="s">
        <v>2635</v>
      </c>
      <c r="V8" s="651" t="s">
        <v>85</v>
      </c>
      <c r="W8" s="656">
        <v>42</v>
      </c>
      <c r="X8" s="656">
        <v>42</v>
      </c>
      <c r="Y8" s="656"/>
      <c r="Z8" s="646" t="s">
        <v>2636</v>
      </c>
      <c r="AA8" s="616"/>
    </row>
    <row r="9" spans="1:27" ht="80.099999999999994" customHeight="1">
      <c r="A9" s="643">
        <v>5</v>
      </c>
      <c r="B9" s="644" t="s">
        <v>2599</v>
      </c>
      <c r="C9" s="645" t="s">
        <v>2607</v>
      </c>
      <c r="D9" s="646" t="s">
        <v>2637</v>
      </c>
      <c r="E9" s="646" t="s">
        <v>2638</v>
      </c>
      <c r="F9" s="657" t="s">
        <v>2639</v>
      </c>
      <c r="G9" s="646" t="s">
        <v>2628</v>
      </c>
      <c r="H9" s="646" t="s">
        <v>1015</v>
      </c>
      <c r="I9" s="654">
        <v>153</v>
      </c>
      <c r="J9" s="649"/>
      <c r="K9" s="649"/>
      <c r="L9" s="649">
        <v>153</v>
      </c>
      <c r="M9" s="651"/>
      <c r="N9" s="652"/>
      <c r="O9" s="653"/>
      <c r="P9" s="654" t="s">
        <v>67</v>
      </c>
      <c r="Q9" s="649" t="s">
        <v>936</v>
      </c>
      <c r="R9" s="651" t="s">
        <v>2640</v>
      </c>
      <c r="S9" s="646" t="s">
        <v>82</v>
      </c>
      <c r="T9" s="654" t="s">
        <v>2641</v>
      </c>
      <c r="U9" s="649" t="s">
        <v>2642</v>
      </c>
      <c r="V9" s="651" t="s">
        <v>85</v>
      </c>
      <c r="W9" s="656">
        <v>20</v>
      </c>
      <c r="X9" s="656">
        <v>20</v>
      </c>
      <c r="Y9" s="656"/>
      <c r="Z9" s="646" t="s">
        <v>2643</v>
      </c>
      <c r="AA9" s="616"/>
    </row>
    <row r="10" spans="1:27" ht="80.099999999999994" customHeight="1">
      <c r="A10" s="643">
        <v>6</v>
      </c>
      <c r="B10" s="644" t="s">
        <v>2599</v>
      </c>
      <c r="C10" s="645" t="s">
        <v>2607</v>
      </c>
      <c r="D10" s="646" t="s">
        <v>2644</v>
      </c>
      <c r="E10" s="646" t="s">
        <v>2645</v>
      </c>
      <c r="F10" s="657" t="s">
        <v>2646</v>
      </c>
      <c r="G10" s="646" t="s">
        <v>2647</v>
      </c>
      <c r="H10" s="646" t="s">
        <v>1010</v>
      </c>
      <c r="I10" s="654">
        <v>103</v>
      </c>
      <c r="J10" s="649"/>
      <c r="K10" s="649">
        <v>103</v>
      </c>
      <c r="L10" s="649"/>
      <c r="M10" s="651"/>
      <c r="N10" s="652"/>
      <c r="O10" s="653"/>
      <c r="P10" s="654" t="s">
        <v>167</v>
      </c>
      <c r="Q10" s="644" t="s">
        <v>936</v>
      </c>
      <c r="R10" s="651" t="s">
        <v>2648</v>
      </c>
      <c r="S10" s="646" t="s">
        <v>82</v>
      </c>
      <c r="T10" s="654" t="s">
        <v>995</v>
      </c>
      <c r="U10" s="649" t="s">
        <v>84</v>
      </c>
      <c r="V10" s="651" t="s">
        <v>1047</v>
      </c>
      <c r="W10" s="656">
        <v>80</v>
      </c>
      <c r="X10" s="656">
        <v>80</v>
      </c>
      <c r="Y10" s="656"/>
      <c r="Z10" s="646" t="s">
        <v>930</v>
      </c>
      <c r="AA10" s="616"/>
    </row>
    <row r="11" spans="1:27" ht="80.099999999999994" customHeight="1">
      <c r="A11" s="643">
        <v>7</v>
      </c>
      <c r="B11" s="644" t="s">
        <v>2599</v>
      </c>
      <c r="C11" s="645" t="s">
        <v>2607</v>
      </c>
      <c r="D11" s="646" t="s">
        <v>2649</v>
      </c>
      <c r="E11" s="646" t="s">
        <v>2650</v>
      </c>
      <c r="F11" s="657" t="s">
        <v>2651</v>
      </c>
      <c r="G11" s="646" t="s">
        <v>2652</v>
      </c>
      <c r="H11" s="646" t="s">
        <v>1054</v>
      </c>
      <c r="I11" s="654">
        <v>480</v>
      </c>
      <c r="J11" s="649"/>
      <c r="K11" s="649"/>
      <c r="L11" s="649">
        <v>480</v>
      </c>
      <c r="M11" s="651"/>
      <c r="N11" s="652"/>
      <c r="O11" s="653"/>
      <c r="P11" s="654" t="s">
        <v>909</v>
      </c>
      <c r="Q11" s="649" t="s">
        <v>936</v>
      </c>
      <c r="R11" s="651" t="s">
        <v>2653</v>
      </c>
      <c r="S11" s="646" t="s">
        <v>82</v>
      </c>
      <c r="T11" s="654" t="s">
        <v>2654</v>
      </c>
      <c r="U11" s="649" t="s">
        <v>1697</v>
      </c>
      <c r="V11" s="651" t="s">
        <v>2655</v>
      </c>
      <c r="W11" s="656">
        <v>40</v>
      </c>
      <c r="X11" s="656">
        <v>40</v>
      </c>
      <c r="Y11" s="656"/>
      <c r="Z11" s="646" t="s">
        <v>2656</v>
      </c>
      <c r="AA11" s="616"/>
    </row>
    <row r="12" spans="1:27" ht="80.099999999999994" customHeight="1">
      <c r="A12" s="643">
        <v>8</v>
      </c>
      <c r="B12" s="644" t="s">
        <v>2599</v>
      </c>
      <c r="C12" s="645" t="s">
        <v>2607</v>
      </c>
      <c r="D12" s="646" t="s">
        <v>2657</v>
      </c>
      <c r="E12" s="646" t="s">
        <v>2658</v>
      </c>
      <c r="F12" s="647" t="s">
        <v>2659</v>
      </c>
      <c r="G12" s="658" t="s">
        <v>6292</v>
      </c>
      <c r="H12" s="646" t="s">
        <v>2660</v>
      </c>
      <c r="I12" s="659">
        <v>25</v>
      </c>
      <c r="J12" s="660"/>
      <c r="K12" s="661">
        <v>8.8000000000000007</v>
      </c>
      <c r="L12" s="661">
        <v>13.2</v>
      </c>
      <c r="M12" s="662">
        <v>3</v>
      </c>
      <c r="N12" s="652"/>
      <c r="O12" s="653"/>
      <c r="P12" s="654" t="s">
        <v>67</v>
      </c>
      <c r="Q12" s="644" t="s">
        <v>936</v>
      </c>
      <c r="R12" s="651" t="s">
        <v>2661</v>
      </c>
      <c r="S12" s="646" t="s">
        <v>82</v>
      </c>
      <c r="T12" s="654" t="s">
        <v>2662</v>
      </c>
      <c r="U12" s="644" t="s">
        <v>84</v>
      </c>
      <c r="V12" s="651" t="s">
        <v>85</v>
      </c>
      <c r="W12" s="656">
        <v>8.5</v>
      </c>
      <c r="X12" s="656">
        <v>8.3000000000000007</v>
      </c>
      <c r="Y12" s="656">
        <v>0.2</v>
      </c>
      <c r="Z12" s="663" t="s">
        <v>2663</v>
      </c>
      <c r="AA12" s="616"/>
    </row>
    <row r="13" spans="1:27" ht="80.099999999999994" customHeight="1">
      <c r="A13" s="643">
        <v>9</v>
      </c>
      <c r="B13" s="644" t="s">
        <v>2599</v>
      </c>
      <c r="C13" s="645" t="s">
        <v>2607</v>
      </c>
      <c r="D13" s="646" t="s">
        <v>2664</v>
      </c>
      <c r="E13" s="646" t="s">
        <v>2665</v>
      </c>
      <c r="F13" s="657" t="s">
        <v>2666</v>
      </c>
      <c r="G13" s="646" t="s">
        <v>2667</v>
      </c>
      <c r="H13" s="646" t="s">
        <v>1990</v>
      </c>
      <c r="I13" s="654" t="s">
        <v>952</v>
      </c>
      <c r="J13" s="649"/>
      <c r="K13" s="649"/>
      <c r="L13" s="649"/>
      <c r="M13" s="651"/>
      <c r="N13" s="652"/>
      <c r="O13" s="653"/>
      <c r="P13" s="654" t="s">
        <v>67</v>
      </c>
      <c r="Q13" s="649" t="s">
        <v>936</v>
      </c>
      <c r="R13" s="651" t="s">
        <v>2661</v>
      </c>
      <c r="S13" s="646" t="s">
        <v>82</v>
      </c>
      <c r="T13" s="654" t="s">
        <v>2662</v>
      </c>
      <c r="U13" s="649" t="s">
        <v>84</v>
      </c>
      <c r="V13" s="651" t="s">
        <v>85</v>
      </c>
      <c r="W13" s="656">
        <v>1</v>
      </c>
      <c r="X13" s="656">
        <v>0.8</v>
      </c>
      <c r="Y13" s="656">
        <v>0.2</v>
      </c>
      <c r="Z13" s="664" t="s">
        <v>2668</v>
      </c>
      <c r="AA13" s="616"/>
    </row>
    <row r="14" spans="1:27" ht="80.099999999999994" customHeight="1">
      <c r="A14" s="643">
        <v>10</v>
      </c>
      <c r="B14" s="644" t="s">
        <v>2599</v>
      </c>
      <c r="C14" s="645" t="s">
        <v>2607</v>
      </c>
      <c r="D14" s="646" t="s">
        <v>2669</v>
      </c>
      <c r="E14" s="646" t="s">
        <v>2670</v>
      </c>
      <c r="F14" s="647" t="s">
        <v>2671</v>
      </c>
      <c r="G14" s="646" t="s">
        <v>2672</v>
      </c>
      <c r="H14" s="646" t="s">
        <v>1015</v>
      </c>
      <c r="I14" s="654">
        <v>45</v>
      </c>
      <c r="J14" s="649"/>
      <c r="K14" s="649"/>
      <c r="L14" s="649">
        <v>45</v>
      </c>
      <c r="M14" s="651"/>
      <c r="N14" s="652"/>
      <c r="O14" s="653"/>
      <c r="P14" s="654" t="s">
        <v>124</v>
      </c>
      <c r="Q14" s="649" t="s">
        <v>936</v>
      </c>
      <c r="R14" s="651" t="s">
        <v>2673</v>
      </c>
      <c r="S14" s="646" t="s">
        <v>82</v>
      </c>
      <c r="T14" s="654" t="s">
        <v>995</v>
      </c>
      <c r="U14" s="649" t="s">
        <v>84</v>
      </c>
      <c r="V14" s="651" t="s">
        <v>1047</v>
      </c>
      <c r="W14" s="656">
        <v>5</v>
      </c>
      <c r="X14" s="656">
        <v>5</v>
      </c>
      <c r="Y14" s="656"/>
      <c r="Z14" s="646" t="s">
        <v>930</v>
      </c>
    </row>
    <row r="15" spans="1:27" ht="80.099999999999994" customHeight="1">
      <c r="A15" s="643">
        <v>11</v>
      </c>
      <c r="B15" s="644" t="s">
        <v>2599</v>
      </c>
      <c r="C15" s="645" t="s">
        <v>2607</v>
      </c>
      <c r="D15" s="646" t="s">
        <v>2674</v>
      </c>
      <c r="E15" s="646" t="s">
        <v>952</v>
      </c>
      <c r="F15" s="657" t="s">
        <v>2675</v>
      </c>
      <c r="G15" s="646" t="s">
        <v>2676</v>
      </c>
      <c r="H15" s="646" t="s">
        <v>1062</v>
      </c>
      <c r="I15" s="654">
        <v>57</v>
      </c>
      <c r="J15" s="649">
        <v>0</v>
      </c>
      <c r="K15" s="649">
        <v>0</v>
      </c>
      <c r="L15" s="649">
        <v>57</v>
      </c>
      <c r="M15" s="651">
        <v>0</v>
      </c>
      <c r="N15" s="652" t="s">
        <v>945</v>
      </c>
      <c r="O15" s="653" t="s">
        <v>945</v>
      </c>
      <c r="P15" s="654" t="s">
        <v>124</v>
      </c>
      <c r="Q15" s="649" t="s">
        <v>936</v>
      </c>
      <c r="R15" s="651" t="s">
        <v>952</v>
      </c>
      <c r="S15" s="646" t="s">
        <v>82</v>
      </c>
      <c r="T15" s="654" t="s">
        <v>1005</v>
      </c>
      <c r="U15" s="649" t="s">
        <v>84</v>
      </c>
      <c r="V15" s="651" t="s">
        <v>1047</v>
      </c>
      <c r="W15" s="656">
        <v>0</v>
      </c>
      <c r="X15" s="656">
        <v>0</v>
      </c>
      <c r="Y15" s="656">
        <v>0</v>
      </c>
      <c r="Z15" s="646" t="s">
        <v>952</v>
      </c>
    </row>
    <row r="16" spans="1:27" ht="80.099999999999994" customHeight="1">
      <c r="A16" s="643">
        <v>12</v>
      </c>
      <c r="B16" s="644" t="s">
        <v>2599</v>
      </c>
      <c r="C16" s="645" t="s">
        <v>2677</v>
      </c>
      <c r="D16" s="646" t="s">
        <v>2678</v>
      </c>
      <c r="E16" s="646" t="s">
        <v>2679</v>
      </c>
      <c r="F16" s="657" t="s">
        <v>2680</v>
      </c>
      <c r="G16" s="646" t="s">
        <v>2681</v>
      </c>
      <c r="H16" s="646" t="s">
        <v>2682</v>
      </c>
      <c r="I16" s="665">
        <v>40</v>
      </c>
      <c r="J16" s="666"/>
      <c r="K16" s="666">
        <v>40</v>
      </c>
      <c r="L16" s="666"/>
      <c r="M16" s="667"/>
      <c r="N16" s="652"/>
      <c r="O16" s="653"/>
      <c r="P16" s="654" t="s">
        <v>105</v>
      </c>
      <c r="Q16" s="649" t="s">
        <v>936</v>
      </c>
      <c r="R16" s="651" t="s">
        <v>2683</v>
      </c>
      <c r="S16" s="646" t="s">
        <v>82</v>
      </c>
      <c r="T16" s="654" t="s">
        <v>2684</v>
      </c>
      <c r="U16" s="649" t="s">
        <v>84</v>
      </c>
      <c r="V16" s="651" t="s">
        <v>85</v>
      </c>
      <c r="W16" s="646">
        <v>1</v>
      </c>
      <c r="X16" s="646">
        <v>1</v>
      </c>
      <c r="Y16" s="646"/>
      <c r="Z16" s="646" t="s">
        <v>938</v>
      </c>
    </row>
    <row r="17" spans="1:26" ht="80.099999999999994" customHeight="1">
      <c r="A17" s="643">
        <v>13</v>
      </c>
      <c r="B17" s="644" t="s">
        <v>2599</v>
      </c>
      <c r="C17" s="645" t="s">
        <v>2677</v>
      </c>
      <c r="D17" s="646" t="s">
        <v>2685</v>
      </c>
      <c r="E17" s="646" t="s">
        <v>2686</v>
      </c>
      <c r="F17" s="657" t="s">
        <v>2687</v>
      </c>
      <c r="G17" s="646" t="s">
        <v>2681</v>
      </c>
      <c r="H17" s="646" t="s">
        <v>2465</v>
      </c>
      <c r="I17" s="665">
        <v>150</v>
      </c>
      <c r="J17" s="666"/>
      <c r="K17" s="666">
        <v>150</v>
      </c>
      <c r="L17" s="666"/>
      <c r="M17" s="667"/>
      <c r="N17" s="652"/>
      <c r="O17" s="653"/>
      <c r="P17" s="654" t="s">
        <v>105</v>
      </c>
      <c r="Q17" s="649" t="s">
        <v>936</v>
      </c>
      <c r="R17" s="651" t="s">
        <v>2688</v>
      </c>
      <c r="S17" s="646" t="s">
        <v>82</v>
      </c>
      <c r="T17" s="654" t="s">
        <v>2684</v>
      </c>
      <c r="U17" s="649" t="s">
        <v>84</v>
      </c>
      <c r="V17" s="651" t="s">
        <v>85</v>
      </c>
      <c r="W17" s="646">
        <v>40</v>
      </c>
      <c r="X17" s="646">
        <v>40</v>
      </c>
      <c r="Y17" s="646"/>
      <c r="Z17" s="646" t="s">
        <v>1119</v>
      </c>
    </row>
    <row r="18" spans="1:26" ht="80.099999999999994" customHeight="1">
      <c r="A18" s="643">
        <v>14</v>
      </c>
      <c r="B18" s="644" t="s">
        <v>2599</v>
      </c>
      <c r="C18" s="645" t="s">
        <v>2677</v>
      </c>
      <c r="D18" s="646" t="s">
        <v>2689</v>
      </c>
      <c r="E18" s="646" t="s">
        <v>2507</v>
      </c>
      <c r="F18" s="657" t="s">
        <v>2690</v>
      </c>
      <c r="G18" s="646" t="s">
        <v>2691</v>
      </c>
      <c r="H18" s="646" t="s">
        <v>2465</v>
      </c>
      <c r="I18" s="665">
        <v>36</v>
      </c>
      <c r="J18" s="666"/>
      <c r="K18" s="666">
        <v>36</v>
      </c>
      <c r="L18" s="666"/>
      <c r="M18" s="667"/>
      <c r="N18" s="652"/>
      <c r="O18" s="653"/>
      <c r="P18" s="654" t="s">
        <v>67</v>
      </c>
      <c r="Q18" s="649" t="s">
        <v>936</v>
      </c>
      <c r="R18" s="651" t="s">
        <v>2692</v>
      </c>
      <c r="S18" s="646" t="s">
        <v>82</v>
      </c>
      <c r="T18" s="654" t="s">
        <v>83</v>
      </c>
      <c r="U18" s="649" t="s">
        <v>84</v>
      </c>
      <c r="V18" s="651" t="s">
        <v>85</v>
      </c>
      <c r="W18" s="646">
        <v>5</v>
      </c>
      <c r="X18" s="646">
        <v>5</v>
      </c>
      <c r="Y18" s="646"/>
      <c r="Z18" s="646" t="s">
        <v>2693</v>
      </c>
    </row>
    <row r="19" spans="1:26" ht="80.099999999999994" customHeight="1">
      <c r="A19" s="643">
        <v>15</v>
      </c>
      <c r="B19" s="644" t="s">
        <v>2599</v>
      </c>
      <c r="C19" s="645" t="s">
        <v>2677</v>
      </c>
      <c r="D19" s="646" t="s">
        <v>2694</v>
      </c>
      <c r="E19" s="646" t="s">
        <v>2695</v>
      </c>
      <c r="F19" s="668" t="s">
        <v>2696</v>
      </c>
      <c r="G19" s="658" t="s">
        <v>2697</v>
      </c>
      <c r="H19" s="658" t="s">
        <v>2698</v>
      </c>
      <c r="I19" s="665">
        <v>50</v>
      </c>
      <c r="J19" s="666"/>
      <c r="K19" s="666">
        <v>20</v>
      </c>
      <c r="L19" s="666">
        <v>30</v>
      </c>
      <c r="M19" s="667"/>
      <c r="N19" s="652"/>
      <c r="O19" s="653"/>
      <c r="P19" s="654" t="s">
        <v>124</v>
      </c>
      <c r="Q19" s="649" t="s">
        <v>936</v>
      </c>
      <c r="R19" s="651" t="s">
        <v>2699</v>
      </c>
      <c r="S19" s="651" t="s">
        <v>82</v>
      </c>
      <c r="T19" s="646" t="s">
        <v>995</v>
      </c>
      <c r="U19" s="654" t="s">
        <v>84</v>
      </c>
      <c r="V19" s="651" t="s">
        <v>1047</v>
      </c>
      <c r="W19" s="646">
        <v>40</v>
      </c>
      <c r="X19" s="646">
        <v>40</v>
      </c>
      <c r="Y19" s="646"/>
      <c r="Z19" s="646" t="s">
        <v>2700</v>
      </c>
    </row>
    <row r="20" spans="1:26" ht="80.099999999999994" customHeight="1">
      <c r="A20" s="643">
        <v>16</v>
      </c>
      <c r="B20" s="644" t="s">
        <v>2599</v>
      </c>
      <c r="C20" s="645" t="s">
        <v>2677</v>
      </c>
      <c r="D20" s="646" t="s">
        <v>2701</v>
      </c>
      <c r="E20" s="646" t="s">
        <v>2702</v>
      </c>
      <c r="F20" s="657" t="s">
        <v>2703</v>
      </c>
      <c r="G20" s="646" t="s">
        <v>2704</v>
      </c>
      <c r="H20" s="646" t="s">
        <v>1022</v>
      </c>
      <c r="I20" s="665">
        <v>150</v>
      </c>
      <c r="J20" s="666"/>
      <c r="K20" s="666"/>
      <c r="L20" s="666">
        <v>150</v>
      </c>
      <c r="M20" s="667"/>
      <c r="N20" s="652"/>
      <c r="O20" s="653"/>
      <c r="P20" s="654" t="s">
        <v>67</v>
      </c>
      <c r="Q20" s="649" t="s">
        <v>936</v>
      </c>
      <c r="R20" s="651" t="s">
        <v>2705</v>
      </c>
      <c r="S20" s="646" t="s">
        <v>82</v>
      </c>
      <c r="T20" s="654" t="s">
        <v>995</v>
      </c>
      <c r="U20" s="649" t="s">
        <v>84</v>
      </c>
      <c r="V20" s="651" t="s">
        <v>85</v>
      </c>
      <c r="W20" s="646">
        <v>35</v>
      </c>
      <c r="X20" s="646">
        <v>35</v>
      </c>
      <c r="Y20" s="646"/>
      <c r="Z20" s="646" t="s">
        <v>2706</v>
      </c>
    </row>
    <row r="21" spans="1:26" ht="80.099999999999994" customHeight="1">
      <c r="A21" s="643">
        <v>17</v>
      </c>
      <c r="B21" s="669" t="s">
        <v>2599</v>
      </c>
      <c r="C21" s="670" t="s">
        <v>2677</v>
      </c>
      <c r="D21" s="658" t="s">
        <v>2707</v>
      </c>
      <c r="E21" s="658" t="s">
        <v>2066</v>
      </c>
      <c r="F21" s="668" t="s">
        <v>2708</v>
      </c>
      <c r="G21" s="658" t="s">
        <v>2709</v>
      </c>
      <c r="H21" s="658" t="s">
        <v>2211</v>
      </c>
      <c r="I21" s="671">
        <v>140</v>
      </c>
      <c r="J21" s="672"/>
      <c r="K21" s="672">
        <v>140</v>
      </c>
      <c r="L21" s="672"/>
      <c r="M21" s="673"/>
      <c r="N21" s="643"/>
      <c r="O21" s="645"/>
      <c r="P21" s="674" t="s">
        <v>124</v>
      </c>
      <c r="Q21" s="675" t="s">
        <v>936</v>
      </c>
      <c r="R21" s="676" t="s">
        <v>2710</v>
      </c>
      <c r="S21" s="658" t="s">
        <v>82</v>
      </c>
      <c r="T21" s="674" t="s">
        <v>995</v>
      </c>
      <c r="U21" s="675" t="s">
        <v>84</v>
      </c>
      <c r="V21" s="676" t="s">
        <v>85</v>
      </c>
      <c r="W21" s="646">
        <v>38</v>
      </c>
      <c r="X21" s="646">
        <v>38</v>
      </c>
      <c r="Y21" s="646"/>
      <c r="Z21" s="646" t="s">
        <v>952</v>
      </c>
    </row>
    <row r="22" spans="1:26" ht="80.099999999999994" customHeight="1">
      <c r="A22" s="643">
        <v>18</v>
      </c>
      <c r="B22" s="644" t="s">
        <v>2599</v>
      </c>
      <c r="C22" s="645" t="s">
        <v>2677</v>
      </c>
      <c r="D22" s="646" t="s">
        <v>2711</v>
      </c>
      <c r="E22" s="646" t="s">
        <v>1869</v>
      </c>
      <c r="F22" s="657" t="s">
        <v>2712</v>
      </c>
      <c r="G22" s="646" t="s">
        <v>2713</v>
      </c>
      <c r="H22" s="646" t="s">
        <v>1015</v>
      </c>
      <c r="I22" s="665">
        <v>50</v>
      </c>
      <c r="J22" s="666"/>
      <c r="K22" s="666">
        <v>50</v>
      </c>
      <c r="L22" s="666"/>
      <c r="M22" s="667"/>
      <c r="N22" s="652"/>
      <c r="O22" s="653"/>
      <c r="P22" s="654" t="s">
        <v>124</v>
      </c>
      <c r="Q22" s="675" t="s">
        <v>936</v>
      </c>
      <c r="R22" s="649" t="s">
        <v>2714</v>
      </c>
      <c r="S22" s="651" t="s">
        <v>82</v>
      </c>
      <c r="T22" s="646" t="s">
        <v>995</v>
      </c>
      <c r="U22" s="654" t="s">
        <v>84</v>
      </c>
      <c r="V22" s="651" t="s">
        <v>2715</v>
      </c>
      <c r="W22" s="646">
        <v>10</v>
      </c>
      <c r="X22" s="646">
        <v>10</v>
      </c>
      <c r="Y22" s="646"/>
      <c r="Z22" s="646" t="s">
        <v>2716</v>
      </c>
    </row>
    <row r="23" spans="1:26" ht="80.099999999999994" customHeight="1">
      <c r="A23" s="643">
        <v>19</v>
      </c>
      <c r="B23" s="669" t="s">
        <v>2599</v>
      </c>
      <c r="C23" s="670" t="s">
        <v>2677</v>
      </c>
      <c r="D23" s="658" t="s">
        <v>2717</v>
      </c>
      <c r="E23" s="658" t="s">
        <v>1239</v>
      </c>
      <c r="F23" s="668" t="s">
        <v>2718</v>
      </c>
      <c r="G23" s="658" t="s">
        <v>2719</v>
      </c>
      <c r="H23" s="658" t="s">
        <v>2136</v>
      </c>
      <c r="I23" s="671">
        <v>20</v>
      </c>
      <c r="J23" s="672"/>
      <c r="K23" s="672">
        <v>20</v>
      </c>
      <c r="L23" s="672"/>
      <c r="M23" s="673"/>
      <c r="N23" s="643"/>
      <c r="O23" s="645"/>
      <c r="P23" s="674" t="s">
        <v>124</v>
      </c>
      <c r="Q23" s="675" t="s">
        <v>936</v>
      </c>
      <c r="R23" s="676" t="s">
        <v>2720</v>
      </c>
      <c r="S23" s="658" t="s">
        <v>82</v>
      </c>
      <c r="T23" s="674" t="s">
        <v>995</v>
      </c>
      <c r="U23" s="675" t="s">
        <v>84</v>
      </c>
      <c r="V23" s="677" t="s">
        <v>85</v>
      </c>
      <c r="W23" s="678">
        <v>0.3</v>
      </c>
      <c r="X23" s="679">
        <v>0.15</v>
      </c>
      <c r="Y23" s="680">
        <v>0.15</v>
      </c>
      <c r="Z23" s="681" t="s">
        <v>2721</v>
      </c>
    </row>
    <row r="24" spans="1:26" ht="80.099999999999994" customHeight="1">
      <c r="A24" s="643">
        <v>20</v>
      </c>
      <c r="B24" s="644" t="s">
        <v>2599</v>
      </c>
      <c r="C24" s="645" t="s">
        <v>2722</v>
      </c>
      <c r="D24" s="646" t="s">
        <v>2723</v>
      </c>
      <c r="E24" s="646" t="s">
        <v>2724</v>
      </c>
      <c r="F24" s="647" t="s">
        <v>2725</v>
      </c>
      <c r="G24" s="646" t="s">
        <v>2726</v>
      </c>
      <c r="H24" s="646" t="s">
        <v>2727</v>
      </c>
      <c r="I24" s="682">
        <v>90</v>
      </c>
      <c r="J24" s="683"/>
      <c r="K24" s="683">
        <v>90</v>
      </c>
      <c r="L24" s="683"/>
      <c r="M24" s="684"/>
      <c r="N24" s="652"/>
      <c r="O24" s="653"/>
      <c r="P24" s="654" t="s">
        <v>67</v>
      </c>
      <c r="Q24" s="675" t="s">
        <v>936</v>
      </c>
      <c r="R24" s="651"/>
      <c r="S24" s="646" t="s">
        <v>82</v>
      </c>
      <c r="T24" s="654" t="s">
        <v>2728</v>
      </c>
      <c r="U24" s="649" t="s">
        <v>84</v>
      </c>
      <c r="V24" s="651" t="s">
        <v>2729</v>
      </c>
      <c r="W24" s="656">
        <v>30</v>
      </c>
      <c r="X24" s="685">
        <v>30</v>
      </c>
      <c r="Y24" s="686">
        <v>0</v>
      </c>
      <c r="Z24" s="646" t="s">
        <v>2730</v>
      </c>
    </row>
    <row r="25" spans="1:26" ht="80.099999999999994" customHeight="1">
      <c r="A25" s="643">
        <v>21</v>
      </c>
      <c r="B25" s="669" t="s">
        <v>2599</v>
      </c>
      <c r="C25" s="670" t="s">
        <v>2731</v>
      </c>
      <c r="D25" s="658" t="s">
        <v>2732</v>
      </c>
      <c r="E25" s="658" t="s">
        <v>2029</v>
      </c>
      <c r="F25" s="668" t="s">
        <v>2733</v>
      </c>
      <c r="G25" s="658" t="s">
        <v>2734</v>
      </c>
      <c r="H25" s="658" t="s">
        <v>2568</v>
      </c>
      <c r="I25" s="682">
        <v>8</v>
      </c>
      <c r="J25" s="683"/>
      <c r="K25" s="683">
        <v>8</v>
      </c>
      <c r="L25" s="683"/>
      <c r="M25" s="684"/>
      <c r="N25" s="652"/>
      <c r="O25" s="653"/>
      <c r="P25" s="674" t="s">
        <v>2735</v>
      </c>
      <c r="Q25" s="675" t="s">
        <v>936</v>
      </c>
      <c r="R25" s="676" t="s">
        <v>2492</v>
      </c>
      <c r="S25" s="658" t="s">
        <v>82</v>
      </c>
      <c r="T25" s="674" t="s">
        <v>929</v>
      </c>
      <c r="U25" s="649" t="s">
        <v>84</v>
      </c>
      <c r="V25" s="651" t="s">
        <v>1047</v>
      </c>
      <c r="W25" s="657">
        <v>75</v>
      </c>
      <c r="X25" s="657">
        <v>75</v>
      </c>
      <c r="Y25" s="657"/>
      <c r="Z25" s="646" t="s">
        <v>2736</v>
      </c>
    </row>
    <row r="26" spans="1:26" ht="80.099999999999994" customHeight="1">
      <c r="A26" s="643">
        <v>22</v>
      </c>
      <c r="B26" s="669" t="s">
        <v>2599</v>
      </c>
      <c r="C26" s="670" t="s">
        <v>2731</v>
      </c>
      <c r="D26" s="658" t="s">
        <v>2737</v>
      </c>
      <c r="E26" s="658" t="s">
        <v>2738</v>
      </c>
      <c r="F26" s="668" t="s">
        <v>2739</v>
      </c>
      <c r="G26" s="658" t="s">
        <v>2740</v>
      </c>
      <c r="H26" s="658" t="s">
        <v>1234</v>
      </c>
      <c r="I26" s="682">
        <v>8</v>
      </c>
      <c r="J26" s="683"/>
      <c r="K26" s="683">
        <v>8</v>
      </c>
      <c r="L26" s="683"/>
      <c r="M26" s="684"/>
      <c r="N26" s="652"/>
      <c r="O26" s="653"/>
      <c r="P26" s="674" t="s">
        <v>2735</v>
      </c>
      <c r="Q26" s="675" t="s">
        <v>936</v>
      </c>
      <c r="R26" s="676" t="s">
        <v>2492</v>
      </c>
      <c r="S26" s="658" t="s">
        <v>82</v>
      </c>
      <c r="T26" s="674" t="s">
        <v>929</v>
      </c>
      <c r="U26" s="649" t="s">
        <v>84</v>
      </c>
      <c r="V26" s="651" t="s">
        <v>1047</v>
      </c>
      <c r="W26" s="657">
        <v>43</v>
      </c>
      <c r="X26" s="657">
        <v>43</v>
      </c>
      <c r="Y26" s="657"/>
      <c r="Z26" s="646" t="s">
        <v>2741</v>
      </c>
    </row>
    <row r="27" spans="1:26" ht="80.099999999999994" customHeight="1">
      <c r="A27" s="643">
        <v>23</v>
      </c>
      <c r="B27" s="669" t="s">
        <v>2599</v>
      </c>
      <c r="C27" s="670" t="s">
        <v>2731</v>
      </c>
      <c r="D27" s="646" t="s">
        <v>2742</v>
      </c>
      <c r="E27" s="646" t="s">
        <v>2743</v>
      </c>
      <c r="F27" s="668" t="s">
        <v>2744</v>
      </c>
      <c r="G27" s="658" t="s">
        <v>2745</v>
      </c>
      <c r="H27" s="658" t="s">
        <v>2746</v>
      </c>
      <c r="I27" s="665">
        <v>360</v>
      </c>
      <c r="J27" s="666"/>
      <c r="K27" s="666"/>
      <c r="L27" s="666">
        <v>360</v>
      </c>
      <c r="M27" s="667"/>
      <c r="N27" s="652"/>
      <c r="O27" s="653"/>
      <c r="P27" s="674" t="s">
        <v>67</v>
      </c>
      <c r="Q27" s="675" t="s">
        <v>936</v>
      </c>
      <c r="R27" s="676" t="s">
        <v>2747</v>
      </c>
      <c r="S27" s="658" t="s">
        <v>82</v>
      </c>
      <c r="T27" s="674" t="s">
        <v>83</v>
      </c>
      <c r="U27" s="675" t="s">
        <v>84</v>
      </c>
      <c r="V27" s="676" t="s">
        <v>85</v>
      </c>
      <c r="W27" s="657">
        <v>100</v>
      </c>
      <c r="X27" s="657">
        <v>100</v>
      </c>
      <c r="Y27" s="657">
        <v>0</v>
      </c>
      <c r="Z27" s="646" t="s">
        <v>2748</v>
      </c>
    </row>
    <row r="28" spans="1:26" ht="80.099999999999994" customHeight="1">
      <c r="A28" s="643">
        <v>24</v>
      </c>
      <c r="B28" s="669" t="s">
        <v>2599</v>
      </c>
      <c r="C28" s="670" t="s">
        <v>2731</v>
      </c>
      <c r="D28" s="646" t="s">
        <v>2749</v>
      </c>
      <c r="E28" s="646" t="s">
        <v>2750</v>
      </c>
      <c r="F28" s="657" t="s">
        <v>2751</v>
      </c>
      <c r="G28" s="646" t="s">
        <v>2752</v>
      </c>
      <c r="H28" s="646" t="s">
        <v>2111</v>
      </c>
      <c r="I28" s="665">
        <v>4650</v>
      </c>
      <c r="J28" s="666">
        <v>700</v>
      </c>
      <c r="K28" s="666">
        <v>700</v>
      </c>
      <c r="L28" s="666">
        <v>2470</v>
      </c>
      <c r="M28" s="667">
        <v>780</v>
      </c>
      <c r="N28" s="652" t="s">
        <v>2753</v>
      </c>
      <c r="O28" s="653" t="s">
        <v>2754</v>
      </c>
      <c r="P28" s="654" t="s">
        <v>67</v>
      </c>
      <c r="Q28" s="649" t="s">
        <v>936</v>
      </c>
      <c r="R28" s="651"/>
      <c r="S28" s="646" t="s">
        <v>82</v>
      </c>
      <c r="T28" s="654" t="s">
        <v>2755</v>
      </c>
      <c r="U28" s="649" t="s">
        <v>2756</v>
      </c>
      <c r="V28" s="651" t="s">
        <v>1047</v>
      </c>
      <c r="W28" s="657">
        <v>528</v>
      </c>
      <c r="X28" s="657">
        <v>528</v>
      </c>
      <c r="Y28" s="657"/>
      <c r="Z28" s="646" t="s">
        <v>2757</v>
      </c>
    </row>
    <row r="29" spans="1:26" ht="80.099999999999994" customHeight="1">
      <c r="A29" s="643">
        <v>25</v>
      </c>
      <c r="B29" s="669" t="s">
        <v>2599</v>
      </c>
      <c r="C29" s="670" t="s">
        <v>2731</v>
      </c>
      <c r="D29" s="646" t="s">
        <v>2758</v>
      </c>
      <c r="E29" s="646" t="s">
        <v>2759</v>
      </c>
      <c r="F29" s="668" t="s">
        <v>2760</v>
      </c>
      <c r="G29" s="658" t="s">
        <v>2761</v>
      </c>
      <c r="H29" s="646" t="s">
        <v>2762</v>
      </c>
      <c r="I29" s="665">
        <v>560</v>
      </c>
      <c r="J29" s="666"/>
      <c r="K29" s="666"/>
      <c r="L29" s="666">
        <v>479</v>
      </c>
      <c r="M29" s="667">
        <v>90</v>
      </c>
      <c r="N29" s="652" t="s">
        <v>927</v>
      </c>
      <c r="O29" s="653" t="s">
        <v>2763</v>
      </c>
      <c r="P29" s="654" t="s">
        <v>67</v>
      </c>
      <c r="Q29" s="675" t="s">
        <v>2764</v>
      </c>
      <c r="R29" s="651" t="s">
        <v>2765</v>
      </c>
      <c r="S29" s="646" t="s">
        <v>82</v>
      </c>
      <c r="T29" s="654" t="s">
        <v>1103</v>
      </c>
      <c r="U29" s="649" t="s">
        <v>2766</v>
      </c>
      <c r="V29" s="651" t="s">
        <v>1047</v>
      </c>
      <c r="W29" s="646">
        <v>122</v>
      </c>
      <c r="X29" s="646">
        <v>122</v>
      </c>
      <c r="Y29" s="646"/>
      <c r="Z29" s="646" t="s">
        <v>2767</v>
      </c>
    </row>
    <row r="30" spans="1:26" ht="80.099999999999994" customHeight="1">
      <c r="A30" s="643">
        <v>26</v>
      </c>
      <c r="B30" s="687" t="s">
        <v>2599</v>
      </c>
      <c r="C30" s="688" t="s">
        <v>2731</v>
      </c>
      <c r="D30" s="689" t="s">
        <v>2768</v>
      </c>
      <c r="E30" s="690" t="s">
        <v>2769</v>
      </c>
      <c r="F30" s="691" t="s">
        <v>2770</v>
      </c>
      <c r="G30" s="689" t="s">
        <v>2771</v>
      </c>
      <c r="H30" s="689" t="s">
        <v>1234</v>
      </c>
      <c r="I30" s="692">
        <v>1660</v>
      </c>
      <c r="J30" s="693">
        <v>110</v>
      </c>
      <c r="K30" s="693">
        <v>200</v>
      </c>
      <c r="L30" s="693">
        <v>1250</v>
      </c>
      <c r="M30" s="694">
        <v>100</v>
      </c>
      <c r="N30" s="695" t="s">
        <v>927</v>
      </c>
      <c r="O30" s="696" t="s">
        <v>2763</v>
      </c>
      <c r="P30" s="697" t="s">
        <v>67</v>
      </c>
      <c r="Q30" s="698" t="s">
        <v>936</v>
      </c>
      <c r="R30" s="699" t="s">
        <v>2772</v>
      </c>
      <c r="S30" s="689" t="s">
        <v>82</v>
      </c>
      <c r="T30" s="697" t="s">
        <v>83</v>
      </c>
      <c r="U30" s="700"/>
      <c r="V30" s="699" t="s">
        <v>1047</v>
      </c>
      <c r="W30" s="701">
        <v>82</v>
      </c>
      <c r="X30" s="701">
        <v>82</v>
      </c>
      <c r="Y30" s="701"/>
      <c r="Z30" s="689" t="s">
        <v>2773</v>
      </c>
    </row>
    <row r="31" spans="1:26" ht="80.099999999999994" customHeight="1">
      <c r="A31" s="643">
        <v>27</v>
      </c>
      <c r="B31" s="702" t="s">
        <v>2599</v>
      </c>
      <c r="C31" s="703" t="s">
        <v>2774</v>
      </c>
      <c r="D31" s="704" t="s">
        <v>2775</v>
      </c>
      <c r="E31" s="704" t="s">
        <v>2776</v>
      </c>
      <c r="F31" s="705" t="s">
        <v>2777</v>
      </c>
      <c r="G31" s="704" t="s">
        <v>2778</v>
      </c>
      <c r="H31" s="704" t="s">
        <v>1993</v>
      </c>
      <c r="I31" s="706">
        <v>1250</v>
      </c>
      <c r="J31" s="707"/>
      <c r="K31" s="707">
        <v>50</v>
      </c>
      <c r="L31" s="707">
        <v>1200</v>
      </c>
      <c r="M31" s="708"/>
      <c r="N31" s="709"/>
      <c r="O31" s="710"/>
      <c r="P31" s="711" t="s">
        <v>67</v>
      </c>
      <c r="Q31" s="712" t="s">
        <v>936</v>
      </c>
      <c r="R31" s="713" t="s">
        <v>2779</v>
      </c>
      <c r="S31" s="714" t="s">
        <v>82</v>
      </c>
      <c r="T31" s="711" t="s">
        <v>1103</v>
      </c>
      <c r="U31" s="715" t="s">
        <v>2780</v>
      </c>
      <c r="V31" s="713" t="s">
        <v>85</v>
      </c>
      <c r="W31" s="716">
        <v>732</v>
      </c>
      <c r="X31" s="716">
        <v>732</v>
      </c>
      <c r="Y31" s="717"/>
      <c r="Z31" s="704" t="s">
        <v>2781</v>
      </c>
    </row>
    <row r="32" spans="1:26" ht="80.099999999999994" customHeight="1">
      <c r="A32" s="643">
        <v>28</v>
      </c>
      <c r="B32" s="669" t="s">
        <v>2599</v>
      </c>
      <c r="C32" s="670" t="s">
        <v>2774</v>
      </c>
      <c r="D32" s="658" t="s">
        <v>2782</v>
      </c>
      <c r="E32" s="658" t="s">
        <v>2783</v>
      </c>
      <c r="F32" s="668" t="s">
        <v>2784</v>
      </c>
      <c r="G32" s="658" t="s">
        <v>2785</v>
      </c>
      <c r="H32" s="658" t="s">
        <v>2370</v>
      </c>
      <c r="I32" s="671">
        <v>80</v>
      </c>
      <c r="J32" s="672"/>
      <c r="K32" s="672"/>
      <c r="L32" s="672">
        <v>80</v>
      </c>
      <c r="M32" s="718"/>
      <c r="N32" s="652"/>
      <c r="O32" s="653"/>
      <c r="P32" s="674" t="s">
        <v>67</v>
      </c>
      <c r="Q32" s="719" t="s">
        <v>936</v>
      </c>
      <c r="R32" s="676" t="s">
        <v>2786</v>
      </c>
      <c r="S32" s="720" t="s">
        <v>82</v>
      </c>
      <c r="T32" s="674" t="s">
        <v>83</v>
      </c>
      <c r="U32" s="675" t="s">
        <v>84</v>
      </c>
      <c r="V32" s="676" t="s">
        <v>85</v>
      </c>
      <c r="W32" s="721">
        <v>20</v>
      </c>
      <c r="X32" s="721">
        <v>20</v>
      </c>
      <c r="Y32" s="722"/>
      <c r="Z32" s="658" t="s">
        <v>2787</v>
      </c>
    </row>
    <row r="33" spans="1:26" ht="80.099999999999994" customHeight="1">
      <c r="A33" s="643">
        <v>29</v>
      </c>
      <c r="B33" s="669" t="s">
        <v>2599</v>
      </c>
      <c r="C33" s="670" t="s">
        <v>2774</v>
      </c>
      <c r="D33" s="658" t="s">
        <v>2788</v>
      </c>
      <c r="E33" s="658" t="s">
        <v>2789</v>
      </c>
      <c r="F33" s="668" t="s">
        <v>2790</v>
      </c>
      <c r="G33" s="658" t="s">
        <v>2791</v>
      </c>
      <c r="H33" s="658" t="s">
        <v>2792</v>
      </c>
      <c r="I33" s="671">
        <v>120</v>
      </c>
      <c r="J33" s="672"/>
      <c r="K33" s="672"/>
      <c r="L33" s="672">
        <v>120</v>
      </c>
      <c r="M33" s="718"/>
      <c r="N33" s="643"/>
      <c r="O33" s="645"/>
      <c r="P33" s="674" t="s">
        <v>67</v>
      </c>
      <c r="Q33" s="719" t="s">
        <v>936</v>
      </c>
      <c r="R33" s="676" t="s">
        <v>2692</v>
      </c>
      <c r="S33" s="720" t="s">
        <v>82</v>
      </c>
      <c r="T33" s="674" t="s">
        <v>83</v>
      </c>
      <c r="U33" s="675" t="s">
        <v>84</v>
      </c>
      <c r="V33" s="676" t="s">
        <v>85</v>
      </c>
      <c r="W33" s="721">
        <v>15</v>
      </c>
      <c r="X33" s="721">
        <v>15</v>
      </c>
      <c r="Y33" s="722"/>
      <c r="Z33" s="658" t="s">
        <v>938</v>
      </c>
    </row>
    <row r="34" spans="1:26" ht="80.099999999999994" customHeight="1">
      <c r="A34" s="643">
        <v>30</v>
      </c>
      <c r="B34" s="644" t="s">
        <v>2599</v>
      </c>
      <c r="C34" s="645" t="s">
        <v>2774</v>
      </c>
      <c r="D34" s="646" t="s">
        <v>2793</v>
      </c>
      <c r="E34" s="646" t="s">
        <v>2794</v>
      </c>
      <c r="F34" s="657" t="s">
        <v>2795</v>
      </c>
      <c r="G34" s="646" t="s">
        <v>2796</v>
      </c>
      <c r="H34" s="646" t="s">
        <v>978</v>
      </c>
      <c r="I34" s="665">
        <v>500</v>
      </c>
      <c r="J34" s="666">
        <v>250</v>
      </c>
      <c r="K34" s="666"/>
      <c r="L34" s="666">
        <v>250</v>
      </c>
      <c r="M34" s="651"/>
      <c r="N34" s="652" t="s">
        <v>927</v>
      </c>
      <c r="O34" s="653" t="s">
        <v>2797</v>
      </c>
      <c r="P34" s="654" t="s">
        <v>67</v>
      </c>
      <c r="Q34" s="675" t="s">
        <v>936</v>
      </c>
      <c r="R34" s="651" t="s">
        <v>2798</v>
      </c>
      <c r="S34" s="646" t="s">
        <v>82</v>
      </c>
      <c r="T34" s="654" t="s">
        <v>1005</v>
      </c>
      <c r="U34" s="649" t="s">
        <v>84</v>
      </c>
      <c r="V34" s="651" t="s">
        <v>1064</v>
      </c>
      <c r="W34" s="656">
        <v>71.3</v>
      </c>
      <c r="X34" s="656">
        <v>70.7</v>
      </c>
      <c r="Y34" s="656">
        <v>0.6</v>
      </c>
      <c r="Z34" s="646" t="s">
        <v>2799</v>
      </c>
    </row>
    <row r="35" spans="1:26" ht="80.099999999999994" customHeight="1">
      <c r="A35" s="643">
        <v>31</v>
      </c>
      <c r="B35" s="644" t="s">
        <v>2599</v>
      </c>
      <c r="C35" s="645" t="s">
        <v>2774</v>
      </c>
      <c r="D35" s="646" t="s">
        <v>2800</v>
      </c>
      <c r="E35" s="646" t="s">
        <v>2801</v>
      </c>
      <c r="F35" s="657" t="s">
        <v>2802</v>
      </c>
      <c r="G35" s="658" t="s">
        <v>2803</v>
      </c>
      <c r="H35" s="646" t="s">
        <v>966</v>
      </c>
      <c r="I35" s="665">
        <v>200</v>
      </c>
      <c r="J35" s="666"/>
      <c r="K35" s="666"/>
      <c r="L35" s="666">
        <v>200</v>
      </c>
      <c r="M35" s="651"/>
      <c r="N35" s="652"/>
      <c r="O35" s="653"/>
      <c r="P35" s="654" t="s">
        <v>67</v>
      </c>
      <c r="Q35" s="675" t="s">
        <v>936</v>
      </c>
      <c r="R35" s="651" t="s">
        <v>2804</v>
      </c>
      <c r="S35" s="646" t="s">
        <v>82</v>
      </c>
      <c r="T35" s="654" t="s">
        <v>1103</v>
      </c>
      <c r="U35" s="649" t="s">
        <v>84</v>
      </c>
      <c r="V35" s="651" t="s">
        <v>2805</v>
      </c>
      <c r="W35" s="656">
        <v>45</v>
      </c>
      <c r="X35" s="656">
        <v>45</v>
      </c>
      <c r="Y35" s="656"/>
      <c r="Z35" s="646" t="s">
        <v>2806</v>
      </c>
    </row>
    <row r="36" spans="1:26" ht="80.099999999999994" customHeight="1">
      <c r="A36" s="643">
        <v>32</v>
      </c>
      <c r="B36" s="719" t="s">
        <v>2599</v>
      </c>
      <c r="C36" s="723" t="s">
        <v>2807</v>
      </c>
      <c r="D36" s="724" t="s">
        <v>2808</v>
      </c>
      <c r="E36" s="724" t="s">
        <v>2809</v>
      </c>
      <c r="F36" s="725" t="s">
        <v>2810</v>
      </c>
      <c r="G36" s="724" t="s">
        <v>2811</v>
      </c>
      <c r="H36" s="726" t="s">
        <v>2812</v>
      </c>
      <c r="I36" s="727">
        <v>2000</v>
      </c>
      <c r="J36" s="728"/>
      <c r="K36" s="729">
        <v>60</v>
      </c>
      <c r="L36" s="729">
        <v>1940</v>
      </c>
      <c r="M36" s="730"/>
      <c r="N36" s="731"/>
      <c r="O36" s="732"/>
      <c r="P36" s="733" t="s">
        <v>67</v>
      </c>
      <c r="Q36" s="734" t="s">
        <v>2764</v>
      </c>
      <c r="R36" s="732" t="s">
        <v>2813</v>
      </c>
      <c r="S36" s="724" t="s">
        <v>82</v>
      </c>
      <c r="T36" s="735" t="s">
        <v>2814</v>
      </c>
      <c r="U36" s="734" t="s">
        <v>84</v>
      </c>
      <c r="V36" s="736" t="s">
        <v>85</v>
      </c>
      <c r="W36" s="737">
        <v>564</v>
      </c>
      <c r="X36" s="737">
        <v>564</v>
      </c>
      <c r="Y36" s="738"/>
      <c r="Z36" s="724" t="s">
        <v>2815</v>
      </c>
    </row>
    <row r="37" spans="1:26" ht="80.099999999999994" customHeight="1">
      <c r="A37" s="643">
        <v>33</v>
      </c>
      <c r="B37" s="719" t="s">
        <v>2599</v>
      </c>
      <c r="C37" s="723" t="s">
        <v>2807</v>
      </c>
      <c r="D37" s="724" t="s">
        <v>2816</v>
      </c>
      <c r="E37" s="724" t="s">
        <v>2817</v>
      </c>
      <c r="F37" s="725" t="s">
        <v>2818</v>
      </c>
      <c r="G37" s="724" t="s">
        <v>2811</v>
      </c>
      <c r="H37" s="726" t="s">
        <v>1794</v>
      </c>
      <c r="I37" s="727">
        <v>1250</v>
      </c>
      <c r="J37" s="728"/>
      <c r="K37" s="729">
        <v>150</v>
      </c>
      <c r="L37" s="729">
        <v>1100</v>
      </c>
      <c r="M37" s="730"/>
      <c r="N37" s="731"/>
      <c r="O37" s="732"/>
      <c r="P37" s="733" t="s">
        <v>105</v>
      </c>
      <c r="Q37" s="675" t="s">
        <v>936</v>
      </c>
      <c r="R37" s="732" t="s">
        <v>2819</v>
      </c>
      <c r="S37" s="724" t="s">
        <v>82</v>
      </c>
      <c r="T37" s="735" t="s">
        <v>2814</v>
      </c>
      <c r="U37" s="734" t="s">
        <v>84</v>
      </c>
      <c r="V37" s="736" t="s">
        <v>85</v>
      </c>
      <c r="W37" s="737">
        <v>55</v>
      </c>
      <c r="X37" s="737">
        <v>45</v>
      </c>
      <c r="Y37" s="738">
        <v>10</v>
      </c>
      <c r="Z37" s="724" t="s">
        <v>2820</v>
      </c>
    </row>
    <row r="38" spans="1:26" ht="80.099999999999994" customHeight="1">
      <c r="A38" s="643">
        <v>34</v>
      </c>
      <c r="B38" s="719" t="s">
        <v>2599</v>
      </c>
      <c r="C38" s="723" t="s">
        <v>2821</v>
      </c>
      <c r="D38" s="724" t="s">
        <v>2822</v>
      </c>
      <c r="E38" s="724" t="s">
        <v>2823</v>
      </c>
      <c r="F38" s="739" t="s">
        <v>2824</v>
      </c>
      <c r="G38" s="724" t="s">
        <v>2825</v>
      </c>
      <c r="H38" s="724" t="s">
        <v>1117</v>
      </c>
      <c r="I38" s="727">
        <v>300</v>
      </c>
      <c r="J38" s="728">
        <v>0</v>
      </c>
      <c r="K38" s="729">
        <v>0</v>
      </c>
      <c r="L38" s="729">
        <v>300</v>
      </c>
      <c r="M38" s="730">
        <v>0</v>
      </c>
      <c r="N38" s="731"/>
      <c r="O38" s="732"/>
      <c r="P38" s="733" t="s">
        <v>92</v>
      </c>
      <c r="Q38" s="675" t="s">
        <v>936</v>
      </c>
      <c r="R38" s="732" t="s">
        <v>1110</v>
      </c>
      <c r="S38" s="724" t="s">
        <v>82</v>
      </c>
      <c r="T38" s="735" t="s">
        <v>2826</v>
      </c>
      <c r="U38" s="734" t="s">
        <v>2827</v>
      </c>
      <c r="V38" s="740" t="s">
        <v>85</v>
      </c>
      <c r="W38" s="737">
        <v>180</v>
      </c>
      <c r="X38" s="737">
        <v>179.9</v>
      </c>
      <c r="Y38" s="737">
        <v>0.1</v>
      </c>
      <c r="Z38" s="724" t="s">
        <v>2828</v>
      </c>
    </row>
    <row r="39" spans="1:26" ht="80.099999999999994" customHeight="1">
      <c r="A39" s="643">
        <v>35</v>
      </c>
      <c r="B39" s="719" t="s">
        <v>2599</v>
      </c>
      <c r="C39" s="741" t="s">
        <v>2807</v>
      </c>
      <c r="D39" s="733" t="s">
        <v>2829</v>
      </c>
      <c r="E39" s="724" t="s">
        <v>2830</v>
      </c>
      <c r="F39" s="739" t="s">
        <v>2831</v>
      </c>
      <c r="G39" s="724" t="s">
        <v>2832</v>
      </c>
      <c r="H39" s="732" t="s">
        <v>1010</v>
      </c>
      <c r="I39" s="742">
        <v>285</v>
      </c>
      <c r="J39" s="740">
        <v>0</v>
      </c>
      <c r="K39" s="743">
        <v>285</v>
      </c>
      <c r="L39" s="743">
        <v>0</v>
      </c>
      <c r="M39" s="732">
        <v>0</v>
      </c>
      <c r="N39" s="744"/>
      <c r="O39" s="733"/>
      <c r="P39" s="742" t="s">
        <v>92</v>
      </c>
      <c r="Q39" s="675" t="s">
        <v>936</v>
      </c>
      <c r="R39" s="745" t="s">
        <v>2833</v>
      </c>
      <c r="S39" s="732" t="s">
        <v>82</v>
      </c>
      <c r="T39" s="742" t="s">
        <v>929</v>
      </c>
      <c r="U39" s="734" t="s">
        <v>84</v>
      </c>
      <c r="V39" s="745" t="s">
        <v>1064</v>
      </c>
      <c r="W39" s="746">
        <v>45</v>
      </c>
      <c r="X39" s="746">
        <v>45</v>
      </c>
      <c r="Y39" s="737"/>
      <c r="Z39" s="724" t="s">
        <v>1780</v>
      </c>
    </row>
    <row r="40" spans="1:26" ht="80.099999999999994" customHeight="1">
      <c r="A40" s="643">
        <v>36</v>
      </c>
      <c r="B40" s="669" t="s">
        <v>2599</v>
      </c>
      <c r="C40" s="670" t="s">
        <v>2834</v>
      </c>
      <c r="D40" s="658" t="s">
        <v>2835</v>
      </c>
      <c r="E40" s="658" t="s">
        <v>2836</v>
      </c>
      <c r="F40" s="668" t="s">
        <v>2837</v>
      </c>
      <c r="G40" s="658" t="s">
        <v>2838</v>
      </c>
      <c r="H40" s="658" t="s">
        <v>2008</v>
      </c>
      <c r="I40" s="671">
        <v>70</v>
      </c>
      <c r="J40" s="672"/>
      <c r="K40" s="672">
        <v>70</v>
      </c>
      <c r="L40" s="672"/>
      <c r="M40" s="673"/>
      <c r="N40" s="747"/>
      <c r="O40" s="748"/>
      <c r="P40" s="674" t="s">
        <v>124</v>
      </c>
      <c r="Q40" s="675" t="s">
        <v>936</v>
      </c>
      <c r="R40" s="676" t="s">
        <v>1011</v>
      </c>
      <c r="S40" s="658" t="s">
        <v>82</v>
      </c>
      <c r="T40" s="674" t="s">
        <v>1103</v>
      </c>
      <c r="U40" s="675" t="s">
        <v>84</v>
      </c>
      <c r="V40" s="676" t="s">
        <v>85</v>
      </c>
      <c r="W40" s="749">
        <v>55</v>
      </c>
      <c r="X40" s="749">
        <v>55</v>
      </c>
      <c r="Y40" s="749"/>
      <c r="Z40" s="658" t="s">
        <v>930</v>
      </c>
    </row>
    <row r="41" spans="1:26" ht="80.099999999999994" customHeight="1">
      <c r="A41" s="643">
        <v>37</v>
      </c>
      <c r="B41" s="669" t="s">
        <v>2599</v>
      </c>
      <c r="C41" s="670" t="s">
        <v>2834</v>
      </c>
      <c r="D41" s="658" t="s">
        <v>2839</v>
      </c>
      <c r="E41" s="658" t="s">
        <v>2840</v>
      </c>
      <c r="F41" s="668" t="s">
        <v>2841</v>
      </c>
      <c r="G41" s="658" t="s">
        <v>2838</v>
      </c>
      <c r="H41" s="658" t="s">
        <v>2581</v>
      </c>
      <c r="I41" s="671">
        <v>600</v>
      </c>
      <c r="J41" s="672"/>
      <c r="K41" s="672">
        <v>600</v>
      </c>
      <c r="L41" s="672"/>
      <c r="M41" s="673"/>
      <c r="N41" s="747"/>
      <c r="O41" s="748"/>
      <c r="P41" s="674" t="s">
        <v>124</v>
      </c>
      <c r="Q41" s="675" t="s">
        <v>936</v>
      </c>
      <c r="R41" s="676" t="s">
        <v>2842</v>
      </c>
      <c r="S41" s="658" t="s">
        <v>82</v>
      </c>
      <c r="T41" s="674" t="s">
        <v>1103</v>
      </c>
      <c r="U41" s="675" t="s">
        <v>84</v>
      </c>
      <c r="V41" s="676" t="s">
        <v>85</v>
      </c>
      <c r="W41" s="749">
        <v>300</v>
      </c>
      <c r="X41" s="749">
        <v>300</v>
      </c>
      <c r="Y41" s="749"/>
      <c r="Z41" s="658" t="s">
        <v>930</v>
      </c>
    </row>
    <row r="42" spans="1:26" ht="80.099999999999994" customHeight="1">
      <c r="A42" s="643">
        <v>38</v>
      </c>
      <c r="B42" s="644" t="s">
        <v>2599</v>
      </c>
      <c r="C42" s="645" t="s">
        <v>2843</v>
      </c>
      <c r="D42" s="646" t="s">
        <v>2844</v>
      </c>
      <c r="E42" s="646" t="s">
        <v>2845</v>
      </c>
      <c r="F42" s="657" t="s">
        <v>2846</v>
      </c>
      <c r="G42" s="646" t="s">
        <v>2847</v>
      </c>
      <c r="H42" s="646" t="s">
        <v>2848</v>
      </c>
      <c r="I42" s="654">
        <v>280</v>
      </c>
      <c r="J42" s="649"/>
      <c r="K42" s="649"/>
      <c r="L42" s="649">
        <v>280</v>
      </c>
      <c r="M42" s="651"/>
      <c r="N42" s="652"/>
      <c r="O42" s="653"/>
      <c r="P42" s="654" t="s">
        <v>105</v>
      </c>
      <c r="Q42" s="649" t="s">
        <v>936</v>
      </c>
      <c r="R42" s="651" t="s">
        <v>2849</v>
      </c>
      <c r="S42" s="646" t="s">
        <v>82</v>
      </c>
      <c r="T42" s="654" t="s">
        <v>2480</v>
      </c>
      <c r="U42" s="649" t="s">
        <v>1141</v>
      </c>
      <c r="V42" s="651" t="s">
        <v>85</v>
      </c>
      <c r="W42" s="646"/>
      <c r="X42" s="646"/>
      <c r="Y42" s="646"/>
      <c r="Z42" s="646" t="s">
        <v>2850</v>
      </c>
    </row>
    <row r="43" spans="1:26" ht="80.099999999999994" customHeight="1">
      <c r="A43" s="643">
        <v>39</v>
      </c>
      <c r="B43" s="644" t="s">
        <v>2599</v>
      </c>
      <c r="C43" s="645" t="s">
        <v>2843</v>
      </c>
      <c r="D43" s="646" t="s">
        <v>2851</v>
      </c>
      <c r="E43" s="646" t="s">
        <v>2852</v>
      </c>
      <c r="F43" s="657" t="s">
        <v>2853</v>
      </c>
      <c r="G43" s="646" t="s">
        <v>2854</v>
      </c>
      <c r="H43" s="646" t="s">
        <v>2136</v>
      </c>
      <c r="I43" s="654">
        <v>260</v>
      </c>
      <c r="J43" s="649"/>
      <c r="K43" s="649"/>
      <c r="L43" s="649">
        <v>260</v>
      </c>
      <c r="M43" s="651"/>
      <c r="N43" s="652"/>
      <c r="O43" s="653"/>
      <c r="P43" s="654" t="s">
        <v>67</v>
      </c>
      <c r="Q43" s="649" t="s">
        <v>936</v>
      </c>
      <c r="R43" s="651" t="s">
        <v>2855</v>
      </c>
      <c r="S43" s="646" t="s">
        <v>82</v>
      </c>
      <c r="T43" s="654" t="s">
        <v>83</v>
      </c>
      <c r="U43" s="649" t="s">
        <v>2856</v>
      </c>
      <c r="V43" s="651" t="s">
        <v>85</v>
      </c>
      <c r="W43" s="646">
        <v>30</v>
      </c>
      <c r="X43" s="646">
        <v>30.3</v>
      </c>
      <c r="Y43" s="646">
        <v>0.1</v>
      </c>
      <c r="Z43" s="646" t="s">
        <v>2857</v>
      </c>
    </row>
    <row r="44" spans="1:26" ht="80.099999999999994" customHeight="1">
      <c r="A44" s="643">
        <v>40</v>
      </c>
      <c r="B44" s="644" t="s">
        <v>2599</v>
      </c>
      <c r="C44" s="645" t="s">
        <v>2843</v>
      </c>
      <c r="D44" s="646" t="s">
        <v>2858</v>
      </c>
      <c r="E44" s="646" t="s">
        <v>2859</v>
      </c>
      <c r="F44" s="657" t="s">
        <v>2860</v>
      </c>
      <c r="G44" s="646" t="s">
        <v>2861</v>
      </c>
      <c r="H44" s="646" t="s">
        <v>2862</v>
      </c>
      <c r="I44" s="654">
        <v>60</v>
      </c>
      <c r="J44" s="649"/>
      <c r="K44" s="649"/>
      <c r="L44" s="649">
        <v>60</v>
      </c>
      <c r="M44" s="651"/>
      <c r="N44" s="652"/>
      <c r="O44" s="653"/>
      <c r="P44" s="654" t="s">
        <v>67</v>
      </c>
      <c r="Q44" s="649" t="s">
        <v>936</v>
      </c>
      <c r="R44" s="651" t="s">
        <v>2863</v>
      </c>
      <c r="S44" s="646" t="s">
        <v>82</v>
      </c>
      <c r="T44" s="654" t="s">
        <v>2864</v>
      </c>
      <c r="U44" s="649" t="s">
        <v>2865</v>
      </c>
      <c r="V44" s="651" t="s">
        <v>85</v>
      </c>
      <c r="W44" s="646">
        <v>5</v>
      </c>
      <c r="X44" s="646">
        <v>5</v>
      </c>
      <c r="Y44" s="646">
        <v>0</v>
      </c>
      <c r="Z44" s="646" t="s">
        <v>2866</v>
      </c>
    </row>
    <row r="45" spans="1:26" ht="80.099999999999994" customHeight="1">
      <c r="A45" s="643">
        <v>41</v>
      </c>
      <c r="B45" s="644" t="s">
        <v>2599</v>
      </c>
      <c r="C45" s="645" t="s">
        <v>2843</v>
      </c>
      <c r="D45" s="646" t="s">
        <v>2867</v>
      </c>
      <c r="E45" s="646" t="s">
        <v>2868</v>
      </c>
      <c r="F45" s="657" t="s">
        <v>2869</v>
      </c>
      <c r="G45" s="646" t="s">
        <v>2870</v>
      </c>
      <c r="H45" s="646" t="s">
        <v>2497</v>
      </c>
      <c r="I45" s="654">
        <v>100</v>
      </c>
      <c r="J45" s="649"/>
      <c r="K45" s="649">
        <v>50</v>
      </c>
      <c r="L45" s="649">
        <v>50</v>
      </c>
      <c r="M45" s="651"/>
      <c r="N45" s="652"/>
      <c r="O45" s="653"/>
      <c r="P45" s="654" t="s">
        <v>67</v>
      </c>
      <c r="Q45" s="649" t="s">
        <v>936</v>
      </c>
      <c r="R45" s="651" t="s">
        <v>2871</v>
      </c>
      <c r="S45" s="646" t="s">
        <v>82</v>
      </c>
      <c r="T45" s="654" t="s">
        <v>2872</v>
      </c>
      <c r="U45" s="649" t="s">
        <v>1141</v>
      </c>
      <c r="V45" s="651" t="s">
        <v>85</v>
      </c>
      <c r="W45" s="646">
        <v>20</v>
      </c>
      <c r="X45" s="646">
        <v>14</v>
      </c>
      <c r="Y45" s="646">
        <v>6</v>
      </c>
      <c r="Z45" s="646" t="s">
        <v>2873</v>
      </c>
    </row>
    <row r="46" spans="1:26" ht="80.099999999999994" customHeight="1">
      <c r="A46" s="643">
        <v>42</v>
      </c>
      <c r="B46" s="644" t="s">
        <v>2599</v>
      </c>
      <c r="C46" s="645" t="s">
        <v>2843</v>
      </c>
      <c r="D46" s="646" t="s">
        <v>2874</v>
      </c>
      <c r="E46" s="646" t="s">
        <v>2875</v>
      </c>
      <c r="F46" s="657" t="s">
        <v>2869</v>
      </c>
      <c r="G46" s="646" t="s">
        <v>2870</v>
      </c>
      <c r="H46" s="646" t="s">
        <v>2876</v>
      </c>
      <c r="I46" s="654">
        <v>100</v>
      </c>
      <c r="J46" s="649"/>
      <c r="K46" s="649">
        <v>50</v>
      </c>
      <c r="L46" s="649">
        <v>50</v>
      </c>
      <c r="M46" s="651"/>
      <c r="N46" s="652"/>
      <c r="O46" s="653"/>
      <c r="P46" s="654" t="s">
        <v>67</v>
      </c>
      <c r="Q46" s="649" t="s">
        <v>936</v>
      </c>
      <c r="R46" s="651" t="s">
        <v>2871</v>
      </c>
      <c r="S46" s="646" t="s">
        <v>82</v>
      </c>
      <c r="T46" s="654" t="s">
        <v>2872</v>
      </c>
      <c r="U46" s="649" t="s">
        <v>1141</v>
      </c>
      <c r="V46" s="651" t="s">
        <v>85</v>
      </c>
      <c r="W46" s="646">
        <v>25</v>
      </c>
      <c r="X46" s="646">
        <v>20</v>
      </c>
      <c r="Y46" s="646">
        <v>5</v>
      </c>
      <c r="Z46" s="646" t="s">
        <v>2877</v>
      </c>
    </row>
    <row r="47" spans="1:26" ht="80.099999999999994" customHeight="1">
      <c r="A47" s="643">
        <v>43</v>
      </c>
      <c r="B47" s="644" t="s">
        <v>2599</v>
      </c>
      <c r="C47" s="645" t="s">
        <v>2843</v>
      </c>
      <c r="D47" s="646" t="s">
        <v>2878</v>
      </c>
      <c r="E47" s="646" t="s">
        <v>1905</v>
      </c>
      <c r="F47" s="657" t="s">
        <v>2879</v>
      </c>
      <c r="G47" s="646" t="s">
        <v>2880</v>
      </c>
      <c r="H47" s="646" t="s">
        <v>2881</v>
      </c>
      <c r="I47" s="654">
        <v>200</v>
      </c>
      <c r="J47" s="649"/>
      <c r="K47" s="649"/>
      <c r="L47" s="649">
        <v>200</v>
      </c>
      <c r="M47" s="651"/>
      <c r="N47" s="652"/>
      <c r="O47" s="653"/>
      <c r="P47" s="654" t="s">
        <v>124</v>
      </c>
      <c r="Q47" s="649" t="s">
        <v>936</v>
      </c>
      <c r="R47" s="651" t="s">
        <v>2882</v>
      </c>
      <c r="S47" s="646" t="s">
        <v>82</v>
      </c>
      <c r="T47" s="654" t="s">
        <v>83</v>
      </c>
      <c r="U47" s="649" t="s">
        <v>1141</v>
      </c>
      <c r="V47" s="651" t="s">
        <v>85</v>
      </c>
      <c r="W47" s="646">
        <v>20</v>
      </c>
      <c r="X47" s="646">
        <v>15</v>
      </c>
      <c r="Y47" s="646">
        <v>5</v>
      </c>
      <c r="Z47" s="646" t="s">
        <v>2883</v>
      </c>
    </row>
    <row r="48" spans="1:26" ht="80.099999999999994" customHeight="1">
      <c r="A48" s="643">
        <v>44</v>
      </c>
      <c r="B48" s="644" t="s">
        <v>2599</v>
      </c>
      <c r="C48" s="645" t="s">
        <v>2843</v>
      </c>
      <c r="D48" s="646" t="s">
        <v>2884</v>
      </c>
      <c r="E48" s="646" t="s">
        <v>2885</v>
      </c>
      <c r="F48" s="657" t="s">
        <v>2886</v>
      </c>
      <c r="G48" s="646" t="s">
        <v>2887</v>
      </c>
      <c r="H48" s="646" t="s">
        <v>2888</v>
      </c>
      <c r="I48" s="654">
        <v>290</v>
      </c>
      <c r="J48" s="649">
        <v>0</v>
      </c>
      <c r="K48" s="649">
        <v>290</v>
      </c>
      <c r="L48" s="649">
        <v>0</v>
      </c>
      <c r="M48" s="651">
        <v>0</v>
      </c>
      <c r="N48" s="652"/>
      <c r="O48" s="653"/>
      <c r="P48" s="654" t="s">
        <v>167</v>
      </c>
      <c r="Q48" s="649" t="s">
        <v>936</v>
      </c>
      <c r="R48" s="651" t="s">
        <v>2889</v>
      </c>
      <c r="S48" s="646" t="s">
        <v>2890</v>
      </c>
      <c r="T48" s="654" t="s">
        <v>83</v>
      </c>
      <c r="U48" s="649" t="s">
        <v>1141</v>
      </c>
      <c r="V48" s="651" t="s">
        <v>85</v>
      </c>
      <c r="W48" s="646"/>
      <c r="X48" s="646"/>
      <c r="Y48" s="646"/>
      <c r="Z48" s="646" t="s">
        <v>2891</v>
      </c>
    </row>
    <row r="49" spans="1:26" ht="80.099999999999994" customHeight="1">
      <c r="A49" s="643">
        <v>45</v>
      </c>
      <c r="B49" s="734" t="s">
        <v>2599</v>
      </c>
      <c r="C49" s="745" t="s">
        <v>2892</v>
      </c>
      <c r="D49" s="724" t="s">
        <v>2893</v>
      </c>
      <c r="E49" s="724" t="s">
        <v>2894</v>
      </c>
      <c r="F49" s="750" t="s">
        <v>2895</v>
      </c>
      <c r="G49" s="751" t="s">
        <v>2896</v>
      </c>
      <c r="H49" s="751" t="s">
        <v>2897</v>
      </c>
      <c r="I49" s="735">
        <v>849</v>
      </c>
      <c r="J49" s="734">
        <v>92</v>
      </c>
      <c r="K49" s="734">
        <v>46</v>
      </c>
      <c r="L49" s="734">
        <v>711</v>
      </c>
      <c r="M49" s="740"/>
      <c r="N49" s="742" t="s">
        <v>927</v>
      </c>
      <c r="O49" s="745" t="s">
        <v>1248</v>
      </c>
      <c r="P49" s="735" t="s">
        <v>167</v>
      </c>
      <c r="Q49" s="734" t="s">
        <v>2898</v>
      </c>
      <c r="R49" s="740" t="s">
        <v>2899</v>
      </c>
      <c r="S49" s="724" t="s">
        <v>82</v>
      </c>
      <c r="T49" s="735" t="s">
        <v>929</v>
      </c>
      <c r="U49" s="734" t="s">
        <v>84</v>
      </c>
      <c r="V49" s="740" t="s">
        <v>1047</v>
      </c>
      <c r="W49" s="724">
        <v>132</v>
      </c>
      <c r="X49" s="724">
        <v>132</v>
      </c>
      <c r="Y49" s="724">
        <v>0</v>
      </c>
      <c r="Z49" s="724" t="s">
        <v>930</v>
      </c>
    </row>
    <row r="50" spans="1:26" ht="80.099999999999994" customHeight="1">
      <c r="A50" s="643">
        <v>46</v>
      </c>
      <c r="B50" s="734" t="s">
        <v>2599</v>
      </c>
      <c r="C50" s="745" t="s">
        <v>2892</v>
      </c>
      <c r="D50" s="724" t="s">
        <v>2900</v>
      </c>
      <c r="E50" s="724" t="s">
        <v>2177</v>
      </c>
      <c r="F50" s="752" t="s">
        <v>2901</v>
      </c>
      <c r="G50" s="724" t="s">
        <v>2902</v>
      </c>
      <c r="H50" s="724" t="s">
        <v>2623</v>
      </c>
      <c r="I50" s="735">
        <v>150</v>
      </c>
      <c r="J50" s="734">
        <v>0</v>
      </c>
      <c r="K50" s="734">
        <v>0</v>
      </c>
      <c r="L50" s="734">
        <v>150</v>
      </c>
      <c r="M50" s="740">
        <v>0</v>
      </c>
      <c r="N50" s="742"/>
      <c r="O50" s="745"/>
      <c r="P50" s="735" t="s">
        <v>67</v>
      </c>
      <c r="Q50" s="675" t="s">
        <v>936</v>
      </c>
      <c r="R50" s="740" t="s">
        <v>2454</v>
      </c>
      <c r="S50" s="724" t="s">
        <v>82</v>
      </c>
      <c r="T50" s="735" t="s">
        <v>83</v>
      </c>
      <c r="U50" s="734" t="s">
        <v>2903</v>
      </c>
      <c r="V50" s="740" t="s">
        <v>85</v>
      </c>
      <c r="W50" s="724">
        <v>9</v>
      </c>
      <c r="X50" s="724">
        <v>9</v>
      </c>
      <c r="Y50" s="724"/>
      <c r="Z50" s="724" t="s">
        <v>930</v>
      </c>
    </row>
    <row r="51" spans="1:26" ht="80.099999999999994" customHeight="1">
      <c r="A51" s="643">
        <v>47</v>
      </c>
      <c r="B51" s="644" t="s">
        <v>2599</v>
      </c>
      <c r="C51" s="645" t="s">
        <v>2904</v>
      </c>
      <c r="D51" s="646" t="s">
        <v>2905</v>
      </c>
      <c r="E51" s="646" t="s">
        <v>2906</v>
      </c>
      <c r="F51" s="657" t="s">
        <v>2907</v>
      </c>
      <c r="G51" s="646" t="s">
        <v>2908</v>
      </c>
      <c r="H51" s="646" t="s">
        <v>972</v>
      </c>
      <c r="I51" s="654">
        <v>90</v>
      </c>
      <c r="J51" s="649"/>
      <c r="K51" s="649">
        <v>90</v>
      </c>
      <c r="L51" s="649"/>
      <c r="M51" s="651"/>
      <c r="N51" s="652"/>
      <c r="O51" s="653"/>
      <c r="P51" s="654" t="s">
        <v>67</v>
      </c>
      <c r="Q51" s="675" t="s">
        <v>936</v>
      </c>
      <c r="R51" s="651" t="s">
        <v>2909</v>
      </c>
      <c r="S51" s="646" t="s">
        <v>82</v>
      </c>
      <c r="T51" s="654" t="s">
        <v>1005</v>
      </c>
      <c r="U51" s="649" t="s">
        <v>84</v>
      </c>
      <c r="V51" s="651" t="s">
        <v>85</v>
      </c>
      <c r="W51" s="646">
        <v>10</v>
      </c>
      <c r="X51" s="646">
        <v>10</v>
      </c>
      <c r="Y51" s="646"/>
      <c r="Z51" s="646" t="s">
        <v>2910</v>
      </c>
    </row>
    <row r="52" spans="1:26" ht="80.099999999999994" customHeight="1">
      <c r="A52" s="643">
        <v>48</v>
      </c>
      <c r="B52" s="644" t="s">
        <v>2599</v>
      </c>
      <c r="C52" s="645" t="s">
        <v>2904</v>
      </c>
      <c r="D52" s="646" t="s">
        <v>2911</v>
      </c>
      <c r="E52" s="646" t="s">
        <v>2912</v>
      </c>
      <c r="F52" s="657" t="s">
        <v>2913</v>
      </c>
      <c r="G52" s="646" t="s">
        <v>2914</v>
      </c>
      <c r="H52" s="646" t="s">
        <v>2915</v>
      </c>
      <c r="I52" s="654">
        <v>15</v>
      </c>
      <c r="J52" s="649"/>
      <c r="K52" s="649">
        <v>15</v>
      </c>
      <c r="L52" s="649"/>
      <c r="M52" s="651"/>
      <c r="N52" s="652"/>
      <c r="O52" s="653"/>
      <c r="P52" s="654" t="s">
        <v>124</v>
      </c>
      <c r="Q52" s="675" t="s">
        <v>936</v>
      </c>
      <c r="R52" s="651" t="s">
        <v>2916</v>
      </c>
      <c r="S52" s="646" t="s">
        <v>82</v>
      </c>
      <c r="T52" s="654" t="s">
        <v>929</v>
      </c>
      <c r="U52" s="649" t="s">
        <v>84</v>
      </c>
      <c r="V52" s="651" t="s">
        <v>1047</v>
      </c>
      <c r="W52" s="646">
        <v>10</v>
      </c>
      <c r="X52" s="646">
        <v>10</v>
      </c>
      <c r="Y52" s="646"/>
      <c r="Z52" s="646" t="s">
        <v>2917</v>
      </c>
    </row>
    <row r="53" spans="1:26" ht="80.099999999999994" customHeight="1">
      <c r="A53" s="643">
        <v>49</v>
      </c>
      <c r="B53" s="644" t="s">
        <v>2599</v>
      </c>
      <c r="C53" s="645" t="s">
        <v>2918</v>
      </c>
      <c r="D53" s="753" t="s">
        <v>2919</v>
      </c>
      <c r="E53" s="646" t="s">
        <v>2920</v>
      </c>
      <c r="F53" s="754" t="s">
        <v>2921</v>
      </c>
      <c r="G53" s="646" t="s">
        <v>2922</v>
      </c>
      <c r="H53" s="755" t="s">
        <v>1015</v>
      </c>
      <c r="I53" s="652">
        <v>155</v>
      </c>
      <c r="J53" s="651"/>
      <c r="K53" s="756">
        <v>155</v>
      </c>
      <c r="L53" s="756"/>
      <c r="M53" s="755"/>
      <c r="N53" s="757"/>
      <c r="O53" s="753"/>
      <c r="P53" s="652" t="s">
        <v>67</v>
      </c>
      <c r="Q53" s="675" t="s">
        <v>936</v>
      </c>
      <c r="R53" s="653" t="s">
        <v>2923</v>
      </c>
      <c r="S53" s="755" t="s">
        <v>82</v>
      </c>
      <c r="T53" s="652" t="s">
        <v>2924</v>
      </c>
      <c r="U53" s="649" t="s">
        <v>84</v>
      </c>
      <c r="V53" s="653" t="s">
        <v>1047</v>
      </c>
      <c r="W53" s="755">
        <v>10</v>
      </c>
      <c r="X53" s="755">
        <v>9</v>
      </c>
      <c r="Y53" s="646">
        <v>1</v>
      </c>
      <c r="Z53" s="646" t="s">
        <v>2925</v>
      </c>
    </row>
    <row r="54" spans="1:26" ht="80.099999999999994" customHeight="1">
      <c r="A54" s="643">
        <v>50</v>
      </c>
      <c r="B54" s="644" t="s">
        <v>2599</v>
      </c>
      <c r="C54" s="645" t="s">
        <v>2918</v>
      </c>
      <c r="D54" s="753" t="s">
        <v>2926</v>
      </c>
      <c r="E54" s="646" t="s">
        <v>1869</v>
      </c>
      <c r="F54" s="758" t="s">
        <v>2927</v>
      </c>
      <c r="G54" s="646" t="s">
        <v>2928</v>
      </c>
      <c r="H54" s="649" t="s">
        <v>2929</v>
      </c>
      <c r="I54" s="652">
        <v>100</v>
      </c>
      <c r="J54" s="651"/>
      <c r="K54" s="756"/>
      <c r="L54" s="756">
        <v>100</v>
      </c>
      <c r="M54" s="755"/>
      <c r="N54" s="757"/>
      <c r="O54" s="753"/>
      <c r="P54" s="649" t="s">
        <v>67</v>
      </c>
      <c r="Q54" s="675" t="s">
        <v>936</v>
      </c>
      <c r="R54" s="649" t="s">
        <v>2930</v>
      </c>
      <c r="S54" s="649" t="s">
        <v>82</v>
      </c>
      <c r="T54" s="652" t="s">
        <v>2924</v>
      </c>
      <c r="U54" s="649" t="s">
        <v>84</v>
      </c>
      <c r="V54" s="653" t="s">
        <v>1047</v>
      </c>
      <c r="W54" s="649">
        <v>2</v>
      </c>
      <c r="X54" s="649">
        <v>2</v>
      </c>
      <c r="Y54" s="649">
        <v>0</v>
      </c>
      <c r="Z54" s="646" t="s">
        <v>2931</v>
      </c>
    </row>
    <row r="55" spans="1:26" ht="80.099999999999994" customHeight="1">
      <c r="A55" s="643">
        <v>51</v>
      </c>
      <c r="B55" s="759" t="s">
        <v>2599</v>
      </c>
      <c r="C55" s="760" t="s">
        <v>2932</v>
      </c>
      <c r="D55" s="761" t="s">
        <v>2933</v>
      </c>
      <c r="E55" s="762" t="s">
        <v>2934</v>
      </c>
      <c r="F55" s="763" t="s">
        <v>2935</v>
      </c>
      <c r="G55" s="762" t="s">
        <v>2936</v>
      </c>
      <c r="H55" s="764" t="s">
        <v>2370</v>
      </c>
      <c r="I55" s="765">
        <v>440</v>
      </c>
      <c r="J55" s="766">
        <v>0</v>
      </c>
      <c r="K55" s="767">
        <v>50</v>
      </c>
      <c r="L55" s="767">
        <v>390</v>
      </c>
      <c r="M55" s="764"/>
      <c r="N55" s="768"/>
      <c r="O55" s="769" t="s">
        <v>1950</v>
      </c>
      <c r="P55" s="770" t="s">
        <v>2937</v>
      </c>
      <c r="Q55" s="771" t="s">
        <v>936</v>
      </c>
      <c r="R55" s="772" t="s">
        <v>2938</v>
      </c>
      <c r="S55" s="773" t="s">
        <v>2939</v>
      </c>
      <c r="T55" s="774" t="s">
        <v>2940</v>
      </c>
      <c r="U55" s="775" t="s">
        <v>84</v>
      </c>
      <c r="V55" s="776" t="s">
        <v>2941</v>
      </c>
      <c r="W55" s="777">
        <v>250</v>
      </c>
      <c r="X55" s="777">
        <v>245</v>
      </c>
      <c r="Y55" s="778">
        <v>5</v>
      </c>
      <c r="Z55" s="779" t="s">
        <v>2942</v>
      </c>
    </row>
    <row r="56" spans="1:26" ht="80.099999999999994" customHeight="1">
      <c r="A56" s="643">
        <v>52</v>
      </c>
      <c r="B56" s="644" t="s">
        <v>2599</v>
      </c>
      <c r="C56" s="645" t="s">
        <v>2932</v>
      </c>
      <c r="D56" s="753" t="s">
        <v>2943</v>
      </c>
      <c r="E56" s="646" t="s">
        <v>2944</v>
      </c>
      <c r="F56" s="754" t="s">
        <v>2945</v>
      </c>
      <c r="G56" s="646" t="s">
        <v>2946</v>
      </c>
      <c r="H56" s="755" t="s">
        <v>2947</v>
      </c>
      <c r="I56" s="652">
        <v>500</v>
      </c>
      <c r="J56" s="651"/>
      <c r="K56" s="756">
        <v>500</v>
      </c>
      <c r="L56" s="756"/>
      <c r="M56" s="755"/>
      <c r="N56" s="757"/>
      <c r="O56" s="753"/>
      <c r="P56" s="652" t="s">
        <v>92</v>
      </c>
      <c r="Q56" s="771" t="s">
        <v>936</v>
      </c>
      <c r="R56" s="653" t="s">
        <v>2948</v>
      </c>
      <c r="S56" s="755" t="s">
        <v>82</v>
      </c>
      <c r="T56" s="652" t="s">
        <v>2949</v>
      </c>
      <c r="U56" s="649" t="s">
        <v>84</v>
      </c>
      <c r="V56" s="653" t="s">
        <v>1064</v>
      </c>
      <c r="W56" s="755">
        <v>137</v>
      </c>
      <c r="X56" s="755">
        <v>135</v>
      </c>
      <c r="Y56" s="646">
        <v>2</v>
      </c>
      <c r="Z56" s="646" t="s">
        <v>2950</v>
      </c>
    </row>
    <row r="57" spans="1:26" ht="80.099999999999994" customHeight="1" thickBot="1">
      <c r="A57" s="643">
        <v>53</v>
      </c>
      <c r="B57" s="780" t="s">
        <v>2599</v>
      </c>
      <c r="C57" s="781" t="s">
        <v>2932</v>
      </c>
      <c r="D57" s="782" t="s">
        <v>2951</v>
      </c>
      <c r="E57" s="783" t="s">
        <v>2952</v>
      </c>
      <c r="F57" s="784" t="s">
        <v>2953</v>
      </c>
      <c r="G57" s="783" t="s">
        <v>2954</v>
      </c>
      <c r="H57" s="785" t="s">
        <v>2955</v>
      </c>
      <c r="I57" s="786">
        <v>200</v>
      </c>
      <c r="J57" s="787"/>
      <c r="K57" s="788"/>
      <c r="L57" s="788">
        <v>160</v>
      </c>
      <c r="M57" s="785">
        <v>40</v>
      </c>
      <c r="N57" s="789"/>
      <c r="O57" s="782"/>
      <c r="P57" s="786" t="s">
        <v>92</v>
      </c>
      <c r="Q57" s="771" t="s">
        <v>936</v>
      </c>
      <c r="R57" s="790" t="s">
        <v>2032</v>
      </c>
      <c r="S57" s="785" t="s">
        <v>82</v>
      </c>
      <c r="T57" s="786" t="s">
        <v>1089</v>
      </c>
      <c r="U57" s="791" t="s">
        <v>84</v>
      </c>
      <c r="V57" s="790" t="s">
        <v>2956</v>
      </c>
      <c r="W57" s="785">
        <v>250</v>
      </c>
      <c r="X57" s="785">
        <v>249</v>
      </c>
      <c r="Y57" s="783">
        <v>1</v>
      </c>
      <c r="Z57" s="783" t="s">
        <v>2957</v>
      </c>
    </row>
    <row r="58" spans="1:26" ht="80.099999999999994" customHeight="1">
      <c r="A58" s="643">
        <v>54</v>
      </c>
      <c r="B58" s="644" t="s">
        <v>2599</v>
      </c>
      <c r="C58" s="645" t="s">
        <v>2958</v>
      </c>
      <c r="D58" s="753" t="s">
        <v>2959</v>
      </c>
      <c r="E58" s="646" t="s">
        <v>2960</v>
      </c>
      <c r="F58" s="754" t="s">
        <v>2961</v>
      </c>
      <c r="G58" s="646" t="s">
        <v>2962</v>
      </c>
      <c r="H58" s="755" t="s">
        <v>2963</v>
      </c>
      <c r="I58" s="652">
        <v>583</v>
      </c>
      <c r="J58" s="651"/>
      <c r="K58" s="756">
        <v>55</v>
      </c>
      <c r="L58" s="756">
        <v>528</v>
      </c>
      <c r="M58" s="755"/>
      <c r="N58" s="757"/>
      <c r="O58" s="753"/>
      <c r="P58" s="652" t="s">
        <v>167</v>
      </c>
      <c r="Q58" s="675" t="s">
        <v>936</v>
      </c>
      <c r="R58" s="653" t="s">
        <v>2964</v>
      </c>
      <c r="S58" s="755" t="s">
        <v>2965</v>
      </c>
      <c r="T58" s="652" t="s">
        <v>1103</v>
      </c>
      <c r="U58" s="649" t="s">
        <v>84</v>
      </c>
      <c r="V58" s="653" t="s">
        <v>2966</v>
      </c>
      <c r="W58" s="755">
        <v>451</v>
      </c>
      <c r="X58" s="755">
        <v>438</v>
      </c>
      <c r="Y58" s="646">
        <v>13</v>
      </c>
      <c r="Z58" s="646" t="s">
        <v>930</v>
      </c>
    </row>
    <row r="59" spans="1:26" ht="80.099999999999994" customHeight="1">
      <c r="A59" s="643">
        <v>55</v>
      </c>
      <c r="B59" s="644" t="s">
        <v>2599</v>
      </c>
      <c r="C59" s="645" t="s">
        <v>2967</v>
      </c>
      <c r="D59" s="646" t="s">
        <v>2968</v>
      </c>
      <c r="E59" s="646" t="s">
        <v>2969</v>
      </c>
      <c r="F59" s="647" t="s">
        <v>2970</v>
      </c>
      <c r="G59" s="646" t="s">
        <v>2971</v>
      </c>
      <c r="H59" s="646" t="s">
        <v>1032</v>
      </c>
      <c r="I59" s="654">
        <v>150</v>
      </c>
      <c r="J59" s="649"/>
      <c r="K59" s="649"/>
      <c r="L59" s="649">
        <v>150</v>
      </c>
      <c r="M59" s="651"/>
      <c r="N59" s="652"/>
      <c r="O59" s="653"/>
      <c r="P59" s="654" t="s">
        <v>167</v>
      </c>
      <c r="Q59" s="675" t="s">
        <v>936</v>
      </c>
      <c r="R59" s="651" t="s">
        <v>2972</v>
      </c>
      <c r="S59" s="646" t="s">
        <v>82</v>
      </c>
      <c r="T59" s="654" t="s">
        <v>929</v>
      </c>
      <c r="U59" s="649" t="s">
        <v>2105</v>
      </c>
      <c r="V59" s="651" t="s">
        <v>1047</v>
      </c>
      <c r="W59" s="656">
        <v>165</v>
      </c>
      <c r="X59" s="656">
        <v>165</v>
      </c>
      <c r="Y59" s="656">
        <v>0</v>
      </c>
      <c r="Z59" s="646" t="s">
        <v>2125</v>
      </c>
    </row>
    <row r="60" spans="1:26" ht="80.099999999999994" customHeight="1">
      <c r="A60" s="643">
        <v>56</v>
      </c>
      <c r="B60" s="669" t="s">
        <v>2599</v>
      </c>
      <c r="C60" s="670" t="s">
        <v>2967</v>
      </c>
      <c r="D60" s="658" t="s">
        <v>2973</v>
      </c>
      <c r="E60" s="658" t="s">
        <v>2974</v>
      </c>
      <c r="F60" s="668" t="s">
        <v>2975</v>
      </c>
      <c r="G60" s="658" t="s">
        <v>2976</v>
      </c>
      <c r="H60" s="658" t="s">
        <v>2792</v>
      </c>
      <c r="I60" s="654">
        <v>500</v>
      </c>
      <c r="J60" s="649"/>
      <c r="K60" s="649"/>
      <c r="L60" s="649">
        <v>500</v>
      </c>
      <c r="M60" s="651"/>
      <c r="N60" s="652"/>
      <c r="O60" s="653"/>
      <c r="P60" s="674" t="s">
        <v>92</v>
      </c>
      <c r="Q60" s="675" t="s">
        <v>936</v>
      </c>
      <c r="R60" s="651" t="s">
        <v>2948</v>
      </c>
      <c r="S60" s="646" t="s">
        <v>82</v>
      </c>
      <c r="T60" s="674" t="s">
        <v>2015</v>
      </c>
      <c r="U60" s="649" t="s">
        <v>2105</v>
      </c>
      <c r="V60" s="677" t="s">
        <v>85</v>
      </c>
      <c r="W60" s="656">
        <v>418</v>
      </c>
      <c r="X60" s="656">
        <v>418</v>
      </c>
      <c r="Y60" s="686">
        <v>0</v>
      </c>
      <c r="Z60" s="646" t="s">
        <v>930</v>
      </c>
    </row>
    <row r="61" spans="1:26" ht="80.099999999999994" customHeight="1">
      <c r="A61" s="643">
        <v>57</v>
      </c>
      <c r="B61" s="644" t="s">
        <v>2599</v>
      </c>
      <c r="C61" s="645" t="s">
        <v>2967</v>
      </c>
      <c r="D61" s="646" t="s">
        <v>2977</v>
      </c>
      <c r="E61" s="646" t="s">
        <v>2978</v>
      </c>
      <c r="F61" s="647" t="s">
        <v>2979</v>
      </c>
      <c r="G61" s="646" t="s">
        <v>2980</v>
      </c>
      <c r="H61" s="646" t="s">
        <v>1117</v>
      </c>
      <c r="I61" s="654">
        <v>45</v>
      </c>
      <c r="J61" s="649"/>
      <c r="K61" s="649"/>
      <c r="L61" s="649">
        <v>45</v>
      </c>
      <c r="M61" s="651"/>
      <c r="N61" s="652"/>
      <c r="O61" s="653"/>
      <c r="P61" s="654" t="s">
        <v>124</v>
      </c>
      <c r="Q61" s="675" t="s">
        <v>936</v>
      </c>
      <c r="R61" s="651" t="s">
        <v>2981</v>
      </c>
      <c r="S61" s="646" t="s">
        <v>82</v>
      </c>
      <c r="T61" s="654" t="s">
        <v>83</v>
      </c>
      <c r="U61" s="649" t="s">
        <v>84</v>
      </c>
      <c r="V61" s="651" t="s">
        <v>85</v>
      </c>
      <c r="W61" s="656">
        <v>35</v>
      </c>
      <c r="X61" s="685">
        <v>35</v>
      </c>
      <c r="Y61" s="686">
        <v>0</v>
      </c>
      <c r="Z61" s="646" t="s">
        <v>930</v>
      </c>
    </row>
    <row r="62" spans="1:26" ht="80.099999999999994" customHeight="1">
      <c r="A62" s="643">
        <v>58</v>
      </c>
      <c r="B62" s="644" t="s">
        <v>2599</v>
      </c>
      <c r="C62" s="645" t="s">
        <v>2967</v>
      </c>
      <c r="D62" s="646" t="s">
        <v>2982</v>
      </c>
      <c r="E62" s="646" t="s">
        <v>2983</v>
      </c>
      <c r="F62" s="647" t="s">
        <v>2984</v>
      </c>
      <c r="G62" s="646" t="s">
        <v>2985</v>
      </c>
      <c r="H62" s="646" t="s">
        <v>2986</v>
      </c>
      <c r="I62" s="654">
        <v>75</v>
      </c>
      <c r="J62" s="649"/>
      <c r="K62" s="649" t="s">
        <v>1702</v>
      </c>
      <c r="L62" s="649">
        <v>75</v>
      </c>
      <c r="M62" s="651"/>
      <c r="N62" s="652"/>
      <c r="O62" s="653"/>
      <c r="P62" s="654" t="s">
        <v>105</v>
      </c>
      <c r="Q62" s="675" t="s">
        <v>936</v>
      </c>
      <c r="R62" s="651" t="s">
        <v>2987</v>
      </c>
      <c r="S62" s="646" t="s">
        <v>82</v>
      </c>
      <c r="T62" s="654" t="s">
        <v>929</v>
      </c>
      <c r="U62" s="649" t="s">
        <v>2105</v>
      </c>
      <c r="V62" s="651" t="s">
        <v>1047</v>
      </c>
      <c r="W62" s="656">
        <v>11</v>
      </c>
      <c r="X62" s="656">
        <v>11</v>
      </c>
      <c r="Y62" s="656">
        <v>0</v>
      </c>
      <c r="Z62" s="646" t="s">
        <v>930</v>
      </c>
    </row>
    <row r="63" spans="1:26" ht="80.099999999999994" customHeight="1">
      <c r="A63" s="643">
        <v>59</v>
      </c>
      <c r="B63" s="644" t="s">
        <v>2599</v>
      </c>
      <c r="C63" s="645" t="s">
        <v>2967</v>
      </c>
      <c r="D63" s="646" t="s">
        <v>2988</v>
      </c>
      <c r="E63" s="646" t="s">
        <v>2989</v>
      </c>
      <c r="F63" s="647" t="s">
        <v>2990</v>
      </c>
      <c r="G63" s="646" t="s">
        <v>2991</v>
      </c>
      <c r="H63" s="646" t="s">
        <v>2111</v>
      </c>
      <c r="I63" s="654">
        <v>150</v>
      </c>
      <c r="J63" s="649"/>
      <c r="K63" s="649"/>
      <c r="L63" s="649">
        <v>150</v>
      </c>
      <c r="M63" s="651"/>
      <c r="N63" s="652"/>
      <c r="O63" s="653"/>
      <c r="P63" s="654" t="s">
        <v>92</v>
      </c>
      <c r="Q63" s="675" t="s">
        <v>936</v>
      </c>
      <c r="R63" s="651" t="s">
        <v>2992</v>
      </c>
      <c r="S63" s="646" t="s">
        <v>82</v>
      </c>
      <c r="T63" s="654" t="s">
        <v>2015</v>
      </c>
      <c r="U63" s="649" t="s">
        <v>84</v>
      </c>
      <c r="V63" s="651" t="s">
        <v>85</v>
      </c>
      <c r="W63" s="656">
        <v>99</v>
      </c>
      <c r="X63" s="656">
        <v>99</v>
      </c>
      <c r="Y63" s="656">
        <v>0</v>
      </c>
      <c r="Z63" s="646" t="s">
        <v>2993</v>
      </c>
    </row>
    <row r="64" spans="1:26" ht="80.099999999999994" customHeight="1">
      <c r="A64" s="643">
        <v>60</v>
      </c>
      <c r="B64" s="644" t="s">
        <v>2599</v>
      </c>
      <c r="C64" s="645" t="s">
        <v>2967</v>
      </c>
      <c r="D64" s="646" t="s">
        <v>2994</v>
      </c>
      <c r="E64" s="646" t="s">
        <v>2995</v>
      </c>
      <c r="F64" s="647" t="s">
        <v>2996</v>
      </c>
      <c r="G64" s="646" t="s">
        <v>2997</v>
      </c>
      <c r="H64" s="646" t="s">
        <v>1234</v>
      </c>
      <c r="I64" s="654">
        <v>940</v>
      </c>
      <c r="J64" s="649">
        <v>170</v>
      </c>
      <c r="K64" s="649">
        <v>85</v>
      </c>
      <c r="L64" s="649">
        <v>685</v>
      </c>
      <c r="M64" s="651"/>
      <c r="N64" s="652" t="s">
        <v>927</v>
      </c>
      <c r="O64" s="653" t="s">
        <v>1248</v>
      </c>
      <c r="P64" s="654" t="s">
        <v>92</v>
      </c>
      <c r="Q64" s="649" t="s">
        <v>2998</v>
      </c>
      <c r="R64" s="651" t="s">
        <v>2999</v>
      </c>
      <c r="S64" s="646" t="s">
        <v>82</v>
      </c>
      <c r="T64" s="654" t="s">
        <v>929</v>
      </c>
      <c r="U64" s="649" t="s">
        <v>2105</v>
      </c>
      <c r="V64" s="651" t="s">
        <v>1047</v>
      </c>
      <c r="W64" s="656">
        <v>430</v>
      </c>
      <c r="X64" s="656">
        <v>422</v>
      </c>
      <c r="Y64" s="656">
        <v>8</v>
      </c>
      <c r="Z64" s="646" t="s">
        <v>930</v>
      </c>
    </row>
    <row r="65" spans="1:26" ht="80.099999999999994" customHeight="1">
      <c r="A65" s="643">
        <v>61</v>
      </c>
      <c r="B65" s="644" t="s">
        <v>2599</v>
      </c>
      <c r="C65" s="645" t="s">
        <v>2967</v>
      </c>
      <c r="D65" s="646" t="s">
        <v>3000</v>
      </c>
      <c r="E65" s="646" t="s">
        <v>3001</v>
      </c>
      <c r="F65" s="647" t="s">
        <v>3002</v>
      </c>
      <c r="G65" s="646" t="s">
        <v>3003</v>
      </c>
      <c r="H65" s="646" t="s">
        <v>1015</v>
      </c>
      <c r="I65" s="654">
        <v>260</v>
      </c>
      <c r="J65" s="649"/>
      <c r="K65" s="649"/>
      <c r="L65" s="649">
        <v>98</v>
      </c>
      <c r="M65" s="651">
        <v>162</v>
      </c>
      <c r="N65" s="652"/>
      <c r="O65" s="653"/>
      <c r="P65" s="654" t="s">
        <v>92</v>
      </c>
      <c r="Q65" s="675" t="s">
        <v>936</v>
      </c>
      <c r="R65" s="651" t="s">
        <v>1118</v>
      </c>
      <c r="S65" s="646" t="s">
        <v>82</v>
      </c>
      <c r="T65" s="654" t="s">
        <v>2015</v>
      </c>
      <c r="U65" s="649" t="s">
        <v>84</v>
      </c>
      <c r="V65" s="651" t="s">
        <v>85</v>
      </c>
      <c r="W65" s="656">
        <v>173</v>
      </c>
      <c r="X65" s="656">
        <v>173</v>
      </c>
      <c r="Y65" s="656"/>
      <c r="Z65" s="720" t="s">
        <v>930</v>
      </c>
    </row>
    <row r="66" spans="1:26" ht="80.099999999999994" customHeight="1">
      <c r="A66" s="643">
        <v>62</v>
      </c>
      <c r="B66" s="644" t="s">
        <v>2599</v>
      </c>
      <c r="C66" s="645" t="s">
        <v>3004</v>
      </c>
      <c r="D66" s="646" t="s">
        <v>3005</v>
      </c>
      <c r="E66" s="646" t="s">
        <v>3006</v>
      </c>
      <c r="F66" s="657" t="s">
        <v>3007</v>
      </c>
      <c r="G66" s="646" t="s">
        <v>3008</v>
      </c>
      <c r="H66" s="646" t="s">
        <v>3009</v>
      </c>
      <c r="I66" s="654">
        <v>717</v>
      </c>
      <c r="J66" s="649"/>
      <c r="K66" s="649">
        <v>717</v>
      </c>
      <c r="L66" s="649"/>
      <c r="M66" s="651"/>
      <c r="N66" s="652"/>
      <c r="O66" s="653"/>
      <c r="P66" s="654" t="s">
        <v>105</v>
      </c>
      <c r="Q66" s="675" t="s">
        <v>936</v>
      </c>
      <c r="R66" s="651" t="s">
        <v>3010</v>
      </c>
      <c r="S66" s="646" t="s">
        <v>82</v>
      </c>
      <c r="T66" s="654" t="s">
        <v>1103</v>
      </c>
      <c r="U66" s="649" t="s">
        <v>3011</v>
      </c>
      <c r="V66" s="651" t="s">
        <v>1047</v>
      </c>
      <c r="W66" s="646">
        <v>100</v>
      </c>
      <c r="X66" s="646">
        <v>100</v>
      </c>
      <c r="Y66" s="646"/>
      <c r="Z66" s="646" t="s">
        <v>3012</v>
      </c>
    </row>
    <row r="67" spans="1:26" ht="80.099999999999994" customHeight="1">
      <c r="A67" s="643">
        <v>63</v>
      </c>
      <c r="B67" s="644" t="s">
        <v>2599</v>
      </c>
      <c r="C67" s="645" t="s">
        <v>3013</v>
      </c>
      <c r="D67" s="646" t="s">
        <v>3014</v>
      </c>
      <c r="E67" s="646" t="s">
        <v>3015</v>
      </c>
      <c r="F67" s="657" t="s">
        <v>3016</v>
      </c>
      <c r="G67" s="646" t="s">
        <v>3017</v>
      </c>
      <c r="H67" s="646" t="s">
        <v>1022</v>
      </c>
      <c r="I67" s="648">
        <v>1675</v>
      </c>
      <c r="J67" s="649">
        <v>170</v>
      </c>
      <c r="K67" s="649">
        <v>85</v>
      </c>
      <c r="L67" s="650">
        <v>1420</v>
      </c>
      <c r="M67" s="651">
        <v>0</v>
      </c>
      <c r="N67" s="652" t="s">
        <v>927</v>
      </c>
      <c r="O67" s="653" t="s">
        <v>1248</v>
      </c>
      <c r="P67" s="654" t="s">
        <v>67</v>
      </c>
      <c r="Q67" s="649" t="s">
        <v>2998</v>
      </c>
      <c r="R67" s="651" t="s">
        <v>3018</v>
      </c>
      <c r="S67" s="646" t="s">
        <v>82</v>
      </c>
      <c r="T67" s="654" t="s">
        <v>3019</v>
      </c>
      <c r="U67" s="649" t="s">
        <v>84</v>
      </c>
      <c r="V67" s="651" t="s">
        <v>1047</v>
      </c>
      <c r="W67" s="646">
        <v>510</v>
      </c>
      <c r="X67" s="646">
        <v>500</v>
      </c>
      <c r="Y67" s="646">
        <v>10</v>
      </c>
      <c r="Z67" s="646" t="s">
        <v>930</v>
      </c>
    </row>
    <row r="68" spans="1:26" ht="80.099999999999994" customHeight="1">
      <c r="A68" s="643">
        <v>64</v>
      </c>
      <c r="B68" s="644" t="s">
        <v>2599</v>
      </c>
      <c r="C68" s="645" t="s">
        <v>3013</v>
      </c>
      <c r="D68" s="646" t="s">
        <v>3020</v>
      </c>
      <c r="E68" s="646" t="s">
        <v>3021</v>
      </c>
      <c r="F68" s="657" t="s">
        <v>3022</v>
      </c>
      <c r="G68" s="646" t="s">
        <v>3023</v>
      </c>
      <c r="H68" s="646" t="s">
        <v>3024</v>
      </c>
      <c r="I68" s="654">
        <v>70</v>
      </c>
      <c r="J68" s="649">
        <v>0</v>
      </c>
      <c r="K68" s="649">
        <v>50</v>
      </c>
      <c r="L68" s="649">
        <v>0</v>
      </c>
      <c r="M68" s="651">
        <v>20</v>
      </c>
      <c r="N68" s="652"/>
      <c r="O68" s="653"/>
      <c r="P68" s="654" t="s">
        <v>92</v>
      </c>
      <c r="Q68" s="675" t="s">
        <v>936</v>
      </c>
      <c r="R68" s="651" t="s">
        <v>1110</v>
      </c>
      <c r="S68" s="646" t="s">
        <v>82</v>
      </c>
      <c r="T68" s="654" t="s">
        <v>3019</v>
      </c>
      <c r="U68" s="649" t="s">
        <v>84</v>
      </c>
      <c r="V68" s="651" t="s">
        <v>1064</v>
      </c>
      <c r="W68" s="646">
        <v>20</v>
      </c>
      <c r="X68" s="646">
        <v>20</v>
      </c>
      <c r="Y68" s="646">
        <v>0</v>
      </c>
      <c r="Z68" s="646" t="s">
        <v>3025</v>
      </c>
    </row>
    <row r="69" spans="1:26" ht="80.099999999999994" customHeight="1">
      <c r="A69" s="643">
        <v>65</v>
      </c>
      <c r="B69" s="644" t="s">
        <v>2599</v>
      </c>
      <c r="C69" s="645" t="s">
        <v>3013</v>
      </c>
      <c r="D69" s="646" t="s">
        <v>3026</v>
      </c>
      <c r="E69" s="646" t="s">
        <v>3027</v>
      </c>
      <c r="F69" s="657" t="s">
        <v>3028</v>
      </c>
      <c r="G69" s="646" t="s">
        <v>3029</v>
      </c>
      <c r="H69" s="646" t="s">
        <v>3030</v>
      </c>
      <c r="I69" s="654">
        <v>50</v>
      </c>
      <c r="J69" s="649">
        <v>0</v>
      </c>
      <c r="K69" s="649">
        <v>50</v>
      </c>
      <c r="L69" s="649">
        <v>0</v>
      </c>
      <c r="M69" s="651">
        <v>0</v>
      </c>
      <c r="N69" s="652"/>
      <c r="O69" s="653"/>
      <c r="P69" s="654" t="s">
        <v>124</v>
      </c>
      <c r="Q69" s="675" t="s">
        <v>936</v>
      </c>
      <c r="R69" s="651" t="s">
        <v>3031</v>
      </c>
      <c r="S69" s="646" t="s">
        <v>82</v>
      </c>
      <c r="T69" s="654" t="s">
        <v>1089</v>
      </c>
      <c r="U69" s="649" t="s">
        <v>84</v>
      </c>
      <c r="V69" s="651" t="s">
        <v>85</v>
      </c>
      <c r="W69" s="646">
        <v>20</v>
      </c>
      <c r="X69" s="646">
        <v>20</v>
      </c>
      <c r="Y69" s="646">
        <v>0</v>
      </c>
      <c r="Z69" s="646" t="s">
        <v>3025</v>
      </c>
    </row>
    <row r="70" spans="1:26" ht="80.099999999999994" customHeight="1">
      <c r="A70" s="643">
        <v>66</v>
      </c>
      <c r="B70" s="644" t="s">
        <v>2599</v>
      </c>
      <c r="C70" s="645" t="s">
        <v>3013</v>
      </c>
      <c r="D70" s="646" t="s">
        <v>3032</v>
      </c>
      <c r="E70" s="646" t="s">
        <v>3033</v>
      </c>
      <c r="F70" s="657" t="s">
        <v>3034</v>
      </c>
      <c r="G70" s="646" t="s">
        <v>3035</v>
      </c>
      <c r="H70" s="646" t="s">
        <v>3036</v>
      </c>
      <c r="I70" s="648">
        <v>24</v>
      </c>
      <c r="J70" s="649">
        <v>0</v>
      </c>
      <c r="K70" s="649">
        <v>0</v>
      </c>
      <c r="L70" s="649">
        <v>24</v>
      </c>
      <c r="M70" s="651">
        <v>0</v>
      </c>
      <c r="N70" s="652"/>
      <c r="O70" s="653"/>
      <c r="P70" s="654" t="s">
        <v>124</v>
      </c>
      <c r="Q70" s="675" t="s">
        <v>936</v>
      </c>
      <c r="R70" s="651" t="s">
        <v>3037</v>
      </c>
      <c r="S70" s="646" t="s">
        <v>82</v>
      </c>
      <c r="T70" s="654" t="s">
        <v>1089</v>
      </c>
      <c r="U70" s="649" t="s">
        <v>84</v>
      </c>
      <c r="V70" s="651" t="s">
        <v>85</v>
      </c>
      <c r="W70" s="646">
        <v>2.5</v>
      </c>
      <c r="X70" s="646">
        <v>2.5</v>
      </c>
      <c r="Y70" s="646">
        <v>0</v>
      </c>
      <c r="Z70" s="646" t="s">
        <v>930</v>
      </c>
    </row>
    <row r="71" spans="1:26" ht="80.099999999999994" customHeight="1">
      <c r="A71" s="643">
        <v>67</v>
      </c>
      <c r="B71" s="669" t="s">
        <v>2599</v>
      </c>
      <c r="C71" s="670" t="s">
        <v>3038</v>
      </c>
      <c r="D71" s="658" t="s">
        <v>3039</v>
      </c>
      <c r="E71" s="658" t="s">
        <v>1765</v>
      </c>
      <c r="F71" s="792" t="s">
        <v>3040</v>
      </c>
      <c r="G71" s="658" t="s">
        <v>3041</v>
      </c>
      <c r="H71" s="658" t="s">
        <v>1015</v>
      </c>
      <c r="I71" s="793">
        <v>288</v>
      </c>
      <c r="J71" s="675"/>
      <c r="K71" s="675"/>
      <c r="L71" s="675">
        <v>288</v>
      </c>
      <c r="M71" s="676"/>
      <c r="N71" s="794"/>
      <c r="O71" s="795"/>
      <c r="P71" s="674" t="s">
        <v>105</v>
      </c>
      <c r="Q71" s="675" t="s">
        <v>936</v>
      </c>
      <c r="R71" s="676" t="s">
        <v>82</v>
      </c>
      <c r="S71" s="676" t="s">
        <v>82</v>
      </c>
      <c r="T71" s="658" t="s">
        <v>2015</v>
      </c>
      <c r="U71" s="674" t="s">
        <v>84</v>
      </c>
      <c r="V71" s="675" t="s">
        <v>85</v>
      </c>
      <c r="W71" s="796">
        <v>100.1</v>
      </c>
      <c r="X71" s="797">
        <v>100</v>
      </c>
      <c r="Y71" s="798">
        <v>0.1</v>
      </c>
      <c r="Z71" s="799" t="s">
        <v>3042</v>
      </c>
    </row>
    <row r="72" spans="1:26" ht="80.099999999999994" customHeight="1">
      <c r="A72" s="643">
        <v>68</v>
      </c>
      <c r="B72" s="669" t="s">
        <v>2599</v>
      </c>
      <c r="C72" s="670" t="s">
        <v>3038</v>
      </c>
      <c r="D72" s="658" t="s">
        <v>3043</v>
      </c>
      <c r="E72" s="658" t="s">
        <v>3044</v>
      </c>
      <c r="F72" s="792" t="s">
        <v>3045</v>
      </c>
      <c r="G72" s="658" t="s">
        <v>3041</v>
      </c>
      <c r="H72" s="658" t="s">
        <v>2465</v>
      </c>
      <c r="I72" s="793">
        <v>280</v>
      </c>
      <c r="J72" s="675"/>
      <c r="K72" s="675"/>
      <c r="L72" s="675">
        <v>280</v>
      </c>
      <c r="M72" s="676"/>
      <c r="N72" s="794"/>
      <c r="O72" s="795"/>
      <c r="P72" s="674" t="s">
        <v>67</v>
      </c>
      <c r="Q72" s="675" t="s">
        <v>936</v>
      </c>
      <c r="R72" s="676" t="s">
        <v>82</v>
      </c>
      <c r="S72" s="676" t="s">
        <v>82</v>
      </c>
      <c r="T72" s="658" t="s">
        <v>2015</v>
      </c>
      <c r="U72" s="674" t="s">
        <v>84</v>
      </c>
      <c r="V72" s="675" t="s">
        <v>85</v>
      </c>
      <c r="W72" s="797">
        <v>10</v>
      </c>
      <c r="X72" s="797">
        <v>10</v>
      </c>
      <c r="Y72" s="799">
        <v>0</v>
      </c>
      <c r="Z72" s="799" t="s">
        <v>3046</v>
      </c>
    </row>
    <row r="73" spans="1:26" ht="80.099999999999994" customHeight="1">
      <c r="A73" s="643">
        <v>69</v>
      </c>
      <c r="B73" s="644" t="s">
        <v>2599</v>
      </c>
      <c r="C73" s="645" t="s">
        <v>3047</v>
      </c>
      <c r="D73" s="753" t="s">
        <v>3048</v>
      </c>
      <c r="E73" s="646" t="s">
        <v>1007</v>
      </c>
      <c r="F73" s="754" t="s">
        <v>3049</v>
      </c>
      <c r="G73" s="1524" t="s">
        <v>6293</v>
      </c>
      <c r="H73" s="755" t="s">
        <v>2211</v>
      </c>
      <c r="I73" s="652">
        <v>126</v>
      </c>
      <c r="J73" s="651">
        <v>26</v>
      </c>
      <c r="K73" s="756">
        <v>100</v>
      </c>
      <c r="L73" s="756"/>
      <c r="M73" s="755"/>
      <c r="N73" s="757" t="s">
        <v>3050</v>
      </c>
      <c r="O73" s="753" t="s">
        <v>3051</v>
      </c>
      <c r="P73" s="652" t="s">
        <v>167</v>
      </c>
      <c r="Q73" s="675" t="s">
        <v>936</v>
      </c>
      <c r="R73" s="653" t="s">
        <v>1011</v>
      </c>
      <c r="S73" s="755" t="s">
        <v>82</v>
      </c>
      <c r="T73" s="652" t="s">
        <v>929</v>
      </c>
      <c r="U73" s="649" t="s">
        <v>2105</v>
      </c>
      <c r="V73" s="653" t="s">
        <v>1047</v>
      </c>
      <c r="W73" s="755">
        <v>100</v>
      </c>
      <c r="X73" s="755">
        <v>100</v>
      </c>
      <c r="Y73" s="646"/>
      <c r="Z73" s="646" t="s">
        <v>3052</v>
      </c>
    </row>
    <row r="74" spans="1:26" ht="80.099999999999994" customHeight="1">
      <c r="A74" s="643">
        <v>70</v>
      </c>
      <c r="B74" s="644" t="s">
        <v>2599</v>
      </c>
      <c r="C74" s="645" t="s">
        <v>3047</v>
      </c>
      <c r="D74" s="753" t="s">
        <v>3053</v>
      </c>
      <c r="E74" s="646" t="s">
        <v>3054</v>
      </c>
      <c r="F74" s="754" t="s">
        <v>3055</v>
      </c>
      <c r="G74" s="646" t="s">
        <v>3056</v>
      </c>
      <c r="H74" s="755" t="s">
        <v>2682</v>
      </c>
      <c r="I74" s="652">
        <v>800</v>
      </c>
      <c r="J74" s="651"/>
      <c r="K74" s="756">
        <v>719</v>
      </c>
      <c r="L74" s="756"/>
      <c r="M74" s="755">
        <v>81</v>
      </c>
      <c r="N74" s="757"/>
      <c r="O74" s="753"/>
      <c r="P74" s="652" t="s">
        <v>92</v>
      </c>
      <c r="Q74" s="753" t="s">
        <v>936</v>
      </c>
      <c r="R74" s="653" t="s">
        <v>2948</v>
      </c>
      <c r="S74" s="755" t="s">
        <v>82</v>
      </c>
      <c r="T74" s="652" t="s">
        <v>1103</v>
      </c>
      <c r="U74" s="649" t="s">
        <v>3057</v>
      </c>
      <c r="V74" s="653" t="s">
        <v>1047</v>
      </c>
      <c r="W74" s="755">
        <v>303</v>
      </c>
      <c r="X74" s="755">
        <v>303</v>
      </c>
      <c r="Y74" s="646"/>
      <c r="Z74" s="646" t="s">
        <v>3058</v>
      </c>
    </row>
    <row r="75" spans="1:26" ht="80.099999999999994" customHeight="1">
      <c r="A75" s="643">
        <v>71</v>
      </c>
      <c r="B75" s="644" t="s">
        <v>2599</v>
      </c>
      <c r="C75" s="645" t="s">
        <v>3047</v>
      </c>
      <c r="D75" s="753" t="s">
        <v>3059</v>
      </c>
      <c r="E75" s="646" t="s">
        <v>3060</v>
      </c>
      <c r="F75" s="800" t="s">
        <v>3061</v>
      </c>
      <c r="G75" s="646" t="s">
        <v>3062</v>
      </c>
      <c r="H75" s="755" t="s">
        <v>1892</v>
      </c>
      <c r="I75" s="652">
        <v>160</v>
      </c>
      <c r="J75" s="651"/>
      <c r="K75" s="756"/>
      <c r="L75" s="756">
        <v>100</v>
      </c>
      <c r="M75" s="755">
        <v>60</v>
      </c>
      <c r="N75" s="757"/>
      <c r="O75" s="753"/>
      <c r="P75" s="652" t="s">
        <v>92</v>
      </c>
      <c r="Q75" s="675" t="s">
        <v>936</v>
      </c>
      <c r="R75" s="653" t="s">
        <v>3063</v>
      </c>
      <c r="S75" s="755" t="s">
        <v>82</v>
      </c>
      <c r="T75" s="652" t="s">
        <v>929</v>
      </c>
      <c r="U75" s="649" t="s">
        <v>2105</v>
      </c>
      <c r="V75" s="653" t="s">
        <v>1064</v>
      </c>
      <c r="W75" s="755">
        <v>100</v>
      </c>
      <c r="X75" s="755">
        <v>100</v>
      </c>
      <c r="Y75" s="646"/>
      <c r="Z75" s="646" t="s">
        <v>930</v>
      </c>
    </row>
    <row r="76" spans="1:26" ht="80.099999999999994" customHeight="1">
      <c r="A76" s="643">
        <v>72</v>
      </c>
      <c r="B76" s="644" t="s">
        <v>2599</v>
      </c>
      <c r="C76" s="645" t="s">
        <v>3047</v>
      </c>
      <c r="D76" s="753" t="s">
        <v>3064</v>
      </c>
      <c r="E76" s="646" t="s">
        <v>3065</v>
      </c>
      <c r="F76" s="754" t="s">
        <v>3066</v>
      </c>
      <c r="G76" s="646" t="s">
        <v>3067</v>
      </c>
      <c r="H76" s="755" t="s">
        <v>3068</v>
      </c>
      <c r="I76" s="652">
        <v>908</v>
      </c>
      <c r="J76" s="651">
        <v>70</v>
      </c>
      <c r="K76" s="756">
        <v>35</v>
      </c>
      <c r="L76" s="756">
        <v>803</v>
      </c>
      <c r="M76" s="755"/>
      <c r="N76" s="757" t="s">
        <v>927</v>
      </c>
      <c r="O76" s="753" t="s">
        <v>1248</v>
      </c>
      <c r="P76" s="652" t="s">
        <v>92</v>
      </c>
      <c r="Q76" s="801" t="s">
        <v>3069</v>
      </c>
      <c r="R76" s="653" t="s">
        <v>3070</v>
      </c>
      <c r="S76" s="755" t="s">
        <v>82</v>
      </c>
      <c r="T76" s="652" t="s">
        <v>1103</v>
      </c>
      <c r="U76" s="649" t="s">
        <v>3057</v>
      </c>
      <c r="V76" s="653" t="s">
        <v>1047</v>
      </c>
      <c r="W76" s="755">
        <v>173</v>
      </c>
      <c r="X76" s="755">
        <v>170</v>
      </c>
      <c r="Y76" s="646">
        <v>3</v>
      </c>
      <c r="Z76" s="646" t="s">
        <v>3071</v>
      </c>
    </row>
    <row r="77" spans="1:26" ht="80.099999999999994" customHeight="1">
      <c r="A77" s="643">
        <v>73</v>
      </c>
      <c r="B77" s="644" t="s">
        <v>2599</v>
      </c>
      <c r="C77" s="645" t="s">
        <v>3072</v>
      </c>
      <c r="D77" s="646" t="s">
        <v>3073</v>
      </c>
      <c r="E77" s="646" t="s">
        <v>3074</v>
      </c>
      <c r="F77" s="657" t="s">
        <v>3075</v>
      </c>
      <c r="G77" s="646" t="s">
        <v>3076</v>
      </c>
      <c r="H77" s="802" t="s">
        <v>3077</v>
      </c>
      <c r="I77" s="654">
        <v>100</v>
      </c>
      <c r="J77" s="649"/>
      <c r="K77" s="649"/>
      <c r="L77" s="649">
        <v>100</v>
      </c>
      <c r="M77" s="651"/>
      <c r="N77" s="652"/>
      <c r="O77" s="653"/>
      <c r="P77" s="654" t="s">
        <v>92</v>
      </c>
      <c r="Q77" s="675" t="s">
        <v>936</v>
      </c>
      <c r="R77" s="651" t="s">
        <v>3078</v>
      </c>
      <c r="S77" s="646" t="s">
        <v>82</v>
      </c>
      <c r="T77" s="654" t="s">
        <v>929</v>
      </c>
      <c r="U77" s="649">
        <v>0</v>
      </c>
      <c r="V77" s="651" t="s">
        <v>1064</v>
      </c>
      <c r="W77" s="646">
        <v>110</v>
      </c>
      <c r="X77" s="646">
        <v>110</v>
      </c>
      <c r="Y77" s="646"/>
      <c r="Z77" s="646" t="s">
        <v>3079</v>
      </c>
    </row>
    <row r="78" spans="1:26" ht="80.099999999999994" customHeight="1">
      <c r="A78" s="643">
        <v>74</v>
      </c>
      <c r="B78" s="644" t="s">
        <v>2599</v>
      </c>
      <c r="C78" s="645" t="s">
        <v>3072</v>
      </c>
      <c r="D78" s="646" t="s">
        <v>3080</v>
      </c>
      <c r="E78" s="646" t="s">
        <v>3081</v>
      </c>
      <c r="F78" s="657" t="s">
        <v>3082</v>
      </c>
      <c r="G78" s="646" t="s">
        <v>3083</v>
      </c>
      <c r="H78" s="802" t="s">
        <v>2888</v>
      </c>
      <c r="I78" s="654">
        <v>100</v>
      </c>
      <c r="J78" s="649"/>
      <c r="K78" s="649"/>
      <c r="L78" s="649">
        <v>100</v>
      </c>
      <c r="M78" s="651"/>
      <c r="N78" s="652"/>
      <c r="O78" s="653"/>
      <c r="P78" s="654" t="s">
        <v>92</v>
      </c>
      <c r="Q78" s="675" t="s">
        <v>936</v>
      </c>
      <c r="R78" s="651" t="s">
        <v>3084</v>
      </c>
      <c r="S78" s="646" t="s">
        <v>82</v>
      </c>
      <c r="T78" s="654" t="s">
        <v>929</v>
      </c>
      <c r="U78" s="649">
        <v>0</v>
      </c>
      <c r="V78" s="651" t="s">
        <v>1064</v>
      </c>
      <c r="W78" s="646">
        <v>125</v>
      </c>
      <c r="X78" s="646">
        <v>125</v>
      </c>
      <c r="Y78" s="646"/>
      <c r="Z78" s="646" t="s">
        <v>3079</v>
      </c>
    </row>
    <row r="79" spans="1:26" ht="80.099999999999994" customHeight="1">
      <c r="A79" s="643">
        <v>75</v>
      </c>
      <c r="B79" s="644" t="s">
        <v>2599</v>
      </c>
      <c r="C79" s="645" t="s">
        <v>3072</v>
      </c>
      <c r="D79" s="646" t="s">
        <v>3085</v>
      </c>
      <c r="E79" s="646" t="s">
        <v>1706</v>
      </c>
      <c r="F79" s="657" t="s">
        <v>3086</v>
      </c>
      <c r="G79" s="646" t="s">
        <v>3087</v>
      </c>
      <c r="H79" s="802" t="s">
        <v>2103</v>
      </c>
      <c r="I79" s="654">
        <v>767</v>
      </c>
      <c r="J79" s="649"/>
      <c r="K79" s="649">
        <v>50</v>
      </c>
      <c r="L79" s="649">
        <v>717</v>
      </c>
      <c r="M79" s="651"/>
      <c r="N79" s="652"/>
      <c r="O79" s="653"/>
      <c r="P79" s="654" t="s">
        <v>92</v>
      </c>
      <c r="Q79" s="675" t="s">
        <v>936</v>
      </c>
      <c r="R79" s="651" t="s">
        <v>3088</v>
      </c>
      <c r="S79" s="646" t="s">
        <v>82</v>
      </c>
      <c r="T79" s="654" t="s">
        <v>1111</v>
      </c>
      <c r="U79" s="649">
        <v>0</v>
      </c>
      <c r="V79" s="651" t="s">
        <v>1047</v>
      </c>
      <c r="W79" s="646">
        <v>124</v>
      </c>
      <c r="X79" s="646">
        <v>123</v>
      </c>
      <c r="Y79" s="646">
        <v>1</v>
      </c>
      <c r="Z79" s="646" t="s">
        <v>3089</v>
      </c>
    </row>
    <row r="80" spans="1:26" ht="80.099999999999994" customHeight="1">
      <c r="A80" s="643">
        <v>76</v>
      </c>
      <c r="B80" s="644" t="s">
        <v>2599</v>
      </c>
      <c r="C80" s="645" t="s">
        <v>3072</v>
      </c>
      <c r="D80" s="646" t="s">
        <v>3085</v>
      </c>
      <c r="E80" s="646" t="s">
        <v>3090</v>
      </c>
      <c r="F80" s="657" t="s">
        <v>3091</v>
      </c>
      <c r="G80" s="646" t="s">
        <v>3092</v>
      </c>
      <c r="H80" s="802" t="s">
        <v>2211</v>
      </c>
      <c r="I80" s="654">
        <v>100</v>
      </c>
      <c r="J80" s="649"/>
      <c r="K80" s="649" t="s">
        <v>1702</v>
      </c>
      <c r="L80" s="649">
        <v>100</v>
      </c>
      <c r="M80" s="651"/>
      <c r="N80" s="652"/>
      <c r="O80" s="653"/>
      <c r="P80" s="654" t="s">
        <v>92</v>
      </c>
      <c r="Q80" s="675" t="s">
        <v>936</v>
      </c>
      <c r="R80" s="651" t="s">
        <v>3088</v>
      </c>
      <c r="S80" s="646" t="s">
        <v>82</v>
      </c>
      <c r="T80" s="654" t="s">
        <v>929</v>
      </c>
      <c r="U80" s="649">
        <v>0</v>
      </c>
      <c r="V80" s="651" t="s">
        <v>1064</v>
      </c>
      <c r="W80" s="646">
        <v>110</v>
      </c>
      <c r="X80" s="646">
        <v>110</v>
      </c>
      <c r="Y80" s="646"/>
      <c r="Z80" s="646" t="s">
        <v>3093</v>
      </c>
    </row>
    <row r="81" spans="1:26" ht="80.099999999999994" customHeight="1">
      <c r="A81" s="643">
        <v>77</v>
      </c>
      <c r="B81" s="644" t="s">
        <v>2599</v>
      </c>
      <c r="C81" s="645" t="s">
        <v>3072</v>
      </c>
      <c r="D81" s="646" t="s">
        <v>3094</v>
      </c>
      <c r="E81" s="646" t="s">
        <v>3095</v>
      </c>
      <c r="F81" s="657" t="s">
        <v>3096</v>
      </c>
      <c r="G81" s="646" t="s">
        <v>3097</v>
      </c>
      <c r="H81" s="802" t="s">
        <v>1010</v>
      </c>
      <c r="I81" s="654">
        <v>100</v>
      </c>
      <c r="J81" s="649"/>
      <c r="K81" s="649"/>
      <c r="L81" s="649">
        <v>100</v>
      </c>
      <c r="M81" s="651"/>
      <c r="N81" s="652"/>
      <c r="O81" s="653"/>
      <c r="P81" s="654" t="s">
        <v>124</v>
      </c>
      <c r="Q81" s="675" t="s">
        <v>936</v>
      </c>
      <c r="R81" s="651" t="s">
        <v>3098</v>
      </c>
      <c r="S81" s="646" t="s">
        <v>82</v>
      </c>
      <c r="T81" s="654" t="s">
        <v>929</v>
      </c>
      <c r="U81" s="649">
        <v>0</v>
      </c>
      <c r="V81" s="651" t="s">
        <v>1064</v>
      </c>
      <c r="W81" s="646">
        <v>30</v>
      </c>
      <c r="X81" s="646">
        <v>30</v>
      </c>
      <c r="Y81" s="646"/>
      <c r="Z81" s="646" t="s">
        <v>3099</v>
      </c>
    </row>
    <row r="82" spans="1:26" ht="80.099999999999994" customHeight="1">
      <c r="A82" s="643">
        <v>78</v>
      </c>
      <c r="B82" s="644" t="s">
        <v>2599</v>
      </c>
      <c r="C82" s="645" t="s">
        <v>3072</v>
      </c>
      <c r="D82" s="646" t="s">
        <v>3100</v>
      </c>
      <c r="E82" s="646" t="s">
        <v>1013</v>
      </c>
      <c r="F82" s="657" t="s">
        <v>3101</v>
      </c>
      <c r="G82" s="646" t="s">
        <v>3102</v>
      </c>
      <c r="H82" s="802" t="s">
        <v>972</v>
      </c>
      <c r="I82" s="654">
        <v>100</v>
      </c>
      <c r="J82" s="649"/>
      <c r="K82" s="649"/>
      <c r="L82" s="649">
        <v>100</v>
      </c>
      <c r="M82" s="651"/>
      <c r="N82" s="652"/>
      <c r="O82" s="653"/>
      <c r="P82" s="654" t="s">
        <v>92</v>
      </c>
      <c r="Q82" s="675" t="s">
        <v>936</v>
      </c>
      <c r="R82" s="651" t="s">
        <v>3103</v>
      </c>
      <c r="S82" s="646" t="s">
        <v>82</v>
      </c>
      <c r="T82" s="654" t="s">
        <v>929</v>
      </c>
      <c r="U82" s="649" t="s">
        <v>1064</v>
      </c>
      <c r="V82" s="651" t="s">
        <v>1064</v>
      </c>
      <c r="W82" s="646">
        <v>30</v>
      </c>
      <c r="X82" s="646">
        <v>30</v>
      </c>
      <c r="Y82" s="646"/>
      <c r="Z82" s="646" t="s">
        <v>3104</v>
      </c>
    </row>
    <row r="83" spans="1:26" ht="80.099999999999994" customHeight="1">
      <c r="A83" s="643">
        <v>79</v>
      </c>
      <c r="B83" s="644" t="s">
        <v>2599</v>
      </c>
      <c r="C83" s="645" t="s">
        <v>3105</v>
      </c>
      <c r="D83" s="646" t="s">
        <v>3106</v>
      </c>
      <c r="E83" s="646" t="s">
        <v>3107</v>
      </c>
      <c r="F83" s="657" t="s">
        <v>3108</v>
      </c>
      <c r="G83" s="658" t="s">
        <v>3109</v>
      </c>
      <c r="H83" s="658" t="s">
        <v>2111</v>
      </c>
      <c r="I83" s="648">
        <v>1159</v>
      </c>
      <c r="J83" s="649"/>
      <c r="K83" s="649"/>
      <c r="L83" s="650">
        <v>1159</v>
      </c>
      <c r="M83" s="651"/>
      <c r="N83" s="652"/>
      <c r="O83" s="653"/>
      <c r="P83" s="654" t="s">
        <v>67</v>
      </c>
      <c r="Q83" s="675" t="s">
        <v>936</v>
      </c>
      <c r="R83" s="651"/>
      <c r="S83" s="646" t="s">
        <v>82</v>
      </c>
      <c r="T83" s="654" t="s">
        <v>1103</v>
      </c>
      <c r="U83" s="649" t="s">
        <v>3110</v>
      </c>
      <c r="V83" s="651" t="s">
        <v>85</v>
      </c>
      <c r="W83" s="646">
        <v>130</v>
      </c>
      <c r="X83" s="646"/>
      <c r="Y83" s="646"/>
      <c r="Z83" s="658" t="s">
        <v>3111</v>
      </c>
    </row>
    <row r="84" spans="1:26" ht="80.099999999999994" customHeight="1">
      <c r="A84" s="643">
        <v>80</v>
      </c>
      <c r="B84" s="644" t="s">
        <v>2599</v>
      </c>
      <c r="C84" s="645" t="s">
        <v>3112</v>
      </c>
      <c r="D84" s="646" t="s">
        <v>3113</v>
      </c>
      <c r="E84" s="646" t="s">
        <v>2783</v>
      </c>
      <c r="F84" s="657" t="s">
        <v>3114</v>
      </c>
      <c r="G84" s="646" t="s">
        <v>3115</v>
      </c>
      <c r="H84" s="646" t="s">
        <v>3116</v>
      </c>
      <c r="I84" s="654">
        <v>300</v>
      </c>
      <c r="J84" s="649"/>
      <c r="K84" s="649"/>
      <c r="L84" s="649">
        <v>300</v>
      </c>
      <c r="M84" s="651"/>
      <c r="N84" s="652"/>
      <c r="O84" s="653"/>
      <c r="P84" s="654" t="s">
        <v>105</v>
      </c>
      <c r="Q84" s="675" t="s">
        <v>936</v>
      </c>
      <c r="R84" s="651" t="s">
        <v>3117</v>
      </c>
      <c r="S84" s="646" t="s">
        <v>82</v>
      </c>
      <c r="T84" s="654" t="s">
        <v>1103</v>
      </c>
      <c r="U84" s="649" t="s">
        <v>84</v>
      </c>
      <c r="V84" s="651" t="s">
        <v>1047</v>
      </c>
      <c r="W84" s="646">
        <v>215</v>
      </c>
      <c r="X84" s="646">
        <v>215</v>
      </c>
      <c r="Y84" s="646"/>
      <c r="Z84" s="646" t="s">
        <v>3118</v>
      </c>
    </row>
    <row r="85" spans="1:26" ht="80.099999999999994" customHeight="1">
      <c r="A85" s="643">
        <v>81</v>
      </c>
      <c r="B85" s="644" t="s">
        <v>2599</v>
      </c>
      <c r="C85" s="645" t="s">
        <v>3112</v>
      </c>
      <c r="D85" s="646" t="s">
        <v>3119</v>
      </c>
      <c r="E85" s="646" t="s">
        <v>2609</v>
      </c>
      <c r="F85" s="657" t="s">
        <v>3120</v>
      </c>
      <c r="G85" s="646" t="s">
        <v>3121</v>
      </c>
      <c r="H85" s="646" t="s">
        <v>3122</v>
      </c>
      <c r="I85" s="654">
        <v>540</v>
      </c>
      <c r="J85" s="649"/>
      <c r="K85" s="649"/>
      <c r="L85" s="649">
        <v>200</v>
      </c>
      <c r="M85" s="651">
        <v>340</v>
      </c>
      <c r="N85" s="652"/>
      <c r="O85" s="653"/>
      <c r="P85" s="654" t="s">
        <v>67</v>
      </c>
      <c r="Q85" s="675" t="s">
        <v>936</v>
      </c>
      <c r="R85" s="651" t="s">
        <v>3123</v>
      </c>
      <c r="S85" s="646" t="s">
        <v>82</v>
      </c>
      <c r="T85" s="654" t="s">
        <v>1103</v>
      </c>
      <c r="U85" s="649" t="s">
        <v>84</v>
      </c>
      <c r="V85" s="651" t="s">
        <v>1047</v>
      </c>
      <c r="W85" s="646">
        <v>470</v>
      </c>
      <c r="X85" s="646">
        <v>470</v>
      </c>
      <c r="Y85" s="646"/>
      <c r="Z85" s="646" t="s">
        <v>930</v>
      </c>
    </row>
    <row r="86" spans="1:26" ht="80.099999999999994" customHeight="1">
      <c r="A86" s="643">
        <v>82</v>
      </c>
      <c r="B86" s="644" t="s">
        <v>2599</v>
      </c>
      <c r="C86" s="645" t="s">
        <v>3124</v>
      </c>
      <c r="D86" s="646" t="s">
        <v>3125</v>
      </c>
      <c r="E86" s="646" t="s">
        <v>3126</v>
      </c>
      <c r="F86" s="647" t="s">
        <v>3127</v>
      </c>
      <c r="G86" s="646" t="s">
        <v>3128</v>
      </c>
      <c r="H86" s="646" t="s">
        <v>3129</v>
      </c>
      <c r="I86" s="654">
        <v>300</v>
      </c>
      <c r="J86" s="649"/>
      <c r="K86" s="649"/>
      <c r="L86" s="649">
        <v>300</v>
      </c>
      <c r="M86" s="651"/>
      <c r="N86" s="652"/>
      <c r="O86" s="653"/>
      <c r="P86" s="654" t="s">
        <v>105</v>
      </c>
      <c r="Q86" s="675" t="s">
        <v>936</v>
      </c>
      <c r="R86" s="651" t="s">
        <v>2371</v>
      </c>
      <c r="S86" s="646" t="s">
        <v>82</v>
      </c>
      <c r="T86" s="654" t="s">
        <v>3130</v>
      </c>
      <c r="U86" s="649" t="s">
        <v>84</v>
      </c>
      <c r="V86" s="651" t="s">
        <v>85</v>
      </c>
      <c r="W86" s="656">
        <v>78.5</v>
      </c>
      <c r="X86" s="656">
        <v>77.8</v>
      </c>
      <c r="Y86" s="646">
        <v>0.7</v>
      </c>
      <c r="Z86" s="646" t="s">
        <v>3131</v>
      </c>
    </row>
    <row r="87" spans="1:26" ht="80.099999999999994" customHeight="1">
      <c r="A87" s="643">
        <v>83</v>
      </c>
      <c r="B87" s="644" t="s">
        <v>2599</v>
      </c>
      <c r="C87" s="645" t="s">
        <v>3124</v>
      </c>
      <c r="D87" s="646" t="s">
        <v>3132</v>
      </c>
      <c r="E87" s="646" t="s">
        <v>3133</v>
      </c>
      <c r="F87" s="657" t="s">
        <v>3134</v>
      </c>
      <c r="G87" s="646" t="s">
        <v>3135</v>
      </c>
      <c r="H87" s="646" t="s">
        <v>3136</v>
      </c>
      <c r="I87" s="654">
        <v>290</v>
      </c>
      <c r="J87" s="649"/>
      <c r="K87" s="649"/>
      <c r="L87" s="649">
        <v>290</v>
      </c>
      <c r="M87" s="651"/>
      <c r="N87" s="652"/>
      <c r="O87" s="653"/>
      <c r="P87" s="654" t="s">
        <v>67</v>
      </c>
      <c r="Q87" s="675" t="s">
        <v>936</v>
      </c>
      <c r="R87" s="651" t="s">
        <v>3137</v>
      </c>
      <c r="S87" s="646" t="s">
        <v>82</v>
      </c>
      <c r="T87" s="654" t="s">
        <v>3138</v>
      </c>
      <c r="U87" s="649" t="s">
        <v>84</v>
      </c>
      <c r="V87" s="651" t="s">
        <v>1047</v>
      </c>
      <c r="W87" s="646">
        <v>60</v>
      </c>
      <c r="X87" s="646">
        <v>60</v>
      </c>
      <c r="Y87" s="646"/>
      <c r="Z87" s="646" t="s">
        <v>3139</v>
      </c>
    </row>
    <row r="88" spans="1:26" ht="80.099999999999994" customHeight="1">
      <c r="A88" s="643">
        <v>84</v>
      </c>
      <c r="B88" s="644" t="s">
        <v>2599</v>
      </c>
      <c r="C88" s="645" t="s">
        <v>3124</v>
      </c>
      <c r="D88" s="646" t="s">
        <v>3140</v>
      </c>
      <c r="E88" s="646" t="s">
        <v>3141</v>
      </c>
      <c r="F88" s="657" t="s">
        <v>3142</v>
      </c>
      <c r="G88" s="646" t="s">
        <v>3143</v>
      </c>
      <c r="H88" s="646" t="s">
        <v>3144</v>
      </c>
      <c r="I88" s="654">
        <v>50</v>
      </c>
      <c r="J88" s="649"/>
      <c r="K88" s="649"/>
      <c r="L88" s="649">
        <v>50</v>
      </c>
      <c r="M88" s="651"/>
      <c r="N88" s="652"/>
      <c r="O88" s="653"/>
      <c r="P88" s="654" t="s">
        <v>92</v>
      </c>
      <c r="Q88" s="675" t="s">
        <v>936</v>
      </c>
      <c r="R88" s="651" t="s">
        <v>3145</v>
      </c>
      <c r="S88" s="646" t="s">
        <v>3146</v>
      </c>
      <c r="T88" s="654" t="s">
        <v>2949</v>
      </c>
      <c r="U88" s="649" t="s">
        <v>84</v>
      </c>
      <c r="V88" s="651" t="s">
        <v>1047</v>
      </c>
      <c r="W88" s="646" t="s">
        <v>3147</v>
      </c>
      <c r="X88" s="646"/>
      <c r="Y88" s="646"/>
      <c r="Z88" s="646" t="s">
        <v>2125</v>
      </c>
    </row>
    <row r="89" spans="1:26" ht="80.099999999999994" customHeight="1">
      <c r="A89" s="643">
        <v>85</v>
      </c>
      <c r="B89" s="644" t="s">
        <v>2599</v>
      </c>
      <c r="C89" s="645" t="s">
        <v>3148</v>
      </c>
      <c r="D89" s="646" t="s">
        <v>3149</v>
      </c>
      <c r="E89" s="646" t="s">
        <v>3150</v>
      </c>
      <c r="F89" s="657" t="s">
        <v>3151</v>
      </c>
      <c r="G89" s="646" t="s">
        <v>3152</v>
      </c>
      <c r="H89" s="646" t="s">
        <v>3153</v>
      </c>
      <c r="I89" s="654">
        <v>901</v>
      </c>
      <c r="J89" s="649" t="s">
        <v>3154</v>
      </c>
      <c r="K89" s="649"/>
      <c r="L89" s="649">
        <v>520</v>
      </c>
      <c r="M89" s="651">
        <v>131</v>
      </c>
      <c r="N89" s="652" t="s">
        <v>1994</v>
      </c>
      <c r="O89" s="653" t="s">
        <v>3155</v>
      </c>
      <c r="P89" s="654" t="s">
        <v>67</v>
      </c>
      <c r="Q89" s="675" t="s">
        <v>936</v>
      </c>
      <c r="R89" s="651" t="s">
        <v>2475</v>
      </c>
      <c r="S89" s="646" t="s">
        <v>82</v>
      </c>
      <c r="T89" s="654" t="s">
        <v>3156</v>
      </c>
      <c r="U89" s="649" t="s">
        <v>3157</v>
      </c>
      <c r="V89" s="651" t="s">
        <v>1047</v>
      </c>
      <c r="W89" s="646">
        <v>96</v>
      </c>
      <c r="X89" s="646">
        <v>93</v>
      </c>
      <c r="Y89" s="646">
        <v>3</v>
      </c>
      <c r="Z89" s="646" t="s">
        <v>3158</v>
      </c>
    </row>
    <row r="90" spans="1:26" ht="80.099999999999994" customHeight="1">
      <c r="A90" s="643">
        <v>86</v>
      </c>
      <c r="B90" s="644" t="s">
        <v>2599</v>
      </c>
      <c r="C90" s="645" t="s">
        <v>3148</v>
      </c>
      <c r="D90" s="646" t="s">
        <v>3159</v>
      </c>
      <c r="E90" s="646" t="s">
        <v>1019</v>
      </c>
      <c r="F90" s="657" t="s">
        <v>3160</v>
      </c>
      <c r="G90" s="646" t="s">
        <v>3161</v>
      </c>
      <c r="H90" s="646" t="s">
        <v>3162</v>
      </c>
      <c r="I90" s="654">
        <v>225</v>
      </c>
      <c r="J90" s="649"/>
      <c r="K90" s="649"/>
      <c r="L90" s="649">
        <v>225</v>
      </c>
      <c r="M90" s="651"/>
      <c r="N90" s="652"/>
      <c r="O90" s="653"/>
      <c r="P90" s="654" t="s">
        <v>105</v>
      </c>
      <c r="Q90" s="675" t="s">
        <v>936</v>
      </c>
      <c r="R90" s="651" t="s">
        <v>82</v>
      </c>
      <c r="S90" s="646" t="s">
        <v>82</v>
      </c>
      <c r="T90" s="654" t="s">
        <v>83</v>
      </c>
      <c r="U90" s="649" t="s">
        <v>3163</v>
      </c>
      <c r="V90" s="651" t="s">
        <v>1047</v>
      </c>
      <c r="W90" s="646">
        <v>20</v>
      </c>
      <c r="X90" s="646">
        <v>20</v>
      </c>
      <c r="Y90" s="646">
        <v>0</v>
      </c>
      <c r="Z90" s="646" t="s">
        <v>3164</v>
      </c>
    </row>
    <row r="91" spans="1:26" ht="80.099999999999994" customHeight="1">
      <c r="A91" s="643">
        <v>87</v>
      </c>
      <c r="B91" s="644" t="s">
        <v>2599</v>
      </c>
      <c r="C91" s="645" t="s">
        <v>3165</v>
      </c>
      <c r="D91" s="646" t="s">
        <v>3166</v>
      </c>
      <c r="E91" s="646" t="s">
        <v>1965</v>
      </c>
      <c r="F91" s="657" t="s">
        <v>3167</v>
      </c>
      <c r="G91" s="658" t="s">
        <v>3168</v>
      </c>
      <c r="H91" s="658" t="s">
        <v>2465</v>
      </c>
      <c r="I91" s="654">
        <v>75</v>
      </c>
      <c r="J91" s="649"/>
      <c r="K91" s="649">
        <v>75</v>
      </c>
      <c r="L91" s="649"/>
      <c r="M91" s="651"/>
      <c r="N91" s="652"/>
      <c r="O91" s="653"/>
      <c r="P91" s="654" t="s">
        <v>67</v>
      </c>
      <c r="Q91" s="675" t="s">
        <v>936</v>
      </c>
      <c r="R91" s="676" t="s">
        <v>3169</v>
      </c>
      <c r="S91" s="646" t="s">
        <v>82</v>
      </c>
      <c r="T91" s="674" t="s">
        <v>3170</v>
      </c>
      <c r="U91" s="675" t="s">
        <v>84</v>
      </c>
      <c r="V91" s="676" t="s">
        <v>85</v>
      </c>
      <c r="W91" s="646">
        <v>60</v>
      </c>
      <c r="X91" s="646">
        <v>60</v>
      </c>
      <c r="Y91" s="646">
        <v>0</v>
      </c>
      <c r="Z91" s="646" t="s">
        <v>3171</v>
      </c>
    </row>
    <row r="92" spans="1:26" ht="80.099999999999994" customHeight="1">
      <c r="A92" s="643">
        <v>88</v>
      </c>
      <c r="B92" s="644" t="s">
        <v>2599</v>
      </c>
      <c r="C92" s="645" t="s">
        <v>3165</v>
      </c>
      <c r="D92" s="646" t="s">
        <v>3172</v>
      </c>
      <c r="E92" s="646" t="s">
        <v>3173</v>
      </c>
      <c r="F92" s="657" t="s">
        <v>3174</v>
      </c>
      <c r="G92" s="658" t="s">
        <v>3175</v>
      </c>
      <c r="H92" s="658" t="s">
        <v>3136</v>
      </c>
      <c r="I92" s="654">
        <v>84</v>
      </c>
      <c r="J92" s="649"/>
      <c r="K92" s="649">
        <v>84</v>
      </c>
      <c r="L92" s="649"/>
      <c r="M92" s="651"/>
      <c r="N92" s="652"/>
      <c r="O92" s="653"/>
      <c r="P92" s="654" t="s">
        <v>67</v>
      </c>
      <c r="Q92" s="675" t="s">
        <v>936</v>
      </c>
      <c r="R92" s="676" t="s">
        <v>3176</v>
      </c>
      <c r="S92" s="646" t="s">
        <v>82</v>
      </c>
      <c r="T92" s="674" t="s">
        <v>83</v>
      </c>
      <c r="U92" s="675" t="s">
        <v>3177</v>
      </c>
      <c r="V92" s="676" t="s">
        <v>85</v>
      </c>
      <c r="W92" s="646">
        <v>80</v>
      </c>
      <c r="X92" s="646">
        <v>80</v>
      </c>
      <c r="Y92" s="646">
        <v>0</v>
      </c>
      <c r="Z92" s="646" t="s">
        <v>3178</v>
      </c>
    </row>
    <row r="93" spans="1:26" ht="80.099999999999994" customHeight="1">
      <c r="A93" s="643">
        <v>89</v>
      </c>
      <c r="B93" s="644" t="s">
        <v>2599</v>
      </c>
      <c r="C93" s="645" t="s">
        <v>3165</v>
      </c>
      <c r="D93" s="646" t="s">
        <v>3179</v>
      </c>
      <c r="E93" s="646" t="s">
        <v>1051</v>
      </c>
      <c r="F93" s="657" t="s">
        <v>3180</v>
      </c>
      <c r="G93" s="658" t="s">
        <v>3181</v>
      </c>
      <c r="H93" s="658" t="s">
        <v>966</v>
      </c>
      <c r="I93" s="654">
        <v>380</v>
      </c>
      <c r="J93" s="649"/>
      <c r="K93" s="649">
        <v>380</v>
      </c>
      <c r="L93" s="649"/>
      <c r="M93" s="651" t="s">
        <v>959</v>
      </c>
      <c r="N93" s="652"/>
      <c r="O93" s="653"/>
      <c r="P93" s="654" t="s">
        <v>67</v>
      </c>
      <c r="Q93" s="675" t="s">
        <v>936</v>
      </c>
      <c r="R93" s="676" t="s">
        <v>3169</v>
      </c>
      <c r="S93" s="646" t="s">
        <v>82</v>
      </c>
      <c r="T93" s="674" t="s">
        <v>3182</v>
      </c>
      <c r="U93" s="675" t="s">
        <v>84</v>
      </c>
      <c r="V93" s="676" t="s">
        <v>3183</v>
      </c>
      <c r="W93" s="646">
        <v>105</v>
      </c>
      <c r="X93" s="646">
        <v>105</v>
      </c>
      <c r="Y93" s="646">
        <v>0</v>
      </c>
      <c r="Z93" s="646" t="s">
        <v>3171</v>
      </c>
    </row>
    <row r="94" spans="1:26" ht="80.099999999999994" customHeight="1">
      <c r="A94" s="643">
        <v>90</v>
      </c>
      <c r="B94" s="644" t="s">
        <v>2599</v>
      </c>
      <c r="C94" s="645" t="s">
        <v>3165</v>
      </c>
      <c r="D94" s="646" t="s">
        <v>3184</v>
      </c>
      <c r="E94" s="646" t="s">
        <v>3185</v>
      </c>
      <c r="F94" s="657" t="s">
        <v>3186</v>
      </c>
      <c r="G94" s="658" t="s">
        <v>3187</v>
      </c>
      <c r="H94" s="658" t="s">
        <v>958</v>
      </c>
      <c r="I94" s="654">
        <v>100</v>
      </c>
      <c r="J94" s="649"/>
      <c r="K94" s="649">
        <v>100</v>
      </c>
      <c r="L94" s="649"/>
      <c r="M94" s="651"/>
      <c r="N94" s="652"/>
      <c r="O94" s="653"/>
      <c r="P94" s="654" t="s">
        <v>67</v>
      </c>
      <c r="Q94" s="675" t="s">
        <v>936</v>
      </c>
      <c r="R94" s="676" t="s">
        <v>3188</v>
      </c>
      <c r="S94" s="646" t="s">
        <v>82</v>
      </c>
      <c r="T94" s="674" t="s">
        <v>3189</v>
      </c>
      <c r="U94" s="675" t="s">
        <v>3190</v>
      </c>
      <c r="V94" s="676" t="s">
        <v>85</v>
      </c>
      <c r="W94" s="646">
        <v>20</v>
      </c>
      <c r="X94" s="646">
        <v>20</v>
      </c>
      <c r="Y94" s="646">
        <v>0</v>
      </c>
      <c r="Z94" s="646" t="s">
        <v>3191</v>
      </c>
    </row>
    <row r="95" spans="1:26" ht="80.099999999999994" customHeight="1">
      <c r="A95" s="643">
        <v>91</v>
      </c>
      <c r="B95" s="669" t="s">
        <v>2599</v>
      </c>
      <c r="C95" s="645" t="s">
        <v>3165</v>
      </c>
      <c r="D95" s="646" t="s">
        <v>3192</v>
      </c>
      <c r="E95" s="646" t="s">
        <v>3193</v>
      </c>
      <c r="F95" s="647" t="s">
        <v>3194</v>
      </c>
      <c r="G95" s="646" t="s">
        <v>3195</v>
      </c>
      <c r="H95" s="646" t="s">
        <v>3196</v>
      </c>
      <c r="I95" s="654">
        <v>450</v>
      </c>
      <c r="J95" s="649"/>
      <c r="K95" s="649"/>
      <c r="L95" s="649">
        <v>400</v>
      </c>
      <c r="M95" s="651">
        <v>50</v>
      </c>
      <c r="N95" s="652"/>
      <c r="O95" s="653"/>
      <c r="P95" s="654" t="s">
        <v>92</v>
      </c>
      <c r="Q95" s="675" t="s">
        <v>936</v>
      </c>
      <c r="R95" s="651" t="s">
        <v>3197</v>
      </c>
      <c r="S95" s="646" t="s">
        <v>82</v>
      </c>
      <c r="T95" s="654" t="s">
        <v>929</v>
      </c>
      <c r="U95" s="649" t="s">
        <v>84</v>
      </c>
      <c r="V95" s="651" t="s">
        <v>1047</v>
      </c>
      <c r="W95" s="646" t="s">
        <v>3198</v>
      </c>
      <c r="X95" s="646"/>
      <c r="Y95" s="646"/>
      <c r="Z95" s="646" t="s">
        <v>3199</v>
      </c>
    </row>
    <row r="96" spans="1:26" ht="80.099999999999994" customHeight="1">
      <c r="A96" s="643">
        <v>92</v>
      </c>
      <c r="B96" s="669" t="s">
        <v>2599</v>
      </c>
      <c r="C96" s="645" t="s">
        <v>3165</v>
      </c>
      <c r="D96" s="646" t="s">
        <v>3200</v>
      </c>
      <c r="E96" s="646" t="s">
        <v>1036</v>
      </c>
      <c r="F96" s="647" t="s">
        <v>3201</v>
      </c>
      <c r="G96" s="646" t="s">
        <v>3202</v>
      </c>
      <c r="H96" s="646" t="s">
        <v>3203</v>
      </c>
      <c r="I96" s="654">
        <v>680</v>
      </c>
      <c r="J96" s="649"/>
      <c r="K96" s="649">
        <v>60</v>
      </c>
      <c r="L96" s="649">
        <v>560</v>
      </c>
      <c r="M96" s="651">
        <v>60</v>
      </c>
      <c r="N96" s="652"/>
      <c r="O96" s="653"/>
      <c r="P96" s="654" t="s">
        <v>92</v>
      </c>
      <c r="Q96" s="675" t="s">
        <v>2764</v>
      </c>
      <c r="R96" s="651" t="s">
        <v>3204</v>
      </c>
      <c r="S96" s="646" t="s">
        <v>82</v>
      </c>
      <c r="T96" s="654" t="s">
        <v>929</v>
      </c>
      <c r="U96" s="649" t="s">
        <v>84</v>
      </c>
      <c r="V96" s="651" t="s">
        <v>1047</v>
      </c>
      <c r="W96" s="646">
        <v>160</v>
      </c>
      <c r="X96" s="646">
        <v>151</v>
      </c>
      <c r="Y96" s="646">
        <v>9</v>
      </c>
      <c r="Z96" s="646" t="s">
        <v>3199</v>
      </c>
    </row>
    <row r="97" spans="1:26" ht="80.099999999999994" customHeight="1">
      <c r="A97" s="643">
        <v>93</v>
      </c>
      <c r="B97" s="644" t="s">
        <v>2599</v>
      </c>
      <c r="C97" s="645" t="s">
        <v>3205</v>
      </c>
      <c r="D97" s="753" t="s">
        <v>3206</v>
      </c>
      <c r="E97" s="646" t="s">
        <v>3207</v>
      </c>
      <c r="F97" s="800" t="s">
        <v>3208</v>
      </c>
      <c r="G97" s="658" t="s">
        <v>3209</v>
      </c>
      <c r="H97" s="803" t="s">
        <v>2211</v>
      </c>
      <c r="I97" s="652">
        <v>566</v>
      </c>
      <c r="J97" s="651"/>
      <c r="K97" s="756"/>
      <c r="L97" s="756">
        <v>566</v>
      </c>
      <c r="M97" s="755"/>
      <c r="N97" s="757"/>
      <c r="O97" s="753"/>
      <c r="P97" s="652" t="s">
        <v>67</v>
      </c>
      <c r="Q97" s="675" t="s">
        <v>936</v>
      </c>
      <c r="R97" s="653" t="s">
        <v>3210</v>
      </c>
      <c r="S97" s="755" t="s">
        <v>82</v>
      </c>
      <c r="T97" s="652" t="s">
        <v>995</v>
      </c>
      <c r="U97" s="649" t="s">
        <v>84</v>
      </c>
      <c r="V97" s="653" t="s">
        <v>1047</v>
      </c>
      <c r="W97" s="755">
        <v>500</v>
      </c>
      <c r="X97" s="755">
        <v>500</v>
      </c>
      <c r="Y97" s="646"/>
      <c r="Z97" s="646" t="s">
        <v>930</v>
      </c>
    </row>
    <row r="98" spans="1:26" ht="80.099999999999994" customHeight="1">
      <c r="A98" s="643">
        <v>94</v>
      </c>
      <c r="B98" s="644" t="s">
        <v>2599</v>
      </c>
      <c r="C98" s="645" t="s">
        <v>3211</v>
      </c>
      <c r="D98" s="646" t="s">
        <v>3212</v>
      </c>
      <c r="E98" s="646" t="s">
        <v>3213</v>
      </c>
      <c r="F98" s="657" t="s">
        <v>3214</v>
      </c>
      <c r="G98" s="646" t="s">
        <v>3215</v>
      </c>
      <c r="H98" s="646" t="s">
        <v>1022</v>
      </c>
      <c r="I98" s="654">
        <v>236</v>
      </c>
      <c r="J98" s="649"/>
      <c r="K98" s="649"/>
      <c r="L98" s="649">
        <v>236</v>
      </c>
      <c r="M98" s="651"/>
      <c r="N98" s="652"/>
      <c r="O98" s="653"/>
      <c r="P98" s="654" t="s">
        <v>167</v>
      </c>
      <c r="Q98" s="675" t="s">
        <v>936</v>
      </c>
      <c r="R98" s="651" t="s">
        <v>3216</v>
      </c>
      <c r="S98" s="646" t="s">
        <v>82</v>
      </c>
      <c r="T98" s="654" t="s">
        <v>995</v>
      </c>
      <c r="U98" s="649" t="s">
        <v>1141</v>
      </c>
      <c r="V98" s="651" t="s">
        <v>1064</v>
      </c>
      <c r="W98" s="646">
        <v>150</v>
      </c>
      <c r="X98" s="646">
        <v>149.5</v>
      </c>
      <c r="Y98" s="646">
        <v>0.5</v>
      </c>
      <c r="Z98" s="646" t="s">
        <v>3217</v>
      </c>
    </row>
    <row r="99" spans="1:26" ht="80.099999999999994" customHeight="1">
      <c r="A99" s="643">
        <v>95</v>
      </c>
      <c r="B99" s="644" t="s">
        <v>2599</v>
      </c>
      <c r="C99" s="645" t="s">
        <v>3211</v>
      </c>
      <c r="D99" s="646" t="s">
        <v>3218</v>
      </c>
      <c r="E99" s="646" t="s">
        <v>3219</v>
      </c>
      <c r="F99" s="657" t="s">
        <v>3220</v>
      </c>
      <c r="G99" s="646" t="s">
        <v>3215</v>
      </c>
      <c r="H99" s="646" t="s">
        <v>1022</v>
      </c>
      <c r="I99" s="654">
        <v>241</v>
      </c>
      <c r="J99" s="649"/>
      <c r="K99" s="649"/>
      <c r="L99" s="649">
        <v>241</v>
      </c>
      <c r="M99" s="651"/>
      <c r="N99" s="652"/>
      <c r="O99" s="653"/>
      <c r="P99" s="654" t="s">
        <v>167</v>
      </c>
      <c r="Q99" s="675" t="s">
        <v>936</v>
      </c>
      <c r="R99" s="651" t="s">
        <v>2376</v>
      </c>
      <c r="S99" s="646" t="s">
        <v>82</v>
      </c>
      <c r="T99" s="654" t="s">
        <v>995</v>
      </c>
      <c r="U99" s="649" t="s">
        <v>1141</v>
      </c>
      <c r="V99" s="651" t="s">
        <v>1064</v>
      </c>
      <c r="W99" s="646">
        <v>200</v>
      </c>
      <c r="X99" s="646">
        <v>199</v>
      </c>
      <c r="Y99" s="646">
        <v>1</v>
      </c>
      <c r="Z99" s="646" t="s">
        <v>3217</v>
      </c>
    </row>
    <row r="100" spans="1:26" ht="80.099999999999994" customHeight="1">
      <c r="A100" s="643">
        <v>96</v>
      </c>
      <c r="B100" s="804" t="s">
        <v>2599</v>
      </c>
      <c r="C100" s="805" t="s">
        <v>3221</v>
      </c>
      <c r="D100" s="664" t="s">
        <v>3222</v>
      </c>
      <c r="E100" s="806" t="s">
        <v>3223</v>
      </c>
      <c r="F100" s="807" t="s">
        <v>3224</v>
      </c>
      <c r="G100" s="808" t="s">
        <v>3225</v>
      </c>
      <c r="H100" s="808" t="s">
        <v>2111</v>
      </c>
      <c r="I100" s="809">
        <v>100</v>
      </c>
      <c r="J100" s="810"/>
      <c r="K100" s="810"/>
      <c r="L100" s="810">
        <v>100</v>
      </c>
      <c r="M100" s="811"/>
      <c r="N100" s="812"/>
      <c r="O100" s="813"/>
      <c r="P100" s="809" t="s">
        <v>167</v>
      </c>
      <c r="Q100" s="675" t="s">
        <v>936</v>
      </c>
      <c r="R100" s="811" t="s">
        <v>3226</v>
      </c>
      <c r="S100" s="646" t="s">
        <v>82</v>
      </c>
      <c r="T100" s="654" t="s">
        <v>2949</v>
      </c>
      <c r="U100" s="649" t="s">
        <v>84</v>
      </c>
      <c r="V100" s="651" t="s">
        <v>1047</v>
      </c>
      <c r="W100" s="646">
        <v>350</v>
      </c>
      <c r="X100" s="646">
        <v>350</v>
      </c>
      <c r="Y100" s="646"/>
      <c r="Z100" s="646" t="s">
        <v>3227</v>
      </c>
    </row>
    <row r="101" spans="1:26" ht="80.099999999999994" customHeight="1">
      <c r="A101" s="643">
        <v>97</v>
      </c>
      <c r="B101" s="804" t="s">
        <v>2599</v>
      </c>
      <c r="C101" s="805" t="s">
        <v>3221</v>
      </c>
      <c r="D101" s="664" t="s">
        <v>3228</v>
      </c>
      <c r="E101" s="806" t="s">
        <v>3229</v>
      </c>
      <c r="F101" s="807" t="s">
        <v>3230</v>
      </c>
      <c r="G101" s="808" t="s">
        <v>3231</v>
      </c>
      <c r="H101" s="808" t="s">
        <v>2465</v>
      </c>
      <c r="I101" s="809">
        <v>390</v>
      </c>
      <c r="J101" s="810"/>
      <c r="K101" s="810"/>
      <c r="L101" s="810">
        <v>70</v>
      </c>
      <c r="M101" s="811">
        <v>320</v>
      </c>
      <c r="N101" s="812"/>
      <c r="O101" s="813"/>
      <c r="P101" s="809" t="s">
        <v>167</v>
      </c>
      <c r="Q101" s="675" t="s">
        <v>936</v>
      </c>
      <c r="R101" s="811" t="s">
        <v>3232</v>
      </c>
      <c r="S101" s="646" t="s">
        <v>82</v>
      </c>
      <c r="T101" s="654" t="s">
        <v>2949</v>
      </c>
      <c r="U101" s="649" t="s">
        <v>84</v>
      </c>
      <c r="V101" s="651" t="s">
        <v>1047</v>
      </c>
      <c r="W101" s="646">
        <v>35</v>
      </c>
      <c r="X101" s="646">
        <v>35</v>
      </c>
      <c r="Y101" s="646"/>
      <c r="Z101" s="646" t="s">
        <v>3233</v>
      </c>
    </row>
    <row r="102" spans="1:26" ht="80.099999999999994" customHeight="1">
      <c r="A102" s="643">
        <v>98</v>
      </c>
      <c r="B102" s="804" t="s">
        <v>2599</v>
      </c>
      <c r="C102" s="805" t="s">
        <v>3221</v>
      </c>
      <c r="D102" s="664" t="s">
        <v>3234</v>
      </c>
      <c r="E102" s="664" t="s">
        <v>3235</v>
      </c>
      <c r="F102" s="807" t="s">
        <v>3236</v>
      </c>
      <c r="G102" s="664" t="s">
        <v>3237</v>
      </c>
      <c r="H102" s="664" t="s">
        <v>3238</v>
      </c>
      <c r="I102" s="809">
        <v>143</v>
      </c>
      <c r="J102" s="810"/>
      <c r="K102" s="810"/>
      <c r="L102" s="810">
        <v>143</v>
      </c>
      <c r="M102" s="811"/>
      <c r="N102" s="812"/>
      <c r="O102" s="813"/>
      <c r="P102" s="809" t="s">
        <v>92</v>
      </c>
      <c r="Q102" s="675" t="s">
        <v>936</v>
      </c>
      <c r="R102" s="811" t="s">
        <v>3239</v>
      </c>
      <c r="S102" s="646" t="s">
        <v>82</v>
      </c>
      <c r="T102" s="654" t="s">
        <v>2949</v>
      </c>
      <c r="U102" s="649" t="s">
        <v>84</v>
      </c>
      <c r="V102" s="651" t="s">
        <v>1047</v>
      </c>
      <c r="W102" s="646">
        <v>18</v>
      </c>
      <c r="X102" s="646">
        <v>18</v>
      </c>
      <c r="Y102" s="646"/>
      <c r="Z102" s="646" t="s">
        <v>3240</v>
      </c>
    </row>
    <row r="103" spans="1:26" ht="80.099999999999994" customHeight="1">
      <c r="A103" s="643">
        <v>99</v>
      </c>
      <c r="B103" s="804" t="s">
        <v>2599</v>
      </c>
      <c r="C103" s="805" t="s">
        <v>3221</v>
      </c>
      <c r="D103" s="664" t="s">
        <v>3241</v>
      </c>
      <c r="E103" s="664" t="s">
        <v>3235</v>
      </c>
      <c r="F103" s="807" t="s">
        <v>3242</v>
      </c>
      <c r="G103" s="664" t="s">
        <v>3243</v>
      </c>
      <c r="H103" s="664" t="s">
        <v>2465</v>
      </c>
      <c r="I103" s="809">
        <v>35</v>
      </c>
      <c r="J103" s="810"/>
      <c r="K103" s="810" t="s">
        <v>1702</v>
      </c>
      <c r="L103" s="810">
        <v>30</v>
      </c>
      <c r="M103" s="811">
        <v>5</v>
      </c>
      <c r="N103" s="812"/>
      <c r="O103" s="813"/>
      <c r="P103" s="809" t="s">
        <v>167</v>
      </c>
      <c r="Q103" s="675" t="s">
        <v>936</v>
      </c>
      <c r="R103" s="811" t="s">
        <v>3244</v>
      </c>
      <c r="S103" s="646" t="s">
        <v>82</v>
      </c>
      <c r="T103" s="654" t="s">
        <v>3245</v>
      </c>
      <c r="U103" s="649" t="s">
        <v>84</v>
      </c>
      <c r="V103" s="651" t="s">
        <v>1064</v>
      </c>
      <c r="W103" s="646">
        <v>3</v>
      </c>
      <c r="X103" s="646">
        <v>3</v>
      </c>
      <c r="Y103" s="646"/>
      <c r="Z103" s="646" t="s">
        <v>3246</v>
      </c>
    </row>
    <row r="104" spans="1:26" ht="80.099999999999994" customHeight="1">
      <c r="A104" s="643">
        <v>100</v>
      </c>
      <c r="B104" s="804" t="s">
        <v>2599</v>
      </c>
      <c r="C104" s="805" t="s">
        <v>3221</v>
      </c>
      <c r="D104" s="664" t="s">
        <v>3247</v>
      </c>
      <c r="E104" s="664" t="s">
        <v>3235</v>
      </c>
      <c r="F104" s="807" t="s">
        <v>3248</v>
      </c>
      <c r="G104" s="664" t="s">
        <v>3249</v>
      </c>
      <c r="H104" s="664" t="s">
        <v>3250</v>
      </c>
      <c r="I104" s="809">
        <v>30</v>
      </c>
      <c r="J104" s="810"/>
      <c r="K104" s="810"/>
      <c r="L104" s="810">
        <v>30</v>
      </c>
      <c r="M104" s="811"/>
      <c r="N104" s="812"/>
      <c r="O104" s="813"/>
      <c r="P104" s="809" t="s">
        <v>92</v>
      </c>
      <c r="Q104" s="675" t="s">
        <v>936</v>
      </c>
      <c r="R104" s="811" t="s">
        <v>1118</v>
      </c>
      <c r="S104" s="646" t="s">
        <v>82</v>
      </c>
      <c r="T104" s="654" t="s">
        <v>3251</v>
      </c>
      <c r="U104" s="649" t="s">
        <v>84</v>
      </c>
      <c r="V104" s="651" t="s">
        <v>1047</v>
      </c>
      <c r="W104" s="646">
        <v>3</v>
      </c>
      <c r="X104" s="646">
        <v>3</v>
      </c>
      <c r="Y104" s="646"/>
      <c r="Z104" s="646" t="s">
        <v>3252</v>
      </c>
    </row>
    <row r="105" spans="1:26" ht="80.099999999999994" customHeight="1">
      <c r="A105" s="643">
        <v>101</v>
      </c>
      <c r="B105" s="804" t="s">
        <v>2599</v>
      </c>
      <c r="C105" s="805" t="s">
        <v>3221</v>
      </c>
      <c r="D105" s="646" t="s">
        <v>3253</v>
      </c>
      <c r="E105" s="806" t="s">
        <v>3254</v>
      </c>
      <c r="F105" s="657" t="s">
        <v>3255</v>
      </c>
      <c r="G105" s="646" t="s">
        <v>3256</v>
      </c>
      <c r="H105" s="646" t="s">
        <v>2485</v>
      </c>
      <c r="I105" s="654">
        <v>70</v>
      </c>
      <c r="J105" s="649"/>
      <c r="K105" s="649"/>
      <c r="L105" s="649"/>
      <c r="M105" s="651">
        <v>70</v>
      </c>
      <c r="N105" s="652"/>
      <c r="O105" s="653"/>
      <c r="P105" s="654" t="s">
        <v>167</v>
      </c>
      <c r="Q105" s="675" t="s">
        <v>936</v>
      </c>
      <c r="R105" s="811" t="s">
        <v>3232</v>
      </c>
      <c r="S105" s="646" t="s">
        <v>82</v>
      </c>
      <c r="T105" s="654" t="s">
        <v>2641</v>
      </c>
      <c r="U105" s="649" t="s">
        <v>84</v>
      </c>
      <c r="V105" s="651" t="s">
        <v>1047</v>
      </c>
      <c r="W105" s="646">
        <v>0</v>
      </c>
      <c r="X105" s="646"/>
      <c r="Y105" s="646"/>
      <c r="Z105" s="646" t="s">
        <v>3227</v>
      </c>
    </row>
    <row r="106" spans="1:26" ht="80.099999999999994" customHeight="1">
      <c r="A106" s="643">
        <v>102</v>
      </c>
      <c r="B106" s="644" t="s">
        <v>2599</v>
      </c>
      <c r="C106" s="645" t="s">
        <v>3257</v>
      </c>
      <c r="D106" s="646" t="s">
        <v>3258</v>
      </c>
      <c r="E106" s="646" t="s">
        <v>3259</v>
      </c>
      <c r="F106" s="657" t="s">
        <v>3260</v>
      </c>
      <c r="G106" s="646" t="s">
        <v>3261</v>
      </c>
      <c r="H106" s="646" t="s">
        <v>1234</v>
      </c>
      <c r="I106" s="654">
        <v>517</v>
      </c>
      <c r="J106" s="649"/>
      <c r="K106" s="649">
        <v>225</v>
      </c>
      <c r="L106" s="649">
        <v>292</v>
      </c>
      <c r="M106" s="651"/>
      <c r="N106" s="652"/>
      <c r="O106" s="814"/>
      <c r="P106" s="654" t="s">
        <v>67</v>
      </c>
      <c r="Q106" s="675" t="s">
        <v>936</v>
      </c>
      <c r="R106" s="651" t="s">
        <v>3262</v>
      </c>
      <c r="S106" s="646" t="s">
        <v>82</v>
      </c>
      <c r="T106" s="654" t="s">
        <v>929</v>
      </c>
      <c r="U106" s="649" t="s">
        <v>3263</v>
      </c>
      <c r="V106" s="651" t="s">
        <v>85</v>
      </c>
      <c r="W106" s="646">
        <v>12</v>
      </c>
      <c r="X106" s="646">
        <v>1</v>
      </c>
      <c r="Y106" s="646">
        <v>11</v>
      </c>
      <c r="Z106" s="646" t="s">
        <v>3264</v>
      </c>
    </row>
    <row r="107" spans="1:26" ht="80.099999999999994" customHeight="1">
      <c r="A107" s="643">
        <v>103</v>
      </c>
      <c r="B107" s="644" t="s">
        <v>2599</v>
      </c>
      <c r="C107" s="645" t="s">
        <v>3257</v>
      </c>
      <c r="D107" s="646" t="s">
        <v>3265</v>
      </c>
      <c r="E107" s="646" t="s">
        <v>3266</v>
      </c>
      <c r="F107" s="657" t="s">
        <v>3267</v>
      </c>
      <c r="G107" s="646" t="s">
        <v>3268</v>
      </c>
      <c r="H107" s="646" t="s">
        <v>2211</v>
      </c>
      <c r="I107" s="654">
        <v>300</v>
      </c>
      <c r="J107" s="649"/>
      <c r="K107" s="649">
        <v>300</v>
      </c>
      <c r="L107" s="649"/>
      <c r="M107" s="651"/>
      <c r="N107" s="652"/>
      <c r="O107" s="653"/>
      <c r="P107" s="654" t="s">
        <v>67</v>
      </c>
      <c r="Q107" s="649" t="s">
        <v>936</v>
      </c>
      <c r="R107" s="651" t="s">
        <v>1910</v>
      </c>
      <c r="S107" s="646" t="s">
        <v>82</v>
      </c>
      <c r="T107" s="654" t="s">
        <v>2480</v>
      </c>
      <c r="U107" s="649" t="s">
        <v>84</v>
      </c>
      <c r="V107" s="651" t="s">
        <v>1064</v>
      </c>
      <c r="W107" s="646">
        <v>20</v>
      </c>
      <c r="X107" s="646">
        <v>19</v>
      </c>
      <c r="Y107" s="646">
        <v>1</v>
      </c>
      <c r="Z107" s="646" t="s">
        <v>3269</v>
      </c>
    </row>
    <row r="108" spans="1:26" ht="80.099999999999994" customHeight="1">
      <c r="A108" s="643">
        <v>104</v>
      </c>
      <c r="B108" s="644" t="s">
        <v>2599</v>
      </c>
      <c r="C108" s="645" t="s">
        <v>3270</v>
      </c>
      <c r="D108" s="646" t="s">
        <v>3271</v>
      </c>
      <c r="E108" s="646" t="s">
        <v>3272</v>
      </c>
      <c r="F108" s="668" t="s">
        <v>3273</v>
      </c>
      <c r="G108" s="658" t="s">
        <v>3274</v>
      </c>
      <c r="H108" s="658" t="s">
        <v>1015</v>
      </c>
      <c r="I108" s="648">
        <v>1438</v>
      </c>
      <c r="J108" s="649"/>
      <c r="K108" s="649"/>
      <c r="L108" s="650">
        <v>1438</v>
      </c>
      <c r="M108" s="651"/>
      <c r="N108" s="652"/>
      <c r="O108" s="653"/>
      <c r="P108" s="654" t="s">
        <v>105</v>
      </c>
      <c r="Q108" s="815" t="s">
        <v>936</v>
      </c>
      <c r="R108" s="651" t="s">
        <v>3275</v>
      </c>
      <c r="S108" s="646" t="s">
        <v>82</v>
      </c>
      <c r="T108" s="654" t="s">
        <v>1111</v>
      </c>
      <c r="U108" s="649" t="s">
        <v>3276</v>
      </c>
      <c r="V108" s="651" t="s">
        <v>1047</v>
      </c>
      <c r="W108" s="646">
        <v>147</v>
      </c>
      <c r="X108" s="816">
        <v>147</v>
      </c>
      <c r="Y108" s="646"/>
      <c r="Z108" s="646" t="s">
        <v>3277</v>
      </c>
    </row>
    <row r="109" spans="1:26" ht="80.099999999999994" customHeight="1">
      <c r="A109" s="643">
        <v>105</v>
      </c>
      <c r="B109" s="644" t="s">
        <v>2599</v>
      </c>
      <c r="C109" s="645" t="s">
        <v>3270</v>
      </c>
      <c r="D109" s="646" t="s">
        <v>3278</v>
      </c>
      <c r="E109" s="646" t="s">
        <v>1231</v>
      </c>
      <c r="F109" s="668" t="s">
        <v>3279</v>
      </c>
      <c r="G109" s="658" t="s">
        <v>3274</v>
      </c>
      <c r="H109" s="658" t="s">
        <v>3280</v>
      </c>
      <c r="I109" s="654">
        <v>957</v>
      </c>
      <c r="J109" s="649"/>
      <c r="K109" s="649">
        <v>60</v>
      </c>
      <c r="L109" s="649">
        <v>897</v>
      </c>
      <c r="M109" s="651"/>
      <c r="N109" s="652"/>
      <c r="O109" s="653"/>
      <c r="P109" s="654" t="s">
        <v>105</v>
      </c>
      <c r="Q109" s="815" t="s">
        <v>2764</v>
      </c>
      <c r="R109" s="651" t="s">
        <v>3275</v>
      </c>
      <c r="S109" s="646" t="s">
        <v>82</v>
      </c>
      <c r="T109" s="654" t="s">
        <v>1111</v>
      </c>
      <c r="U109" s="649" t="s">
        <v>3276</v>
      </c>
      <c r="V109" s="651" t="s">
        <v>1047</v>
      </c>
      <c r="W109" s="646">
        <v>219</v>
      </c>
      <c r="X109" s="816">
        <v>219</v>
      </c>
      <c r="Y109" s="646"/>
      <c r="Z109" s="646" t="s">
        <v>3277</v>
      </c>
    </row>
    <row r="110" spans="1:26">
      <c r="A110" s="634"/>
      <c r="B110" s="635" t="s">
        <v>34</v>
      </c>
      <c r="C110" s="636"/>
      <c r="D110" s="636"/>
      <c r="E110" s="636"/>
      <c r="F110" s="636"/>
      <c r="G110" s="636"/>
      <c r="H110" s="636"/>
      <c r="I110" s="636"/>
      <c r="J110" s="636"/>
      <c r="K110" s="636"/>
      <c r="L110" s="636"/>
      <c r="M110" s="636"/>
      <c r="N110" s="636"/>
      <c r="O110" s="636"/>
      <c r="P110" s="634" t="s">
        <v>105</v>
      </c>
      <c r="Q110" s="634"/>
      <c r="R110" s="634"/>
      <c r="S110" s="636"/>
      <c r="T110" s="636"/>
      <c r="U110" s="634"/>
      <c r="V110" s="636"/>
      <c r="W110" s="636"/>
      <c r="X110" s="636"/>
      <c r="Y110" s="636"/>
      <c r="Z110" s="636"/>
    </row>
    <row r="111" spans="1:26">
      <c r="A111" s="621"/>
      <c r="B111" s="621"/>
      <c r="C111" s="621"/>
    </row>
    <row r="112" spans="1:26">
      <c r="A112" s="621"/>
      <c r="B112" s="621"/>
      <c r="C112" s="621"/>
    </row>
    <row r="113" spans="1:3">
      <c r="A113" s="621"/>
      <c r="B113" s="621"/>
      <c r="C113" s="621"/>
    </row>
    <row r="114" spans="1:3">
      <c r="A114" s="621"/>
      <c r="B114" s="621"/>
      <c r="C114" s="621"/>
    </row>
    <row r="115" spans="1:3">
      <c r="A115" s="621"/>
      <c r="B115" s="621"/>
      <c r="C115" s="621"/>
    </row>
    <row r="116" spans="1:3">
      <c r="A116" s="621"/>
      <c r="B116" s="621"/>
      <c r="C116" s="621"/>
    </row>
    <row r="117" spans="1:3">
      <c r="A117" s="621"/>
      <c r="B117" s="621"/>
      <c r="C117" s="621"/>
    </row>
    <row r="118" spans="1:3">
      <c r="A118" s="621"/>
      <c r="B118" s="621"/>
      <c r="C118" s="621"/>
    </row>
    <row r="119" spans="1:3">
      <c r="A119" s="621"/>
      <c r="B119" s="621"/>
      <c r="C119" s="621"/>
    </row>
    <row r="120" spans="1:3">
      <c r="A120" s="621"/>
      <c r="B120" s="621"/>
      <c r="C120" s="621"/>
    </row>
    <row r="121" spans="1:3">
      <c r="A121" s="621"/>
      <c r="B121" s="621"/>
      <c r="C121" s="621"/>
    </row>
    <row r="122" spans="1:3">
      <c r="A122" s="621"/>
      <c r="B122" s="621"/>
      <c r="C122" s="621"/>
    </row>
    <row r="123" spans="1:3">
      <c r="A123" s="621"/>
      <c r="B123" s="621"/>
      <c r="C123" s="621"/>
    </row>
    <row r="124" spans="1:3">
      <c r="A124" s="621"/>
      <c r="B124" s="621"/>
      <c r="C124" s="621"/>
    </row>
    <row r="125" spans="1:3">
      <c r="A125" s="621"/>
      <c r="B125" s="621"/>
      <c r="C125" s="621"/>
    </row>
    <row r="126" spans="1:3">
      <c r="A126" s="621"/>
      <c r="B126" s="621"/>
      <c r="C126" s="621"/>
    </row>
    <row r="127" spans="1:3">
      <c r="A127" s="621"/>
      <c r="B127" s="621"/>
      <c r="C127" s="621"/>
    </row>
    <row r="128" spans="1:3">
      <c r="A128" s="621"/>
      <c r="B128" s="621"/>
      <c r="C128" s="621"/>
    </row>
  </sheetData>
  <mergeCells count="4">
    <mergeCell ref="N3:O3"/>
    <mergeCell ref="A1:Y2"/>
    <mergeCell ref="I3:M3"/>
    <mergeCell ref="W3:Y3"/>
  </mergeCells>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2"/>
  <sheetViews>
    <sheetView workbookViewId="0">
      <selection activeCell="G3" sqref="G1:G1048576"/>
    </sheetView>
  </sheetViews>
  <sheetFormatPr defaultRowHeight="13.5"/>
  <cols>
    <col min="1" max="1" width="5.109375" style="8" customWidth="1"/>
    <col min="2" max="2" width="12.33203125" style="8" customWidth="1"/>
    <col min="3" max="3" width="9.109375" style="8" customWidth="1"/>
    <col min="4" max="4" width="17.6640625" style="1" customWidth="1"/>
    <col min="5" max="5" width="14.886718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15.75" customHeight="1">
      <c r="A1" s="1611" t="s">
        <v>59</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row>
    <row r="2" spans="1:27" s="3" customFormat="1" ht="17.25" customHeight="1"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row>
    <row r="3" spans="1:27" s="3" customFormat="1" ht="22.5" customHeight="1" thickBot="1">
      <c r="A3" s="4"/>
      <c r="B3" s="4"/>
      <c r="C3" s="4"/>
      <c r="D3" s="2"/>
      <c r="E3" s="2"/>
      <c r="F3" s="2"/>
      <c r="G3" s="2"/>
      <c r="H3" s="2"/>
      <c r="I3" s="1612"/>
      <c r="J3" s="1613"/>
      <c r="K3" s="1613"/>
      <c r="L3" s="1613"/>
      <c r="M3" s="1613"/>
      <c r="N3" s="1609" t="s">
        <v>61</v>
      </c>
      <c r="O3" s="1610"/>
      <c r="P3" s="42"/>
      <c r="Q3" s="42"/>
      <c r="R3" s="52"/>
      <c r="S3" s="53"/>
      <c r="T3" s="53"/>
      <c r="U3" s="53"/>
      <c r="V3" s="53"/>
      <c r="W3" s="1621" t="s">
        <v>60</v>
      </c>
      <c r="X3" s="1622"/>
      <c r="Y3" s="1623"/>
      <c r="Z3" s="53"/>
      <c r="AA3" s="25"/>
    </row>
    <row r="4" spans="1:27" ht="39.75" customHeight="1">
      <c r="A4" s="115" t="s">
        <v>0</v>
      </c>
      <c r="B4" s="116" t="s">
        <v>3</v>
      </c>
      <c r="C4" s="117" t="s">
        <v>4</v>
      </c>
      <c r="D4" s="118" t="s">
        <v>1</v>
      </c>
      <c r="E4" s="119" t="s">
        <v>57</v>
      </c>
      <c r="F4" s="118" t="s">
        <v>2</v>
      </c>
      <c r="G4" s="119" t="s">
        <v>7</v>
      </c>
      <c r="H4" s="119" t="s">
        <v>8</v>
      </c>
      <c r="I4" s="120" t="s">
        <v>58</v>
      </c>
      <c r="J4" s="121" t="s">
        <v>5</v>
      </c>
      <c r="K4" s="122" t="s">
        <v>9</v>
      </c>
      <c r="L4" s="122" t="s">
        <v>43</v>
      </c>
      <c r="M4" s="123" t="s">
        <v>1170</v>
      </c>
      <c r="N4" s="124" t="s">
        <v>1171</v>
      </c>
      <c r="O4" s="125" t="s">
        <v>54</v>
      </c>
      <c r="P4" s="125" t="s">
        <v>41</v>
      </c>
      <c r="Q4" s="119" t="s">
        <v>55</v>
      </c>
      <c r="R4" s="126" t="s">
        <v>36</v>
      </c>
      <c r="S4" s="127" t="s">
        <v>37</v>
      </c>
      <c r="T4" s="128" t="s">
        <v>38</v>
      </c>
      <c r="U4" s="129" t="s">
        <v>39</v>
      </c>
      <c r="V4" s="130" t="s">
        <v>40</v>
      </c>
      <c r="W4" s="127" t="s">
        <v>50</v>
      </c>
      <c r="X4" s="131" t="s">
        <v>48</v>
      </c>
      <c r="Y4" s="127" t="s">
        <v>49</v>
      </c>
      <c r="Z4" s="127" t="s">
        <v>42</v>
      </c>
    </row>
    <row r="5" spans="1:27" ht="54" customHeight="1">
      <c r="A5" s="13">
        <v>1</v>
      </c>
      <c r="B5" s="11" t="s">
        <v>1172</v>
      </c>
      <c r="C5" s="132" t="s">
        <v>1173</v>
      </c>
      <c r="D5" s="28" t="s">
        <v>1174</v>
      </c>
      <c r="E5" s="133" t="s">
        <v>1175</v>
      </c>
      <c r="F5" s="134" t="s">
        <v>1176</v>
      </c>
      <c r="G5" s="133" t="s">
        <v>1177</v>
      </c>
      <c r="H5" s="133" t="s">
        <v>1178</v>
      </c>
      <c r="I5" s="135">
        <v>719.6</v>
      </c>
      <c r="J5" s="136">
        <v>92</v>
      </c>
      <c r="K5" s="137">
        <v>27.6</v>
      </c>
      <c r="L5" s="137">
        <v>600</v>
      </c>
      <c r="M5" s="138"/>
      <c r="N5" s="139" t="s">
        <v>52</v>
      </c>
      <c r="O5" s="30" t="s">
        <v>53</v>
      </c>
      <c r="P5" s="140" t="s">
        <v>67</v>
      </c>
      <c r="Q5" s="9" t="s">
        <v>1179</v>
      </c>
      <c r="R5" s="10" t="s">
        <v>1180</v>
      </c>
      <c r="S5" s="28" t="s">
        <v>70</v>
      </c>
      <c r="T5" s="140" t="s">
        <v>139</v>
      </c>
      <c r="U5" s="9" t="s">
        <v>1181</v>
      </c>
      <c r="V5" s="10" t="s">
        <v>309</v>
      </c>
      <c r="W5" s="141">
        <f>SUM(X5:Y5)</f>
        <v>116</v>
      </c>
      <c r="X5" s="142">
        <v>107</v>
      </c>
      <c r="Y5" s="141">
        <v>9</v>
      </c>
      <c r="Z5" s="143" t="s">
        <v>1182</v>
      </c>
    </row>
    <row r="6" spans="1:27" ht="78.75" customHeight="1">
      <c r="A6" s="13">
        <v>2</v>
      </c>
      <c r="B6" s="11" t="s">
        <v>1172</v>
      </c>
      <c r="C6" s="132" t="s">
        <v>1183</v>
      </c>
      <c r="D6" s="28" t="s">
        <v>1184</v>
      </c>
      <c r="E6" s="133" t="s">
        <v>1185</v>
      </c>
      <c r="F6" s="134" t="s">
        <v>1186</v>
      </c>
      <c r="G6" s="133" t="s">
        <v>1187</v>
      </c>
      <c r="H6" s="133" t="s">
        <v>1188</v>
      </c>
      <c r="I6" s="135">
        <v>110</v>
      </c>
      <c r="J6" s="136"/>
      <c r="K6" s="137"/>
      <c r="L6" s="137">
        <v>110</v>
      </c>
      <c r="M6" s="138"/>
      <c r="N6" s="139"/>
      <c r="O6" s="30"/>
      <c r="P6" s="140" t="s">
        <v>67</v>
      </c>
      <c r="Q6" s="9"/>
      <c r="R6" s="10" t="s">
        <v>1189</v>
      </c>
      <c r="S6" s="28" t="s">
        <v>1190</v>
      </c>
      <c r="T6" s="140" t="s">
        <v>1191</v>
      </c>
      <c r="U6" s="144" t="s">
        <v>1192</v>
      </c>
      <c r="V6" s="145" t="s">
        <v>374</v>
      </c>
      <c r="W6" s="141">
        <v>9</v>
      </c>
      <c r="X6" s="142">
        <v>9</v>
      </c>
      <c r="Y6" s="141"/>
      <c r="Z6" s="143" t="s">
        <v>1193</v>
      </c>
    </row>
    <row r="7" spans="1:27" ht="66.75" customHeight="1">
      <c r="A7" s="13">
        <v>3</v>
      </c>
      <c r="B7" s="11" t="s">
        <v>1172</v>
      </c>
      <c r="C7" s="132" t="s">
        <v>1183</v>
      </c>
      <c r="D7" s="28" t="s">
        <v>1194</v>
      </c>
      <c r="E7" s="146" t="s">
        <v>1195</v>
      </c>
      <c r="F7" s="134" t="s">
        <v>1196</v>
      </c>
      <c r="G7" s="133" t="s">
        <v>1197</v>
      </c>
      <c r="H7" s="133" t="s">
        <v>1198</v>
      </c>
      <c r="I7" s="135">
        <v>230</v>
      </c>
      <c r="J7" s="136"/>
      <c r="K7" s="137"/>
      <c r="L7" s="137">
        <v>230</v>
      </c>
      <c r="M7" s="138"/>
      <c r="N7" s="139"/>
      <c r="O7" s="30"/>
      <c r="P7" s="140" t="s">
        <v>67</v>
      </c>
      <c r="Q7" s="9"/>
      <c r="R7" s="10" t="s">
        <v>1199</v>
      </c>
      <c r="S7" s="28" t="s">
        <v>1190</v>
      </c>
      <c r="T7" s="140" t="s">
        <v>1191</v>
      </c>
      <c r="U7" s="144" t="s">
        <v>341</v>
      </c>
      <c r="V7" s="145" t="s">
        <v>127</v>
      </c>
      <c r="W7" s="141">
        <v>15.6</v>
      </c>
      <c r="X7" s="142">
        <v>15.3</v>
      </c>
      <c r="Y7" s="141">
        <v>0.3</v>
      </c>
      <c r="Z7" s="143" t="s">
        <v>1200</v>
      </c>
    </row>
    <row r="8" spans="1:27" ht="63.75" customHeight="1">
      <c r="A8" s="13">
        <v>4</v>
      </c>
      <c r="B8" s="11" t="s">
        <v>1172</v>
      </c>
      <c r="C8" s="132" t="s">
        <v>1173</v>
      </c>
      <c r="D8" s="28" t="s">
        <v>1201</v>
      </c>
      <c r="E8" s="133" t="s">
        <v>1202</v>
      </c>
      <c r="F8" s="147" t="s">
        <v>1203</v>
      </c>
      <c r="G8" s="133" t="s">
        <v>1204</v>
      </c>
      <c r="H8" s="133" t="s">
        <v>1178</v>
      </c>
      <c r="I8" s="135">
        <v>340</v>
      </c>
      <c r="J8" s="136"/>
      <c r="K8" s="137"/>
      <c r="L8" s="137">
        <v>340</v>
      </c>
      <c r="M8" s="138"/>
      <c r="N8" s="139"/>
      <c r="O8" s="30"/>
      <c r="P8" s="140" t="s">
        <v>67</v>
      </c>
      <c r="Q8" s="9"/>
      <c r="R8" s="10" t="s">
        <v>1205</v>
      </c>
      <c r="S8" s="28" t="s">
        <v>1206</v>
      </c>
      <c r="T8" s="140" t="s">
        <v>1207</v>
      </c>
      <c r="U8" s="144" t="s">
        <v>1208</v>
      </c>
      <c r="V8" s="145" t="s">
        <v>1209</v>
      </c>
      <c r="W8" s="141">
        <v>67</v>
      </c>
      <c r="X8" s="141">
        <v>67</v>
      </c>
      <c r="Y8" s="141"/>
      <c r="Z8" s="143" t="s">
        <v>1210</v>
      </c>
    </row>
    <row r="9" spans="1:27" s="3" customFormat="1" ht="35.25" customHeight="1">
      <c r="A9" s="13">
        <v>5</v>
      </c>
      <c r="B9" s="11" t="s">
        <v>1172</v>
      </c>
      <c r="C9" s="132" t="s">
        <v>1211</v>
      </c>
      <c r="D9" s="28" t="s">
        <v>1212</v>
      </c>
      <c r="E9" s="28" t="s">
        <v>1213</v>
      </c>
      <c r="F9" s="148" t="s">
        <v>1214</v>
      </c>
      <c r="G9" s="28" t="s">
        <v>1215</v>
      </c>
      <c r="H9" s="28" t="s">
        <v>1216</v>
      </c>
      <c r="I9" s="135">
        <v>400</v>
      </c>
      <c r="J9" s="136"/>
      <c r="K9" s="137">
        <v>400</v>
      </c>
      <c r="L9" s="137"/>
      <c r="M9" s="138"/>
      <c r="N9" s="139"/>
      <c r="O9" s="30"/>
      <c r="P9" s="140" t="s">
        <v>1217</v>
      </c>
      <c r="Q9" s="9"/>
      <c r="R9" s="10" t="s">
        <v>1218</v>
      </c>
      <c r="S9" s="28" t="s">
        <v>1206</v>
      </c>
      <c r="T9" s="140" t="s">
        <v>1207</v>
      </c>
      <c r="U9" s="9" t="s">
        <v>1219</v>
      </c>
      <c r="V9" s="10" t="s">
        <v>1220</v>
      </c>
      <c r="W9" s="149">
        <f>SUM(X9:Y9)</f>
        <v>5.8</v>
      </c>
      <c r="X9" s="141">
        <v>5.8</v>
      </c>
      <c r="Y9" s="141"/>
      <c r="Z9" s="28" t="s">
        <v>1221</v>
      </c>
    </row>
    <row r="10" spans="1:27" s="3" customFormat="1" ht="73.5" customHeight="1">
      <c r="A10" s="13">
        <v>6</v>
      </c>
      <c r="B10" s="11" t="s">
        <v>47</v>
      </c>
      <c r="C10" s="132" t="s">
        <v>1173</v>
      </c>
      <c r="D10" s="28" t="s">
        <v>1222</v>
      </c>
      <c r="E10" s="28" t="s">
        <v>1223</v>
      </c>
      <c r="F10" s="148" t="s">
        <v>1224</v>
      </c>
      <c r="G10" s="28" t="s">
        <v>1225</v>
      </c>
      <c r="H10" s="28" t="s">
        <v>559</v>
      </c>
      <c r="I10" s="135">
        <v>515</v>
      </c>
      <c r="J10" s="136"/>
      <c r="K10" s="137">
        <v>515</v>
      </c>
      <c r="L10" s="137"/>
      <c r="M10" s="138"/>
      <c r="N10" s="139"/>
      <c r="O10" s="30"/>
      <c r="P10" s="140" t="s">
        <v>92</v>
      </c>
      <c r="Q10" s="9"/>
      <c r="R10" s="10" t="s">
        <v>1226</v>
      </c>
      <c r="S10" s="28" t="s">
        <v>70</v>
      </c>
      <c r="T10" s="140" t="s">
        <v>108</v>
      </c>
      <c r="U10" s="9" t="s">
        <v>1227</v>
      </c>
      <c r="V10" s="10" t="s">
        <v>309</v>
      </c>
      <c r="W10" s="149">
        <v>120</v>
      </c>
      <c r="X10" s="141">
        <v>120</v>
      </c>
      <c r="Y10" s="141"/>
      <c r="Z10" s="28" t="s">
        <v>1228</v>
      </c>
    </row>
    <row r="11" spans="1:27" ht="38.25" customHeight="1">
      <c r="A11" s="13">
        <v>7</v>
      </c>
      <c r="B11" s="150" t="s">
        <v>1172</v>
      </c>
      <c r="C11" s="151" t="s">
        <v>1229</v>
      </c>
      <c r="D11" s="133" t="s">
        <v>1230</v>
      </c>
      <c r="E11" s="133" t="s">
        <v>1231</v>
      </c>
      <c r="F11" s="152" t="s">
        <v>1232</v>
      </c>
      <c r="G11" s="133" t="s">
        <v>1233</v>
      </c>
      <c r="H11" s="133" t="s">
        <v>1234</v>
      </c>
      <c r="I11" s="153">
        <v>180</v>
      </c>
      <c r="J11" s="154"/>
      <c r="K11" s="155">
        <v>50</v>
      </c>
      <c r="L11" s="155">
        <v>130</v>
      </c>
      <c r="M11" s="156"/>
      <c r="N11" s="157"/>
      <c r="O11" s="143"/>
      <c r="P11" s="158" t="s">
        <v>67</v>
      </c>
      <c r="Q11" s="144"/>
      <c r="R11" s="145" t="s">
        <v>1235</v>
      </c>
      <c r="S11" s="133" t="s">
        <v>82</v>
      </c>
      <c r="T11" s="158" t="s">
        <v>83</v>
      </c>
      <c r="U11" s="144" t="s">
        <v>1236</v>
      </c>
      <c r="V11" s="145" t="s">
        <v>1047</v>
      </c>
      <c r="W11" s="159">
        <v>280</v>
      </c>
      <c r="X11" s="160">
        <v>280</v>
      </c>
      <c r="Y11" s="161"/>
      <c r="Z11" s="133" t="s">
        <v>1237</v>
      </c>
    </row>
    <row r="12" spans="1:27" ht="38.25" customHeight="1">
      <c r="A12" s="13">
        <v>8</v>
      </c>
      <c r="B12" s="150" t="s">
        <v>1172</v>
      </c>
      <c r="C12" s="162" t="s">
        <v>1229</v>
      </c>
      <c r="D12" s="133" t="s">
        <v>1238</v>
      </c>
      <c r="E12" s="133" t="s">
        <v>1239</v>
      </c>
      <c r="F12" s="134" t="s">
        <v>1240</v>
      </c>
      <c r="G12" s="133" t="s">
        <v>1241</v>
      </c>
      <c r="H12" s="133" t="s">
        <v>1234</v>
      </c>
      <c r="I12" s="153">
        <v>55</v>
      </c>
      <c r="J12" s="154"/>
      <c r="K12" s="155"/>
      <c r="L12" s="155">
        <v>10</v>
      </c>
      <c r="M12" s="156">
        <v>45</v>
      </c>
      <c r="N12" s="157"/>
      <c r="O12" s="143"/>
      <c r="P12" s="158" t="s">
        <v>67</v>
      </c>
      <c r="Q12" s="144"/>
      <c r="R12" s="145" t="s">
        <v>1242</v>
      </c>
      <c r="S12" s="133" t="s">
        <v>82</v>
      </c>
      <c r="T12" s="158" t="s">
        <v>929</v>
      </c>
      <c r="U12" s="144" t="s">
        <v>84</v>
      </c>
      <c r="V12" s="145" t="s">
        <v>1047</v>
      </c>
      <c r="W12" s="159">
        <v>5</v>
      </c>
      <c r="X12" s="159">
        <v>5</v>
      </c>
      <c r="Y12" s="161"/>
      <c r="Z12" s="133" t="s">
        <v>1243</v>
      </c>
    </row>
    <row r="13" spans="1:27" ht="38.25" customHeight="1">
      <c r="A13" s="13">
        <v>9</v>
      </c>
      <c r="B13" s="150" t="s">
        <v>1172</v>
      </c>
      <c r="C13" s="162" t="s">
        <v>1229</v>
      </c>
      <c r="D13" s="133" t="s">
        <v>1244</v>
      </c>
      <c r="E13" s="133" t="s">
        <v>1245</v>
      </c>
      <c r="F13" s="134" t="s">
        <v>1246</v>
      </c>
      <c r="G13" s="133" t="s">
        <v>1247</v>
      </c>
      <c r="H13" s="133" t="s">
        <v>966</v>
      </c>
      <c r="I13" s="153">
        <v>1584</v>
      </c>
      <c r="J13" s="154">
        <v>92</v>
      </c>
      <c r="K13" s="155">
        <v>27.6</v>
      </c>
      <c r="L13" s="155">
        <v>1464.4</v>
      </c>
      <c r="M13" s="156"/>
      <c r="N13" s="157" t="s">
        <v>927</v>
      </c>
      <c r="O13" s="143" t="s">
        <v>1248</v>
      </c>
      <c r="P13" s="158" t="s">
        <v>67</v>
      </c>
      <c r="Q13" s="144" t="s">
        <v>1249</v>
      </c>
      <c r="R13" s="145" t="s">
        <v>1250</v>
      </c>
      <c r="S13" s="133" t="s">
        <v>82</v>
      </c>
      <c r="T13" s="158" t="s">
        <v>1103</v>
      </c>
      <c r="U13" s="144" t="s">
        <v>1251</v>
      </c>
      <c r="V13" s="145" t="s">
        <v>1047</v>
      </c>
      <c r="W13" s="160">
        <v>535</v>
      </c>
      <c r="X13" s="160">
        <v>535</v>
      </c>
      <c r="Y13" s="161"/>
      <c r="Z13" s="133" t="s">
        <v>1252</v>
      </c>
    </row>
    <row r="14" spans="1:27" s="171" customFormat="1" ht="38.25" customHeight="1">
      <c r="A14" s="13">
        <v>10</v>
      </c>
      <c r="B14" s="11" t="s">
        <v>1253</v>
      </c>
      <c r="C14" s="132" t="s">
        <v>1254</v>
      </c>
      <c r="D14" s="163" t="s">
        <v>1255</v>
      </c>
      <c r="E14" s="133" t="s">
        <v>1256</v>
      </c>
      <c r="F14" s="152" t="s">
        <v>1257</v>
      </c>
      <c r="G14" s="164" t="s">
        <v>1258</v>
      </c>
      <c r="H14" s="164" t="s">
        <v>1259</v>
      </c>
      <c r="I14" s="165">
        <v>170.2</v>
      </c>
      <c r="J14" s="166"/>
      <c r="K14" s="155"/>
      <c r="L14" s="155">
        <v>170.2</v>
      </c>
      <c r="M14" s="167"/>
      <c r="N14" s="168"/>
      <c r="O14" s="169"/>
      <c r="P14" s="158" t="s">
        <v>1260</v>
      </c>
      <c r="Q14" s="9"/>
      <c r="R14" s="145" t="s">
        <v>1261</v>
      </c>
      <c r="S14" s="133" t="s">
        <v>1206</v>
      </c>
      <c r="T14" s="170" t="s">
        <v>1262</v>
      </c>
      <c r="U14" s="144" t="s">
        <v>1219</v>
      </c>
      <c r="V14" s="151" t="s">
        <v>1209</v>
      </c>
      <c r="W14" s="141">
        <f t="shared" ref="W14:W23" si="0">X14+Y14</f>
        <v>190</v>
      </c>
      <c r="X14" s="161">
        <v>160</v>
      </c>
      <c r="Y14" s="141">
        <v>30</v>
      </c>
      <c r="Z14" s="28" t="s">
        <v>1263</v>
      </c>
      <c r="AA14" s="1"/>
    </row>
    <row r="15" spans="1:27" s="173" customFormat="1" ht="38.25" customHeight="1">
      <c r="A15" s="13">
        <v>11</v>
      </c>
      <c r="B15" s="11" t="s">
        <v>1253</v>
      </c>
      <c r="C15" s="132" t="s">
        <v>1254</v>
      </c>
      <c r="D15" s="28" t="s">
        <v>1264</v>
      </c>
      <c r="E15" s="28" t="s">
        <v>1265</v>
      </c>
      <c r="F15" s="148" t="s">
        <v>1266</v>
      </c>
      <c r="G15" s="1449" t="s">
        <v>6294</v>
      </c>
      <c r="H15" s="28" t="s">
        <v>68</v>
      </c>
      <c r="I15" s="135">
        <v>8</v>
      </c>
      <c r="J15" s="136"/>
      <c r="K15" s="137"/>
      <c r="L15" s="137">
        <v>8</v>
      </c>
      <c r="M15" s="138"/>
      <c r="N15" s="139"/>
      <c r="O15" s="30"/>
      <c r="P15" s="140" t="s">
        <v>92</v>
      </c>
      <c r="Q15" s="172"/>
      <c r="R15" s="10" t="s">
        <v>1267</v>
      </c>
      <c r="S15" s="28" t="s">
        <v>70</v>
      </c>
      <c r="T15" s="140" t="s">
        <v>1268</v>
      </c>
      <c r="U15" s="9" t="s">
        <v>72</v>
      </c>
      <c r="V15" s="44" t="s">
        <v>309</v>
      </c>
      <c r="W15" s="141">
        <f t="shared" si="0"/>
        <v>6</v>
      </c>
      <c r="X15" s="141">
        <v>6</v>
      </c>
      <c r="Y15" s="141"/>
      <c r="Z15" s="28" t="s">
        <v>398</v>
      </c>
      <c r="AA15" s="1"/>
    </row>
    <row r="16" spans="1:27" s="173" customFormat="1" ht="55.5" customHeight="1">
      <c r="A16" s="13">
        <v>12</v>
      </c>
      <c r="B16" s="11" t="s">
        <v>47</v>
      </c>
      <c r="C16" s="132" t="s">
        <v>1269</v>
      </c>
      <c r="D16" s="28" t="s">
        <v>1270</v>
      </c>
      <c r="E16" s="28" t="s">
        <v>1271</v>
      </c>
      <c r="F16" s="148" t="s">
        <v>1272</v>
      </c>
      <c r="G16" s="28" t="s">
        <v>1273</v>
      </c>
      <c r="H16" s="28" t="s">
        <v>1274</v>
      </c>
      <c r="I16" s="174">
        <f>SUM(J16:M16)</f>
        <v>1924</v>
      </c>
      <c r="J16" s="175">
        <v>100</v>
      </c>
      <c r="K16" s="176">
        <v>295</v>
      </c>
      <c r="L16" s="176">
        <v>1369</v>
      </c>
      <c r="M16" s="177">
        <v>160</v>
      </c>
      <c r="N16" s="139" t="s">
        <v>1275</v>
      </c>
      <c r="O16" s="30" t="s">
        <v>1276</v>
      </c>
      <c r="P16" s="140" t="s">
        <v>67</v>
      </c>
      <c r="Q16" s="9"/>
      <c r="R16" s="10" t="s">
        <v>1277</v>
      </c>
      <c r="S16" s="28" t="s">
        <v>1278</v>
      </c>
      <c r="T16" s="140" t="s">
        <v>1279</v>
      </c>
      <c r="U16" s="9" t="s">
        <v>1280</v>
      </c>
      <c r="V16" s="44" t="s">
        <v>1281</v>
      </c>
      <c r="W16" s="141">
        <f t="shared" si="0"/>
        <v>109</v>
      </c>
      <c r="X16" s="178">
        <v>98</v>
      </c>
      <c r="Y16" s="178">
        <v>11</v>
      </c>
      <c r="Z16" s="28" t="s">
        <v>1282</v>
      </c>
      <c r="AA16" s="1"/>
    </row>
    <row r="17" spans="1:27" s="173" customFormat="1" ht="45.75" customHeight="1">
      <c r="A17" s="13">
        <v>13</v>
      </c>
      <c r="B17" s="11" t="s">
        <v>1283</v>
      </c>
      <c r="C17" s="132" t="s">
        <v>1284</v>
      </c>
      <c r="D17" s="28" t="s">
        <v>1285</v>
      </c>
      <c r="E17" s="28" t="s">
        <v>1286</v>
      </c>
      <c r="F17" s="148" t="s">
        <v>1287</v>
      </c>
      <c r="G17" s="28" t="s">
        <v>1288</v>
      </c>
      <c r="H17" s="28" t="s">
        <v>1289</v>
      </c>
      <c r="I17" s="174">
        <f t="shared" ref="I17:I19" si="1">SUM(J17:M17)</f>
        <v>20</v>
      </c>
      <c r="J17" s="136"/>
      <c r="K17" s="137">
        <v>10</v>
      </c>
      <c r="L17" s="137">
        <v>10</v>
      </c>
      <c r="M17" s="138"/>
      <c r="N17" s="139"/>
      <c r="O17" s="30"/>
      <c r="P17" s="140" t="s">
        <v>167</v>
      </c>
      <c r="Q17" s="9"/>
      <c r="R17" s="10" t="s">
        <v>1290</v>
      </c>
      <c r="S17" s="28" t="s">
        <v>1291</v>
      </c>
      <c r="T17" s="140" t="s">
        <v>1292</v>
      </c>
      <c r="U17" s="9" t="s">
        <v>1293</v>
      </c>
      <c r="V17" s="44" t="s">
        <v>1294</v>
      </c>
      <c r="W17" s="141">
        <v>3.8</v>
      </c>
      <c r="X17" s="141">
        <v>3.8</v>
      </c>
      <c r="Y17" s="141"/>
      <c r="Z17" s="28" t="s">
        <v>1295</v>
      </c>
      <c r="AA17" s="1"/>
    </row>
    <row r="18" spans="1:27" s="171" customFormat="1" ht="38.25" customHeight="1">
      <c r="A18" s="13">
        <v>14</v>
      </c>
      <c r="B18" s="11" t="s">
        <v>1296</v>
      </c>
      <c r="C18" s="132" t="s">
        <v>1297</v>
      </c>
      <c r="D18" s="28" t="s">
        <v>1298</v>
      </c>
      <c r="E18" s="28" t="s">
        <v>1299</v>
      </c>
      <c r="F18" s="148" t="s">
        <v>1300</v>
      </c>
      <c r="G18" s="28" t="s">
        <v>1301</v>
      </c>
      <c r="H18" s="28" t="s">
        <v>1302</v>
      </c>
      <c r="I18" s="174">
        <f>SUM(J18:M18)</f>
        <v>17.899999999999999</v>
      </c>
      <c r="J18" s="136"/>
      <c r="K18" s="137"/>
      <c r="L18" s="137">
        <v>10</v>
      </c>
      <c r="M18" s="138">
        <v>7.9</v>
      </c>
      <c r="N18" s="139"/>
      <c r="O18" s="30"/>
      <c r="P18" s="140" t="s">
        <v>1303</v>
      </c>
      <c r="Q18" s="9"/>
      <c r="R18" s="10" t="s">
        <v>1304</v>
      </c>
      <c r="S18" s="28" t="s">
        <v>1291</v>
      </c>
      <c r="T18" s="140" t="s">
        <v>1305</v>
      </c>
      <c r="U18" s="9" t="s">
        <v>1293</v>
      </c>
      <c r="V18" s="44" t="s">
        <v>1294</v>
      </c>
      <c r="W18" s="141">
        <f t="shared" si="0"/>
        <v>10</v>
      </c>
      <c r="X18" s="141">
        <v>10</v>
      </c>
      <c r="Y18" s="141"/>
      <c r="Z18" s="28" t="s">
        <v>1306</v>
      </c>
      <c r="AA18" s="1"/>
    </row>
    <row r="19" spans="1:27" s="171" customFormat="1" ht="38.25" customHeight="1">
      <c r="A19" s="13">
        <v>15</v>
      </c>
      <c r="B19" s="11" t="s">
        <v>1296</v>
      </c>
      <c r="C19" s="132" t="s">
        <v>1297</v>
      </c>
      <c r="D19" s="163" t="s">
        <v>1307</v>
      </c>
      <c r="E19" s="28" t="s">
        <v>1308</v>
      </c>
      <c r="F19" s="179" t="s">
        <v>1309</v>
      </c>
      <c r="G19" s="28" t="s">
        <v>1310</v>
      </c>
      <c r="H19" s="28" t="s">
        <v>1311</v>
      </c>
      <c r="I19" s="174">
        <f t="shared" si="1"/>
        <v>350</v>
      </c>
      <c r="J19" s="180"/>
      <c r="K19" s="181"/>
      <c r="L19" s="182">
        <v>350</v>
      </c>
      <c r="M19" s="167"/>
      <c r="N19" s="139"/>
      <c r="O19" s="30"/>
      <c r="P19" s="140" t="s">
        <v>124</v>
      </c>
      <c r="Q19" s="9"/>
      <c r="R19" s="10" t="s">
        <v>1304</v>
      </c>
      <c r="S19" s="28" t="s">
        <v>1291</v>
      </c>
      <c r="T19" s="140" t="s">
        <v>1312</v>
      </c>
      <c r="U19" s="9" t="s">
        <v>1293</v>
      </c>
      <c r="V19" s="44" t="s">
        <v>1313</v>
      </c>
      <c r="W19" s="141">
        <f t="shared" si="0"/>
        <v>33</v>
      </c>
      <c r="X19" s="141">
        <v>30</v>
      </c>
      <c r="Y19" s="141">
        <v>3</v>
      </c>
      <c r="Z19" s="28" t="s">
        <v>1314</v>
      </c>
      <c r="AA19" s="1"/>
    </row>
    <row r="20" spans="1:27" s="192" customFormat="1" ht="57" customHeight="1">
      <c r="A20" s="13">
        <v>16</v>
      </c>
      <c r="B20" s="11" t="s">
        <v>1315</v>
      </c>
      <c r="C20" s="132" t="s">
        <v>1316</v>
      </c>
      <c r="D20" s="183" t="s">
        <v>1317</v>
      </c>
      <c r="E20" s="184" t="s">
        <v>1318</v>
      </c>
      <c r="F20" s="185" t="s">
        <v>1319</v>
      </c>
      <c r="G20" s="28" t="s">
        <v>1320</v>
      </c>
      <c r="H20" s="28" t="s">
        <v>1321</v>
      </c>
      <c r="I20" s="135">
        <v>55</v>
      </c>
      <c r="J20" s="180"/>
      <c r="K20" s="137">
        <v>55</v>
      </c>
      <c r="L20" s="137"/>
      <c r="M20" s="167"/>
      <c r="N20" s="139"/>
      <c r="O20" s="30"/>
      <c r="P20" s="140" t="s">
        <v>1322</v>
      </c>
      <c r="Q20" s="186"/>
      <c r="R20" s="187" t="s">
        <v>1323</v>
      </c>
      <c r="S20" s="188" t="s">
        <v>1324</v>
      </c>
      <c r="T20" s="189" t="s">
        <v>1325</v>
      </c>
      <c r="U20" s="190" t="s">
        <v>1326</v>
      </c>
      <c r="V20" s="191" t="s">
        <v>1327</v>
      </c>
      <c r="W20" s="141">
        <v>10</v>
      </c>
      <c r="X20" s="141">
        <v>9</v>
      </c>
      <c r="Y20" s="141">
        <v>1</v>
      </c>
      <c r="Z20" s="28" t="s">
        <v>1328</v>
      </c>
      <c r="AA20" s="1"/>
    </row>
    <row r="21" spans="1:27" s="171" customFormat="1" ht="48.75" customHeight="1">
      <c r="A21" s="13">
        <v>17</v>
      </c>
      <c r="B21" s="11" t="s">
        <v>1315</v>
      </c>
      <c r="C21" s="132" t="s">
        <v>1316</v>
      </c>
      <c r="D21" s="28" t="s">
        <v>1329</v>
      </c>
      <c r="E21" s="28" t="s">
        <v>1330</v>
      </c>
      <c r="F21" s="148" t="s">
        <v>1331</v>
      </c>
      <c r="G21" s="28" t="s">
        <v>1332</v>
      </c>
      <c r="H21" s="28" t="s">
        <v>1333</v>
      </c>
      <c r="I21" s="135">
        <f t="shared" ref="I21:I22" si="2">SUM(J21:M21)</f>
        <v>80</v>
      </c>
      <c r="J21" s="136"/>
      <c r="K21" s="137"/>
      <c r="L21" s="137">
        <v>60</v>
      </c>
      <c r="M21" s="138">
        <v>20</v>
      </c>
      <c r="N21" s="139"/>
      <c r="O21" s="30"/>
      <c r="P21" s="140" t="s">
        <v>1334</v>
      </c>
      <c r="Q21" s="9"/>
      <c r="R21" s="10" t="s">
        <v>1335</v>
      </c>
      <c r="S21" s="28" t="s">
        <v>1324</v>
      </c>
      <c r="T21" s="140" t="s">
        <v>1336</v>
      </c>
      <c r="U21" s="9" t="s">
        <v>1326</v>
      </c>
      <c r="V21" s="44" t="s">
        <v>1337</v>
      </c>
      <c r="W21" s="141">
        <f t="shared" si="0"/>
        <v>10</v>
      </c>
      <c r="X21" s="141">
        <v>10</v>
      </c>
      <c r="Y21" s="141"/>
      <c r="Z21" s="28" t="s">
        <v>1338</v>
      </c>
      <c r="AA21" s="1"/>
    </row>
    <row r="22" spans="1:27" s="173" customFormat="1" ht="55.5" customHeight="1">
      <c r="A22" s="13">
        <v>18</v>
      </c>
      <c r="B22" s="11" t="s">
        <v>1315</v>
      </c>
      <c r="C22" s="132" t="s">
        <v>1316</v>
      </c>
      <c r="D22" s="28" t="s">
        <v>1339</v>
      </c>
      <c r="E22" s="28" t="s">
        <v>1340</v>
      </c>
      <c r="F22" s="134" t="s">
        <v>1341</v>
      </c>
      <c r="G22" s="133" t="s">
        <v>1342</v>
      </c>
      <c r="H22" s="28" t="s">
        <v>1343</v>
      </c>
      <c r="I22" s="193">
        <f t="shared" si="2"/>
        <v>500</v>
      </c>
      <c r="J22" s="194">
        <v>70</v>
      </c>
      <c r="K22" s="195">
        <v>21</v>
      </c>
      <c r="L22" s="195">
        <v>349</v>
      </c>
      <c r="M22" s="196">
        <v>60</v>
      </c>
      <c r="N22" s="197" t="s">
        <v>1344</v>
      </c>
      <c r="O22" s="143" t="s">
        <v>1345</v>
      </c>
      <c r="P22" s="158" t="s">
        <v>1217</v>
      </c>
      <c r="Q22" s="9" t="s">
        <v>1346</v>
      </c>
      <c r="R22" s="145" t="s">
        <v>1347</v>
      </c>
      <c r="S22" s="133" t="s">
        <v>1206</v>
      </c>
      <c r="T22" s="158" t="s">
        <v>1348</v>
      </c>
      <c r="U22" s="144" t="s">
        <v>1349</v>
      </c>
      <c r="V22" s="151" t="s">
        <v>1220</v>
      </c>
      <c r="W22" s="141">
        <f t="shared" si="0"/>
        <v>55</v>
      </c>
      <c r="X22" s="178">
        <v>50</v>
      </c>
      <c r="Y22" s="178">
        <v>5</v>
      </c>
      <c r="Z22" s="28" t="s">
        <v>1350</v>
      </c>
      <c r="AA22" s="1"/>
    </row>
    <row r="23" spans="1:27" ht="38.25" customHeight="1">
      <c r="A23" s="13">
        <v>19</v>
      </c>
      <c r="B23" s="11" t="s">
        <v>1351</v>
      </c>
      <c r="C23" s="132" t="s">
        <v>1352</v>
      </c>
      <c r="D23" s="28" t="s">
        <v>1353</v>
      </c>
      <c r="E23" s="28" t="s">
        <v>1354</v>
      </c>
      <c r="F23" s="148" t="s">
        <v>1355</v>
      </c>
      <c r="G23" s="28" t="s">
        <v>1356</v>
      </c>
      <c r="H23" s="28" t="s">
        <v>1357</v>
      </c>
      <c r="I23" s="165">
        <v>30</v>
      </c>
      <c r="J23" s="136"/>
      <c r="K23" s="137">
        <v>15</v>
      </c>
      <c r="L23" s="137">
        <v>15</v>
      </c>
      <c r="M23" s="138"/>
      <c r="N23" s="139"/>
      <c r="O23" s="30"/>
      <c r="P23" s="140" t="s">
        <v>1358</v>
      </c>
      <c r="Q23" s="9"/>
      <c r="R23" s="10" t="s">
        <v>1359</v>
      </c>
      <c r="S23" s="28" t="s">
        <v>1206</v>
      </c>
      <c r="T23" s="140" t="s">
        <v>1262</v>
      </c>
      <c r="U23" s="9" t="s">
        <v>1219</v>
      </c>
      <c r="V23" s="44" t="s">
        <v>1209</v>
      </c>
      <c r="W23" s="141">
        <f t="shared" si="0"/>
        <v>5</v>
      </c>
      <c r="X23" s="141">
        <v>5</v>
      </c>
      <c r="Y23" s="141"/>
      <c r="Z23" s="28" t="s">
        <v>1360</v>
      </c>
    </row>
    <row r="24" spans="1:27" ht="38.25" customHeight="1">
      <c r="A24" s="13">
        <v>20</v>
      </c>
      <c r="B24" s="11" t="s">
        <v>1172</v>
      </c>
      <c r="C24" s="132" t="s">
        <v>1361</v>
      </c>
      <c r="D24" s="28" t="s">
        <v>1362</v>
      </c>
      <c r="E24" s="28" t="s">
        <v>1363</v>
      </c>
      <c r="F24" s="148" t="s">
        <v>1364</v>
      </c>
      <c r="G24" s="28" t="s">
        <v>1365</v>
      </c>
      <c r="H24" s="28" t="s">
        <v>1366</v>
      </c>
      <c r="I24" s="135">
        <f>SUM(J24:M24)</f>
        <v>290</v>
      </c>
      <c r="J24" s="136"/>
      <c r="K24" s="137"/>
      <c r="L24" s="137">
        <v>290</v>
      </c>
      <c r="M24" s="138"/>
      <c r="N24" s="139"/>
      <c r="O24" s="30"/>
      <c r="P24" s="140" t="s">
        <v>124</v>
      </c>
      <c r="Q24" s="9"/>
      <c r="R24" s="10" t="s">
        <v>1367</v>
      </c>
      <c r="S24" s="28" t="s">
        <v>1206</v>
      </c>
      <c r="T24" s="140" t="s">
        <v>1368</v>
      </c>
      <c r="U24" s="9" t="s">
        <v>1219</v>
      </c>
      <c r="V24" s="44" t="s">
        <v>1369</v>
      </c>
      <c r="W24" s="141">
        <f>SUM(X24:Y24)</f>
        <v>150</v>
      </c>
      <c r="X24" s="141">
        <v>150</v>
      </c>
      <c r="Y24" s="141"/>
      <c r="Z24" s="28" t="s">
        <v>1370</v>
      </c>
    </row>
    <row r="25" spans="1:27" ht="76.5" customHeight="1">
      <c r="A25" s="13">
        <v>21</v>
      </c>
      <c r="B25" s="11" t="s">
        <v>1172</v>
      </c>
      <c r="C25" s="132" t="s">
        <v>1371</v>
      </c>
      <c r="D25" s="28" t="s">
        <v>1372</v>
      </c>
      <c r="E25" s="28" t="s">
        <v>1373</v>
      </c>
      <c r="F25" s="148" t="s">
        <v>1374</v>
      </c>
      <c r="G25" s="28" t="s">
        <v>1375</v>
      </c>
      <c r="H25" s="28" t="s">
        <v>1376</v>
      </c>
      <c r="I25" s="174">
        <v>1324</v>
      </c>
      <c r="J25" s="136"/>
      <c r="K25" s="137"/>
      <c r="L25" s="137">
        <v>1174</v>
      </c>
      <c r="M25" s="138">
        <v>150</v>
      </c>
      <c r="N25" s="139"/>
      <c r="O25" s="30"/>
      <c r="P25" s="140" t="s">
        <v>167</v>
      </c>
      <c r="Q25" s="9" t="s">
        <v>1346</v>
      </c>
      <c r="R25" s="10" t="s">
        <v>1377</v>
      </c>
      <c r="S25" s="28" t="s">
        <v>1378</v>
      </c>
      <c r="T25" s="140" t="s">
        <v>1379</v>
      </c>
      <c r="U25" s="9" t="s">
        <v>84</v>
      </c>
      <c r="V25" s="44" t="s">
        <v>1209</v>
      </c>
      <c r="W25" s="141">
        <f>SUM(X25:Y25)</f>
        <v>1046</v>
      </c>
      <c r="X25" s="141">
        <v>1046</v>
      </c>
      <c r="Y25" s="141"/>
      <c r="Z25" s="28" t="s">
        <v>1380</v>
      </c>
    </row>
    <row r="26" spans="1:27" ht="87" customHeight="1">
      <c r="A26" s="13">
        <v>22</v>
      </c>
      <c r="B26" s="11" t="s">
        <v>1351</v>
      </c>
      <c r="C26" s="132" t="s">
        <v>1371</v>
      </c>
      <c r="D26" s="198" t="s">
        <v>1381</v>
      </c>
      <c r="E26" s="28" t="s">
        <v>1382</v>
      </c>
      <c r="F26" s="148" t="s">
        <v>1383</v>
      </c>
      <c r="G26" s="28" t="s">
        <v>1375</v>
      </c>
      <c r="H26" s="28" t="s">
        <v>1384</v>
      </c>
      <c r="I26" s="174">
        <v>1145</v>
      </c>
      <c r="J26" s="136">
        <v>572</v>
      </c>
      <c r="K26" s="137">
        <v>172</v>
      </c>
      <c r="L26" s="137">
        <v>401</v>
      </c>
      <c r="M26" s="138"/>
      <c r="N26" s="139" t="s">
        <v>1344</v>
      </c>
      <c r="O26" s="30" t="s">
        <v>1385</v>
      </c>
      <c r="P26" s="140" t="s">
        <v>167</v>
      </c>
      <c r="Q26" s="9"/>
      <c r="R26" s="10" t="s">
        <v>1386</v>
      </c>
      <c r="S26" s="28" t="s">
        <v>1378</v>
      </c>
      <c r="T26" s="140" t="s">
        <v>1387</v>
      </c>
      <c r="U26" s="9" t="s">
        <v>1219</v>
      </c>
      <c r="V26" s="44" t="s">
        <v>1209</v>
      </c>
      <c r="W26" s="141">
        <f>SUM(X26:Y26)</f>
        <v>210</v>
      </c>
      <c r="X26" s="141">
        <v>210</v>
      </c>
      <c r="Y26" s="141"/>
      <c r="Z26" s="28" t="s">
        <v>1388</v>
      </c>
    </row>
    <row r="27" spans="1:27" ht="38.25" customHeight="1">
      <c r="A27" s="13">
        <v>23</v>
      </c>
      <c r="B27" s="11" t="s">
        <v>1172</v>
      </c>
      <c r="C27" s="132" t="s">
        <v>1389</v>
      </c>
      <c r="D27" s="28" t="s">
        <v>1390</v>
      </c>
      <c r="E27" s="28" t="s">
        <v>1391</v>
      </c>
      <c r="F27" s="148" t="s">
        <v>1392</v>
      </c>
      <c r="G27" s="28" t="s">
        <v>1393</v>
      </c>
      <c r="H27" s="28" t="s">
        <v>1394</v>
      </c>
      <c r="I27" s="135">
        <v>120</v>
      </c>
      <c r="J27" s="136"/>
      <c r="K27" s="137"/>
      <c r="L27" s="137">
        <v>40</v>
      </c>
      <c r="M27" s="138">
        <v>80</v>
      </c>
      <c r="N27" s="139"/>
      <c r="O27" s="30"/>
      <c r="P27" s="140" t="s">
        <v>1358</v>
      </c>
      <c r="Q27" s="9"/>
      <c r="R27" s="10" t="s">
        <v>1395</v>
      </c>
      <c r="S27" s="28" t="s">
        <v>1206</v>
      </c>
      <c r="T27" s="140" t="s">
        <v>1396</v>
      </c>
      <c r="U27" s="9" t="s">
        <v>1219</v>
      </c>
      <c r="V27" s="44" t="s">
        <v>1220</v>
      </c>
      <c r="W27" s="141">
        <v>7</v>
      </c>
      <c r="X27" s="141">
        <v>7</v>
      </c>
      <c r="Y27" s="141"/>
      <c r="Z27" s="28" t="s">
        <v>1397</v>
      </c>
    </row>
    <row r="28" spans="1:27" ht="40.5">
      <c r="A28" s="13">
        <v>24</v>
      </c>
      <c r="B28" s="11" t="s">
        <v>1351</v>
      </c>
      <c r="C28" s="132" t="s">
        <v>1389</v>
      </c>
      <c r="D28" s="28" t="s">
        <v>1398</v>
      </c>
      <c r="E28" s="28" t="s">
        <v>1399</v>
      </c>
      <c r="F28" s="148" t="s">
        <v>1400</v>
      </c>
      <c r="G28" s="28" t="s">
        <v>1401</v>
      </c>
      <c r="H28" s="28" t="s">
        <v>1402</v>
      </c>
      <c r="I28" s="135">
        <v>275</v>
      </c>
      <c r="J28" s="136"/>
      <c r="K28" s="137"/>
      <c r="L28" s="137">
        <v>275</v>
      </c>
      <c r="M28" s="138"/>
      <c r="N28" s="139"/>
      <c r="O28" s="30"/>
      <c r="P28" s="140" t="s">
        <v>1217</v>
      </c>
      <c r="Q28" s="9"/>
      <c r="R28" s="10" t="s">
        <v>1403</v>
      </c>
      <c r="S28" s="28" t="s">
        <v>1206</v>
      </c>
      <c r="T28" s="140" t="s">
        <v>1368</v>
      </c>
      <c r="U28" s="9" t="s">
        <v>1219</v>
      </c>
      <c r="V28" s="44" t="s">
        <v>1209</v>
      </c>
      <c r="W28" s="141">
        <v>15</v>
      </c>
      <c r="X28" s="141">
        <v>13</v>
      </c>
      <c r="Y28" s="141">
        <v>2</v>
      </c>
      <c r="Z28" s="28" t="s">
        <v>1397</v>
      </c>
    </row>
    <row r="29" spans="1:27" ht="38.25" customHeight="1">
      <c r="A29" s="13">
        <v>25</v>
      </c>
      <c r="B29" s="11" t="s">
        <v>1351</v>
      </c>
      <c r="C29" s="132" t="s">
        <v>1389</v>
      </c>
      <c r="D29" s="28" t="s">
        <v>1404</v>
      </c>
      <c r="E29" s="28" t="s">
        <v>1405</v>
      </c>
      <c r="F29" s="199" t="s">
        <v>1406</v>
      </c>
      <c r="G29" s="28" t="s">
        <v>1407</v>
      </c>
      <c r="H29" s="28" t="s">
        <v>1408</v>
      </c>
      <c r="I29" s="135">
        <f>SUM(J29:M29)</f>
        <v>70</v>
      </c>
      <c r="J29" s="136"/>
      <c r="K29" s="137"/>
      <c r="L29" s="137">
        <v>70</v>
      </c>
      <c r="M29" s="138"/>
      <c r="N29" s="139"/>
      <c r="O29" s="30"/>
      <c r="P29" s="140" t="s">
        <v>105</v>
      </c>
      <c r="Q29" s="9"/>
      <c r="R29" s="10" t="s">
        <v>1409</v>
      </c>
      <c r="S29" s="28" t="s">
        <v>1206</v>
      </c>
      <c r="T29" s="140" t="s">
        <v>929</v>
      </c>
      <c r="U29" s="9" t="s">
        <v>1410</v>
      </c>
      <c r="V29" s="44" t="s">
        <v>1047</v>
      </c>
      <c r="W29" s="141">
        <v>30</v>
      </c>
      <c r="X29" s="141">
        <v>30</v>
      </c>
      <c r="Y29" s="141"/>
      <c r="Z29" s="28" t="s">
        <v>1411</v>
      </c>
    </row>
    <row r="30" spans="1:27" ht="108">
      <c r="A30" s="13">
        <v>26</v>
      </c>
      <c r="B30" s="11" t="s">
        <v>1351</v>
      </c>
      <c r="C30" s="132" t="s">
        <v>1412</v>
      </c>
      <c r="D30" s="28" t="s">
        <v>1413</v>
      </c>
      <c r="E30" s="28" t="s">
        <v>1414</v>
      </c>
      <c r="F30" s="148" t="s">
        <v>1415</v>
      </c>
      <c r="G30" s="28" t="s">
        <v>1416</v>
      </c>
      <c r="H30" s="28" t="s">
        <v>1417</v>
      </c>
      <c r="I30" s="135">
        <v>710</v>
      </c>
      <c r="J30" s="136"/>
      <c r="K30" s="137">
        <v>20</v>
      </c>
      <c r="L30" s="137">
        <v>620</v>
      </c>
      <c r="M30" s="138">
        <v>70</v>
      </c>
      <c r="N30" s="139"/>
      <c r="O30" s="30"/>
      <c r="P30" s="140" t="s">
        <v>105</v>
      </c>
      <c r="Q30" s="9"/>
      <c r="R30" s="10" t="s">
        <v>1418</v>
      </c>
      <c r="S30" s="28" t="s">
        <v>1206</v>
      </c>
      <c r="T30" s="140" t="s">
        <v>1348</v>
      </c>
      <c r="U30" s="9" t="s">
        <v>1419</v>
      </c>
      <c r="V30" s="44" t="s">
        <v>1220</v>
      </c>
      <c r="W30" s="178">
        <f>SUM(X30:Y30)</f>
        <v>158.25</v>
      </c>
      <c r="X30" s="178">
        <v>158</v>
      </c>
      <c r="Y30" s="141">
        <v>0.25</v>
      </c>
      <c r="Z30" s="28" t="s">
        <v>1420</v>
      </c>
    </row>
    <row r="31" spans="1:27" ht="40.5">
      <c r="A31" s="13">
        <v>27</v>
      </c>
      <c r="B31" s="11" t="s">
        <v>1172</v>
      </c>
      <c r="C31" s="132" t="s">
        <v>1412</v>
      </c>
      <c r="D31" s="28" t="s">
        <v>1421</v>
      </c>
      <c r="E31" s="28" t="s">
        <v>1422</v>
      </c>
      <c r="F31" s="148" t="s">
        <v>1423</v>
      </c>
      <c r="G31" s="28" t="s">
        <v>1424</v>
      </c>
      <c r="H31" s="28" t="s">
        <v>1425</v>
      </c>
      <c r="I31" s="135">
        <v>250</v>
      </c>
      <c r="J31" s="136"/>
      <c r="K31" s="137"/>
      <c r="L31" s="137">
        <v>250</v>
      </c>
      <c r="M31" s="138"/>
      <c r="N31" s="139"/>
      <c r="O31" s="30"/>
      <c r="P31" s="140" t="s">
        <v>92</v>
      </c>
      <c r="Q31" s="9"/>
      <c r="R31" s="10" t="s">
        <v>1426</v>
      </c>
      <c r="S31" s="28" t="s">
        <v>1427</v>
      </c>
      <c r="T31" s="140" t="s">
        <v>1428</v>
      </c>
      <c r="U31" s="9" t="s">
        <v>1429</v>
      </c>
      <c r="V31" s="44" t="s">
        <v>1430</v>
      </c>
      <c r="W31" s="141">
        <f>SUM(X31:Y31)</f>
        <v>15</v>
      </c>
      <c r="X31" s="141">
        <v>14</v>
      </c>
      <c r="Y31" s="141">
        <v>1</v>
      </c>
      <c r="Z31" s="28" t="s">
        <v>1431</v>
      </c>
    </row>
    <row r="32" spans="1:27" ht="54">
      <c r="A32" s="13">
        <v>28</v>
      </c>
      <c r="B32" s="11" t="s">
        <v>1172</v>
      </c>
      <c r="C32" s="132" t="s">
        <v>1432</v>
      </c>
      <c r="D32" s="28" t="s">
        <v>1433</v>
      </c>
      <c r="E32" s="28" t="s">
        <v>1434</v>
      </c>
      <c r="F32" s="148" t="s">
        <v>1435</v>
      </c>
      <c r="G32" s="28" t="s">
        <v>1436</v>
      </c>
      <c r="H32" s="28" t="s">
        <v>1437</v>
      </c>
      <c r="I32" s="135">
        <v>250</v>
      </c>
      <c r="J32" s="136"/>
      <c r="K32" s="137"/>
      <c r="L32" s="137">
        <v>250</v>
      </c>
      <c r="M32" s="138"/>
      <c r="N32" s="139"/>
      <c r="O32" s="30"/>
      <c r="P32" s="140" t="s">
        <v>167</v>
      </c>
      <c r="Q32" s="9"/>
      <c r="R32" s="10" t="s">
        <v>1438</v>
      </c>
      <c r="S32" s="28" t="s">
        <v>1427</v>
      </c>
      <c r="T32" s="140" t="s">
        <v>1439</v>
      </c>
      <c r="U32" s="9" t="s">
        <v>1429</v>
      </c>
      <c r="V32" s="44" t="s">
        <v>1430</v>
      </c>
      <c r="W32" s="141">
        <f>SUM(X32:Y32)</f>
        <v>300</v>
      </c>
      <c r="X32" s="141">
        <v>300</v>
      </c>
      <c r="Y32" s="141"/>
      <c r="Z32" s="28" t="s">
        <v>1440</v>
      </c>
    </row>
    <row r="33" spans="1:26" ht="67.5">
      <c r="A33" s="13">
        <v>29</v>
      </c>
      <c r="B33" s="11" t="s">
        <v>1253</v>
      </c>
      <c r="C33" s="132" t="s">
        <v>1432</v>
      </c>
      <c r="D33" s="28" t="s">
        <v>1441</v>
      </c>
      <c r="E33" s="28" t="s">
        <v>1442</v>
      </c>
      <c r="F33" s="148" t="s">
        <v>1443</v>
      </c>
      <c r="G33" s="28" t="s">
        <v>1444</v>
      </c>
      <c r="H33" s="28" t="s">
        <v>1445</v>
      </c>
      <c r="I33" s="135">
        <v>280</v>
      </c>
      <c r="J33" s="136"/>
      <c r="K33" s="137" t="s">
        <v>1446</v>
      </c>
      <c r="L33" s="137">
        <v>280</v>
      </c>
      <c r="M33" s="138"/>
      <c r="N33" s="139"/>
      <c r="O33" s="30"/>
      <c r="P33" s="140" t="s">
        <v>1260</v>
      </c>
      <c r="Q33" s="9"/>
      <c r="R33" s="10" t="s">
        <v>1447</v>
      </c>
      <c r="S33" s="28" t="s">
        <v>1206</v>
      </c>
      <c r="T33" s="140" t="s">
        <v>1368</v>
      </c>
      <c r="U33" s="9" t="s">
        <v>1219</v>
      </c>
      <c r="V33" s="44" t="s">
        <v>1220</v>
      </c>
      <c r="W33" s="141">
        <v>400</v>
      </c>
      <c r="X33" s="141">
        <v>400</v>
      </c>
      <c r="Y33" s="141"/>
      <c r="Z33" s="28" t="s">
        <v>1448</v>
      </c>
    </row>
    <row r="34" spans="1:26" ht="40.5">
      <c r="A34" s="13">
        <v>30</v>
      </c>
      <c r="B34" s="11" t="s">
        <v>1351</v>
      </c>
      <c r="C34" s="132" t="s">
        <v>1412</v>
      </c>
      <c r="D34" s="28" t="s">
        <v>1449</v>
      </c>
      <c r="E34" s="28" t="s">
        <v>1450</v>
      </c>
      <c r="F34" s="148" t="s">
        <v>1451</v>
      </c>
      <c r="G34" s="28" t="s">
        <v>1452</v>
      </c>
      <c r="H34" s="28" t="s">
        <v>1445</v>
      </c>
      <c r="I34" s="135">
        <v>120</v>
      </c>
      <c r="J34" s="136"/>
      <c r="K34" s="137"/>
      <c r="L34" s="137">
        <v>120</v>
      </c>
      <c r="M34" s="138"/>
      <c r="N34" s="139"/>
      <c r="O34" s="30"/>
      <c r="P34" s="140" t="s">
        <v>1260</v>
      </c>
      <c r="Q34" s="9"/>
      <c r="R34" s="10" t="s">
        <v>1397</v>
      </c>
      <c r="S34" s="28" t="s">
        <v>1206</v>
      </c>
      <c r="T34" s="140" t="s">
        <v>1368</v>
      </c>
      <c r="U34" s="9" t="s">
        <v>1219</v>
      </c>
      <c r="V34" s="44" t="s">
        <v>1220</v>
      </c>
      <c r="W34" s="141">
        <v>100</v>
      </c>
      <c r="X34" s="141">
        <v>100</v>
      </c>
      <c r="Y34" s="141"/>
      <c r="Z34" s="28" t="s">
        <v>1397</v>
      </c>
    </row>
    <row r="35" spans="1:26" ht="54">
      <c r="A35" s="13">
        <v>31</v>
      </c>
      <c r="B35" s="11" t="s">
        <v>1351</v>
      </c>
      <c r="C35" s="132" t="s">
        <v>1412</v>
      </c>
      <c r="D35" s="28" t="s">
        <v>1453</v>
      </c>
      <c r="E35" s="28" t="s">
        <v>1454</v>
      </c>
      <c r="F35" s="148" t="s">
        <v>1455</v>
      </c>
      <c r="G35" s="28" t="s">
        <v>1456</v>
      </c>
      <c r="H35" s="28" t="s">
        <v>1457</v>
      </c>
      <c r="I35" s="135">
        <v>400</v>
      </c>
      <c r="J35" s="136"/>
      <c r="K35" s="137">
        <v>35</v>
      </c>
      <c r="L35" s="137">
        <v>365</v>
      </c>
      <c r="M35" s="138"/>
      <c r="N35" s="139"/>
      <c r="O35" s="30"/>
      <c r="P35" s="140" t="s">
        <v>1217</v>
      </c>
      <c r="Q35" s="9"/>
      <c r="R35" s="10" t="s">
        <v>1458</v>
      </c>
      <c r="S35" s="28" t="s">
        <v>1206</v>
      </c>
      <c r="T35" s="140" t="s">
        <v>1348</v>
      </c>
      <c r="U35" s="9" t="s">
        <v>1219</v>
      </c>
      <c r="V35" s="44" t="s">
        <v>1220</v>
      </c>
      <c r="W35" s="141">
        <f t="shared" ref="W35" si="3">SUM(X35:Y35)</f>
        <v>60</v>
      </c>
      <c r="X35" s="141">
        <v>60</v>
      </c>
      <c r="Y35" s="141"/>
      <c r="Z35" s="200" t="s">
        <v>1459</v>
      </c>
    </row>
    <row r="36" spans="1:26" ht="67.5">
      <c r="A36" s="13">
        <v>32</v>
      </c>
      <c r="B36" s="11" t="s">
        <v>1172</v>
      </c>
      <c r="C36" s="132" t="s">
        <v>1460</v>
      </c>
      <c r="D36" s="28" t="s">
        <v>1461</v>
      </c>
      <c r="E36" s="28" t="s">
        <v>1462</v>
      </c>
      <c r="F36" s="148" t="s">
        <v>1463</v>
      </c>
      <c r="G36" s="28" t="s">
        <v>1464</v>
      </c>
      <c r="H36" s="28" t="s">
        <v>1465</v>
      </c>
      <c r="I36" s="135">
        <v>295</v>
      </c>
      <c r="J36" s="136"/>
      <c r="K36" s="137"/>
      <c r="L36" s="137">
        <v>295</v>
      </c>
      <c r="M36" s="138"/>
      <c r="N36" s="139"/>
      <c r="O36" s="30"/>
      <c r="P36" s="140" t="s">
        <v>92</v>
      </c>
      <c r="Q36" s="9"/>
      <c r="R36" s="10" t="s">
        <v>1466</v>
      </c>
      <c r="S36" s="28" t="s">
        <v>1206</v>
      </c>
      <c r="T36" s="140" t="s">
        <v>1207</v>
      </c>
      <c r="U36" s="9" t="s">
        <v>1467</v>
      </c>
      <c r="V36" s="44" t="s">
        <v>1468</v>
      </c>
      <c r="W36" s="141">
        <v>110</v>
      </c>
      <c r="X36" s="141">
        <v>110</v>
      </c>
      <c r="Y36" s="141"/>
      <c r="Z36" s="28" t="s">
        <v>1469</v>
      </c>
    </row>
    <row r="37" spans="1:26" ht="108">
      <c r="A37" s="13">
        <v>33</v>
      </c>
      <c r="B37" s="11" t="s">
        <v>1172</v>
      </c>
      <c r="C37" s="132" t="s">
        <v>1460</v>
      </c>
      <c r="D37" s="28" t="s">
        <v>1470</v>
      </c>
      <c r="E37" s="28" t="s">
        <v>1471</v>
      </c>
      <c r="F37" s="148" t="s">
        <v>1472</v>
      </c>
      <c r="G37" s="28" t="s">
        <v>1464</v>
      </c>
      <c r="H37" s="28" t="s">
        <v>1216</v>
      </c>
      <c r="I37" s="135">
        <v>450</v>
      </c>
      <c r="J37" s="136"/>
      <c r="K37" s="137"/>
      <c r="L37" s="137">
        <v>450</v>
      </c>
      <c r="M37" s="138"/>
      <c r="N37" s="139"/>
      <c r="O37" s="30"/>
      <c r="P37" s="140" t="s">
        <v>909</v>
      </c>
      <c r="Q37" s="9"/>
      <c r="R37" s="10" t="s">
        <v>1473</v>
      </c>
      <c r="S37" s="28" t="s">
        <v>1206</v>
      </c>
      <c r="T37" s="140" t="s">
        <v>1207</v>
      </c>
      <c r="U37" s="9" t="s">
        <v>1467</v>
      </c>
      <c r="V37" s="44" t="s">
        <v>1474</v>
      </c>
      <c r="W37" s="141">
        <f t="shared" ref="W37:W39" si="4">SUM(X37:Y37)</f>
        <v>250</v>
      </c>
      <c r="X37" s="141">
        <v>245</v>
      </c>
      <c r="Y37" s="141">
        <v>5</v>
      </c>
      <c r="Z37" s="28" t="s">
        <v>1475</v>
      </c>
    </row>
    <row r="38" spans="1:26" ht="81">
      <c r="A38" s="13">
        <v>34</v>
      </c>
      <c r="B38" s="11" t="s">
        <v>1172</v>
      </c>
      <c r="C38" s="132" t="s">
        <v>1460</v>
      </c>
      <c r="D38" s="28" t="s">
        <v>1476</v>
      </c>
      <c r="E38" s="28" t="s">
        <v>1477</v>
      </c>
      <c r="F38" s="148" t="s">
        <v>1478</v>
      </c>
      <c r="G38" s="28" t="s">
        <v>1464</v>
      </c>
      <c r="H38" s="28" t="s">
        <v>1479</v>
      </c>
      <c r="I38" s="135">
        <v>450</v>
      </c>
      <c r="J38" s="136"/>
      <c r="K38" s="137"/>
      <c r="L38" s="137">
        <v>450</v>
      </c>
      <c r="M38" s="138"/>
      <c r="N38" s="139"/>
      <c r="O38" s="30"/>
      <c r="P38" s="140" t="s">
        <v>92</v>
      </c>
      <c r="Q38" s="9"/>
      <c r="R38" s="10" t="s">
        <v>1480</v>
      </c>
      <c r="S38" s="28" t="s">
        <v>1206</v>
      </c>
      <c r="T38" s="140" t="s">
        <v>1207</v>
      </c>
      <c r="U38" s="9" t="s">
        <v>1467</v>
      </c>
      <c r="V38" s="44" t="s">
        <v>1468</v>
      </c>
      <c r="W38" s="141">
        <f t="shared" si="4"/>
        <v>285</v>
      </c>
      <c r="X38" s="141">
        <v>284</v>
      </c>
      <c r="Y38" s="141">
        <v>1</v>
      </c>
      <c r="Z38" s="28" t="s">
        <v>1475</v>
      </c>
    </row>
    <row r="39" spans="1:26" ht="108">
      <c r="A39" s="13">
        <v>35</v>
      </c>
      <c r="B39" s="11" t="s">
        <v>1172</v>
      </c>
      <c r="C39" s="132" t="s">
        <v>1460</v>
      </c>
      <c r="D39" s="28" t="s">
        <v>1481</v>
      </c>
      <c r="E39" s="28" t="s">
        <v>1482</v>
      </c>
      <c r="F39" s="148" t="s">
        <v>1483</v>
      </c>
      <c r="G39" s="28" t="s">
        <v>1464</v>
      </c>
      <c r="H39" s="28" t="s">
        <v>1484</v>
      </c>
      <c r="I39" s="135">
        <v>1300</v>
      </c>
      <c r="J39" s="136"/>
      <c r="K39" s="137" t="s">
        <v>1446</v>
      </c>
      <c r="L39" s="137">
        <v>1300</v>
      </c>
      <c r="M39" s="138"/>
      <c r="N39" s="139"/>
      <c r="O39" s="30"/>
      <c r="P39" s="140" t="s">
        <v>167</v>
      </c>
      <c r="Q39" s="9"/>
      <c r="R39" s="10" t="s">
        <v>1485</v>
      </c>
      <c r="S39" s="28" t="s">
        <v>1206</v>
      </c>
      <c r="T39" s="140" t="s">
        <v>1207</v>
      </c>
      <c r="U39" s="9" t="s">
        <v>1467</v>
      </c>
      <c r="V39" s="44" t="s">
        <v>1468</v>
      </c>
      <c r="W39" s="141">
        <f t="shared" si="4"/>
        <v>650</v>
      </c>
      <c r="X39" s="141">
        <v>645</v>
      </c>
      <c r="Y39" s="141">
        <v>5</v>
      </c>
      <c r="Z39" s="28" t="s">
        <v>1486</v>
      </c>
    </row>
    <row r="40" spans="1:26" ht="27">
      <c r="A40" s="13">
        <v>36</v>
      </c>
      <c r="B40" s="11" t="s">
        <v>1351</v>
      </c>
      <c r="C40" s="132" t="s">
        <v>1487</v>
      </c>
      <c r="D40" s="28" t="s">
        <v>1488</v>
      </c>
      <c r="E40" s="28" t="s">
        <v>1489</v>
      </c>
      <c r="F40" s="201" t="s">
        <v>1490</v>
      </c>
      <c r="G40" s="28" t="s">
        <v>1491</v>
      </c>
      <c r="H40" s="28" t="s">
        <v>1492</v>
      </c>
      <c r="I40" s="135">
        <v>150</v>
      </c>
      <c r="J40" s="136"/>
      <c r="K40" s="137"/>
      <c r="L40" s="137">
        <v>150</v>
      </c>
      <c r="M40" s="138"/>
      <c r="N40" s="139"/>
      <c r="O40" s="30"/>
      <c r="P40" s="140" t="s">
        <v>92</v>
      </c>
      <c r="Q40" s="9"/>
      <c r="R40" s="10" t="s">
        <v>1493</v>
      </c>
      <c r="S40" s="28" t="s">
        <v>1206</v>
      </c>
      <c r="T40" s="140" t="s">
        <v>1348</v>
      </c>
      <c r="U40" s="9" t="s">
        <v>1494</v>
      </c>
      <c r="V40" s="44" t="s">
        <v>1209</v>
      </c>
      <c r="W40" s="141">
        <v>49</v>
      </c>
      <c r="X40" s="141">
        <v>49</v>
      </c>
      <c r="Y40" s="141"/>
      <c r="Z40" s="28" t="s">
        <v>1495</v>
      </c>
    </row>
    <row r="41" spans="1:26" ht="40.5">
      <c r="A41" s="13">
        <v>37</v>
      </c>
      <c r="B41" s="11" t="s">
        <v>1351</v>
      </c>
      <c r="C41" s="132" t="s">
        <v>1487</v>
      </c>
      <c r="D41" s="28" t="s">
        <v>1496</v>
      </c>
      <c r="E41" s="28" t="s">
        <v>1497</v>
      </c>
      <c r="F41" s="148" t="s">
        <v>1498</v>
      </c>
      <c r="G41" s="28" t="s">
        <v>1499</v>
      </c>
      <c r="H41" s="28" t="s">
        <v>1492</v>
      </c>
      <c r="I41" s="135">
        <v>150</v>
      </c>
      <c r="J41" s="136"/>
      <c r="K41" s="137"/>
      <c r="L41" s="137">
        <v>150</v>
      </c>
      <c r="M41" s="138"/>
      <c r="N41" s="139"/>
      <c r="O41" s="30"/>
      <c r="P41" s="140" t="s">
        <v>92</v>
      </c>
      <c r="Q41" s="9"/>
      <c r="R41" s="10" t="s">
        <v>1500</v>
      </c>
      <c r="S41" s="28" t="s">
        <v>1206</v>
      </c>
      <c r="T41" s="140" t="s">
        <v>1348</v>
      </c>
      <c r="U41" s="9" t="s">
        <v>1501</v>
      </c>
      <c r="V41" s="44" t="s">
        <v>1209</v>
      </c>
      <c r="W41" s="141">
        <v>52</v>
      </c>
      <c r="X41" s="141">
        <v>52</v>
      </c>
      <c r="Y41" s="141"/>
      <c r="Z41" s="28" t="s">
        <v>1502</v>
      </c>
    </row>
    <row r="42" spans="1:26" ht="27">
      <c r="A42" s="13">
        <v>38</v>
      </c>
      <c r="B42" s="11" t="s">
        <v>1351</v>
      </c>
      <c r="C42" s="132" t="s">
        <v>1487</v>
      </c>
      <c r="D42" s="28" t="s">
        <v>1503</v>
      </c>
      <c r="E42" s="28" t="s">
        <v>1504</v>
      </c>
      <c r="F42" s="148" t="s">
        <v>1505</v>
      </c>
      <c r="G42" s="28" t="s">
        <v>1506</v>
      </c>
      <c r="H42" s="28" t="s">
        <v>1507</v>
      </c>
      <c r="I42" s="135">
        <v>2140</v>
      </c>
      <c r="J42" s="136">
        <v>70</v>
      </c>
      <c r="K42" s="137">
        <v>21</v>
      </c>
      <c r="L42" s="137">
        <v>2049</v>
      </c>
      <c r="M42" s="138"/>
      <c r="N42" s="139" t="s">
        <v>1344</v>
      </c>
      <c r="O42" s="30" t="s">
        <v>1345</v>
      </c>
      <c r="P42" s="140" t="s">
        <v>92</v>
      </c>
      <c r="Q42" s="9" t="s">
        <v>1346</v>
      </c>
      <c r="R42" s="10" t="s">
        <v>1508</v>
      </c>
      <c r="S42" s="28" t="s">
        <v>1206</v>
      </c>
      <c r="T42" s="140" t="s">
        <v>1207</v>
      </c>
      <c r="U42" s="9" t="s">
        <v>1509</v>
      </c>
      <c r="V42" s="44" t="s">
        <v>1209</v>
      </c>
      <c r="W42" s="141">
        <v>510</v>
      </c>
      <c r="X42" s="141">
        <v>510</v>
      </c>
      <c r="Y42" s="141"/>
      <c r="Z42" s="28" t="s">
        <v>1510</v>
      </c>
    </row>
    <row r="43" spans="1:26" ht="27">
      <c r="A43" s="13">
        <v>39</v>
      </c>
      <c r="B43" s="11" t="s">
        <v>1351</v>
      </c>
      <c r="C43" s="132" t="s">
        <v>1487</v>
      </c>
      <c r="D43" s="28" t="s">
        <v>1511</v>
      </c>
      <c r="E43" s="28" t="s">
        <v>1512</v>
      </c>
      <c r="F43" s="148" t="s">
        <v>1513</v>
      </c>
      <c r="G43" s="28" t="s">
        <v>1514</v>
      </c>
      <c r="H43" s="28" t="s">
        <v>1515</v>
      </c>
      <c r="I43" s="135">
        <v>150</v>
      </c>
      <c r="J43" s="136"/>
      <c r="K43" s="137"/>
      <c r="L43" s="137">
        <v>150</v>
      </c>
      <c r="M43" s="138"/>
      <c r="N43" s="139"/>
      <c r="O43" s="30"/>
      <c r="P43" s="140" t="s">
        <v>92</v>
      </c>
      <c r="Q43" s="9"/>
      <c r="R43" s="10" t="s">
        <v>1516</v>
      </c>
      <c r="S43" s="28" t="s">
        <v>1206</v>
      </c>
      <c r="T43" s="140" t="s">
        <v>1348</v>
      </c>
      <c r="U43" s="9" t="s">
        <v>1517</v>
      </c>
      <c r="V43" s="44" t="s">
        <v>1209</v>
      </c>
      <c r="W43" s="141">
        <v>43</v>
      </c>
      <c r="X43" s="141">
        <v>43</v>
      </c>
      <c r="Y43" s="141"/>
      <c r="Z43" s="28" t="s">
        <v>1518</v>
      </c>
    </row>
    <row r="44" spans="1:26" ht="67.5">
      <c r="A44" s="13">
        <v>40</v>
      </c>
      <c r="B44" s="11" t="s">
        <v>1172</v>
      </c>
      <c r="C44" s="132" t="s">
        <v>1519</v>
      </c>
      <c r="D44" s="28" t="s">
        <v>1520</v>
      </c>
      <c r="E44" s="28" t="s">
        <v>1521</v>
      </c>
      <c r="F44" s="148" t="s">
        <v>1522</v>
      </c>
      <c r="G44" s="28" t="s">
        <v>1523</v>
      </c>
      <c r="H44" s="28" t="s">
        <v>1524</v>
      </c>
      <c r="I44" s="193">
        <v>960</v>
      </c>
      <c r="J44" s="202">
        <v>100</v>
      </c>
      <c r="K44" s="203">
        <v>55</v>
      </c>
      <c r="L44" s="203">
        <v>805</v>
      </c>
      <c r="M44" s="204"/>
      <c r="N44" s="139" t="s">
        <v>1344</v>
      </c>
      <c r="O44" s="30" t="s">
        <v>1525</v>
      </c>
      <c r="P44" s="140" t="s">
        <v>1526</v>
      </c>
      <c r="Q44" s="9"/>
      <c r="R44" s="10" t="s">
        <v>1527</v>
      </c>
      <c r="S44" s="28" t="s">
        <v>1206</v>
      </c>
      <c r="T44" s="140" t="s">
        <v>1207</v>
      </c>
      <c r="U44" s="9" t="s">
        <v>1528</v>
      </c>
      <c r="V44" s="27" t="s">
        <v>1209</v>
      </c>
      <c r="W44" s="178">
        <f t="shared" ref="W44:W47" si="5">SUM(X44:Y44)</f>
        <v>1700</v>
      </c>
      <c r="X44" s="178">
        <v>1700</v>
      </c>
      <c r="Y44" s="178"/>
      <c r="Z44" s="28" t="s">
        <v>1529</v>
      </c>
    </row>
    <row r="45" spans="1:26" ht="54">
      <c r="A45" s="13">
        <v>41</v>
      </c>
      <c r="B45" s="11" t="s">
        <v>1172</v>
      </c>
      <c r="C45" s="132" t="s">
        <v>1519</v>
      </c>
      <c r="D45" s="28" t="s">
        <v>1530</v>
      </c>
      <c r="E45" s="28" t="s">
        <v>1531</v>
      </c>
      <c r="F45" s="148" t="s">
        <v>1532</v>
      </c>
      <c r="G45" s="28" t="s">
        <v>1533</v>
      </c>
      <c r="H45" s="28" t="s">
        <v>1534</v>
      </c>
      <c r="I45" s="193">
        <v>651</v>
      </c>
      <c r="J45" s="202"/>
      <c r="K45" s="203"/>
      <c r="L45" s="203">
        <v>651</v>
      </c>
      <c r="M45" s="204"/>
      <c r="N45" s="139"/>
      <c r="O45" s="30"/>
      <c r="P45" s="140" t="s">
        <v>1535</v>
      </c>
      <c r="Q45" s="9"/>
      <c r="R45" s="10" t="s">
        <v>1536</v>
      </c>
      <c r="S45" s="28" t="s">
        <v>1537</v>
      </c>
      <c r="T45" s="140" t="s">
        <v>1538</v>
      </c>
      <c r="U45" s="9" t="s">
        <v>1539</v>
      </c>
      <c r="V45" s="27" t="s">
        <v>1540</v>
      </c>
      <c r="W45" s="178">
        <f t="shared" si="5"/>
        <v>1000</v>
      </c>
      <c r="X45" s="178">
        <v>1000</v>
      </c>
      <c r="Y45" s="178"/>
      <c r="Z45" s="28" t="s">
        <v>1541</v>
      </c>
    </row>
    <row r="46" spans="1:26" ht="54">
      <c r="A46" s="13">
        <v>42</v>
      </c>
      <c r="B46" s="11" t="s">
        <v>1172</v>
      </c>
      <c r="C46" s="132" t="s">
        <v>1542</v>
      </c>
      <c r="D46" s="28" t="s">
        <v>1543</v>
      </c>
      <c r="E46" s="28" t="s">
        <v>1544</v>
      </c>
      <c r="F46" s="148" t="s">
        <v>1545</v>
      </c>
      <c r="G46" s="28" t="s">
        <v>1533</v>
      </c>
      <c r="H46" s="28" t="s">
        <v>1546</v>
      </c>
      <c r="I46" s="193">
        <v>550</v>
      </c>
      <c r="J46" s="202"/>
      <c r="K46" s="203"/>
      <c r="L46" s="203">
        <v>550</v>
      </c>
      <c r="M46" s="204"/>
      <c r="N46" s="139"/>
      <c r="O46" s="30"/>
      <c r="P46" s="140" t="s">
        <v>1547</v>
      </c>
      <c r="Q46" s="9"/>
      <c r="R46" s="10" t="s">
        <v>1548</v>
      </c>
      <c r="S46" s="28" t="s">
        <v>1537</v>
      </c>
      <c r="T46" s="140" t="s">
        <v>1538</v>
      </c>
      <c r="U46" s="9" t="s">
        <v>1539</v>
      </c>
      <c r="V46" s="27" t="s">
        <v>1540</v>
      </c>
      <c r="W46" s="178">
        <f t="shared" si="5"/>
        <v>360</v>
      </c>
      <c r="X46" s="178">
        <v>360</v>
      </c>
      <c r="Y46" s="178"/>
      <c r="Z46" s="28" t="s">
        <v>1549</v>
      </c>
    </row>
    <row r="47" spans="1:26" ht="54">
      <c r="A47" s="13">
        <v>43</v>
      </c>
      <c r="B47" s="11" t="s">
        <v>1172</v>
      </c>
      <c r="C47" s="132" t="s">
        <v>1519</v>
      </c>
      <c r="D47" s="28" t="s">
        <v>1550</v>
      </c>
      <c r="E47" s="28" t="s">
        <v>1363</v>
      </c>
      <c r="F47" s="148" t="s">
        <v>1551</v>
      </c>
      <c r="G47" s="28" t="s">
        <v>1523</v>
      </c>
      <c r="H47" s="28" t="s">
        <v>1552</v>
      </c>
      <c r="I47" s="193">
        <v>343</v>
      </c>
      <c r="J47" s="202"/>
      <c r="K47" s="203" t="s">
        <v>1446</v>
      </c>
      <c r="L47" s="203">
        <v>343</v>
      </c>
      <c r="M47" s="204"/>
      <c r="N47" s="139"/>
      <c r="O47" s="30"/>
      <c r="P47" s="140" t="s">
        <v>1217</v>
      </c>
      <c r="Q47" s="9"/>
      <c r="R47" s="10" t="s">
        <v>1553</v>
      </c>
      <c r="S47" s="28" t="s">
        <v>1206</v>
      </c>
      <c r="T47" s="140" t="s">
        <v>1207</v>
      </c>
      <c r="U47" s="9" t="s">
        <v>1528</v>
      </c>
      <c r="V47" s="27" t="s">
        <v>1209</v>
      </c>
      <c r="W47" s="178">
        <f t="shared" si="5"/>
        <v>48</v>
      </c>
      <c r="X47" s="178">
        <v>48</v>
      </c>
      <c r="Y47" s="178"/>
      <c r="Z47" s="28" t="s">
        <v>1529</v>
      </c>
    </row>
    <row r="48" spans="1:26" ht="121.5">
      <c r="A48" s="13">
        <v>44</v>
      </c>
      <c r="B48" s="11" t="s">
        <v>1351</v>
      </c>
      <c r="C48" s="132" t="s">
        <v>1554</v>
      </c>
      <c r="D48" s="28" t="s">
        <v>1555</v>
      </c>
      <c r="E48" s="200" t="s">
        <v>1556</v>
      </c>
      <c r="F48" s="148" t="s">
        <v>1557</v>
      </c>
      <c r="G48" s="28" t="s">
        <v>1558</v>
      </c>
      <c r="H48" s="28" t="s">
        <v>1457</v>
      </c>
      <c r="I48" s="135">
        <v>920</v>
      </c>
      <c r="J48" s="136">
        <v>70</v>
      </c>
      <c r="K48" s="137">
        <v>21</v>
      </c>
      <c r="L48" s="137">
        <v>49</v>
      </c>
      <c r="M48" s="138">
        <v>780</v>
      </c>
      <c r="N48" s="139" t="s">
        <v>1344</v>
      </c>
      <c r="O48" s="30" t="s">
        <v>1345</v>
      </c>
      <c r="P48" s="140" t="s">
        <v>1260</v>
      </c>
      <c r="Q48" s="9" t="s">
        <v>1346</v>
      </c>
      <c r="R48" s="10" t="s">
        <v>1559</v>
      </c>
      <c r="S48" s="28" t="s">
        <v>1206</v>
      </c>
      <c r="T48" s="140" t="s">
        <v>1348</v>
      </c>
      <c r="U48" s="9" t="s">
        <v>1560</v>
      </c>
      <c r="V48" s="44" t="s">
        <v>1209</v>
      </c>
      <c r="W48" s="141">
        <v>514</v>
      </c>
      <c r="X48" s="141">
        <v>490</v>
      </c>
      <c r="Y48" s="141">
        <v>24</v>
      </c>
      <c r="Z48" s="28" t="s">
        <v>1561</v>
      </c>
    </row>
    <row r="49" spans="1:26" ht="81">
      <c r="A49" s="13">
        <v>45</v>
      </c>
      <c r="B49" s="11" t="s">
        <v>1351</v>
      </c>
      <c r="C49" s="132" t="s">
        <v>1554</v>
      </c>
      <c r="D49" s="28" t="s">
        <v>1562</v>
      </c>
      <c r="E49" s="28" t="s">
        <v>1563</v>
      </c>
      <c r="F49" s="148" t="s">
        <v>1564</v>
      </c>
      <c r="G49" s="28" t="s">
        <v>1565</v>
      </c>
      <c r="H49" s="28" t="s">
        <v>1566</v>
      </c>
      <c r="I49" s="135">
        <v>200</v>
      </c>
      <c r="J49" s="136"/>
      <c r="K49" s="137"/>
      <c r="L49" s="137">
        <v>200</v>
      </c>
      <c r="M49" s="138"/>
      <c r="N49" s="139"/>
      <c r="O49" s="30"/>
      <c r="P49" s="140" t="s">
        <v>1567</v>
      </c>
      <c r="Q49" s="144"/>
      <c r="R49" s="10" t="s">
        <v>1568</v>
      </c>
      <c r="S49" s="28" t="s">
        <v>1206</v>
      </c>
      <c r="T49" s="140" t="s">
        <v>1348</v>
      </c>
      <c r="U49" s="9" t="s">
        <v>1219</v>
      </c>
      <c r="V49" s="44" t="s">
        <v>1209</v>
      </c>
      <c r="W49" s="141">
        <v>100</v>
      </c>
      <c r="X49" s="141">
        <v>100</v>
      </c>
      <c r="Y49" s="141"/>
      <c r="Z49" s="28" t="s">
        <v>1561</v>
      </c>
    </row>
    <row r="50" spans="1:26" ht="67.5">
      <c r="A50" s="13">
        <v>46</v>
      </c>
      <c r="B50" s="11" t="s">
        <v>1351</v>
      </c>
      <c r="C50" s="132" t="s">
        <v>1554</v>
      </c>
      <c r="D50" s="28" t="s">
        <v>1569</v>
      </c>
      <c r="E50" s="28" t="s">
        <v>1570</v>
      </c>
      <c r="F50" s="148" t="s">
        <v>1571</v>
      </c>
      <c r="G50" s="28" t="s">
        <v>1572</v>
      </c>
      <c r="H50" s="28" t="s">
        <v>1573</v>
      </c>
      <c r="I50" s="135">
        <v>100</v>
      </c>
      <c r="J50" s="136"/>
      <c r="K50" s="137"/>
      <c r="L50" s="137">
        <v>100</v>
      </c>
      <c r="M50" s="138"/>
      <c r="N50" s="139"/>
      <c r="O50" s="30"/>
      <c r="P50" s="140" t="s">
        <v>1260</v>
      </c>
      <c r="Q50" s="144"/>
      <c r="R50" s="10" t="s">
        <v>1574</v>
      </c>
      <c r="S50" s="28" t="s">
        <v>1206</v>
      </c>
      <c r="T50" s="140" t="s">
        <v>1348</v>
      </c>
      <c r="U50" s="9" t="s">
        <v>1219</v>
      </c>
      <c r="V50" s="44" t="s">
        <v>1209</v>
      </c>
      <c r="W50" s="141">
        <v>85</v>
      </c>
      <c r="X50" s="141">
        <v>85</v>
      </c>
      <c r="Y50" s="141"/>
      <c r="Z50" s="28" t="s">
        <v>1575</v>
      </c>
    </row>
    <row r="51" spans="1:26" ht="81">
      <c r="A51" s="13">
        <v>47</v>
      </c>
      <c r="B51" s="11" t="s">
        <v>1351</v>
      </c>
      <c r="C51" s="132" t="s">
        <v>1554</v>
      </c>
      <c r="D51" s="28" t="s">
        <v>1576</v>
      </c>
      <c r="E51" s="28" t="s">
        <v>1577</v>
      </c>
      <c r="F51" s="148" t="s">
        <v>1578</v>
      </c>
      <c r="G51" s="28" t="s">
        <v>1579</v>
      </c>
      <c r="H51" s="28" t="s">
        <v>1580</v>
      </c>
      <c r="I51" s="135">
        <v>764</v>
      </c>
      <c r="J51" s="136">
        <v>92</v>
      </c>
      <c r="K51" s="137">
        <v>27.6</v>
      </c>
      <c r="L51" s="137">
        <v>604.4</v>
      </c>
      <c r="M51" s="138">
        <v>40</v>
      </c>
      <c r="N51" s="139" t="s">
        <v>1344</v>
      </c>
      <c r="O51" s="30" t="s">
        <v>1345</v>
      </c>
      <c r="P51" s="140" t="s">
        <v>1217</v>
      </c>
      <c r="Q51" s="9" t="s">
        <v>1581</v>
      </c>
      <c r="R51" s="10" t="s">
        <v>1582</v>
      </c>
      <c r="S51" s="28" t="s">
        <v>1206</v>
      </c>
      <c r="T51" s="140" t="s">
        <v>1583</v>
      </c>
      <c r="U51" s="9" t="s">
        <v>1584</v>
      </c>
      <c r="V51" s="44" t="s">
        <v>1209</v>
      </c>
      <c r="W51" s="141">
        <v>400</v>
      </c>
      <c r="X51" s="141">
        <v>400</v>
      </c>
      <c r="Y51" s="141"/>
      <c r="Z51" s="28" t="s">
        <v>1585</v>
      </c>
    </row>
    <row r="52" spans="1:26" ht="54">
      <c r="A52" s="13">
        <v>48</v>
      </c>
      <c r="B52" s="11" t="s">
        <v>1351</v>
      </c>
      <c r="C52" s="132" t="s">
        <v>1554</v>
      </c>
      <c r="D52" s="28" t="s">
        <v>1586</v>
      </c>
      <c r="E52" s="28" t="s">
        <v>1587</v>
      </c>
      <c r="F52" s="148" t="s">
        <v>1588</v>
      </c>
      <c r="G52" s="28" t="s">
        <v>1589</v>
      </c>
      <c r="H52" s="28" t="s">
        <v>1590</v>
      </c>
      <c r="I52" s="135">
        <v>100</v>
      </c>
      <c r="J52" s="136"/>
      <c r="K52" s="137"/>
      <c r="L52" s="137">
        <v>100</v>
      </c>
      <c r="M52" s="138"/>
      <c r="N52" s="139"/>
      <c r="O52" s="30"/>
      <c r="P52" s="140" t="s">
        <v>1260</v>
      </c>
      <c r="Q52" s="144"/>
      <c r="R52" s="10" t="s">
        <v>1591</v>
      </c>
      <c r="S52" s="28" t="s">
        <v>1206</v>
      </c>
      <c r="T52" s="140" t="s">
        <v>1348</v>
      </c>
      <c r="U52" s="9" t="s">
        <v>1219</v>
      </c>
      <c r="V52" s="44" t="s">
        <v>1209</v>
      </c>
      <c r="W52" s="141">
        <v>150</v>
      </c>
      <c r="X52" s="141">
        <v>150</v>
      </c>
      <c r="Y52" s="141"/>
      <c r="Z52" s="28" t="s">
        <v>1411</v>
      </c>
    </row>
    <row r="53" spans="1:26" ht="94.5">
      <c r="A53" s="13">
        <v>49</v>
      </c>
      <c r="B53" s="11" t="s">
        <v>1351</v>
      </c>
      <c r="C53" s="132" t="s">
        <v>1592</v>
      </c>
      <c r="D53" s="28" t="s">
        <v>1593</v>
      </c>
      <c r="E53" s="28" t="s">
        <v>1231</v>
      </c>
      <c r="F53" s="205" t="s">
        <v>1594</v>
      </c>
      <c r="G53" s="1449" t="s">
        <v>6295</v>
      </c>
      <c r="H53" s="28" t="s">
        <v>1595</v>
      </c>
      <c r="I53" s="174">
        <f>SUM(J53:M53)</f>
        <v>70</v>
      </c>
      <c r="J53" s="136"/>
      <c r="K53" s="137"/>
      <c r="L53" s="137">
        <v>50</v>
      </c>
      <c r="M53" s="138">
        <v>20</v>
      </c>
      <c r="N53" s="139"/>
      <c r="O53" s="30"/>
      <c r="P53" s="140" t="s">
        <v>92</v>
      </c>
      <c r="Q53" s="9"/>
      <c r="R53" s="10" t="s">
        <v>1596</v>
      </c>
      <c r="S53" s="28" t="s">
        <v>82</v>
      </c>
      <c r="T53" s="140" t="s">
        <v>1348</v>
      </c>
      <c r="U53" s="9"/>
      <c r="V53" s="44" t="s">
        <v>1047</v>
      </c>
      <c r="W53" s="141">
        <v>50</v>
      </c>
      <c r="X53" s="141">
        <v>50</v>
      </c>
      <c r="Y53" s="141"/>
      <c r="Z53" s="28" t="s">
        <v>1597</v>
      </c>
    </row>
    <row r="54" spans="1:26" ht="54">
      <c r="A54" s="13">
        <v>50</v>
      </c>
      <c r="B54" s="11" t="s">
        <v>1172</v>
      </c>
      <c r="C54" s="132" t="s">
        <v>1598</v>
      </c>
      <c r="D54" s="28" t="s">
        <v>1599</v>
      </c>
      <c r="E54" s="28" t="s">
        <v>1600</v>
      </c>
      <c r="F54" s="148" t="s">
        <v>1601</v>
      </c>
      <c r="G54" s="28" t="s">
        <v>1602</v>
      </c>
      <c r="H54" s="28" t="s">
        <v>1603</v>
      </c>
      <c r="I54" s="174">
        <f>SUM(J54:M54)</f>
        <v>1129</v>
      </c>
      <c r="J54" s="136"/>
      <c r="K54" s="137">
        <v>50</v>
      </c>
      <c r="L54" s="137">
        <v>1079</v>
      </c>
      <c r="M54" s="138"/>
      <c r="N54" s="139"/>
      <c r="O54" s="30"/>
      <c r="P54" s="140" t="s">
        <v>67</v>
      </c>
      <c r="Q54" s="9"/>
      <c r="R54" s="10" t="s">
        <v>1604</v>
      </c>
      <c r="S54" s="28" t="s">
        <v>82</v>
      </c>
      <c r="T54" s="140" t="s">
        <v>1005</v>
      </c>
      <c r="U54" s="9" t="s">
        <v>1605</v>
      </c>
      <c r="V54" s="44" t="s">
        <v>85</v>
      </c>
      <c r="W54" s="141">
        <v>400</v>
      </c>
      <c r="X54" s="141">
        <v>380</v>
      </c>
      <c r="Y54" s="141">
        <v>20</v>
      </c>
      <c r="Z54" s="28" t="s">
        <v>1606</v>
      </c>
    </row>
    <row r="55" spans="1:26" ht="40.5">
      <c r="A55" s="13">
        <v>51</v>
      </c>
      <c r="B55" s="11" t="s">
        <v>1351</v>
      </c>
      <c r="C55" s="132" t="s">
        <v>1607</v>
      </c>
      <c r="D55" s="28" t="s">
        <v>1608</v>
      </c>
      <c r="E55" s="28" t="s">
        <v>1609</v>
      </c>
      <c r="F55" s="148" t="s">
        <v>1610</v>
      </c>
      <c r="G55" s="28" t="s">
        <v>1611</v>
      </c>
      <c r="H55" s="28" t="s">
        <v>1612</v>
      </c>
      <c r="I55" s="135">
        <v>523</v>
      </c>
      <c r="J55" s="136"/>
      <c r="K55" s="137"/>
      <c r="L55" s="137">
        <v>523</v>
      </c>
      <c r="M55" s="138"/>
      <c r="N55" s="139"/>
      <c r="O55" s="30"/>
      <c r="P55" s="140" t="s">
        <v>1260</v>
      </c>
      <c r="Q55" s="9"/>
      <c r="R55" s="10" t="s">
        <v>1613</v>
      </c>
      <c r="S55" s="28" t="s">
        <v>1206</v>
      </c>
      <c r="T55" s="140" t="s">
        <v>1614</v>
      </c>
      <c r="U55" s="9" t="s">
        <v>1615</v>
      </c>
      <c r="V55" s="44" t="s">
        <v>1616</v>
      </c>
      <c r="W55" s="141">
        <f>SUM(X55:Y55)</f>
        <v>100</v>
      </c>
      <c r="X55" s="141">
        <v>100</v>
      </c>
      <c r="Y55" s="141"/>
      <c r="Z55" s="28" t="s">
        <v>1617</v>
      </c>
    </row>
    <row r="56" spans="1:26" ht="40.5">
      <c r="A56" s="13">
        <v>52</v>
      </c>
      <c r="B56" s="11" t="s">
        <v>1351</v>
      </c>
      <c r="C56" s="132" t="s">
        <v>1607</v>
      </c>
      <c r="D56" s="28" t="s">
        <v>1618</v>
      </c>
      <c r="E56" s="28" t="s">
        <v>1619</v>
      </c>
      <c r="F56" s="148" t="s">
        <v>1620</v>
      </c>
      <c r="G56" s="28" t="s">
        <v>1611</v>
      </c>
      <c r="H56" s="28" t="s">
        <v>1621</v>
      </c>
      <c r="I56" s="135">
        <v>849</v>
      </c>
      <c r="J56" s="136"/>
      <c r="K56" s="137">
        <v>35</v>
      </c>
      <c r="L56" s="137">
        <v>814</v>
      </c>
      <c r="M56" s="138"/>
      <c r="N56" s="139"/>
      <c r="O56" s="30"/>
      <c r="P56" s="140" t="s">
        <v>167</v>
      </c>
      <c r="Q56" s="9"/>
      <c r="R56" s="10" t="s">
        <v>1622</v>
      </c>
      <c r="S56" s="28" t="s">
        <v>1206</v>
      </c>
      <c r="T56" s="140" t="s">
        <v>1614</v>
      </c>
      <c r="U56" s="9" t="s">
        <v>1615</v>
      </c>
      <c r="V56" s="44" t="s">
        <v>1616</v>
      </c>
      <c r="W56" s="141">
        <f t="shared" ref="W56:W58" si="6">SUM(X56:Y56)</f>
        <v>90</v>
      </c>
      <c r="X56" s="141">
        <v>90</v>
      </c>
      <c r="Y56" s="141"/>
      <c r="Z56" s="28" t="s">
        <v>1623</v>
      </c>
    </row>
    <row r="57" spans="1:26" ht="40.5">
      <c r="A57" s="13">
        <v>53</v>
      </c>
      <c r="B57" s="11" t="s">
        <v>1351</v>
      </c>
      <c r="C57" s="132" t="s">
        <v>1607</v>
      </c>
      <c r="D57" s="28" t="s">
        <v>1624</v>
      </c>
      <c r="E57" s="28" t="s">
        <v>1625</v>
      </c>
      <c r="F57" s="148" t="s">
        <v>1626</v>
      </c>
      <c r="G57" s="28" t="s">
        <v>1611</v>
      </c>
      <c r="H57" s="28" t="s">
        <v>1627</v>
      </c>
      <c r="I57" s="135">
        <v>742</v>
      </c>
      <c r="J57" s="136"/>
      <c r="K57" s="137"/>
      <c r="L57" s="137">
        <v>742</v>
      </c>
      <c r="M57" s="138"/>
      <c r="N57" s="139"/>
      <c r="O57" s="30"/>
      <c r="P57" s="140" t="s">
        <v>1526</v>
      </c>
      <c r="Q57" s="9"/>
      <c r="R57" s="10" t="s">
        <v>1628</v>
      </c>
      <c r="S57" s="28" t="s">
        <v>1206</v>
      </c>
      <c r="T57" s="140" t="s">
        <v>1614</v>
      </c>
      <c r="U57" s="9" t="s">
        <v>1615</v>
      </c>
      <c r="V57" s="44" t="s">
        <v>1616</v>
      </c>
      <c r="W57" s="141">
        <f t="shared" si="6"/>
        <v>30</v>
      </c>
      <c r="X57" s="141">
        <v>30</v>
      </c>
      <c r="Y57" s="141"/>
      <c r="Z57" s="28" t="s">
        <v>1629</v>
      </c>
    </row>
    <row r="58" spans="1:26" ht="40.5">
      <c r="A58" s="13">
        <v>54</v>
      </c>
      <c r="B58" s="11" t="s">
        <v>1172</v>
      </c>
      <c r="C58" s="132" t="s">
        <v>1607</v>
      </c>
      <c r="D58" s="28" t="s">
        <v>1630</v>
      </c>
      <c r="E58" s="28" t="s">
        <v>1631</v>
      </c>
      <c r="F58" s="148" t="s">
        <v>1632</v>
      </c>
      <c r="G58" s="1449" t="s">
        <v>6296</v>
      </c>
      <c r="H58" s="28" t="s">
        <v>1425</v>
      </c>
      <c r="I58" s="135">
        <v>1700</v>
      </c>
      <c r="J58" s="136"/>
      <c r="K58" s="137">
        <v>1000</v>
      </c>
      <c r="L58" s="137">
        <v>500</v>
      </c>
      <c r="M58" s="138">
        <v>200</v>
      </c>
      <c r="N58" s="139"/>
      <c r="O58" s="30"/>
      <c r="P58" s="140" t="s">
        <v>67</v>
      </c>
      <c r="Q58" s="9"/>
      <c r="R58" s="10" t="s">
        <v>1633</v>
      </c>
      <c r="S58" s="28" t="s">
        <v>1427</v>
      </c>
      <c r="T58" s="140" t="s">
        <v>1634</v>
      </c>
      <c r="U58" s="9" t="s">
        <v>1429</v>
      </c>
      <c r="V58" s="44" t="s">
        <v>1430</v>
      </c>
      <c r="W58" s="141">
        <f t="shared" si="6"/>
        <v>10</v>
      </c>
      <c r="X58" s="141">
        <v>10</v>
      </c>
      <c r="Y58" s="206" t="s">
        <v>1635</v>
      </c>
      <c r="Z58" s="28" t="s">
        <v>1636</v>
      </c>
    </row>
    <row r="59" spans="1:26" ht="67.5">
      <c r="A59" s="13">
        <v>55</v>
      </c>
      <c r="B59" s="11" t="s">
        <v>1253</v>
      </c>
      <c r="C59" s="132" t="s">
        <v>1637</v>
      </c>
      <c r="D59" s="28" t="s">
        <v>1638</v>
      </c>
      <c r="E59" s="28" t="s">
        <v>1639</v>
      </c>
      <c r="F59" s="148" t="s">
        <v>1640</v>
      </c>
      <c r="G59" s="28" t="s">
        <v>1641</v>
      </c>
      <c r="H59" s="28" t="s">
        <v>1642</v>
      </c>
      <c r="I59" s="135">
        <f>SUM(J59:M59)</f>
        <v>2710</v>
      </c>
      <c r="J59" s="136"/>
      <c r="K59" s="137"/>
      <c r="L59" s="137">
        <v>2710</v>
      </c>
      <c r="M59" s="138"/>
      <c r="N59" s="139"/>
      <c r="O59" s="30"/>
      <c r="P59" s="140" t="s">
        <v>909</v>
      </c>
      <c r="Q59" s="9" t="s">
        <v>1643</v>
      </c>
      <c r="R59" s="10" t="s">
        <v>1644</v>
      </c>
      <c r="S59" s="28" t="s">
        <v>1427</v>
      </c>
      <c r="T59" s="140" t="s">
        <v>1645</v>
      </c>
      <c r="U59" s="9" t="s">
        <v>1646</v>
      </c>
      <c r="V59" s="44" t="s">
        <v>1647</v>
      </c>
      <c r="W59" s="178">
        <v>1734</v>
      </c>
      <c r="X59" s="178">
        <v>1613</v>
      </c>
      <c r="Y59" s="178">
        <v>121</v>
      </c>
      <c r="Z59" s="28" t="s">
        <v>1648</v>
      </c>
    </row>
    <row r="60" spans="1:26" ht="40.5">
      <c r="A60" s="13">
        <v>56</v>
      </c>
      <c r="B60" s="11" t="s">
        <v>1253</v>
      </c>
      <c r="C60" s="132" t="s">
        <v>1637</v>
      </c>
      <c r="D60" s="28" t="s">
        <v>1649</v>
      </c>
      <c r="E60" s="28" t="s">
        <v>1650</v>
      </c>
      <c r="F60" s="148" t="s">
        <v>1651</v>
      </c>
      <c r="G60" s="28" t="s">
        <v>1641</v>
      </c>
      <c r="H60" s="28" t="s">
        <v>1652</v>
      </c>
      <c r="I60" s="135">
        <f>SUM(J60:M60)</f>
        <v>399</v>
      </c>
      <c r="J60" s="136"/>
      <c r="K60" s="137"/>
      <c r="L60" s="137">
        <v>399</v>
      </c>
      <c r="M60" s="138"/>
      <c r="N60" s="139"/>
      <c r="O60" s="30"/>
      <c r="P60" s="140" t="s">
        <v>909</v>
      </c>
      <c r="Q60" s="9"/>
      <c r="R60" s="10" t="s">
        <v>1653</v>
      </c>
      <c r="S60" s="28" t="s">
        <v>1427</v>
      </c>
      <c r="T60" s="140" t="s">
        <v>1645</v>
      </c>
      <c r="U60" s="9" t="s">
        <v>1646</v>
      </c>
      <c r="V60" s="44" t="s">
        <v>1647</v>
      </c>
      <c r="W60" s="178">
        <v>42.1</v>
      </c>
      <c r="X60" s="178">
        <v>41.8</v>
      </c>
      <c r="Y60" s="178">
        <v>0.3</v>
      </c>
      <c r="Z60" s="28" t="s">
        <v>1654</v>
      </c>
    </row>
    <row r="61" spans="1:26" s="43" customFormat="1" ht="67.5">
      <c r="A61" s="13">
        <v>57</v>
      </c>
      <c r="B61" s="11" t="s">
        <v>1172</v>
      </c>
      <c r="C61" s="132" t="s">
        <v>1655</v>
      </c>
      <c r="D61" s="28" t="s">
        <v>1656</v>
      </c>
      <c r="E61" s="28" t="s">
        <v>1657</v>
      </c>
      <c r="F61" s="148" t="s">
        <v>1658</v>
      </c>
      <c r="G61" s="28" t="s">
        <v>1659</v>
      </c>
      <c r="H61" s="28" t="s">
        <v>1652</v>
      </c>
      <c r="I61" s="135">
        <f>J61+K61+L61+M61</f>
        <v>540</v>
      </c>
      <c r="J61" s="136"/>
      <c r="K61" s="137">
        <v>20</v>
      </c>
      <c r="L61" s="137">
        <v>520</v>
      </c>
      <c r="M61" s="138"/>
      <c r="N61" s="139"/>
      <c r="O61" s="30"/>
      <c r="P61" s="140" t="s">
        <v>92</v>
      </c>
      <c r="Q61" s="172"/>
      <c r="R61" s="10" t="s">
        <v>1660</v>
      </c>
      <c r="S61" s="28" t="s">
        <v>1427</v>
      </c>
      <c r="T61" s="140" t="s">
        <v>929</v>
      </c>
      <c r="U61" s="9" t="s">
        <v>84</v>
      </c>
      <c r="V61" s="44" t="s">
        <v>1064</v>
      </c>
      <c r="W61" s="141">
        <v>98.2</v>
      </c>
      <c r="X61" s="141">
        <v>96.7</v>
      </c>
      <c r="Y61" s="141">
        <v>1.5</v>
      </c>
      <c r="Z61" s="28" t="s">
        <v>1661</v>
      </c>
    </row>
    <row r="62" spans="1:26" ht="54">
      <c r="A62" s="13">
        <v>58</v>
      </c>
      <c r="B62" s="11" t="s">
        <v>1253</v>
      </c>
      <c r="C62" s="132" t="s">
        <v>1662</v>
      </c>
      <c r="D62" s="28" t="s">
        <v>1663</v>
      </c>
      <c r="E62" s="28" t="s">
        <v>1664</v>
      </c>
      <c r="F62" s="148" t="s">
        <v>1665</v>
      </c>
      <c r="G62" s="28" t="s">
        <v>1666</v>
      </c>
      <c r="H62" s="28" t="s">
        <v>1667</v>
      </c>
      <c r="I62" s="135">
        <v>290</v>
      </c>
      <c r="J62" s="136"/>
      <c r="K62" s="137"/>
      <c r="L62" s="137">
        <v>290</v>
      </c>
      <c r="M62" s="138"/>
      <c r="N62" s="139"/>
      <c r="O62" s="30"/>
      <c r="P62" s="140" t="s">
        <v>92</v>
      </c>
      <c r="Q62" s="172"/>
      <c r="R62" s="10" t="s">
        <v>1668</v>
      </c>
      <c r="S62" s="28" t="s">
        <v>1669</v>
      </c>
      <c r="T62" s="140" t="s">
        <v>1670</v>
      </c>
      <c r="U62" s="9" t="s">
        <v>1671</v>
      </c>
      <c r="V62" s="44" t="s">
        <v>1647</v>
      </c>
      <c r="W62" s="141">
        <f>SUM(X62:Y62)</f>
        <v>159</v>
      </c>
      <c r="X62" s="141">
        <v>159</v>
      </c>
      <c r="Y62" s="141"/>
      <c r="Z62" s="28" t="s">
        <v>1672</v>
      </c>
    </row>
    <row r="63" spans="1:26" ht="94.5">
      <c r="A63" s="13">
        <v>59</v>
      </c>
      <c r="B63" s="11" t="s">
        <v>1172</v>
      </c>
      <c r="C63" s="132" t="s">
        <v>1662</v>
      </c>
      <c r="D63" s="28" t="s">
        <v>1673</v>
      </c>
      <c r="E63" s="28" t="s">
        <v>1674</v>
      </c>
      <c r="F63" s="148" t="s">
        <v>1675</v>
      </c>
      <c r="G63" s="28" t="s">
        <v>1676</v>
      </c>
      <c r="H63" s="28" t="s">
        <v>1677</v>
      </c>
      <c r="I63" s="135">
        <v>395</v>
      </c>
      <c r="J63" s="136"/>
      <c r="K63" s="137"/>
      <c r="L63" s="137">
        <v>395</v>
      </c>
      <c r="M63" s="138"/>
      <c r="N63" s="139"/>
      <c r="O63" s="30"/>
      <c r="P63" s="140" t="s">
        <v>1678</v>
      </c>
      <c r="Q63" s="172"/>
      <c r="R63" s="10" t="s">
        <v>1679</v>
      </c>
      <c r="S63" s="28" t="s">
        <v>1680</v>
      </c>
      <c r="T63" s="140" t="s">
        <v>1670</v>
      </c>
      <c r="U63" s="9" t="s">
        <v>1671</v>
      </c>
      <c r="V63" s="44" t="s">
        <v>1647</v>
      </c>
      <c r="W63" s="141">
        <f t="shared" ref="W63:W64" si="7">SUM(X63:Y63)</f>
        <v>29</v>
      </c>
      <c r="X63" s="141">
        <v>29</v>
      </c>
      <c r="Y63" s="141"/>
      <c r="Z63" s="28" t="s">
        <v>1672</v>
      </c>
    </row>
    <row r="64" spans="1:26" ht="121.5">
      <c r="A64" s="13">
        <v>60</v>
      </c>
      <c r="B64" s="11" t="s">
        <v>1253</v>
      </c>
      <c r="C64" s="132" t="s">
        <v>1662</v>
      </c>
      <c r="D64" s="28" t="s">
        <v>1681</v>
      </c>
      <c r="E64" s="28" t="s">
        <v>1682</v>
      </c>
      <c r="F64" s="148" t="s">
        <v>1683</v>
      </c>
      <c r="G64" s="28" t="s">
        <v>1684</v>
      </c>
      <c r="H64" s="28" t="s">
        <v>1685</v>
      </c>
      <c r="I64" s="135">
        <v>295</v>
      </c>
      <c r="J64" s="136"/>
      <c r="K64" s="137"/>
      <c r="L64" s="137">
        <v>295</v>
      </c>
      <c r="M64" s="138"/>
      <c r="N64" s="139"/>
      <c r="O64" s="30"/>
      <c r="P64" s="140" t="s">
        <v>1686</v>
      </c>
      <c r="Q64" s="172"/>
      <c r="R64" s="10" t="s">
        <v>1687</v>
      </c>
      <c r="S64" s="28" t="s">
        <v>1688</v>
      </c>
      <c r="T64" s="140" t="s">
        <v>1670</v>
      </c>
      <c r="U64" s="9" t="s">
        <v>1671</v>
      </c>
      <c r="V64" s="44" t="s">
        <v>1647</v>
      </c>
      <c r="W64" s="141">
        <f t="shared" si="7"/>
        <v>50</v>
      </c>
      <c r="X64" s="141">
        <v>50</v>
      </c>
      <c r="Y64" s="141"/>
      <c r="Z64" s="28" t="s">
        <v>1689</v>
      </c>
    </row>
    <row r="65" spans="1:26" ht="27">
      <c r="A65" s="13">
        <v>61</v>
      </c>
      <c r="B65" s="11" t="s">
        <v>1172</v>
      </c>
      <c r="C65" s="132" t="s">
        <v>1690</v>
      </c>
      <c r="D65" s="28" t="s">
        <v>1691</v>
      </c>
      <c r="E65" s="28" t="s">
        <v>1692</v>
      </c>
      <c r="F65" s="148" t="s">
        <v>1693</v>
      </c>
      <c r="G65" s="28" t="s">
        <v>1694</v>
      </c>
      <c r="H65" s="28" t="s">
        <v>1695</v>
      </c>
      <c r="I65" s="135">
        <f>SUM(J65:M65)</f>
        <v>1200</v>
      </c>
      <c r="J65" s="136"/>
      <c r="K65" s="137"/>
      <c r="L65" s="137">
        <v>1200</v>
      </c>
      <c r="M65" s="138"/>
      <c r="N65" s="139"/>
      <c r="O65" s="30"/>
      <c r="P65" s="140" t="s">
        <v>67</v>
      </c>
      <c r="Q65" s="9"/>
      <c r="R65" s="10" t="s">
        <v>1696</v>
      </c>
      <c r="S65" s="28" t="s">
        <v>82</v>
      </c>
      <c r="T65" s="140" t="s">
        <v>1103</v>
      </c>
      <c r="U65" s="9" t="s">
        <v>1697</v>
      </c>
      <c r="V65" s="44" t="s">
        <v>1047</v>
      </c>
      <c r="W65" s="141">
        <v>110</v>
      </c>
      <c r="X65" s="141">
        <v>110</v>
      </c>
      <c r="Y65" s="141"/>
      <c r="Z65" s="28" t="s">
        <v>1648</v>
      </c>
    </row>
    <row r="66" spans="1:26" ht="27">
      <c r="A66" s="13">
        <v>62</v>
      </c>
      <c r="B66" s="11" t="s">
        <v>1172</v>
      </c>
      <c r="C66" s="132" t="s">
        <v>1690</v>
      </c>
      <c r="D66" s="28" t="s">
        <v>1698</v>
      </c>
      <c r="E66" s="28" t="s">
        <v>1699</v>
      </c>
      <c r="F66" s="148" t="s">
        <v>1700</v>
      </c>
      <c r="G66" s="1449" t="s">
        <v>6297</v>
      </c>
      <c r="H66" s="28" t="s">
        <v>1701</v>
      </c>
      <c r="I66" s="135">
        <f t="shared" ref="I66" si="8">SUM(J66:M66)</f>
        <v>113</v>
      </c>
      <c r="J66" s="136"/>
      <c r="K66" s="137" t="s">
        <v>1702</v>
      </c>
      <c r="L66" s="137">
        <v>88</v>
      </c>
      <c r="M66" s="138">
        <v>25</v>
      </c>
      <c r="N66" s="139"/>
      <c r="O66" s="30"/>
      <c r="P66" s="140" t="s">
        <v>92</v>
      </c>
      <c r="Q66" s="9"/>
      <c r="R66" s="10" t="s">
        <v>1703</v>
      </c>
      <c r="S66" s="28" t="s">
        <v>82</v>
      </c>
      <c r="T66" s="140" t="s">
        <v>929</v>
      </c>
      <c r="U66" s="9" t="s">
        <v>84</v>
      </c>
      <c r="V66" s="44" t="s">
        <v>1047</v>
      </c>
      <c r="W66" s="141">
        <v>5</v>
      </c>
      <c r="X66" s="141">
        <v>5</v>
      </c>
      <c r="Y66" s="141"/>
      <c r="Z66" s="28" t="s">
        <v>909</v>
      </c>
    </row>
    <row r="67" spans="1:26" ht="94.5">
      <c r="A67" s="13">
        <v>63</v>
      </c>
      <c r="B67" s="11" t="s">
        <v>1172</v>
      </c>
      <c r="C67" s="132" t="s">
        <v>1704</v>
      </c>
      <c r="D67" s="28" t="s">
        <v>1705</v>
      </c>
      <c r="E67" s="28" t="s">
        <v>1706</v>
      </c>
      <c r="F67" s="148" t="s">
        <v>1707</v>
      </c>
      <c r="G67" s="28" t="s">
        <v>1708</v>
      </c>
      <c r="H67" s="28" t="s">
        <v>1709</v>
      </c>
      <c r="I67" s="135">
        <v>100</v>
      </c>
      <c r="J67" s="136"/>
      <c r="K67" s="137"/>
      <c r="L67" s="137">
        <v>90</v>
      </c>
      <c r="M67" s="138">
        <v>10</v>
      </c>
      <c r="N67" s="139"/>
      <c r="O67" s="30"/>
      <c r="P67" s="140" t="s">
        <v>92</v>
      </c>
      <c r="Q67" s="9"/>
      <c r="R67" s="10" t="s">
        <v>1710</v>
      </c>
      <c r="S67" s="28" t="s">
        <v>82</v>
      </c>
      <c r="T67" s="140" t="s">
        <v>929</v>
      </c>
      <c r="U67" s="9" t="s">
        <v>84</v>
      </c>
      <c r="V67" s="44" t="s">
        <v>1711</v>
      </c>
      <c r="W67" s="141">
        <v>25</v>
      </c>
      <c r="X67" s="141">
        <v>25</v>
      </c>
      <c r="Y67" s="141"/>
      <c r="Z67" s="28" t="s">
        <v>1712</v>
      </c>
    </row>
    <row r="68" spans="1:26" ht="27">
      <c r="A68" s="13">
        <v>64</v>
      </c>
      <c r="B68" s="11" t="s">
        <v>1172</v>
      </c>
      <c r="C68" s="132" t="s">
        <v>1704</v>
      </c>
      <c r="D68" s="28" t="s">
        <v>1713</v>
      </c>
      <c r="E68" s="28" t="s">
        <v>1714</v>
      </c>
      <c r="F68" s="148" t="s">
        <v>1715</v>
      </c>
      <c r="G68" s="28" t="s">
        <v>1716</v>
      </c>
      <c r="H68" s="28" t="s">
        <v>1717</v>
      </c>
      <c r="I68" s="135">
        <v>473</v>
      </c>
      <c r="J68" s="136"/>
      <c r="K68" s="137"/>
      <c r="L68" s="137">
        <v>473</v>
      </c>
      <c r="M68" s="138"/>
      <c r="N68" s="139"/>
      <c r="O68" s="30"/>
      <c r="P68" s="140" t="s">
        <v>67</v>
      </c>
      <c r="Q68" s="9"/>
      <c r="R68" s="10" t="s">
        <v>1718</v>
      </c>
      <c r="S68" s="28" t="s">
        <v>82</v>
      </c>
      <c r="T68" s="140" t="s">
        <v>929</v>
      </c>
      <c r="U68" s="9" t="s">
        <v>84</v>
      </c>
      <c r="V68" s="44" t="s">
        <v>85</v>
      </c>
      <c r="W68" s="141">
        <v>2</v>
      </c>
      <c r="X68" s="141">
        <v>2</v>
      </c>
      <c r="Y68" s="141"/>
      <c r="Z68" s="28" t="s">
        <v>1719</v>
      </c>
    </row>
    <row r="69" spans="1:26" ht="27">
      <c r="A69" s="13">
        <v>65</v>
      </c>
      <c r="B69" s="11" t="s">
        <v>1253</v>
      </c>
      <c r="C69" s="132" t="s">
        <v>1720</v>
      </c>
      <c r="D69" s="28" t="s">
        <v>1721</v>
      </c>
      <c r="E69" s="28" t="s">
        <v>1722</v>
      </c>
      <c r="F69" s="148" t="s">
        <v>1723</v>
      </c>
      <c r="G69" s="28" t="s">
        <v>1724</v>
      </c>
      <c r="H69" s="28" t="s">
        <v>1725</v>
      </c>
      <c r="I69" s="135">
        <v>500</v>
      </c>
      <c r="J69" s="136"/>
      <c r="K69" s="137">
        <v>470</v>
      </c>
      <c r="L69" s="137">
        <v>30</v>
      </c>
      <c r="M69" s="138"/>
      <c r="N69" s="139"/>
      <c r="O69" s="30"/>
      <c r="P69" s="140" t="s">
        <v>1726</v>
      </c>
      <c r="Q69" s="9"/>
      <c r="R69" s="10" t="s">
        <v>1727</v>
      </c>
      <c r="S69" s="28" t="s">
        <v>1427</v>
      </c>
      <c r="T69" s="140" t="s">
        <v>1439</v>
      </c>
      <c r="U69" s="9" t="s">
        <v>1429</v>
      </c>
      <c r="V69" s="44" t="s">
        <v>1430</v>
      </c>
      <c r="W69" s="141">
        <f t="shared" ref="W69" si="9">SUM(X69:Y69)</f>
        <v>160</v>
      </c>
      <c r="X69" s="141">
        <v>160</v>
      </c>
      <c r="Y69" s="141"/>
      <c r="Z69" s="28" t="s">
        <v>1728</v>
      </c>
    </row>
    <row r="70" spans="1:26" ht="54">
      <c r="A70" s="13">
        <v>66</v>
      </c>
      <c r="B70" s="11" t="s">
        <v>1253</v>
      </c>
      <c r="C70" s="132" t="s">
        <v>1729</v>
      </c>
      <c r="D70" s="28" t="s">
        <v>1730</v>
      </c>
      <c r="E70" s="28" t="s">
        <v>1731</v>
      </c>
      <c r="F70" s="148" t="s">
        <v>1732</v>
      </c>
      <c r="G70" s="28" t="s">
        <v>1733</v>
      </c>
      <c r="H70" s="28" t="s">
        <v>1734</v>
      </c>
      <c r="I70" s="135">
        <v>539</v>
      </c>
      <c r="J70" s="136"/>
      <c r="K70" s="137"/>
      <c r="L70" s="137">
        <v>539</v>
      </c>
      <c r="M70" s="138"/>
      <c r="N70" s="139"/>
      <c r="O70" s="30"/>
      <c r="P70" s="140" t="s">
        <v>1726</v>
      </c>
      <c r="Q70" s="9"/>
      <c r="R70" s="10" t="s">
        <v>1735</v>
      </c>
      <c r="S70" s="28" t="s">
        <v>1427</v>
      </c>
      <c r="T70" s="140" t="s">
        <v>1736</v>
      </c>
      <c r="U70" s="9" t="s">
        <v>1429</v>
      </c>
      <c r="V70" s="44" t="s">
        <v>1737</v>
      </c>
      <c r="W70" s="141">
        <f>SUM(X70:Y70)</f>
        <v>106</v>
      </c>
      <c r="X70" s="141">
        <v>104</v>
      </c>
      <c r="Y70" s="141">
        <v>2</v>
      </c>
      <c r="Z70" s="28" t="s">
        <v>1738</v>
      </c>
    </row>
    <row r="71" spans="1:26" ht="54">
      <c r="A71" s="13">
        <v>67</v>
      </c>
      <c r="B71" s="11" t="s">
        <v>1253</v>
      </c>
      <c r="C71" s="132" t="s">
        <v>1729</v>
      </c>
      <c r="D71" s="28" t="s">
        <v>1739</v>
      </c>
      <c r="E71" s="28" t="s">
        <v>1740</v>
      </c>
      <c r="F71" s="148" t="s">
        <v>1741</v>
      </c>
      <c r="G71" s="28" t="s">
        <v>1742</v>
      </c>
      <c r="H71" s="28" t="s">
        <v>1734</v>
      </c>
      <c r="I71" s="135">
        <v>593</v>
      </c>
      <c r="J71" s="136"/>
      <c r="K71" s="137">
        <v>20</v>
      </c>
      <c r="L71" s="137">
        <v>573</v>
      </c>
      <c r="M71" s="138"/>
      <c r="N71" s="139"/>
      <c r="O71" s="30"/>
      <c r="P71" s="140" t="s">
        <v>1678</v>
      </c>
      <c r="Q71" s="9"/>
      <c r="R71" s="10" t="s">
        <v>1743</v>
      </c>
      <c r="S71" s="28" t="s">
        <v>1427</v>
      </c>
      <c r="T71" s="140" t="s">
        <v>1736</v>
      </c>
      <c r="U71" s="9" t="s">
        <v>1429</v>
      </c>
      <c r="V71" s="44" t="s">
        <v>1737</v>
      </c>
      <c r="W71" s="141">
        <f t="shared" ref="W71" si="10">SUM(X71:Y71)</f>
        <v>150</v>
      </c>
      <c r="X71" s="141">
        <v>144</v>
      </c>
      <c r="Y71" s="141">
        <v>6</v>
      </c>
      <c r="Z71" s="28" t="s">
        <v>1744</v>
      </c>
    </row>
    <row r="72" spans="1:26" ht="68.25" thickBot="1">
      <c r="A72" s="26">
        <v>68</v>
      </c>
      <c r="B72" s="207" t="s">
        <v>1172</v>
      </c>
      <c r="C72" s="208" t="s">
        <v>1729</v>
      </c>
      <c r="D72" s="209" t="s">
        <v>1745</v>
      </c>
      <c r="E72" s="209" t="s">
        <v>1746</v>
      </c>
      <c r="F72" s="210" t="s">
        <v>1747</v>
      </c>
      <c r="G72" s="209" t="s">
        <v>1748</v>
      </c>
      <c r="H72" s="209" t="s">
        <v>1749</v>
      </c>
      <c r="I72" s="211">
        <v>475</v>
      </c>
      <c r="J72" s="212"/>
      <c r="K72" s="213"/>
      <c r="L72" s="213">
        <v>475</v>
      </c>
      <c r="M72" s="214"/>
      <c r="N72" s="215"/>
      <c r="O72" s="216"/>
      <c r="P72" s="217" t="s">
        <v>105</v>
      </c>
      <c r="Q72" s="218"/>
      <c r="R72" s="219" t="s">
        <v>1750</v>
      </c>
      <c r="S72" s="209" t="s">
        <v>1537</v>
      </c>
      <c r="T72" s="217" t="s">
        <v>1751</v>
      </c>
      <c r="U72" s="218" t="s">
        <v>1752</v>
      </c>
      <c r="V72" s="220" t="s">
        <v>1540</v>
      </c>
      <c r="W72" s="221">
        <f>SUM(X72:Y72)</f>
        <v>50</v>
      </c>
      <c r="X72" s="221">
        <v>50</v>
      </c>
      <c r="Y72" s="221"/>
      <c r="Z72" s="209" t="s">
        <v>1753</v>
      </c>
    </row>
  </sheetData>
  <mergeCells count="4">
    <mergeCell ref="A1:Y2"/>
    <mergeCell ref="I3:M3"/>
    <mergeCell ref="N3:O3"/>
    <mergeCell ref="W3:Y3"/>
  </mergeCells>
  <phoneticPr fontId="3" type="noConversion"/>
  <dataValidations count="29">
    <dataValidation type="list" allowBlank="1" showInputMessage="1" showErrorMessage="1" sqref="Q70:Q71 P70">
      <formula1>$P$8:$P$13</formula1>
    </dataValidation>
    <dataValidation type="list" allowBlank="1" showInputMessage="1" showErrorMessage="1" sqref="B70:B71">
      <formula1>$B$8:$B$23</formula1>
    </dataValidation>
    <dataValidation type="list" allowBlank="1" showInputMessage="1" showErrorMessage="1" sqref="B72 IX72 ST72 ACP72 AML72 AWH72 BGD72 BPZ72 BZV72 CJR72 CTN72 DDJ72 DNF72 DXB72 EGX72 EQT72 FAP72 FKL72 FUH72 GED72 GNZ72 GXV72 HHR72 HRN72 IBJ72 ILF72 IVB72 JEX72 JOT72 JYP72 KIL72 KSH72 LCD72 LLZ72 LVV72 MFR72 MPN72 MZJ72 NJF72 NTB72 OCX72 OMT72 OWP72 PGL72 PQH72 QAD72 QJZ72 QTV72 RDR72 RNN72 RXJ72 SHF72 SRB72 TAX72 TKT72 TUP72 UEL72 UOH72 UYD72 VHZ72 VRV72 WBR72 WLN72 WVJ72">
      <formula1>$B$12:$B$27</formula1>
    </dataValidation>
    <dataValidation type="list" allowBlank="1" showInputMessage="1" showErrorMessage="1" sqref="P72:Q72 JL72:JM72 TH72:TI72 ADD72:ADE72 AMZ72:ANA72 AWV72:AWW72 BGR72:BGS72 BQN72:BQO72 CAJ72:CAK72 CKF72:CKG72 CUB72:CUC72 DDX72:DDY72 DNT72:DNU72 DXP72:DXQ72 EHL72:EHM72 ERH72:ERI72 FBD72:FBE72 FKZ72:FLA72 FUV72:FUW72 GER72:GES72 GON72:GOO72 GYJ72:GYK72 HIF72:HIG72 HSB72:HSC72 IBX72:IBY72 ILT72:ILU72 IVP72:IVQ72 JFL72:JFM72 JPH72:JPI72 JZD72:JZE72 KIZ72:KJA72 KSV72:KSW72 LCR72:LCS72 LMN72:LMO72 LWJ72:LWK72 MGF72:MGG72 MQB72:MQC72 MZX72:MZY72 NJT72:NJU72 NTP72:NTQ72 ODL72:ODM72 ONH72:ONI72 OXD72:OXE72 PGZ72:PHA72 PQV72:PQW72 QAR72:QAS72 QKN72:QKO72 QUJ72:QUK72 REF72:REG72 ROB72:ROC72 RXX72:RXY72 SHT72:SHU72 SRP72:SRQ72 TBL72:TBM72 TLH72:TLI72 TVD72:TVE72 UEZ72:UFA72 UOV72:UOW72 UYR72:UYS72 VIN72:VIO72 VSJ72:VSK72 WCF72:WCG72 WMB72:WMC72 WVX72:WVY72">
      <formula1>$P$12:$P$16</formula1>
    </dataValidation>
    <dataValidation type="list" allowBlank="1" showInputMessage="1" showErrorMessage="1" sqref="P67:Q69">
      <formula1>$P$11:$P$14</formula1>
    </dataValidation>
    <dataValidation type="list" allowBlank="1" showInputMessage="1" showErrorMessage="1" sqref="B67:B69">
      <formula1>$B$11:$B$21</formula1>
    </dataValidation>
    <dataValidation type="list" allowBlank="1" showInputMessage="1" showErrorMessage="1" sqref="P65:Q66">
      <formula1>$P$83:$P$88</formula1>
    </dataValidation>
    <dataValidation type="list" allowBlank="1" showInputMessage="1" showErrorMessage="1" sqref="B65:B66">
      <formula1>$B$83:$B$99</formula1>
    </dataValidation>
    <dataValidation type="list" allowBlank="1" showInputMessage="1" showErrorMessage="1" sqref="P59:P60">
      <formula1>$P$7:$P$10</formula1>
    </dataValidation>
    <dataValidation type="list" allowBlank="1" showInputMessage="1" showErrorMessage="1" sqref="B59:B60">
      <formula1>$B$7:$B$15</formula1>
    </dataValidation>
    <dataValidation type="list" allowBlank="1" showInputMessage="1" showErrorMessage="1" sqref="P49 P53:Q54">
      <formula1>$P$188:$P$193</formula1>
    </dataValidation>
    <dataValidation type="list" allowBlank="1" showInputMessage="1" showErrorMessage="1" sqref="B48 B50:B54">
      <formula1>$B$188:$B$204</formula1>
    </dataValidation>
    <dataValidation type="list" allowBlank="1" showInputMessage="1" showErrorMessage="1" sqref="B44:B47">
      <formula1>$B$181:$B$197</formula1>
    </dataValidation>
    <dataValidation type="list" allowBlank="1" showInputMessage="1" showErrorMessage="1" sqref="B33:B35 Q33:Q34 P17:S17 P14:Q14 Q23 P18:R19 B49 P15:P16 R15 B14:B19 B21:B23 P44:P48 Q49:Q50 P50:P52 Q52 P21:P22">
      <formula1>#REF!</formula1>
    </dataValidation>
    <dataValidation type="list" allowBlank="1" showInputMessage="1" showErrorMessage="1" sqref="P31:Q31 Q35 Q32">
      <formula1>$P$5:$P$8</formula1>
    </dataValidation>
    <dataValidation type="list" allowBlank="1" showInputMessage="1" showErrorMessage="1" sqref="P33:P34 P71">
      <formula1>$P$184:$P$189</formula1>
    </dataValidation>
    <dataValidation type="list" allowBlank="1" showInputMessage="1" showErrorMessage="1" sqref="B31">
      <formula1>$B$5:$B$15</formula1>
    </dataValidation>
    <dataValidation type="list" allowBlank="1" showInputMessage="1" showErrorMessage="1" sqref="Q27:Q28">
      <formula1>$P$181:$P$186</formula1>
    </dataValidation>
    <dataValidation type="list" allowBlank="1" showInputMessage="1" showErrorMessage="1" sqref="P29:P30 P32">
      <formula1>$P$182:$P$187</formula1>
    </dataValidation>
    <dataValidation type="list" allowBlank="1" showInputMessage="1" showErrorMessage="1" sqref="B27:B28">
      <formula1>$B$184:$B$200</formula1>
    </dataValidation>
    <dataValidation type="list" allowBlank="1" showInputMessage="1" showErrorMessage="1" sqref="P24:Q24">
      <formula1>$P$187:$P$192</formula1>
    </dataValidation>
    <dataValidation type="list" allowBlank="1" showInputMessage="1" showErrorMessage="1" sqref="B24">
      <formula1>$B$187:$B$203</formula1>
    </dataValidation>
    <dataValidation type="list" allowBlank="1" showInputMessage="1" showErrorMessage="1" sqref="P23">
      <formula1>$P$148:$P$153</formula1>
    </dataValidation>
    <dataValidation type="list" allowBlank="1" showInputMessage="1" showErrorMessage="1" sqref="P11:Q13">
      <formula1>$P$180:$P$185</formula1>
    </dataValidation>
    <dataValidation type="list" allowBlank="1" showInputMessage="1" showErrorMessage="1" sqref="B11:B13">
      <formula1>$B$180:$B$196</formula1>
    </dataValidation>
    <dataValidation type="list" allowBlank="1" showInputMessage="1" showErrorMessage="1" sqref="P9 Q62:Q64 JL25:JM26 TH25:TI26 ADD25:ADE26 AMZ25:ANA26 AWV25:AWW26 BGR25:BGS26 BQN25:BQO26 CAJ25:CAK26 CKF25:CKG26 CUB25:CUC26 DDX25:DDY26 DNT25:DNU26 DXP25:DXQ26 EHL25:EHM26 ERH25:ERI26 FBD25:FBE26 FKZ25:FLA26 FUV25:FUW26 GER25:GES26 GON25:GOO26 GYJ25:GYK26 HIF25:HIG26 HSB25:HSC26 IBX25:IBY26 ILT25:ILU26 IVP25:IVQ26 JFL25:JFM26 JPH25:JPI26 JZD25:JZE26 KIZ25:KJA26 KSV25:KSW26 LCR25:LCS26 LMN25:LMO26 LWJ25:LWK26 MGF25:MGG26 MQB25:MQC26 MZX25:MZY26 NJT25:NJU26 NTP25:NTQ26 ODL25:ODM26 ONH25:ONI26 OXD25:OXE26 PGZ25:PHA26 PQV25:PQW26 QAR25:QAS26 QKN25:QKO26 QUJ25:QUK26 REF25:REG26 ROB25:ROC26 RXX25:RXY26 SHT25:SHU26 SRP25:SRQ26 TBL25:TBM26 TLH25:TLI26 TVD25:TVE26 UEZ25:UFA26 UOV25:UOW26 UYR25:UYS26 VIN25:VIO26 VSJ25:VSK26 WCF25:WCG26 WMB25:WMC26 WVX25:WVY26 P36:Q39 P40:P43 P55:Q55 P56 P57:Q58 P61:P64 R61 P25:P28 Q26">
      <formula1>$P$185:$P$190</formula1>
    </dataValidation>
    <dataValidation type="list" allowBlank="1" showInputMessage="1" showErrorMessage="1" sqref="B9 B25:B26 IX25:IX26 ST25:ST26 ACP25:ACP26 AML25:AML26 AWH25:AWH26 BGD25:BGD26 BPZ25:BPZ26 BZV25:BZV26 CJR25:CJR26 CTN25:CTN26 DDJ25:DDJ26 DNF25:DNF26 DXB25:DXB26 EGX25:EGX26 EQT25:EQT26 FAP25:FAP26 FKL25:FKL26 FUH25:FUH26 GED25:GED26 GNZ25:GNZ26 GXV25:GXV26 HHR25:HHR26 HRN25:HRN26 IBJ25:IBJ26 ILF25:ILF26 IVB25:IVB26 JEX25:JEX26 JOT25:JOT26 JYP25:JYP26 KIL25:KIL26 KSH25:KSH26 LCD25:LCD26 LLZ25:LLZ26 LVV25:LVV26 MFR25:MFR26 MPN25:MPN26 MZJ25:MZJ26 NJF25:NJF26 NTB25:NTB26 OCX25:OCX26 OMT25:OMT26 OWP25:OWP26 PGL25:PGL26 PQH25:PQH26 QAD25:QAD26 QJZ25:QJZ26 QTV25:QTV26 RDR25:RDR26 RNN25:RNN26 RXJ25:RXJ26 SHF25:SHF26 SRB25:SRB26 TAX25:TAX26 TKT25:TKT26 TUP25:TUP26 UEL25:UEL26 UOH25:UOH26 UYD25:UYD26 VHZ25:VHZ26 VRV25:VRV26 WBR25:WBR26 WLN25:WLN26 WVJ25:WVJ26 B36:B43 B55:B58 B61:B64">
      <formula1>$B$185:$B$201</formula1>
    </dataValidation>
    <dataValidation type="list" allowBlank="1" showInputMessage="1" showErrorMessage="1" sqref="B10 B29:B30 B32">
      <formula1>$B$182:$B$198</formula1>
    </dataValidation>
    <dataValidation type="list" allowBlank="1" showInputMessage="1" showErrorMessage="1" sqref="P10 P5:P8 B5:B8">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4"/>
  <sheetViews>
    <sheetView topLeftCell="A38" workbookViewId="0">
      <selection activeCell="G38" sqref="G1:G1048576"/>
    </sheetView>
  </sheetViews>
  <sheetFormatPr defaultRowHeight="13.5"/>
  <cols>
    <col min="4" max="4" width="17.6640625" customWidth="1"/>
    <col min="5" max="5" width="13.5546875" customWidth="1"/>
    <col min="6" max="6" width="27.6640625" customWidth="1"/>
    <col min="7" max="7" width="27"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828"/>
      <c r="AA1" s="828"/>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830"/>
      <c r="AA2" s="830"/>
    </row>
    <row r="3" spans="1:27" ht="17.25" thickBot="1">
      <c r="A3" s="831"/>
      <c r="B3" s="831"/>
      <c r="C3" s="831"/>
      <c r="D3" s="829"/>
      <c r="E3" s="829"/>
      <c r="F3" s="829"/>
      <c r="G3" s="829"/>
      <c r="H3" s="829"/>
      <c r="I3" s="1612"/>
      <c r="J3" s="1613"/>
      <c r="K3" s="1613"/>
      <c r="L3" s="1613"/>
      <c r="M3" s="1613"/>
      <c r="N3" s="1609" t="s">
        <v>1754</v>
      </c>
      <c r="O3" s="1610"/>
      <c r="P3" s="856"/>
      <c r="Q3" s="856"/>
      <c r="R3" s="866"/>
      <c r="S3" s="867"/>
      <c r="T3" s="867"/>
      <c r="U3" s="867"/>
      <c r="V3" s="867"/>
      <c r="W3" s="1621" t="s">
        <v>896</v>
      </c>
      <c r="X3" s="1622"/>
      <c r="Y3" s="1623"/>
      <c r="Z3" s="867"/>
      <c r="AA3" s="838"/>
    </row>
    <row r="4" spans="1:27" ht="57.75" thickBot="1">
      <c r="A4" s="855" t="s">
        <v>897</v>
      </c>
      <c r="B4" s="837" t="s">
        <v>898</v>
      </c>
      <c r="C4" s="853" t="s">
        <v>899</v>
      </c>
      <c r="D4" s="854" t="s">
        <v>900</v>
      </c>
      <c r="E4" s="851" t="s">
        <v>901</v>
      </c>
      <c r="F4" s="854" t="s">
        <v>902</v>
      </c>
      <c r="G4" s="851" t="s">
        <v>903</v>
      </c>
      <c r="H4" s="851" t="s">
        <v>904</v>
      </c>
      <c r="I4" s="852" t="s">
        <v>905</v>
      </c>
      <c r="J4" s="863" t="s">
        <v>906</v>
      </c>
      <c r="K4" s="864" t="s">
        <v>907</v>
      </c>
      <c r="L4" s="864" t="s">
        <v>908</v>
      </c>
      <c r="M4" s="865" t="s">
        <v>909</v>
      </c>
      <c r="N4" s="868" t="s">
        <v>910</v>
      </c>
      <c r="O4" s="865" t="s">
        <v>911</v>
      </c>
      <c r="P4" s="851" t="s">
        <v>912</v>
      </c>
      <c r="Q4" s="851" t="s">
        <v>913</v>
      </c>
      <c r="R4" s="850" t="s">
        <v>914</v>
      </c>
      <c r="S4" s="849" t="s">
        <v>915</v>
      </c>
      <c r="T4" s="846" t="s">
        <v>916</v>
      </c>
      <c r="U4" s="847" t="s">
        <v>917</v>
      </c>
      <c r="V4" s="848" t="s">
        <v>918</v>
      </c>
      <c r="W4" s="850" t="s">
        <v>919</v>
      </c>
      <c r="X4" s="849" t="s">
        <v>920</v>
      </c>
      <c r="Y4" s="850" t="s">
        <v>921</v>
      </c>
      <c r="Z4" s="850" t="s">
        <v>922</v>
      </c>
      <c r="AA4" s="828"/>
    </row>
    <row r="5" spans="1:27" ht="69.95" customHeight="1">
      <c r="A5" s="836">
        <v>1</v>
      </c>
      <c r="B5" s="834" t="s">
        <v>2600</v>
      </c>
      <c r="C5" s="835" t="s">
        <v>3281</v>
      </c>
      <c r="D5" s="840" t="s">
        <v>3282</v>
      </c>
      <c r="E5" s="841" t="s">
        <v>3283</v>
      </c>
      <c r="F5" s="843" t="s">
        <v>3284</v>
      </c>
      <c r="G5" s="841" t="s">
        <v>3285</v>
      </c>
      <c r="H5" s="844" t="s">
        <v>3286</v>
      </c>
      <c r="I5" s="845">
        <v>580</v>
      </c>
      <c r="J5" s="857"/>
      <c r="K5" s="860">
        <v>30</v>
      </c>
      <c r="L5" s="860">
        <v>550</v>
      </c>
      <c r="M5" s="844"/>
      <c r="N5" s="869"/>
      <c r="O5" s="840"/>
      <c r="P5" s="845" t="s">
        <v>909</v>
      </c>
      <c r="Q5" s="832" t="s">
        <v>936</v>
      </c>
      <c r="R5" s="833" t="s">
        <v>3287</v>
      </c>
      <c r="S5" s="844" t="s">
        <v>82</v>
      </c>
      <c r="T5" s="845" t="s">
        <v>3288</v>
      </c>
      <c r="U5" s="832" t="s">
        <v>1141</v>
      </c>
      <c r="V5" s="833" t="s">
        <v>85</v>
      </c>
      <c r="W5" s="844">
        <v>72</v>
      </c>
      <c r="X5" s="844">
        <v>72</v>
      </c>
      <c r="Y5" s="841"/>
      <c r="Z5" s="841" t="s">
        <v>3289</v>
      </c>
      <c r="AA5" s="828"/>
    </row>
    <row r="6" spans="1:27" ht="69.95" customHeight="1">
      <c r="A6" s="836">
        <v>2</v>
      </c>
      <c r="B6" s="834" t="s">
        <v>2600</v>
      </c>
      <c r="C6" s="835" t="s">
        <v>3281</v>
      </c>
      <c r="D6" s="840" t="s">
        <v>3290</v>
      </c>
      <c r="E6" s="841" t="s">
        <v>3291</v>
      </c>
      <c r="F6" s="843" t="s">
        <v>3292</v>
      </c>
      <c r="G6" s="841" t="s">
        <v>3293</v>
      </c>
      <c r="H6" s="844" t="s">
        <v>2445</v>
      </c>
      <c r="I6" s="870">
        <v>2500</v>
      </c>
      <c r="J6" s="857"/>
      <c r="K6" s="871"/>
      <c r="L6" s="872">
        <v>2500</v>
      </c>
      <c r="M6" s="844"/>
      <c r="N6" s="869"/>
      <c r="O6" s="840"/>
      <c r="P6" s="845" t="s">
        <v>92</v>
      </c>
      <c r="Q6" s="832" t="s">
        <v>936</v>
      </c>
      <c r="R6" s="833" t="s">
        <v>3294</v>
      </c>
      <c r="S6" s="844" t="s">
        <v>82</v>
      </c>
      <c r="T6" s="845" t="s">
        <v>929</v>
      </c>
      <c r="U6" s="832" t="s">
        <v>1141</v>
      </c>
      <c r="V6" s="833" t="s">
        <v>85</v>
      </c>
      <c r="W6" s="844">
        <v>513</v>
      </c>
      <c r="X6" s="844">
        <v>513</v>
      </c>
      <c r="Y6" s="841"/>
      <c r="Z6" s="841" t="s">
        <v>3289</v>
      </c>
      <c r="AA6" s="828"/>
    </row>
    <row r="7" spans="1:27" ht="69.95" customHeight="1">
      <c r="A7" s="836">
        <v>3</v>
      </c>
      <c r="B7" s="834" t="s">
        <v>2600</v>
      </c>
      <c r="C7" s="835" t="s">
        <v>3281</v>
      </c>
      <c r="D7" s="840" t="s">
        <v>3295</v>
      </c>
      <c r="E7" s="841" t="s">
        <v>3296</v>
      </c>
      <c r="F7" s="843" t="s">
        <v>3297</v>
      </c>
      <c r="G7" s="841" t="s">
        <v>3298</v>
      </c>
      <c r="H7" s="844" t="s">
        <v>1917</v>
      </c>
      <c r="I7" s="845">
        <v>266</v>
      </c>
      <c r="J7" s="857"/>
      <c r="K7" s="860"/>
      <c r="L7" s="860">
        <v>266</v>
      </c>
      <c r="M7" s="844"/>
      <c r="N7" s="869"/>
      <c r="O7" s="840"/>
      <c r="P7" s="845" t="s">
        <v>67</v>
      </c>
      <c r="Q7" s="840"/>
      <c r="R7" s="833" t="s">
        <v>3299</v>
      </c>
      <c r="S7" s="844" t="s">
        <v>82</v>
      </c>
      <c r="T7" s="845" t="s">
        <v>1103</v>
      </c>
      <c r="U7" s="832" t="s">
        <v>1141</v>
      </c>
      <c r="V7" s="833" t="s">
        <v>85</v>
      </c>
      <c r="W7" s="844">
        <v>51</v>
      </c>
      <c r="X7" s="844">
        <v>45</v>
      </c>
      <c r="Y7" s="841">
        <v>6</v>
      </c>
      <c r="Z7" s="841" t="s">
        <v>3300</v>
      </c>
      <c r="AA7" s="828"/>
    </row>
    <row r="8" spans="1:27" ht="69.95" customHeight="1">
      <c r="A8" s="836">
        <v>4</v>
      </c>
      <c r="B8" s="834" t="s">
        <v>2600</v>
      </c>
      <c r="C8" s="835" t="s">
        <v>3281</v>
      </c>
      <c r="D8" s="840" t="s">
        <v>3301</v>
      </c>
      <c r="E8" s="841" t="s">
        <v>2177</v>
      </c>
      <c r="F8" s="843" t="s">
        <v>3302</v>
      </c>
      <c r="G8" s="841" t="s">
        <v>3303</v>
      </c>
      <c r="H8" s="844" t="s">
        <v>1832</v>
      </c>
      <c r="I8" s="845">
        <v>390</v>
      </c>
      <c r="J8" s="857"/>
      <c r="K8" s="860"/>
      <c r="L8" s="860">
        <v>280</v>
      </c>
      <c r="M8" s="844">
        <v>110</v>
      </c>
      <c r="N8" s="869"/>
      <c r="O8" s="840"/>
      <c r="P8" s="845" t="s">
        <v>67</v>
      </c>
      <c r="Q8" s="840"/>
      <c r="R8" s="833" t="s">
        <v>2640</v>
      </c>
      <c r="S8" s="844" t="s">
        <v>82</v>
      </c>
      <c r="T8" s="845" t="s">
        <v>95</v>
      </c>
      <c r="U8" s="832" t="s">
        <v>1141</v>
      </c>
      <c r="V8" s="833" t="s">
        <v>85</v>
      </c>
      <c r="W8" s="844">
        <v>15</v>
      </c>
      <c r="X8" s="844">
        <v>15</v>
      </c>
      <c r="Y8" s="841"/>
      <c r="Z8" s="841" t="s">
        <v>930</v>
      </c>
      <c r="AA8" s="828"/>
    </row>
    <row r="9" spans="1:27" ht="69.95" customHeight="1">
      <c r="A9" s="836">
        <v>5</v>
      </c>
      <c r="B9" s="834" t="s">
        <v>2600</v>
      </c>
      <c r="C9" s="835" t="s">
        <v>3281</v>
      </c>
      <c r="D9" s="840" t="s">
        <v>3304</v>
      </c>
      <c r="E9" s="841" t="s">
        <v>2638</v>
      </c>
      <c r="F9" s="843" t="s">
        <v>3305</v>
      </c>
      <c r="G9" s="841" t="s">
        <v>3306</v>
      </c>
      <c r="H9" s="844" t="s">
        <v>1867</v>
      </c>
      <c r="I9" s="845">
        <v>280</v>
      </c>
      <c r="J9" s="857"/>
      <c r="K9" s="860"/>
      <c r="L9" s="860">
        <v>280</v>
      </c>
      <c r="M9" s="844"/>
      <c r="N9" s="869"/>
      <c r="O9" s="840"/>
      <c r="P9" s="845" t="s">
        <v>105</v>
      </c>
      <c r="Q9" s="840"/>
      <c r="R9" s="833" t="s">
        <v>3307</v>
      </c>
      <c r="S9" s="844" t="s">
        <v>82</v>
      </c>
      <c r="T9" s="845" t="s">
        <v>83</v>
      </c>
      <c r="U9" s="832" t="s">
        <v>1141</v>
      </c>
      <c r="V9" s="833" t="s">
        <v>85</v>
      </c>
      <c r="W9" s="844">
        <v>30</v>
      </c>
      <c r="X9" s="844">
        <v>30</v>
      </c>
      <c r="Y9" s="841"/>
      <c r="Z9" s="841" t="s">
        <v>3308</v>
      </c>
      <c r="AA9" s="828"/>
    </row>
    <row r="10" spans="1:27" ht="69.95" customHeight="1">
      <c r="A10" s="836">
        <v>6</v>
      </c>
      <c r="B10" s="834" t="s">
        <v>2600</v>
      </c>
      <c r="C10" s="835" t="s">
        <v>3281</v>
      </c>
      <c r="D10" s="840" t="s">
        <v>3309</v>
      </c>
      <c r="E10" s="841" t="s">
        <v>1800</v>
      </c>
      <c r="F10" s="843" t="s">
        <v>3310</v>
      </c>
      <c r="G10" s="841" t="s">
        <v>3311</v>
      </c>
      <c r="H10" s="844" t="s">
        <v>2453</v>
      </c>
      <c r="I10" s="845">
        <v>560</v>
      </c>
      <c r="J10" s="857">
        <v>280</v>
      </c>
      <c r="K10" s="860">
        <v>140</v>
      </c>
      <c r="L10" s="860">
        <v>140</v>
      </c>
      <c r="M10" s="844"/>
      <c r="N10" s="869" t="s">
        <v>1002</v>
      </c>
      <c r="O10" s="840" t="s">
        <v>3312</v>
      </c>
      <c r="P10" s="845" t="s">
        <v>105</v>
      </c>
      <c r="Q10" s="840"/>
      <c r="R10" s="833" t="s">
        <v>1004</v>
      </c>
      <c r="S10" s="844" t="s">
        <v>82</v>
      </c>
      <c r="T10" s="845" t="s">
        <v>1005</v>
      </c>
      <c r="U10" s="832" t="s">
        <v>1141</v>
      </c>
      <c r="V10" s="833" t="s">
        <v>85</v>
      </c>
      <c r="W10" s="844">
        <v>75</v>
      </c>
      <c r="X10" s="844">
        <v>74</v>
      </c>
      <c r="Y10" s="841">
        <v>1</v>
      </c>
      <c r="Z10" s="841" t="s">
        <v>3313</v>
      </c>
      <c r="AA10" s="828"/>
    </row>
    <row r="11" spans="1:27" ht="69.95" customHeight="1">
      <c r="A11" s="836">
        <v>7</v>
      </c>
      <c r="B11" s="834" t="s">
        <v>2600</v>
      </c>
      <c r="C11" s="835" t="s">
        <v>3281</v>
      </c>
      <c r="D11" s="840" t="s">
        <v>3314</v>
      </c>
      <c r="E11" s="841" t="s">
        <v>3315</v>
      </c>
      <c r="F11" s="843" t="s">
        <v>3316</v>
      </c>
      <c r="G11" s="841" t="s">
        <v>3317</v>
      </c>
      <c r="H11" s="844" t="s">
        <v>3318</v>
      </c>
      <c r="I11" s="845">
        <v>5500</v>
      </c>
      <c r="J11" s="857">
        <v>900</v>
      </c>
      <c r="K11" s="860">
        <v>500</v>
      </c>
      <c r="L11" s="860">
        <v>3100</v>
      </c>
      <c r="M11" s="844">
        <v>1000</v>
      </c>
      <c r="N11" s="869" t="s">
        <v>3319</v>
      </c>
      <c r="O11" s="840" t="s">
        <v>3320</v>
      </c>
      <c r="P11" s="845" t="s">
        <v>67</v>
      </c>
      <c r="Q11" s="832"/>
      <c r="R11" s="844" t="s">
        <v>3321</v>
      </c>
      <c r="S11" s="844" t="s">
        <v>2124</v>
      </c>
      <c r="T11" s="845" t="s">
        <v>929</v>
      </c>
      <c r="U11" s="832" t="s">
        <v>3322</v>
      </c>
      <c r="V11" s="833" t="s">
        <v>85</v>
      </c>
      <c r="W11" s="844"/>
      <c r="X11" s="841"/>
      <c r="Y11" s="841"/>
      <c r="Z11" s="841" t="s">
        <v>3323</v>
      </c>
      <c r="AA11" s="828"/>
    </row>
    <row r="12" spans="1:27" ht="69.95" customHeight="1">
      <c r="A12" s="836">
        <v>8</v>
      </c>
      <c r="B12" s="834" t="s">
        <v>2600</v>
      </c>
      <c r="C12" s="835" t="s">
        <v>3281</v>
      </c>
      <c r="D12" s="840" t="s">
        <v>3324</v>
      </c>
      <c r="E12" s="841" t="s">
        <v>3325</v>
      </c>
      <c r="F12" s="843" t="s">
        <v>3326</v>
      </c>
      <c r="G12" s="841" t="s">
        <v>3327</v>
      </c>
      <c r="H12" s="844" t="s">
        <v>978</v>
      </c>
      <c r="I12" s="845">
        <v>95</v>
      </c>
      <c r="J12" s="857"/>
      <c r="K12" s="860"/>
      <c r="L12" s="860">
        <v>95</v>
      </c>
      <c r="M12" s="844"/>
      <c r="N12" s="869"/>
      <c r="O12" s="840"/>
      <c r="P12" s="845" t="s">
        <v>67</v>
      </c>
      <c r="Q12" s="840"/>
      <c r="R12" s="833" t="s">
        <v>3328</v>
      </c>
      <c r="S12" s="844" t="s">
        <v>82</v>
      </c>
      <c r="T12" s="845" t="s">
        <v>995</v>
      </c>
      <c r="U12" s="832" t="s">
        <v>1141</v>
      </c>
      <c r="V12" s="833" t="s">
        <v>1047</v>
      </c>
      <c r="W12" s="844">
        <v>50</v>
      </c>
      <c r="X12" s="844">
        <v>50</v>
      </c>
      <c r="Y12" s="841"/>
      <c r="Z12" s="841" t="s">
        <v>930</v>
      </c>
      <c r="AA12" s="828"/>
    </row>
    <row r="13" spans="1:27" ht="69.95" customHeight="1">
      <c r="A13" s="836">
        <v>9</v>
      </c>
      <c r="B13" s="834" t="s">
        <v>2600</v>
      </c>
      <c r="C13" s="833" t="s">
        <v>3329</v>
      </c>
      <c r="D13" s="840" t="s">
        <v>3330</v>
      </c>
      <c r="E13" s="841" t="s">
        <v>952</v>
      </c>
      <c r="F13" s="843" t="s">
        <v>3331</v>
      </c>
      <c r="G13" s="841" t="s">
        <v>3332</v>
      </c>
      <c r="H13" s="844" t="s">
        <v>978</v>
      </c>
      <c r="I13" s="845">
        <v>5</v>
      </c>
      <c r="J13" s="857"/>
      <c r="K13" s="860"/>
      <c r="L13" s="860">
        <v>5</v>
      </c>
      <c r="M13" s="844"/>
      <c r="N13" s="869"/>
      <c r="O13" s="840"/>
      <c r="P13" s="845" t="s">
        <v>124</v>
      </c>
      <c r="Q13" s="840"/>
      <c r="R13" s="833" t="s">
        <v>3333</v>
      </c>
      <c r="S13" s="844" t="s">
        <v>82</v>
      </c>
      <c r="T13" s="845" t="s">
        <v>929</v>
      </c>
      <c r="U13" s="832" t="s">
        <v>1141</v>
      </c>
      <c r="V13" s="833" t="s">
        <v>1047</v>
      </c>
      <c r="W13" s="844">
        <v>3</v>
      </c>
      <c r="X13" s="844">
        <v>3</v>
      </c>
      <c r="Y13" s="841"/>
      <c r="Z13" s="841" t="s">
        <v>1780</v>
      </c>
      <c r="AA13" s="828"/>
    </row>
    <row r="14" spans="1:27" ht="69.95" customHeight="1">
      <c r="A14" s="836">
        <v>10</v>
      </c>
      <c r="B14" s="834" t="s">
        <v>2600</v>
      </c>
      <c r="C14" s="835" t="s">
        <v>3334</v>
      </c>
      <c r="D14" s="840" t="s">
        <v>3335</v>
      </c>
      <c r="E14" s="841" t="s">
        <v>3336</v>
      </c>
      <c r="F14" s="888" t="s">
        <v>3337</v>
      </c>
      <c r="G14" s="841" t="s">
        <v>3338</v>
      </c>
      <c r="H14" s="844" t="s">
        <v>3339</v>
      </c>
      <c r="I14" s="845">
        <v>1200</v>
      </c>
      <c r="J14" s="857"/>
      <c r="K14" s="860"/>
      <c r="L14" s="860">
        <v>1200</v>
      </c>
      <c r="M14" s="844"/>
      <c r="N14" s="869"/>
      <c r="O14" s="840"/>
      <c r="P14" s="845" t="s">
        <v>67</v>
      </c>
      <c r="Q14" s="832" t="s">
        <v>936</v>
      </c>
      <c r="R14" s="833" t="s">
        <v>3340</v>
      </c>
      <c r="S14" s="844" t="s">
        <v>2124</v>
      </c>
      <c r="T14" s="845" t="s">
        <v>83</v>
      </c>
      <c r="U14" s="832" t="s">
        <v>3341</v>
      </c>
      <c r="V14" s="833" t="s">
        <v>1047</v>
      </c>
      <c r="W14" s="844">
        <v>0</v>
      </c>
      <c r="X14" s="844"/>
      <c r="Y14" s="841"/>
      <c r="Z14" s="841" t="s">
        <v>3342</v>
      </c>
      <c r="AA14" s="828"/>
    </row>
    <row r="15" spans="1:27" ht="69.95" customHeight="1">
      <c r="A15" s="836">
        <v>11</v>
      </c>
      <c r="B15" s="834" t="s">
        <v>2600</v>
      </c>
      <c r="C15" s="835" t="s">
        <v>3334</v>
      </c>
      <c r="D15" s="840" t="s">
        <v>3343</v>
      </c>
      <c r="E15" s="841" t="s">
        <v>1007</v>
      </c>
      <c r="F15" s="843" t="s">
        <v>3344</v>
      </c>
      <c r="G15" s="841" t="s">
        <v>3345</v>
      </c>
      <c r="H15" s="844" t="s">
        <v>3346</v>
      </c>
      <c r="I15" s="845">
        <v>100</v>
      </c>
      <c r="J15" s="857"/>
      <c r="K15" s="860"/>
      <c r="L15" s="860">
        <v>100</v>
      </c>
      <c r="M15" s="844"/>
      <c r="N15" s="869"/>
      <c r="O15" s="840"/>
      <c r="P15" s="845" t="s">
        <v>909</v>
      </c>
      <c r="Q15" s="832" t="s">
        <v>936</v>
      </c>
      <c r="R15" s="833" t="s">
        <v>3347</v>
      </c>
      <c r="S15" s="841" t="s">
        <v>82</v>
      </c>
      <c r="T15" s="873" t="s">
        <v>83</v>
      </c>
      <c r="U15" s="832" t="s">
        <v>1141</v>
      </c>
      <c r="V15" s="844" t="s">
        <v>1047</v>
      </c>
      <c r="W15" s="844">
        <v>10</v>
      </c>
      <c r="X15" s="841">
        <v>10</v>
      </c>
      <c r="Y15" s="841"/>
      <c r="Z15" s="841" t="s">
        <v>3348</v>
      </c>
      <c r="AA15" s="828"/>
    </row>
    <row r="16" spans="1:27" ht="69.95" customHeight="1">
      <c r="A16" s="836">
        <v>12</v>
      </c>
      <c r="B16" s="834" t="s">
        <v>2600</v>
      </c>
      <c r="C16" s="835" t="s">
        <v>3334</v>
      </c>
      <c r="D16" s="874" t="s">
        <v>3349</v>
      </c>
      <c r="E16" s="841" t="s">
        <v>3350</v>
      </c>
      <c r="F16" s="843" t="s">
        <v>3351</v>
      </c>
      <c r="G16" s="841" t="s">
        <v>3352</v>
      </c>
      <c r="H16" s="844" t="s">
        <v>779</v>
      </c>
      <c r="I16" s="845">
        <v>15</v>
      </c>
      <c r="J16" s="857"/>
      <c r="K16" s="860"/>
      <c r="L16" s="860">
        <v>15</v>
      </c>
      <c r="M16" s="844"/>
      <c r="N16" s="869"/>
      <c r="O16" s="840"/>
      <c r="P16" s="845" t="s">
        <v>909</v>
      </c>
      <c r="Q16" s="832" t="s">
        <v>936</v>
      </c>
      <c r="R16" s="833" t="s">
        <v>1011</v>
      </c>
      <c r="S16" s="841" t="s">
        <v>82</v>
      </c>
      <c r="T16" s="873" t="s">
        <v>83</v>
      </c>
      <c r="U16" s="832" t="s">
        <v>1141</v>
      </c>
      <c r="V16" s="844" t="s">
        <v>1047</v>
      </c>
      <c r="W16" s="844">
        <v>30</v>
      </c>
      <c r="X16" s="841">
        <v>30</v>
      </c>
      <c r="Y16" s="841"/>
      <c r="Z16" s="841" t="s">
        <v>3353</v>
      </c>
      <c r="AA16" s="828"/>
    </row>
    <row r="17" spans="1:26" ht="69.95" customHeight="1" thickBot="1">
      <c r="A17" s="836">
        <v>13</v>
      </c>
      <c r="B17" s="875" t="s">
        <v>2600</v>
      </c>
      <c r="C17" s="876" t="s">
        <v>3334</v>
      </c>
      <c r="D17" s="877" t="s">
        <v>3354</v>
      </c>
      <c r="E17" s="878" t="s">
        <v>2119</v>
      </c>
      <c r="F17" s="879" t="s">
        <v>3355</v>
      </c>
      <c r="G17" s="878" t="s">
        <v>3356</v>
      </c>
      <c r="H17" s="880" t="s">
        <v>3357</v>
      </c>
      <c r="I17" s="881">
        <v>90</v>
      </c>
      <c r="J17" s="882"/>
      <c r="K17" s="883"/>
      <c r="L17" s="883">
        <v>90</v>
      </c>
      <c r="M17" s="880"/>
      <c r="N17" s="884"/>
      <c r="O17" s="877"/>
      <c r="P17" s="881" t="s">
        <v>909</v>
      </c>
      <c r="Q17" s="832" t="s">
        <v>936</v>
      </c>
      <c r="R17" s="885" t="s">
        <v>3347</v>
      </c>
      <c r="S17" s="878" t="s">
        <v>82</v>
      </c>
      <c r="T17" s="886" t="s">
        <v>83</v>
      </c>
      <c r="U17" s="887" t="s">
        <v>1141</v>
      </c>
      <c r="V17" s="880" t="s">
        <v>1047</v>
      </c>
      <c r="W17" s="880">
        <v>2</v>
      </c>
      <c r="X17" s="878">
        <v>2</v>
      </c>
      <c r="Y17" s="878"/>
      <c r="Z17" s="878" t="s">
        <v>3358</v>
      </c>
    </row>
    <row r="18" spans="1:26" ht="69.95" customHeight="1">
      <c r="A18" s="836">
        <v>14</v>
      </c>
      <c r="B18" s="834" t="s">
        <v>2600</v>
      </c>
      <c r="C18" s="835" t="s">
        <v>3359</v>
      </c>
      <c r="D18" s="840" t="s">
        <v>3360</v>
      </c>
      <c r="E18" s="841" t="s">
        <v>3361</v>
      </c>
      <c r="F18" s="843" t="s">
        <v>3362</v>
      </c>
      <c r="G18" s="841" t="s">
        <v>3363</v>
      </c>
      <c r="H18" s="844" t="s">
        <v>1062</v>
      </c>
      <c r="I18" s="845">
        <v>280</v>
      </c>
      <c r="J18" s="857"/>
      <c r="K18" s="860"/>
      <c r="L18" s="860">
        <v>280</v>
      </c>
      <c r="M18" s="844"/>
      <c r="N18" s="869"/>
      <c r="O18" s="840"/>
      <c r="P18" s="845" t="s">
        <v>67</v>
      </c>
      <c r="Q18" s="832" t="s">
        <v>936</v>
      </c>
      <c r="R18" s="833" t="s">
        <v>3364</v>
      </c>
      <c r="S18" s="844" t="s">
        <v>82</v>
      </c>
      <c r="T18" s="845" t="s">
        <v>83</v>
      </c>
      <c r="U18" s="832" t="s">
        <v>3365</v>
      </c>
      <c r="V18" s="833" t="s">
        <v>85</v>
      </c>
      <c r="W18" s="844">
        <v>0</v>
      </c>
      <c r="X18" s="844"/>
      <c r="Y18" s="841"/>
      <c r="Z18" s="841" t="s">
        <v>3366</v>
      </c>
    </row>
    <row r="19" spans="1:26" ht="69.95" customHeight="1">
      <c r="A19" s="836">
        <v>15</v>
      </c>
      <c r="B19" s="834" t="s">
        <v>2600</v>
      </c>
      <c r="C19" s="835" t="s">
        <v>3359</v>
      </c>
      <c r="D19" s="840" t="s">
        <v>3367</v>
      </c>
      <c r="E19" s="841" t="s">
        <v>3368</v>
      </c>
      <c r="F19" s="843" t="s">
        <v>3369</v>
      </c>
      <c r="G19" s="841" t="s">
        <v>3363</v>
      </c>
      <c r="H19" s="844" t="s">
        <v>1062</v>
      </c>
      <c r="I19" s="845">
        <v>290</v>
      </c>
      <c r="J19" s="857"/>
      <c r="K19" s="860"/>
      <c r="L19" s="860">
        <v>290</v>
      </c>
      <c r="M19" s="844"/>
      <c r="N19" s="869"/>
      <c r="O19" s="840"/>
      <c r="P19" s="845" t="s">
        <v>67</v>
      </c>
      <c r="Q19" s="832" t="s">
        <v>936</v>
      </c>
      <c r="R19" s="833" t="s">
        <v>3370</v>
      </c>
      <c r="S19" s="844" t="s">
        <v>82</v>
      </c>
      <c r="T19" s="845" t="s">
        <v>83</v>
      </c>
      <c r="U19" s="832" t="s">
        <v>3365</v>
      </c>
      <c r="V19" s="833" t="s">
        <v>85</v>
      </c>
      <c r="W19" s="844">
        <v>0</v>
      </c>
      <c r="X19" s="844"/>
      <c r="Y19" s="841"/>
      <c r="Z19" s="841" t="s">
        <v>3371</v>
      </c>
    </row>
    <row r="20" spans="1:26" ht="69.95" customHeight="1">
      <c r="A20" s="836">
        <v>16</v>
      </c>
      <c r="B20" s="834" t="s">
        <v>2600</v>
      </c>
      <c r="C20" s="835" t="s">
        <v>3359</v>
      </c>
      <c r="D20" s="840" t="s">
        <v>3372</v>
      </c>
      <c r="E20" s="841" t="s">
        <v>3373</v>
      </c>
      <c r="F20" s="843" t="s">
        <v>3374</v>
      </c>
      <c r="G20" s="841" t="s">
        <v>3363</v>
      </c>
      <c r="H20" s="844" t="s">
        <v>1086</v>
      </c>
      <c r="I20" s="845">
        <v>75</v>
      </c>
      <c r="J20" s="857"/>
      <c r="K20" s="860"/>
      <c r="L20" s="860">
        <v>60</v>
      </c>
      <c r="M20" s="844">
        <v>15</v>
      </c>
      <c r="N20" s="869"/>
      <c r="O20" s="840"/>
      <c r="P20" s="845" t="s">
        <v>167</v>
      </c>
      <c r="Q20" s="832" t="s">
        <v>936</v>
      </c>
      <c r="R20" s="833" t="s">
        <v>1011</v>
      </c>
      <c r="S20" s="844" t="s">
        <v>82</v>
      </c>
      <c r="T20" s="845" t="s">
        <v>83</v>
      </c>
      <c r="U20" s="832" t="s">
        <v>3365</v>
      </c>
      <c r="V20" s="833" t="s">
        <v>85</v>
      </c>
      <c r="W20" s="844">
        <v>200</v>
      </c>
      <c r="X20" s="844">
        <v>200</v>
      </c>
      <c r="Y20" s="841"/>
      <c r="Z20" s="841" t="s">
        <v>3375</v>
      </c>
    </row>
    <row r="21" spans="1:26" ht="69.95" customHeight="1">
      <c r="A21" s="836">
        <v>17</v>
      </c>
      <c r="B21" s="834" t="s">
        <v>2600</v>
      </c>
      <c r="C21" s="835" t="s">
        <v>3359</v>
      </c>
      <c r="D21" s="840" t="s">
        <v>3376</v>
      </c>
      <c r="E21" s="841" t="s">
        <v>3377</v>
      </c>
      <c r="F21" s="843" t="s">
        <v>3378</v>
      </c>
      <c r="G21" s="841" t="s">
        <v>3379</v>
      </c>
      <c r="H21" s="844" t="s">
        <v>1768</v>
      </c>
      <c r="I21" s="870">
        <v>2880</v>
      </c>
      <c r="J21" s="857">
        <v>500</v>
      </c>
      <c r="K21" s="860">
        <v>400</v>
      </c>
      <c r="L21" s="860">
        <v>1780</v>
      </c>
      <c r="M21" s="844">
        <v>200</v>
      </c>
      <c r="N21" s="869" t="s">
        <v>927</v>
      </c>
      <c r="O21" s="898" t="s">
        <v>3380</v>
      </c>
      <c r="P21" s="845" t="s">
        <v>67</v>
      </c>
      <c r="Q21" s="840"/>
      <c r="R21" s="833" t="s">
        <v>3381</v>
      </c>
      <c r="S21" s="844" t="s">
        <v>82</v>
      </c>
      <c r="T21" s="845" t="s">
        <v>83</v>
      </c>
      <c r="U21" s="832" t="s">
        <v>3382</v>
      </c>
      <c r="V21" s="833" t="s">
        <v>85</v>
      </c>
      <c r="W21" s="844">
        <v>40</v>
      </c>
      <c r="X21" s="844">
        <v>40</v>
      </c>
      <c r="Y21" s="841"/>
      <c r="Z21" s="841" t="s">
        <v>3383</v>
      </c>
    </row>
    <row r="22" spans="1:26" ht="69.95" customHeight="1">
      <c r="A22" s="836">
        <v>18</v>
      </c>
      <c r="B22" s="834" t="s">
        <v>2600</v>
      </c>
      <c r="C22" s="835" t="s">
        <v>3359</v>
      </c>
      <c r="D22" s="840" t="s">
        <v>3384</v>
      </c>
      <c r="E22" s="841" t="s">
        <v>3385</v>
      </c>
      <c r="F22" s="843" t="s">
        <v>3386</v>
      </c>
      <c r="G22" s="841" t="s">
        <v>3363</v>
      </c>
      <c r="H22" s="844" t="s">
        <v>3387</v>
      </c>
      <c r="I22" s="845">
        <v>90</v>
      </c>
      <c r="J22" s="857"/>
      <c r="K22" s="860"/>
      <c r="L22" s="860">
        <v>90</v>
      </c>
      <c r="M22" s="844"/>
      <c r="N22" s="869"/>
      <c r="O22" s="840"/>
      <c r="P22" s="845" t="s">
        <v>105</v>
      </c>
      <c r="Q22" s="840"/>
      <c r="R22" s="833" t="s">
        <v>3388</v>
      </c>
      <c r="S22" s="844" t="s">
        <v>82</v>
      </c>
      <c r="T22" s="845" t="s">
        <v>83</v>
      </c>
      <c r="U22" s="832" t="s">
        <v>3365</v>
      </c>
      <c r="V22" s="833" t="s">
        <v>85</v>
      </c>
      <c r="W22" s="844">
        <v>10</v>
      </c>
      <c r="X22" s="844">
        <v>10</v>
      </c>
      <c r="Y22" s="841"/>
      <c r="Z22" s="841" t="s">
        <v>3389</v>
      </c>
    </row>
    <row r="23" spans="1:26" ht="69.95" customHeight="1">
      <c r="A23" s="836">
        <v>19</v>
      </c>
      <c r="B23" s="834" t="s">
        <v>2600</v>
      </c>
      <c r="C23" s="835" t="s">
        <v>3390</v>
      </c>
      <c r="D23" s="840" t="s">
        <v>3391</v>
      </c>
      <c r="E23" s="841" t="s">
        <v>3392</v>
      </c>
      <c r="F23" s="843" t="s">
        <v>3393</v>
      </c>
      <c r="G23" s="841" t="s">
        <v>3394</v>
      </c>
      <c r="H23" s="844" t="s">
        <v>2727</v>
      </c>
      <c r="I23" s="845">
        <v>920</v>
      </c>
      <c r="J23" s="857"/>
      <c r="K23" s="860"/>
      <c r="L23" s="860">
        <v>920</v>
      </c>
      <c r="M23" s="844"/>
      <c r="N23" s="869"/>
      <c r="O23" s="840"/>
      <c r="P23" s="845" t="s">
        <v>92</v>
      </c>
      <c r="Q23" s="840" t="s">
        <v>936</v>
      </c>
      <c r="R23" s="833" t="s">
        <v>3395</v>
      </c>
      <c r="S23" s="844" t="s">
        <v>82</v>
      </c>
      <c r="T23" s="845" t="s">
        <v>929</v>
      </c>
      <c r="U23" s="832" t="s">
        <v>1953</v>
      </c>
      <c r="V23" s="833" t="s">
        <v>85</v>
      </c>
      <c r="W23" s="844">
        <v>901</v>
      </c>
      <c r="X23" s="844">
        <v>901</v>
      </c>
      <c r="Y23" s="841"/>
      <c r="Z23" s="841" t="s">
        <v>930</v>
      </c>
    </row>
    <row r="24" spans="1:26" ht="69.95" customHeight="1">
      <c r="A24" s="836">
        <v>20</v>
      </c>
      <c r="B24" s="834" t="s">
        <v>2600</v>
      </c>
      <c r="C24" s="835" t="s">
        <v>3390</v>
      </c>
      <c r="D24" s="840" t="s">
        <v>3396</v>
      </c>
      <c r="E24" s="841" t="s">
        <v>3397</v>
      </c>
      <c r="F24" s="843" t="s">
        <v>3398</v>
      </c>
      <c r="G24" s="841" t="s">
        <v>3399</v>
      </c>
      <c r="H24" s="844" t="s">
        <v>3400</v>
      </c>
      <c r="I24" s="845">
        <v>177</v>
      </c>
      <c r="J24" s="857">
        <v>5</v>
      </c>
      <c r="K24" s="860"/>
      <c r="L24" s="860">
        <v>172</v>
      </c>
      <c r="M24" s="844"/>
      <c r="N24" s="869" t="s">
        <v>1002</v>
      </c>
      <c r="O24" s="840" t="s">
        <v>3401</v>
      </c>
      <c r="P24" s="845" t="s">
        <v>67</v>
      </c>
      <c r="Q24" s="840" t="s">
        <v>936</v>
      </c>
      <c r="R24" s="833" t="s">
        <v>2786</v>
      </c>
      <c r="S24" s="844" t="s">
        <v>82</v>
      </c>
      <c r="T24" s="845" t="s">
        <v>929</v>
      </c>
      <c r="U24" s="832" t="s">
        <v>1953</v>
      </c>
      <c r="V24" s="833" t="s">
        <v>85</v>
      </c>
      <c r="W24" s="844">
        <v>57</v>
      </c>
      <c r="X24" s="844">
        <v>57</v>
      </c>
      <c r="Y24" s="841"/>
      <c r="Z24" s="841" t="s">
        <v>3402</v>
      </c>
    </row>
    <row r="25" spans="1:26" ht="69.95" customHeight="1">
      <c r="A25" s="836">
        <v>21</v>
      </c>
      <c r="B25" s="834" t="s">
        <v>2600</v>
      </c>
      <c r="C25" s="835" t="s">
        <v>3390</v>
      </c>
      <c r="D25" s="840" t="s">
        <v>3403</v>
      </c>
      <c r="E25" s="841" t="s">
        <v>1905</v>
      </c>
      <c r="F25" s="843" t="s">
        <v>3404</v>
      </c>
      <c r="G25" s="841" t="s">
        <v>3405</v>
      </c>
      <c r="H25" s="844" t="s">
        <v>2370</v>
      </c>
      <c r="I25" s="845">
        <v>58</v>
      </c>
      <c r="J25" s="857"/>
      <c r="K25" s="860"/>
      <c r="L25" s="860">
        <v>58</v>
      </c>
      <c r="M25" s="844"/>
      <c r="N25" s="869"/>
      <c r="O25" s="840"/>
      <c r="P25" s="845" t="s">
        <v>67</v>
      </c>
      <c r="Q25" s="840" t="s">
        <v>936</v>
      </c>
      <c r="R25" s="833" t="s">
        <v>3406</v>
      </c>
      <c r="S25" s="844" t="s">
        <v>82</v>
      </c>
      <c r="T25" s="845" t="s">
        <v>3407</v>
      </c>
      <c r="U25" s="832" t="s">
        <v>1953</v>
      </c>
      <c r="V25" s="833" t="s">
        <v>85</v>
      </c>
      <c r="W25" s="844">
        <v>3</v>
      </c>
      <c r="X25" s="844">
        <v>3</v>
      </c>
      <c r="Y25" s="841"/>
      <c r="Z25" s="841" t="s">
        <v>3408</v>
      </c>
    </row>
    <row r="26" spans="1:26" ht="69.95" customHeight="1">
      <c r="A26" s="836">
        <v>22</v>
      </c>
      <c r="B26" s="834" t="s">
        <v>2600</v>
      </c>
      <c r="C26" s="835" t="s">
        <v>3390</v>
      </c>
      <c r="D26" s="840" t="s">
        <v>3409</v>
      </c>
      <c r="E26" s="841" t="s">
        <v>2100</v>
      </c>
      <c r="F26" s="843" t="s">
        <v>3410</v>
      </c>
      <c r="G26" s="841" t="s">
        <v>3405</v>
      </c>
      <c r="H26" s="844" t="s">
        <v>2888</v>
      </c>
      <c r="I26" s="845">
        <v>80</v>
      </c>
      <c r="J26" s="857"/>
      <c r="K26" s="860">
        <v>20</v>
      </c>
      <c r="L26" s="860">
        <v>60</v>
      </c>
      <c r="M26" s="844"/>
      <c r="N26" s="869"/>
      <c r="O26" s="840"/>
      <c r="P26" s="845" t="s">
        <v>105</v>
      </c>
      <c r="Q26" s="840" t="s">
        <v>936</v>
      </c>
      <c r="R26" s="833" t="s">
        <v>3411</v>
      </c>
      <c r="S26" s="844" t="s">
        <v>82</v>
      </c>
      <c r="T26" s="845" t="s">
        <v>3412</v>
      </c>
      <c r="U26" s="832" t="s">
        <v>1953</v>
      </c>
      <c r="V26" s="833" t="s">
        <v>85</v>
      </c>
      <c r="W26" s="844">
        <v>1</v>
      </c>
      <c r="X26" s="844">
        <v>1</v>
      </c>
      <c r="Y26" s="841"/>
      <c r="Z26" s="841" t="s">
        <v>930</v>
      </c>
    </row>
    <row r="27" spans="1:26" ht="69.95" customHeight="1">
      <c r="A27" s="836">
        <v>23</v>
      </c>
      <c r="B27" s="834" t="s">
        <v>2600</v>
      </c>
      <c r="C27" s="835" t="s">
        <v>3413</v>
      </c>
      <c r="D27" s="840" t="s">
        <v>3414</v>
      </c>
      <c r="E27" s="841" t="s">
        <v>3415</v>
      </c>
      <c r="F27" s="843" t="s">
        <v>3416</v>
      </c>
      <c r="G27" s="841" t="s">
        <v>3417</v>
      </c>
      <c r="H27" s="844" t="s">
        <v>3418</v>
      </c>
      <c r="I27" s="845">
        <v>245</v>
      </c>
      <c r="J27" s="857"/>
      <c r="K27" s="860"/>
      <c r="L27" s="860">
        <v>245</v>
      </c>
      <c r="M27" s="844"/>
      <c r="N27" s="869"/>
      <c r="O27" s="840"/>
      <c r="P27" s="845" t="s">
        <v>92</v>
      </c>
      <c r="Q27" s="832" t="s">
        <v>936</v>
      </c>
      <c r="R27" s="844" t="s">
        <v>3419</v>
      </c>
      <c r="S27" s="844" t="s">
        <v>82</v>
      </c>
      <c r="T27" s="845" t="s">
        <v>83</v>
      </c>
      <c r="U27" s="832" t="s">
        <v>1141</v>
      </c>
      <c r="V27" s="833" t="s">
        <v>1047</v>
      </c>
      <c r="W27" s="844">
        <v>61</v>
      </c>
      <c r="X27" s="844">
        <v>61</v>
      </c>
      <c r="Y27" s="841"/>
      <c r="Z27" s="841" t="s">
        <v>930</v>
      </c>
    </row>
    <row r="28" spans="1:26" ht="69.95" customHeight="1">
      <c r="A28" s="836">
        <v>24</v>
      </c>
      <c r="B28" s="834" t="s">
        <v>2600</v>
      </c>
      <c r="C28" s="835" t="s">
        <v>3413</v>
      </c>
      <c r="D28" s="840" t="s">
        <v>3420</v>
      </c>
      <c r="E28" s="841" t="s">
        <v>3421</v>
      </c>
      <c r="F28" s="843" t="s">
        <v>3422</v>
      </c>
      <c r="G28" s="841" t="s">
        <v>3423</v>
      </c>
      <c r="H28" s="844" t="s">
        <v>2698</v>
      </c>
      <c r="I28" s="845">
        <v>0.3</v>
      </c>
      <c r="J28" s="857"/>
      <c r="K28" s="860"/>
      <c r="L28" s="860">
        <v>0.3</v>
      </c>
      <c r="M28" s="844"/>
      <c r="N28" s="869"/>
      <c r="O28" s="840"/>
      <c r="P28" s="845" t="s">
        <v>92</v>
      </c>
      <c r="Q28" s="832" t="s">
        <v>936</v>
      </c>
      <c r="R28" s="844" t="s">
        <v>3424</v>
      </c>
      <c r="S28" s="844" t="s">
        <v>82</v>
      </c>
      <c r="T28" s="845" t="s">
        <v>83</v>
      </c>
      <c r="U28" s="832" t="s">
        <v>1141</v>
      </c>
      <c r="V28" s="833" t="s">
        <v>1047</v>
      </c>
      <c r="W28" s="844">
        <v>12</v>
      </c>
      <c r="X28" s="844">
        <v>12</v>
      </c>
      <c r="Y28" s="841"/>
      <c r="Z28" s="841" t="s">
        <v>930</v>
      </c>
    </row>
    <row r="29" spans="1:26" ht="69.95" customHeight="1">
      <c r="A29" s="836">
        <v>25</v>
      </c>
      <c r="B29" s="834" t="s">
        <v>2600</v>
      </c>
      <c r="C29" s="835" t="s">
        <v>3413</v>
      </c>
      <c r="D29" s="840" t="s">
        <v>3425</v>
      </c>
      <c r="E29" s="841" t="s">
        <v>3426</v>
      </c>
      <c r="F29" s="843" t="s">
        <v>3427</v>
      </c>
      <c r="G29" s="841" t="s">
        <v>3428</v>
      </c>
      <c r="H29" s="844" t="s">
        <v>3429</v>
      </c>
      <c r="I29" s="845">
        <v>654</v>
      </c>
      <c r="J29" s="857"/>
      <c r="K29" s="860">
        <v>70</v>
      </c>
      <c r="L29" s="860">
        <v>584</v>
      </c>
      <c r="M29" s="844"/>
      <c r="N29" s="869"/>
      <c r="O29" s="840"/>
      <c r="P29" s="845" t="s">
        <v>67</v>
      </c>
      <c r="Q29" s="832" t="s">
        <v>936</v>
      </c>
      <c r="R29" s="844" t="s">
        <v>3430</v>
      </c>
      <c r="S29" s="844" t="s">
        <v>82</v>
      </c>
      <c r="T29" s="845" t="s">
        <v>83</v>
      </c>
      <c r="U29" s="832" t="s">
        <v>3431</v>
      </c>
      <c r="V29" s="833" t="s">
        <v>1047</v>
      </c>
      <c r="W29" s="844">
        <v>89</v>
      </c>
      <c r="X29" s="844">
        <v>89</v>
      </c>
      <c r="Y29" s="841"/>
      <c r="Z29" s="841" t="s">
        <v>3432</v>
      </c>
    </row>
    <row r="30" spans="1:26" ht="69.95" customHeight="1">
      <c r="A30" s="836">
        <v>26</v>
      </c>
      <c r="B30" s="834" t="s">
        <v>2600</v>
      </c>
      <c r="C30" s="835" t="s">
        <v>3413</v>
      </c>
      <c r="D30" s="840" t="s">
        <v>3433</v>
      </c>
      <c r="E30" s="841" t="s">
        <v>3434</v>
      </c>
      <c r="F30" s="843" t="s">
        <v>3435</v>
      </c>
      <c r="G30" s="841" t="s">
        <v>3436</v>
      </c>
      <c r="H30" s="844" t="s">
        <v>2727</v>
      </c>
      <c r="I30" s="845">
        <v>451</v>
      </c>
      <c r="J30" s="857"/>
      <c r="K30" s="860"/>
      <c r="L30" s="860">
        <v>451</v>
      </c>
      <c r="M30" s="844"/>
      <c r="N30" s="869"/>
      <c r="O30" s="840"/>
      <c r="P30" s="845" t="s">
        <v>92</v>
      </c>
      <c r="Q30" s="832" t="s">
        <v>936</v>
      </c>
      <c r="R30" s="844" t="s">
        <v>3437</v>
      </c>
      <c r="S30" s="844" t="s">
        <v>82</v>
      </c>
      <c r="T30" s="845" t="s">
        <v>1111</v>
      </c>
      <c r="U30" s="832" t="s">
        <v>1141</v>
      </c>
      <c r="V30" s="833" t="s">
        <v>1064</v>
      </c>
      <c r="W30" s="844">
        <v>70</v>
      </c>
      <c r="X30" s="844">
        <v>70</v>
      </c>
      <c r="Y30" s="841"/>
      <c r="Z30" s="841" t="s">
        <v>3438</v>
      </c>
    </row>
    <row r="31" spans="1:26" ht="69.95" customHeight="1">
      <c r="A31" s="836">
        <v>27</v>
      </c>
      <c r="B31" s="834" t="s">
        <v>2600</v>
      </c>
      <c r="C31" s="835" t="s">
        <v>3413</v>
      </c>
      <c r="D31" s="840" t="s">
        <v>3439</v>
      </c>
      <c r="E31" s="841" t="s">
        <v>1137</v>
      </c>
      <c r="F31" s="889" t="s">
        <v>3440</v>
      </c>
      <c r="G31" s="890" t="s">
        <v>3441</v>
      </c>
      <c r="H31" s="891" t="s">
        <v>3442</v>
      </c>
      <c r="I31" s="845">
        <v>30</v>
      </c>
      <c r="J31" s="857"/>
      <c r="K31" s="860"/>
      <c r="L31" s="860">
        <v>30</v>
      </c>
      <c r="M31" s="844"/>
      <c r="N31" s="869"/>
      <c r="O31" s="840"/>
      <c r="P31" s="845" t="s">
        <v>67</v>
      </c>
      <c r="Q31" s="832" t="s">
        <v>936</v>
      </c>
      <c r="R31" s="844" t="s">
        <v>3443</v>
      </c>
      <c r="S31" s="841" t="s">
        <v>82</v>
      </c>
      <c r="T31" s="873" t="s">
        <v>83</v>
      </c>
      <c r="U31" s="832" t="s">
        <v>1141</v>
      </c>
      <c r="V31" s="844" t="s">
        <v>1047</v>
      </c>
      <c r="W31" s="844">
        <v>2</v>
      </c>
      <c r="X31" s="841">
        <v>2</v>
      </c>
      <c r="Y31" s="841"/>
      <c r="Z31" s="841" t="s">
        <v>3444</v>
      </c>
    </row>
    <row r="32" spans="1:26" ht="69.95" customHeight="1">
      <c r="A32" s="836">
        <v>28</v>
      </c>
      <c r="B32" s="834" t="s">
        <v>2600</v>
      </c>
      <c r="C32" s="835" t="s">
        <v>3445</v>
      </c>
      <c r="D32" s="840" t="s">
        <v>3446</v>
      </c>
      <c r="E32" s="841" t="s">
        <v>3447</v>
      </c>
      <c r="F32" s="843" t="s">
        <v>3448</v>
      </c>
      <c r="G32" s="895" t="s">
        <v>3449</v>
      </c>
      <c r="H32" s="893" t="s">
        <v>3450</v>
      </c>
      <c r="I32" s="845">
        <v>950</v>
      </c>
      <c r="J32" s="857"/>
      <c r="K32" s="860"/>
      <c r="L32" s="860">
        <v>950</v>
      </c>
      <c r="M32" s="844"/>
      <c r="N32" s="897" t="s">
        <v>927</v>
      </c>
      <c r="O32" s="898" t="s">
        <v>3451</v>
      </c>
      <c r="P32" s="845" t="s">
        <v>105</v>
      </c>
      <c r="Q32" s="832" t="s">
        <v>936</v>
      </c>
      <c r="R32" s="833" t="s">
        <v>1097</v>
      </c>
      <c r="S32" s="844" t="s">
        <v>82</v>
      </c>
      <c r="T32" s="845" t="s">
        <v>1103</v>
      </c>
      <c r="U32" s="832" t="s">
        <v>3452</v>
      </c>
      <c r="V32" s="833" t="s">
        <v>1047</v>
      </c>
      <c r="W32" s="844">
        <v>285</v>
      </c>
      <c r="X32" s="844">
        <v>285</v>
      </c>
      <c r="Y32" s="841"/>
      <c r="Z32" s="841" t="s">
        <v>1648</v>
      </c>
    </row>
    <row r="33" spans="1:26" ht="69.95" customHeight="1">
      <c r="A33" s="836">
        <v>29</v>
      </c>
      <c r="B33" s="834" t="s">
        <v>2600</v>
      </c>
      <c r="C33" s="835" t="s">
        <v>3445</v>
      </c>
      <c r="D33" s="840" t="s">
        <v>3453</v>
      </c>
      <c r="E33" s="841" t="s">
        <v>3447</v>
      </c>
      <c r="F33" s="843" t="s">
        <v>3454</v>
      </c>
      <c r="G33" s="896" t="s">
        <v>3455</v>
      </c>
      <c r="H33" s="892" t="s">
        <v>3009</v>
      </c>
      <c r="I33" s="845">
        <v>455</v>
      </c>
      <c r="J33" s="857"/>
      <c r="K33" s="860"/>
      <c r="L33" s="860">
        <v>455</v>
      </c>
      <c r="M33" s="844"/>
      <c r="N33" s="869"/>
      <c r="O33" s="840"/>
      <c r="P33" s="845" t="s">
        <v>92</v>
      </c>
      <c r="Q33" s="832" t="s">
        <v>936</v>
      </c>
      <c r="R33" s="833" t="s">
        <v>986</v>
      </c>
      <c r="S33" s="844" t="s">
        <v>82</v>
      </c>
      <c r="T33" s="845" t="s">
        <v>1103</v>
      </c>
      <c r="U33" s="832" t="s">
        <v>3452</v>
      </c>
      <c r="V33" s="833" t="s">
        <v>1047</v>
      </c>
      <c r="W33" s="844">
        <v>186</v>
      </c>
      <c r="X33" s="844">
        <v>186</v>
      </c>
      <c r="Y33" s="841"/>
      <c r="Z33" s="841" t="s">
        <v>1648</v>
      </c>
    </row>
    <row r="34" spans="1:26" ht="69.95" customHeight="1">
      <c r="A34" s="836">
        <v>30</v>
      </c>
      <c r="B34" s="834" t="s">
        <v>2600</v>
      </c>
      <c r="C34" s="835" t="s">
        <v>3445</v>
      </c>
      <c r="D34" s="840" t="s">
        <v>3456</v>
      </c>
      <c r="E34" s="841" t="s">
        <v>3457</v>
      </c>
      <c r="F34" s="843" t="s">
        <v>3458</v>
      </c>
      <c r="G34" s="896" t="s">
        <v>3459</v>
      </c>
      <c r="H34" s="841" t="s">
        <v>3460</v>
      </c>
      <c r="I34" s="845">
        <v>860</v>
      </c>
      <c r="J34" s="857"/>
      <c r="K34" s="860">
        <v>30</v>
      </c>
      <c r="L34" s="860">
        <v>830</v>
      </c>
      <c r="M34" s="844"/>
      <c r="N34" s="869"/>
      <c r="O34" s="840"/>
      <c r="P34" s="845" t="s">
        <v>92</v>
      </c>
      <c r="Q34" s="832" t="s">
        <v>3461</v>
      </c>
      <c r="R34" s="833" t="s">
        <v>1110</v>
      </c>
      <c r="S34" s="844" t="s">
        <v>82</v>
      </c>
      <c r="T34" s="845" t="s">
        <v>1103</v>
      </c>
      <c r="U34" s="832" t="s">
        <v>3452</v>
      </c>
      <c r="V34" s="833" t="s">
        <v>1047</v>
      </c>
      <c r="W34" s="844">
        <v>135</v>
      </c>
      <c r="X34" s="844"/>
      <c r="Y34" s="841"/>
      <c r="Z34" s="841" t="s">
        <v>3462</v>
      </c>
    </row>
    <row r="35" spans="1:26" ht="69.95" customHeight="1">
      <c r="A35" s="836">
        <v>31</v>
      </c>
      <c r="B35" s="834" t="s">
        <v>2600</v>
      </c>
      <c r="C35" s="835" t="s">
        <v>3445</v>
      </c>
      <c r="D35" s="840" t="s">
        <v>3463</v>
      </c>
      <c r="E35" s="841" t="s">
        <v>952</v>
      </c>
      <c r="F35" s="894" t="s">
        <v>3464</v>
      </c>
      <c r="G35" s="896" t="s">
        <v>3465</v>
      </c>
      <c r="H35" s="841" t="s">
        <v>3466</v>
      </c>
      <c r="I35" s="845">
        <v>430</v>
      </c>
      <c r="J35" s="857"/>
      <c r="K35" s="860" t="s">
        <v>1702</v>
      </c>
      <c r="L35" s="860">
        <v>430</v>
      </c>
      <c r="M35" s="844"/>
      <c r="N35" s="869"/>
      <c r="O35" s="840"/>
      <c r="P35" s="845" t="s">
        <v>92</v>
      </c>
      <c r="Q35" s="832" t="s">
        <v>936</v>
      </c>
      <c r="R35" s="833" t="s">
        <v>3467</v>
      </c>
      <c r="S35" s="844" t="s">
        <v>82</v>
      </c>
      <c r="T35" s="845" t="s">
        <v>1103</v>
      </c>
      <c r="U35" s="832" t="s">
        <v>3452</v>
      </c>
      <c r="V35" s="833" t="s">
        <v>1047</v>
      </c>
      <c r="W35" s="844">
        <v>28.5</v>
      </c>
      <c r="X35" s="844">
        <v>28.5</v>
      </c>
      <c r="Y35" s="841"/>
      <c r="Z35" s="841" t="s">
        <v>952</v>
      </c>
    </row>
    <row r="36" spans="1:26" ht="69.95" customHeight="1">
      <c r="A36" s="836">
        <v>32</v>
      </c>
      <c r="B36" s="834" t="s">
        <v>2600</v>
      </c>
      <c r="C36" s="835" t="s">
        <v>3468</v>
      </c>
      <c r="D36" s="840" t="s">
        <v>3469</v>
      </c>
      <c r="E36" s="841" t="s">
        <v>3470</v>
      </c>
      <c r="F36" s="843" t="s">
        <v>3471</v>
      </c>
      <c r="G36" s="841" t="s">
        <v>3472</v>
      </c>
      <c r="H36" s="844" t="s">
        <v>3473</v>
      </c>
      <c r="I36" s="845">
        <v>115</v>
      </c>
      <c r="J36" s="899"/>
      <c r="K36" s="860"/>
      <c r="L36" s="860">
        <v>115</v>
      </c>
      <c r="M36" s="900"/>
      <c r="N36" s="869"/>
      <c r="O36" s="900"/>
      <c r="P36" s="845" t="s">
        <v>105</v>
      </c>
      <c r="Q36" s="901" t="s">
        <v>936</v>
      </c>
      <c r="R36" s="833" t="s">
        <v>3474</v>
      </c>
      <c r="S36" s="844" t="s">
        <v>82</v>
      </c>
      <c r="T36" s="845" t="s">
        <v>3475</v>
      </c>
      <c r="U36" s="832" t="s">
        <v>2204</v>
      </c>
      <c r="V36" s="833" t="s">
        <v>1064</v>
      </c>
      <c r="W36" s="844">
        <v>13</v>
      </c>
      <c r="X36" s="841">
        <v>13</v>
      </c>
      <c r="Y36" s="842"/>
      <c r="Z36" s="841" t="s">
        <v>3476</v>
      </c>
    </row>
    <row r="37" spans="1:26" ht="69.95" customHeight="1">
      <c r="A37" s="836">
        <v>33</v>
      </c>
      <c r="B37" s="834" t="s">
        <v>2600</v>
      </c>
      <c r="C37" s="835" t="s">
        <v>3468</v>
      </c>
      <c r="D37" s="840" t="s">
        <v>3477</v>
      </c>
      <c r="E37" s="841" t="s">
        <v>3478</v>
      </c>
      <c r="F37" s="843" t="s">
        <v>3479</v>
      </c>
      <c r="G37" s="841" t="s">
        <v>3480</v>
      </c>
      <c r="H37" s="844" t="s">
        <v>3481</v>
      </c>
      <c r="I37" s="845">
        <v>349</v>
      </c>
      <c r="J37" s="899"/>
      <c r="K37" s="860">
        <v>50</v>
      </c>
      <c r="L37" s="860">
        <v>299</v>
      </c>
      <c r="M37" s="900"/>
      <c r="N37" s="869"/>
      <c r="O37" s="900"/>
      <c r="P37" s="845" t="s">
        <v>92</v>
      </c>
      <c r="Q37" s="832" t="s">
        <v>3461</v>
      </c>
      <c r="R37" s="833" t="s">
        <v>3482</v>
      </c>
      <c r="S37" s="844" t="s">
        <v>82</v>
      </c>
      <c r="T37" s="845" t="s">
        <v>3483</v>
      </c>
      <c r="U37" s="832" t="s">
        <v>3484</v>
      </c>
      <c r="V37" s="833" t="s">
        <v>1064</v>
      </c>
      <c r="W37" s="844">
        <v>150</v>
      </c>
      <c r="X37" s="841">
        <v>150</v>
      </c>
      <c r="Y37" s="842"/>
      <c r="Z37" s="841" t="s">
        <v>930</v>
      </c>
    </row>
    <row r="38" spans="1:26" ht="69.95" customHeight="1">
      <c r="A38" s="836">
        <v>34</v>
      </c>
      <c r="B38" s="834" t="s">
        <v>2600</v>
      </c>
      <c r="C38" s="835" t="s">
        <v>3485</v>
      </c>
      <c r="D38" s="840" t="s">
        <v>3486</v>
      </c>
      <c r="E38" s="841" t="s">
        <v>3090</v>
      </c>
      <c r="F38" s="843" t="s">
        <v>3487</v>
      </c>
      <c r="G38" s="841" t="s">
        <v>3488</v>
      </c>
      <c r="H38" s="844" t="s">
        <v>2568</v>
      </c>
      <c r="I38" s="845">
        <v>220</v>
      </c>
      <c r="J38" s="858"/>
      <c r="K38" s="861">
        <v>30</v>
      </c>
      <c r="L38" s="861">
        <v>190</v>
      </c>
      <c r="M38" s="844"/>
      <c r="N38" s="869"/>
      <c r="O38" s="840"/>
      <c r="P38" s="845" t="s">
        <v>105</v>
      </c>
      <c r="Q38" s="832" t="s">
        <v>936</v>
      </c>
      <c r="R38" s="844" t="s">
        <v>3489</v>
      </c>
      <c r="S38" s="844" t="s">
        <v>82</v>
      </c>
      <c r="T38" s="845" t="s">
        <v>83</v>
      </c>
      <c r="U38" s="832" t="s">
        <v>1141</v>
      </c>
      <c r="V38" s="833" t="s">
        <v>85</v>
      </c>
      <c r="W38" s="844">
        <v>55</v>
      </c>
      <c r="X38" s="844">
        <v>54</v>
      </c>
      <c r="Y38" s="841">
        <v>1</v>
      </c>
      <c r="Z38" s="841" t="s">
        <v>1119</v>
      </c>
    </row>
    <row r="39" spans="1:26" ht="69.95" customHeight="1">
      <c r="A39" s="836">
        <v>35</v>
      </c>
      <c r="B39" s="834" t="s">
        <v>2600</v>
      </c>
      <c r="C39" s="835" t="s">
        <v>3485</v>
      </c>
      <c r="D39" s="840" t="s">
        <v>3490</v>
      </c>
      <c r="E39" s="841" t="s">
        <v>2119</v>
      </c>
      <c r="F39" s="843" t="s">
        <v>3491</v>
      </c>
      <c r="G39" s="841" t="s">
        <v>3492</v>
      </c>
      <c r="H39" s="844" t="s">
        <v>3493</v>
      </c>
      <c r="I39" s="845">
        <v>410</v>
      </c>
      <c r="J39" s="859"/>
      <c r="K39" s="862"/>
      <c r="L39" s="862">
        <v>410</v>
      </c>
      <c r="M39" s="844"/>
      <c r="N39" s="869"/>
      <c r="O39" s="840"/>
      <c r="P39" s="845" t="s">
        <v>124</v>
      </c>
      <c r="Q39" s="832" t="s">
        <v>936</v>
      </c>
      <c r="R39" s="844" t="s">
        <v>3494</v>
      </c>
      <c r="S39" s="844" t="s">
        <v>82</v>
      </c>
      <c r="T39" s="845" t="s">
        <v>83</v>
      </c>
      <c r="U39" s="832" t="s">
        <v>1141</v>
      </c>
      <c r="V39" s="833" t="s">
        <v>85</v>
      </c>
      <c r="W39" s="844">
        <v>190</v>
      </c>
      <c r="X39" s="844">
        <v>187</v>
      </c>
      <c r="Y39" s="841">
        <v>3</v>
      </c>
      <c r="Z39" s="841" t="s">
        <v>909</v>
      </c>
    </row>
    <row r="40" spans="1:26" ht="69.95" customHeight="1">
      <c r="A40" s="836">
        <v>36</v>
      </c>
      <c r="B40" s="834" t="s">
        <v>2600</v>
      </c>
      <c r="C40" s="835" t="s">
        <v>3495</v>
      </c>
      <c r="D40" s="840" t="s">
        <v>3496</v>
      </c>
      <c r="E40" s="841" t="s">
        <v>3497</v>
      </c>
      <c r="F40" s="843" t="s">
        <v>3498</v>
      </c>
      <c r="G40" s="841" t="s">
        <v>3499</v>
      </c>
      <c r="H40" s="844" t="s">
        <v>1077</v>
      </c>
      <c r="I40" s="845">
        <v>940</v>
      </c>
      <c r="J40" s="857">
        <v>70</v>
      </c>
      <c r="K40" s="860">
        <v>70</v>
      </c>
      <c r="L40" s="860">
        <v>800</v>
      </c>
      <c r="M40" s="844"/>
      <c r="N40" s="869" t="s">
        <v>927</v>
      </c>
      <c r="O40" s="840" t="s">
        <v>1248</v>
      </c>
      <c r="P40" s="845" t="s">
        <v>92</v>
      </c>
      <c r="Q40" s="902" t="s">
        <v>3500</v>
      </c>
      <c r="R40" s="833" t="s">
        <v>3501</v>
      </c>
      <c r="S40" s="844" t="s">
        <v>82</v>
      </c>
      <c r="T40" s="845" t="s">
        <v>929</v>
      </c>
      <c r="U40" s="832" t="s">
        <v>3502</v>
      </c>
      <c r="V40" s="833" t="s">
        <v>1047</v>
      </c>
      <c r="W40" s="844">
        <v>195.8</v>
      </c>
      <c r="X40" s="844">
        <v>190</v>
      </c>
      <c r="Y40" s="841">
        <v>5.8</v>
      </c>
      <c r="Z40" s="841" t="s">
        <v>3503</v>
      </c>
    </row>
    <row r="41" spans="1:26" ht="69.95" customHeight="1">
      <c r="A41" s="836">
        <v>37</v>
      </c>
      <c r="B41" s="834" t="s">
        <v>2600</v>
      </c>
      <c r="C41" s="835" t="s">
        <v>3495</v>
      </c>
      <c r="D41" s="840" t="s">
        <v>3504</v>
      </c>
      <c r="E41" s="841" t="s">
        <v>3505</v>
      </c>
      <c r="F41" s="843" t="s">
        <v>3506</v>
      </c>
      <c r="G41" s="841" t="s">
        <v>3507</v>
      </c>
      <c r="H41" s="844" t="s">
        <v>3508</v>
      </c>
      <c r="I41" s="845">
        <v>28.6</v>
      </c>
      <c r="J41" s="857"/>
      <c r="K41" s="860"/>
      <c r="L41" s="860">
        <v>20</v>
      </c>
      <c r="M41" s="844">
        <v>8.6</v>
      </c>
      <c r="N41" s="869"/>
      <c r="O41" s="840"/>
      <c r="P41" s="845" t="s">
        <v>167</v>
      </c>
      <c r="Q41" s="901" t="s">
        <v>936</v>
      </c>
      <c r="R41" s="833" t="s">
        <v>3509</v>
      </c>
      <c r="S41" s="844" t="s">
        <v>82</v>
      </c>
      <c r="T41" s="845" t="s">
        <v>929</v>
      </c>
      <c r="U41" s="832" t="s">
        <v>2481</v>
      </c>
      <c r="V41" s="833" t="s">
        <v>1047</v>
      </c>
      <c r="W41" s="844">
        <v>7.8</v>
      </c>
      <c r="X41" s="844">
        <v>7.8</v>
      </c>
      <c r="Y41" s="841"/>
      <c r="Z41" s="841" t="s">
        <v>3510</v>
      </c>
    </row>
    <row r="42" spans="1:26" ht="69.95" customHeight="1">
      <c r="A42" s="836">
        <v>38</v>
      </c>
      <c r="B42" s="834" t="s">
        <v>2600</v>
      </c>
      <c r="C42" s="835" t="s">
        <v>3495</v>
      </c>
      <c r="D42" s="840" t="s">
        <v>3511</v>
      </c>
      <c r="E42" s="841" t="s">
        <v>3512</v>
      </c>
      <c r="F42" s="843" t="s">
        <v>3513</v>
      </c>
      <c r="G42" s="1449" t="s">
        <v>6298</v>
      </c>
      <c r="H42" s="844" t="s">
        <v>3514</v>
      </c>
      <c r="I42" s="845">
        <v>29</v>
      </c>
      <c r="J42" s="857"/>
      <c r="K42" s="860" t="s">
        <v>1702</v>
      </c>
      <c r="L42" s="860">
        <v>20</v>
      </c>
      <c r="M42" s="844">
        <v>9</v>
      </c>
      <c r="N42" s="869"/>
      <c r="O42" s="840"/>
      <c r="P42" s="845" t="s">
        <v>92</v>
      </c>
      <c r="Q42" s="901" t="s">
        <v>936</v>
      </c>
      <c r="R42" s="833" t="s">
        <v>3515</v>
      </c>
      <c r="S42" s="844" t="s">
        <v>82</v>
      </c>
      <c r="T42" s="845" t="s">
        <v>929</v>
      </c>
      <c r="U42" s="832" t="s">
        <v>1141</v>
      </c>
      <c r="V42" s="833" t="s">
        <v>1047</v>
      </c>
      <c r="W42" s="844">
        <v>6</v>
      </c>
      <c r="X42" s="844">
        <v>6</v>
      </c>
      <c r="Y42" s="841"/>
      <c r="Z42" s="841" t="s">
        <v>3516</v>
      </c>
    </row>
    <row r="43" spans="1:26" ht="69.95" customHeight="1">
      <c r="A43" s="836">
        <v>39</v>
      </c>
      <c r="B43" s="834" t="s">
        <v>2600</v>
      </c>
      <c r="C43" s="835" t="s">
        <v>3495</v>
      </c>
      <c r="D43" s="840" t="s">
        <v>3517</v>
      </c>
      <c r="E43" s="841" t="s">
        <v>3518</v>
      </c>
      <c r="F43" s="843" t="s">
        <v>3519</v>
      </c>
      <c r="G43" s="841" t="s">
        <v>3520</v>
      </c>
      <c r="H43" s="844" t="s">
        <v>3521</v>
      </c>
      <c r="I43" s="845">
        <v>16.5</v>
      </c>
      <c r="J43" s="857"/>
      <c r="K43" s="860"/>
      <c r="L43" s="860">
        <v>10</v>
      </c>
      <c r="M43" s="844">
        <v>6.5</v>
      </c>
      <c r="N43" s="869"/>
      <c r="O43" s="840"/>
      <c r="P43" s="845" t="s">
        <v>92</v>
      </c>
      <c r="Q43" s="901" t="s">
        <v>936</v>
      </c>
      <c r="R43" s="833" t="s">
        <v>3522</v>
      </c>
      <c r="S43" s="844" t="s">
        <v>82</v>
      </c>
      <c r="T43" s="845" t="s">
        <v>929</v>
      </c>
      <c r="U43" s="832" t="s">
        <v>3523</v>
      </c>
      <c r="V43" s="833" t="s">
        <v>1047</v>
      </c>
      <c r="W43" s="844">
        <v>1</v>
      </c>
      <c r="X43" s="844">
        <v>1</v>
      </c>
      <c r="Y43" s="841"/>
      <c r="Z43" s="841" t="s">
        <v>3524</v>
      </c>
    </row>
    <row r="44" spans="1:26" ht="69.95" customHeight="1">
      <c r="A44" s="836">
        <v>40</v>
      </c>
      <c r="B44" s="834" t="s">
        <v>2600</v>
      </c>
      <c r="C44" s="835" t="s">
        <v>3495</v>
      </c>
      <c r="D44" s="840" t="s">
        <v>3525</v>
      </c>
      <c r="E44" s="841" t="s">
        <v>3526</v>
      </c>
      <c r="F44" s="843" t="s">
        <v>3527</v>
      </c>
      <c r="G44" s="1449" t="s">
        <v>6299</v>
      </c>
      <c r="H44" s="844" t="s">
        <v>3528</v>
      </c>
      <c r="I44" s="845">
        <v>43</v>
      </c>
      <c r="J44" s="857"/>
      <c r="K44" s="860"/>
      <c r="L44" s="860">
        <v>30</v>
      </c>
      <c r="M44" s="844">
        <v>13</v>
      </c>
      <c r="N44" s="869"/>
      <c r="O44" s="840"/>
      <c r="P44" s="845" t="s">
        <v>167</v>
      </c>
      <c r="Q44" s="901" t="s">
        <v>936</v>
      </c>
      <c r="R44" s="833" t="s">
        <v>3529</v>
      </c>
      <c r="S44" s="844" t="s">
        <v>82</v>
      </c>
      <c r="T44" s="845" t="s">
        <v>929</v>
      </c>
      <c r="U44" s="832" t="s">
        <v>1141</v>
      </c>
      <c r="V44" s="833" t="s">
        <v>1047</v>
      </c>
      <c r="W44" s="844">
        <v>2</v>
      </c>
      <c r="X44" s="844">
        <v>2</v>
      </c>
      <c r="Y44" s="841"/>
      <c r="Z44" s="841" t="s">
        <v>3530</v>
      </c>
    </row>
    <row r="45" spans="1:26" ht="69.95" customHeight="1">
      <c r="A45" s="836">
        <v>41</v>
      </c>
      <c r="B45" s="834" t="s">
        <v>2600</v>
      </c>
      <c r="C45" s="835" t="s">
        <v>3495</v>
      </c>
      <c r="D45" s="840" t="s">
        <v>3531</v>
      </c>
      <c r="E45" s="841" t="s">
        <v>3532</v>
      </c>
      <c r="F45" s="843" t="s">
        <v>3533</v>
      </c>
      <c r="G45" s="1449" t="s">
        <v>6300</v>
      </c>
      <c r="H45" s="844" t="s">
        <v>3534</v>
      </c>
      <c r="I45" s="845">
        <v>43</v>
      </c>
      <c r="J45" s="857"/>
      <c r="K45" s="860"/>
      <c r="L45" s="860">
        <v>30</v>
      </c>
      <c r="M45" s="844">
        <v>13</v>
      </c>
      <c r="N45" s="869"/>
      <c r="O45" s="840"/>
      <c r="P45" s="845" t="s">
        <v>105</v>
      </c>
      <c r="Q45" s="901" t="s">
        <v>936</v>
      </c>
      <c r="R45" s="833" t="s">
        <v>3535</v>
      </c>
      <c r="S45" s="844" t="s">
        <v>82</v>
      </c>
      <c r="T45" s="845" t="s">
        <v>929</v>
      </c>
      <c r="U45" s="832" t="s">
        <v>1141</v>
      </c>
      <c r="V45" s="833" t="s">
        <v>1047</v>
      </c>
      <c r="W45" s="844">
        <v>3</v>
      </c>
      <c r="X45" s="844">
        <v>3</v>
      </c>
      <c r="Y45" s="841"/>
      <c r="Z45" s="841" t="s">
        <v>3536</v>
      </c>
    </row>
    <row r="46" spans="1:26" ht="69.95" customHeight="1">
      <c r="A46" s="836">
        <v>42</v>
      </c>
      <c r="B46" s="911" t="s">
        <v>2600</v>
      </c>
      <c r="C46" s="835" t="s">
        <v>3537</v>
      </c>
      <c r="D46" s="841" t="s">
        <v>3538</v>
      </c>
      <c r="E46" s="841" t="s">
        <v>3539</v>
      </c>
      <c r="F46" s="903" t="s">
        <v>3540</v>
      </c>
      <c r="G46" s="841" t="s">
        <v>3541</v>
      </c>
      <c r="H46" s="841" t="s">
        <v>1871</v>
      </c>
      <c r="I46" s="845">
        <v>740</v>
      </c>
      <c r="J46" s="832">
        <v>70</v>
      </c>
      <c r="K46" s="832">
        <v>70</v>
      </c>
      <c r="L46" s="832">
        <v>600</v>
      </c>
      <c r="M46" s="833"/>
      <c r="N46" s="913" t="s">
        <v>927</v>
      </c>
      <c r="O46" s="914" t="s">
        <v>1248</v>
      </c>
      <c r="P46" s="845" t="s">
        <v>67</v>
      </c>
      <c r="Q46" s="832" t="s">
        <v>3500</v>
      </c>
      <c r="R46" s="844" t="s">
        <v>3542</v>
      </c>
      <c r="S46" s="841" t="s">
        <v>82</v>
      </c>
      <c r="T46" s="845" t="s">
        <v>83</v>
      </c>
      <c r="U46" s="832" t="s">
        <v>3543</v>
      </c>
      <c r="V46" s="833" t="s">
        <v>85</v>
      </c>
      <c r="W46" s="841">
        <v>502</v>
      </c>
      <c r="X46" s="841">
        <v>502</v>
      </c>
      <c r="Y46" s="841"/>
      <c r="Z46" s="841" t="s">
        <v>3544</v>
      </c>
    </row>
    <row r="47" spans="1:26" ht="69.95" customHeight="1">
      <c r="A47" s="836">
        <v>43</v>
      </c>
      <c r="B47" s="911" t="s">
        <v>2600</v>
      </c>
      <c r="C47" s="835" t="s">
        <v>3537</v>
      </c>
      <c r="D47" s="904" t="s">
        <v>3545</v>
      </c>
      <c r="E47" s="904" t="s">
        <v>3546</v>
      </c>
      <c r="F47" s="905" t="s">
        <v>3547</v>
      </c>
      <c r="G47" s="904" t="s">
        <v>3548</v>
      </c>
      <c r="H47" s="904" t="s">
        <v>3549</v>
      </c>
      <c r="I47" s="910" t="s">
        <v>3550</v>
      </c>
      <c r="J47" s="901"/>
      <c r="K47" s="901"/>
      <c r="L47" s="902" t="s">
        <v>3550</v>
      </c>
      <c r="M47" s="909"/>
      <c r="N47" s="915"/>
      <c r="O47" s="916"/>
      <c r="P47" s="910" t="s">
        <v>3551</v>
      </c>
      <c r="Q47" s="832" t="s">
        <v>936</v>
      </c>
      <c r="R47" s="912" t="s">
        <v>3552</v>
      </c>
      <c r="S47" s="841" t="s">
        <v>82</v>
      </c>
      <c r="T47" s="908" t="s">
        <v>3553</v>
      </c>
      <c r="U47" s="902" t="s">
        <v>3554</v>
      </c>
      <c r="V47" s="909" t="s">
        <v>85</v>
      </c>
      <c r="W47" s="841">
        <v>51</v>
      </c>
      <c r="X47" s="907">
        <v>51</v>
      </c>
      <c r="Y47" s="906"/>
      <c r="Z47" s="904" t="s">
        <v>3555</v>
      </c>
    </row>
    <row r="48" spans="1:26" ht="69.95" customHeight="1">
      <c r="A48" s="836">
        <v>44</v>
      </c>
      <c r="B48" s="911" t="s">
        <v>2600</v>
      </c>
      <c r="C48" s="835" t="s">
        <v>3537</v>
      </c>
      <c r="D48" s="906" t="s">
        <v>3556</v>
      </c>
      <c r="E48" s="904" t="s">
        <v>952</v>
      </c>
      <c r="F48" s="905" t="s">
        <v>3557</v>
      </c>
      <c r="G48" s="904" t="s">
        <v>3558</v>
      </c>
      <c r="H48" s="904" t="s">
        <v>1886</v>
      </c>
      <c r="I48" s="908">
        <v>355</v>
      </c>
      <c r="J48" s="901"/>
      <c r="K48" s="901"/>
      <c r="L48" s="901">
        <v>355</v>
      </c>
      <c r="M48" s="909"/>
      <c r="N48" s="915"/>
      <c r="O48" s="916"/>
      <c r="P48" s="908" t="s">
        <v>3559</v>
      </c>
      <c r="Q48" s="832" t="s">
        <v>936</v>
      </c>
      <c r="R48" s="912" t="s">
        <v>1118</v>
      </c>
      <c r="S48" s="841" t="s">
        <v>82</v>
      </c>
      <c r="T48" s="910" t="s">
        <v>3560</v>
      </c>
      <c r="U48" s="901" t="s">
        <v>84</v>
      </c>
      <c r="V48" s="909" t="s">
        <v>85</v>
      </c>
      <c r="W48" s="841">
        <v>120</v>
      </c>
      <c r="X48" s="907">
        <v>120</v>
      </c>
      <c r="Y48" s="906"/>
      <c r="Z48" s="906" t="s">
        <v>3561</v>
      </c>
    </row>
    <row r="49" spans="1:26" ht="69.95" customHeight="1">
      <c r="A49" s="836">
        <v>45</v>
      </c>
      <c r="B49" s="836" t="s">
        <v>2600</v>
      </c>
      <c r="C49" s="835" t="s">
        <v>3562</v>
      </c>
      <c r="D49" s="840" t="s">
        <v>3563</v>
      </c>
      <c r="E49" s="841" t="s">
        <v>3564</v>
      </c>
      <c r="F49" s="843" t="s">
        <v>3565</v>
      </c>
      <c r="G49" s="841" t="s">
        <v>3566</v>
      </c>
      <c r="H49" s="844" t="s">
        <v>972</v>
      </c>
      <c r="I49" s="845">
        <v>120</v>
      </c>
      <c r="J49" s="857"/>
      <c r="K49" s="860"/>
      <c r="L49" s="860">
        <v>120</v>
      </c>
      <c r="M49" s="844"/>
      <c r="N49" s="869"/>
      <c r="O49" s="840"/>
      <c r="P49" s="845" t="s">
        <v>67</v>
      </c>
      <c r="Q49" s="840"/>
      <c r="R49" s="833" t="s">
        <v>3567</v>
      </c>
      <c r="S49" s="844" t="s">
        <v>82</v>
      </c>
      <c r="T49" s="845" t="s">
        <v>929</v>
      </c>
      <c r="U49" s="832" t="s">
        <v>84</v>
      </c>
      <c r="V49" s="833" t="s">
        <v>85</v>
      </c>
      <c r="W49" s="844">
        <v>0</v>
      </c>
      <c r="X49" s="844"/>
      <c r="Y49" s="841"/>
      <c r="Z49" s="841" t="s">
        <v>1028</v>
      </c>
    </row>
    <row r="50" spans="1:26" ht="69.95" customHeight="1">
      <c r="A50" s="836">
        <v>46</v>
      </c>
      <c r="B50" s="836" t="s">
        <v>2600</v>
      </c>
      <c r="C50" s="835" t="s">
        <v>3562</v>
      </c>
      <c r="D50" s="840" t="s">
        <v>3568</v>
      </c>
      <c r="E50" s="841" t="s">
        <v>3569</v>
      </c>
      <c r="F50" s="843" t="s">
        <v>3570</v>
      </c>
      <c r="G50" s="841" t="s">
        <v>3571</v>
      </c>
      <c r="H50" s="844" t="s">
        <v>1717</v>
      </c>
      <c r="I50" s="845">
        <v>450</v>
      </c>
      <c r="J50" s="857"/>
      <c r="K50" s="860"/>
      <c r="L50" s="860">
        <v>450</v>
      </c>
      <c r="M50" s="844"/>
      <c r="N50" s="869"/>
      <c r="O50" s="840"/>
      <c r="P50" s="845" t="s">
        <v>67</v>
      </c>
      <c r="Q50" s="840"/>
      <c r="R50" s="833" t="s">
        <v>3572</v>
      </c>
      <c r="S50" s="844" t="s">
        <v>82</v>
      </c>
      <c r="T50" s="845" t="s">
        <v>929</v>
      </c>
      <c r="U50" s="832" t="s">
        <v>84</v>
      </c>
      <c r="V50" s="833" t="s">
        <v>85</v>
      </c>
      <c r="W50" s="844">
        <v>175</v>
      </c>
      <c r="X50" s="844">
        <v>175</v>
      </c>
      <c r="Y50" s="841"/>
      <c r="Z50" s="841" t="s">
        <v>1028</v>
      </c>
    </row>
    <row r="51" spans="1:26" ht="69.95" customHeight="1">
      <c r="A51" s="836">
        <v>47</v>
      </c>
      <c r="B51" s="836" t="s">
        <v>2600</v>
      </c>
      <c r="C51" s="835" t="s">
        <v>3562</v>
      </c>
      <c r="D51" s="840" t="s">
        <v>3573</v>
      </c>
      <c r="E51" s="841" t="s">
        <v>3574</v>
      </c>
      <c r="F51" s="843" t="s">
        <v>3575</v>
      </c>
      <c r="G51" s="841" t="s">
        <v>3576</v>
      </c>
      <c r="H51" s="844" t="s">
        <v>2370</v>
      </c>
      <c r="I51" s="845">
        <v>550</v>
      </c>
      <c r="J51" s="857"/>
      <c r="K51" s="860">
        <v>50</v>
      </c>
      <c r="L51" s="860">
        <v>500</v>
      </c>
      <c r="M51" s="844"/>
      <c r="N51" s="897"/>
      <c r="O51" s="898"/>
      <c r="P51" s="845" t="s">
        <v>105</v>
      </c>
      <c r="Q51" s="832" t="s">
        <v>3461</v>
      </c>
      <c r="R51" s="833" t="s">
        <v>3577</v>
      </c>
      <c r="S51" s="844" t="s">
        <v>82</v>
      </c>
      <c r="T51" s="845" t="s">
        <v>929</v>
      </c>
      <c r="U51" s="832" t="s">
        <v>84</v>
      </c>
      <c r="V51" s="833" t="s">
        <v>85</v>
      </c>
      <c r="W51" s="844">
        <v>129</v>
      </c>
      <c r="X51" s="844">
        <v>129</v>
      </c>
      <c r="Y51" s="841"/>
      <c r="Z51" s="841" t="s">
        <v>3578</v>
      </c>
    </row>
    <row r="52" spans="1:26" ht="69.95" customHeight="1">
      <c r="A52" s="836">
        <v>48</v>
      </c>
      <c r="B52" s="836" t="s">
        <v>2600</v>
      </c>
      <c r="C52" s="835" t="s">
        <v>3562</v>
      </c>
      <c r="D52" s="840" t="s">
        <v>3579</v>
      </c>
      <c r="E52" s="841" t="s">
        <v>3580</v>
      </c>
      <c r="F52" s="843" t="s">
        <v>3581</v>
      </c>
      <c r="G52" s="841" t="s">
        <v>3582</v>
      </c>
      <c r="H52" s="844" t="s">
        <v>3583</v>
      </c>
      <c r="I52" s="845">
        <v>150</v>
      </c>
      <c r="J52" s="857"/>
      <c r="K52" s="860"/>
      <c r="L52" s="860">
        <v>150</v>
      </c>
      <c r="M52" s="844"/>
      <c r="N52" s="869"/>
      <c r="O52" s="840"/>
      <c r="P52" s="845" t="s">
        <v>92</v>
      </c>
      <c r="Q52" s="832" t="s">
        <v>936</v>
      </c>
      <c r="R52" s="833" t="s">
        <v>3584</v>
      </c>
      <c r="S52" s="844" t="s">
        <v>82</v>
      </c>
      <c r="T52" s="845" t="s">
        <v>929</v>
      </c>
      <c r="U52" s="832" t="s">
        <v>84</v>
      </c>
      <c r="V52" s="833" t="s">
        <v>85</v>
      </c>
      <c r="W52" s="844">
        <v>15</v>
      </c>
      <c r="X52" s="844">
        <v>15</v>
      </c>
      <c r="Y52" s="841"/>
      <c r="Z52" s="841" t="s">
        <v>3289</v>
      </c>
    </row>
    <row r="53" spans="1:26" ht="69.95" customHeight="1" thickBot="1">
      <c r="A53" s="836">
        <v>49</v>
      </c>
      <c r="B53" s="839" t="s">
        <v>2600</v>
      </c>
      <c r="C53" s="876" t="s">
        <v>3562</v>
      </c>
      <c r="D53" s="877" t="s">
        <v>3585</v>
      </c>
      <c r="E53" s="878" t="s">
        <v>3095</v>
      </c>
      <c r="F53" s="879" t="s">
        <v>3586</v>
      </c>
      <c r="G53" s="878" t="s">
        <v>3587</v>
      </c>
      <c r="H53" s="880" t="s">
        <v>1785</v>
      </c>
      <c r="I53" s="881">
        <v>80</v>
      </c>
      <c r="J53" s="882"/>
      <c r="K53" s="883"/>
      <c r="L53" s="883">
        <v>80</v>
      </c>
      <c r="M53" s="880"/>
      <c r="N53" s="884"/>
      <c r="O53" s="877"/>
      <c r="P53" s="881" t="s">
        <v>92</v>
      </c>
      <c r="Q53" s="832" t="s">
        <v>936</v>
      </c>
      <c r="R53" s="885" t="s">
        <v>3588</v>
      </c>
      <c r="S53" s="880" t="s">
        <v>82</v>
      </c>
      <c r="T53" s="881" t="s">
        <v>929</v>
      </c>
      <c r="U53" s="887" t="s">
        <v>84</v>
      </c>
      <c r="V53" s="885" t="s">
        <v>85</v>
      </c>
      <c r="W53" s="880">
        <v>15</v>
      </c>
      <c r="X53" s="880">
        <v>15</v>
      </c>
      <c r="Y53" s="878"/>
      <c r="Z53" s="878" t="s">
        <v>1028</v>
      </c>
    </row>
    <row r="54" spans="1:26">
      <c r="A54" s="828"/>
      <c r="B54" s="828"/>
      <c r="C54" s="828"/>
      <c r="D54" s="828"/>
      <c r="E54" s="828"/>
      <c r="F54" s="828"/>
      <c r="G54" s="828"/>
      <c r="H54" s="828"/>
      <c r="I54" s="828"/>
      <c r="J54" s="828"/>
      <c r="K54" s="828"/>
      <c r="L54" s="828"/>
      <c r="M54" s="828"/>
      <c r="N54" s="828"/>
      <c r="O54" s="828"/>
      <c r="P54" s="828"/>
      <c r="Q54" s="828"/>
      <c r="R54" s="828"/>
      <c r="S54" s="828"/>
      <c r="T54" s="828"/>
      <c r="U54" s="828"/>
      <c r="V54" s="828"/>
      <c r="W54" s="828"/>
      <c r="X54" s="828"/>
      <c r="Y54" s="828"/>
      <c r="Z54" s="828"/>
    </row>
  </sheetData>
  <mergeCells count="4">
    <mergeCell ref="W3:Y3"/>
    <mergeCell ref="N3:O3"/>
    <mergeCell ref="A1:Y2"/>
    <mergeCell ref="I3:M3"/>
  </mergeCells>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3"/>
  <sheetViews>
    <sheetView workbookViewId="0">
      <selection activeCell="G88" sqref="G1:G1048576"/>
    </sheetView>
  </sheetViews>
  <sheetFormatPr defaultRowHeight="13.5"/>
  <cols>
    <col min="1" max="1" width="5.109375" style="922" customWidth="1"/>
    <col min="2" max="2" width="12.33203125" style="922" customWidth="1"/>
    <col min="3" max="3" width="9.109375" style="922" customWidth="1"/>
    <col min="4" max="4" width="17.6640625" style="917" customWidth="1"/>
    <col min="5" max="5" width="12.109375" style="917" customWidth="1"/>
    <col min="6" max="6" width="42" style="917" customWidth="1"/>
    <col min="7" max="7" width="25.109375" style="917" customWidth="1"/>
    <col min="8" max="8" width="12.21875" style="917" customWidth="1"/>
    <col min="9" max="9" width="14.21875" style="917" customWidth="1"/>
    <col min="10" max="13" width="7.6640625" style="917" customWidth="1"/>
    <col min="14" max="14" width="10.21875" style="917" customWidth="1"/>
    <col min="15" max="15" width="30.21875" style="917" customWidth="1"/>
    <col min="16" max="18" width="12.77734375" style="917" customWidth="1"/>
    <col min="19" max="19" width="12.21875" style="917" customWidth="1"/>
    <col min="20" max="20" width="13.33203125" style="917" customWidth="1"/>
    <col min="21" max="21" width="12.77734375" style="917" customWidth="1"/>
    <col min="22" max="26" width="12.21875" style="917" customWidth="1"/>
    <col min="27" max="16384" width="8.88671875" style="917"/>
  </cols>
  <sheetData>
    <row r="1" spans="1:27" ht="29.25" customHeight="1">
      <c r="A1" s="1611" t="s">
        <v>3695</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row>
    <row r="2" spans="1:27" s="919" customFormat="1" ht="17.25" customHeight="1"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row>
    <row r="3" spans="1:27" s="919" customFormat="1" ht="22.5" customHeight="1" thickBot="1">
      <c r="A3" s="920"/>
      <c r="B3" s="920"/>
      <c r="C3" s="920"/>
      <c r="D3" s="918"/>
      <c r="E3" s="918"/>
      <c r="F3" s="918"/>
      <c r="G3" s="918"/>
      <c r="H3" s="918"/>
      <c r="I3" s="1612"/>
      <c r="J3" s="1613"/>
      <c r="K3" s="1613"/>
      <c r="L3" s="1613"/>
      <c r="M3" s="1613"/>
      <c r="N3" s="1609" t="s">
        <v>3696</v>
      </c>
      <c r="O3" s="1610"/>
      <c r="P3" s="944"/>
      <c r="Q3" s="940"/>
      <c r="R3" s="944"/>
      <c r="S3" s="945"/>
      <c r="T3" s="945"/>
      <c r="U3" s="945"/>
      <c r="V3" s="945"/>
      <c r="W3" s="1621" t="s">
        <v>3697</v>
      </c>
      <c r="X3" s="1622"/>
      <c r="Y3" s="1623"/>
      <c r="Z3" s="945"/>
      <c r="AA3" s="929"/>
    </row>
    <row r="4" spans="1:27" ht="39.75" customHeight="1" thickBot="1">
      <c r="A4" s="939" t="s">
        <v>3698</v>
      </c>
      <c r="B4" s="927" t="s">
        <v>3699</v>
      </c>
      <c r="C4" s="937" t="s">
        <v>3700</v>
      </c>
      <c r="D4" s="938" t="s">
        <v>3701</v>
      </c>
      <c r="E4" s="935" t="s">
        <v>3702</v>
      </c>
      <c r="F4" s="938" t="s">
        <v>3703</v>
      </c>
      <c r="G4" s="935" t="s">
        <v>3704</v>
      </c>
      <c r="H4" s="935" t="s">
        <v>3705</v>
      </c>
      <c r="I4" s="936" t="s">
        <v>3706</v>
      </c>
      <c r="J4" s="941" t="s">
        <v>3707</v>
      </c>
      <c r="K4" s="942" t="s">
        <v>3708</v>
      </c>
      <c r="L4" s="942" t="s">
        <v>3709</v>
      </c>
      <c r="M4" s="943" t="s">
        <v>3710</v>
      </c>
      <c r="N4" s="946" t="s">
        <v>3711</v>
      </c>
      <c r="O4" s="943" t="s">
        <v>3712</v>
      </c>
      <c r="P4" s="935" t="s">
        <v>3713</v>
      </c>
      <c r="Q4" s="935" t="s">
        <v>3714</v>
      </c>
      <c r="R4" s="934" t="s">
        <v>3715</v>
      </c>
      <c r="S4" s="933" t="s">
        <v>3716</v>
      </c>
      <c r="T4" s="930" t="s">
        <v>3717</v>
      </c>
      <c r="U4" s="931" t="s">
        <v>3718</v>
      </c>
      <c r="V4" s="932" t="s">
        <v>3719</v>
      </c>
      <c r="W4" s="934" t="s">
        <v>3720</v>
      </c>
      <c r="X4" s="933" t="s">
        <v>3721</v>
      </c>
      <c r="Y4" s="934" t="s">
        <v>3722</v>
      </c>
      <c r="Z4" s="934" t="s">
        <v>3723</v>
      </c>
    </row>
    <row r="5" spans="1:27" ht="45" customHeight="1">
      <c r="A5" s="612">
        <v>1</v>
      </c>
      <c r="B5" s="608" t="s">
        <v>2601</v>
      </c>
      <c r="C5" s="608" t="s">
        <v>3589</v>
      </c>
      <c r="D5" s="614" t="s">
        <v>3590</v>
      </c>
      <c r="E5" s="614" t="s">
        <v>3724</v>
      </c>
      <c r="F5" s="611" t="s">
        <v>3725</v>
      </c>
      <c r="G5" s="614" t="s">
        <v>3591</v>
      </c>
      <c r="H5" s="614" t="s">
        <v>3726</v>
      </c>
      <c r="I5" s="614">
        <v>2350</v>
      </c>
      <c r="J5" s="614"/>
      <c r="K5" s="614">
        <v>2350</v>
      </c>
      <c r="L5" s="614"/>
      <c r="M5" s="614"/>
      <c r="N5" s="614" t="s">
        <v>3727</v>
      </c>
      <c r="O5" s="614" t="s">
        <v>3728</v>
      </c>
      <c r="P5" s="614" t="s">
        <v>67</v>
      </c>
      <c r="Q5" s="614" t="s">
        <v>3592</v>
      </c>
      <c r="R5" s="614" t="s">
        <v>3593</v>
      </c>
      <c r="S5" s="614" t="s">
        <v>82</v>
      </c>
      <c r="T5" s="614" t="s">
        <v>1103</v>
      </c>
      <c r="U5" s="614" t="s">
        <v>3594</v>
      </c>
      <c r="V5" s="614" t="s">
        <v>1064</v>
      </c>
      <c r="W5" s="614">
        <v>120</v>
      </c>
      <c r="X5" s="614">
        <v>119</v>
      </c>
      <c r="Y5" s="614">
        <v>10</v>
      </c>
      <c r="Z5" s="610" t="s">
        <v>3595</v>
      </c>
    </row>
    <row r="6" spans="1:27" ht="45" customHeight="1">
      <c r="A6" s="926">
        <v>2</v>
      </c>
      <c r="B6" s="925" t="s">
        <v>2601</v>
      </c>
      <c r="C6" s="925" t="s">
        <v>3589</v>
      </c>
      <c r="D6" s="923" t="s">
        <v>3596</v>
      </c>
      <c r="E6" s="923" t="s">
        <v>3729</v>
      </c>
      <c r="F6" s="333" t="s">
        <v>3597</v>
      </c>
      <c r="G6" s="923" t="s">
        <v>3598</v>
      </c>
      <c r="H6" s="923" t="s">
        <v>3730</v>
      </c>
      <c r="I6" s="923">
        <v>200</v>
      </c>
      <c r="J6" s="923"/>
      <c r="K6" s="923">
        <v>200</v>
      </c>
      <c r="L6" s="923"/>
      <c r="M6" s="923"/>
      <c r="N6" s="923"/>
      <c r="O6" s="923" t="s">
        <v>1950</v>
      </c>
      <c r="P6" s="923" t="s">
        <v>67</v>
      </c>
      <c r="Q6" s="923" t="s">
        <v>936</v>
      </c>
      <c r="R6" s="923"/>
      <c r="S6" s="923" t="s">
        <v>82</v>
      </c>
      <c r="T6" s="923" t="s">
        <v>83</v>
      </c>
      <c r="U6" s="923" t="s">
        <v>3599</v>
      </c>
      <c r="V6" s="923" t="s">
        <v>1064</v>
      </c>
      <c r="W6" s="923">
        <v>30</v>
      </c>
      <c r="X6" s="923"/>
      <c r="Y6" s="923"/>
      <c r="Z6" s="924" t="s">
        <v>3600</v>
      </c>
    </row>
    <row r="7" spans="1:27" ht="45" customHeight="1">
      <c r="A7" s="926">
        <v>3</v>
      </c>
      <c r="B7" s="925" t="s">
        <v>2601</v>
      </c>
      <c r="C7" s="925" t="s">
        <v>3589</v>
      </c>
      <c r="D7" s="923" t="s">
        <v>3601</v>
      </c>
      <c r="E7" s="923" t="s">
        <v>3731</v>
      </c>
      <c r="F7" s="333" t="s">
        <v>3732</v>
      </c>
      <c r="G7" s="923" t="s">
        <v>3603</v>
      </c>
      <c r="H7" s="923" t="s">
        <v>3733</v>
      </c>
      <c r="I7" s="923">
        <v>90</v>
      </c>
      <c r="J7" s="923"/>
      <c r="K7" s="923">
        <v>35</v>
      </c>
      <c r="L7" s="923"/>
      <c r="M7" s="923">
        <v>55</v>
      </c>
      <c r="N7" s="923"/>
      <c r="O7" s="923" t="s">
        <v>1950</v>
      </c>
      <c r="P7" s="923" t="s">
        <v>92</v>
      </c>
      <c r="Q7" s="923" t="s">
        <v>936</v>
      </c>
      <c r="R7" s="923" t="s">
        <v>1110</v>
      </c>
      <c r="S7" s="923" t="s">
        <v>82</v>
      </c>
      <c r="T7" s="923" t="s">
        <v>929</v>
      </c>
      <c r="U7" s="923" t="s">
        <v>84</v>
      </c>
      <c r="V7" s="923" t="s">
        <v>1047</v>
      </c>
      <c r="W7" s="923">
        <v>5</v>
      </c>
      <c r="X7" s="923"/>
      <c r="Y7" s="923"/>
      <c r="Z7" s="924" t="s">
        <v>1780</v>
      </c>
    </row>
    <row r="8" spans="1:27" ht="66.75" customHeight="1">
      <c r="A8" s="926">
        <v>4</v>
      </c>
      <c r="B8" s="925" t="s">
        <v>2601</v>
      </c>
      <c r="C8" s="925" t="s">
        <v>3589</v>
      </c>
      <c r="D8" s="923" t="s">
        <v>3604</v>
      </c>
      <c r="E8" s="923" t="s">
        <v>3734</v>
      </c>
      <c r="F8" s="333" t="s">
        <v>4276</v>
      </c>
      <c r="G8" s="923" t="s">
        <v>3605</v>
      </c>
      <c r="H8" s="923" t="s">
        <v>3735</v>
      </c>
      <c r="I8" s="923">
        <v>55</v>
      </c>
      <c r="J8" s="923"/>
      <c r="K8" s="923"/>
      <c r="L8" s="923">
        <v>55</v>
      </c>
      <c r="M8" s="923"/>
      <c r="N8" s="923"/>
      <c r="O8" s="923" t="s">
        <v>1950</v>
      </c>
      <c r="P8" s="923" t="s">
        <v>92</v>
      </c>
      <c r="Q8" s="923" t="s">
        <v>936</v>
      </c>
      <c r="R8" s="923" t="s">
        <v>3606</v>
      </c>
      <c r="S8" s="923" t="s">
        <v>82</v>
      </c>
      <c r="T8" s="923" t="s">
        <v>2641</v>
      </c>
      <c r="U8" s="923"/>
      <c r="V8" s="923" t="s">
        <v>1047</v>
      </c>
      <c r="W8" s="923">
        <v>10</v>
      </c>
      <c r="X8" s="923">
        <v>9.8000000000000007</v>
      </c>
      <c r="Y8" s="923">
        <v>0.2</v>
      </c>
      <c r="Z8" s="924" t="s">
        <v>938</v>
      </c>
    </row>
    <row r="9" spans="1:27" ht="54">
      <c r="A9" s="926">
        <v>5</v>
      </c>
      <c r="B9" s="925" t="s">
        <v>2601</v>
      </c>
      <c r="C9" s="925" t="s">
        <v>3589</v>
      </c>
      <c r="D9" s="923" t="s">
        <v>3607</v>
      </c>
      <c r="E9" s="923" t="s">
        <v>3736</v>
      </c>
      <c r="F9" s="333" t="s">
        <v>3737</v>
      </c>
      <c r="G9" s="923" t="s">
        <v>3608</v>
      </c>
      <c r="H9" s="923" t="s">
        <v>3738</v>
      </c>
      <c r="I9" s="923">
        <v>80</v>
      </c>
      <c r="J9" s="923"/>
      <c r="K9" s="923"/>
      <c r="L9" s="923">
        <v>56</v>
      </c>
      <c r="M9" s="923">
        <v>24</v>
      </c>
      <c r="N9" s="923"/>
      <c r="O9" s="923" t="s">
        <v>3609</v>
      </c>
      <c r="P9" s="923" t="s">
        <v>167</v>
      </c>
      <c r="Q9" s="923" t="s">
        <v>936</v>
      </c>
      <c r="R9" s="923" t="s">
        <v>1011</v>
      </c>
      <c r="S9" s="923" t="s">
        <v>82</v>
      </c>
      <c r="T9" s="923" t="s">
        <v>929</v>
      </c>
      <c r="U9" s="923" t="s">
        <v>84</v>
      </c>
      <c r="V9" s="923" t="s">
        <v>1064</v>
      </c>
      <c r="W9" s="923">
        <v>20</v>
      </c>
      <c r="X9" s="923">
        <v>20</v>
      </c>
      <c r="Y9" s="923"/>
      <c r="Z9" s="924" t="s">
        <v>1780</v>
      </c>
    </row>
    <row r="10" spans="1:27" ht="45" customHeight="1" thickBot="1">
      <c r="A10" s="839">
        <v>6</v>
      </c>
      <c r="B10" s="875" t="s">
        <v>2601</v>
      </c>
      <c r="C10" s="875" t="s">
        <v>3589</v>
      </c>
      <c r="D10" s="887" t="s">
        <v>3739</v>
      </c>
      <c r="E10" s="887" t="s">
        <v>3740</v>
      </c>
      <c r="F10" s="609" t="s">
        <v>3741</v>
      </c>
      <c r="G10" s="887" t="s">
        <v>3610</v>
      </c>
      <c r="H10" s="887" t="s">
        <v>3742</v>
      </c>
      <c r="I10" s="887">
        <v>100</v>
      </c>
      <c r="J10" s="887"/>
      <c r="K10" s="887">
        <v>100</v>
      </c>
      <c r="L10" s="887"/>
      <c r="M10" s="887"/>
      <c r="N10" s="887"/>
      <c r="O10" s="887" t="s">
        <v>3609</v>
      </c>
      <c r="P10" s="887" t="s">
        <v>67</v>
      </c>
      <c r="Q10" s="887" t="s">
        <v>936</v>
      </c>
      <c r="R10" s="887" t="s">
        <v>3188</v>
      </c>
      <c r="S10" s="887" t="s">
        <v>82</v>
      </c>
      <c r="T10" s="887" t="s">
        <v>1103</v>
      </c>
      <c r="U10" s="887" t="s">
        <v>1141</v>
      </c>
      <c r="V10" s="887" t="s">
        <v>1064</v>
      </c>
      <c r="W10" s="887">
        <v>3</v>
      </c>
      <c r="X10" s="887">
        <v>3</v>
      </c>
      <c r="Y10" s="887"/>
      <c r="Z10" s="885" t="s">
        <v>3611</v>
      </c>
    </row>
    <row r="11" spans="1:27" ht="45" customHeight="1">
      <c r="A11" s="612">
        <v>7</v>
      </c>
      <c r="B11" s="608" t="s">
        <v>2601</v>
      </c>
      <c r="C11" s="615" t="s">
        <v>3743</v>
      </c>
      <c r="D11" s="614" t="s">
        <v>3744</v>
      </c>
      <c r="E11" s="614" t="s">
        <v>3745</v>
      </c>
      <c r="F11" s="611" t="s">
        <v>3746</v>
      </c>
      <c r="G11" s="614" t="s">
        <v>3747</v>
      </c>
      <c r="H11" s="614" t="s">
        <v>3748</v>
      </c>
      <c r="I11" s="614">
        <f>SUM(J11:M11)</f>
        <v>250</v>
      </c>
      <c r="J11" s="614"/>
      <c r="K11" s="614"/>
      <c r="L11" s="614">
        <v>250</v>
      </c>
      <c r="M11" s="614"/>
      <c r="N11" s="614"/>
      <c r="O11" s="614"/>
      <c r="P11" s="614" t="s">
        <v>3749</v>
      </c>
      <c r="Q11" s="817"/>
      <c r="R11" s="614" t="s">
        <v>3750</v>
      </c>
      <c r="S11" s="614" t="s">
        <v>3751</v>
      </c>
      <c r="T11" s="614" t="s">
        <v>3752</v>
      </c>
      <c r="U11" s="614" t="s">
        <v>3753</v>
      </c>
      <c r="V11" s="614" t="s">
        <v>3754</v>
      </c>
      <c r="W11" s="614">
        <v>88</v>
      </c>
      <c r="X11" s="614">
        <v>87</v>
      </c>
      <c r="Y11" s="614">
        <v>1</v>
      </c>
      <c r="Z11" s="610" t="s">
        <v>3755</v>
      </c>
    </row>
    <row r="12" spans="1:27" ht="45" customHeight="1">
      <c r="A12" s="926">
        <v>8</v>
      </c>
      <c r="B12" s="925" t="s">
        <v>2601</v>
      </c>
      <c r="C12" s="818" t="s">
        <v>3743</v>
      </c>
      <c r="D12" s="923" t="s">
        <v>3756</v>
      </c>
      <c r="E12" s="923" t="s">
        <v>3757</v>
      </c>
      <c r="F12" s="333" t="s">
        <v>3758</v>
      </c>
      <c r="G12" s="923" t="s">
        <v>3759</v>
      </c>
      <c r="H12" s="923" t="s">
        <v>3760</v>
      </c>
      <c r="I12" s="923">
        <f t="shared" ref="I12:I18" si="0">SUM(J12:M12)</f>
        <v>100</v>
      </c>
      <c r="J12" s="923"/>
      <c r="K12" s="923">
        <v>50</v>
      </c>
      <c r="L12" s="923">
        <v>50</v>
      </c>
      <c r="M12" s="923"/>
      <c r="N12" s="923"/>
      <c r="O12" s="923"/>
      <c r="P12" s="923" t="s">
        <v>3761</v>
      </c>
      <c r="Q12" s="947"/>
      <c r="R12" s="923" t="s">
        <v>3762</v>
      </c>
      <c r="S12" s="923" t="s">
        <v>3751</v>
      </c>
      <c r="T12" s="923" t="s">
        <v>3763</v>
      </c>
      <c r="U12" s="923" t="s">
        <v>3753</v>
      </c>
      <c r="V12" s="923" t="s">
        <v>3754</v>
      </c>
      <c r="W12" s="923">
        <f>SUM(X12:Y12)</f>
        <v>250</v>
      </c>
      <c r="X12" s="923">
        <v>250</v>
      </c>
      <c r="Y12" s="923"/>
      <c r="Z12" s="924" t="s">
        <v>3764</v>
      </c>
    </row>
    <row r="13" spans="1:27" ht="45" customHeight="1">
      <c r="A13" s="926">
        <v>9</v>
      </c>
      <c r="B13" s="925" t="s">
        <v>2601</v>
      </c>
      <c r="C13" s="818" t="s">
        <v>3743</v>
      </c>
      <c r="D13" s="923" t="s">
        <v>3613</v>
      </c>
      <c r="E13" s="923" t="s">
        <v>3757</v>
      </c>
      <c r="F13" s="333" t="s">
        <v>3765</v>
      </c>
      <c r="G13" s="923" t="s">
        <v>3759</v>
      </c>
      <c r="H13" s="923" t="s">
        <v>3766</v>
      </c>
      <c r="I13" s="923">
        <f t="shared" si="0"/>
        <v>200</v>
      </c>
      <c r="J13" s="923"/>
      <c r="K13" s="923"/>
      <c r="L13" s="923">
        <v>200</v>
      </c>
      <c r="M13" s="923"/>
      <c r="N13" s="923"/>
      <c r="O13" s="923"/>
      <c r="P13" s="923" t="s">
        <v>3761</v>
      </c>
      <c r="Q13" s="947"/>
      <c r="R13" s="923" t="s">
        <v>3767</v>
      </c>
      <c r="S13" s="923" t="s">
        <v>3751</v>
      </c>
      <c r="T13" s="923" t="s">
        <v>3763</v>
      </c>
      <c r="U13" s="923" t="s">
        <v>3753</v>
      </c>
      <c r="V13" s="923" t="s">
        <v>3754</v>
      </c>
      <c r="W13" s="923">
        <f t="shared" ref="W13:W20" si="1">SUM(X13:Y13)</f>
        <v>300</v>
      </c>
      <c r="X13" s="923">
        <v>295</v>
      </c>
      <c r="Y13" s="923">
        <v>5</v>
      </c>
      <c r="Z13" s="924" t="s">
        <v>3764</v>
      </c>
    </row>
    <row r="14" spans="1:27" ht="45" customHeight="1">
      <c r="A14" s="926">
        <v>10</v>
      </c>
      <c r="B14" s="925" t="s">
        <v>2601</v>
      </c>
      <c r="C14" s="818" t="s">
        <v>3743</v>
      </c>
      <c r="D14" s="923" t="s">
        <v>3768</v>
      </c>
      <c r="E14" s="923" t="s">
        <v>3769</v>
      </c>
      <c r="F14" s="333" t="s">
        <v>3770</v>
      </c>
      <c r="G14" s="923" t="s">
        <v>3771</v>
      </c>
      <c r="H14" s="923" t="s">
        <v>3772</v>
      </c>
      <c r="I14" s="923">
        <f t="shared" si="0"/>
        <v>720</v>
      </c>
      <c r="J14" s="923"/>
      <c r="K14" s="923">
        <v>100</v>
      </c>
      <c r="L14" s="923">
        <v>620</v>
      </c>
      <c r="M14" s="923"/>
      <c r="N14" s="923"/>
      <c r="O14" s="923"/>
      <c r="P14" s="923" t="s">
        <v>3761</v>
      </c>
      <c r="Q14" s="947"/>
      <c r="R14" s="923" t="s">
        <v>3773</v>
      </c>
      <c r="S14" s="923" t="s">
        <v>3751</v>
      </c>
      <c r="T14" s="923" t="s">
        <v>3752</v>
      </c>
      <c r="U14" s="923" t="s">
        <v>3753</v>
      </c>
      <c r="V14" s="923" t="s">
        <v>3774</v>
      </c>
      <c r="W14" s="923">
        <f t="shared" si="1"/>
        <v>178</v>
      </c>
      <c r="X14" s="923">
        <v>176</v>
      </c>
      <c r="Y14" s="923">
        <v>2</v>
      </c>
      <c r="Z14" s="924" t="s">
        <v>3775</v>
      </c>
    </row>
    <row r="15" spans="1:27" ht="45" customHeight="1">
      <c r="A15" s="926">
        <v>11</v>
      </c>
      <c r="B15" s="925" t="s">
        <v>2601</v>
      </c>
      <c r="C15" s="818" t="s">
        <v>3743</v>
      </c>
      <c r="D15" s="923" t="s">
        <v>3776</v>
      </c>
      <c r="E15" s="923" t="s">
        <v>3777</v>
      </c>
      <c r="F15" s="333" t="s">
        <v>3778</v>
      </c>
      <c r="G15" s="1437" t="s">
        <v>6301</v>
      </c>
      <c r="H15" s="923" t="s">
        <v>3779</v>
      </c>
      <c r="I15" s="923">
        <f t="shared" si="0"/>
        <v>20</v>
      </c>
      <c r="J15" s="923"/>
      <c r="K15" s="923"/>
      <c r="L15" s="923">
        <v>20</v>
      </c>
      <c r="M15" s="923"/>
      <c r="N15" s="923"/>
      <c r="O15" s="923"/>
      <c r="P15" s="923" t="s">
        <v>3780</v>
      </c>
      <c r="Q15" s="947"/>
      <c r="R15" s="923" t="s">
        <v>3781</v>
      </c>
      <c r="S15" s="923" t="s">
        <v>3751</v>
      </c>
      <c r="T15" s="923" t="s">
        <v>3782</v>
      </c>
      <c r="U15" s="923" t="s">
        <v>3753</v>
      </c>
      <c r="V15" s="923" t="s">
        <v>3754</v>
      </c>
      <c r="W15" s="923">
        <f t="shared" si="1"/>
        <v>301</v>
      </c>
      <c r="X15" s="923">
        <v>300</v>
      </c>
      <c r="Y15" s="923">
        <v>1</v>
      </c>
      <c r="Z15" s="924" t="s">
        <v>3783</v>
      </c>
    </row>
    <row r="16" spans="1:27" ht="45" customHeight="1">
      <c r="A16" s="926">
        <v>12</v>
      </c>
      <c r="B16" s="925" t="s">
        <v>2601</v>
      </c>
      <c r="C16" s="818" t="s">
        <v>3743</v>
      </c>
      <c r="D16" s="923" t="s">
        <v>3616</v>
      </c>
      <c r="E16" s="923" t="s">
        <v>3784</v>
      </c>
      <c r="F16" s="333" t="s">
        <v>3617</v>
      </c>
      <c r="G16" s="923" t="s">
        <v>3785</v>
      </c>
      <c r="H16" s="923" t="s">
        <v>3786</v>
      </c>
      <c r="I16" s="923">
        <f t="shared" si="0"/>
        <v>30</v>
      </c>
      <c r="J16" s="923"/>
      <c r="K16" s="923">
        <v>7.5</v>
      </c>
      <c r="L16" s="923">
        <v>22.5</v>
      </c>
      <c r="M16" s="923"/>
      <c r="N16" s="923"/>
      <c r="O16" s="923"/>
      <c r="P16" s="923" t="s">
        <v>3761</v>
      </c>
      <c r="Q16" s="947"/>
      <c r="R16" s="923" t="s">
        <v>3787</v>
      </c>
      <c r="S16" s="923" t="s">
        <v>3751</v>
      </c>
      <c r="T16" s="923" t="s">
        <v>3752</v>
      </c>
      <c r="U16" s="923" t="s">
        <v>3753</v>
      </c>
      <c r="V16" s="923" t="s">
        <v>3754</v>
      </c>
      <c r="W16" s="923">
        <v>3</v>
      </c>
      <c r="X16" s="923">
        <v>3</v>
      </c>
      <c r="Y16" s="923"/>
      <c r="Z16" s="924" t="s">
        <v>3788</v>
      </c>
    </row>
    <row r="17" spans="1:26" ht="40.5">
      <c r="A17" s="926">
        <v>13</v>
      </c>
      <c r="B17" s="925" t="s">
        <v>2601</v>
      </c>
      <c r="C17" s="818" t="s">
        <v>3743</v>
      </c>
      <c r="D17" s="923" t="s">
        <v>3619</v>
      </c>
      <c r="E17" s="923" t="s">
        <v>3789</v>
      </c>
      <c r="F17" s="333" t="s">
        <v>3790</v>
      </c>
      <c r="G17" s="923" t="s">
        <v>3791</v>
      </c>
      <c r="H17" s="923" t="s">
        <v>3779</v>
      </c>
      <c r="I17" s="923">
        <f t="shared" si="0"/>
        <v>20</v>
      </c>
      <c r="J17" s="923"/>
      <c r="K17" s="923"/>
      <c r="L17" s="923">
        <v>20</v>
      </c>
      <c r="M17" s="923"/>
      <c r="N17" s="923"/>
      <c r="O17" s="923"/>
      <c r="P17" s="923" t="s">
        <v>3792</v>
      </c>
      <c r="Q17" s="947"/>
      <c r="R17" s="923" t="s">
        <v>3793</v>
      </c>
      <c r="S17" s="923" t="s">
        <v>3751</v>
      </c>
      <c r="T17" s="923" t="s">
        <v>3752</v>
      </c>
      <c r="U17" s="923" t="s">
        <v>3753</v>
      </c>
      <c r="V17" s="923" t="s">
        <v>3754</v>
      </c>
      <c r="W17" s="923">
        <v>4</v>
      </c>
      <c r="X17" s="923">
        <v>4</v>
      </c>
      <c r="Y17" s="923"/>
      <c r="Z17" s="924" t="s">
        <v>3788</v>
      </c>
    </row>
    <row r="18" spans="1:26" ht="27">
      <c r="A18" s="926">
        <v>14</v>
      </c>
      <c r="B18" s="925" t="s">
        <v>2601</v>
      </c>
      <c r="C18" s="818" t="s">
        <v>3743</v>
      </c>
      <c r="D18" s="923" t="s">
        <v>3794</v>
      </c>
      <c r="E18" s="923" t="s">
        <v>3795</v>
      </c>
      <c r="F18" s="333" t="s">
        <v>3796</v>
      </c>
      <c r="G18" s="1437" t="s">
        <v>6302</v>
      </c>
      <c r="H18" s="923" t="s">
        <v>3797</v>
      </c>
      <c r="I18" s="923">
        <f t="shared" si="0"/>
        <v>20</v>
      </c>
      <c r="J18" s="923"/>
      <c r="K18" s="923"/>
      <c r="L18" s="923">
        <v>20</v>
      </c>
      <c r="M18" s="923"/>
      <c r="N18" s="923"/>
      <c r="O18" s="923"/>
      <c r="P18" s="923" t="s">
        <v>3780</v>
      </c>
      <c r="Q18" s="947"/>
      <c r="R18" s="923" t="s">
        <v>3798</v>
      </c>
      <c r="S18" s="923" t="s">
        <v>3751</v>
      </c>
      <c r="T18" s="923" t="s">
        <v>3782</v>
      </c>
      <c r="U18" s="923" t="s">
        <v>3753</v>
      </c>
      <c r="V18" s="923" t="s">
        <v>3754</v>
      </c>
      <c r="W18" s="923"/>
      <c r="X18" s="923"/>
      <c r="Y18" s="923"/>
      <c r="Z18" s="924" t="s">
        <v>3783</v>
      </c>
    </row>
    <row r="19" spans="1:26" ht="27">
      <c r="A19" s="926">
        <v>15</v>
      </c>
      <c r="B19" s="925" t="s">
        <v>3799</v>
      </c>
      <c r="C19" s="818" t="s">
        <v>3743</v>
      </c>
      <c r="D19" s="923" t="s">
        <v>3800</v>
      </c>
      <c r="E19" s="923" t="s">
        <v>3795</v>
      </c>
      <c r="F19" s="333" t="s">
        <v>3801</v>
      </c>
      <c r="G19" s="923" t="s">
        <v>3802</v>
      </c>
      <c r="H19" s="923" t="s">
        <v>3797</v>
      </c>
      <c r="I19" s="923">
        <v>20</v>
      </c>
      <c r="J19" s="923"/>
      <c r="K19" s="923"/>
      <c r="L19" s="923">
        <v>20</v>
      </c>
      <c r="M19" s="923"/>
      <c r="N19" s="923"/>
      <c r="O19" s="923"/>
      <c r="P19" s="923" t="s">
        <v>3780</v>
      </c>
      <c r="Q19" s="947"/>
      <c r="R19" s="923" t="s">
        <v>3803</v>
      </c>
      <c r="S19" s="923" t="s">
        <v>3751</v>
      </c>
      <c r="T19" s="923" t="s">
        <v>3782</v>
      </c>
      <c r="U19" s="923" t="s">
        <v>3753</v>
      </c>
      <c r="V19" s="923" t="s">
        <v>3754</v>
      </c>
      <c r="W19" s="923"/>
      <c r="X19" s="923"/>
      <c r="Y19" s="923"/>
      <c r="Z19" s="924" t="s">
        <v>3783</v>
      </c>
    </row>
    <row r="20" spans="1:26" ht="27">
      <c r="A20" s="926">
        <v>16</v>
      </c>
      <c r="B20" s="925" t="s">
        <v>2601</v>
      </c>
      <c r="C20" s="818" t="s">
        <v>3743</v>
      </c>
      <c r="D20" s="923" t="s">
        <v>3804</v>
      </c>
      <c r="E20" s="923" t="s">
        <v>3805</v>
      </c>
      <c r="F20" s="333" t="s">
        <v>3806</v>
      </c>
      <c r="G20" s="923" t="s">
        <v>3807</v>
      </c>
      <c r="H20" s="923" t="s">
        <v>3808</v>
      </c>
      <c r="I20" s="923">
        <v>3000</v>
      </c>
      <c r="J20" s="925"/>
      <c r="K20" s="925"/>
      <c r="L20" s="925">
        <v>3000</v>
      </c>
      <c r="M20" s="925"/>
      <c r="N20" s="925"/>
      <c r="O20" s="925"/>
      <c r="P20" s="923" t="s">
        <v>3809</v>
      </c>
      <c r="Q20" s="947"/>
      <c r="R20" s="923" t="s">
        <v>3809</v>
      </c>
      <c r="S20" s="923" t="s">
        <v>3751</v>
      </c>
      <c r="T20" s="923" t="s">
        <v>3810</v>
      </c>
      <c r="U20" s="923" t="s">
        <v>3753</v>
      </c>
      <c r="V20" s="923" t="s">
        <v>3774</v>
      </c>
      <c r="W20" s="923">
        <f t="shared" si="1"/>
        <v>507</v>
      </c>
      <c r="X20" s="923">
        <v>497</v>
      </c>
      <c r="Y20" s="923">
        <v>10</v>
      </c>
      <c r="Z20" s="924" t="s">
        <v>3783</v>
      </c>
    </row>
    <row r="21" spans="1:26" ht="41.25" thickBot="1">
      <c r="A21" s="839">
        <v>17</v>
      </c>
      <c r="B21" s="875" t="s">
        <v>3799</v>
      </c>
      <c r="C21" s="875" t="s">
        <v>3811</v>
      </c>
      <c r="D21" s="791" t="s">
        <v>3812</v>
      </c>
      <c r="E21" s="791" t="s">
        <v>3813</v>
      </c>
      <c r="F21" s="819" t="s">
        <v>3814</v>
      </c>
      <c r="G21" s="791" t="s">
        <v>3815</v>
      </c>
      <c r="H21" s="791" t="s">
        <v>3816</v>
      </c>
      <c r="I21" s="820">
        <v>41</v>
      </c>
      <c r="J21" s="820"/>
      <c r="K21" s="820">
        <v>20</v>
      </c>
      <c r="L21" s="820"/>
      <c r="M21" s="820">
        <v>21</v>
      </c>
      <c r="N21" s="791"/>
      <c r="O21" s="791"/>
      <c r="P21" s="791" t="s">
        <v>92</v>
      </c>
      <c r="Q21" s="791" t="s">
        <v>3817</v>
      </c>
      <c r="R21" s="791" t="s">
        <v>3818</v>
      </c>
      <c r="S21" s="791" t="s">
        <v>3751</v>
      </c>
      <c r="T21" s="791" t="s">
        <v>3752</v>
      </c>
      <c r="U21" s="791" t="s">
        <v>3753</v>
      </c>
      <c r="V21" s="791" t="s">
        <v>3819</v>
      </c>
      <c r="W21" s="791">
        <v>10</v>
      </c>
      <c r="X21" s="791">
        <v>10</v>
      </c>
      <c r="Y21" s="821"/>
      <c r="Z21" s="790" t="s">
        <v>3820</v>
      </c>
    </row>
    <row r="22" spans="1:26" ht="27">
      <c r="A22" s="612">
        <v>18</v>
      </c>
      <c r="B22" s="608" t="s">
        <v>3799</v>
      </c>
      <c r="C22" s="608" t="s">
        <v>3811</v>
      </c>
      <c r="D22" s="822" t="s">
        <v>3821</v>
      </c>
      <c r="E22" s="822" t="s">
        <v>3822</v>
      </c>
      <c r="F22" s="823" t="s">
        <v>3823</v>
      </c>
      <c r="G22" s="822" t="s">
        <v>3824</v>
      </c>
      <c r="H22" s="822" t="s">
        <v>3825</v>
      </c>
      <c r="I22" s="827">
        <v>25</v>
      </c>
      <c r="J22" s="827"/>
      <c r="K22" s="827"/>
      <c r="L22" s="827">
        <v>25</v>
      </c>
      <c r="M22" s="827"/>
      <c r="N22" s="822"/>
      <c r="O22" s="822"/>
      <c r="P22" s="822" t="s">
        <v>167</v>
      </c>
      <c r="Q22" s="822" t="s">
        <v>3817</v>
      </c>
      <c r="R22" s="822" t="s">
        <v>3826</v>
      </c>
      <c r="S22" s="822" t="s">
        <v>3751</v>
      </c>
      <c r="T22" s="822" t="s">
        <v>3827</v>
      </c>
      <c r="U22" s="822" t="s">
        <v>3753</v>
      </c>
      <c r="V22" s="822" t="s">
        <v>3828</v>
      </c>
      <c r="W22" s="822">
        <f>SUM(X22:Y22)</f>
        <v>1</v>
      </c>
      <c r="X22" s="822">
        <v>1</v>
      </c>
      <c r="Y22" s="822"/>
      <c r="Z22" s="824" t="s">
        <v>3829</v>
      </c>
    </row>
    <row r="23" spans="1:26" ht="40.5">
      <c r="A23" s="926">
        <v>19</v>
      </c>
      <c r="B23" s="925" t="s">
        <v>3799</v>
      </c>
      <c r="C23" s="925" t="s">
        <v>3811</v>
      </c>
      <c r="D23" s="649" t="s">
        <v>3830</v>
      </c>
      <c r="E23" s="649" t="s">
        <v>3831</v>
      </c>
      <c r="F23" s="825" t="s">
        <v>3832</v>
      </c>
      <c r="G23" s="649" t="s">
        <v>3833</v>
      </c>
      <c r="H23" s="649" t="s">
        <v>3834</v>
      </c>
      <c r="I23" s="826">
        <v>100</v>
      </c>
      <c r="J23" s="826"/>
      <c r="K23" s="826">
        <v>50</v>
      </c>
      <c r="L23" s="826"/>
      <c r="M23" s="826">
        <v>10</v>
      </c>
      <c r="N23" s="649"/>
      <c r="O23" s="649"/>
      <c r="P23" s="649" t="s">
        <v>92</v>
      </c>
      <c r="Q23" s="649" t="s">
        <v>3817</v>
      </c>
      <c r="R23" s="649" t="s">
        <v>3835</v>
      </c>
      <c r="S23" s="649" t="s">
        <v>3751</v>
      </c>
      <c r="T23" s="649" t="s">
        <v>3836</v>
      </c>
      <c r="U23" s="649" t="s">
        <v>3753</v>
      </c>
      <c r="V23" s="649" t="s">
        <v>3837</v>
      </c>
      <c r="W23" s="649">
        <v>15</v>
      </c>
      <c r="X23" s="649">
        <v>15</v>
      </c>
      <c r="Y23" s="613"/>
      <c r="Z23" s="653" t="s">
        <v>3838</v>
      </c>
    </row>
    <row r="24" spans="1:26" ht="27">
      <c r="A24" s="926">
        <v>20</v>
      </c>
      <c r="B24" s="925" t="s">
        <v>3799</v>
      </c>
      <c r="C24" s="925" t="s">
        <v>3811</v>
      </c>
      <c r="D24" s="649" t="s">
        <v>3839</v>
      </c>
      <c r="E24" s="649" t="s">
        <v>3840</v>
      </c>
      <c r="F24" s="825" t="s">
        <v>3841</v>
      </c>
      <c r="G24" s="649" t="s">
        <v>3842</v>
      </c>
      <c r="H24" s="649" t="s">
        <v>3843</v>
      </c>
      <c r="I24" s="826">
        <v>50</v>
      </c>
      <c r="J24" s="826">
        <v>0</v>
      </c>
      <c r="K24" s="826">
        <v>0</v>
      </c>
      <c r="L24" s="826">
        <v>50</v>
      </c>
      <c r="M24" s="826"/>
      <c r="N24" s="649"/>
      <c r="O24" s="649"/>
      <c r="P24" s="649" t="s">
        <v>3749</v>
      </c>
      <c r="Q24" s="649" t="s">
        <v>3817</v>
      </c>
      <c r="R24" s="649" t="s">
        <v>3844</v>
      </c>
      <c r="S24" s="649" t="s">
        <v>3751</v>
      </c>
      <c r="T24" s="649" t="s">
        <v>3836</v>
      </c>
      <c r="U24" s="649" t="s">
        <v>3753</v>
      </c>
      <c r="V24" s="649" t="s">
        <v>3837</v>
      </c>
      <c r="W24" s="649">
        <v>1.8</v>
      </c>
      <c r="X24" s="649">
        <v>1.8</v>
      </c>
      <c r="Y24" s="613"/>
      <c r="Z24" s="653" t="s">
        <v>3845</v>
      </c>
    </row>
    <row r="25" spans="1:26" ht="40.5">
      <c r="A25" s="926">
        <v>21</v>
      </c>
      <c r="B25" s="925" t="s">
        <v>3799</v>
      </c>
      <c r="C25" s="925" t="s">
        <v>3811</v>
      </c>
      <c r="D25" s="649" t="s">
        <v>3846</v>
      </c>
      <c r="E25" s="649" t="s">
        <v>3847</v>
      </c>
      <c r="F25" s="825" t="s">
        <v>3848</v>
      </c>
      <c r="G25" s="649" t="s">
        <v>3849</v>
      </c>
      <c r="H25" s="649" t="s">
        <v>3850</v>
      </c>
      <c r="I25" s="826">
        <v>2470</v>
      </c>
      <c r="J25" s="826">
        <v>0</v>
      </c>
      <c r="K25" s="826">
        <v>0</v>
      </c>
      <c r="L25" s="826">
        <v>2470</v>
      </c>
      <c r="M25" s="826"/>
      <c r="N25" s="649"/>
      <c r="O25" s="649"/>
      <c r="P25" s="649" t="s">
        <v>67</v>
      </c>
      <c r="Q25" s="649" t="s">
        <v>3851</v>
      </c>
      <c r="R25" s="649" t="s">
        <v>3852</v>
      </c>
      <c r="S25" s="649" t="s">
        <v>3751</v>
      </c>
      <c r="T25" s="649" t="s">
        <v>3853</v>
      </c>
      <c r="U25" s="649" t="s">
        <v>3854</v>
      </c>
      <c r="V25" s="649" t="s">
        <v>3837</v>
      </c>
      <c r="W25" s="649">
        <v>1831</v>
      </c>
      <c r="X25" s="649">
        <v>1534</v>
      </c>
      <c r="Y25" s="644">
        <v>297</v>
      </c>
      <c r="Z25" s="653" t="s">
        <v>3845</v>
      </c>
    </row>
    <row r="26" spans="1:26" ht="40.5">
      <c r="A26" s="926">
        <v>22</v>
      </c>
      <c r="B26" s="925" t="s">
        <v>3799</v>
      </c>
      <c r="C26" s="925" t="s">
        <v>3811</v>
      </c>
      <c r="D26" s="649" t="s">
        <v>3855</v>
      </c>
      <c r="E26" s="649" t="s">
        <v>3856</v>
      </c>
      <c r="F26" s="825" t="s">
        <v>3857</v>
      </c>
      <c r="G26" s="649" t="s">
        <v>3858</v>
      </c>
      <c r="H26" s="649" t="s">
        <v>3859</v>
      </c>
      <c r="I26" s="826" t="s">
        <v>3831</v>
      </c>
      <c r="J26" s="826"/>
      <c r="K26" s="826"/>
      <c r="L26" s="826"/>
      <c r="M26" s="826"/>
      <c r="N26" s="649"/>
      <c r="O26" s="649"/>
      <c r="P26" s="649" t="s">
        <v>3792</v>
      </c>
      <c r="Q26" s="649" t="s">
        <v>3817</v>
      </c>
      <c r="R26" s="649" t="s">
        <v>3792</v>
      </c>
      <c r="S26" s="649" t="s">
        <v>3751</v>
      </c>
      <c r="T26" s="649" t="s">
        <v>3782</v>
      </c>
      <c r="U26" s="649" t="s">
        <v>3753</v>
      </c>
      <c r="V26" s="649" t="s">
        <v>3837</v>
      </c>
      <c r="W26" s="649">
        <v>1</v>
      </c>
      <c r="X26" s="649">
        <v>1</v>
      </c>
      <c r="Y26" s="644"/>
      <c r="Z26" s="653" t="s">
        <v>3820</v>
      </c>
    </row>
    <row r="27" spans="1:26" ht="40.5">
      <c r="A27" s="926">
        <v>23</v>
      </c>
      <c r="B27" s="925" t="s">
        <v>3799</v>
      </c>
      <c r="C27" s="925" t="s">
        <v>3811</v>
      </c>
      <c r="D27" s="649" t="s">
        <v>3860</v>
      </c>
      <c r="E27" s="649" t="s">
        <v>3861</v>
      </c>
      <c r="F27" s="825" t="s">
        <v>3862</v>
      </c>
      <c r="G27" s="649" t="s">
        <v>3863</v>
      </c>
      <c r="H27" s="649" t="s">
        <v>3864</v>
      </c>
      <c r="I27" s="826">
        <v>150</v>
      </c>
      <c r="J27" s="826"/>
      <c r="K27" s="826"/>
      <c r="L27" s="826">
        <v>150</v>
      </c>
      <c r="M27" s="826"/>
      <c r="N27" s="649"/>
      <c r="O27" s="649"/>
      <c r="P27" s="649" t="s">
        <v>167</v>
      </c>
      <c r="Q27" s="649" t="s">
        <v>3817</v>
      </c>
      <c r="R27" s="649" t="s">
        <v>3865</v>
      </c>
      <c r="S27" s="649" t="s">
        <v>3751</v>
      </c>
      <c r="T27" s="649" t="s">
        <v>3866</v>
      </c>
      <c r="U27" s="649" t="s">
        <v>3753</v>
      </c>
      <c r="V27" s="649" t="s">
        <v>3837</v>
      </c>
      <c r="W27" s="649">
        <v>31</v>
      </c>
      <c r="X27" s="649">
        <v>31</v>
      </c>
      <c r="Y27" s="613"/>
      <c r="Z27" s="653" t="s">
        <v>3820</v>
      </c>
    </row>
    <row r="28" spans="1:26" ht="40.5">
      <c r="A28" s="926">
        <v>24</v>
      </c>
      <c r="B28" s="925" t="s">
        <v>3799</v>
      </c>
      <c r="C28" s="925" t="s">
        <v>3811</v>
      </c>
      <c r="D28" s="649" t="s">
        <v>3867</v>
      </c>
      <c r="E28" s="649" t="s">
        <v>3868</v>
      </c>
      <c r="F28" s="825" t="s">
        <v>3869</v>
      </c>
      <c r="G28" s="649" t="s">
        <v>3870</v>
      </c>
      <c r="H28" s="649" t="s">
        <v>3871</v>
      </c>
      <c r="I28" s="826">
        <v>70</v>
      </c>
      <c r="J28" s="826"/>
      <c r="K28" s="826">
        <v>70</v>
      </c>
      <c r="L28" s="826"/>
      <c r="M28" s="826"/>
      <c r="N28" s="649"/>
      <c r="O28" s="649"/>
      <c r="P28" s="649" t="s">
        <v>3792</v>
      </c>
      <c r="Q28" s="649" t="s">
        <v>67</v>
      </c>
      <c r="R28" s="649" t="s">
        <v>3792</v>
      </c>
      <c r="S28" s="649" t="s">
        <v>3751</v>
      </c>
      <c r="T28" s="649" t="s">
        <v>3836</v>
      </c>
      <c r="U28" s="649" t="s">
        <v>3753</v>
      </c>
      <c r="V28" s="649" t="s">
        <v>3837</v>
      </c>
      <c r="W28" s="649">
        <f>SUM(X28:Y28)</f>
        <v>1.5</v>
      </c>
      <c r="X28" s="649">
        <v>1.5</v>
      </c>
      <c r="Y28" s="649"/>
      <c r="Z28" s="653" t="s">
        <v>3872</v>
      </c>
    </row>
    <row r="29" spans="1:26" ht="40.5">
      <c r="A29" s="926">
        <v>25</v>
      </c>
      <c r="B29" s="925" t="s">
        <v>3799</v>
      </c>
      <c r="C29" s="925" t="s">
        <v>3811</v>
      </c>
      <c r="D29" s="649" t="s">
        <v>3873</v>
      </c>
      <c r="E29" s="649" t="s">
        <v>3831</v>
      </c>
      <c r="F29" s="825" t="s">
        <v>3874</v>
      </c>
      <c r="G29" s="649" t="s">
        <v>3875</v>
      </c>
      <c r="H29" s="649" t="s">
        <v>3816</v>
      </c>
      <c r="I29" s="826">
        <v>30</v>
      </c>
      <c r="J29" s="826"/>
      <c r="K29" s="826">
        <v>15</v>
      </c>
      <c r="L29" s="826"/>
      <c r="M29" s="826">
        <v>15</v>
      </c>
      <c r="N29" s="649"/>
      <c r="O29" s="649"/>
      <c r="P29" s="649" t="s">
        <v>92</v>
      </c>
      <c r="Q29" s="649" t="s">
        <v>3817</v>
      </c>
      <c r="R29" s="649" t="s">
        <v>3876</v>
      </c>
      <c r="S29" s="649" t="s">
        <v>3751</v>
      </c>
      <c r="T29" s="649" t="s">
        <v>3752</v>
      </c>
      <c r="U29" s="649" t="s">
        <v>3753</v>
      </c>
      <c r="V29" s="649" t="s">
        <v>3837</v>
      </c>
      <c r="W29" s="649">
        <v>10</v>
      </c>
      <c r="X29" s="649">
        <v>10</v>
      </c>
      <c r="Y29" s="613"/>
      <c r="Z29" s="653" t="s">
        <v>3820</v>
      </c>
    </row>
    <row r="30" spans="1:26" ht="54">
      <c r="A30" s="926">
        <v>26</v>
      </c>
      <c r="B30" s="925" t="s">
        <v>3799</v>
      </c>
      <c r="C30" s="925" t="s">
        <v>3811</v>
      </c>
      <c r="D30" s="649" t="s">
        <v>3877</v>
      </c>
      <c r="E30" s="649" t="s">
        <v>3878</v>
      </c>
      <c r="F30" s="825" t="s">
        <v>3879</v>
      </c>
      <c r="G30" s="649" t="s">
        <v>3880</v>
      </c>
      <c r="H30" s="649" t="s">
        <v>3881</v>
      </c>
      <c r="I30" s="826">
        <v>210</v>
      </c>
      <c r="J30" s="826"/>
      <c r="K30" s="826">
        <v>200</v>
      </c>
      <c r="L30" s="826"/>
      <c r="M30" s="826">
        <v>10</v>
      </c>
      <c r="N30" s="649"/>
      <c r="O30" s="649"/>
      <c r="P30" s="649" t="s">
        <v>3749</v>
      </c>
      <c r="Q30" s="649" t="s">
        <v>3817</v>
      </c>
      <c r="R30" s="649" t="s">
        <v>3882</v>
      </c>
      <c r="S30" s="649" t="s">
        <v>3751</v>
      </c>
      <c r="T30" s="649" t="s">
        <v>3836</v>
      </c>
      <c r="U30" s="649" t="s">
        <v>3753</v>
      </c>
      <c r="V30" s="649" t="s">
        <v>3837</v>
      </c>
      <c r="W30" s="649">
        <v>80</v>
      </c>
      <c r="X30" s="649">
        <v>80</v>
      </c>
      <c r="Y30" s="613"/>
      <c r="Z30" s="653" t="s">
        <v>3845</v>
      </c>
    </row>
    <row r="31" spans="1:26" ht="40.5">
      <c r="A31" s="926">
        <v>27</v>
      </c>
      <c r="B31" s="925" t="s">
        <v>3799</v>
      </c>
      <c r="C31" s="925" t="s">
        <v>3811</v>
      </c>
      <c r="D31" s="649" t="s">
        <v>3883</v>
      </c>
      <c r="E31" s="649" t="s">
        <v>3884</v>
      </c>
      <c r="F31" s="825" t="s">
        <v>3885</v>
      </c>
      <c r="G31" s="1533" t="s">
        <v>6303</v>
      </c>
      <c r="H31" s="649" t="s">
        <v>3886</v>
      </c>
      <c r="I31" s="826">
        <v>16</v>
      </c>
      <c r="J31" s="826">
        <v>0</v>
      </c>
      <c r="K31" s="826">
        <v>0</v>
      </c>
      <c r="L31" s="826">
        <v>16</v>
      </c>
      <c r="M31" s="826"/>
      <c r="N31" s="649"/>
      <c r="O31" s="649"/>
      <c r="P31" s="649" t="s">
        <v>3780</v>
      </c>
      <c r="Q31" s="649" t="s">
        <v>3817</v>
      </c>
      <c r="R31" s="649" t="s">
        <v>3887</v>
      </c>
      <c r="S31" s="649" t="s">
        <v>3751</v>
      </c>
      <c r="T31" s="649" t="s">
        <v>3752</v>
      </c>
      <c r="U31" s="649" t="s">
        <v>3753</v>
      </c>
      <c r="V31" s="650" t="s">
        <v>3888</v>
      </c>
      <c r="W31" s="650">
        <v>3</v>
      </c>
      <c r="X31" s="650">
        <v>3</v>
      </c>
      <c r="Y31" s="649"/>
      <c r="Z31" s="653" t="s">
        <v>3889</v>
      </c>
    </row>
    <row r="32" spans="1:26" ht="40.5">
      <c r="A32" s="926">
        <v>28</v>
      </c>
      <c r="B32" s="925" t="s">
        <v>3799</v>
      </c>
      <c r="C32" s="925" t="s">
        <v>3811</v>
      </c>
      <c r="D32" s="649" t="s">
        <v>3890</v>
      </c>
      <c r="E32" s="649" t="s">
        <v>3891</v>
      </c>
      <c r="F32" s="825" t="s">
        <v>3892</v>
      </c>
      <c r="G32" s="1533" t="s">
        <v>6304</v>
      </c>
      <c r="H32" s="649" t="s">
        <v>3825</v>
      </c>
      <c r="I32" s="826">
        <v>10</v>
      </c>
      <c r="J32" s="826"/>
      <c r="K32" s="826">
        <v>10</v>
      </c>
      <c r="L32" s="826"/>
      <c r="M32" s="826"/>
      <c r="N32" s="954"/>
      <c r="O32" s="955"/>
      <c r="P32" s="649" t="s">
        <v>92</v>
      </c>
      <c r="Q32" s="649" t="s">
        <v>3817</v>
      </c>
      <c r="R32" s="649" t="s">
        <v>3893</v>
      </c>
      <c r="S32" s="649" t="s">
        <v>3751</v>
      </c>
      <c r="T32" s="649" t="s">
        <v>3752</v>
      </c>
      <c r="U32" s="649" t="s">
        <v>3753</v>
      </c>
      <c r="V32" s="649" t="s">
        <v>3837</v>
      </c>
      <c r="W32" s="649">
        <f t="shared" ref="W32" si="2">SUM(X32:Y32)</f>
        <v>2</v>
      </c>
      <c r="X32" s="649">
        <v>2</v>
      </c>
      <c r="Y32" s="649"/>
      <c r="Z32" s="653" t="s">
        <v>3889</v>
      </c>
    </row>
    <row r="33" spans="1:26" ht="40.5">
      <c r="A33" s="926">
        <v>29</v>
      </c>
      <c r="B33" s="925" t="s">
        <v>3799</v>
      </c>
      <c r="C33" s="925" t="s">
        <v>3811</v>
      </c>
      <c r="D33" s="649" t="s">
        <v>3894</v>
      </c>
      <c r="E33" s="649" t="s">
        <v>3831</v>
      </c>
      <c r="F33" s="825" t="s">
        <v>3895</v>
      </c>
      <c r="G33" s="1533" t="s">
        <v>6305</v>
      </c>
      <c r="H33" s="649" t="s">
        <v>3896</v>
      </c>
      <c r="I33" s="826" t="s">
        <v>3831</v>
      </c>
      <c r="J33" s="826"/>
      <c r="K33" s="826"/>
      <c r="L33" s="826"/>
      <c r="M33" s="826"/>
      <c r="N33" s="649"/>
      <c r="O33" s="649"/>
      <c r="P33" s="649" t="s">
        <v>3749</v>
      </c>
      <c r="Q33" s="649" t="s">
        <v>3817</v>
      </c>
      <c r="R33" s="649" t="s">
        <v>3897</v>
      </c>
      <c r="S33" s="649" t="s">
        <v>3751</v>
      </c>
      <c r="T33" s="649" t="s">
        <v>3752</v>
      </c>
      <c r="U33" s="649" t="s">
        <v>3753</v>
      </c>
      <c r="V33" s="649" t="s">
        <v>3837</v>
      </c>
      <c r="W33" s="649">
        <v>75</v>
      </c>
      <c r="X33" s="649">
        <v>75</v>
      </c>
      <c r="Y33" s="649"/>
      <c r="Z33" s="653" t="s">
        <v>3898</v>
      </c>
    </row>
    <row r="34" spans="1:26" ht="41.25" thickBot="1">
      <c r="A34" s="839">
        <v>30</v>
      </c>
      <c r="B34" s="875" t="s">
        <v>3799</v>
      </c>
      <c r="C34" s="875" t="s">
        <v>3811</v>
      </c>
      <c r="D34" s="791" t="s">
        <v>3899</v>
      </c>
      <c r="E34" s="791" t="s">
        <v>3900</v>
      </c>
      <c r="F34" s="819" t="s">
        <v>3901</v>
      </c>
      <c r="G34" s="791" t="s">
        <v>3902</v>
      </c>
      <c r="H34" s="791" t="s">
        <v>3903</v>
      </c>
      <c r="I34" s="820" t="s">
        <v>3831</v>
      </c>
      <c r="J34" s="956"/>
      <c r="K34" s="956"/>
      <c r="L34" s="956"/>
      <c r="M34" s="956"/>
      <c r="N34" s="780"/>
      <c r="O34" s="780"/>
      <c r="P34" s="791" t="s">
        <v>67</v>
      </c>
      <c r="Q34" s="791" t="s">
        <v>3817</v>
      </c>
      <c r="R34" s="791" t="s">
        <v>3904</v>
      </c>
      <c r="S34" s="791" t="s">
        <v>3751</v>
      </c>
      <c r="T34" s="791" t="s">
        <v>3853</v>
      </c>
      <c r="U34" s="791" t="s">
        <v>3905</v>
      </c>
      <c r="V34" s="791" t="s">
        <v>3837</v>
      </c>
      <c r="W34" s="791">
        <v>300</v>
      </c>
      <c r="X34" s="791">
        <v>300</v>
      </c>
      <c r="Y34" s="791"/>
      <c r="Z34" s="790" t="s">
        <v>3845</v>
      </c>
    </row>
    <row r="35" spans="1:26" ht="67.5">
      <c r="A35" s="294">
        <v>31</v>
      </c>
      <c r="B35" s="514" t="s">
        <v>3799</v>
      </c>
      <c r="C35" s="524" t="s">
        <v>3906</v>
      </c>
      <c r="D35" s="524" t="s">
        <v>3907</v>
      </c>
      <c r="E35" s="524" t="s">
        <v>3908</v>
      </c>
      <c r="F35" s="957" t="s">
        <v>3909</v>
      </c>
      <c r="G35" s="524" t="s">
        <v>3628</v>
      </c>
      <c r="H35" s="524" t="s">
        <v>3910</v>
      </c>
      <c r="I35" s="524">
        <v>700</v>
      </c>
      <c r="J35" s="524"/>
      <c r="K35" s="524"/>
      <c r="L35" s="524">
        <v>700</v>
      </c>
      <c r="M35" s="524"/>
      <c r="N35" s="524"/>
      <c r="O35" s="524"/>
      <c r="P35" s="524" t="s">
        <v>124</v>
      </c>
      <c r="Q35" s="524" t="s">
        <v>936</v>
      </c>
      <c r="R35" s="524" t="s">
        <v>3629</v>
      </c>
      <c r="S35" s="524" t="s">
        <v>82</v>
      </c>
      <c r="T35" s="524" t="s">
        <v>1103</v>
      </c>
      <c r="U35" s="524" t="s">
        <v>3911</v>
      </c>
      <c r="V35" s="524" t="s">
        <v>1047</v>
      </c>
      <c r="W35" s="524">
        <v>20</v>
      </c>
      <c r="X35" s="524">
        <v>20</v>
      </c>
      <c r="Y35" s="524"/>
      <c r="Z35" s="525" t="s">
        <v>3912</v>
      </c>
    </row>
    <row r="36" spans="1:26" ht="54">
      <c r="A36" s="926">
        <v>32</v>
      </c>
      <c r="B36" s="925" t="s">
        <v>3799</v>
      </c>
      <c r="C36" s="923" t="s">
        <v>3906</v>
      </c>
      <c r="D36" s="923" t="s">
        <v>3913</v>
      </c>
      <c r="E36" s="923" t="s">
        <v>3914</v>
      </c>
      <c r="F36" s="333" t="s">
        <v>3915</v>
      </c>
      <c r="G36" s="923" t="s">
        <v>3628</v>
      </c>
      <c r="H36" s="923" t="s">
        <v>3916</v>
      </c>
      <c r="I36" s="923">
        <v>150</v>
      </c>
      <c r="J36" s="923"/>
      <c r="K36" s="923"/>
      <c r="L36" s="923">
        <v>150</v>
      </c>
      <c r="M36" s="923"/>
      <c r="N36" s="923"/>
      <c r="O36" s="923"/>
      <c r="P36" s="923" t="s">
        <v>67</v>
      </c>
      <c r="Q36" s="923" t="s">
        <v>936</v>
      </c>
      <c r="R36" s="923" t="s">
        <v>3630</v>
      </c>
      <c r="S36" s="923" t="s">
        <v>82</v>
      </c>
      <c r="T36" s="923" t="s">
        <v>1103</v>
      </c>
      <c r="U36" s="923" t="s">
        <v>3911</v>
      </c>
      <c r="V36" s="923" t="s">
        <v>1047</v>
      </c>
      <c r="W36" s="923">
        <v>9.4</v>
      </c>
      <c r="X36" s="923">
        <v>9.4</v>
      </c>
      <c r="Y36" s="923"/>
      <c r="Z36" s="924" t="s">
        <v>3917</v>
      </c>
    </row>
    <row r="37" spans="1:26" ht="54">
      <c r="A37" s="926">
        <v>33</v>
      </c>
      <c r="B37" s="925" t="s">
        <v>3799</v>
      </c>
      <c r="C37" s="923" t="s">
        <v>3906</v>
      </c>
      <c r="D37" s="923" t="s">
        <v>3918</v>
      </c>
      <c r="E37" s="923" t="s">
        <v>3919</v>
      </c>
      <c r="F37" s="333" t="s">
        <v>3920</v>
      </c>
      <c r="G37" s="923" t="s">
        <v>3628</v>
      </c>
      <c r="H37" s="923" t="s">
        <v>3921</v>
      </c>
      <c r="I37" s="923">
        <v>120</v>
      </c>
      <c r="J37" s="923"/>
      <c r="K37" s="923"/>
      <c r="L37" s="923">
        <v>120</v>
      </c>
      <c r="M37" s="923"/>
      <c r="N37" s="923"/>
      <c r="O37" s="923"/>
      <c r="P37" s="923" t="s">
        <v>67</v>
      </c>
      <c r="Q37" s="923" t="s">
        <v>936</v>
      </c>
      <c r="R37" s="923" t="s">
        <v>3631</v>
      </c>
      <c r="S37" s="923" t="s">
        <v>82</v>
      </c>
      <c r="T37" s="923" t="s">
        <v>1103</v>
      </c>
      <c r="U37" s="923" t="s">
        <v>3911</v>
      </c>
      <c r="V37" s="923" t="s">
        <v>1047</v>
      </c>
      <c r="W37" s="923">
        <v>3</v>
      </c>
      <c r="X37" s="923">
        <v>3</v>
      </c>
      <c r="Y37" s="923"/>
      <c r="Z37" s="924" t="s">
        <v>3922</v>
      </c>
    </row>
    <row r="38" spans="1:26" ht="54">
      <c r="A38" s="926">
        <v>34</v>
      </c>
      <c r="B38" s="925" t="s">
        <v>3799</v>
      </c>
      <c r="C38" s="923" t="s">
        <v>3906</v>
      </c>
      <c r="D38" s="923" t="s">
        <v>3923</v>
      </c>
      <c r="E38" s="923" t="s">
        <v>3924</v>
      </c>
      <c r="F38" s="333" t="s">
        <v>3925</v>
      </c>
      <c r="G38" s="923" t="s">
        <v>3628</v>
      </c>
      <c r="H38" s="923" t="s">
        <v>3926</v>
      </c>
      <c r="I38" s="923">
        <v>150</v>
      </c>
      <c r="J38" s="923"/>
      <c r="K38" s="923"/>
      <c r="L38" s="923">
        <v>150</v>
      </c>
      <c r="M38" s="923"/>
      <c r="N38" s="923"/>
      <c r="O38" s="923"/>
      <c r="P38" s="923" t="s">
        <v>167</v>
      </c>
      <c r="Q38" s="923" t="s">
        <v>936</v>
      </c>
      <c r="R38" s="923" t="s">
        <v>3632</v>
      </c>
      <c r="S38" s="923" t="s">
        <v>82</v>
      </c>
      <c r="T38" s="923" t="s">
        <v>1103</v>
      </c>
      <c r="U38" s="923" t="s">
        <v>3911</v>
      </c>
      <c r="V38" s="923" t="s">
        <v>1047</v>
      </c>
      <c r="W38" s="923">
        <v>50</v>
      </c>
      <c r="X38" s="923">
        <v>50</v>
      </c>
      <c r="Y38" s="923"/>
      <c r="Z38" s="924" t="s">
        <v>3632</v>
      </c>
    </row>
    <row r="39" spans="1:26" ht="41.25" thickBot="1">
      <c r="A39" s="958">
        <v>35</v>
      </c>
      <c r="B39" s="959" t="s">
        <v>3799</v>
      </c>
      <c r="C39" s="960" t="s">
        <v>3906</v>
      </c>
      <c r="D39" s="960" t="s">
        <v>3927</v>
      </c>
      <c r="E39" s="960" t="s">
        <v>3928</v>
      </c>
      <c r="F39" s="960" t="s">
        <v>3929</v>
      </c>
      <c r="G39" s="960" t="s">
        <v>3930</v>
      </c>
      <c r="H39" s="960" t="s">
        <v>3931</v>
      </c>
      <c r="I39" s="961">
        <v>120</v>
      </c>
      <c r="J39" s="960"/>
      <c r="K39" s="960">
        <v>7.5</v>
      </c>
      <c r="L39" s="962">
        <v>112.5</v>
      </c>
      <c r="M39" s="960"/>
      <c r="N39" s="960"/>
      <c r="O39" s="960"/>
      <c r="P39" s="960" t="s">
        <v>67</v>
      </c>
      <c r="Q39" s="960" t="s">
        <v>936</v>
      </c>
      <c r="R39" s="960" t="s">
        <v>3932</v>
      </c>
      <c r="S39" s="960" t="s">
        <v>82</v>
      </c>
      <c r="T39" s="960" t="s">
        <v>3933</v>
      </c>
      <c r="U39" s="960" t="s">
        <v>3934</v>
      </c>
      <c r="V39" s="960" t="s">
        <v>1047</v>
      </c>
      <c r="W39" s="960">
        <v>106</v>
      </c>
      <c r="X39" s="960">
        <v>106</v>
      </c>
      <c r="Y39" s="960"/>
      <c r="Z39" s="963" t="s">
        <v>3932</v>
      </c>
    </row>
    <row r="40" spans="1:26" ht="40.5">
      <c r="A40" s="612">
        <v>36</v>
      </c>
      <c r="B40" s="608" t="s">
        <v>2601</v>
      </c>
      <c r="C40" s="608" t="s">
        <v>3935</v>
      </c>
      <c r="D40" s="614" t="s">
        <v>3936</v>
      </c>
      <c r="E40" s="614" t="s">
        <v>3937</v>
      </c>
      <c r="F40" s="611" t="s">
        <v>3938</v>
      </c>
      <c r="G40" s="614" t="s">
        <v>3939</v>
      </c>
      <c r="H40" s="614" t="s">
        <v>3903</v>
      </c>
      <c r="I40" s="614">
        <v>50</v>
      </c>
      <c r="J40" s="614" t="s">
        <v>3763</v>
      </c>
      <c r="K40" s="614">
        <v>50</v>
      </c>
      <c r="L40" s="614" t="s">
        <v>3763</v>
      </c>
      <c r="M40" s="614" t="s">
        <v>3763</v>
      </c>
      <c r="N40" s="614" t="s">
        <v>3763</v>
      </c>
      <c r="O40" s="614" t="s">
        <v>3763</v>
      </c>
      <c r="P40" s="614" t="s">
        <v>167</v>
      </c>
      <c r="Q40" s="614" t="s">
        <v>3817</v>
      </c>
      <c r="R40" s="614" t="s">
        <v>3781</v>
      </c>
      <c r="S40" s="614" t="s">
        <v>3751</v>
      </c>
      <c r="T40" s="614" t="s">
        <v>3752</v>
      </c>
      <c r="U40" s="614" t="s">
        <v>3753</v>
      </c>
      <c r="V40" s="614" t="s">
        <v>3837</v>
      </c>
      <c r="W40" s="614">
        <f>SUM(X40:Y40)</f>
        <v>100.05</v>
      </c>
      <c r="X40" s="614">
        <v>100</v>
      </c>
      <c r="Y40" s="614">
        <v>0.05</v>
      </c>
      <c r="Z40" s="610" t="s">
        <v>3940</v>
      </c>
    </row>
    <row r="41" spans="1:26" ht="40.5">
      <c r="A41" s="926">
        <v>37</v>
      </c>
      <c r="B41" s="901" t="s">
        <v>3941</v>
      </c>
      <c r="C41" s="901" t="s">
        <v>3942</v>
      </c>
      <c r="D41" s="964" t="s">
        <v>3943</v>
      </c>
      <c r="E41" s="901" t="s">
        <v>3944</v>
      </c>
      <c r="F41" s="333" t="s">
        <v>3945</v>
      </c>
      <c r="G41" s="1437" t="s">
        <v>6306</v>
      </c>
      <c r="H41" s="923" t="s">
        <v>3946</v>
      </c>
      <c r="I41" s="965">
        <v>35</v>
      </c>
      <c r="J41" s="923" t="s">
        <v>3763</v>
      </c>
      <c r="K41" s="923" t="s">
        <v>3763</v>
      </c>
      <c r="L41" s="901">
        <v>25</v>
      </c>
      <c r="M41" s="965">
        <v>10</v>
      </c>
      <c r="N41" s="923" t="s">
        <v>3763</v>
      </c>
      <c r="O41" s="923" t="s">
        <v>3763</v>
      </c>
      <c r="P41" s="901" t="s">
        <v>3947</v>
      </c>
      <c r="Q41" s="901" t="s">
        <v>3948</v>
      </c>
      <c r="R41" s="966" t="s">
        <v>3949</v>
      </c>
      <c r="S41" s="901" t="s">
        <v>3950</v>
      </c>
      <c r="T41" s="901" t="s">
        <v>3951</v>
      </c>
      <c r="U41" s="901" t="s">
        <v>3952</v>
      </c>
      <c r="V41" s="901" t="s">
        <v>3953</v>
      </c>
      <c r="W41" s="901">
        <v>8</v>
      </c>
      <c r="X41" s="901">
        <v>8</v>
      </c>
      <c r="Y41" s="901" t="s">
        <v>3954</v>
      </c>
      <c r="Z41" s="967" t="s">
        <v>3955</v>
      </c>
    </row>
    <row r="42" spans="1:26" ht="27">
      <c r="A42" s="926">
        <v>38</v>
      </c>
      <c r="B42" s="925" t="s">
        <v>2601</v>
      </c>
      <c r="C42" s="925" t="s">
        <v>3935</v>
      </c>
      <c r="D42" s="923" t="s">
        <v>3956</v>
      </c>
      <c r="E42" s="901" t="s">
        <v>3957</v>
      </c>
      <c r="F42" s="333" t="s">
        <v>3958</v>
      </c>
      <c r="G42" s="1437" t="s">
        <v>6307</v>
      </c>
      <c r="H42" s="923" t="s">
        <v>3959</v>
      </c>
      <c r="I42" s="901">
        <v>75</v>
      </c>
      <c r="J42" s="923" t="s">
        <v>3763</v>
      </c>
      <c r="K42" s="901">
        <v>75</v>
      </c>
      <c r="L42" s="923" t="s">
        <v>3763</v>
      </c>
      <c r="M42" s="923" t="s">
        <v>3763</v>
      </c>
      <c r="N42" s="923" t="s">
        <v>3763</v>
      </c>
      <c r="O42" s="901"/>
      <c r="P42" s="901" t="s">
        <v>3960</v>
      </c>
      <c r="Q42" s="901" t="s">
        <v>3948</v>
      </c>
      <c r="R42" s="901" t="s">
        <v>3961</v>
      </c>
      <c r="S42" s="901" t="s">
        <v>3950</v>
      </c>
      <c r="T42" s="901" t="s">
        <v>3933</v>
      </c>
      <c r="U42" s="902" t="s">
        <v>3962</v>
      </c>
      <c r="V42" s="901" t="s">
        <v>3963</v>
      </c>
      <c r="W42" s="965">
        <v>13</v>
      </c>
      <c r="X42" s="965">
        <v>13</v>
      </c>
      <c r="Y42" s="901" t="s">
        <v>3954</v>
      </c>
      <c r="Z42" s="909" t="s">
        <v>3964</v>
      </c>
    </row>
    <row r="43" spans="1:26" ht="27">
      <c r="A43" s="926">
        <v>39</v>
      </c>
      <c r="B43" s="901" t="s">
        <v>3941</v>
      </c>
      <c r="C43" s="901" t="s">
        <v>3942</v>
      </c>
      <c r="D43" s="923" t="s">
        <v>3965</v>
      </c>
      <c r="E43" s="923" t="s">
        <v>3966</v>
      </c>
      <c r="F43" s="333" t="s">
        <v>3967</v>
      </c>
      <c r="G43" s="923" t="s">
        <v>3968</v>
      </c>
      <c r="H43" s="923" t="s">
        <v>3969</v>
      </c>
      <c r="I43" s="923">
        <f t="shared" ref="I43" si="3">SUM(J43:M43)</f>
        <v>86</v>
      </c>
      <c r="J43" s="923" t="s">
        <v>3763</v>
      </c>
      <c r="K43" s="923">
        <v>80</v>
      </c>
      <c r="L43" s="923" t="s">
        <v>3763</v>
      </c>
      <c r="M43" s="923">
        <v>6</v>
      </c>
      <c r="N43" s="923" t="s">
        <v>3763</v>
      </c>
      <c r="O43" s="923" t="s">
        <v>3763</v>
      </c>
      <c r="P43" s="923" t="s">
        <v>92</v>
      </c>
      <c r="Q43" s="923" t="s">
        <v>3817</v>
      </c>
      <c r="R43" s="923" t="s">
        <v>3970</v>
      </c>
      <c r="S43" s="923" t="s">
        <v>3751</v>
      </c>
      <c r="T43" s="923" t="s">
        <v>3752</v>
      </c>
      <c r="U43" s="923" t="s">
        <v>3753</v>
      </c>
      <c r="V43" s="923" t="s">
        <v>3837</v>
      </c>
      <c r="W43" s="923">
        <f>SUM(X43:Y43)</f>
        <v>56</v>
      </c>
      <c r="X43" s="923">
        <v>56</v>
      </c>
      <c r="Y43" s="901" t="s">
        <v>3954</v>
      </c>
      <c r="Z43" s="924" t="s">
        <v>3971</v>
      </c>
    </row>
    <row r="44" spans="1:26" ht="27">
      <c r="A44" s="926">
        <v>40</v>
      </c>
      <c r="B44" s="901" t="s">
        <v>3941</v>
      </c>
      <c r="C44" s="901" t="s">
        <v>3942</v>
      </c>
      <c r="D44" s="923" t="s">
        <v>3972</v>
      </c>
      <c r="E44" s="923" t="s">
        <v>3973</v>
      </c>
      <c r="F44" s="333" t="s">
        <v>3974</v>
      </c>
      <c r="G44" s="923" t="s">
        <v>3935</v>
      </c>
      <c r="H44" s="923" t="s">
        <v>3975</v>
      </c>
      <c r="I44" s="923">
        <v>150</v>
      </c>
      <c r="J44" s="923" t="s">
        <v>3763</v>
      </c>
      <c r="K44" s="923">
        <v>150</v>
      </c>
      <c r="L44" s="923" t="s">
        <v>3763</v>
      </c>
      <c r="M44" s="923"/>
      <c r="N44" s="923" t="s">
        <v>3763</v>
      </c>
      <c r="O44" s="923" t="s">
        <v>3763</v>
      </c>
      <c r="P44" s="923" t="s">
        <v>92</v>
      </c>
      <c r="Q44" s="923" t="s">
        <v>3817</v>
      </c>
      <c r="R44" s="923" t="s">
        <v>3976</v>
      </c>
      <c r="S44" s="923" t="s">
        <v>3751</v>
      </c>
      <c r="T44" s="923" t="s">
        <v>3935</v>
      </c>
      <c r="U44" s="923" t="s">
        <v>3753</v>
      </c>
      <c r="V44" s="923" t="s">
        <v>3837</v>
      </c>
      <c r="W44" s="923">
        <f>SUM(X44:Y44)</f>
        <v>30</v>
      </c>
      <c r="X44" s="923">
        <v>30</v>
      </c>
      <c r="Y44" s="901" t="s">
        <v>3954</v>
      </c>
      <c r="Z44" s="924" t="s">
        <v>3977</v>
      </c>
    </row>
    <row r="45" spans="1:26" s="921" customFormat="1" ht="40.5">
      <c r="A45" s="926">
        <v>41</v>
      </c>
      <c r="B45" s="901" t="s">
        <v>3941</v>
      </c>
      <c r="C45" s="901" t="s">
        <v>3942</v>
      </c>
      <c r="D45" s="901" t="s">
        <v>3978</v>
      </c>
      <c r="E45" s="901" t="s">
        <v>3979</v>
      </c>
      <c r="F45" s="333" t="s">
        <v>3980</v>
      </c>
      <c r="G45" s="1437" t="s">
        <v>6308</v>
      </c>
      <c r="H45" s="923" t="s">
        <v>3981</v>
      </c>
      <c r="I45" s="965">
        <v>35</v>
      </c>
      <c r="J45" s="923" t="s">
        <v>3763</v>
      </c>
      <c r="K45" s="901">
        <v>25</v>
      </c>
      <c r="L45" s="923" t="s">
        <v>3763</v>
      </c>
      <c r="M45" s="965">
        <v>10</v>
      </c>
      <c r="N45" s="923" t="s">
        <v>3763</v>
      </c>
      <c r="O45" s="923" t="s">
        <v>3763</v>
      </c>
      <c r="P45" s="923" t="s">
        <v>3749</v>
      </c>
      <c r="Q45" s="923" t="s">
        <v>3817</v>
      </c>
      <c r="R45" s="923" t="s">
        <v>3982</v>
      </c>
      <c r="S45" s="923" t="s">
        <v>82</v>
      </c>
      <c r="T45" s="923" t="s">
        <v>2015</v>
      </c>
      <c r="U45" s="923" t="s">
        <v>84</v>
      </c>
      <c r="V45" s="923" t="s">
        <v>3637</v>
      </c>
      <c r="W45" s="923">
        <v>20</v>
      </c>
      <c r="X45" s="923">
        <v>20</v>
      </c>
      <c r="Y45" s="901" t="s">
        <v>3954</v>
      </c>
      <c r="Z45" s="909" t="s">
        <v>3983</v>
      </c>
    </row>
    <row r="46" spans="1:26" s="921" customFormat="1" ht="40.5">
      <c r="A46" s="926">
        <v>42</v>
      </c>
      <c r="B46" s="901" t="s">
        <v>3941</v>
      </c>
      <c r="C46" s="901" t="s">
        <v>3942</v>
      </c>
      <c r="D46" s="901" t="s">
        <v>3984</v>
      </c>
      <c r="E46" s="923" t="s">
        <v>3985</v>
      </c>
      <c r="F46" s="333" t="s">
        <v>3638</v>
      </c>
      <c r="G46" s="1437" t="s">
        <v>6309</v>
      </c>
      <c r="H46" s="923" t="s">
        <v>3986</v>
      </c>
      <c r="I46" s="901">
        <v>35</v>
      </c>
      <c r="J46" s="923" t="s">
        <v>3763</v>
      </c>
      <c r="K46" s="901">
        <v>25</v>
      </c>
      <c r="L46" s="923" t="s">
        <v>3763</v>
      </c>
      <c r="M46" s="965">
        <v>10</v>
      </c>
      <c r="N46" s="923" t="s">
        <v>3763</v>
      </c>
      <c r="O46" s="923" t="s">
        <v>3763</v>
      </c>
      <c r="P46" s="901" t="s">
        <v>92</v>
      </c>
      <c r="Q46" s="923" t="s">
        <v>3817</v>
      </c>
      <c r="R46" s="923" t="s">
        <v>3640</v>
      </c>
      <c r="S46" s="923" t="s">
        <v>82</v>
      </c>
      <c r="T46" s="923" t="s">
        <v>2015</v>
      </c>
      <c r="U46" s="923" t="s">
        <v>84</v>
      </c>
      <c r="V46" s="923" t="s">
        <v>3637</v>
      </c>
      <c r="W46" s="923">
        <v>58</v>
      </c>
      <c r="X46" s="923">
        <v>57</v>
      </c>
      <c r="Y46" s="901">
        <v>1</v>
      </c>
      <c r="Z46" s="924" t="s">
        <v>3987</v>
      </c>
    </row>
    <row r="47" spans="1:26" s="921" customFormat="1" ht="27">
      <c r="A47" s="926">
        <v>43</v>
      </c>
      <c r="B47" s="901" t="s">
        <v>3941</v>
      </c>
      <c r="C47" s="901" t="s">
        <v>3942</v>
      </c>
      <c r="D47" s="923" t="s">
        <v>3988</v>
      </c>
      <c r="E47" s="923" t="s">
        <v>3989</v>
      </c>
      <c r="F47" s="333" t="s">
        <v>3990</v>
      </c>
      <c r="G47" s="1437" t="s">
        <v>6310</v>
      </c>
      <c r="H47" s="923" t="s">
        <v>3991</v>
      </c>
      <c r="I47" s="923">
        <v>35</v>
      </c>
      <c r="J47" s="923" t="s">
        <v>3763</v>
      </c>
      <c r="K47" s="923">
        <v>25</v>
      </c>
      <c r="L47" s="923" t="s">
        <v>3763</v>
      </c>
      <c r="M47" s="965">
        <v>10</v>
      </c>
      <c r="N47" s="923" t="s">
        <v>3763</v>
      </c>
      <c r="O47" s="923" t="s">
        <v>3763</v>
      </c>
      <c r="P47" s="923" t="s">
        <v>3749</v>
      </c>
      <c r="Q47" s="923" t="s">
        <v>3817</v>
      </c>
      <c r="R47" s="923" t="s">
        <v>3751</v>
      </c>
      <c r="S47" s="923" t="s">
        <v>3751</v>
      </c>
      <c r="T47" s="923" t="s">
        <v>3752</v>
      </c>
      <c r="U47" s="923" t="s">
        <v>3753</v>
      </c>
      <c r="V47" s="923" t="s">
        <v>3992</v>
      </c>
      <c r="W47" s="923">
        <f t="shared" ref="W47" si="4">SUM(X47:Y47)</f>
        <v>15</v>
      </c>
      <c r="X47" s="923">
        <v>15</v>
      </c>
      <c r="Y47" s="901" t="s">
        <v>3954</v>
      </c>
      <c r="Z47" s="924" t="s">
        <v>3993</v>
      </c>
    </row>
    <row r="48" spans="1:26" s="921" customFormat="1" ht="40.5">
      <c r="A48" s="926">
        <v>44</v>
      </c>
      <c r="B48" s="901" t="s">
        <v>3941</v>
      </c>
      <c r="C48" s="901" t="s">
        <v>3942</v>
      </c>
      <c r="D48" s="901" t="s">
        <v>3994</v>
      </c>
      <c r="E48" s="901" t="s">
        <v>3995</v>
      </c>
      <c r="F48" s="360" t="s">
        <v>3996</v>
      </c>
      <c r="G48" s="902" t="s">
        <v>3997</v>
      </c>
      <c r="H48" s="902" t="s">
        <v>3998</v>
      </c>
      <c r="I48" s="901">
        <v>900</v>
      </c>
      <c r="J48" s="901">
        <v>70</v>
      </c>
      <c r="K48" s="901">
        <v>830</v>
      </c>
      <c r="L48" s="923" t="s">
        <v>3763</v>
      </c>
      <c r="M48" s="923" t="s">
        <v>3763</v>
      </c>
      <c r="N48" s="901" t="s">
        <v>3999</v>
      </c>
      <c r="O48" s="901" t="s">
        <v>4000</v>
      </c>
      <c r="P48" s="923" t="s">
        <v>3761</v>
      </c>
      <c r="Q48" s="923" t="s">
        <v>4001</v>
      </c>
      <c r="R48" s="923" t="s">
        <v>4002</v>
      </c>
      <c r="S48" s="923" t="s">
        <v>3751</v>
      </c>
      <c r="T48" s="923" t="s">
        <v>3752</v>
      </c>
      <c r="U48" s="923" t="s">
        <v>3753</v>
      </c>
      <c r="V48" s="923" t="s">
        <v>4003</v>
      </c>
      <c r="W48" s="923">
        <v>230</v>
      </c>
      <c r="X48" s="923">
        <v>229</v>
      </c>
      <c r="Y48" s="923">
        <v>1</v>
      </c>
      <c r="Z48" s="924" t="s">
        <v>3977</v>
      </c>
    </row>
    <row r="49" spans="1:26" s="921" customFormat="1" ht="27">
      <c r="A49" s="926">
        <v>45</v>
      </c>
      <c r="B49" s="901" t="s">
        <v>3941</v>
      </c>
      <c r="C49" s="901" t="s">
        <v>3942</v>
      </c>
      <c r="D49" s="901" t="s">
        <v>4004</v>
      </c>
      <c r="E49" s="901" t="s">
        <v>4005</v>
      </c>
      <c r="F49" s="968" t="s">
        <v>4006</v>
      </c>
      <c r="G49" s="902" t="s">
        <v>4007</v>
      </c>
      <c r="H49" s="902" t="s">
        <v>4008</v>
      </c>
      <c r="I49" s="901">
        <v>110</v>
      </c>
      <c r="J49" s="901">
        <v>40</v>
      </c>
      <c r="K49" s="901">
        <v>70</v>
      </c>
      <c r="L49" s="923" t="s">
        <v>3763</v>
      </c>
      <c r="M49" s="923" t="s">
        <v>3763</v>
      </c>
      <c r="N49" s="901" t="s">
        <v>4009</v>
      </c>
      <c r="O49" s="901" t="s">
        <v>4010</v>
      </c>
      <c r="P49" s="901" t="s">
        <v>3960</v>
      </c>
      <c r="Q49" s="901" t="s">
        <v>4011</v>
      </c>
      <c r="R49" s="901" t="s">
        <v>4012</v>
      </c>
      <c r="S49" s="901" t="s">
        <v>3950</v>
      </c>
      <c r="T49" s="901" t="s">
        <v>4013</v>
      </c>
      <c r="U49" s="901" t="s">
        <v>4014</v>
      </c>
      <c r="V49" s="901" t="s">
        <v>4015</v>
      </c>
      <c r="W49" s="901">
        <v>2.1</v>
      </c>
      <c r="X49" s="901">
        <v>2.1</v>
      </c>
      <c r="Y49" s="901" t="s">
        <v>3954</v>
      </c>
      <c r="Z49" s="909" t="s">
        <v>4016</v>
      </c>
    </row>
    <row r="50" spans="1:26" s="921" customFormat="1" ht="41.25" thickBot="1">
      <c r="A50" s="839">
        <v>46</v>
      </c>
      <c r="B50" s="969" t="s">
        <v>3941</v>
      </c>
      <c r="C50" s="969" t="s">
        <v>3942</v>
      </c>
      <c r="D50" s="969" t="s">
        <v>4017</v>
      </c>
      <c r="E50" s="969" t="s">
        <v>4018</v>
      </c>
      <c r="F50" s="970" t="s">
        <v>4019</v>
      </c>
      <c r="G50" s="971" t="s">
        <v>4020</v>
      </c>
      <c r="H50" s="971" t="s">
        <v>4021</v>
      </c>
      <c r="I50" s="969">
        <v>100</v>
      </c>
      <c r="J50" s="887" t="s">
        <v>3763</v>
      </c>
      <c r="K50" s="969">
        <v>100</v>
      </c>
      <c r="L50" s="887" t="s">
        <v>3763</v>
      </c>
      <c r="M50" s="887" t="s">
        <v>3763</v>
      </c>
      <c r="N50" s="887" t="s">
        <v>3763</v>
      </c>
      <c r="O50" s="887" t="s">
        <v>3763</v>
      </c>
      <c r="P50" s="969" t="s">
        <v>3960</v>
      </c>
      <c r="Q50" s="969" t="s">
        <v>3948</v>
      </c>
      <c r="R50" s="969" t="s">
        <v>4022</v>
      </c>
      <c r="S50" s="969" t="s">
        <v>3950</v>
      </c>
      <c r="T50" s="969" t="s">
        <v>3951</v>
      </c>
      <c r="U50" s="969" t="s">
        <v>3952</v>
      </c>
      <c r="V50" s="969" t="s">
        <v>4015</v>
      </c>
      <c r="W50" s="969">
        <v>182</v>
      </c>
      <c r="X50" s="969">
        <v>181.55</v>
      </c>
      <c r="Y50" s="969">
        <v>0.45</v>
      </c>
      <c r="Z50" s="972" t="s">
        <v>4023</v>
      </c>
    </row>
    <row r="51" spans="1:26" s="921" customFormat="1" ht="54">
      <c r="A51" s="294">
        <v>47</v>
      </c>
      <c r="B51" s="514" t="s">
        <v>3799</v>
      </c>
      <c r="C51" s="514" t="s">
        <v>4024</v>
      </c>
      <c r="D51" s="524" t="s">
        <v>4025</v>
      </c>
      <c r="E51" s="524" t="s">
        <v>4026</v>
      </c>
      <c r="F51" s="957" t="s">
        <v>4027</v>
      </c>
      <c r="G51" s="524" t="s">
        <v>4028</v>
      </c>
      <c r="H51" s="524" t="s">
        <v>4029</v>
      </c>
      <c r="I51" s="524">
        <v>845</v>
      </c>
      <c r="J51" s="524">
        <v>70</v>
      </c>
      <c r="K51" s="524">
        <v>35</v>
      </c>
      <c r="L51" s="524">
        <v>690</v>
      </c>
      <c r="M51" s="524">
        <v>50</v>
      </c>
      <c r="N51" s="524" t="s">
        <v>4030</v>
      </c>
      <c r="O51" s="524" t="s">
        <v>4031</v>
      </c>
      <c r="P51" s="524" t="s">
        <v>3749</v>
      </c>
      <c r="Q51" s="524" t="s">
        <v>4001</v>
      </c>
      <c r="R51" s="524" t="s">
        <v>4032</v>
      </c>
      <c r="S51" s="524" t="s">
        <v>3751</v>
      </c>
      <c r="T51" s="524" t="s">
        <v>3752</v>
      </c>
      <c r="U51" s="524" t="s">
        <v>3753</v>
      </c>
      <c r="V51" s="524" t="s">
        <v>3837</v>
      </c>
      <c r="W51" s="524">
        <f>SUM(X51:Y51)</f>
        <v>316</v>
      </c>
      <c r="X51" s="524">
        <v>311</v>
      </c>
      <c r="Y51" s="524">
        <v>5</v>
      </c>
      <c r="Z51" s="525" t="s">
        <v>4033</v>
      </c>
    </row>
    <row r="52" spans="1:26" s="921" customFormat="1" ht="54">
      <c r="A52" s="926">
        <v>48</v>
      </c>
      <c r="B52" s="925" t="s">
        <v>3799</v>
      </c>
      <c r="C52" s="925" t="s">
        <v>4024</v>
      </c>
      <c r="D52" s="923" t="s">
        <v>4034</v>
      </c>
      <c r="E52" s="923" t="s">
        <v>4035</v>
      </c>
      <c r="F52" s="333" t="s">
        <v>4036</v>
      </c>
      <c r="G52" s="923" t="s">
        <v>4037</v>
      </c>
      <c r="H52" s="923" t="s">
        <v>4038</v>
      </c>
      <c r="I52" s="923">
        <v>800</v>
      </c>
      <c r="J52" s="923"/>
      <c r="K52" s="923"/>
      <c r="L52" s="923">
        <v>800</v>
      </c>
      <c r="M52" s="923"/>
      <c r="N52" s="923"/>
      <c r="O52" s="923"/>
      <c r="P52" s="923" t="s">
        <v>3749</v>
      </c>
      <c r="Q52" s="923" t="s">
        <v>936</v>
      </c>
      <c r="R52" s="923" t="s">
        <v>4039</v>
      </c>
      <c r="S52" s="923" t="s">
        <v>3751</v>
      </c>
      <c r="T52" s="923" t="s">
        <v>3752</v>
      </c>
      <c r="U52" s="923" t="s">
        <v>3753</v>
      </c>
      <c r="V52" s="923" t="s">
        <v>3837</v>
      </c>
      <c r="W52" s="923">
        <f>SUM(X52:Y52)</f>
        <v>500</v>
      </c>
      <c r="X52" s="923">
        <v>495</v>
      </c>
      <c r="Y52" s="923">
        <v>5</v>
      </c>
      <c r="Z52" s="924" t="s">
        <v>4040</v>
      </c>
    </row>
    <row r="53" spans="1:26" s="921" customFormat="1" ht="40.5">
      <c r="A53" s="926">
        <v>49</v>
      </c>
      <c r="B53" s="925" t="s">
        <v>3799</v>
      </c>
      <c r="C53" s="925" t="s">
        <v>4024</v>
      </c>
      <c r="D53" s="923" t="s">
        <v>4041</v>
      </c>
      <c r="E53" s="923" t="s">
        <v>4026</v>
      </c>
      <c r="F53" s="333" t="s">
        <v>4042</v>
      </c>
      <c r="G53" s="923" t="s">
        <v>4043</v>
      </c>
      <c r="H53" s="923" t="s">
        <v>4044</v>
      </c>
      <c r="I53" s="923">
        <v>88</v>
      </c>
      <c r="J53" s="923"/>
      <c r="K53" s="923"/>
      <c r="L53" s="923">
        <v>80</v>
      </c>
      <c r="M53" s="923">
        <v>8</v>
      </c>
      <c r="N53" s="923"/>
      <c r="O53" s="923"/>
      <c r="P53" s="923" t="s">
        <v>3749</v>
      </c>
      <c r="Q53" s="923" t="s">
        <v>3749</v>
      </c>
      <c r="R53" s="923" t="s">
        <v>4045</v>
      </c>
      <c r="S53" s="923" t="s">
        <v>3751</v>
      </c>
      <c r="T53" s="923" t="s">
        <v>3752</v>
      </c>
      <c r="U53" s="923" t="s">
        <v>3753</v>
      </c>
      <c r="V53" s="923" t="s">
        <v>3837</v>
      </c>
      <c r="W53" s="923">
        <f>SUM(X53:Y53)</f>
        <v>50</v>
      </c>
      <c r="X53" s="923">
        <v>50</v>
      </c>
      <c r="Y53" s="923"/>
      <c r="Z53" s="924" t="s">
        <v>4046</v>
      </c>
    </row>
    <row r="54" spans="1:26" s="921" customFormat="1" ht="54.75" thickBot="1">
      <c r="A54" s="958">
        <v>50</v>
      </c>
      <c r="B54" s="959" t="s">
        <v>3799</v>
      </c>
      <c r="C54" s="959" t="s">
        <v>4024</v>
      </c>
      <c r="D54" s="960" t="s">
        <v>4047</v>
      </c>
      <c r="E54" s="960" t="s">
        <v>4048</v>
      </c>
      <c r="F54" s="973" t="s">
        <v>4049</v>
      </c>
      <c r="G54" s="960" t="s">
        <v>4050</v>
      </c>
      <c r="H54" s="960" t="s">
        <v>4051</v>
      </c>
      <c r="I54" s="960">
        <v>100</v>
      </c>
      <c r="J54" s="960"/>
      <c r="K54" s="960"/>
      <c r="L54" s="960">
        <v>80</v>
      </c>
      <c r="M54" s="960">
        <v>20</v>
      </c>
      <c r="N54" s="960"/>
      <c r="O54" s="960"/>
      <c r="P54" s="960" t="s">
        <v>3749</v>
      </c>
      <c r="Q54" s="960" t="s">
        <v>92</v>
      </c>
      <c r="R54" s="960" t="s">
        <v>4052</v>
      </c>
      <c r="S54" s="960" t="s">
        <v>3751</v>
      </c>
      <c r="T54" s="960" t="s">
        <v>3752</v>
      </c>
      <c r="U54" s="960" t="s">
        <v>3753</v>
      </c>
      <c r="V54" s="960" t="s">
        <v>3837</v>
      </c>
      <c r="W54" s="960">
        <f>SUM(X54:Y54)</f>
        <v>100</v>
      </c>
      <c r="X54" s="960">
        <v>100</v>
      </c>
      <c r="Y54" s="960"/>
      <c r="Z54" s="963" t="s">
        <v>4053</v>
      </c>
    </row>
    <row r="55" spans="1:26" s="921" customFormat="1" ht="68.25" thickBot="1">
      <c r="A55" s="974">
        <v>51</v>
      </c>
      <c r="B55" s="975" t="s">
        <v>2601</v>
      </c>
      <c r="C55" s="975" t="s">
        <v>4054</v>
      </c>
      <c r="D55" s="976" t="s">
        <v>4055</v>
      </c>
      <c r="E55" s="976" t="s">
        <v>4056</v>
      </c>
      <c r="F55" s="977" t="s">
        <v>4057</v>
      </c>
      <c r="G55" s="976" t="s">
        <v>4058</v>
      </c>
      <c r="H55" s="976" t="s">
        <v>4059</v>
      </c>
      <c r="I55" s="978">
        <v>2000</v>
      </c>
      <c r="J55" s="976">
        <v>650</v>
      </c>
      <c r="K55" s="976">
        <v>0</v>
      </c>
      <c r="L55" s="978">
        <v>1350</v>
      </c>
      <c r="M55" s="976">
        <v>0</v>
      </c>
      <c r="N55" s="976" t="s">
        <v>4030</v>
      </c>
      <c r="O55" s="976" t="s">
        <v>4060</v>
      </c>
      <c r="P55" s="976" t="s">
        <v>3792</v>
      </c>
      <c r="Q55" s="976" t="s">
        <v>3817</v>
      </c>
      <c r="R55" s="976" t="s">
        <v>4061</v>
      </c>
      <c r="S55" s="976" t="s">
        <v>3751</v>
      </c>
      <c r="T55" s="976" t="s">
        <v>4062</v>
      </c>
      <c r="U55" s="976" t="s">
        <v>4063</v>
      </c>
      <c r="V55" s="976" t="s">
        <v>3837</v>
      </c>
      <c r="W55" s="976">
        <v>720</v>
      </c>
      <c r="X55" s="976">
        <v>710</v>
      </c>
      <c r="Y55" s="976">
        <v>10</v>
      </c>
      <c r="Z55" s="979" t="s">
        <v>4064</v>
      </c>
    </row>
    <row r="56" spans="1:26" s="921" customFormat="1" ht="54">
      <c r="A56" s="294">
        <v>52</v>
      </c>
      <c r="B56" s="514" t="s">
        <v>2601</v>
      </c>
      <c r="C56" s="514" t="s">
        <v>4065</v>
      </c>
      <c r="D56" s="524" t="s">
        <v>4066</v>
      </c>
      <c r="E56" s="524" t="s">
        <v>4067</v>
      </c>
      <c r="F56" s="957" t="s">
        <v>4068</v>
      </c>
      <c r="G56" s="524" t="s">
        <v>4069</v>
      </c>
      <c r="H56" s="524" t="s">
        <v>4070</v>
      </c>
      <c r="I56" s="524">
        <v>579</v>
      </c>
      <c r="J56" s="524">
        <v>0</v>
      </c>
      <c r="K56" s="524">
        <v>100</v>
      </c>
      <c r="L56" s="524">
        <v>479</v>
      </c>
      <c r="M56" s="524">
        <v>0</v>
      </c>
      <c r="N56" s="524"/>
      <c r="O56" s="524"/>
      <c r="P56" s="524" t="s">
        <v>105</v>
      </c>
      <c r="Q56" s="980"/>
      <c r="R56" s="524" t="s">
        <v>4071</v>
      </c>
      <c r="S56" s="524" t="s">
        <v>3751</v>
      </c>
      <c r="T56" s="524" t="s">
        <v>3752</v>
      </c>
      <c r="U56" s="524" t="s">
        <v>4072</v>
      </c>
      <c r="V56" s="524" t="s">
        <v>3828</v>
      </c>
      <c r="W56" s="524">
        <f>SUM(X56:Y56)</f>
        <v>50</v>
      </c>
      <c r="X56" s="524">
        <v>40</v>
      </c>
      <c r="Y56" s="524">
        <v>10</v>
      </c>
      <c r="Z56" s="525" t="s">
        <v>4073</v>
      </c>
    </row>
    <row r="57" spans="1:26" s="921" customFormat="1" ht="27">
      <c r="A57" s="926">
        <v>53</v>
      </c>
      <c r="B57" s="949" t="s">
        <v>2601</v>
      </c>
      <c r="C57" s="949" t="s">
        <v>3645</v>
      </c>
      <c r="D57" s="953" t="s">
        <v>3648</v>
      </c>
      <c r="E57" s="953" t="s">
        <v>4074</v>
      </c>
      <c r="F57" s="981" t="s">
        <v>4075</v>
      </c>
      <c r="G57" s="953" t="s">
        <v>3649</v>
      </c>
      <c r="H57" s="953" t="s">
        <v>2129</v>
      </c>
      <c r="I57" s="953">
        <v>35</v>
      </c>
      <c r="J57" s="953">
        <v>0</v>
      </c>
      <c r="K57" s="953">
        <v>0</v>
      </c>
      <c r="L57" s="953">
        <v>35</v>
      </c>
      <c r="M57" s="953">
        <v>0</v>
      </c>
      <c r="N57" s="953"/>
      <c r="O57" s="953"/>
      <c r="P57" s="953" t="s">
        <v>167</v>
      </c>
      <c r="Q57" s="953" t="s">
        <v>936</v>
      </c>
      <c r="R57" s="953" t="s">
        <v>1011</v>
      </c>
      <c r="S57" s="953" t="s">
        <v>82</v>
      </c>
      <c r="T57" s="953" t="s">
        <v>929</v>
      </c>
      <c r="U57" s="953" t="s">
        <v>84</v>
      </c>
      <c r="V57" s="953" t="s">
        <v>85</v>
      </c>
      <c r="W57" s="953">
        <v>1</v>
      </c>
      <c r="X57" s="953">
        <v>1</v>
      </c>
      <c r="Y57" s="953">
        <v>0</v>
      </c>
      <c r="Z57" s="982" t="s">
        <v>1648</v>
      </c>
    </row>
    <row r="58" spans="1:26" s="921" customFormat="1" ht="27">
      <c r="A58" s="926">
        <v>54</v>
      </c>
      <c r="B58" s="925" t="s">
        <v>2601</v>
      </c>
      <c r="C58" s="925" t="s">
        <v>4065</v>
      </c>
      <c r="D58" s="925" t="s">
        <v>4076</v>
      </c>
      <c r="E58" s="923" t="s">
        <v>4077</v>
      </c>
      <c r="F58" s="333" t="s">
        <v>4078</v>
      </c>
      <c r="G58" s="1437" t="s">
        <v>6311</v>
      </c>
      <c r="H58" s="923" t="s">
        <v>4079</v>
      </c>
      <c r="I58" s="923">
        <v>20</v>
      </c>
      <c r="J58" s="925">
        <v>0</v>
      </c>
      <c r="K58" s="925">
        <v>0</v>
      </c>
      <c r="L58" s="925">
        <v>20</v>
      </c>
      <c r="M58" s="925">
        <v>0</v>
      </c>
      <c r="N58" s="923"/>
      <c r="O58" s="923"/>
      <c r="P58" s="923" t="s">
        <v>92</v>
      </c>
      <c r="Q58" s="923" t="s">
        <v>3817</v>
      </c>
      <c r="R58" s="923" t="s">
        <v>4080</v>
      </c>
      <c r="S58" s="923" t="s">
        <v>3751</v>
      </c>
      <c r="T58" s="923" t="s">
        <v>3752</v>
      </c>
      <c r="U58" s="923" t="s">
        <v>3753</v>
      </c>
      <c r="V58" s="923" t="s">
        <v>3837</v>
      </c>
      <c r="W58" s="923">
        <f>SUM(X58:Y58)</f>
        <v>2</v>
      </c>
      <c r="X58" s="923">
        <v>2</v>
      </c>
      <c r="Y58" s="923">
        <v>0</v>
      </c>
      <c r="Z58" s="924" t="s">
        <v>4081</v>
      </c>
    </row>
    <row r="59" spans="1:26" ht="40.5">
      <c r="A59" s="926">
        <v>55</v>
      </c>
      <c r="B59" s="949" t="s">
        <v>2601</v>
      </c>
      <c r="C59" s="949" t="s">
        <v>3645</v>
      </c>
      <c r="D59" s="953" t="s">
        <v>3650</v>
      </c>
      <c r="E59" s="953" t="s">
        <v>4082</v>
      </c>
      <c r="F59" s="981" t="s">
        <v>4083</v>
      </c>
      <c r="G59" s="953" t="s">
        <v>3651</v>
      </c>
      <c r="H59" s="953" t="s">
        <v>2167</v>
      </c>
      <c r="I59" s="953">
        <v>30</v>
      </c>
      <c r="J59" s="953">
        <v>0</v>
      </c>
      <c r="K59" s="953">
        <v>0</v>
      </c>
      <c r="L59" s="953">
        <v>30</v>
      </c>
      <c r="M59" s="953">
        <v>0</v>
      </c>
      <c r="N59" s="953"/>
      <c r="O59" s="953"/>
      <c r="P59" s="953" t="s">
        <v>105</v>
      </c>
      <c r="Q59" s="953" t="s">
        <v>936</v>
      </c>
      <c r="R59" s="953" t="s">
        <v>3652</v>
      </c>
      <c r="S59" s="953" t="s">
        <v>82</v>
      </c>
      <c r="T59" s="953" t="s">
        <v>3623</v>
      </c>
      <c r="U59" s="953" t="s">
        <v>84</v>
      </c>
      <c r="V59" s="953" t="s">
        <v>3653</v>
      </c>
      <c r="W59" s="953">
        <v>1</v>
      </c>
      <c r="X59" s="953">
        <v>1</v>
      </c>
      <c r="Y59" s="953">
        <v>0</v>
      </c>
      <c r="Z59" s="952" t="s">
        <v>909</v>
      </c>
    </row>
    <row r="60" spans="1:26" ht="40.5">
      <c r="A60" s="926">
        <v>56</v>
      </c>
      <c r="B60" s="925" t="s">
        <v>2601</v>
      </c>
      <c r="C60" s="925" t="s">
        <v>4065</v>
      </c>
      <c r="D60" s="923" t="s">
        <v>3654</v>
      </c>
      <c r="E60" s="923" t="s">
        <v>4084</v>
      </c>
      <c r="F60" s="333" t="s">
        <v>4085</v>
      </c>
      <c r="G60" s="923" t="s">
        <v>3655</v>
      </c>
      <c r="H60" s="923">
        <v>2005</v>
      </c>
      <c r="I60" s="923">
        <v>20</v>
      </c>
      <c r="J60" s="923">
        <v>0</v>
      </c>
      <c r="K60" s="923">
        <v>0</v>
      </c>
      <c r="L60" s="923">
        <v>20</v>
      </c>
      <c r="M60" s="923">
        <v>0</v>
      </c>
      <c r="N60" s="923"/>
      <c r="O60" s="923"/>
      <c r="P60" s="923" t="s">
        <v>92</v>
      </c>
      <c r="Q60" s="923"/>
      <c r="R60" s="923" t="s">
        <v>3656</v>
      </c>
      <c r="S60" s="923" t="s">
        <v>82</v>
      </c>
      <c r="T60" s="923" t="s">
        <v>929</v>
      </c>
      <c r="U60" s="923" t="s">
        <v>3753</v>
      </c>
      <c r="V60" s="923" t="s">
        <v>1047</v>
      </c>
      <c r="W60" s="923">
        <v>1</v>
      </c>
      <c r="X60" s="923">
        <v>1</v>
      </c>
      <c r="Y60" s="923">
        <v>0</v>
      </c>
      <c r="Z60" s="909" t="s">
        <v>4086</v>
      </c>
    </row>
    <row r="61" spans="1:26" ht="40.5">
      <c r="A61" s="926">
        <v>57</v>
      </c>
      <c r="B61" s="925" t="s">
        <v>2601</v>
      </c>
      <c r="C61" s="925" t="s">
        <v>4065</v>
      </c>
      <c r="D61" s="923" t="s">
        <v>4087</v>
      </c>
      <c r="E61" s="923" t="s">
        <v>4088</v>
      </c>
      <c r="F61" s="333" t="s">
        <v>4089</v>
      </c>
      <c r="G61" s="923" t="s">
        <v>4090</v>
      </c>
      <c r="H61" s="923" t="s">
        <v>4091</v>
      </c>
      <c r="I61" s="923">
        <v>95</v>
      </c>
      <c r="J61" s="923">
        <v>0</v>
      </c>
      <c r="K61" s="923">
        <v>0</v>
      </c>
      <c r="L61" s="923">
        <v>95</v>
      </c>
      <c r="M61" s="923">
        <v>0</v>
      </c>
      <c r="N61" s="923"/>
      <c r="O61" s="923"/>
      <c r="P61" s="923" t="s">
        <v>167</v>
      </c>
      <c r="Q61" s="362"/>
      <c r="R61" s="923" t="s">
        <v>4092</v>
      </c>
      <c r="S61" s="923" t="s">
        <v>3751</v>
      </c>
      <c r="T61" s="923" t="s">
        <v>4093</v>
      </c>
      <c r="U61" s="923" t="s">
        <v>3753</v>
      </c>
      <c r="V61" s="923" t="s">
        <v>3828</v>
      </c>
      <c r="W61" s="923">
        <f>SUM(X61:Y61)</f>
        <v>5</v>
      </c>
      <c r="X61" s="923">
        <v>5</v>
      </c>
      <c r="Y61" s="923">
        <v>0</v>
      </c>
      <c r="Z61" s="924" t="s">
        <v>4094</v>
      </c>
    </row>
    <row r="62" spans="1:26" ht="40.5">
      <c r="A62" s="926">
        <v>58</v>
      </c>
      <c r="B62" s="901" t="s">
        <v>3941</v>
      </c>
      <c r="C62" s="901" t="s">
        <v>4095</v>
      </c>
      <c r="D62" s="901" t="s">
        <v>4096</v>
      </c>
      <c r="E62" s="901" t="s">
        <v>4097</v>
      </c>
      <c r="F62" s="360" t="s">
        <v>4098</v>
      </c>
      <c r="G62" s="902" t="s">
        <v>6312</v>
      </c>
      <c r="H62" s="902" t="s">
        <v>4099</v>
      </c>
      <c r="I62" s="901">
        <v>60</v>
      </c>
      <c r="J62" s="901">
        <v>0</v>
      </c>
      <c r="K62" s="965">
        <v>30</v>
      </c>
      <c r="L62" s="901">
        <v>0</v>
      </c>
      <c r="M62" s="965">
        <v>30</v>
      </c>
      <c r="N62" s="901"/>
      <c r="O62" s="901"/>
      <c r="P62" s="901" t="s">
        <v>3947</v>
      </c>
      <c r="Q62" s="901"/>
      <c r="R62" s="901" t="s">
        <v>4100</v>
      </c>
      <c r="S62" s="901" t="s">
        <v>3950</v>
      </c>
      <c r="T62" s="901" t="s">
        <v>4101</v>
      </c>
      <c r="U62" s="901" t="s">
        <v>4102</v>
      </c>
      <c r="V62" s="901" t="s">
        <v>4011</v>
      </c>
      <c r="W62" s="901">
        <v>30</v>
      </c>
      <c r="X62" s="901">
        <v>30</v>
      </c>
      <c r="Y62" s="901">
        <v>0</v>
      </c>
      <c r="Z62" s="909" t="s">
        <v>4103</v>
      </c>
    </row>
    <row r="63" spans="1:26" ht="54">
      <c r="A63" s="926">
        <v>59</v>
      </c>
      <c r="B63" s="901" t="s">
        <v>3941</v>
      </c>
      <c r="C63" s="901" t="s">
        <v>4095</v>
      </c>
      <c r="D63" s="901" t="s">
        <v>4104</v>
      </c>
      <c r="E63" s="901" t="s">
        <v>4105</v>
      </c>
      <c r="F63" s="360" t="s">
        <v>4106</v>
      </c>
      <c r="G63" s="901" t="s">
        <v>4107</v>
      </c>
      <c r="H63" s="965" t="s">
        <v>4108</v>
      </c>
      <c r="I63" s="965">
        <v>140</v>
      </c>
      <c r="J63" s="901">
        <v>0</v>
      </c>
      <c r="K63" s="901">
        <v>0</v>
      </c>
      <c r="L63" s="965">
        <v>140</v>
      </c>
      <c r="M63" s="901">
        <v>0</v>
      </c>
      <c r="N63" s="901"/>
      <c r="O63" s="901"/>
      <c r="P63" s="901" t="s">
        <v>4109</v>
      </c>
      <c r="Q63" s="901" t="s">
        <v>4102</v>
      </c>
      <c r="R63" s="983" t="s">
        <v>4110</v>
      </c>
      <c r="S63" s="901" t="s">
        <v>3950</v>
      </c>
      <c r="T63" s="901" t="s">
        <v>3933</v>
      </c>
      <c r="U63" s="901" t="s">
        <v>4102</v>
      </c>
      <c r="V63" s="901" t="s">
        <v>4011</v>
      </c>
      <c r="W63" s="965">
        <v>10</v>
      </c>
      <c r="X63" s="965">
        <v>10</v>
      </c>
      <c r="Y63" s="901">
        <v>0</v>
      </c>
      <c r="Z63" s="909" t="s">
        <v>4111</v>
      </c>
    </row>
    <row r="64" spans="1:26" ht="40.5">
      <c r="A64" s="926">
        <v>60</v>
      </c>
      <c r="B64" s="925" t="s">
        <v>2601</v>
      </c>
      <c r="C64" s="925" t="s">
        <v>4065</v>
      </c>
      <c r="D64" s="923" t="s">
        <v>4112</v>
      </c>
      <c r="E64" s="923" t="s">
        <v>4113</v>
      </c>
      <c r="F64" s="333" t="s">
        <v>4114</v>
      </c>
      <c r="G64" s="923" t="s">
        <v>4115</v>
      </c>
      <c r="H64" s="923" t="s">
        <v>4116</v>
      </c>
      <c r="I64" s="923">
        <v>15</v>
      </c>
      <c r="J64" s="923"/>
      <c r="K64" s="923"/>
      <c r="L64" s="923">
        <v>15</v>
      </c>
      <c r="M64" s="923"/>
      <c r="N64" s="923"/>
      <c r="O64" s="923"/>
      <c r="P64" s="923" t="s">
        <v>3761</v>
      </c>
      <c r="Q64" s="923" t="s">
        <v>3761</v>
      </c>
      <c r="R64" s="923" t="s">
        <v>3751</v>
      </c>
      <c r="S64" s="644" t="s">
        <v>3950</v>
      </c>
      <c r="T64" s="923" t="s">
        <v>4117</v>
      </c>
      <c r="U64" s="923" t="s">
        <v>3753</v>
      </c>
      <c r="V64" s="923" t="s">
        <v>3754</v>
      </c>
      <c r="W64" s="923">
        <f>SUM(X64:Y64)</f>
        <v>0.5</v>
      </c>
      <c r="X64" s="923">
        <v>0.5</v>
      </c>
      <c r="Y64" s="923"/>
      <c r="Z64" s="924" t="s">
        <v>4118</v>
      </c>
    </row>
    <row r="65" spans="1:26" ht="41.25" thickBot="1">
      <c r="A65" s="958">
        <v>61</v>
      </c>
      <c r="B65" s="984" t="s">
        <v>3941</v>
      </c>
      <c r="C65" s="984" t="s">
        <v>4095</v>
      </c>
      <c r="D65" s="984" t="s">
        <v>4119</v>
      </c>
      <c r="E65" s="984" t="s">
        <v>4120</v>
      </c>
      <c r="F65" s="985" t="s">
        <v>4121</v>
      </c>
      <c r="G65" s="984" t="s">
        <v>4122</v>
      </c>
      <c r="H65" s="984" t="s">
        <v>4123</v>
      </c>
      <c r="I65" s="984">
        <v>55</v>
      </c>
      <c r="J65" s="984">
        <v>0</v>
      </c>
      <c r="K65" s="984">
        <v>0</v>
      </c>
      <c r="L65" s="984">
        <v>0</v>
      </c>
      <c r="M65" s="984">
        <v>55</v>
      </c>
      <c r="N65" s="984"/>
      <c r="O65" s="984"/>
      <c r="P65" s="984" t="s">
        <v>3960</v>
      </c>
      <c r="Q65" s="984"/>
      <c r="R65" s="984" t="s">
        <v>4124</v>
      </c>
      <c r="S65" s="984" t="s">
        <v>3950</v>
      </c>
      <c r="T65" s="984" t="s">
        <v>4125</v>
      </c>
      <c r="U65" s="984" t="s">
        <v>4102</v>
      </c>
      <c r="V65" s="984" t="s">
        <v>4126</v>
      </c>
      <c r="W65" s="984">
        <v>50</v>
      </c>
      <c r="X65" s="984">
        <v>50</v>
      </c>
      <c r="Y65" s="984">
        <v>0</v>
      </c>
      <c r="Z65" s="986" t="s">
        <v>4127</v>
      </c>
    </row>
    <row r="66" spans="1:26" ht="67.5">
      <c r="A66" s="612">
        <v>62</v>
      </c>
      <c r="B66" s="608" t="s">
        <v>2601</v>
      </c>
      <c r="C66" s="608" t="s">
        <v>3658</v>
      </c>
      <c r="D66" s="614" t="s">
        <v>4128</v>
      </c>
      <c r="E66" s="614" t="s">
        <v>4129</v>
      </c>
      <c r="F66" s="611" t="s">
        <v>4130</v>
      </c>
      <c r="G66" s="614" t="s">
        <v>4131</v>
      </c>
      <c r="H66" s="614" t="s">
        <v>4132</v>
      </c>
      <c r="I66" s="987">
        <f>SUM(J66:M66)</f>
        <v>2150</v>
      </c>
      <c r="J66" s="988">
        <v>0</v>
      </c>
      <c r="K66" s="988">
        <v>0</v>
      </c>
      <c r="L66" s="988">
        <v>2150</v>
      </c>
      <c r="M66" s="988">
        <v>0</v>
      </c>
      <c r="N66" s="614"/>
      <c r="O66" s="614"/>
      <c r="P66" s="614" t="s">
        <v>92</v>
      </c>
      <c r="Q66" s="614" t="s">
        <v>3817</v>
      </c>
      <c r="R66" s="614" t="s">
        <v>4133</v>
      </c>
      <c r="S66" s="614" t="s">
        <v>3751</v>
      </c>
      <c r="T66" s="614" t="s">
        <v>4134</v>
      </c>
      <c r="U66" s="614" t="s">
        <v>4135</v>
      </c>
      <c r="V66" s="614" t="s">
        <v>3828</v>
      </c>
      <c r="W66" s="614">
        <f>SUM(X66:Y66)</f>
        <v>973</v>
      </c>
      <c r="X66" s="614">
        <v>972</v>
      </c>
      <c r="Y66" s="614">
        <v>1</v>
      </c>
      <c r="Z66" s="610" t="s">
        <v>4136</v>
      </c>
    </row>
    <row r="67" spans="1:26" ht="40.5">
      <c r="A67" s="926">
        <v>63</v>
      </c>
      <c r="B67" s="925" t="s">
        <v>2601</v>
      </c>
      <c r="C67" s="925" t="s">
        <v>3658</v>
      </c>
      <c r="D67" s="923" t="s">
        <v>4137</v>
      </c>
      <c r="E67" s="923" t="s">
        <v>4138</v>
      </c>
      <c r="F67" s="333" t="s">
        <v>4139</v>
      </c>
      <c r="G67" s="923" t="s">
        <v>3659</v>
      </c>
      <c r="H67" s="923" t="s">
        <v>4140</v>
      </c>
      <c r="I67" s="989">
        <f t="shared" ref="I67:I69" si="5">SUM(J67:M67)</f>
        <v>70</v>
      </c>
      <c r="J67" s="990">
        <v>0</v>
      </c>
      <c r="K67" s="990">
        <v>0</v>
      </c>
      <c r="L67" s="989">
        <v>70</v>
      </c>
      <c r="M67" s="990">
        <v>0</v>
      </c>
      <c r="N67" s="923"/>
      <c r="O67" s="923"/>
      <c r="P67" s="923" t="s">
        <v>167</v>
      </c>
      <c r="Q67" s="923" t="s">
        <v>3817</v>
      </c>
      <c r="R67" s="923" t="s">
        <v>4141</v>
      </c>
      <c r="S67" s="923" t="s">
        <v>3751</v>
      </c>
      <c r="T67" s="923" t="s">
        <v>3836</v>
      </c>
      <c r="U67" s="923" t="s">
        <v>3753</v>
      </c>
      <c r="V67" s="923" t="s">
        <v>3828</v>
      </c>
      <c r="W67" s="923">
        <f t="shared" ref="W67:W69" si="6">SUM(X67:Y67)</f>
        <v>6</v>
      </c>
      <c r="X67" s="923">
        <v>6</v>
      </c>
      <c r="Y67" s="923">
        <v>0</v>
      </c>
      <c r="Z67" s="924" t="s">
        <v>4142</v>
      </c>
    </row>
    <row r="68" spans="1:26" ht="40.5">
      <c r="A68" s="926">
        <v>64</v>
      </c>
      <c r="B68" s="925" t="s">
        <v>2601</v>
      </c>
      <c r="C68" s="925" t="s">
        <v>3658</v>
      </c>
      <c r="D68" s="923" t="s">
        <v>4143</v>
      </c>
      <c r="E68" s="923" t="s">
        <v>3777</v>
      </c>
      <c r="F68" s="333" t="s">
        <v>4144</v>
      </c>
      <c r="G68" s="923" t="s">
        <v>3660</v>
      </c>
      <c r="H68" s="923" t="s">
        <v>4145</v>
      </c>
      <c r="I68" s="989">
        <f t="shared" si="5"/>
        <v>50</v>
      </c>
      <c r="J68" s="990">
        <v>0</v>
      </c>
      <c r="K68" s="990">
        <v>0</v>
      </c>
      <c r="L68" s="989">
        <v>50</v>
      </c>
      <c r="M68" s="990">
        <v>0</v>
      </c>
      <c r="N68" s="923"/>
      <c r="O68" s="923"/>
      <c r="P68" s="923" t="s">
        <v>167</v>
      </c>
      <c r="Q68" s="923" t="s">
        <v>3817</v>
      </c>
      <c r="R68" s="923" t="s">
        <v>4146</v>
      </c>
      <c r="S68" s="923" t="s">
        <v>3751</v>
      </c>
      <c r="T68" s="923" t="s">
        <v>3836</v>
      </c>
      <c r="U68" s="923" t="s">
        <v>3753</v>
      </c>
      <c r="V68" s="923" t="s">
        <v>3828</v>
      </c>
      <c r="W68" s="923">
        <f t="shared" si="6"/>
        <v>8</v>
      </c>
      <c r="X68" s="923">
        <v>8</v>
      </c>
      <c r="Y68" s="923">
        <v>0</v>
      </c>
      <c r="Z68" s="924" t="s">
        <v>3783</v>
      </c>
    </row>
    <row r="69" spans="1:26" ht="41.25" thickBot="1">
      <c r="A69" s="839">
        <v>65</v>
      </c>
      <c r="B69" s="875" t="s">
        <v>2601</v>
      </c>
      <c r="C69" s="875" t="s">
        <v>3658</v>
      </c>
      <c r="D69" s="887" t="s">
        <v>4147</v>
      </c>
      <c r="E69" s="887" t="s">
        <v>3777</v>
      </c>
      <c r="F69" s="609" t="s">
        <v>3661</v>
      </c>
      <c r="G69" s="887" t="s">
        <v>3662</v>
      </c>
      <c r="H69" s="887" t="s">
        <v>4148</v>
      </c>
      <c r="I69" s="991">
        <f t="shared" si="5"/>
        <v>10</v>
      </c>
      <c r="J69" s="992">
        <v>0</v>
      </c>
      <c r="K69" s="992">
        <v>0</v>
      </c>
      <c r="L69" s="991">
        <v>10</v>
      </c>
      <c r="M69" s="992">
        <v>0</v>
      </c>
      <c r="N69" s="887"/>
      <c r="O69" s="887"/>
      <c r="P69" s="887" t="s">
        <v>167</v>
      </c>
      <c r="Q69" s="887" t="s">
        <v>3817</v>
      </c>
      <c r="R69" s="887" t="s">
        <v>4149</v>
      </c>
      <c r="S69" s="887" t="s">
        <v>3751</v>
      </c>
      <c r="T69" s="887" t="s">
        <v>3782</v>
      </c>
      <c r="U69" s="887" t="s">
        <v>3753</v>
      </c>
      <c r="V69" s="887" t="s">
        <v>3828</v>
      </c>
      <c r="W69" s="887">
        <f t="shared" si="6"/>
        <v>10</v>
      </c>
      <c r="X69" s="887">
        <v>10</v>
      </c>
      <c r="Y69" s="887">
        <v>0</v>
      </c>
      <c r="Z69" s="885" t="s">
        <v>3889</v>
      </c>
    </row>
    <row r="70" spans="1:26" ht="54">
      <c r="A70" s="294">
        <v>66</v>
      </c>
      <c r="B70" s="514" t="s">
        <v>2601</v>
      </c>
      <c r="C70" s="514" t="s">
        <v>4150</v>
      </c>
      <c r="D70" s="524" t="s">
        <v>4151</v>
      </c>
      <c r="E70" s="524" t="s">
        <v>4152</v>
      </c>
      <c r="F70" s="957" t="s">
        <v>4153</v>
      </c>
      <c r="G70" s="524" t="s">
        <v>4154</v>
      </c>
      <c r="H70" s="524" t="s">
        <v>4155</v>
      </c>
      <c r="I70" s="524">
        <v>1300</v>
      </c>
      <c r="J70" s="524">
        <v>70</v>
      </c>
      <c r="K70" s="524">
        <v>35</v>
      </c>
      <c r="L70" s="993">
        <v>1195</v>
      </c>
      <c r="M70" s="524"/>
      <c r="N70" s="524" t="s">
        <v>4030</v>
      </c>
      <c r="O70" s="524" t="s">
        <v>4156</v>
      </c>
      <c r="P70" s="524" t="s">
        <v>167</v>
      </c>
      <c r="Q70" s="994" t="s">
        <v>4157</v>
      </c>
      <c r="R70" s="524" t="s">
        <v>4158</v>
      </c>
      <c r="S70" s="524" t="s">
        <v>3751</v>
      </c>
      <c r="T70" s="524" t="s">
        <v>3752</v>
      </c>
      <c r="U70" s="995" t="s">
        <v>3763</v>
      </c>
      <c r="V70" s="524" t="s">
        <v>3837</v>
      </c>
      <c r="W70" s="524">
        <f>SUM(X70:Y70)</f>
        <v>315</v>
      </c>
      <c r="X70" s="524">
        <v>315</v>
      </c>
      <c r="Y70" s="995" t="s">
        <v>3763</v>
      </c>
      <c r="Z70" s="525" t="s">
        <v>4159</v>
      </c>
    </row>
    <row r="71" spans="1:26" ht="54">
      <c r="A71" s="926">
        <v>67</v>
      </c>
      <c r="B71" s="925" t="s">
        <v>2601</v>
      </c>
      <c r="C71" s="925" t="s">
        <v>4150</v>
      </c>
      <c r="D71" s="923" t="s">
        <v>3804</v>
      </c>
      <c r="E71" s="923" t="s">
        <v>3919</v>
      </c>
      <c r="F71" s="333" t="s">
        <v>4160</v>
      </c>
      <c r="G71" s="923" t="s">
        <v>4161</v>
      </c>
      <c r="H71" s="923" t="s">
        <v>3808</v>
      </c>
      <c r="I71" s="923">
        <v>2800</v>
      </c>
      <c r="J71" s="923"/>
      <c r="K71" s="923"/>
      <c r="L71" s="923">
        <v>2800</v>
      </c>
      <c r="M71" s="923"/>
      <c r="N71" s="948" t="s">
        <v>3763</v>
      </c>
      <c r="O71" s="948" t="s">
        <v>3763</v>
      </c>
      <c r="P71" s="923" t="s">
        <v>105</v>
      </c>
      <c r="Q71" s="649" t="s">
        <v>3817</v>
      </c>
      <c r="R71" s="923" t="s">
        <v>4162</v>
      </c>
      <c r="S71" s="923" t="s">
        <v>3751</v>
      </c>
      <c r="T71" s="923" t="s">
        <v>3752</v>
      </c>
      <c r="U71" s="948" t="s">
        <v>3763</v>
      </c>
      <c r="V71" s="923" t="s">
        <v>3837</v>
      </c>
      <c r="W71" s="923">
        <f t="shared" ref="W71" si="7">SUM(X71:Y71)</f>
        <v>542</v>
      </c>
      <c r="X71" s="923">
        <v>542</v>
      </c>
      <c r="Y71" s="948" t="s">
        <v>3763</v>
      </c>
      <c r="Z71" s="924" t="s">
        <v>4163</v>
      </c>
    </row>
    <row r="72" spans="1:26" ht="41.25" thickBot="1">
      <c r="A72" s="958">
        <v>68</v>
      </c>
      <c r="B72" s="959" t="s">
        <v>3799</v>
      </c>
      <c r="C72" s="959" t="s">
        <v>4150</v>
      </c>
      <c r="D72" s="960" t="s">
        <v>4164</v>
      </c>
      <c r="E72" s="960" t="s">
        <v>4165</v>
      </c>
      <c r="F72" s="973" t="s">
        <v>4166</v>
      </c>
      <c r="G72" s="960" t="s">
        <v>4167</v>
      </c>
      <c r="H72" s="960" t="s">
        <v>3797</v>
      </c>
      <c r="I72" s="960">
        <v>290</v>
      </c>
      <c r="J72" s="960"/>
      <c r="K72" s="960"/>
      <c r="L72" s="960">
        <v>290</v>
      </c>
      <c r="M72" s="960"/>
      <c r="N72" s="996" t="s">
        <v>3763</v>
      </c>
      <c r="O72" s="996" t="s">
        <v>3763</v>
      </c>
      <c r="P72" s="960" t="s">
        <v>3780</v>
      </c>
      <c r="Q72" s="997" t="s">
        <v>3817</v>
      </c>
      <c r="R72" s="960" t="s">
        <v>4168</v>
      </c>
      <c r="S72" s="960" t="s">
        <v>3751</v>
      </c>
      <c r="T72" s="960" t="s">
        <v>3836</v>
      </c>
      <c r="U72" s="996" t="s">
        <v>3763</v>
      </c>
      <c r="V72" s="960" t="s">
        <v>3837</v>
      </c>
      <c r="W72" s="996" t="s">
        <v>3763</v>
      </c>
      <c r="X72" s="996" t="s">
        <v>3763</v>
      </c>
      <c r="Y72" s="996" t="s">
        <v>3763</v>
      </c>
      <c r="Z72" s="963" t="s">
        <v>4159</v>
      </c>
    </row>
    <row r="73" spans="1:26" ht="27">
      <c r="A73" s="612">
        <v>69</v>
      </c>
      <c r="B73" s="608" t="s">
        <v>2601</v>
      </c>
      <c r="C73" s="608" t="s">
        <v>3663</v>
      </c>
      <c r="D73" s="614" t="s">
        <v>3664</v>
      </c>
      <c r="E73" s="614" t="s">
        <v>4169</v>
      </c>
      <c r="F73" s="611" t="s">
        <v>3665</v>
      </c>
      <c r="G73" s="1505" t="s">
        <v>6313</v>
      </c>
      <c r="H73" s="614" t="s">
        <v>3859</v>
      </c>
      <c r="I73" s="614">
        <v>19</v>
      </c>
      <c r="J73" s="614"/>
      <c r="K73" s="614"/>
      <c r="L73" s="614">
        <v>19</v>
      </c>
      <c r="M73" s="614"/>
      <c r="N73" s="614"/>
      <c r="O73" s="614"/>
      <c r="P73" s="614" t="s">
        <v>92</v>
      </c>
      <c r="Q73" s="614"/>
      <c r="R73" s="614" t="s">
        <v>3666</v>
      </c>
      <c r="S73" s="614" t="s">
        <v>82</v>
      </c>
      <c r="T73" s="614" t="s">
        <v>929</v>
      </c>
      <c r="U73" s="614" t="s">
        <v>84</v>
      </c>
      <c r="V73" s="614" t="s">
        <v>1047</v>
      </c>
      <c r="W73" s="614">
        <v>470</v>
      </c>
      <c r="X73" s="614">
        <v>470</v>
      </c>
      <c r="Y73" s="614"/>
      <c r="Z73" s="610" t="s">
        <v>1017</v>
      </c>
    </row>
    <row r="74" spans="1:26" ht="27">
      <c r="A74" s="926">
        <v>70</v>
      </c>
      <c r="B74" s="925" t="s">
        <v>2601</v>
      </c>
      <c r="C74" s="925" t="s">
        <v>3663</v>
      </c>
      <c r="D74" s="923" t="s">
        <v>3667</v>
      </c>
      <c r="E74" s="923" t="s">
        <v>3789</v>
      </c>
      <c r="F74" s="333" t="s">
        <v>3668</v>
      </c>
      <c r="G74" s="1437" t="s">
        <v>6313</v>
      </c>
      <c r="H74" s="923" t="s">
        <v>4170</v>
      </c>
      <c r="I74" s="923">
        <v>9.5</v>
      </c>
      <c r="J74" s="923"/>
      <c r="K74" s="923"/>
      <c r="L74" s="923">
        <v>9.5</v>
      </c>
      <c r="M74" s="923"/>
      <c r="N74" s="923"/>
      <c r="O74" s="923"/>
      <c r="P74" s="923" t="s">
        <v>92</v>
      </c>
      <c r="Q74" s="923"/>
      <c r="R74" s="923" t="s">
        <v>3670</v>
      </c>
      <c r="S74" s="923" t="s">
        <v>82</v>
      </c>
      <c r="T74" s="923" t="s">
        <v>929</v>
      </c>
      <c r="U74" s="923" t="s">
        <v>84</v>
      </c>
      <c r="V74" s="923" t="s">
        <v>1047</v>
      </c>
      <c r="W74" s="923">
        <v>220</v>
      </c>
      <c r="X74" s="923">
        <v>220</v>
      </c>
      <c r="Y74" s="923"/>
      <c r="Z74" s="924" t="s">
        <v>1017</v>
      </c>
    </row>
    <row r="75" spans="1:26" ht="81">
      <c r="A75" s="926">
        <v>71</v>
      </c>
      <c r="B75" s="925" t="s">
        <v>2601</v>
      </c>
      <c r="C75" s="925" t="s">
        <v>3663</v>
      </c>
      <c r="D75" s="923" t="s">
        <v>3671</v>
      </c>
      <c r="E75" s="923" t="s">
        <v>3789</v>
      </c>
      <c r="F75" s="333" t="s">
        <v>3672</v>
      </c>
      <c r="G75" s="923" t="s">
        <v>4171</v>
      </c>
      <c r="H75" s="923" t="s">
        <v>4172</v>
      </c>
      <c r="I75" s="923">
        <v>50</v>
      </c>
      <c r="J75" s="923"/>
      <c r="K75" s="923" t="s">
        <v>1702</v>
      </c>
      <c r="L75" s="923">
        <v>20</v>
      </c>
      <c r="M75" s="923">
        <v>30</v>
      </c>
      <c r="N75" s="923"/>
      <c r="O75" s="923"/>
      <c r="P75" s="923" t="s">
        <v>92</v>
      </c>
      <c r="Q75" s="923"/>
      <c r="R75" s="923" t="s">
        <v>3673</v>
      </c>
      <c r="S75" s="923" t="s">
        <v>82</v>
      </c>
      <c r="T75" s="923" t="s">
        <v>929</v>
      </c>
      <c r="U75" s="923" t="s">
        <v>84</v>
      </c>
      <c r="V75" s="923" t="s">
        <v>85</v>
      </c>
      <c r="W75" s="923">
        <v>150</v>
      </c>
      <c r="X75" s="923">
        <v>150</v>
      </c>
      <c r="Y75" s="923"/>
      <c r="Z75" s="924" t="s">
        <v>1017</v>
      </c>
    </row>
    <row r="76" spans="1:26" ht="40.5">
      <c r="A76" s="926">
        <v>72</v>
      </c>
      <c r="B76" s="925" t="s">
        <v>2601</v>
      </c>
      <c r="C76" s="925" t="s">
        <v>3663</v>
      </c>
      <c r="D76" s="923" t="s">
        <v>3674</v>
      </c>
      <c r="E76" s="923" t="s">
        <v>4173</v>
      </c>
      <c r="F76" s="333" t="s">
        <v>3675</v>
      </c>
      <c r="G76" s="923" t="s">
        <v>4174</v>
      </c>
      <c r="H76" s="923" t="s">
        <v>4175</v>
      </c>
      <c r="I76" s="923">
        <f>SUM(J76:M76)</f>
        <v>1206</v>
      </c>
      <c r="J76" s="923">
        <v>70</v>
      </c>
      <c r="K76" s="923">
        <v>35</v>
      </c>
      <c r="L76" s="923">
        <v>1051</v>
      </c>
      <c r="M76" s="923">
        <v>50</v>
      </c>
      <c r="N76" s="923" t="s">
        <v>927</v>
      </c>
      <c r="O76" s="923" t="s">
        <v>1248</v>
      </c>
      <c r="P76" s="923" t="s">
        <v>92</v>
      </c>
      <c r="Q76" s="923" t="s">
        <v>4176</v>
      </c>
      <c r="R76" s="923" t="s">
        <v>3676</v>
      </c>
      <c r="S76" s="923" t="s">
        <v>82</v>
      </c>
      <c r="T76" s="923" t="s">
        <v>929</v>
      </c>
      <c r="U76" s="923" t="s">
        <v>84</v>
      </c>
      <c r="V76" s="923" t="s">
        <v>1047</v>
      </c>
      <c r="W76" s="923">
        <v>300</v>
      </c>
      <c r="X76" s="923">
        <v>300</v>
      </c>
      <c r="Y76" s="923"/>
      <c r="Z76" s="924" t="s">
        <v>938</v>
      </c>
    </row>
    <row r="77" spans="1:26" ht="27">
      <c r="A77" s="926">
        <v>73</v>
      </c>
      <c r="B77" s="925" t="s">
        <v>2601</v>
      </c>
      <c r="C77" s="925" t="s">
        <v>3663</v>
      </c>
      <c r="D77" s="923" t="s">
        <v>3677</v>
      </c>
      <c r="E77" s="923" t="s">
        <v>4177</v>
      </c>
      <c r="F77" s="333" t="s">
        <v>3678</v>
      </c>
      <c r="G77" s="1437" t="s">
        <v>6314</v>
      </c>
      <c r="H77" s="923" t="s">
        <v>3730</v>
      </c>
      <c r="I77" s="923">
        <v>50</v>
      </c>
      <c r="J77" s="923"/>
      <c r="K77" s="923"/>
      <c r="L77" s="923">
        <v>50</v>
      </c>
      <c r="M77" s="923"/>
      <c r="N77" s="923"/>
      <c r="O77" s="923"/>
      <c r="P77" s="923" t="s">
        <v>67</v>
      </c>
      <c r="Q77" s="923"/>
      <c r="R77" s="923" t="s">
        <v>3679</v>
      </c>
      <c r="S77" s="923" t="s">
        <v>82</v>
      </c>
      <c r="T77" s="923" t="s">
        <v>929</v>
      </c>
      <c r="U77" s="923" t="s">
        <v>84</v>
      </c>
      <c r="V77" s="923" t="s">
        <v>1047</v>
      </c>
      <c r="W77" s="923">
        <v>16</v>
      </c>
      <c r="X77" s="923">
        <v>16</v>
      </c>
      <c r="Y77" s="923"/>
      <c r="Z77" s="924" t="s">
        <v>1017</v>
      </c>
    </row>
    <row r="78" spans="1:26" ht="27">
      <c r="A78" s="926">
        <v>74</v>
      </c>
      <c r="B78" s="925" t="s">
        <v>2601</v>
      </c>
      <c r="C78" s="925" t="s">
        <v>3663</v>
      </c>
      <c r="D78" s="923" t="s">
        <v>3680</v>
      </c>
      <c r="E78" s="923" t="s">
        <v>3919</v>
      </c>
      <c r="F78" s="333" t="s">
        <v>3681</v>
      </c>
      <c r="G78" s="1437" t="s">
        <v>6315</v>
      </c>
      <c r="H78" s="923" t="s">
        <v>4178</v>
      </c>
      <c r="I78" s="923">
        <v>9.5</v>
      </c>
      <c r="J78" s="923"/>
      <c r="K78" s="923"/>
      <c r="L78" s="923">
        <v>9.5</v>
      </c>
      <c r="M78" s="923"/>
      <c r="N78" s="923"/>
      <c r="O78" s="923"/>
      <c r="P78" s="923" t="s">
        <v>92</v>
      </c>
      <c r="Q78" s="923"/>
      <c r="R78" s="923" t="s">
        <v>3682</v>
      </c>
      <c r="S78" s="923" t="s">
        <v>82</v>
      </c>
      <c r="T78" s="923" t="s">
        <v>929</v>
      </c>
      <c r="U78" s="923" t="s">
        <v>84</v>
      </c>
      <c r="V78" s="923" t="s">
        <v>1047</v>
      </c>
      <c r="W78" s="923">
        <v>17</v>
      </c>
      <c r="X78" s="923">
        <v>17</v>
      </c>
      <c r="Y78" s="923"/>
      <c r="Z78" s="924" t="s">
        <v>1017</v>
      </c>
    </row>
    <row r="79" spans="1:26" ht="40.5">
      <c r="A79" s="926">
        <v>75</v>
      </c>
      <c r="B79" s="925" t="s">
        <v>2601</v>
      </c>
      <c r="C79" s="925" t="s">
        <v>3663</v>
      </c>
      <c r="D79" s="923" t="s">
        <v>3683</v>
      </c>
      <c r="E79" s="923" t="s">
        <v>3924</v>
      </c>
      <c r="F79" s="333" t="s">
        <v>3684</v>
      </c>
      <c r="G79" s="923" t="s">
        <v>4179</v>
      </c>
      <c r="H79" s="923" t="s">
        <v>4180</v>
      </c>
      <c r="I79" s="923">
        <v>300</v>
      </c>
      <c r="J79" s="923"/>
      <c r="K79" s="923"/>
      <c r="L79" s="923">
        <v>100</v>
      </c>
      <c r="M79" s="923">
        <v>200</v>
      </c>
      <c r="N79" s="923"/>
      <c r="O79" s="923"/>
      <c r="P79" s="923" t="s">
        <v>167</v>
      </c>
      <c r="Q79" s="923"/>
      <c r="R79" s="923" t="s">
        <v>3685</v>
      </c>
      <c r="S79" s="923" t="s">
        <v>82</v>
      </c>
      <c r="T79" s="923" t="s">
        <v>995</v>
      </c>
      <c r="U79" s="923" t="s">
        <v>84</v>
      </c>
      <c r="V79" s="923" t="s">
        <v>85</v>
      </c>
      <c r="W79" s="923">
        <v>29</v>
      </c>
      <c r="X79" s="923">
        <v>29</v>
      </c>
      <c r="Y79" s="923"/>
      <c r="Z79" s="924" t="s">
        <v>3686</v>
      </c>
    </row>
    <row r="80" spans="1:26" ht="41.25" thickBot="1">
      <c r="A80" s="839">
        <v>76</v>
      </c>
      <c r="B80" s="875" t="s">
        <v>2601</v>
      </c>
      <c r="C80" s="998" t="s">
        <v>3663</v>
      </c>
      <c r="D80" s="875" t="s">
        <v>3687</v>
      </c>
      <c r="E80" s="887" t="s">
        <v>4181</v>
      </c>
      <c r="F80" s="609" t="s">
        <v>4182</v>
      </c>
      <c r="G80" s="887" t="s">
        <v>4183</v>
      </c>
      <c r="H80" s="887" t="s">
        <v>4184</v>
      </c>
      <c r="I80" s="887">
        <v>80</v>
      </c>
      <c r="J80" s="875"/>
      <c r="K80" s="875"/>
      <c r="L80" s="875">
        <v>80</v>
      </c>
      <c r="M80" s="875"/>
      <c r="N80" s="875"/>
      <c r="O80" s="875"/>
      <c r="P80" s="887" t="s">
        <v>167</v>
      </c>
      <c r="Q80" s="887"/>
      <c r="R80" s="887" t="s">
        <v>3641</v>
      </c>
      <c r="S80" s="887" t="s">
        <v>82</v>
      </c>
      <c r="T80" s="887" t="s">
        <v>3130</v>
      </c>
      <c r="U80" s="887" t="s">
        <v>84</v>
      </c>
      <c r="V80" s="887" t="s">
        <v>85</v>
      </c>
      <c r="W80" s="887">
        <v>39</v>
      </c>
      <c r="X80" s="887">
        <v>39</v>
      </c>
      <c r="Y80" s="887"/>
      <c r="Z80" s="885" t="s">
        <v>3688</v>
      </c>
    </row>
    <row r="81" spans="1:26" ht="54">
      <c r="A81" s="294">
        <v>77</v>
      </c>
      <c r="B81" s="514" t="s">
        <v>2601</v>
      </c>
      <c r="C81" s="514" t="s">
        <v>4185</v>
      </c>
      <c r="D81" s="524" t="s">
        <v>3689</v>
      </c>
      <c r="E81" s="524" t="s">
        <v>4186</v>
      </c>
      <c r="F81" s="999" t="s">
        <v>4187</v>
      </c>
      <c r="G81" s="524" t="s">
        <v>4188</v>
      </c>
      <c r="H81" s="524" t="s">
        <v>4189</v>
      </c>
      <c r="I81" s="524">
        <v>155</v>
      </c>
      <c r="J81" s="524"/>
      <c r="K81" s="524"/>
      <c r="L81" s="524">
        <v>155</v>
      </c>
      <c r="M81" s="524"/>
      <c r="N81" s="524"/>
      <c r="O81" s="524"/>
      <c r="P81" s="524" t="s">
        <v>105</v>
      </c>
      <c r="Q81" s="524" t="s">
        <v>105</v>
      </c>
      <c r="R81" s="524" t="s">
        <v>4190</v>
      </c>
      <c r="S81" s="524" t="s">
        <v>3751</v>
      </c>
      <c r="T81" s="524" t="s">
        <v>3752</v>
      </c>
      <c r="U81" s="524" t="s">
        <v>4191</v>
      </c>
      <c r="V81" s="524" t="s">
        <v>3837</v>
      </c>
      <c r="W81" s="524">
        <f>SUM(X81:Y81)</f>
        <v>30</v>
      </c>
      <c r="X81" s="524">
        <v>30</v>
      </c>
      <c r="Y81" s="524"/>
      <c r="Z81" s="525" t="s">
        <v>3783</v>
      </c>
    </row>
    <row r="82" spans="1:26" ht="41.25" thickBot="1">
      <c r="A82" s="958">
        <v>78</v>
      </c>
      <c r="B82" s="959" t="s">
        <v>2601</v>
      </c>
      <c r="C82" s="959" t="s">
        <v>4185</v>
      </c>
      <c r="D82" s="960" t="s">
        <v>3690</v>
      </c>
      <c r="E82" s="960" t="s">
        <v>4192</v>
      </c>
      <c r="F82" s="1000" t="s">
        <v>4193</v>
      </c>
      <c r="G82" s="960" t="s">
        <v>4194</v>
      </c>
      <c r="H82" s="960" t="s">
        <v>4195</v>
      </c>
      <c r="I82" s="960">
        <v>590</v>
      </c>
      <c r="J82" s="960"/>
      <c r="K82" s="960"/>
      <c r="L82" s="960">
        <v>590</v>
      </c>
      <c r="M82" s="960"/>
      <c r="N82" s="960"/>
      <c r="O82" s="960"/>
      <c r="P82" s="960" t="s">
        <v>105</v>
      </c>
      <c r="Q82" s="960" t="s">
        <v>105</v>
      </c>
      <c r="R82" s="960" t="s">
        <v>4196</v>
      </c>
      <c r="S82" s="960" t="s">
        <v>3751</v>
      </c>
      <c r="T82" s="960" t="s">
        <v>3752</v>
      </c>
      <c r="U82" s="960" t="s">
        <v>4191</v>
      </c>
      <c r="V82" s="960" t="s">
        <v>3828</v>
      </c>
      <c r="W82" s="960">
        <v>185</v>
      </c>
      <c r="X82" s="960">
        <v>185</v>
      </c>
      <c r="Y82" s="960"/>
      <c r="Z82" s="963" t="s">
        <v>3783</v>
      </c>
    </row>
    <row r="83" spans="1:26" ht="40.5">
      <c r="A83" s="612">
        <v>79</v>
      </c>
      <c r="B83" s="608" t="s">
        <v>3799</v>
      </c>
      <c r="C83" s="608" t="s">
        <v>4197</v>
      </c>
      <c r="D83" s="614" t="s">
        <v>4198</v>
      </c>
      <c r="E83" s="614" t="s">
        <v>4199</v>
      </c>
      <c r="F83" s="611" t="s">
        <v>4200</v>
      </c>
      <c r="G83" s="614" t="s">
        <v>4201</v>
      </c>
      <c r="H83" s="614" t="s">
        <v>4202</v>
      </c>
      <c r="I83" s="614">
        <v>500</v>
      </c>
      <c r="J83" s="614"/>
      <c r="K83" s="614"/>
      <c r="L83" s="614">
        <v>500</v>
      </c>
      <c r="M83" s="614"/>
      <c r="N83" s="614"/>
      <c r="O83" s="614"/>
      <c r="P83" s="614" t="s">
        <v>105</v>
      </c>
      <c r="Q83" s="614" t="s">
        <v>4203</v>
      </c>
      <c r="R83" s="614" t="s">
        <v>4204</v>
      </c>
      <c r="S83" s="614" t="s">
        <v>3751</v>
      </c>
      <c r="T83" s="614" t="s">
        <v>3752</v>
      </c>
      <c r="U83" s="614" t="s">
        <v>3753</v>
      </c>
      <c r="V83" s="614" t="s">
        <v>3754</v>
      </c>
      <c r="W83" s="614">
        <v>67</v>
      </c>
      <c r="X83" s="614">
        <v>66</v>
      </c>
      <c r="Y83" s="614">
        <v>1</v>
      </c>
      <c r="Z83" s="610" t="s">
        <v>4159</v>
      </c>
    </row>
    <row r="84" spans="1:26" ht="40.5">
      <c r="A84" s="926">
        <v>80</v>
      </c>
      <c r="B84" s="925" t="s">
        <v>3799</v>
      </c>
      <c r="C84" s="925" t="s">
        <v>4197</v>
      </c>
      <c r="D84" s="923" t="s">
        <v>4205</v>
      </c>
      <c r="E84" s="923" t="s">
        <v>4206</v>
      </c>
      <c r="F84" s="333" t="s">
        <v>4207</v>
      </c>
      <c r="G84" s="923" t="s">
        <v>4208</v>
      </c>
      <c r="H84" s="923" t="s">
        <v>4209</v>
      </c>
      <c r="I84" s="923">
        <v>45</v>
      </c>
      <c r="J84" s="923"/>
      <c r="K84" s="923"/>
      <c r="L84" s="923">
        <v>45</v>
      </c>
      <c r="M84" s="923"/>
      <c r="N84" s="923"/>
      <c r="O84" s="923"/>
      <c r="P84" s="923" t="s">
        <v>3749</v>
      </c>
      <c r="Q84" s="923"/>
      <c r="R84" s="923" t="s">
        <v>4210</v>
      </c>
      <c r="S84" s="923" t="s">
        <v>3751</v>
      </c>
      <c r="T84" s="923" t="s">
        <v>3752</v>
      </c>
      <c r="U84" s="923" t="s">
        <v>3753</v>
      </c>
      <c r="V84" s="923" t="s">
        <v>3754</v>
      </c>
      <c r="W84" s="923">
        <v>30</v>
      </c>
      <c r="X84" s="923">
        <v>30</v>
      </c>
      <c r="Y84" s="923">
        <v>0</v>
      </c>
      <c r="Z84" s="924" t="s">
        <v>4136</v>
      </c>
    </row>
    <row r="85" spans="1:26" ht="27">
      <c r="A85" s="926">
        <v>81</v>
      </c>
      <c r="B85" s="925" t="s">
        <v>3799</v>
      </c>
      <c r="C85" s="925" t="s">
        <v>4197</v>
      </c>
      <c r="D85" s="923" t="s">
        <v>4211</v>
      </c>
      <c r="E85" s="923" t="s">
        <v>4212</v>
      </c>
      <c r="F85" s="333" t="s">
        <v>4213</v>
      </c>
      <c r="G85" s="923" t="s">
        <v>4214</v>
      </c>
      <c r="H85" s="923" t="s">
        <v>4209</v>
      </c>
      <c r="I85" s="923">
        <v>35</v>
      </c>
      <c r="J85" s="923"/>
      <c r="K85" s="923"/>
      <c r="L85" s="923">
        <v>35</v>
      </c>
      <c r="M85" s="923"/>
      <c r="N85" s="923"/>
      <c r="O85" s="923"/>
      <c r="P85" s="923" t="s">
        <v>3749</v>
      </c>
      <c r="Q85" s="923"/>
      <c r="R85" s="923" t="s">
        <v>4215</v>
      </c>
      <c r="S85" s="923" t="s">
        <v>3751</v>
      </c>
      <c r="T85" s="923" t="s">
        <v>3752</v>
      </c>
      <c r="U85" s="923" t="s">
        <v>3753</v>
      </c>
      <c r="V85" s="923" t="s">
        <v>3754</v>
      </c>
      <c r="W85" s="923">
        <v>500</v>
      </c>
      <c r="X85" s="923">
        <v>595</v>
      </c>
      <c r="Y85" s="923">
        <v>5</v>
      </c>
      <c r="Z85" s="924" t="s">
        <v>3904</v>
      </c>
    </row>
    <row r="86" spans="1:26" ht="41.25" thickBot="1">
      <c r="A86" s="839">
        <v>82</v>
      </c>
      <c r="B86" s="875" t="s">
        <v>3799</v>
      </c>
      <c r="C86" s="875" t="s">
        <v>4197</v>
      </c>
      <c r="D86" s="887" t="s">
        <v>4216</v>
      </c>
      <c r="E86" s="887" t="s">
        <v>4217</v>
      </c>
      <c r="F86" s="609" t="s">
        <v>4218</v>
      </c>
      <c r="G86" s="887" t="s">
        <v>4214</v>
      </c>
      <c r="H86" s="887" t="s">
        <v>4219</v>
      </c>
      <c r="I86" s="887">
        <v>25</v>
      </c>
      <c r="J86" s="887"/>
      <c r="K86" s="887" t="s">
        <v>4220</v>
      </c>
      <c r="L86" s="887">
        <v>25</v>
      </c>
      <c r="M86" s="887"/>
      <c r="N86" s="887"/>
      <c r="O86" s="887"/>
      <c r="P86" s="887" t="s">
        <v>3749</v>
      </c>
      <c r="Q86" s="887"/>
      <c r="R86" s="887" t="s">
        <v>4221</v>
      </c>
      <c r="S86" s="887" t="s">
        <v>3751</v>
      </c>
      <c r="T86" s="887" t="s">
        <v>3752</v>
      </c>
      <c r="U86" s="887" t="s">
        <v>3753</v>
      </c>
      <c r="V86" s="887" t="s">
        <v>3754</v>
      </c>
      <c r="W86" s="887">
        <v>300</v>
      </c>
      <c r="X86" s="887">
        <v>298</v>
      </c>
      <c r="Y86" s="887">
        <v>2</v>
      </c>
      <c r="Z86" s="885" t="s">
        <v>3904</v>
      </c>
    </row>
    <row r="87" spans="1:26" ht="54">
      <c r="A87" s="294">
        <v>83</v>
      </c>
      <c r="B87" s="514" t="s">
        <v>2601</v>
      </c>
      <c r="C87" s="514" t="s">
        <v>4222</v>
      </c>
      <c r="D87" s="524" t="s">
        <v>4223</v>
      </c>
      <c r="E87" s="524" t="s">
        <v>4224</v>
      </c>
      <c r="F87" s="957" t="s">
        <v>4225</v>
      </c>
      <c r="G87" s="524" t="s">
        <v>4226</v>
      </c>
      <c r="H87" s="524" t="s">
        <v>4227</v>
      </c>
      <c r="I87" s="524">
        <v>250</v>
      </c>
      <c r="J87" s="524"/>
      <c r="K87" s="524"/>
      <c r="L87" s="524">
        <v>250</v>
      </c>
      <c r="M87" s="524"/>
      <c r="N87" s="524"/>
      <c r="O87" s="524"/>
      <c r="P87" s="524" t="s">
        <v>105</v>
      </c>
      <c r="Q87" s="524" t="s">
        <v>105</v>
      </c>
      <c r="R87" s="524"/>
      <c r="S87" s="524" t="s">
        <v>3751</v>
      </c>
      <c r="T87" s="524" t="s">
        <v>3752</v>
      </c>
      <c r="U87" s="524" t="s">
        <v>3753</v>
      </c>
      <c r="V87" s="524" t="s">
        <v>3837</v>
      </c>
      <c r="W87" s="524">
        <f>SUM(X87:Y87)</f>
        <v>24</v>
      </c>
      <c r="X87" s="524">
        <v>24</v>
      </c>
      <c r="Y87" s="524"/>
      <c r="Z87" s="525" t="s">
        <v>4159</v>
      </c>
    </row>
    <row r="88" spans="1:26" ht="40.5">
      <c r="A88" s="926">
        <v>84</v>
      </c>
      <c r="B88" s="925" t="s">
        <v>2601</v>
      </c>
      <c r="C88" s="925" t="s">
        <v>4222</v>
      </c>
      <c r="D88" s="923" t="s">
        <v>3692</v>
      </c>
      <c r="E88" s="923" t="s">
        <v>4228</v>
      </c>
      <c r="F88" s="333" t="s">
        <v>4229</v>
      </c>
      <c r="G88" s="923" t="s">
        <v>3693</v>
      </c>
      <c r="H88" s="923" t="s">
        <v>4230</v>
      </c>
      <c r="I88" s="923">
        <v>150</v>
      </c>
      <c r="J88" s="923"/>
      <c r="K88" s="923"/>
      <c r="L88" s="923">
        <v>150</v>
      </c>
      <c r="M88" s="923"/>
      <c r="N88" s="923"/>
      <c r="O88" s="923"/>
      <c r="P88" s="923" t="s">
        <v>124</v>
      </c>
      <c r="Q88" s="923" t="s">
        <v>124</v>
      </c>
      <c r="R88" s="923"/>
      <c r="S88" s="923" t="s">
        <v>3751</v>
      </c>
      <c r="T88" s="923" t="s">
        <v>3782</v>
      </c>
      <c r="U88" s="923" t="s">
        <v>3753</v>
      </c>
      <c r="V88" s="923" t="s">
        <v>3837</v>
      </c>
      <c r="W88" s="923">
        <f t="shared" ref="W88:W90" si="8">SUM(X88:Y88)</f>
        <v>10</v>
      </c>
      <c r="X88" s="923">
        <v>10</v>
      </c>
      <c r="Y88" s="923"/>
      <c r="Z88" s="924" t="s">
        <v>3783</v>
      </c>
    </row>
    <row r="89" spans="1:26" ht="40.5">
      <c r="A89" s="926">
        <v>85</v>
      </c>
      <c r="B89" s="925" t="s">
        <v>2601</v>
      </c>
      <c r="C89" s="925" t="s">
        <v>4222</v>
      </c>
      <c r="D89" s="923" t="s">
        <v>4231</v>
      </c>
      <c r="E89" s="923" t="s">
        <v>4232</v>
      </c>
      <c r="F89" s="333" t="s">
        <v>4233</v>
      </c>
      <c r="G89" s="923" t="s">
        <v>3694</v>
      </c>
      <c r="H89" s="923" t="s">
        <v>4234</v>
      </c>
      <c r="I89" s="923">
        <v>140</v>
      </c>
      <c r="J89" s="923"/>
      <c r="K89" s="923"/>
      <c r="L89" s="923">
        <v>140</v>
      </c>
      <c r="M89" s="923"/>
      <c r="N89" s="923"/>
      <c r="O89" s="923"/>
      <c r="P89" s="923" t="s">
        <v>92</v>
      </c>
      <c r="Q89" s="923" t="s">
        <v>92</v>
      </c>
      <c r="R89" s="923"/>
      <c r="S89" s="923" t="s">
        <v>3751</v>
      </c>
      <c r="T89" s="923" t="s">
        <v>4235</v>
      </c>
      <c r="U89" s="923" t="s">
        <v>3753</v>
      </c>
      <c r="V89" s="923" t="s">
        <v>3837</v>
      </c>
      <c r="W89" s="923">
        <f t="shared" si="8"/>
        <v>105</v>
      </c>
      <c r="X89" s="923">
        <v>105</v>
      </c>
      <c r="Y89" s="923"/>
      <c r="Z89" s="924" t="s">
        <v>4236</v>
      </c>
    </row>
    <row r="90" spans="1:26" ht="41.25" thickBot="1">
      <c r="A90" s="958">
        <v>86</v>
      </c>
      <c r="B90" s="959" t="s">
        <v>2601</v>
      </c>
      <c r="C90" s="959" t="s">
        <v>4222</v>
      </c>
      <c r="D90" s="960" t="s">
        <v>4237</v>
      </c>
      <c r="E90" s="960" t="s">
        <v>4238</v>
      </c>
      <c r="F90" s="973" t="s">
        <v>4239</v>
      </c>
      <c r="G90" s="960" t="s">
        <v>4240</v>
      </c>
      <c r="H90" s="960" t="s">
        <v>4241</v>
      </c>
      <c r="I90" s="960">
        <v>200</v>
      </c>
      <c r="J90" s="960"/>
      <c r="K90" s="960" t="s">
        <v>4220</v>
      </c>
      <c r="L90" s="960">
        <v>200</v>
      </c>
      <c r="M90" s="960"/>
      <c r="N90" s="960"/>
      <c r="O90" s="960"/>
      <c r="P90" s="960" t="s">
        <v>92</v>
      </c>
      <c r="Q90" s="960" t="s">
        <v>92</v>
      </c>
      <c r="R90" s="960"/>
      <c r="S90" s="960" t="s">
        <v>4242</v>
      </c>
      <c r="T90" s="960" t="s">
        <v>3831</v>
      </c>
      <c r="U90" s="960" t="s">
        <v>3753</v>
      </c>
      <c r="V90" s="960" t="s">
        <v>3831</v>
      </c>
      <c r="W90" s="960">
        <f t="shared" si="8"/>
        <v>0</v>
      </c>
      <c r="X90" s="960"/>
      <c r="Y90" s="960"/>
      <c r="Z90" s="963" t="s">
        <v>3783</v>
      </c>
    </row>
    <row r="91" spans="1:26" ht="40.5">
      <c r="A91" s="612">
        <v>87</v>
      </c>
      <c r="B91" s="614" t="s">
        <v>3799</v>
      </c>
      <c r="C91" s="1001" t="s">
        <v>4243</v>
      </c>
      <c r="D91" s="614" t="s">
        <v>4244</v>
      </c>
      <c r="E91" s="614" t="s">
        <v>4245</v>
      </c>
      <c r="F91" s="611" t="s">
        <v>4246</v>
      </c>
      <c r="G91" s="614" t="s">
        <v>4247</v>
      </c>
      <c r="H91" s="614" t="s">
        <v>4248</v>
      </c>
      <c r="I91" s="614">
        <v>150</v>
      </c>
      <c r="J91" s="614"/>
      <c r="K91" s="614"/>
      <c r="L91" s="614">
        <v>150</v>
      </c>
      <c r="M91" s="614"/>
      <c r="N91" s="614"/>
      <c r="O91" s="614"/>
      <c r="P91" s="614" t="s">
        <v>3761</v>
      </c>
      <c r="Q91" s="614" t="s">
        <v>3761</v>
      </c>
      <c r="R91" s="614" t="s">
        <v>4249</v>
      </c>
      <c r="S91" s="614" t="s">
        <v>4242</v>
      </c>
      <c r="T91" s="614" t="s">
        <v>3836</v>
      </c>
      <c r="U91" s="614" t="s">
        <v>3753</v>
      </c>
      <c r="V91" s="614" t="s">
        <v>3837</v>
      </c>
      <c r="W91" s="614">
        <v>1</v>
      </c>
      <c r="X91" s="614">
        <v>1</v>
      </c>
      <c r="Y91" s="614"/>
      <c r="Z91" s="610" t="s">
        <v>4250</v>
      </c>
    </row>
    <row r="92" spans="1:26" ht="40.5">
      <c r="A92" s="926">
        <v>88</v>
      </c>
      <c r="B92" s="925" t="s">
        <v>3799</v>
      </c>
      <c r="C92" s="911" t="s">
        <v>4243</v>
      </c>
      <c r="D92" s="923" t="s">
        <v>4251</v>
      </c>
      <c r="E92" s="923" t="s">
        <v>3777</v>
      </c>
      <c r="F92" s="333" t="s">
        <v>4252</v>
      </c>
      <c r="G92" s="923" t="s">
        <v>4253</v>
      </c>
      <c r="H92" s="923" t="s">
        <v>4254</v>
      </c>
      <c r="I92" s="923">
        <v>80</v>
      </c>
      <c r="J92" s="923"/>
      <c r="K92" s="923"/>
      <c r="L92" s="923">
        <v>40</v>
      </c>
      <c r="M92" s="923">
        <v>40</v>
      </c>
      <c r="N92" s="923"/>
      <c r="O92" s="923"/>
      <c r="P92" s="923" t="s">
        <v>92</v>
      </c>
      <c r="Q92" s="923" t="s">
        <v>92</v>
      </c>
      <c r="R92" s="923" t="s">
        <v>4255</v>
      </c>
      <c r="S92" s="923" t="s">
        <v>3751</v>
      </c>
      <c r="T92" s="923" t="s">
        <v>3866</v>
      </c>
      <c r="U92" s="923" t="s">
        <v>3753</v>
      </c>
      <c r="V92" s="923" t="s">
        <v>3837</v>
      </c>
      <c r="W92" s="923">
        <v>114</v>
      </c>
      <c r="X92" s="923">
        <v>114</v>
      </c>
      <c r="Y92" s="923"/>
      <c r="Z92" s="924" t="s">
        <v>3904</v>
      </c>
    </row>
    <row r="93" spans="1:26" ht="40.5">
      <c r="A93" s="926">
        <v>89</v>
      </c>
      <c r="B93" s="925" t="s">
        <v>3799</v>
      </c>
      <c r="C93" s="911" t="s">
        <v>4243</v>
      </c>
      <c r="D93" s="923" t="s">
        <v>4256</v>
      </c>
      <c r="E93" s="923" t="s">
        <v>3919</v>
      </c>
      <c r="F93" s="333" t="s">
        <v>4257</v>
      </c>
      <c r="G93" s="923" t="s">
        <v>4258</v>
      </c>
      <c r="H93" s="923" t="s">
        <v>3859</v>
      </c>
      <c r="I93" s="923">
        <v>80</v>
      </c>
      <c r="J93" s="923"/>
      <c r="K93" s="923"/>
      <c r="L93" s="923">
        <v>40</v>
      </c>
      <c r="M93" s="923">
        <v>40</v>
      </c>
      <c r="N93" s="923"/>
      <c r="O93" s="923"/>
      <c r="P93" s="923" t="s">
        <v>92</v>
      </c>
      <c r="Q93" s="923" t="s">
        <v>92</v>
      </c>
      <c r="R93" s="923" t="s">
        <v>4215</v>
      </c>
      <c r="S93" s="923" t="s">
        <v>3751</v>
      </c>
      <c r="T93" s="923" t="s">
        <v>3866</v>
      </c>
      <c r="U93" s="923" t="s">
        <v>3753</v>
      </c>
      <c r="V93" s="923" t="s">
        <v>3837</v>
      </c>
      <c r="W93" s="923">
        <v>311</v>
      </c>
      <c r="X93" s="923">
        <v>311</v>
      </c>
      <c r="Y93" s="923"/>
      <c r="Z93" s="924" t="s">
        <v>3904</v>
      </c>
    </row>
    <row r="94" spans="1:26" ht="27">
      <c r="A94" s="926">
        <v>90</v>
      </c>
      <c r="B94" s="925" t="s">
        <v>3799</v>
      </c>
      <c r="C94" s="911" t="s">
        <v>4243</v>
      </c>
      <c r="D94" s="923" t="s">
        <v>4259</v>
      </c>
      <c r="E94" s="923" t="s">
        <v>4260</v>
      </c>
      <c r="F94" s="333" t="s">
        <v>4261</v>
      </c>
      <c r="G94" s="1437" t="s">
        <v>6316</v>
      </c>
      <c r="H94" s="923" t="s">
        <v>4262</v>
      </c>
      <c r="I94" s="923">
        <v>5</v>
      </c>
      <c r="J94" s="923"/>
      <c r="K94" s="923" t="s">
        <v>4220</v>
      </c>
      <c r="L94" s="923">
        <v>5</v>
      </c>
      <c r="M94" s="923"/>
      <c r="N94" s="923"/>
      <c r="O94" s="923"/>
      <c r="P94" s="923" t="s">
        <v>3780</v>
      </c>
      <c r="Q94" s="923" t="s">
        <v>167</v>
      </c>
      <c r="R94" s="923" t="s">
        <v>3781</v>
      </c>
      <c r="S94" s="923" t="s">
        <v>3751</v>
      </c>
      <c r="T94" s="923" t="s">
        <v>3836</v>
      </c>
      <c r="U94" s="923" t="s">
        <v>3753</v>
      </c>
      <c r="V94" s="923" t="s">
        <v>3837</v>
      </c>
      <c r="W94" s="923">
        <v>1</v>
      </c>
      <c r="X94" s="923">
        <v>1</v>
      </c>
      <c r="Y94" s="923"/>
      <c r="Z94" s="924" t="s">
        <v>4263</v>
      </c>
    </row>
    <row r="95" spans="1:26" ht="67.5">
      <c r="A95" s="926">
        <v>91</v>
      </c>
      <c r="B95" s="925" t="s">
        <v>3799</v>
      </c>
      <c r="C95" s="911" t="s">
        <v>4243</v>
      </c>
      <c r="D95" s="923" t="s">
        <v>4264</v>
      </c>
      <c r="E95" s="923" t="s">
        <v>4265</v>
      </c>
      <c r="F95" s="333" t="s">
        <v>4266</v>
      </c>
      <c r="G95" s="923" t="s">
        <v>4267</v>
      </c>
      <c r="H95" s="923" t="s">
        <v>4268</v>
      </c>
      <c r="I95" s="923" t="s">
        <v>3753</v>
      </c>
      <c r="J95" s="923"/>
      <c r="K95" s="923"/>
      <c r="L95" s="923"/>
      <c r="M95" s="923"/>
      <c r="N95" s="923"/>
      <c r="O95" s="923"/>
      <c r="P95" s="923" t="s">
        <v>3710</v>
      </c>
      <c r="Q95" s="923"/>
      <c r="R95" s="923" t="s">
        <v>4269</v>
      </c>
      <c r="S95" s="923" t="s">
        <v>3751</v>
      </c>
      <c r="T95" s="923" t="s">
        <v>3866</v>
      </c>
      <c r="U95" s="923" t="s">
        <v>4270</v>
      </c>
      <c r="V95" s="923"/>
      <c r="W95" s="923">
        <v>400</v>
      </c>
      <c r="X95" s="923">
        <v>400</v>
      </c>
      <c r="Y95" s="923"/>
      <c r="Z95" s="924" t="s">
        <v>3889</v>
      </c>
    </row>
    <row r="96" spans="1:26" ht="68.25" thickBot="1">
      <c r="A96" s="839">
        <v>92</v>
      </c>
      <c r="B96" s="875" t="s">
        <v>3799</v>
      </c>
      <c r="C96" s="1002" t="s">
        <v>4243</v>
      </c>
      <c r="D96" s="887" t="s">
        <v>4271</v>
      </c>
      <c r="E96" s="887" t="s">
        <v>4272</v>
      </c>
      <c r="F96" s="609" t="s">
        <v>4273</v>
      </c>
      <c r="G96" s="887" t="s">
        <v>4267</v>
      </c>
      <c r="H96" s="887" t="s">
        <v>3748</v>
      </c>
      <c r="I96" s="887" t="s">
        <v>3753</v>
      </c>
      <c r="J96" s="887"/>
      <c r="K96" s="887"/>
      <c r="L96" s="887"/>
      <c r="M96" s="887"/>
      <c r="N96" s="887"/>
      <c r="O96" s="887"/>
      <c r="P96" s="887" t="s">
        <v>3710</v>
      </c>
      <c r="Q96" s="887"/>
      <c r="R96" s="887" t="s">
        <v>4274</v>
      </c>
      <c r="S96" s="887" t="s">
        <v>3710</v>
      </c>
      <c r="T96" s="887" t="s">
        <v>3866</v>
      </c>
      <c r="U96" s="887" t="s">
        <v>4275</v>
      </c>
      <c r="V96" s="887"/>
      <c r="W96" s="887">
        <v>70</v>
      </c>
      <c r="X96" s="887">
        <v>70</v>
      </c>
      <c r="Y96" s="887"/>
      <c r="Z96" s="885" t="s">
        <v>3889</v>
      </c>
    </row>
    <row r="97" spans="1:26" s="919" customFormat="1">
      <c r="A97" s="928"/>
      <c r="B97" s="928"/>
      <c r="C97" s="928"/>
    </row>
    <row r="98" spans="1:26" s="919" customFormat="1">
      <c r="A98" s="928"/>
      <c r="B98" s="928"/>
      <c r="C98" s="928"/>
    </row>
    <row r="99" spans="1:26" s="919" customFormat="1">
      <c r="A99" s="928"/>
      <c r="B99" s="928"/>
      <c r="C99" s="928"/>
    </row>
    <row r="100" spans="1:26" s="919" customFormat="1">
      <c r="A100" s="928"/>
      <c r="B100" s="928"/>
      <c r="C100" s="928"/>
    </row>
    <row r="101" spans="1:26" s="919" customFormat="1">
      <c r="A101" s="928"/>
      <c r="B101" s="928"/>
      <c r="C101" s="928"/>
    </row>
    <row r="102" spans="1:26" s="919" customFormat="1">
      <c r="A102" s="928"/>
      <c r="B102" s="928"/>
      <c r="C102" s="928"/>
    </row>
    <row r="103" spans="1:26" s="919" customFormat="1">
      <c r="A103" s="928"/>
      <c r="B103" s="928"/>
      <c r="C103" s="928"/>
    </row>
    <row r="104" spans="1:26" s="919" customFormat="1">
      <c r="A104" s="928"/>
      <c r="B104" s="928"/>
      <c r="C104" s="928"/>
    </row>
    <row r="105" spans="1:26" s="919" customFormat="1">
      <c r="A105" s="928"/>
      <c r="B105" s="928"/>
      <c r="C105" s="928"/>
    </row>
    <row r="106" spans="1:26" s="919" customFormat="1">
      <c r="A106" s="928"/>
      <c r="B106" s="928"/>
      <c r="C106" s="928"/>
    </row>
    <row r="107" spans="1:26" s="919" customFormat="1">
      <c r="A107" s="928"/>
      <c r="B107" s="928"/>
      <c r="C107" s="928"/>
    </row>
    <row r="108" spans="1:26">
      <c r="A108" s="928"/>
      <c r="B108" s="928"/>
      <c r="C108" s="928"/>
      <c r="D108" s="919"/>
      <c r="E108" s="919"/>
      <c r="F108" s="919"/>
      <c r="G108" s="919"/>
      <c r="H108" s="919"/>
      <c r="I108" s="919"/>
      <c r="J108" s="919"/>
      <c r="K108" s="919"/>
      <c r="L108" s="919"/>
      <c r="M108" s="919"/>
      <c r="N108" s="919"/>
      <c r="O108" s="919"/>
      <c r="P108" s="919"/>
      <c r="Q108" s="919"/>
      <c r="R108" s="919"/>
      <c r="S108" s="919"/>
      <c r="T108" s="919"/>
      <c r="U108" s="919"/>
      <c r="V108" s="919"/>
      <c r="W108" s="919"/>
      <c r="X108" s="919"/>
      <c r="Y108" s="919"/>
      <c r="Z108" s="919"/>
    </row>
    <row r="109" spans="1:26">
      <c r="A109" s="928"/>
      <c r="B109" s="928"/>
      <c r="C109" s="928"/>
      <c r="D109" s="919"/>
      <c r="E109" s="919"/>
      <c r="F109" s="919"/>
      <c r="G109" s="919"/>
      <c r="H109" s="919"/>
      <c r="I109" s="919"/>
      <c r="J109" s="919"/>
      <c r="K109" s="919"/>
      <c r="L109" s="919"/>
      <c r="M109" s="919"/>
      <c r="N109" s="919"/>
      <c r="O109" s="919"/>
      <c r="P109" s="919"/>
      <c r="Q109" s="919"/>
      <c r="R109" s="919"/>
      <c r="S109" s="919"/>
      <c r="T109" s="919"/>
      <c r="U109" s="919"/>
      <c r="V109" s="919"/>
      <c r="W109" s="919"/>
      <c r="X109" s="919"/>
      <c r="Y109" s="919"/>
      <c r="Z109" s="919"/>
    </row>
    <row r="110" spans="1:26">
      <c r="A110" s="928"/>
      <c r="B110" s="928"/>
      <c r="C110" s="928"/>
      <c r="D110" s="919"/>
      <c r="E110" s="919"/>
      <c r="F110" s="919"/>
      <c r="G110" s="919"/>
      <c r="H110" s="919"/>
      <c r="I110" s="919"/>
      <c r="J110" s="919"/>
      <c r="K110" s="919"/>
      <c r="L110" s="919"/>
      <c r="M110" s="919"/>
      <c r="N110" s="919"/>
      <c r="O110" s="919"/>
      <c r="P110" s="919"/>
      <c r="Q110" s="919"/>
      <c r="R110" s="919"/>
      <c r="S110" s="919"/>
      <c r="T110" s="919"/>
      <c r="U110" s="919"/>
      <c r="V110" s="919"/>
      <c r="W110" s="919"/>
      <c r="X110" s="919"/>
      <c r="Y110" s="919"/>
      <c r="Z110" s="919"/>
    </row>
    <row r="111" spans="1:26">
      <c r="A111" s="928"/>
      <c r="B111" s="928"/>
      <c r="C111" s="928"/>
      <c r="D111" s="919"/>
      <c r="E111" s="919"/>
      <c r="F111" s="919"/>
      <c r="G111" s="919"/>
      <c r="H111" s="919"/>
      <c r="I111" s="919"/>
      <c r="J111" s="919"/>
      <c r="K111" s="919"/>
      <c r="L111" s="919"/>
      <c r="M111" s="919"/>
      <c r="N111" s="919"/>
      <c r="O111" s="919"/>
      <c r="P111" s="919"/>
      <c r="Q111" s="919"/>
      <c r="R111" s="919"/>
      <c r="S111" s="919"/>
      <c r="T111" s="919"/>
      <c r="U111" s="919"/>
      <c r="V111" s="919"/>
      <c r="W111" s="919"/>
      <c r="X111" s="919"/>
      <c r="Y111" s="919"/>
      <c r="Z111" s="919"/>
    </row>
    <row r="112" spans="1:26">
      <c r="A112" s="928"/>
      <c r="B112" s="928"/>
      <c r="C112" s="928"/>
      <c r="D112" s="919"/>
      <c r="E112" s="919"/>
      <c r="F112" s="919"/>
      <c r="G112" s="919"/>
      <c r="H112" s="919"/>
      <c r="I112" s="919"/>
      <c r="J112" s="919"/>
      <c r="K112" s="919"/>
      <c r="L112" s="919"/>
      <c r="M112" s="919"/>
      <c r="N112" s="919"/>
      <c r="O112" s="919"/>
      <c r="P112" s="919"/>
      <c r="Q112" s="919"/>
      <c r="R112" s="919"/>
      <c r="S112" s="919"/>
      <c r="T112" s="919"/>
      <c r="U112" s="919"/>
      <c r="V112" s="919"/>
      <c r="W112" s="919"/>
      <c r="X112" s="919"/>
      <c r="Y112" s="919"/>
      <c r="Z112" s="919"/>
    </row>
    <row r="113" spans="1:26">
      <c r="A113" s="928"/>
      <c r="B113" s="928"/>
      <c r="C113" s="928"/>
      <c r="D113" s="919"/>
      <c r="E113" s="919"/>
      <c r="F113" s="919"/>
      <c r="G113" s="919"/>
      <c r="H113" s="919"/>
      <c r="I113" s="919"/>
      <c r="J113" s="919"/>
      <c r="K113" s="919"/>
      <c r="L113" s="919"/>
      <c r="M113" s="919"/>
      <c r="N113" s="919"/>
      <c r="O113" s="919"/>
      <c r="P113" s="919"/>
      <c r="Q113" s="919"/>
      <c r="R113" s="919"/>
      <c r="S113" s="919"/>
      <c r="T113" s="919"/>
      <c r="U113" s="919"/>
      <c r="V113" s="919"/>
      <c r="W113" s="919"/>
      <c r="X113" s="919"/>
      <c r="Y113" s="919"/>
      <c r="Z113" s="919"/>
    </row>
  </sheetData>
  <mergeCells count="4">
    <mergeCell ref="W3:Y3"/>
    <mergeCell ref="N3:O3"/>
    <mergeCell ref="A1:Y2"/>
    <mergeCell ref="I3:M3"/>
  </mergeCells>
  <phoneticPr fontId="3" type="noConversion"/>
  <dataValidations count="7">
    <dataValidation type="list" allowBlank="1" showInputMessage="1" showErrorMessage="1" sqref="B60:B61 B58 P60:P61 P58 P52:Q54 P48 P51 B42 P31 P33:P34 P55:P56 P64 P66:P72 P83:P86 Q84:Q86 P91:Q96 B11:B34 B51:B56 B64 B70:B72 B91:B96 B83:B86 P28:Q28 P21:P27 B40">
      <formula1>#REF!</formula1>
    </dataValidation>
    <dataValidation type="list" allowBlank="1" showInputMessage="1" showErrorMessage="1" sqref="P87:Q90">
      <formula1>$P$19:$P$24</formula1>
    </dataValidation>
    <dataValidation type="list" allowBlank="1" showInputMessage="1" showErrorMessage="1" sqref="B87:B90">
      <formula1>$B$19:$B$35</formula1>
    </dataValidation>
    <dataValidation type="list" allowBlank="1" showInputMessage="1" showErrorMessage="1" sqref="P73:P80 R73:R80">
      <formula1>$P$19:$P$23</formula1>
    </dataValidation>
    <dataValidation type="list" allowBlank="1" showInputMessage="1" showErrorMessage="1" sqref="B73:B80">
      <formula1>$B$19:$B$34</formula1>
    </dataValidation>
    <dataValidation type="list" allowBlank="1" showInputMessage="1" showErrorMessage="1" sqref="P47 P45">
      <formula1>$P$11:$P$21</formula1>
    </dataValidation>
    <dataValidation type="list" allowBlank="1" showInputMessage="1" showErrorMessage="1" sqref="Q11:Q20 O35:Q39 P32 P29:P30 P43:P44 P40 B66:B69 B81:B82 P81:Q82 P5:Q10 B5:B1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44"/>
  <sheetViews>
    <sheetView topLeftCell="A44" workbookViewId="0">
      <selection activeCell="G44" sqref="G1:G1048576"/>
    </sheetView>
  </sheetViews>
  <sheetFormatPr defaultRowHeight="13.5"/>
  <cols>
    <col min="4" max="4" width="18.109375" customWidth="1"/>
    <col min="5" max="5" width="14.21875" customWidth="1"/>
    <col min="6" max="6" width="43.77734375" customWidth="1"/>
    <col min="7" max="7" width="20.77734375"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1008"/>
      <c r="AA1" s="1008"/>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011"/>
      <c r="AA2" s="1011"/>
    </row>
    <row r="3" spans="1:27" ht="16.5">
      <c r="A3" s="1012"/>
      <c r="B3" s="1012"/>
      <c r="C3" s="1012"/>
      <c r="D3" s="1010"/>
      <c r="E3" s="1010"/>
      <c r="F3" s="1010"/>
      <c r="G3" s="1010"/>
      <c r="H3" s="1010"/>
      <c r="I3" s="1619"/>
      <c r="J3" s="1620"/>
      <c r="K3" s="1620"/>
      <c r="L3" s="1620"/>
      <c r="M3" s="1620"/>
      <c r="N3" s="1617" t="s">
        <v>1754</v>
      </c>
      <c r="O3" s="1618"/>
      <c r="P3" s="1032"/>
      <c r="Q3" s="1032"/>
      <c r="R3" s="1033"/>
      <c r="S3" s="1034"/>
      <c r="T3" s="1034"/>
      <c r="U3" s="1034"/>
      <c r="V3" s="1034"/>
      <c r="W3" s="1614" t="s">
        <v>896</v>
      </c>
      <c r="X3" s="1615"/>
      <c r="Y3" s="1616"/>
      <c r="Z3" s="1034"/>
      <c r="AA3" s="1019"/>
    </row>
    <row r="4" spans="1:27" ht="57">
      <c r="A4" s="1035" t="s">
        <v>897</v>
      </c>
      <c r="B4" s="1035" t="s">
        <v>898</v>
      </c>
      <c r="C4" s="1035" t="s">
        <v>899</v>
      </c>
      <c r="D4" s="1035" t="s">
        <v>900</v>
      </c>
      <c r="E4" s="1036" t="s">
        <v>901</v>
      </c>
      <c r="F4" s="1035" t="s">
        <v>902</v>
      </c>
      <c r="G4" s="1036" t="s">
        <v>903</v>
      </c>
      <c r="H4" s="1036" t="s">
        <v>904</v>
      </c>
      <c r="I4" s="1036" t="s">
        <v>905</v>
      </c>
      <c r="J4" s="1036" t="s">
        <v>906</v>
      </c>
      <c r="K4" s="1036" t="s">
        <v>907</v>
      </c>
      <c r="L4" s="1036" t="s">
        <v>908</v>
      </c>
      <c r="M4" s="1036" t="s">
        <v>909</v>
      </c>
      <c r="N4" s="1036" t="s">
        <v>910</v>
      </c>
      <c r="O4" s="1036" t="s">
        <v>911</v>
      </c>
      <c r="P4" s="1036" t="s">
        <v>912</v>
      </c>
      <c r="Q4" s="1036" t="s">
        <v>913</v>
      </c>
      <c r="R4" s="1037" t="s">
        <v>914</v>
      </c>
      <c r="S4" s="1037" t="s">
        <v>915</v>
      </c>
      <c r="T4" s="1037" t="s">
        <v>916</v>
      </c>
      <c r="U4" s="1037" t="s">
        <v>917</v>
      </c>
      <c r="V4" s="1037" t="s">
        <v>918</v>
      </c>
      <c r="W4" s="1037" t="s">
        <v>919</v>
      </c>
      <c r="X4" s="1037" t="s">
        <v>920</v>
      </c>
      <c r="Y4" s="1037" t="s">
        <v>921</v>
      </c>
      <c r="Z4" s="1037" t="s">
        <v>922</v>
      </c>
      <c r="AA4" s="1008"/>
    </row>
    <row r="5" spans="1:27" ht="87.75" customHeight="1">
      <c r="A5" s="1016">
        <v>1</v>
      </c>
      <c r="B5" s="1016" t="s">
        <v>2602</v>
      </c>
      <c r="C5" s="1016" t="s">
        <v>4277</v>
      </c>
      <c r="D5" s="1015" t="s">
        <v>4278</v>
      </c>
      <c r="E5" s="1015" t="s">
        <v>4279</v>
      </c>
      <c r="F5" s="1031" t="s">
        <v>4280</v>
      </c>
      <c r="G5" s="1015" t="s">
        <v>4281</v>
      </c>
      <c r="H5" s="1015" t="s">
        <v>1032</v>
      </c>
      <c r="I5" s="1038">
        <v>5430</v>
      </c>
      <c r="J5" s="1038">
        <v>900</v>
      </c>
      <c r="K5" s="1038">
        <v>3380</v>
      </c>
      <c r="L5" s="1015"/>
      <c r="M5" s="1038">
        <v>1150</v>
      </c>
      <c r="N5" s="1015" t="s">
        <v>4282</v>
      </c>
      <c r="O5" s="1015" t="s">
        <v>4283</v>
      </c>
      <c r="P5" s="1015" t="s">
        <v>67</v>
      </c>
      <c r="Q5" s="1015" t="s">
        <v>67</v>
      </c>
      <c r="R5" s="1015" t="s">
        <v>3188</v>
      </c>
      <c r="S5" s="1015" t="s">
        <v>82</v>
      </c>
      <c r="T5" s="1015" t="s">
        <v>1103</v>
      </c>
      <c r="U5" s="1015" t="s">
        <v>4284</v>
      </c>
      <c r="V5" s="1015" t="s">
        <v>1047</v>
      </c>
      <c r="W5" s="1015" t="s">
        <v>4285</v>
      </c>
      <c r="X5" s="1015">
        <v>80</v>
      </c>
      <c r="Y5" s="1015"/>
      <c r="Z5" s="1015" t="s">
        <v>4286</v>
      </c>
      <c r="AA5" s="1008"/>
    </row>
    <row r="6" spans="1:27" ht="71.25" customHeight="1">
      <c r="A6" s="1016">
        <v>2</v>
      </c>
      <c r="B6" s="1016" t="s">
        <v>2602</v>
      </c>
      <c r="C6" s="1016" t="s">
        <v>4277</v>
      </c>
      <c r="D6" s="1015" t="s">
        <v>4287</v>
      </c>
      <c r="E6" s="1015" t="s">
        <v>2776</v>
      </c>
      <c r="F6" s="1031" t="s">
        <v>4288</v>
      </c>
      <c r="G6" s="1015" t="s">
        <v>4289</v>
      </c>
      <c r="H6" s="1015" t="s">
        <v>2111</v>
      </c>
      <c r="I6" s="1015">
        <v>216</v>
      </c>
      <c r="J6" s="1015"/>
      <c r="K6" s="1015"/>
      <c r="L6" s="1015">
        <v>216</v>
      </c>
      <c r="M6" s="1015"/>
      <c r="N6" s="1015"/>
      <c r="O6" s="1015"/>
      <c r="P6" s="1015" t="s">
        <v>67</v>
      </c>
      <c r="Q6" s="1015" t="s">
        <v>67</v>
      </c>
      <c r="R6" s="1015" t="s">
        <v>4290</v>
      </c>
      <c r="S6" s="1015" t="s">
        <v>82</v>
      </c>
      <c r="T6" s="1015" t="s">
        <v>929</v>
      </c>
      <c r="U6" s="1015" t="s">
        <v>84</v>
      </c>
      <c r="V6" s="1015" t="s">
        <v>1047</v>
      </c>
      <c r="W6" s="1015">
        <v>100</v>
      </c>
      <c r="X6" s="1015">
        <v>90</v>
      </c>
      <c r="Y6" s="1015">
        <v>10</v>
      </c>
      <c r="Z6" s="1015" t="s">
        <v>4291</v>
      </c>
      <c r="AA6" s="1008"/>
    </row>
    <row r="7" spans="1:27" ht="71.25" customHeight="1">
      <c r="A7" s="1016">
        <v>3</v>
      </c>
      <c r="B7" s="1016" t="s">
        <v>2602</v>
      </c>
      <c r="C7" s="1016" t="s">
        <v>4277</v>
      </c>
      <c r="D7" s="1015" t="s">
        <v>4292</v>
      </c>
      <c r="E7" s="1015" t="s">
        <v>4293</v>
      </c>
      <c r="F7" s="1031" t="s">
        <v>4294</v>
      </c>
      <c r="G7" s="1015" t="s">
        <v>4295</v>
      </c>
      <c r="H7" s="1015" t="s">
        <v>4296</v>
      </c>
      <c r="I7" s="1015">
        <v>555.5</v>
      </c>
      <c r="J7" s="1015">
        <v>200</v>
      </c>
      <c r="K7" s="1015">
        <v>150</v>
      </c>
      <c r="L7" s="1015">
        <v>150</v>
      </c>
      <c r="M7" s="1015">
        <v>55.5</v>
      </c>
      <c r="N7" s="1015" t="s">
        <v>927</v>
      </c>
      <c r="O7" s="1015" t="s">
        <v>4297</v>
      </c>
      <c r="P7" s="1015" t="s">
        <v>67</v>
      </c>
      <c r="Q7" s="1015" t="s">
        <v>67</v>
      </c>
      <c r="R7" s="1015" t="s">
        <v>4298</v>
      </c>
      <c r="S7" s="1015" t="s">
        <v>82</v>
      </c>
      <c r="T7" s="1015" t="s">
        <v>929</v>
      </c>
      <c r="U7" s="1015" t="s">
        <v>4299</v>
      </c>
      <c r="V7" s="1015" t="s">
        <v>1047</v>
      </c>
      <c r="W7" s="1015">
        <v>18400</v>
      </c>
      <c r="X7" s="1015">
        <v>18400</v>
      </c>
      <c r="Y7" s="1015"/>
      <c r="Z7" s="1015" t="s">
        <v>4300</v>
      </c>
      <c r="AA7" s="1008"/>
    </row>
    <row r="8" spans="1:27" ht="71.25" customHeight="1">
      <c r="A8" s="1016">
        <v>4</v>
      </c>
      <c r="B8" s="1016" t="s">
        <v>2602</v>
      </c>
      <c r="C8" s="1016" t="s">
        <v>4277</v>
      </c>
      <c r="D8" s="1015" t="s">
        <v>4301</v>
      </c>
      <c r="E8" s="1015" t="s">
        <v>4302</v>
      </c>
      <c r="F8" s="1031" t="s">
        <v>4303</v>
      </c>
      <c r="G8" s="1015" t="s">
        <v>4304</v>
      </c>
      <c r="H8" s="1015" t="s">
        <v>4305</v>
      </c>
      <c r="I8" s="1015">
        <v>80</v>
      </c>
      <c r="J8" s="1015"/>
      <c r="K8" s="1015">
        <v>80</v>
      </c>
      <c r="L8" s="1015"/>
      <c r="M8" s="1015"/>
      <c r="N8" s="1015"/>
      <c r="O8" s="1015"/>
      <c r="P8" s="1015" t="s">
        <v>105</v>
      </c>
      <c r="Q8" s="1015" t="s">
        <v>105</v>
      </c>
      <c r="R8" s="1015" t="s">
        <v>4306</v>
      </c>
      <c r="S8" s="1015" t="s">
        <v>82</v>
      </c>
      <c r="T8" s="1015" t="s">
        <v>83</v>
      </c>
      <c r="U8" s="1015" t="s">
        <v>1141</v>
      </c>
      <c r="V8" s="1015" t="s">
        <v>85</v>
      </c>
      <c r="W8" s="1015">
        <v>20</v>
      </c>
      <c r="X8" s="1015">
        <v>20</v>
      </c>
      <c r="Y8" s="1015"/>
      <c r="Z8" s="1015" t="s">
        <v>4307</v>
      </c>
      <c r="AA8" s="1008"/>
    </row>
    <row r="9" spans="1:27" ht="71.25" customHeight="1">
      <c r="A9" s="1016">
        <v>5</v>
      </c>
      <c r="B9" s="1016" t="s">
        <v>2602</v>
      </c>
      <c r="C9" s="1016" t="s">
        <v>4277</v>
      </c>
      <c r="D9" s="1015" t="s">
        <v>4308</v>
      </c>
      <c r="E9" s="1015" t="s">
        <v>4309</v>
      </c>
      <c r="F9" s="1031" t="s">
        <v>4310</v>
      </c>
      <c r="G9" s="1015" t="s">
        <v>4311</v>
      </c>
      <c r="H9" s="1015" t="s">
        <v>2727</v>
      </c>
      <c r="I9" s="1015">
        <v>500</v>
      </c>
      <c r="J9" s="1015"/>
      <c r="K9" s="1015">
        <v>50</v>
      </c>
      <c r="L9" s="1015">
        <v>450</v>
      </c>
      <c r="M9" s="1015"/>
      <c r="N9" s="1015"/>
      <c r="O9" s="1015"/>
      <c r="P9" s="1015" t="s">
        <v>92</v>
      </c>
      <c r="Q9" s="1015" t="s">
        <v>67</v>
      </c>
      <c r="R9" s="1015" t="s">
        <v>4312</v>
      </c>
      <c r="S9" s="1015" t="s">
        <v>82</v>
      </c>
      <c r="T9" s="1015" t="s">
        <v>929</v>
      </c>
      <c r="U9" s="1015" t="s">
        <v>1141</v>
      </c>
      <c r="V9" s="1015" t="s">
        <v>85</v>
      </c>
      <c r="W9" s="1015">
        <v>150000</v>
      </c>
      <c r="X9" s="1015">
        <v>135000</v>
      </c>
      <c r="Y9" s="1015">
        <v>15000</v>
      </c>
      <c r="Z9" s="1015" t="s">
        <v>4313</v>
      </c>
      <c r="AA9" s="1008"/>
    </row>
    <row r="10" spans="1:27" ht="71.25" customHeight="1">
      <c r="A10" s="1016">
        <v>6</v>
      </c>
      <c r="B10" s="1016" t="s">
        <v>2602</v>
      </c>
      <c r="C10" s="1016" t="s">
        <v>4314</v>
      </c>
      <c r="D10" s="1015" t="s">
        <v>4315</v>
      </c>
      <c r="E10" s="1015" t="s">
        <v>4316</v>
      </c>
      <c r="F10" s="1031" t="s">
        <v>4317</v>
      </c>
      <c r="G10" s="1015" t="s">
        <v>4318</v>
      </c>
      <c r="H10" s="1015" t="s">
        <v>2915</v>
      </c>
      <c r="I10" s="1015">
        <v>350</v>
      </c>
      <c r="J10" s="1015"/>
      <c r="K10" s="1015">
        <v>30</v>
      </c>
      <c r="L10" s="1015">
        <v>320</v>
      </c>
      <c r="M10" s="1015"/>
      <c r="N10" s="1015"/>
      <c r="O10" s="1015"/>
      <c r="P10" s="1015" t="s">
        <v>105</v>
      </c>
      <c r="Q10" s="1015" t="s">
        <v>936</v>
      </c>
      <c r="R10" s="1015" t="s">
        <v>4319</v>
      </c>
      <c r="S10" s="1015" t="s">
        <v>82</v>
      </c>
      <c r="T10" s="1015" t="s">
        <v>2015</v>
      </c>
      <c r="U10" s="1015" t="s">
        <v>1950</v>
      </c>
      <c r="V10" s="1015" t="s">
        <v>1047</v>
      </c>
      <c r="W10" s="1015">
        <v>106</v>
      </c>
      <c r="X10" s="1015">
        <v>106</v>
      </c>
      <c r="Y10" s="1015"/>
      <c r="Z10" s="1015" t="s">
        <v>4320</v>
      </c>
      <c r="AA10" s="1008"/>
    </row>
    <row r="11" spans="1:27" ht="71.25" customHeight="1">
      <c r="A11" s="1016">
        <v>7</v>
      </c>
      <c r="B11" s="1016" t="s">
        <v>2602</v>
      </c>
      <c r="C11" s="1016" t="s">
        <v>4314</v>
      </c>
      <c r="D11" s="1015" t="s">
        <v>4321</v>
      </c>
      <c r="E11" s="1015" t="s">
        <v>2743</v>
      </c>
      <c r="F11" s="1031" t="s">
        <v>4322</v>
      </c>
      <c r="G11" s="1015" t="s">
        <v>4323</v>
      </c>
      <c r="H11" s="1015" t="s">
        <v>1860</v>
      </c>
      <c r="I11" s="1015">
        <v>250</v>
      </c>
      <c r="J11" s="1015"/>
      <c r="K11" s="1015"/>
      <c r="L11" s="1015">
        <v>250</v>
      </c>
      <c r="M11" s="1015"/>
      <c r="N11" s="1015"/>
      <c r="O11" s="1015"/>
      <c r="P11" s="1015" t="s">
        <v>92</v>
      </c>
      <c r="Q11" s="1015" t="s">
        <v>936</v>
      </c>
      <c r="R11" s="1015" t="s">
        <v>4324</v>
      </c>
      <c r="S11" s="1015" t="s">
        <v>82</v>
      </c>
      <c r="T11" s="1015" t="s">
        <v>929</v>
      </c>
      <c r="U11" s="1015" t="s">
        <v>1950</v>
      </c>
      <c r="V11" s="1015" t="s">
        <v>1047</v>
      </c>
      <c r="W11" s="1015">
        <v>56</v>
      </c>
      <c r="X11" s="1015">
        <v>56</v>
      </c>
      <c r="Y11" s="1015"/>
      <c r="Z11" s="1015" t="s">
        <v>4325</v>
      </c>
      <c r="AA11" s="1008"/>
    </row>
    <row r="12" spans="1:27" ht="71.25" customHeight="1">
      <c r="A12" s="1016">
        <v>8</v>
      </c>
      <c r="B12" s="1016" t="s">
        <v>2602</v>
      </c>
      <c r="C12" s="1016" t="s">
        <v>4326</v>
      </c>
      <c r="D12" s="1015" t="s">
        <v>4327</v>
      </c>
      <c r="E12" s="1015" t="s">
        <v>4328</v>
      </c>
      <c r="F12" s="1031" t="s">
        <v>4329</v>
      </c>
      <c r="G12" s="1015" t="s">
        <v>4330</v>
      </c>
      <c r="H12" s="1015" t="s">
        <v>4331</v>
      </c>
      <c r="I12" s="1015">
        <v>700</v>
      </c>
      <c r="J12" s="1015"/>
      <c r="K12" s="1015"/>
      <c r="L12" s="1015">
        <v>700</v>
      </c>
      <c r="M12" s="1015"/>
      <c r="N12" s="1015"/>
      <c r="O12" s="1015"/>
      <c r="P12" s="1015" t="s">
        <v>105</v>
      </c>
      <c r="Q12" s="1015"/>
      <c r="R12" s="1015" t="s">
        <v>4332</v>
      </c>
      <c r="S12" s="1015" t="s">
        <v>82</v>
      </c>
      <c r="T12" s="1015" t="s">
        <v>1103</v>
      </c>
      <c r="U12" s="1015" t="s">
        <v>84</v>
      </c>
      <c r="V12" s="1015" t="s">
        <v>4333</v>
      </c>
      <c r="W12" s="1015">
        <v>170</v>
      </c>
      <c r="X12" s="1015">
        <v>170</v>
      </c>
      <c r="Y12" s="1015"/>
      <c r="Z12" s="1015" t="s">
        <v>930</v>
      </c>
      <c r="AA12" s="1008"/>
    </row>
    <row r="13" spans="1:27" ht="71.25" customHeight="1">
      <c r="A13" s="1016">
        <v>9</v>
      </c>
      <c r="B13" s="1016" t="s">
        <v>2602</v>
      </c>
      <c r="C13" s="1016" t="s">
        <v>4326</v>
      </c>
      <c r="D13" s="1015" t="s">
        <v>4334</v>
      </c>
      <c r="E13" s="1015" t="s">
        <v>4335</v>
      </c>
      <c r="F13" s="1031" t="s">
        <v>4336</v>
      </c>
      <c r="G13" s="1015" t="s">
        <v>4337</v>
      </c>
      <c r="H13" s="1015" t="s">
        <v>1054</v>
      </c>
      <c r="I13" s="1015">
        <v>1000</v>
      </c>
      <c r="J13" s="1015"/>
      <c r="K13" s="1015"/>
      <c r="L13" s="1015">
        <v>1000</v>
      </c>
      <c r="M13" s="1015"/>
      <c r="N13" s="1015"/>
      <c r="O13" s="1015"/>
      <c r="P13" s="1015" t="s">
        <v>167</v>
      </c>
      <c r="Q13" s="1015"/>
      <c r="R13" s="1015" t="s">
        <v>2431</v>
      </c>
      <c r="S13" s="1015" t="s">
        <v>82</v>
      </c>
      <c r="T13" s="1015" t="s">
        <v>995</v>
      </c>
      <c r="U13" s="1015" t="s">
        <v>4338</v>
      </c>
      <c r="V13" s="1015" t="s">
        <v>1047</v>
      </c>
      <c r="W13" s="1015">
        <v>640</v>
      </c>
      <c r="X13" s="1015">
        <v>580</v>
      </c>
      <c r="Y13" s="1015">
        <v>60</v>
      </c>
      <c r="Z13" s="1015" t="s">
        <v>930</v>
      </c>
      <c r="AA13" s="1008"/>
    </row>
    <row r="14" spans="1:27" ht="71.25" customHeight="1">
      <c r="A14" s="1016">
        <v>10</v>
      </c>
      <c r="B14" s="1016" t="s">
        <v>2602</v>
      </c>
      <c r="C14" s="1016" t="s">
        <v>4326</v>
      </c>
      <c r="D14" s="1015" t="s">
        <v>4339</v>
      </c>
      <c r="E14" s="1015" t="s">
        <v>4340</v>
      </c>
      <c r="F14" s="1031" t="s">
        <v>4341</v>
      </c>
      <c r="G14" s="1015" t="s">
        <v>4342</v>
      </c>
      <c r="H14" s="1015" t="s">
        <v>4343</v>
      </c>
      <c r="I14" s="1015">
        <v>50</v>
      </c>
      <c r="J14" s="1015"/>
      <c r="K14" s="1015"/>
      <c r="L14" s="1015">
        <v>50</v>
      </c>
      <c r="M14" s="1015"/>
      <c r="N14" s="1015"/>
      <c r="O14" s="1015"/>
      <c r="P14" s="1015" t="s">
        <v>92</v>
      </c>
      <c r="Q14" s="1015"/>
      <c r="R14" s="1015" t="s">
        <v>4344</v>
      </c>
      <c r="S14" s="1015" t="s">
        <v>4345</v>
      </c>
      <c r="T14" s="1015" t="s">
        <v>83</v>
      </c>
      <c r="U14" s="1015" t="s">
        <v>84</v>
      </c>
      <c r="V14" s="1015" t="s">
        <v>1047</v>
      </c>
      <c r="W14" s="1015">
        <v>100</v>
      </c>
      <c r="X14" s="1015">
        <v>100</v>
      </c>
      <c r="Y14" s="1015"/>
      <c r="Z14" s="1015" t="s">
        <v>3476</v>
      </c>
      <c r="AA14" s="1008"/>
    </row>
    <row r="15" spans="1:27" ht="71.25" customHeight="1">
      <c r="A15" s="1016">
        <v>11</v>
      </c>
      <c r="B15" s="1016" t="s">
        <v>2602</v>
      </c>
      <c r="C15" s="1016" t="s">
        <v>4346</v>
      </c>
      <c r="D15" s="1039" t="s">
        <v>4347</v>
      </c>
      <c r="E15" s="1015" t="s">
        <v>4348</v>
      </c>
      <c r="F15" s="1031" t="s">
        <v>4349</v>
      </c>
      <c r="G15" s="1015" t="s">
        <v>4350</v>
      </c>
      <c r="H15" s="1015" t="s">
        <v>2211</v>
      </c>
      <c r="I15" s="1015">
        <v>260</v>
      </c>
      <c r="J15" s="1015"/>
      <c r="K15" s="1015"/>
      <c r="L15" s="1015">
        <v>260</v>
      </c>
      <c r="M15" s="1015"/>
      <c r="N15" s="1015"/>
      <c r="O15" s="1015"/>
      <c r="P15" s="1029" t="s">
        <v>67</v>
      </c>
      <c r="Q15" s="1029" t="s">
        <v>1141</v>
      </c>
      <c r="R15" s="1029" t="s">
        <v>1011</v>
      </c>
      <c r="S15" s="1029" t="s">
        <v>82</v>
      </c>
      <c r="T15" s="1040" t="s">
        <v>995</v>
      </c>
      <c r="U15" s="1015" t="s">
        <v>1141</v>
      </c>
      <c r="V15" s="1041" t="s">
        <v>1047</v>
      </c>
      <c r="W15" s="1042">
        <v>50</v>
      </c>
      <c r="X15" s="1042">
        <v>49</v>
      </c>
      <c r="Y15" s="1043">
        <v>1</v>
      </c>
      <c r="Z15" s="1042" t="s">
        <v>1648</v>
      </c>
      <c r="AA15" s="1030"/>
    </row>
    <row r="16" spans="1:27" ht="71.25" customHeight="1">
      <c r="A16" s="1016">
        <v>12</v>
      </c>
      <c r="B16" s="1016" t="s">
        <v>2602</v>
      </c>
      <c r="C16" s="1016" t="s">
        <v>4346</v>
      </c>
      <c r="D16" s="1039" t="s">
        <v>4351</v>
      </c>
      <c r="E16" s="1015" t="s">
        <v>1765</v>
      </c>
      <c r="F16" s="1031" t="s">
        <v>4352</v>
      </c>
      <c r="G16" s="1015" t="s">
        <v>4353</v>
      </c>
      <c r="H16" s="1015" t="s">
        <v>3621</v>
      </c>
      <c r="I16" s="1015">
        <v>280</v>
      </c>
      <c r="J16" s="1015"/>
      <c r="K16" s="1015"/>
      <c r="L16" s="1015">
        <v>280</v>
      </c>
      <c r="M16" s="1015"/>
      <c r="N16" s="1015"/>
      <c r="O16" s="1015"/>
      <c r="P16" s="1029" t="s">
        <v>67</v>
      </c>
      <c r="Q16" s="1029" t="s">
        <v>1141</v>
      </c>
      <c r="R16" s="1029" t="s">
        <v>4354</v>
      </c>
      <c r="S16" s="1029" t="s">
        <v>82</v>
      </c>
      <c r="T16" s="1040" t="s">
        <v>1103</v>
      </c>
      <c r="U16" s="1015" t="s">
        <v>1141</v>
      </c>
      <c r="V16" s="1041" t="s">
        <v>85</v>
      </c>
      <c r="W16" s="1042">
        <v>0</v>
      </c>
      <c r="X16" s="1042">
        <v>0</v>
      </c>
      <c r="Y16" s="1043">
        <v>0</v>
      </c>
      <c r="Z16" s="1042" t="s">
        <v>938</v>
      </c>
      <c r="AA16" s="1030"/>
    </row>
    <row r="17" spans="1:26" ht="71.25" customHeight="1">
      <c r="A17" s="1016">
        <v>13</v>
      </c>
      <c r="B17" s="1016" t="s">
        <v>2602</v>
      </c>
      <c r="C17" s="1016" t="s">
        <v>4346</v>
      </c>
      <c r="D17" s="1039" t="s">
        <v>4355</v>
      </c>
      <c r="E17" s="1015" t="s">
        <v>4356</v>
      </c>
      <c r="F17" s="1031" t="s">
        <v>4357</v>
      </c>
      <c r="G17" s="1015" t="s">
        <v>4358</v>
      </c>
      <c r="H17" s="1015" t="s">
        <v>4359</v>
      </c>
      <c r="I17" s="1015">
        <v>185</v>
      </c>
      <c r="J17" s="1015"/>
      <c r="K17" s="1015"/>
      <c r="L17" s="1015">
        <v>185</v>
      </c>
      <c r="M17" s="1015"/>
      <c r="N17" s="1015"/>
      <c r="O17" s="1015"/>
      <c r="P17" s="1015" t="s">
        <v>105</v>
      </c>
      <c r="Q17" s="1015" t="s">
        <v>1141</v>
      </c>
      <c r="R17" s="1015" t="s">
        <v>2683</v>
      </c>
      <c r="S17" s="1029" t="s">
        <v>82</v>
      </c>
      <c r="T17" s="1040" t="s">
        <v>83</v>
      </c>
      <c r="U17" s="1015" t="s">
        <v>1141</v>
      </c>
      <c r="V17" s="1041" t="s">
        <v>85</v>
      </c>
      <c r="W17" s="1042">
        <v>25</v>
      </c>
      <c r="X17" s="1042">
        <v>24.5</v>
      </c>
      <c r="Y17" s="1043">
        <v>0.5</v>
      </c>
      <c r="Z17" s="1042" t="s">
        <v>1119</v>
      </c>
    </row>
    <row r="18" spans="1:26" ht="71.25" customHeight="1">
      <c r="A18" s="1016">
        <v>14</v>
      </c>
      <c r="B18" s="1016" t="s">
        <v>2602</v>
      </c>
      <c r="C18" s="1016" t="s">
        <v>4346</v>
      </c>
      <c r="D18" s="1039" t="s">
        <v>4360</v>
      </c>
      <c r="E18" s="1015" t="s">
        <v>4361</v>
      </c>
      <c r="F18" s="1031" t="s">
        <v>4362</v>
      </c>
      <c r="G18" s="1015" t="s">
        <v>4350</v>
      </c>
      <c r="H18" s="1015" t="s">
        <v>3621</v>
      </c>
      <c r="I18" s="1015">
        <v>100</v>
      </c>
      <c r="J18" s="1015"/>
      <c r="K18" s="1015">
        <v>30</v>
      </c>
      <c r="L18" s="1015">
        <v>70</v>
      </c>
      <c r="M18" s="1015"/>
      <c r="N18" s="1015"/>
      <c r="O18" s="1015"/>
      <c r="P18" s="1015" t="s">
        <v>67</v>
      </c>
      <c r="Q18" s="1015" t="s">
        <v>1141</v>
      </c>
      <c r="R18" s="1015" t="s">
        <v>4363</v>
      </c>
      <c r="S18" s="1029" t="s">
        <v>82</v>
      </c>
      <c r="T18" s="1040" t="s">
        <v>995</v>
      </c>
      <c r="U18" s="1015" t="s">
        <v>1141</v>
      </c>
      <c r="V18" s="1041" t="s">
        <v>1047</v>
      </c>
      <c r="W18" s="1042">
        <v>0</v>
      </c>
      <c r="X18" s="1042">
        <v>0</v>
      </c>
      <c r="Y18" s="1043">
        <v>0</v>
      </c>
      <c r="Z18" s="1044" t="s">
        <v>938</v>
      </c>
    </row>
    <row r="19" spans="1:26" ht="71.25" customHeight="1">
      <c r="A19" s="1016">
        <v>15</v>
      </c>
      <c r="B19" s="1016" t="s">
        <v>2602</v>
      </c>
      <c r="C19" s="1016" t="s">
        <v>4346</v>
      </c>
      <c r="D19" s="1039" t="s">
        <v>4364</v>
      </c>
      <c r="E19" s="1015" t="s">
        <v>4365</v>
      </c>
      <c r="F19" s="1031" t="s">
        <v>4366</v>
      </c>
      <c r="G19" s="1015" t="s">
        <v>4367</v>
      </c>
      <c r="H19" s="1015" t="s">
        <v>4368</v>
      </c>
      <c r="I19" s="1015">
        <v>420</v>
      </c>
      <c r="J19" s="1015"/>
      <c r="K19" s="1015"/>
      <c r="L19" s="1015">
        <v>420</v>
      </c>
      <c r="M19" s="1015"/>
      <c r="N19" s="1015"/>
      <c r="O19" s="1015"/>
      <c r="P19" s="1015" t="s">
        <v>167</v>
      </c>
      <c r="Q19" s="1015" t="s">
        <v>1141</v>
      </c>
      <c r="R19" s="1015" t="s">
        <v>4369</v>
      </c>
      <c r="S19" s="1029" t="s">
        <v>82</v>
      </c>
      <c r="T19" s="1040" t="s">
        <v>929</v>
      </c>
      <c r="U19" s="1015" t="s">
        <v>1141</v>
      </c>
      <c r="V19" s="1041" t="s">
        <v>1047</v>
      </c>
      <c r="W19" s="1042">
        <v>402</v>
      </c>
      <c r="X19" s="1042">
        <v>401</v>
      </c>
      <c r="Y19" s="1043">
        <v>1</v>
      </c>
      <c r="Z19" s="1042" t="s">
        <v>930</v>
      </c>
    </row>
    <row r="20" spans="1:26" ht="71.25" customHeight="1">
      <c r="A20" s="1016">
        <v>16</v>
      </c>
      <c r="B20" s="1016" t="s">
        <v>2602</v>
      </c>
      <c r="C20" s="1016" t="s">
        <v>4346</v>
      </c>
      <c r="D20" s="1039" t="s">
        <v>4370</v>
      </c>
      <c r="E20" s="1015" t="s">
        <v>4371</v>
      </c>
      <c r="F20" s="1031" t="s">
        <v>4372</v>
      </c>
      <c r="G20" s="1015" t="s">
        <v>4373</v>
      </c>
      <c r="H20" s="1015" t="s">
        <v>1838</v>
      </c>
      <c r="I20" s="1015">
        <v>250</v>
      </c>
      <c r="J20" s="1015"/>
      <c r="K20" s="1015"/>
      <c r="L20" s="1015">
        <v>250</v>
      </c>
      <c r="M20" s="1015"/>
      <c r="N20" s="1015"/>
      <c r="O20" s="1015"/>
      <c r="P20" s="1015" t="s">
        <v>105</v>
      </c>
      <c r="Q20" s="1015" t="s">
        <v>1141</v>
      </c>
      <c r="R20" s="1015" t="s">
        <v>2683</v>
      </c>
      <c r="S20" s="1029" t="s">
        <v>82</v>
      </c>
      <c r="T20" s="1040" t="s">
        <v>83</v>
      </c>
      <c r="U20" s="1015" t="s">
        <v>1141</v>
      </c>
      <c r="V20" s="1041" t="s">
        <v>85</v>
      </c>
      <c r="W20" s="1042">
        <v>149</v>
      </c>
      <c r="X20" s="1042">
        <v>99</v>
      </c>
      <c r="Y20" s="1043">
        <v>50</v>
      </c>
      <c r="Z20" s="1042" t="s">
        <v>930</v>
      </c>
    </row>
    <row r="21" spans="1:26" ht="71.25" customHeight="1">
      <c r="A21" s="1016">
        <v>17</v>
      </c>
      <c r="B21" s="1016" t="s">
        <v>2602</v>
      </c>
      <c r="C21" s="1016" t="s">
        <v>4346</v>
      </c>
      <c r="D21" s="1039" t="s">
        <v>4374</v>
      </c>
      <c r="E21" s="1015" t="s">
        <v>4375</v>
      </c>
      <c r="F21" s="1031" t="s">
        <v>4376</v>
      </c>
      <c r="G21" s="1015" t="s">
        <v>4377</v>
      </c>
      <c r="H21" s="1015" t="s">
        <v>4378</v>
      </c>
      <c r="I21" s="1015">
        <v>220</v>
      </c>
      <c r="J21" s="1015"/>
      <c r="K21" s="1015"/>
      <c r="L21" s="1015">
        <v>220</v>
      </c>
      <c r="M21" s="1015"/>
      <c r="N21" s="1015"/>
      <c r="O21" s="1015"/>
      <c r="P21" s="1015" t="s">
        <v>105</v>
      </c>
      <c r="Q21" s="1015" t="s">
        <v>1141</v>
      </c>
      <c r="R21" s="1015" t="s">
        <v>4379</v>
      </c>
      <c r="S21" s="1015" t="s">
        <v>82</v>
      </c>
      <c r="T21" s="1040" t="s">
        <v>995</v>
      </c>
      <c r="U21" s="1015" t="s">
        <v>1141</v>
      </c>
      <c r="V21" s="1041" t="s">
        <v>1047</v>
      </c>
      <c r="W21" s="1042">
        <v>57</v>
      </c>
      <c r="X21" s="1042">
        <v>56</v>
      </c>
      <c r="Y21" s="1043">
        <v>1</v>
      </c>
      <c r="Z21" s="1042" t="s">
        <v>909</v>
      </c>
    </row>
    <row r="22" spans="1:26" ht="71.25" customHeight="1">
      <c r="A22" s="1016">
        <v>18</v>
      </c>
      <c r="B22" s="1016" t="s">
        <v>2602</v>
      </c>
      <c r="C22" s="1055" t="s">
        <v>4380</v>
      </c>
      <c r="D22" s="1056" t="s">
        <v>4381</v>
      </c>
      <c r="E22" s="1057" t="s">
        <v>4382</v>
      </c>
      <c r="F22" s="1058" t="s">
        <v>4383</v>
      </c>
      <c r="G22" s="1057" t="s">
        <v>4384</v>
      </c>
      <c r="H22" s="1059" t="s">
        <v>4385</v>
      </c>
      <c r="I22" s="1060">
        <v>1770</v>
      </c>
      <c r="J22" s="1061">
        <v>310</v>
      </c>
      <c r="K22" s="1062">
        <v>0</v>
      </c>
      <c r="L22" s="1063">
        <v>1048</v>
      </c>
      <c r="M22" s="1059">
        <v>222</v>
      </c>
      <c r="N22" s="1064" t="s">
        <v>927</v>
      </c>
      <c r="O22" s="1056" t="s">
        <v>4386</v>
      </c>
      <c r="P22" s="1065" t="s">
        <v>67</v>
      </c>
      <c r="Q22" s="1056" t="s">
        <v>67</v>
      </c>
      <c r="R22" s="1066" t="s">
        <v>4387</v>
      </c>
      <c r="S22" s="1059" t="s">
        <v>82</v>
      </c>
      <c r="T22" s="1065" t="s">
        <v>929</v>
      </c>
      <c r="U22" s="1015" t="s">
        <v>4388</v>
      </c>
      <c r="V22" s="1066" t="s">
        <v>1047</v>
      </c>
      <c r="W22" s="1059">
        <v>168</v>
      </c>
      <c r="X22" s="1059">
        <v>168</v>
      </c>
      <c r="Y22" s="1057">
        <v>0</v>
      </c>
      <c r="Z22" s="1057" t="s">
        <v>4389</v>
      </c>
    </row>
    <row r="23" spans="1:26" ht="71.25" customHeight="1">
      <c r="A23" s="1016">
        <v>19</v>
      </c>
      <c r="B23" s="1016" t="s">
        <v>2602</v>
      </c>
      <c r="C23" s="1016" t="s">
        <v>4390</v>
      </c>
      <c r="D23" s="1015" t="s">
        <v>4391</v>
      </c>
      <c r="E23" s="1015" t="s">
        <v>4392</v>
      </c>
      <c r="F23" s="1031" t="s">
        <v>4393</v>
      </c>
      <c r="G23" s="1015" t="s">
        <v>4394</v>
      </c>
      <c r="H23" s="1015" t="s">
        <v>1234</v>
      </c>
      <c r="I23" s="1015">
        <v>2556</v>
      </c>
      <c r="J23" s="1015"/>
      <c r="K23" s="1015">
        <v>60</v>
      </c>
      <c r="L23" s="1015">
        <v>2496</v>
      </c>
      <c r="M23" s="1015"/>
      <c r="N23" s="1015"/>
      <c r="O23" s="1015"/>
      <c r="P23" s="1015" t="s">
        <v>105</v>
      </c>
      <c r="Q23" s="1015" t="s">
        <v>4395</v>
      </c>
      <c r="R23" s="1015" t="s">
        <v>4396</v>
      </c>
      <c r="S23" s="1015" t="s">
        <v>82</v>
      </c>
      <c r="T23" s="1015" t="s">
        <v>83</v>
      </c>
      <c r="U23" s="1015" t="s">
        <v>4299</v>
      </c>
      <c r="V23" s="1015" t="s">
        <v>1064</v>
      </c>
      <c r="W23" s="1045">
        <v>450</v>
      </c>
      <c r="X23" s="1045">
        <v>450</v>
      </c>
      <c r="Y23" s="1046"/>
      <c r="Z23" s="1015" t="s">
        <v>1119</v>
      </c>
    </row>
    <row r="24" spans="1:26" ht="71.25" customHeight="1">
      <c r="A24" s="1016">
        <v>20</v>
      </c>
      <c r="B24" s="1016" t="s">
        <v>2602</v>
      </c>
      <c r="C24" s="1016" t="s">
        <v>4390</v>
      </c>
      <c r="D24" s="1015" t="s">
        <v>4397</v>
      </c>
      <c r="E24" s="1015" t="s">
        <v>4398</v>
      </c>
      <c r="F24" s="1031" t="s">
        <v>4399</v>
      </c>
      <c r="G24" s="1015" t="s">
        <v>4400</v>
      </c>
      <c r="H24" s="1015" t="s">
        <v>828</v>
      </c>
      <c r="I24" s="1015">
        <v>283</v>
      </c>
      <c r="J24" s="1015"/>
      <c r="K24" s="1015" t="s">
        <v>1702</v>
      </c>
      <c r="L24" s="1015">
        <v>283</v>
      </c>
      <c r="M24" s="1015"/>
      <c r="N24" s="1015"/>
      <c r="O24" s="1015"/>
      <c r="P24" s="1015" t="s">
        <v>167</v>
      </c>
      <c r="Q24" s="1015"/>
      <c r="R24" s="1015" t="s">
        <v>4401</v>
      </c>
      <c r="S24" s="1015" t="s">
        <v>82</v>
      </c>
      <c r="T24" s="1015" t="s">
        <v>995</v>
      </c>
      <c r="U24" s="1015" t="s">
        <v>1141</v>
      </c>
      <c r="V24" s="1015" t="s">
        <v>1064</v>
      </c>
      <c r="W24" s="1046">
        <v>25</v>
      </c>
      <c r="X24" s="1046">
        <v>25</v>
      </c>
      <c r="Y24" s="1046"/>
      <c r="Z24" s="1015" t="s">
        <v>4402</v>
      </c>
    </row>
    <row r="25" spans="1:26" ht="71.25" customHeight="1">
      <c r="A25" s="1016">
        <v>21</v>
      </c>
      <c r="B25" s="1016" t="s">
        <v>2602</v>
      </c>
      <c r="C25" s="1016" t="s">
        <v>4403</v>
      </c>
      <c r="D25" s="1015" t="s">
        <v>4404</v>
      </c>
      <c r="E25" s="1015" t="s">
        <v>4405</v>
      </c>
      <c r="F25" s="1031" t="s">
        <v>4406</v>
      </c>
      <c r="G25" s="1437" t="s">
        <v>6317</v>
      </c>
      <c r="H25" s="1015" t="s">
        <v>4407</v>
      </c>
      <c r="I25" s="1015">
        <v>90</v>
      </c>
      <c r="J25" s="1015"/>
      <c r="K25" s="1015"/>
      <c r="L25" s="1015">
        <v>50</v>
      </c>
      <c r="M25" s="1015">
        <v>40</v>
      </c>
      <c r="N25" s="1015"/>
      <c r="O25" s="1015"/>
      <c r="P25" s="1015" t="s">
        <v>92</v>
      </c>
      <c r="Q25" s="1015" t="s">
        <v>92</v>
      </c>
      <c r="R25" s="1015" t="s">
        <v>3145</v>
      </c>
      <c r="S25" s="1015" t="s">
        <v>82</v>
      </c>
      <c r="T25" s="1015" t="s">
        <v>4408</v>
      </c>
      <c r="U25" s="1015" t="s">
        <v>1141</v>
      </c>
      <c r="V25" s="1015" t="s">
        <v>4409</v>
      </c>
      <c r="W25" s="1015">
        <v>40000</v>
      </c>
      <c r="X25" s="1015">
        <v>40000</v>
      </c>
      <c r="Y25" s="1015"/>
      <c r="Z25" s="1015" t="s">
        <v>4410</v>
      </c>
    </row>
    <row r="26" spans="1:26" ht="71.25" customHeight="1">
      <c r="A26" s="1016">
        <v>22</v>
      </c>
      <c r="B26" s="1016" t="s">
        <v>2602</v>
      </c>
      <c r="C26" s="1016" t="s">
        <v>4403</v>
      </c>
      <c r="D26" s="1015" t="s">
        <v>4411</v>
      </c>
      <c r="E26" s="1015" t="s">
        <v>1972</v>
      </c>
      <c r="F26" s="1031" t="s">
        <v>4412</v>
      </c>
      <c r="G26" s="1015" t="s">
        <v>4413</v>
      </c>
      <c r="H26" s="1015" t="s">
        <v>2453</v>
      </c>
      <c r="I26" s="1015">
        <v>80</v>
      </c>
      <c r="J26" s="1015"/>
      <c r="K26" s="1015"/>
      <c r="L26" s="1015">
        <v>80</v>
      </c>
      <c r="M26" s="1015"/>
      <c r="N26" s="1015"/>
      <c r="O26" s="1015"/>
      <c r="P26" s="1015" t="s">
        <v>67</v>
      </c>
      <c r="Q26" s="1015" t="s">
        <v>67</v>
      </c>
      <c r="R26" s="1015" t="s">
        <v>4414</v>
      </c>
      <c r="S26" s="1015" t="s">
        <v>82</v>
      </c>
      <c r="T26" s="1015" t="s">
        <v>1005</v>
      </c>
      <c r="U26" s="1015" t="s">
        <v>1141</v>
      </c>
      <c r="V26" s="1015" t="s">
        <v>1047</v>
      </c>
      <c r="W26" s="1015">
        <v>10000</v>
      </c>
      <c r="X26" s="1038">
        <v>10000</v>
      </c>
      <c r="Y26" s="1015"/>
      <c r="Z26" s="1015" t="s">
        <v>4415</v>
      </c>
    </row>
    <row r="27" spans="1:26" ht="71.25" customHeight="1">
      <c r="A27" s="1016">
        <v>23</v>
      </c>
      <c r="B27" s="1016" t="s">
        <v>2602</v>
      </c>
      <c r="C27" s="1016" t="s">
        <v>4403</v>
      </c>
      <c r="D27" s="1015" t="s">
        <v>4416</v>
      </c>
      <c r="E27" s="1015" t="s">
        <v>4417</v>
      </c>
      <c r="F27" s="1031" t="s">
        <v>4418</v>
      </c>
      <c r="G27" s="1015" t="s">
        <v>4419</v>
      </c>
      <c r="H27" s="1015" t="s">
        <v>4420</v>
      </c>
      <c r="I27" s="1015">
        <v>770</v>
      </c>
      <c r="J27" s="1015">
        <v>70</v>
      </c>
      <c r="K27" s="1015">
        <v>80</v>
      </c>
      <c r="L27" s="1015">
        <v>620</v>
      </c>
      <c r="M27" s="1015"/>
      <c r="N27" s="1015" t="s">
        <v>927</v>
      </c>
      <c r="O27" s="1015" t="s">
        <v>1248</v>
      </c>
      <c r="P27" s="1015" t="s">
        <v>167</v>
      </c>
      <c r="Q27" s="1015" t="s">
        <v>167</v>
      </c>
      <c r="R27" s="1015" t="s">
        <v>4421</v>
      </c>
      <c r="S27" s="1015" t="s">
        <v>82</v>
      </c>
      <c r="T27" s="1015" t="s">
        <v>929</v>
      </c>
      <c r="U27" s="1015" t="s">
        <v>1141</v>
      </c>
      <c r="V27" s="1015" t="s">
        <v>4409</v>
      </c>
      <c r="W27" s="1015">
        <v>75811</v>
      </c>
      <c r="X27" s="1038">
        <v>75811</v>
      </c>
      <c r="Y27" s="1015"/>
      <c r="Z27" s="1015" t="s">
        <v>4422</v>
      </c>
    </row>
    <row r="28" spans="1:26" ht="71.25" customHeight="1">
      <c r="A28" s="1016">
        <v>24</v>
      </c>
      <c r="B28" s="1016" t="s">
        <v>2602</v>
      </c>
      <c r="C28" s="1016" t="s">
        <v>4403</v>
      </c>
      <c r="D28" s="1015" t="s">
        <v>4423</v>
      </c>
      <c r="E28" s="1015" t="s">
        <v>4424</v>
      </c>
      <c r="F28" s="1031" t="s">
        <v>4425</v>
      </c>
      <c r="G28" s="1437" t="s">
        <v>6318</v>
      </c>
      <c r="H28" s="1015" t="s">
        <v>4426</v>
      </c>
      <c r="I28" s="1015">
        <v>28</v>
      </c>
      <c r="J28" s="1015">
        <v>20</v>
      </c>
      <c r="K28" s="1015" t="s">
        <v>1702</v>
      </c>
      <c r="L28" s="1015">
        <v>8</v>
      </c>
      <c r="M28" s="1015"/>
      <c r="N28" s="1015" t="s">
        <v>4427</v>
      </c>
      <c r="O28" s="1015" t="s">
        <v>4428</v>
      </c>
      <c r="P28" s="1015" t="s">
        <v>909</v>
      </c>
      <c r="Q28" s="1015" t="s">
        <v>909</v>
      </c>
      <c r="R28" s="1015" t="s">
        <v>4429</v>
      </c>
      <c r="S28" s="1015" t="s">
        <v>82</v>
      </c>
      <c r="T28" s="1015" t="s">
        <v>4430</v>
      </c>
      <c r="U28" s="1015" t="s">
        <v>3647</v>
      </c>
      <c r="V28" s="1015" t="s">
        <v>4409</v>
      </c>
      <c r="W28" s="1015">
        <v>5000</v>
      </c>
      <c r="X28" s="1015">
        <v>5000</v>
      </c>
      <c r="Y28" s="1015"/>
      <c r="Z28" s="1015" t="s">
        <v>4422</v>
      </c>
    </row>
    <row r="29" spans="1:26" ht="71.25" customHeight="1">
      <c r="A29" s="1016">
        <v>25</v>
      </c>
      <c r="B29" s="1016" t="s">
        <v>2602</v>
      </c>
      <c r="C29" s="1016" t="s">
        <v>4403</v>
      </c>
      <c r="D29" s="1015" t="s">
        <v>4431</v>
      </c>
      <c r="E29" s="1015" t="s">
        <v>4432</v>
      </c>
      <c r="F29" s="1031" t="s">
        <v>4433</v>
      </c>
      <c r="G29" s="1437" t="s">
        <v>6319</v>
      </c>
      <c r="H29" s="1015" t="s">
        <v>1809</v>
      </c>
      <c r="I29" s="1015">
        <v>100</v>
      </c>
      <c r="J29" s="1015"/>
      <c r="K29" s="1015"/>
      <c r="L29" s="1015">
        <v>70</v>
      </c>
      <c r="M29" s="1015">
        <v>30</v>
      </c>
      <c r="N29" s="1015"/>
      <c r="O29" s="1015"/>
      <c r="P29" s="1015" t="s">
        <v>92</v>
      </c>
      <c r="Q29" s="1015" t="s">
        <v>92</v>
      </c>
      <c r="R29" s="1015" t="s">
        <v>3467</v>
      </c>
      <c r="S29" s="1015" t="s">
        <v>82</v>
      </c>
      <c r="T29" s="1015" t="s">
        <v>4408</v>
      </c>
      <c r="U29" s="1015" t="s">
        <v>1141</v>
      </c>
      <c r="V29" s="1015" t="s">
        <v>4409</v>
      </c>
      <c r="W29" s="1015">
        <v>77250</v>
      </c>
      <c r="X29" s="1015">
        <v>77250</v>
      </c>
      <c r="Y29" s="1015"/>
      <c r="Z29" s="1015" t="s">
        <v>938</v>
      </c>
    </row>
    <row r="30" spans="1:26" ht="71.25" customHeight="1">
      <c r="A30" s="1016">
        <v>26</v>
      </c>
      <c r="B30" s="1016" t="s">
        <v>2602</v>
      </c>
      <c r="C30" s="1016" t="s">
        <v>4434</v>
      </c>
      <c r="D30" s="1015" t="s">
        <v>4435</v>
      </c>
      <c r="E30" s="1015" t="s">
        <v>4436</v>
      </c>
      <c r="F30" s="1031" t="s">
        <v>4437</v>
      </c>
      <c r="G30" s="1015" t="s">
        <v>4438</v>
      </c>
      <c r="H30" s="1015">
        <v>2002</v>
      </c>
      <c r="I30" s="1015">
        <v>50</v>
      </c>
      <c r="J30" s="1015"/>
      <c r="K30" s="1015"/>
      <c r="L30" s="1015">
        <v>50</v>
      </c>
      <c r="M30" s="1015"/>
      <c r="N30" s="1015"/>
      <c r="O30" s="1015"/>
      <c r="P30" s="1015" t="s">
        <v>92</v>
      </c>
      <c r="Q30" s="1015" t="s">
        <v>936</v>
      </c>
      <c r="R30" s="1015" t="s">
        <v>4439</v>
      </c>
      <c r="S30" s="1015" t="s">
        <v>82</v>
      </c>
      <c r="T30" s="1015" t="s">
        <v>929</v>
      </c>
      <c r="U30" s="1015" t="s">
        <v>84</v>
      </c>
      <c r="V30" s="1015" t="s">
        <v>85</v>
      </c>
      <c r="W30" s="1038">
        <v>13</v>
      </c>
      <c r="X30" s="1038">
        <v>13</v>
      </c>
      <c r="Y30" s="1015"/>
      <c r="Z30" s="1015" t="s">
        <v>938</v>
      </c>
    </row>
    <row r="31" spans="1:26" ht="71.25" customHeight="1">
      <c r="A31" s="1016">
        <v>27</v>
      </c>
      <c r="B31" s="1016" t="s">
        <v>2602</v>
      </c>
      <c r="C31" s="1016" t="s">
        <v>4434</v>
      </c>
      <c r="D31" s="1015" t="s">
        <v>4440</v>
      </c>
      <c r="E31" s="1015" t="s">
        <v>4441</v>
      </c>
      <c r="F31" s="1031" t="s">
        <v>4442</v>
      </c>
      <c r="G31" s="1015" t="s">
        <v>4443</v>
      </c>
      <c r="H31" s="1015">
        <v>2008</v>
      </c>
      <c r="I31" s="1015">
        <v>30</v>
      </c>
      <c r="J31" s="1015"/>
      <c r="K31" s="1015"/>
      <c r="L31" s="1015">
        <v>30</v>
      </c>
      <c r="M31" s="1015"/>
      <c r="N31" s="1015"/>
      <c r="O31" s="1015"/>
      <c r="P31" s="1015" t="s">
        <v>167</v>
      </c>
      <c r="Q31" s="1015" t="s">
        <v>936</v>
      </c>
      <c r="R31" s="1015" t="s">
        <v>4444</v>
      </c>
      <c r="S31" s="1015" t="s">
        <v>82</v>
      </c>
      <c r="T31" s="1015" t="s">
        <v>929</v>
      </c>
      <c r="U31" s="1015" t="s">
        <v>84</v>
      </c>
      <c r="V31" s="1015" t="s">
        <v>85</v>
      </c>
      <c r="W31" s="1038"/>
      <c r="X31" s="1015"/>
      <c r="Y31" s="1015"/>
      <c r="Z31" s="1015" t="s">
        <v>909</v>
      </c>
    </row>
    <row r="32" spans="1:26" ht="71.25" customHeight="1">
      <c r="A32" s="1016">
        <v>28</v>
      </c>
      <c r="B32" s="1016" t="s">
        <v>2602</v>
      </c>
      <c r="C32" s="1016" t="s">
        <v>4434</v>
      </c>
      <c r="D32" s="1015" t="s">
        <v>4445</v>
      </c>
      <c r="E32" s="1015" t="s">
        <v>4446</v>
      </c>
      <c r="F32" s="1031" t="s">
        <v>4447</v>
      </c>
      <c r="G32" s="1015" t="s">
        <v>4448</v>
      </c>
      <c r="H32" s="1015">
        <v>2008</v>
      </c>
      <c r="I32" s="1015">
        <v>50</v>
      </c>
      <c r="J32" s="1015"/>
      <c r="K32" s="1015"/>
      <c r="L32" s="1015">
        <v>50</v>
      </c>
      <c r="M32" s="1015"/>
      <c r="N32" s="1015"/>
      <c r="O32" s="1015"/>
      <c r="P32" s="1015" t="s">
        <v>92</v>
      </c>
      <c r="Q32" s="1015" t="s">
        <v>936</v>
      </c>
      <c r="R32" s="1015" t="s">
        <v>4449</v>
      </c>
      <c r="S32" s="1015" t="s">
        <v>82</v>
      </c>
      <c r="T32" s="1015" t="s">
        <v>929</v>
      </c>
      <c r="U32" s="1015" t="s">
        <v>84</v>
      </c>
      <c r="V32" s="1015" t="s">
        <v>85</v>
      </c>
      <c r="W32" s="1038">
        <v>7</v>
      </c>
      <c r="X32" s="1038">
        <v>7</v>
      </c>
      <c r="Y32" s="1015"/>
      <c r="Z32" s="1015" t="s">
        <v>930</v>
      </c>
    </row>
    <row r="33" spans="1:26" ht="71.25" customHeight="1">
      <c r="A33" s="1016">
        <v>29</v>
      </c>
      <c r="B33" s="1016" t="s">
        <v>2602</v>
      </c>
      <c r="C33" s="1016" t="s">
        <v>4434</v>
      </c>
      <c r="D33" s="1015" t="s">
        <v>4450</v>
      </c>
      <c r="E33" s="1015" t="s">
        <v>4451</v>
      </c>
      <c r="F33" s="1031" t="s">
        <v>4452</v>
      </c>
      <c r="G33" s="1015" t="s">
        <v>4453</v>
      </c>
      <c r="H33" s="1015">
        <v>2016</v>
      </c>
      <c r="I33" s="1015">
        <v>800</v>
      </c>
      <c r="J33" s="1015"/>
      <c r="K33" s="1015">
        <v>200</v>
      </c>
      <c r="L33" s="1015">
        <v>600</v>
      </c>
      <c r="M33" s="1015"/>
      <c r="N33" s="1015"/>
      <c r="O33" s="1015"/>
      <c r="P33" s="1015" t="s">
        <v>92</v>
      </c>
      <c r="Q33" s="1015" t="s">
        <v>936</v>
      </c>
      <c r="R33" s="1015" t="s">
        <v>4454</v>
      </c>
      <c r="S33" s="1015" t="s">
        <v>82</v>
      </c>
      <c r="T33" s="1015" t="s">
        <v>929</v>
      </c>
      <c r="U33" s="1015" t="s">
        <v>84</v>
      </c>
      <c r="V33" s="1015" t="s">
        <v>85</v>
      </c>
      <c r="W33" s="1015">
        <v>230</v>
      </c>
      <c r="X33" s="1015">
        <v>229.5</v>
      </c>
      <c r="Y33" s="1015">
        <v>0.5</v>
      </c>
      <c r="Z33" s="1015" t="s">
        <v>930</v>
      </c>
    </row>
    <row r="34" spans="1:26" ht="71.25" customHeight="1">
      <c r="A34" s="1016">
        <v>30</v>
      </c>
      <c r="B34" s="1016" t="s">
        <v>2602</v>
      </c>
      <c r="C34" s="1016" t="s">
        <v>4455</v>
      </c>
      <c r="D34" s="1015" t="s">
        <v>4456</v>
      </c>
      <c r="E34" s="1015" t="s">
        <v>4457</v>
      </c>
      <c r="F34" s="1031" t="s">
        <v>4458</v>
      </c>
      <c r="G34" s="1015" t="s">
        <v>4459</v>
      </c>
      <c r="H34" s="1015" t="s">
        <v>2111</v>
      </c>
      <c r="I34" s="1015">
        <v>2000</v>
      </c>
      <c r="J34" s="1015">
        <v>270</v>
      </c>
      <c r="K34" s="1015">
        <v>80</v>
      </c>
      <c r="L34" s="1015">
        <v>1650</v>
      </c>
      <c r="M34" s="1015"/>
      <c r="N34" s="1015" t="s">
        <v>927</v>
      </c>
      <c r="O34" s="1015" t="s">
        <v>1248</v>
      </c>
      <c r="P34" s="1015" t="s">
        <v>167</v>
      </c>
      <c r="Q34" s="1015" t="s">
        <v>4460</v>
      </c>
      <c r="R34" s="1015" t="s">
        <v>4461</v>
      </c>
      <c r="S34" s="1015" t="s">
        <v>82</v>
      </c>
      <c r="T34" s="1015" t="s">
        <v>83</v>
      </c>
      <c r="U34" s="1015" t="s">
        <v>2903</v>
      </c>
      <c r="V34" s="1015" t="s">
        <v>85</v>
      </c>
      <c r="W34" s="1015">
        <v>250</v>
      </c>
      <c r="X34" s="1015">
        <v>225</v>
      </c>
      <c r="Y34" s="1015">
        <v>25</v>
      </c>
      <c r="Z34" s="1015" t="s">
        <v>4462</v>
      </c>
    </row>
    <row r="35" spans="1:26" ht="71.25" customHeight="1">
      <c r="A35" s="1016">
        <v>31</v>
      </c>
      <c r="B35" s="1016" t="s">
        <v>2602</v>
      </c>
      <c r="C35" s="1016" t="s">
        <v>4455</v>
      </c>
      <c r="D35" s="1015" t="s">
        <v>4463</v>
      </c>
      <c r="E35" s="1015" t="s">
        <v>4464</v>
      </c>
      <c r="F35" s="1031" t="s">
        <v>4465</v>
      </c>
      <c r="G35" s="1015" t="s">
        <v>4466</v>
      </c>
      <c r="H35" s="1015" t="s">
        <v>1117</v>
      </c>
      <c r="I35" s="1015">
        <v>630</v>
      </c>
      <c r="J35" s="1015"/>
      <c r="K35" s="1015">
        <v>80</v>
      </c>
      <c r="L35" s="1015">
        <v>550</v>
      </c>
      <c r="M35" s="1015"/>
      <c r="N35" s="1015"/>
      <c r="O35" s="1015"/>
      <c r="P35" s="1015" t="s">
        <v>67</v>
      </c>
      <c r="Q35" s="1015" t="s">
        <v>936</v>
      </c>
      <c r="R35" s="1015" t="s">
        <v>3188</v>
      </c>
      <c r="S35" s="1015" t="s">
        <v>82</v>
      </c>
      <c r="T35" s="1015" t="s">
        <v>1103</v>
      </c>
      <c r="U35" s="1015" t="s">
        <v>4467</v>
      </c>
      <c r="V35" s="1015" t="s">
        <v>85</v>
      </c>
      <c r="W35" s="1015">
        <v>29</v>
      </c>
      <c r="X35" s="1015">
        <v>29</v>
      </c>
      <c r="Y35" s="1015"/>
      <c r="Z35" s="1015" t="s">
        <v>4468</v>
      </c>
    </row>
    <row r="36" spans="1:26" ht="71.25" customHeight="1">
      <c r="A36" s="1016">
        <v>32</v>
      </c>
      <c r="B36" s="1016" t="s">
        <v>2602</v>
      </c>
      <c r="C36" s="1016" t="s">
        <v>4469</v>
      </c>
      <c r="D36" s="1015" t="s">
        <v>4470</v>
      </c>
      <c r="E36" s="1015" t="s">
        <v>4471</v>
      </c>
      <c r="F36" s="1031" t="s">
        <v>4472</v>
      </c>
      <c r="G36" s="1015" t="s">
        <v>4473</v>
      </c>
      <c r="H36" s="1015" t="s">
        <v>2698</v>
      </c>
      <c r="I36" s="1015">
        <v>880</v>
      </c>
      <c r="J36" s="1015">
        <v>0</v>
      </c>
      <c r="K36" s="1015">
        <v>80</v>
      </c>
      <c r="L36" s="1015">
        <v>800</v>
      </c>
      <c r="M36" s="1015">
        <v>0</v>
      </c>
      <c r="N36" s="1015" t="s">
        <v>945</v>
      </c>
      <c r="O36" s="1015" t="s">
        <v>945</v>
      </c>
      <c r="P36" s="1015" t="s">
        <v>92</v>
      </c>
      <c r="Q36" s="1015" t="s">
        <v>92</v>
      </c>
      <c r="R36" s="1015" t="s">
        <v>4474</v>
      </c>
      <c r="S36" s="1015" t="s">
        <v>82</v>
      </c>
      <c r="T36" s="1015" t="s">
        <v>83</v>
      </c>
      <c r="U36" s="1015" t="s">
        <v>1141</v>
      </c>
      <c r="V36" s="1015" t="s">
        <v>1047</v>
      </c>
      <c r="W36" s="1015">
        <v>159</v>
      </c>
      <c r="X36" s="1015">
        <v>159</v>
      </c>
      <c r="Y36" s="1015">
        <v>0</v>
      </c>
      <c r="Z36" s="1015" t="s">
        <v>4475</v>
      </c>
    </row>
    <row r="37" spans="1:26" ht="71.25" customHeight="1">
      <c r="A37" s="1016">
        <v>33</v>
      </c>
      <c r="B37" s="1016" t="s">
        <v>2602</v>
      </c>
      <c r="C37" s="1016" t="s">
        <v>4476</v>
      </c>
      <c r="D37" s="1015" t="s">
        <v>4477</v>
      </c>
      <c r="E37" s="1015" t="s">
        <v>3620</v>
      </c>
      <c r="F37" s="1039" t="s">
        <v>4478</v>
      </c>
      <c r="G37" s="1015" t="s">
        <v>4479</v>
      </c>
      <c r="H37" s="1015" t="s">
        <v>4480</v>
      </c>
      <c r="I37" s="1015">
        <v>35</v>
      </c>
      <c r="J37" s="1015"/>
      <c r="K37" s="1015"/>
      <c r="L37" s="1015">
        <v>35</v>
      </c>
      <c r="M37" s="1015"/>
      <c r="N37" s="1015"/>
      <c r="O37" s="1015"/>
      <c r="P37" s="1015" t="s">
        <v>167</v>
      </c>
      <c r="Q37" s="1047" t="s">
        <v>936</v>
      </c>
      <c r="R37" s="1015" t="s">
        <v>4481</v>
      </c>
      <c r="S37" s="1015" t="s">
        <v>82</v>
      </c>
      <c r="T37" s="1015" t="s">
        <v>95</v>
      </c>
      <c r="U37" s="1015" t="s">
        <v>84</v>
      </c>
      <c r="V37" s="1015" t="s">
        <v>85</v>
      </c>
      <c r="W37" s="1015">
        <v>3</v>
      </c>
      <c r="X37" s="1015">
        <v>3</v>
      </c>
      <c r="Y37" s="1015"/>
      <c r="Z37" s="1015" t="s">
        <v>930</v>
      </c>
    </row>
    <row r="38" spans="1:26" ht="71.25" customHeight="1">
      <c r="A38" s="1016">
        <v>34</v>
      </c>
      <c r="B38" s="1016" t="s">
        <v>2602</v>
      </c>
      <c r="C38" s="1016" t="s">
        <v>4476</v>
      </c>
      <c r="D38" s="1015" t="s">
        <v>4482</v>
      </c>
      <c r="E38" s="1015" t="s">
        <v>4483</v>
      </c>
      <c r="F38" s="1031" t="s">
        <v>4484</v>
      </c>
      <c r="G38" s="1015" t="s">
        <v>4485</v>
      </c>
      <c r="H38" s="1015" t="s">
        <v>4486</v>
      </c>
      <c r="I38" s="1015">
        <v>180</v>
      </c>
      <c r="J38" s="1015"/>
      <c r="K38" s="1015"/>
      <c r="L38" s="1015">
        <v>180</v>
      </c>
      <c r="M38" s="1015"/>
      <c r="N38" s="1015"/>
      <c r="O38" s="1015"/>
      <c r="P38" s="1015" t="s">
        <v>105</v>
      </c>
      <c r="Q38" s="1047" t="s">
        <v>936</v>
      </c>
      <c r="R38" s="1015" t="s">
        <v>4487</v>
      </c>
      <c r="S38" s="1015" t="s">
        <v>82</v>
      </c>
      <c r="T38" s="1015" t="s">
        <v>929</v>
      </c>
      <c r="U38" s="1015" t="s">
        <v>84</v>
      </c>
      <c r="V38" s="1015" t="s">
        <v>85</v>
      </c>
      <c r="W38" s="1015"/>
      <c r="X38" s="1015"/>
      <c r="Y38" s="1015"/>
      <c r="Z38" s="1015" t="s">
        <v>930</v>
      </c>
    </row>
    <row r="39" spans="1:26" ht="71.25" customHeight="1">
      <c r="A39" s="1016">
        <v>35</v>
      </c>
      <c r="B39" s="1016" t="s">
        <v>2602</v>
      </c>
      <c r="C39" s="1016" t="s">
        <v>4476</v>
      </c>
      <c r="D39" s="1015" t="s">
        <v>4488</v>
      </c>
      <c r="E39" s="1015" t="s">
        <v>4489</v>
      </c>
      <c r="F39" s="1031" t="s">
        <v>4490</v>
      </c>
      <c r="G39" s="1015" t="s">
        <v>4491</v>
      </c>
      <c r="H39" s="1015" t="s">
        <v>1015</v>
      </c>
      <c r="I39" s="1015">
        <v>50</v>
      </c>
      <c r="J39" s="1015"/>
      <c r="K39" s="1015"/>
      <c r="L39" s="1015">
        <v>50</v>
      </c>
      <c r="M39" s="1015"/>
      <c r="N39" s="1015"/>
      <c r="O39" s="1015"/>
      <c r="P39" s="1015" t="s">
        <v>92</v>
      </c>
      <c r="Q39" s="1047" t="s">
        <v>936</v>
      </c>
      <c r="R39" s="1015" t="s">
        <v>4492</v>
      </c>
      <c r="S39" s="1015" t="s">
        <v>82</v>
      </c>
      <c r="T39" s="1015" t="s">
        <v>929</v>
      </c>
      <c r="U39" s="1015" t="s">
        <v>84</v>
      </c>
      <c r="V39" s="1015" t="s">
        <v>85</v>
      </c>
      <c r="W39" s="1015">
        <v>3</v>
      </c>
      <c r="X39" s="1015">
        <v>3</v>
      </c>
      <c r="Y39" s="1015"/>
      <c r="Z39" s="1015" t="s">
        <v>930</v>
      </c>
    </row>
    <row r="40" spans="1:26" ht="71.25" customHeight="1">
      <c r="A40" s="1016">
        <v>36</v>
      </c>
      <c r="B40" s="1016" t="s">
        <v>2602</v>
      </c>
      <c r="C40" s="1016" t="s">
        <v>4476</v>
      </c>
      <c r="D40" s="1015" t="s">
        <v>4493</v>
      </c>
      <c r="E40" s="1015" t="s">
        <v>4494</v>
      </c>
      <c r="F40" s="1031" t="s">
        <v>4495</v>
      </c>
      <c r="G40" s="1015" t="s">
        <v>4496</v>
      </c>
      <c r="H40" s="1015" t="s">
        <v>1990</v>
      </c>
      <c r="I40" s="1015">
        <v>90</v>
      </c>
      <c r="J40" s="1015"/>
      <c r="K40" s="1015"/>
      <c r="L40" s="1015">
        <v>90</v>
      </c>
      <c r="M40" s="1015"/>
      <c r="N40" s="1015"/>
      <c r="O40" s="1015"/>
      <c r="P40" s="1015" t="s">
        <v>67</v>
      </c>
      <c r="Q40" s="1047" t="s">
        <v>936</v>
      </c>
      <c r="R40" s="1015" t="s">
        <v>2930</v>
      </c>
      <c r="S40" s="1015" t="s">
        <v>82</v>
      </c>
      <c r="T40" s="1015" t="s">
        <v>83</v>
      </c>
      <c r="U40" s="1015" t="s">
        <v>4497</v>
      </c>
      <c r="V40" s="1015" t="s">
        <v>85</v>
      </c>
      <c r="W40" s="1015">
        <v>18</v>
      </c>
      <c r="X40" s="1015">
        <v>18</v>
      </c>
      <c r="Y40" s="1015"/>
      <c r="Z40" s="1015" t="s">
        <v>2125</v>
      </c>
    </row>
    <row r="41" spans="1:26" ht="71.25" customHeight="1">
      <c r="A41" s="1016">
        <v>37</v>
      </c>
      <c r="B41" s="1016" t="s">
        <v>2602</v>
      </c>
      <c r="C41" s="1016" t="s">
        <v>4476</v>
      </c>
      <c r="D41" s="1015" t="s">
        <v>4498</v>
      </c>
      <c r="E41" s="1015" t="s">
        <v>4499</v>
      </c>
      <c r="F41" s="1031" t="s">
        <v>4500</v>
      </c>
      <c r="G41" s="1015" t="s">
        <v>4501</v>
      </c>
      <c r="H41" s="1015" t="s">
        <v>4502</v>
      </c>
      <c r="I41" s="1015">
        <v>100</v>
      </c>
      <c r="J41" s="1015"/>
      <c r="K41" s="1015"/>
      <c r="L41" s="1015">
        <v>100</v>
      </c>
      <c r="M41" s="1015"/>
      <c r="N41" s="1015"/>
      <c r="O41" s="1015"/>
      <c r="P41" s="1015" t="s">
        <v>105</v>
      </c>
      <c r="Q41" s="1047" t="s">
        <v>936</v>
      </c>
      <c r="R41" s="1015" t="s">
        <v>4503</v>
      </c>
      <c r="S41" s="1015" t="s">
        <v>82</v>
      </c>
      <c r="T41" s="1015" t="s">
        <v>83</v>
      </c>
      <c r="U41" s="1015" t="s">
        <v>4299</v>
      </c>
      <c r="V41" s="1015" t="s">
        <v>85</v>
      </c>
      <c r="W41" s="1015">
        <v>10</v>
      </c>
      <c r="X41" s="1015">
        <v>10</v>
      </c>
      <c r="Y41" s="1015"/>
      <c r="Z41" s="1015" t="s">
        <v>930</v>
      </c>
    </row>
    <row r="42" spans="1:26" ht="71.25" customHeight="1">
      <c r="A42" s="1016">
        <v>38</v>
      </c>
      <c r="B42" s="1016" t="s">
        <v>2602</v>
      </c>
      <c r="C42" s="1016" t="s">
        <v>4476</v>
      </c>
      <c r="D42" s="1015" t="s">
        <v>4504</v>
      </c>
      <c r="E42" s="1015" t="s">
        <v>2609</v>
      </c>
      <c r="F42" s="1031" t="s">
        <v>4505</v>
      </c>
      <c r="G42" s="1015" t="s">
        <v>4506</v>
      </c>
      <c r="H42" s="1015" t="s">
        <v>1015</v>
      </c>
      <c r="I42" s="1015">
        <v>572</v>
      </c>
      <c r="J42" s="1015">
        <v>92</v>
      </c>
      <c r="K42" s="1015">
        <v>80</v>
      </c>
      <c r="L42" s="1015">
        <v>400</v>
      </c>
      <c r="M42" s="1015"/>
      <c r="N42" s="1015" t="s">
        <v>927</v>
      </c>
      <c r="O42" s="1015" t="s">
        <v>4507</v>
      </c>
      <c r="P42" s="1015" t="s">
        <v>92</v>
      </c>
      <c r="Q42" s="1047" t="s">
        <v>1249</v>
      </c>
      <c r="R42" s="1015" t="s">
        <v>4508</v>
      </c>
      <c r="S42" s="1015" t="s">
        <v>82</v>
      </c>
      <c r="T42" s="1015" t="s">
        <v>929</v>
      </c>
      <c r="U42" s="1015" t="s">
        <v>4299</v>
      </c>
      <c r="V42" s="1015" t="s">
        <v>1064</v>
      </c>
      <c r="W42" s="1015">
        <v>268</v>
      </c>
      <c r="X42" s="1015">
        <v>268</v>
      </c>
      <c r="Y42" s="1015"/>
      <c r="Z42" s="1015" t="s">
        <v>930</v>
      </c>
    </row>
    <row r="43" spans="1:26" ht="71.25" customHeight="1">
      <c r="A43" s="1016">
        <v>39</v>
      </c>
      <c r="B43" s="1016" t="s">
        <v>2602</v>
      </c>
      <c r="C43" s="1016" t="s">
        <v>4509</v>
      </c>
      <c r="D43" s="1015" t="s">
        <v>4510</v>
      </c>
      <c r="E43" s="1015" t="s">
        <v>2035</v>
      </c>
      <c r="F43" s="1031" t="s">
        <v>4511</v>
      </c>
      <c r="G43" s="1015" t="s">
        <v>4512</v>
      </c>
      <c r="H43" s="1015" t="s">
        <v>4513</v>
      </c>
      <c r="I43" s="1015">
        <v>650</v>
      </c>
      <c r="J43" s="1015">
        <v>70</v>
      </c>
      <c r="K43" s="1015">
        <v>80</v>
      </c>
      <c r="L43" s="1015">
        <v>500</v>
      </c>
      <c r="M43" s="1015"/>
      <c r="N43" s="1015" t="s">
        <v>927</v>
      </c>
      <c r="O43" s="1015" t="s">
        <v>1248</v>
      </c>
      <c r="P43" s="1015" t="s">
        <v>92</v>
      </c>
      <c r="Q43" s="1015" t="s">
        <v>928</v>
      </c>
      <c r="R43" s="1015" t="s">
        <v>4514</v>
      </c>
      <c r="S43" s="1015" t="s">
        <v>82</v>
      </c>
      <c r="T43" s="1015" t="s">
        <v>929</v>
      </c>
      <c r="U43" s="1015" t="s">
        <v>1141</v>
      </c>
      <c r="V43" s="1015" t="s">
        <v>85</v>
      </c>
      <c r="W43" s="1015">
        <v>107</v>
      </c>
      <c r="X43" s="1015">
        <v>105</v>
      </c>
      <c r="Y43" s="1015">
        <v>2</v>
      </c>
      <c r="Z43" s="1015" t="s">
        <v>4515</v>
      </c>
    </row>
    <row r="44" spans="1:26" ht="71.25" customHeight="1">
      <c r="A44" s="1016">
        <v>40</v>
      </c>
      <c r="B44" s="1016" t="s">
        <v>2602</v>
      </c>
      <c r="C44" s="1016" t="s">
        <v>4509</v>
      </c>
      <c r="D44" s="1015" t="s">
        <v>4516</v>
      </c>
      <c r="E44" s="1015" t="s">
        <v>3614</v>
      </c>
      <c r="F44" s="1031" t="s">
        <v>4517</v>
      </c>
      <c r="G44" s="1015" t="s">
        <v>4518</v>
      </c>
      <c r="H44" s="1015" t="s">
        <v>4519</v>
      </c>
      <c r="I44" s="1015">
        <v>27</v>
      </c>
      <c r="J44" s="1015"/>
      <c r="K44" s="1015"/>
      <c r="L44" s="1015">
        <v>20</v>
      </c>
      <c r="M44" s="1015">
        <v>7</v>
      </c>
      <c r="N44" s="1015"/>
      <c r="O44" s="1015"/>
      <c r="P44" s="1015" t="s">
        <v>124</v>
      </c>
      <c r="Q44" s="1015" t="s">
        <v>1141</v>
      </c>
      <c r="R44" s="1015" t="s">
        <v>1011</v>
      </c>
      <c r="S44" s="1048" t="s">
        <v>82</v>
      </c>
      <c r="T44" s="1015" t="s">
        <v>929</v>
      </c>
      <c r="U44" s="1015" t="s">
        <v>1141</v>
      </c>
      <c r="V44" s="1015" t="s">
        <v>85</v>
      </c>
      <c r="W44" s="1015">
        <v>3</v>
      </c>
      <c r="X44" s="1015">
        <v>3</v>
      </c>
      <c r="Y44" s="1049"/>
      <c r="Z44" s="1015" t="s">
        <v>4520</v>
      </c>
    </row>
    <row r="45" spans="1:26" ht="71.25" customHeight="1">
      <c r="A45" s="1016">
        <v>41</v>
      </c>
      <c r="B45" s="1016" t="s">
        <v>2602</v>
      </c>
      <c r="C45" s="1016" t="s">
        <v>4521</v>
      </c>
      <c r="D45" s="1015" t="s">
        <v>4522</v>
      </c>
      <c r="E45" s="1015" t="s">
        <v>4523</v>
      </c>
      <c r="F45" s="1031" t="s">
        <v>4524</v>
      </c>
      <c r="G45" s="1015" t="s">
        <v>4525</v>
      </c>
      <c r="H45" s="1015" t="s">
        <v>3615</v>
      </c>
      <c r="I45" s="1015">
        <v>120</v>
      </c>
      <c r="J45" s="1015"/>
      <c r="K45" s="1015"/>
      <c r="L45" s="1015">
        <v>80</v>
      </c>
      <c r="M45" s="1015">
        <v>40</v>
      </c>
      <c r="N45" s="1015"/>
      <c r="O45" s="1015"/>
      <c r="P45" s="1015" t="s">
        <v>167</v>
      </c>
      <c r="Q45" s="1015" t="s">
        <v>936</v>
      </c>
      <c r="R45" s="1015" t="s">
        <v>4324</v>
      </c>
      <c r="S45" s="1015" t="s">
        <v>82</v>
      </c>
      <c r="T45" s="1015" t="s">
        <v>929</v>
      </c>
      <c r="U45" s="1015" t="s">
        <v>1141</v>
      </c>
      <c r="V45" s="1015" t="s">
        <v>1064</v>
      </c>
      <c r="W45" s="1015">
        <v>401</v>
      </c>
      <c r="X45" s="1015">
        <v>401</v>
      </c>
      <c r="Y45" s="1015"/>
      <c r="Z45" s="1015" t="s">
        <v>4526</v>
      </c>
    </row>
    <row r="46" spans="1:26" ht="71.25" customHeight="1">
      <c r="A46" s="1016">
        <v>42</v>
      </c>
      <c r="B46" s="1016" t="s">
        <v>2602</v>
      </c>
      <c r="C46" s="1016" t="s">
        <v>4521</v>
      </c>
      <c r="D46" s="1015" t="s">
        <v>4527</v>
      </c>
      <c r="E46" s="1015" t="s">
        <v>4528</v>
      </c>
      <c r="F46" s="1031" t="s">
        <v>4529</v>
      </c>
      <c r="G46" s="1015" t="s">
        <v>4530</v>
      </c>
      <c r="H46" s="1015" t="s">
        <v>1768</v>
      </c>
      <c r="I46" s="1015">
        <v>250</v>
      </c>
      <c r="J46" s="1015"/>
      <c r="K46" s="1015"/>
      <c r="L46" s="1015">
        <v>200</v>
      </c>
      <c r="M46" s="1015">
        <v>50</v>
      </c>
      <c r="N46" s="1015"/>
      <c r="O46" s="1015"/>
      <c r="P46" s="1015" t="s">
        <v>92</v>
      </c>
      <c r="Q46" s="1015" t="s">
        <v>936</v>
      </c>
      <c r="R46" s="1015" t="s">
        <v>4531</v>
      </c>
      <c r="S46" s="1015" t="s">
        <v>82</v>
      </c>
      <c r="T46" s="1015" t="s">
        <v>929</v>
      </c>
      <c r="U46" s="1015" t="s">
        <v>1141</v>
      </c>
      <c r="V46" s="1015" t="s">
        <v>4532</v>
      </c>
      <c r="W46" s="1015">
        <v>152</v>
      </c>
      <c r="X46" s="1015">
        <v>152</v>
      </c>
      <c r="Y46" s="1015"/>
      <c r="Z46" s="1015" t="s">
        <v>4533</v>
      </c>
    </row>
    <row r="47" spans="1:26" ht="71.25" customHeight="1">
      <c r="A47" s="1016">
        <v>43</v>
      </c>
      <c r="B47" s="1016" t="s">
        <v>2602</v>
      </c>
      <c r="C47" s="1016" t="s">
        <v>4521</v>
      </c>
      <c r="D47" s="1015" t="s">
        <v>4534</v>
      </c>
      <c r="E47" s="1015" t="s">
        <v>4535</v>
      </c>
      <c r="F47" s="1031" t="s">
        <v>4536</v>
      </c>
      <c r="G47" s="1015" t="s">
        <v>4537</v>
      </c>
      <c r="H47" s="1015" t="s">
        <v>4538</v>
      </c>
      <c r="I47" s="1015">
        <v>160</v>
      </c>
      <c r="J47" s="1015"/>
      <c r="K47" s="1015"/>
      <c r="L47" s="1015">
        <v>150</v>
      </c>
      <c r="M47" s="1015">
        <v>10</v>
      </c>
      <c r="N47" s="1015"/>
      <c r="O47" s="1015"/>
      <c r="P47" s="1015" t="s">
        <v>167</v>
      </c>
      <c r="Q47" s="1015" t="s">
        <v>936</v>
      </c>
      <c r="R47" s="1015" t="s">
        <v>4539</v>
      </c>
      <c r="S47" s="1015" t="s">
        <v>82</v>
      </c>
      <c r="T47" s="1015" t="s">
        <v>929</v>
      </c>
      <c r="U47" s="1015" t="s">
        <v>1141</v>
      </c>
      <c r="V47" s="1015" t="s">
        <v>4540</v>
      </c>
      <c r="W47" s="1015">
        <v>43</v>
      </c>
      <c r="X47" s="1015">
        <v>43</v>
      </c>
      <c r="Y47" s="1015"/>
      <c r="Z47" s="1015" t="s">
        <v>4541</v>
      </c>
    </row>
    <row r="48" spans="1:26" ht="71.25" customHeight="1">
      <c r="A48" s="1016">
        <v>44</v>
      </c>
      <c r="B48" s="1016" t="s">
        <v>2602</v>
      </c>
      <c r="C48" s="1016" t="s">
        <v>4521</v>
      </c>
      <c r="D48" s="1015" t="s">
        <v>4542</v>
      </c>
      <c r="E48" s="1015" t="s">
        <v>1800</v>
      </c>
      <c r="F48" s="1031" t="s">
        <v>4543</v>
      </c>
      <c r="G48" s="1437" t="s">
        <v>6320</v>
      </c>
      <c r="H48" s="1015" t="s">
        <v>3642</v>
      </c>
      <c r="I48" s="1015">
        <v>85</v>
      </c>
      <c r="J48" s="1015"/>
      <c r="K48" s="1015" t="s">
        <v>1702</v>
      </c>
      <c r="L48" s="1015">
        <v>50</v>
      </c>
      <c r="M48" s="1015">
        <v>35</v>
      </c>
      <c r="N48" s="1015"/>
      <c r="O48" s="1015"/>
      <c r="P48" s="1015" t="s">
        <v>92</v>
      </c>
      <c r="Q48" s="1015" t="s">
        <v>936</v>
      </c>
      <c r="R48" s="1015" t="s">
        <v>4544</v>
      </c>
      <c r="S48" s="1015" t="s">
        <v>82</v>
      </c>
      <c r="T48" s="1015" t="s">
        <v>929</v>
      </c>
      <c r="U48" s="1015" t="s">
        <v>1141</v>
      </c>
      <c r="V48" s="1015" t="s">
        <v>4540</v>
      </c>
      <c r="W48" s="1015"/>
      <c r="X48" s="1015" t="s">
        <v>4545</v>
      </c>
      <c r="Y48" s="1015"/>
      <c r="Z48" s="1015" t="s">
        <v>4546</v>
      </c>
    </row>
    <row r="49" spans="1:26" ht="71.25" customHeight="1">
      <c r="A49" s="1016">
        <v>45</v>
      </c>
      <c r="B49" s="1016" t="s">
        <v>2602</v>
      </c>
      <c r="C49" s="1016" t="s">
        <v>4521</v>
      </c>
      <c r="D49" s="1015" t="s">
        <v>4547</v>
      </c>
      <c r="E49" s="1015" t="s">
        <v>4548</v>
      </c>
      <c r="F49" s="1031" t="s">
        <v>4549</v>
      </c>
      <c r="G49" s="1015" t="s">
        <v>4550</v>
      </c>
      <c r="H49" s="1015" t="s">
        <v>4551</v>
      </c>
      <c r="I49" s="1015">
        <v>860</v>
      </c>
      <c r="J49" s="1015">
        <v>70</v>
      </c>
      <c r="K49" s="1015">
        <v>80</v>
      </c>
      <c r="L49" s="1015">
        <v>660</v>
      </c>
      <c r="M49" s="1015">
        <v>50</v>
      </c>
      <c r="N49" s="1015" t="s">
        <v>927</v>
      </c>
      <c r="O49" s="1015" t="s">
        <v>1248</v>
      </c>
      <c r="P49" s="1015" t="s">
        <v>105</v>
      </c>
      <c r="Q49" s="1015" t="s">
        <v>4552</v>
      </c>
      <c r="R49" s="1015" t="s">
        <v>4553</v>
      </c>
      <c r="S49" s="1015" t="s">
        <v>82</v>
      </c>
      <c r="T49" s="1015" t="s">
        <v>83</v>
      </c>
      <c r="U49" s="1015" t="s">
        <v>4299</v>
      </c>
      <c r="V49" s="1015" t="s">
        <v>4532</v>
      </c>
      <c r="W49" s="1015">
        <v>157</v>
      </c>
      <c r="X49" s="1015">
        <v>154</v>
      </c>
      <c r="Y49" s="1015">
        <v>3</v>
      </c>
      <c r="Z49" s="1015" t="s">
        <v>4554</v>
      </c>
    </row>
    <row r="50" spans="1:26" ht="71.25" customHeight="1">
      <c r="A50" s="1016">
        <v>46</v>
      </c>
      <c r="B50" s="1016" t="s">
        <v>2602</v>
      </c>
      <c r="C50" s="1016" t="s">
        <v>4521</v>
      </c>
      <c r="D50" s="1015" t="s">
        <v>4555</v>
      </c>
      <c r="E50" s="1015" t="s">
        <v>4556</v>
      </c>
      <c r="F50" s="1031" t="s">
        <v>4557</v>
      </c>
      <c r="G50" s="1015" t="s">
        <v>4558</v>
      </c>
      <c r="H50" s="1015" t="s">
        <v>2453</v>
      </c>
      <c r="I50" s="1015">
        <v>0</v>
      </c>
      <c r="J50" s="1015" t="s">
        <v>952</v>
      </c>
      <c r="K50" s="1015"/>
      <c r="L50" s="1015"/>
      <c r="M50" s="1015"/>
      <c r="N50" s="1015"/>
      <c r="O50" s="1015"/>
      <c r="P50" s="1015" t="s">
        <v>167</v>
      </c>
      <c r="Q50" s="1015" t="s">
        <v>936</v>
      </c>
      <c r="R50" s="1015" t="s">
        <v>4559</v>
      </c>
      <c r="S50" s="1015" t="s">
        <v>82</v>
      </c>
      <c r="T50" s="1015" t="s">
        <v>929</v>
      </c>
      <c r="U50" s="1015" t="s">
        <v>1141</v>
      </c>
      <c r="V50" s="1015" t="s">
        <v>4532</v>
      </c>
      <c r="W50" s="1015">
        <v>200</v>
      </c>
      <c r="X50" s="1015">
        <v>200</v>
      </c>
      <c r="Y50" s="1015"/>
      <c r="Z50" s="1015" t="s">
        <v>4560</v>
      </c>
    </row>
    <row r="51" spans="1:26" ht="71.25" customHeight="1">
      <c r="A51" s="1016">
        <v>47</v>
      </c>
      <c r="B51" s="1016" t="s">
        <v>2602</v>
      </c>
      <c r="C51" s="1016" t="s">
        <v>4561</v>
      </c>
      <c r="D51" s="1039" t="s">
        <v>4562</v>
      </c>
      <c r="E51" s="1015" t="s">
        <v>2776</v>
      </c>
      <c r="F51" s="1031" t="s">
        <v>4563</v>
      </c>
      <c r="G51" s="1039" t="s">
        <v>4564</v>
      </c>
      <c r="H51" s="1015" t="s">
        <v>2136</v>
      </c>
      <c r="I51" s="1015">
        <v>940</v>
      </c>
      <c r="J51" s="1015"/>
      <c r="K51" s="1015">
        <v>100</v>
      </c>
      <c r="L51" s="1015">
        <v>840</v>
      </c>
      <c r="M51" s="1015"/>
      <c r="N51" s="1015"/>
      <c r="O51" s="1015"/>
      <c r="P51" s="1015" t="s">
        <v>105</v>
      </c>
      <c r="Q51" s="1015" t="s">
        <v>913</v>
      </c>
      <c r="R51" s="1015" t="s">
        <v>4565</v>
      </c>
      <c r="S51" s="1015" t="s">
        <v>82</v>
      </c>
      <c r="T51" s="1015" t="s">
        <v>929</v>
      </c>
      <c r="U51" s="1015"/>
      <c r="V51" s="1015" t="s">
        <v>3637</v>
      </c>
      <c r="W51" s="1015">
        <v>162</v>
      </c>
      <c r="X51" s="1015">
        <v>162</v>
      </c>
      <c r="Y51" s="1015"/>
      <c r="Z51" s="1015" t="s">
        <v>4566</v>
      </c>
    </row>
    <row r="52" spans="1:26" ht="71.25" customHeight="1">
      <c r="A52" s="1016">
        <v>48</v>
      </c>
      <c r="B52" s="1016" t="s">
        <v>2602</v>
      </c>
      <c r="C52" s="1016" t="s">
        <v>4561</v>
      </c>
      <c r="D52" s="1039" t="s">
        <v>4567</v>
      </c>
      <c r="E52" s="1015" t="s">
        <v>4568</v>
      </c>
      <c r="F52" s="1031" t="s">
        <v>4569</v>
      </c>
      <c r="G52" s="1039" t="s">
        <v>4570</v>
      </c>
      <c r="H52" s="1015" t="s">
        <v>972</v>
      </c>
      <c r="I52" s="1015">
        <v>25</v>
      </c>
      <c r="J52" s="1015"/>
      <c r="K52" s="1015"/>
      <c r="L52" s="1015">
        <v>25</v>
      </c>
      <c r="M52" s="1015"/>
      <c r="N52" s="1015"/>
      <c r="O52" s="1015"/>
      <c r="P52" s="1015" t="s">
        <v>167</v>
      </c>
      <c r="Q52" s="1015" t="s">
        <v>913</v>
      </c>
      <c r="R52" s="1015" t="s">
        <v>1011</v>
      </c>
      <c r="S52" s="1015" t="s">
        <v>82</v>
      </c>
      <c r="T52" s="1015" t="s">
        <v>929</v>
      </c>
      <c r="U52" s="1015" t="s">
        <v>3627</v>
      </c>
      <c r="V52" s="1015" t="s">
        <v>3637</v>
      </c>
      <c r="W52" s="1015">
        <v>21</v>
      </c>
      <c r="X52" s="1015">
        <v>21</v>
      </c>
      <c r="Y52" s="1015"/>
      <c r="Z52" s="1015" t="s">
        <v>4571</v>
      </c>
    </row>
    <row r="53" spans="1:26" ht="71.25" customHeight="1">
      <c r="A53" s="1016">
        <v>49</v>
      </c>
      <c r="B53" s="1016" t="s">
        <v>2602</v>
      </c>
      <c r="C53" s="1016" t="s">
        <v>4561</v>
      </c>
      <c r="D53" s="1039" t="s">
        <v>4572</v>
      </c>
      <c r="E53" s="1015" t="s">
        <v>3296</v>
      </c>
      <c r="F53" s="1031" t="s">
        <v>4573</v>
      </c>
      <c r="G53" s="1039" t="s">
        <v>4574</v>
      </c>
      <c r="H53" s="1015" t="s">
        <v>2727</v>
      </c>
      <c r="I53" s="1015">
        <v>90</v>
      </c>
      <c r="J53" s="1015"/>
      <c r="K53" s="1015"/>
      <c r="L53" s="1015">
        <v>90</v>
      </c>
      <c r="M53" s="1015"/>
      <c r="N53" s="1015"/>
      <c r="O53" s="1015"/>
      <c r="P53" s="1015" t="s">
        <v>92</v>
      </c>
      <c r="Q53" s="1015" t="s">
        <v>913</v>
      </c>
      <c r="R53" s="1015" t="s">
        <v>4575</v>
      </c>
      <c r="S53" s="1015" t="s">
        <v>82</v>
      </c>
      <c r="T53" s="1015" t="s">
        <v>929</v>
      </c>
      <c r="U53" s="1015" t="s">
        <v>3627</v>
      </c>
      <c r="V53" s="1015" t="s">
        <v>3637</v>
      </c>
      <c r="W53" s="1015">
        <v>30</v>
      </c>
      <c r="X53" s="1015">
        <v>30</v>
      </c>
      <c r="Y53" s="1015"/>
      <c r="Z53" s="1015" t="s">
        <v>4576</v>
      </c>
    </row>
    <row r="54" spans="1:26" ht="71.25" customHeight="1">
      <c r="A54" s="1016">
        <v>50</v>
      </c>
      <c r="B54" s="1016" t="s">
        <v>2602</v>
      </c>
      <c r="C54" s="1016" t="s">
        <v>4561</v>
      </c>
      <c r="D54" s="1039" t="s">
        <v>4577</v>
      </c>
      <c r="E54" s="1015" t="s">
        <v>4578</v>
      </c>
      <c r="F54" s="1031" t="s">
        <v>4579</v>
      </c>
      <c r="G54" s="1039" t="s">
        <v>4580</v>
      </c>
      <c r="H54" s="1015" t="s">
        <v>4581</v>
      </c>
      <c r="I54" s="1015">
        <v>20</v>
      </c>
      <c r="J54" s="1015"/>
      <c r="K54" s="1015"/>
      <c r="L54" s="1015">
        <v>20</v>
      </c>
      <c r="M54" s="1015"/>
      <c r="N54" s="1015"/>
      <c r="O54" s="1015"/>
      <c r="P54" s="1015" t="s">
        <v>92</v>
      </c>
      <c r="Q54" s="1015" t="s">
        <v>913</v>
      </c>
      <c r="R54" s="1015" t="s">
        <v>4582</v>
      </c>
      <c r="S54" s="1015" t="s">
        <v>82</v>
      </c>
      <c r="T54" s="1015" t="s">
        <v>95</v>
      </c>
      <c r="U54" s="1015" t="s">
        <v>3627</v>
      </c>
      <c r="V54" s="1015" t="s">
        <v>3637</v>
      </c>
      <c r="W54" s="1015">
        <v>20</v>
      </c>
      <c r="X54" s="1015">
        <v>20</v>
      </c>
      <c r="Y54" s="1015"/>
      <c r="Z54" s="1015" t="s">
        <v>4583</v>
      </c>
    </row>
    <row r="55" spans="1:26">
      <c r="A55" s="1050"/>
      <c r="B55" s="1051"/>
      <c r="C55" s="1051"/>
      <c r="D55" s="1051"/>
      <c r="E55" s="1051"/>
      <c r="F55" s="1051"/>
      <c r="G55" s="1051"/>
      <c r="H55" s="1051"/>
      <c r="I55" s="1051"/>
      <c r="J55" s="1051"/>
      <c r="K55" s="1051"/>
      <c r="L55" s="1051"/>
      <c r="M55" s="1051"/>
      <c r="N55" s="1051"/>
      <c r="O55" s="1051"/>
      <c r="P55" s="1051"/>
      <c r="Q55" s="1051"/>
      <c r="R55" s="1051"/>
      <c r="S55" s="1051"/>
      <c r="T55" s="1051"/>
      <c r="U55" s="1051"/>
      <c r="V55" s="1051"/>
      <c r="W55" s="1052"/>
      <c r="X55" s="1051"/>
      <c r="Y55" s="1051"/>
      <c r="Z55" s="1051"/>
    </row>
    <row r="56" spans="1:26">
      <c r="A56" s="1050"/>
      <c r="B56" s="1051"/>
      <c r="C56" s="1051"/>
      <c r="D56" s="1051"/>
      <c r="E56" s="1051"/>
      <c r="F56" s="1051"/>
      <c r="G56" s="1051"/>
      <c r="H56" s="1051"/>
      <c r="I56" s="1051"/>
      <c r="J56" s="1051"/>
      <c r="K56" s="1051"/>
      <c r="L56" s="1051"/>
      <c r="M56" s="1051"/>
      <c r="N56" s="1051"/>
      <c r="O56" s="1051"/>
      <c r="P56" s="1051"/>
      <c r="Q56" s="1051"/>
      <c r="R56" s="1051"/>
      <c r="S56" s="1051"/>
      <c r="T56" s="1051"/>
      <c r="U56" s="1051"/>
      <c r="V56" s="1051"/>
      <c r="W56" s="1052"/>
      <c r="X56" s="1051"/>
      <c r="Y56" s="1051"/>
      <c r="Z56" s="1051"/>
    </row>
    <row r="57" spans="1:26">
      <c r="A57" s="1050"/>
      <c r="B57" s="1051"/>
      <c r="C57" s="1051"/>
      <c r="D57" s="1051"/>
      <c r="E57" s="1051"/>
      <c r="F57" s="1051"/>
      <c r="G57" s="1051"/>
      <c r="H57" s="1051"/>
      <c r="I57" s="1051"/>
      <c r="J57" s="1051"/>
      <c r="K57" s="1051"/>
      <c r="L57" s="1051"/>
      <c r="M57" s="1051"/>
      <c r="N57" s="1051"/>
      <c r="O57" s="1051"/>
      <c r="P57" s="1051"/>
      <c r="Q57" s="1051"/>
      <c r="R57" s="1051"/>
      <c r="S57" s="1051"/>
      <c r="T57" s="1051"/>
      <c r="U57" s="1051"/>
      <c r="V57" s="1051"/>
      <c r="W57" s="1052"/>
      <c r="X57" s="1051"/>
      <c r="Y57" s="1051"/>
      <c r="Z57" s="1051"/>
    </row>
    <row r="58" spans="1:26">
      <c r="A58" s="1050"/>
      <c r="B58" s="1051"/>
      <c r="C58" s="1051"/>
      <c r="D58" s="1051"/>
      <c r="E58" s="1051"/>
      <c r="F58" s="1051"/>
      <c r="G58" s="1051"/>
      <c r="H58" s="1051"/>
      <c r="I58" s="1051"/>
      <c r="J58" s="1051"/>
      <c r="K58" s="1051"/>
      <c r="L58" s="1051"/>
      <c r="M58" s="1051"/>
      <c r="N58" s="1051"/>
      <c r="O58" s="1051"/>
      <c r="P58" s="1051"/>
      <c r="Q58" s="1051"/>
      <c r="R58" s="1051"/>
      <c r="S58" s="1051"/>
      <c r="T58" s="1051"/>
      <c r="U58" s="1051"/>
      <c r="V58" s="1051"/>
      <c r="W58" s="1052"/>
      <c r="X58" s="1051"/>
      <c r="Y58" s="1051"/>
      <c r="Z58" s="1051"/>
    </row>
    <row r="59" spans="1:26">
      <c r="A59" s="1050"/>
      <c r="B59" s="1051"/>
      <c r="C59" s="1051"/>
      <c r="D59" s="1051"/>
      <c r="E59" s="1051"/>
      <c r="F59" s="1051"/>
      <c r="G59" s="1051"/>
      <c r="H59" s="1051"/>
      <c r="I59" s="1051"/>
      <c r="J59" s="1051"/>
      <c r="K59" s="1051"/>
      <c r="L59" s="1051"/>
      <c r="M59" s="1051"/>
      <c r="N59" s="1051"/>
      <c r="O59" s="1051"/>
      <c r="P59" s="1051"/>
      <c r="Q59" s="1051"/>
      <c r="R59" s="1051"/>
      <c r="S59" s="1051"/>
      <c r="T59" s="1051"/>
      <c r="U59" s="1051"/>
      <c r="V59" s="1051"/>
      <c r="W59" s="1052"/>
      <c r="X59" s="1051"/>
      <c r="Y59" s="1051"/>
      <c r="Z59" s="1051"/>
    </row>
    <row r="60" spans="1:26">
      <c r="A60" s="1050"/>
      <c r="B60" s="1051"/>
      <c r="C60" s="1051"/>
      <c r="D60" s="1051"/>
      <c r="E60" s="1051"/>
      <c r="F60" s="1051"/>
      <c r="G60" s="1051"/>
      <c r="H60" s="1051"/>
      <c r="I60" s="1051"/>
      <c r="J60" s="1051"/>
      <c r="K60" s="1051"/>
      <c r="L60" s="1051"/>
      <c r="M60" s="1051"/>
      <c r="N60" s="1051"/>
      <c r="O60" s="1051"/>
      <c r="P60" s="1051"/>
      <c r="Q60" s="1051"/>
      <c r="R60" s="1051"/>
      <c r="S60" s="1051"/>
      <c r="T60" s="1051"/>
      <c r="U60" s="1051"/>
      <c r="V60" s="1051"/>
      <c r="W60" s="1052"/>
      <c r="X60" s="1051"/>
      <c r="Y60" s="1051"/>
      <c r="Z60" s="1051"/>
    </row>
    <row r="61" spans="1:26">
      <c r="A61" s="1050"/>
      <c r="B61" s="1051"/>
      <c r="C61" s="1051"/>
      <c r="D61" s="1051"/>
      <c r="E61" s="1051"/>
      <c r="F61" s="1051"/>
      <c r="G61" s="1051"/>
      <c r="H61" s="1051"/>
      <c r="I61" s="1051"/>
      <c r="J61" s="1051"/>
      <c r="K61" s="1051"/>
      <c r="L61" s="1051"/>
      <c r="M61" s="1051"/>
      <c r="N61" s="1051"/>
      <c r="O61" s="1051"/>
      <c r="P61" s="1051"/>
      <c r="Q61" s="1051"/>
      <c r="R61" s="1051"/>
      <c r="S61" s="1051"/>
      <c r="T61" s="1051"/>
      <c r="U61" s="1051"/>
      <c r="V61" s="1051"/>
      <c r="W61" s="1052"/>
      <c r="X61" s="1051"/>
      <c r="Y61" s="1051"/>
      <c r="Z61" s="1051"/>
    </row>
    <row r="62" spans="1:26">
      <c r="A62" s="1050"/>
      <c r="B62" s="1051"/>
      <c r="C62" s="1051"/>
      <c r="D62" s="1051"/>
      <c r="E62" s="1051"/>
      <c r="F62" s="1051"/>
      <c r="G62" s="1051"/>
      <c r="H62" s="1051"/>
      <c r="I62" s="1051"/>
      <c r="J62" s="1051"/>
      <c r="K62" s="1051"/>
      <c r="L62" s="1051"/>
      <c r="M62" s="1051"/>
      <c r="N62" s="1051"/>
      <c r="O62" s="1051"/>
      <c r="P62" s="1051"/>
      <c r="Q62" s="1051"/>
      <c r="R62" s="1051"/>
      <c r="S62" s="1051"/>
      <c r="T62" s="1051"/>
      <c r="U62" s="1051"/>
      <c r="V62" s="1051"/>
      <c r="W62" s="1052"/>
      <c r="X62" s="1051"/>
      <c r="Y62" s="1051"/>
      <c r="Z62" s="1051"/>
    </row>
    <row r="63" spans="1:26">
      <c r="A63" s="1050"/>
      <c r="B63" s="1053"/>
      <c r="C63" s="1053"/>
      <c r="D63" s="1054"/>
      <c r="E63" s="1054"/>
      <c r="F63" s="1054"/>
      <c r="G63" s="1054"/>
      <c r="H63" s="1054"/>
      <c r="I63" s="1054"/>
      <c r="J63" s="1054"/>
      <c r="K63" s="1054"/>
      <c r="L63" s="1054"/>
      <c r="M63" s="1054"/>
      <c r="N63" s="1054"/>
      <c r="O63" s="1054"/>
      <c r="P63" s="1054"/>
      <c r="Q63" s="1054"/>
      <c r="R63" s="1054"/>
      <c r="S63" s="1054"/>
      <c r="T63" s="1054"/>
      <c r="U63" s="1054"/>
      <c r="V63" s="1054"/>
      <c r="W63" s="1052"/>
      <c r="X63" s="1054"/>
      <c r="Y63" s="1054"/>
      <c r="Z63" s="1054"/>
    </row>
    <row r="64" spans="1:26">
      <c r="A64" s="1050"/>
      <c r="B64" s="1053"/>
      <c r="C64" s="1053"/>
      <c r="D64" s="1054"/>
      <c r="E64" s="1054"/>
      <c r="F64" s="1054"/>
      <c r="G64" s="1054"/>
      <c r="H64" s="1054"/>
      <c r="I64" s="1054"/>
      <c r="J64" s="1054"/>
      <c r="K64" s="1054"/>
      <c r="L64" s="1054"/>
      <c r="M64" s="1054"/>
      <c r="N64" s="1054"/>
      <c r="O64" s="1054"/>
      <c r="P64" s="1054"/>
      <c r="Q64" s="1054"/>
      <c r="R64" s="1054"/>
      <c r="S64" s="1054"/>
      <c r="T64" s="1054"/>
      <c r="U64" s="1054"/>
      <c r="V64" s="1054"/>
      <c r="W64" s="1052"/>
      <c r="X64" s="1054"/>
      <c r="Y64" s="1054"/>
      <c r="Z64" s="1054"/>
    </row>
    <row r="65" spans="1:23">
      <c r="A65" s="1050"/>
      <c r="B65" s="1053"/>
      <c r="C65" s="1053"/>
      <c r="D65" s="1054"/>
      <c r="E65" s="1054"/>
      <c r="F65" s="1054"/>
      <c r="G65" s="1054"/>
      <c r="H65" s="1054"/>
      <c r="I65" s="1054"/>
      <c r="J65" s="1054"/>
      <c r="K65" s="1054"/>
      <c r="L65" s="1054"/>
      <c r="M65" s="1054"/>
      <c r="N65" s="1054"/>
      <c r="O65" s="1054"/>
      <c r="P65" s="1054"/>
      <c r="Q65" s="1054"/>
      <c r="R65" s="1054"/>
      <c r="S65" s="1054"/>
      <c r="T65" s="1054"/>
      <c r="U65" s="1054"/>
      <c r="V65" s="1054"/>
      <c r="W65" s="1052"/>
    </row>
    <row r="66" spans="1:23">
      <c r="A66" s="1050"/>
      <c r="B66" s="1053"/>
      <c r="C66" s="1053"/>
      <c r="D66" s="1054"/>
      <c r="E66" s="1054"/>
      <c r="F66" s="1054"/>
      <c r="G66" s="1054"/>
      <c r="H66" s="1054"/>
      <c r="I66" s="1054"/>
      <c r="J66" s="1054"/>
      <c r="K66" s="1054"/>
      <c r="L66" s="1054"/>
      <c r="M66" s="1054"/>
      <c r="N66" s="1054"/>
      <c r="O66" s="1054"/>
      <c r="P66" s="1054"/>
      <c r="Q66" s="1054"/>
      <c r="R66" s="1054"/>
      <c r="S66" s="1054"/>
      <c r="T66" s="1054"/>
      <c r="U66" s="1054"/>
      <c r="V66" s="1054"/>
      <c r="W66" s="1052"/>
    </row>
    <row r="67" spans="1:23">
      <c r="A67" s="1050"/>
      <c r="B67" s="1053"/>
      <c r="C67" s="1053"/>
      <c r="D67" s="1054"/>
      <c r="E67" s="1054"/>
      <c r="F67" s="1054"/>
      <c r="G67" s="1054"/>
      <c r="H67" s="1054"/>
      <c r="I67" s="1054"/>
      <c r="J67" s="1054"/>
      <c r="K67" s="1054"/>
      <c r="L67" s="1054"/>
      <c r="M67" s="1054"/>
      <c r="N67" s="1054"/>
      <c r="O67" s="1054"/>
      <c r="P67" s="1054"/>
      <c r="Q67" s="1054"/>
      <c r="R67" s="1054"/>
      <c r="S67" s="1054"/>
      <c r="T67" s="1054"/>
      <c r="U67" s="1054"/>
      <c r="V67" s="1054"/>
      <c r="W67" s="1052"/>
    </row>
    <row r="68" spans="1:23">
      <c r="A68" s="1050"/>
      <c r="B68" s="1053"/>
      <c r="C68" s="1053"/>
      <c r="D68" s="1054"/>
      <c r="E68" s="1054"/>
      <c r="F68" s="1054"/>
      <c r="G68" s="1054"/>
      <c r="H68" s="1054"/>
      <c r="I68" s="1054"/>
      <c r="J68" s="1054"/>
      <c r="K68" s="1054"/>
      <c r="L68" s="1054"/>
      <c r="M68" s="1054"/>
      <c r="N68" s="1054"/>
      <c r="O68" s="1054"/>
      <c r="P68" s="1054"/>
      <c r="Q68" s="1054"/>
      <c r="R68" s="1054"/>
      <c r="S68" s="1054"/>
      <c r="T68" s="1054"/>
      <c r="U68" s="1054"/>
      <c r="V68" s="1054"/>
      <c r="W68" s="1052"/>
    </row>
    <row r="69" spans="1:23">
      <c r="A69" s="1050"/>
      <c r="B69" s="1053"/>
      <c r="C69" s="1053"/>
      <c r="D69" s="1054"/>
      <c r="E69" s="1054"/>
      <c r="F69" s="1054"/>
      <c r="G69" s="1054"/>
      <c r="H69" s="1054"/>
      <c r="I69" s="1054"/>
      <c r="J69" s="1054"/>
      <c r="K69" s="1054"/>
      <c r="L69" s="1054"/>
      <c r="M69" s="1054"/>
      <c r="N69" s="1054"/>
      <c r="O69" s="1054"/>
      <c r="P69" s="1054"/>
      <c r="Q69" s="1054"/>
      <c r="R69" s="1054"/>
      <c r="S69" s="1054"/>
      <c r="T69" s="1054"/>
      <c r="U69" s="1054"/>
      <c r="V69" s="1054"/>
      <c r="W69" s="1052"/>
    </row>
    <row r="70" spans="1:23">
      <c r="A70" s="1050"/>
      <c r="B70" s="1053"/>
      <c r="C70" s="1053"/>
      <c r="D70" s="1054"/>
      <c r="E70" s="1054"/>
      <c r="F70" s="1054"/>
      <c r="G70" s="1054"/>
      <c r="H70" s="1054"/>
      <c r="I70" s="1054"/>
      <c r="J70" s="1054"/>
      <c r="K70" s="1054"/>
      <c r="L70" s="1054"/>
      <c r="M70" s="1054"/>
      <c r="N70" s="1054"/>
      <c r="O70" s="1054"/>
      <c r="P70" s="1054"/>
      <c r="Q70" s="1054"/>
      <c r="R70" s="1054"/>
      <c r="S70" s="1054"/>
      <c r="T70" s="1054"/>
      <c r="U70" s="1054"/>
      <c r="V70" s="1054"/>
      <c r="W70" s="1052"/>
    </row>
    <row r="71" spans="1:23">
      <c r="A71" s="1050"/>
      <c r="B71" s="1053"/>
      <c r="C71" s="1053"/>
      <c r="D71" s="1054"/>
      <c r="E71" s="1054"/>
      <c r="F71" s="1054"/>
      <c r="G71" s="1054"/>
      <c r="H71" s="1054"/>
      <c r="I71" s="1054"/>
      <c r="J71" s="1054"/>
      <c r="K71" s="1054"/>
      <c r="L71" s="1054"/>
      <c r="M71" s="1054"/>
      <c r="N71" s="1054"/>
      <c r="O71" s="1054"/>
      <c r="P71" s="1054"/>
      <c r="Q71" s="1054"/>
      <c r="R71" s="1054"/>
      <c r="S71" s="1054"/>
      <c r="T71" s="1054"/>
      <c r="U71" s="1054"/>
      <c r="V71" s="1054"/>
      <c r="W71" s="1052"/>
    </row>
    <row r="72" spans="1:23">
      <c r="A72" s="1050"/>
      <c r="B72" s="1053"/>
      <c r="C72" s="1053"/>
      <c r="D72" s="1054"/>
      <c r="E72" s="1054"/>
      <c r="F72" s="1054"/>
      <c r="G72" s="1054"/>
      <c r="H72" s="1054"/>
      <c r="I72" s="1054"/>
      <c r="J72" s="1054"/>
      <c r="K72" s="1054"/>
      <c r="L72" s="1054"/>
      <c r="M72" s="1054"/>
      <c r="N72" s="1054"/>
      <c r="O72" s="1054"/>
      <c r="P72" s="1054"/>
      <c r="Q72" s="1054"/>
      <c r="R72" s="1054"/>
      <c r="S72" s="1054"/>
      <c r="T72" s="1054"/>
      <c r="U72" s="1054"/>
      <c r="V72" s="1054"/>
      <c r="W72" s="1052"/>
    </row>
    <row r="73" spans="1:23">
      <c r="A73" s="1050"/>
      <c r="B73" s="1053"/>
      <c r="C73" s="1053"/>
      <c r="D73" s="1054"/>
      <c r="E73" s="1054"/>
      <c r="F73" s="1054"/>
      <c r="G73" s="1054"/>
      <c r="H73" s="1054"/>
      <c r="I73" s="1054"/>
      <c r="J73" s="1054"/>
      <c r="K73" s="1054"/>
      <c r="L73" s="1054"/>
      <c r="M73" s="1054"/>
      <c r="N73" s="1054"/>
      <c r="O73" s="1054"/>
      <c r="P73" s="1054"/>
      <c r="Q73" s="1054"/>
      <c r="R73" s="1054"/>
      <c r="S73" s="1054"/>
      <c r="T73" s="1054"/>
      <c r="U73" s="1054"/>
      <c r="V73" s="1054"/>
      <c r="W73" s="1052"/>
    </row>
    <row r="74" spans="1:23">
      <c r="A74" s="1050"/>
      <c r="B74" s="1053"/>
      <c r="C74" s="1053"/>
      <c r="D74" s="1054"/>
      <c r="E74" s="1054"/>
      <c r="F74" s="1054"/>
      <c r="G74" s="1054"/>
      <c r="H74" s="1054"/>
      <c r="I74" s="1054"/>
      <c r="J74" s="1054"/>
      <c r="K74" s="1054"/>
      <c r="L74" s="1054"/>
      <c r="M74" s="1054"/>
      <c r="N74" s="1054"/>
      <c r="O74" s="1054"/>
      <c r="P74" s="1054"/>
      <c r="Q74" s="1054"/>
      <c r="R74" s="1054"/>
      <c r="S74" s="1054"/>
      <c r="T74" s="1054"/>
      <c r="U74" s="1054"/>
      <c r="V74" s="1054"/>
      <c r="W74" s="1052"/>
    </row>
    <row r="75" spans="1:23">
      <c r="A75" s="1050"/>
      <c r="B75" s="1053"/>
      <c r="C75" s="1053"/>
      <c r="D75" s="1054"/>
      <c r="E75" s="1054"/>
      <c r="F75" s="1054"/>
      <c r="G75" s="1054"/>
      <c r="H75" s="1054"/>
      <c r="I75" s="1054"/>
      <c r="J75" s="1054"/>
      <c r="K75" s="1054"/>
      <c r="L75" s="1054"/>
      <c r="M75" s="1054"/>
      <c r="N75" s="1054"/>
      <c r="O75" s="1054"/>
      <c r="P75" s="1054"/>
      <c r="Q75" s="1054"/>
      <c r="R75" s="1054"/>
      <c r="S75" s="1054"/>
      <c r="T75" s="1054"/>
      <c r="U75" s="1054"/>
      <c r="V75" s="1054"/>
      <c r="W75" s="1052"/>
    </row>
    <row r="76" spans="1:23">
      <c r="A76" s="1050"/>
      <c r="B76" s="1053"/>
      <c r="C76" s="1053"/>
      <c r="D76" s="1054"/>
      <c r="E76" s="1054"/>
      <c r="F76" s="1054"/>
      <c r="G76" s="1054"/>
      <c r="H76" s="1054"/>
      <c r="I76" s="1054"/>
      <c r="J76" s="1054"/>
      <c r="K76" s="1054"/>
      <c r="L76" s="1054"/>
      <c r="M76" s="1054"/>
      <c r="N76" s="1054"/>
      <c r="O76" s="1054"/>
      <c r="P76" s="1054"/>
      <c r="Q76" s="1054"/>
      <c r="R76" s="1054"/>
      <c r="S76" s="1054"/>
      <c r="T76" s="1054"/>
      <c r="U76" s="1054"/>
      <c r="V76" s="1054"/>
      <c r="W76" s="1052"/>
    </row>
    <row r="77" spans="1:23">
      <c r="A77" s="1050"/>
      <c r="B77" s="1053"/>
      <c r="C77" s="1053"/>
      <c r="D77" s="1054"/>
      <c r="E77" s="1054"/>
      <c r="F77" s="1054"/>
      <c r="G77" s="1054"/>
      <c r="H77" s="1054"/>
      <c r="I77" s="1054"/>
      <c r="J77" s="1054"/>
      <c r="K77" s="1054"/>
      <c r="L77" s="1054"/>
      <c r="M77" s="1054"/>
      <c r="N77" s="1054"/>
      <c r="O77" s="1054"/>
      <c r="P77" s="1054"/>
      <c r="Q77" s="1054"/>
      <c r="R77" s="1054"/>
      <c r="S77" s="1054"/>
      <c r="T77" s="1054"/>
      <c r="U77" s="1054"/>
      <c r="V77" s="1054"/>
      <c r="W77" s="1052"/>
    </row>
    <row r="78" spans="1:23">
      <c r="A78" s="1050"/>
      <c r="B78" s="1053"/>
      <c r="C78" s="1053"/>
      <c r="D78" s="1054"/>
      <c r="E78" s="1054"/>
      <c r="F78" s="1054"/>
      <c r="G78" s="1054"/>
      <c r="H78" s="1054"/>
      <c r="I78" s="1054"/>
      <c r="J78" s="1054"/>
      <c r="K78" s="1054"/>
      <c r="L78" s="1054"/>
      <c r="M78" s="1054"/>
      <c r="N78" s="1054"/>
      <c r="O78" s="1054"/>
      <c r="P78" s="1054"/>
      <c r="Q78" s="1054"/>
      <c r="R78" s="1054"/>
      <c r="S78" s="1054"/>
      <c r="T78" s="1054"/>
      <c r="U78" s="1054"/>
      <c r="V78" s="1054"/>
      <c r="W78" s="1052"/>
    </row>
    <row r="79" spans="1:23">
      <c r="A79" s="1050"/>
      <c r="B79" s="1053"/>
      <c r="C79" s="1053"/>
      <c r="D79" s="1054"/>
      <c r="E79" s="1054"/>
      <c r="F79" s="1054"/>
      <c r="G79" s="1054"/>
      <c r="H79" s="1054"/>
      <c r="I79" s="1054"/>
      <c r="J79" s="1054"/>
      <c r="K79" s="1054"/>
      <c r="L79" s="1054"/>
      <c r="M79" s="1054"/>
      <c r="N79" s="1054"/>
      <c r="O79" s="1054"/>
      <c r="P79" s="1054"/>
      <c r="Q79" s="1054"/>
      <c r="R79" s="1054"/>
      <c r="S79" s="1054"/>
      <c r="T79" s="1054"/>
      <c r="U79" s="1054"/>
      <c r="V79" s="1054"/>
      <c r="W79" s="1052"/>
    </row>
    <row r="80" spans="1:23">
      <c r="A80" s="1050"/>
      <c r="B80" s="1053"/>
      <c r="C80" s="1053"/>
      <c r="D80" s="1054"/>
      <c r="E80" s="1054"/>
      <c r="F80" s="1054"/>
      <c r="G80" s="1054"/>
      <c r="H80" s="1054"/>
      <c r="I80" s="1054"/>
      <c r="J80" s="1054"/>
      <c r="K80" s="1054"/>
      <c r="L80" s="1054"/>
      <c r="M80" s="1054"/>
      <c r="N80" s="1054"/>
      <c r="O80" s="1054"/>
      <c r="P80" s="1054"/>
      <c r="Q80" s="1054"/>
      <c r="R80" s="1054"/>
      <c r="S80" s="1054"/>
      <c r="T80" s="1054"/>
      <c r="U80" s="1054"/>
      <c r="V80" s="1054"/>
      <c r="W80" s="1052"/>
    </row>
    <row r="81" spans="1:23">
      <c r="A81" s="1050"/>
      <c r="B81" s="1053"/>
      <c r="C81" s="1053"/>
      <c r="D81" s="1054"/>
      <c r="E81" s="1054"/>
      <c r="F81" s="1054"/>
      <c r="G81" s="1054"/>
      <c r="H81" s="1054"/>
      <c r="I81" s="1054"/>
      <c r="J81" s="1054"/>
      <c r="K81" s="1054"/>
      <c r="L81" s="1054"/>
      <c r="M81" s="1054"/>
      <c r="N81" s="1054"/>
      <c r="O81" s="1054"/>
      <c r="P81" s="1054"/>
      <c r="Q81" s="1054"/>
      <c r="R81" s="1054"/>
      <c r="S81" s="1054"/>
      <c r="T81" s="1054"/>
      <c r="U81" s="1054"/>
      <c r="V81" s="1054"/>
      <c r="W81" s="1052"/>
    </row>
    <row r="82" spans="1:23">
      <c r="A82" s="1050"/>
      <c r="B82" s="1053"/>
      <c r="C82" s="1053"/>
      <c r="D82" s="1054"/>
      <c r="E82" s="1054"/>
      <c r="F82" s="1054"/>
      <c r="G82" s="1054"/>
      <c r="H82" s="1054"/>
      <c r="I82" s="1054"/>
      <c r="J82" s="1054"/>
      <c r="K82" s="1054"/>
      <c r="L82" s="1054"/>
      <c r="M82" s="1054"/>
      <c r="N82" s="1054"/>
      <c r="O82" s="1054"/>
      <c r="P82" s="1054"/>
      <c r="Q82" s="1054"/>
      <c r="R82" s="1054"/>
      <c r="S82" s="1054"/>
      <c r="T82" s="1054"/>
      <c r="U82" s="1054"/>
      <c r="V82" s="1054"/>
      <c r="W82" s="1052"/>
    </row>
    <row r="83" spans="1:23">
      <c r="A83" s="1050"/>
      <c r="B83" s="1053"/>
      <c r="C83" s="1053"/>
      <c r="D83" s="1054"/>
      <c r="E83" s="1054"/>
      <c r="F83" s="1054"/>
      <c r="G83" s="1054"/>
      <c r="H83" s="1054"/>
      <c r="I83" s="1054"/>
      <c r="J83" s="1054"/>
      <c r="K83" s="1054"/>
      <c r="L83" s="1054"/>
      <c r="M83" s="1054"/>
      <c r="N83" s="1054"/>
      <c r="O83" s="1054"/>
      <c r="P83" s="1054"/>
      <c r="Q83" s="1054"/>
      <c r="R83" s="1054"/>
      <c r="S83" s="1054"/>
      <c r="T83" s="1054"/>
      <c r="U83" s="1054"/>
      <c r="V83" s="1054"/>
      <c r="W83" s="1052"/>
    </row>
    <row r="84" spans="1:23">
      <c r="A84" s="1050"/>
      <c r="B84" s="1053"/>
      <c r="C84" s="1053"/>
      <c r="D84" s="1054"/>
      <c r="E84" s="1054"/>
      <c r="F84" s="1054"/>
      <c r="G84" s="1054"/>
      <c r="H84" s="1054"/>
      <c r="I84" s="1054"/>
      <c r="J84" s="1054"/>
      <c r="K84" s="1054"/>
      <c r="L84" s="1054"/>
      <c r="M84" s="1054"/>
      <c r="N84" s="1054"/>
      <c r="O84" s="1054"/>
      <c r="P84" s="1054"/>
      <c r="Q84" s="1054"/>
      <c r="R84" s="1054"/>
      <c r="S84" s="1054"/>
      <c r="T84" s="1054"/>
      <c r="U84" s="1054"/>
      <c r="V84" s="1054"/>
      <c r="W84" s="1052"/>
    </row>
    <row r="85" spans="1:23">
      <c r="A85" s="1050"/>
      <c r="B85" s="1053"/>
      <c r="C85" s="1053"/>
      <c r="D85" s="1054"/>
      <c r="E85" s="1054"/>
      <c r="F85" s="1054"/>
      <c r="G85" s="1054"/>
      <c r="H85" s="1054"/>
      <c r="I85" s="1054"/>
      <c r="J85" s="1054"/>
      <c r="K85" s="1054"/>
      <c r="L85" s="1054"/>
      <c r="M85" s="1054"/>
      <c r="N85" s="1054"/>
      <c r="O85" s="1054"/>
      <c r="P85" s="1054"/>
      <c r="Q85" s="1054"/>
      <c r="R85" s="1054"/>
      <c r="S85" s="1054"/>
      <c r="T85" s="1054"/>
      <c r="U85" s="1054"/>
      <c r="V85" s="1054"/>
      <c r="W85" s="1052"/>
    </row>
    <row r="86" spans="1:23">
      <c r="A86" s="1050"/>
      <c r="B86" s="1053"/>
      <c r="C86" s="1053"/>
      <c r="D86" s="1054"/>
      <c r="E86" s="1054"/>
      <c r="F86" s="1054"/>
      <c r="G86" s="1054"/>
      <c r="H86" s="1054"/>
      <c r="I86" s="1054"/>
      <c r="J86" s="1054"/>
      <c r="K86" s="1054"/>
      <c r="L86" s="1054"/>
      <c r="M86" s="1054"/>
      <c r="N86" s="1054"/>
      <c r="O86" s="1054"/>
      <c r="P86" s="1054"/>
      <c r="Q86" s="1054"/>
      <c r="R86" s="1054"/>
      <c r="S86" s="1054"/>
      <c r="T86" s="1054"/>
      <c r="U86" s="1054"/>
      <c r="V86" s="1054"/>
      <c r="W86" s="1052"/>
    </row>
    <row r="87" spans="1:23">
      <c r="A87" s="1050"/>
      <c r="B87" s="1053"/>
      <c r="C87" s="1053"/>
      <c r="D87" s="1054"/>
      <c r="E87" s="1054"/>
      <c r="F87" s="1054"/>
      <c r="G87" s="1054"/>
      <c r="H87" s="1054"/>
      <c r="I87" s="1054"/>
      <c r="J87" s="1054"/>
      <c r="K87" s="1054"/>
      <c r="L87" s="1054"/>
      <c r="M87" s="1054"/>
      <c r="N87" s="1054"/>
      <c r="O87" s="1054"/>
      <c r="P87" s="1054"/>
      <c r="Q87" s="1054"/>
      <c r="R87" s="1054"/>
      <c r="S87" s="1054"/>
      <c r="T87" s="1054"/>
      <c r="U87" s="1054"/>
      <c r="V87" s="1054"/>
      <c r="W87" s="1052"/>
    </row>
    <row r="88" spans="1:23">
      <c r="A88" s="1050"/>
      <c r="B88" s="1053"/>
      <c r="C88" s="1053"/>
      <c r="D88" s="1054"/>
      <c r="E88" s="1054"/>
      <c r="F88" s="1054"/>
      <c r="G88" s="1054"/>
      <c r="H88" s="1054"/>
      <c r="I88" s="1054"/>
      <c r="J88" s="1054"/>
      <c r="K88" s="1054"/>
      <c r="L88" s="1054"/>
      <c r="M88" s="1054"/>
      <c r="N88" s="1054"/>
      <c r="O88" s="1054"/>
      <c r="P88" s="1054"/>
      <c r="Q88" s="1054"/>
      <c r="R88" s="1054"/>
      <c r="S88" s="1054"/>
      <c r="T88" s="1054"/>
      <c r="U88" s="1054"/>
      <c r="V88" s="1054"/>
      <c r="W88" s="1052"/>
    </row>
    <row r="89" spans="1:23">
      <c r="A89" s="1050"/>
      <c r="B89" s="1053"/>
      <c r="C89" s="1053"/>
      <c r="D89" s="1054"/>
      <c r="E89" s="1054"/>
      <c r="F89" s="1054"/>
      <c r="G89" s="1054"/>
      <c r="H89" s="1054"/>
      <c r="I89" s="1054"/>
      <c r="J89" s="1054"/>
      <c r="K89" s="1054"/>
      <c r="L89" s="1054"/>
      <c r="M89" s="1054"/>
      <c r="N89" s="1054"/>
      <c r="O89" s="1054"/>
      <c r="P89" s="1054"/>
      <c r="Q89" s="1054"/>
      <c r="R89" s="1054"/>
      <c r="S89" s="1054"/>
      <c r="T89" s="1054"/>
      <c r="U89" s="1054"/>
      <c r="V89" s="1054"/>
      <c r="W89" s="1052"/>
    </row>
    <row r="90" spans="1:23">
      <c r="A90" s="1050"/>
      <c r="B90" s="1053"/>
      <c r="C90" s="1053"/>
      <c r="D90" s="1054"/>
      <c r="E90" s="1054"/>
      <c r="F90" s="1054"/>
      <c r="G90" s="1054"/>
      <c r="H90" s="1054"/>
      <c r="I90" s="1054"/>
      <c r="J90" s="1054"/>
      <c r="K90" s="1054"/>
      <c r="L90" s="1054"/>
      <c r="M90" s="1054"/>
      <c r="N90" s="1054"/>
      <c r="O90" s="1054"/>
      <c r="P90" s="1054"/>
      <c r="Q90" s="1054"/>
      <c r="R90" s="1054"/>
      <c r="S90" s="1054"/>
      <c r="T90" s="1054"/>
      <c r="U90" s="1054"/>
      <c r="V90" s="1054"/>
      <c r="W90" s="1052"/>
    </row>
    <row r="91" spans="1:23">
      <c r="A91" s="1050"/>
      <c r="B91" s="1053"/>
      <c r="C91" s="1053"/>
      <c r="D91" s="1054"/>
      <c r="E91" s="1054"/>
      <c r="F91" s="1054"/>
      <c r="G91" s="1054"/>
      <c r="H91" s="1054"/>
      <c r="I91" s="1054"/>
      <c r="J91" s="1054"/>
      <c r="K91" s="1054"/>
      <c r="L91" s="1054"/>
      <c r="M91" s="1054"/>
      <c r="N91" s="1054"/>
      <c r="O91" s="1054"/>
      <c r="P91" s="1054"/>
      <c r="Q91" s="1054"/>
      <c r="R91" s="1054"/>
      <c r="S91" s="1054"/>
      <c r="T91" s="1054"/>
      <c r="U91" s="1054"/>
      <c r="V91" s="1054"/>
      <c r="W91" s="1052"/>
    </row>
    <row r="92" spans="1:23">
      <c r="A92" s="1050"/>
      <c r="B92" s="1053"/>
      <c r="C92" s="1053"/>
      <c r="D92" s="1054"/>
      <c r="E92" s="1054"/>
      <c r="F92" s="1054"/>
      <c r="G92" s="1054"/>
      <c r="H92" s="1054"/>
      <c r="I92" s="1054"/>
      <c r="J92" s="1054"/>
      <c r="K92" s="1054"/>
      <c r="L92" s="1054"/>
      <c r="M92" s="1054"/>
      <c r="N92" s="1054"/>
      <c r="O92" s="1054"/>
      <c r="P92" s="1054"/>
      <c r="Q92" s="1054"/>
      <c r="R92" s="1054"/>
      <c r="S92" s="1054"/>
      <c r="T92" s="1054"/>
      <c r="U92" s="1054"/>
      <c r="V92" s="1054"/>
      <c r="W92" s="1052"/>
    </row>
    <row r="93" spans="1:23">
      <c r="A93" s="1050"/>
      <c r="B93" s="1053"/>
      <c r="C93" s="1053"/>
      <c r="D93" s="1054"/>
      <c r="E93" s="1054"/>
      <c r="F93" s="1054"/>
      <c r="G93" s="1054"/>
      <c r="H93" s="1054"/>
      <c r="I93" s="1054"/>
      <c r="J93" s="1054"/>
      <c r="K93" s="1054"/>
      <c r="L93" s="1054"/>
      <c r="M93" s="1054"/>
      <c r="N93" s="1054"/>
      <c r="O93" s="1054"/>
      <c r="P93" s="1054"/>
      <c r="Q93" s="1054"/>
      <c r="R93" s="1054"/>
      <c r="S93" s="1054"/>
      <c r="T93" s="1054"/>
      <c r="U93" s="1054"/>
      <c r="V93" s="1054"/>
      <c r="W93" s="1052"/>
    </row>
    <row r="94" spans="1:23">
      <c r="A94" s="1050"/>
      <c r="B94" s="1053"/>
      <c r="C94" s="1053"/>
      <c r="D94" s="1054"/>
      <c r="E94" s="1054"/>
      <c r="F94" s="1054"/>
      <c r="G94" s="1054"/>
      <c r="H94" s="1054"/>
      <c r="I94" s="1054"/>
      <c r="J94" s="1054"/>
      <c r="K94" s="1054"/>
      <c r="L94" s="1054"/>
      <c r="M94" s="1054"/>
      <c r="N94" s="1054"/>
      <c r="O94" s="1054"/>
      <c r="P94" s="1054"/>
      <c r="Q94" s="1054"/>
      <c r="R94" s="1054"/>
      <c r="S94" s="1054"/>
      <c r="T94" s="1054"/>
      <c r="U94" s="1054"/>
      <c r="V94" s="1054"/>
      <c r="W94" s="1052"/>
    </row>
    <row r="95" spans="1:23">
      <c r="A95" s="1050"/>
      <c r="B95" s="1053"/>
      <c r="C95" s="1053"/>
      <c r="D95" s="1054"/>
      <c r="E95" s="1054"/>
      <c r="F95" s="1054"/>
      <c r="G95" s="1054"/>
      <c r="H95" s="1054"/>
      <c r="I95" s="1054"/>
      <c r="J95" s="1054"/>
      <c r="K95" s="1054"/>
      <c r="L95" s="1054"/>
      <c r="M95" s="1054"/>
      <c r="N95" s="1054"/>
      <c r="O95" s="1054"/>
      <c r="P95" s="1054"/>
      <c r="Q95" s="1054"/>
      <c r="R95" s="1054"/>
      <c r="S95" s="1054"/>
      <c r="T95" s="1054"/>
      <c r="U95" s="1054"/>
      <c r="V95" s="1054"/>
      <c r="W95" s="1052"/>
    </row>
    <row r="96" spans="1:23">
      <c r="A96" s="1050"/>
      <c r="B96" s="1053"/>
      <c r="C96" s="1053"/>
      <c r="D96" s="1054"/>
      <c r="E96" s="1054"/>
      <c r="F96" s="1054"/>
      <c r="G96" s="1054"/>
      <c r="H96" s="1054"/>
      <c r="I96" s="1054"/>
      <c r="J96" s="1054"/>
      <c r="K96" s="1054"/>
      <c r="L96" s="1054"/>
      <c r="M96" s="1054"/>
      <c r="N96" s="1054"/>
      <c r="O96" s="1054"/>
      <c r="P96" s="1054"/>
      <c r="Q96" s="1054"/>
      <c r="R96" s="1054"/>
      <c r="S96" s="1054"/>
      <c r="T96" s="1054"/>
      <c r="U96" s="1054"/>
      <c r="V96" s="1054"/>
      <c r="W96" s="1052"/>
    </row>
    <row r="97" spans="1:23">
      <c r="A97" s="1050"/>
      <c r="B97" s="1053"/>
      <c r="C97" s="1053"/>
      <c r="D97" s="1054"/>
      <c r="E97" s="1054"/>
      <c r="F97" s="1054"/>
      <c r="G97" s="1054"/>
      <c r="H97" s="1054"/>
      <c r="I97" s="1054"/>
      <c r="J97" s="1054"/>
      <c r="K97" s="1054"/>
      <c r="L97" s="1054"/>
      <c r="M97" s="1054"/>
      <c r="N97" s="1054"/>
      <c r="O97" s="1054"/>
      <c r="P97" s="1054"/>
      <c r="Q97" s="1054"/>
      <c r="R97" s="1054"/>
      <c r="S97" s="1054"/>
      <c r="T97" s="1054"/>
      <c r="U97" s="1054"/>
      <c r="V97" s="1054"/>
      <c r="W97" s="1052"/>
    </row>
    <row r="98" spans="1:23">
      <c r="A98" s="1050"/>
      <c r="B98" s="1053"/>
      <c r="C98" s="1053"/>
      <c r="D98" s="1054"/>
      <c r="E98" s="1054"/>
      <c r="F98" s="1054"/>
      <c r="G98" s="1054"/>
      <c r="H98" s="1054"/>
      <c r="I98" s="1054"/>
      <c r="J98" s="1054"/>
      <c r="K98" s="1054"/>
      <c r="L98" s="1054"/>
      <c r="M98" s="1054"/>
      <c r="N98" s="1054"/>
      <c r="O98" s="1054"/>
      <c r="P98" s="1054"/>
      <c r="Q98" s="1054"/>
      <c r="R98" s="1054"/>
      <c r="S98" s="1054"/>
      <c r="T98" s="1054"/>
      <c r="U98" s="1054"/>
      <c r="V98" s="1054"/>
      <c r="W98" s="1052"/>
    </row>
    <row r="99" spans="1:23">
      <c r="A99" s="1050"/>
      <c r="B99" s="1053"/>
      <c r="C99" s="1053"/>
      <c r="D99" s="1054"/>
      <c r="E99" s="1054"/>
      <c r="F99" s="1054"/>
      <c r="G99" s="1054"/>
      <c r="H99" s="1054"/>
      <c r="I99" s="1054"/>
      <c r="J99" s="1054"/>
      <c r="K99" s="1054"/>
      <c r="L99" s="1054"/>
      <c r="M99" s="1054"/>
      <c r="N99" s="1054"/>
      <c r="O99" s="1054"/>
      <c r="P99" s="1054"/>
      <c r="Q99" s="1054"/>
      <c r="R99" s="1054"/>
      <c r="S99" s="1054"/>
      <c r="T99" s="1054"/>
      <c r="U99" s="1054"/>
      <c r="V99" s="1054"/>
      <c r="W99" s="1052"/>
    </row>
    <row r="100" spans="1:23">
      <c r="A100" s="1050"/>
      <c r="B100" s="1053"/>
      <c r="C100" s="1053"/>
      <c r="D100" s="1054"/>
      <c r="E100" s="1054"/>
      <c r="F100" s="1054"/>
      <c r="G100" s="1054"/>
      <c r="H100" s="1054"/>
      <c r="I100" s="1054"/>
      <c r="J100" s="1054"/>
      <c r="K100" s="1054"/>
      <c r="L100" s="1054"/>
      <c r="M100" s="1054"/>
      <c r="N100" s="1054"/>
      <c r="O100" s="1054"/>
      <c r="P100" s="1054"/>
      <c r="Q100" s="1054"/>
      <c r="R100" s="1054"/>
      <c r="S100" s="1054"/>
      <c r="T100" s="1054"/>
      <c r="U100" s="1054"/>
      <c r="V100" s="1054"/>
      <c r="W100" s="1052"/>
    </row>
    <row r="101" spans="1:23">
      <c r="A101" s="1050"/>
      <c r="B101" s="1053"/>
      <c r="C101" s="1053"/>
      <c r="D101" s="1054"/>
      <c r="E101" s="1054"/>
      <c r="F101" s="1054"/>
      <c r="G101" s="1054"/>
      <c r="H101" s="1054"/>
      <c r="I101" s="1054"/>
      <c r="J101" s="1054"/>
      <c r="K101" s="1054"/>
      <c r="L101" s="1054"/>
      <c r="M101" s="1054"/>
      <c r="N101" s="1054"/>
      <c r="O101" s="1054"/>
      <c r="P101" s="1054"/>
      <c r="Q101" s="1054"/>
      <c r="R101" s="1054"/>
      <c r="S101" s="1054"/>
      <c r="T101" s="1054"/>
      <c r="U101" s="1054"/>
      <c r="V101" s="1054"/>
      <c r="W101" s="1052"/>
    </row>
    <row r="102" spans="1:23">
      <c r="A102" s="1050"/>
      <c r="B102" s="1053"/>
      <c r="C102" s="1053"/>
      <c r="D102" s="1054"/>
      <c r="E102" s="1054"/>
      <c r="F102" s="1054"/>
      <c r="G102" s="1054"/>
      <c r="H102" s="1054"/>
      <c r="I102" s="1054"/>
      <c r="J102" s="1054"/>
      <c r="K102" s="1054"/>
      <c r="L102" s="1054"/>
      <c r="M102" s="1054"/>
      <c r="N102" s="1054"/>
      <c r="O102" s="1054"/>
      <c r="P102" s="1054"/>
      <c r="Q102" s="1054"/>
      <c r="R102" s="1054"/>
      <c r="S102" s="1054"/>
      <c r="T102" s="1054"/>
      <c r="U102" s="1054"/>
      <c r="V102" s="1054"/>
      <c r="W102" s="1052"/>
    </row>
    <row r="103" spans="1:23">
      <c r="A103" s="1050"/>
      <c r="B103" s="1053"/>
      <c r="C103" s="1053"/>
      <c r="D103" s="1054"/>
      <c r="E103" s="1054"/>
      <c r="F103" s="1054"/>
      <c r="G103" s="1054"/>
      <c r="H103" s="1054"/>
      <c r="I103" s="1054"/>
      <c r="J103" s="1054"/>
      <c r="K103" s="1054"/>
      <c r="L103" s="1054"/>
      <c r="M103" s="1054"/>
      <c r="N103" s="1054"/>
      <c r="O103" s="1054"/>
      <c r="P103" s="1054"/>
      <c r="Q103" s="1054"/>
      <c r="R103" s="1054"/>
      <c r="S103" s="1054"/>
      <c r="T103" s="1054"/>
      <c r="U103" s="1054"/>
      <c r="V103" s="1054"/>
      <c r="W103" s="1052"/>
    </row>
    <row r="104" spans="1:23">
      <c r="A104" s="1050"/>
      <c r="B104" s="1053"/>
      <c r="C104" s="1053"/>
      <c r="D104" s="1054"/>
      <c r="E104" s="1054"/>
      <c r="F104" s="1054"/>
      <c r="G104" s="1054"/>
      <c r="H104" s="1054"/>
      <c r="I104" s="1054"/>
      <c r="J104" s="1054"/>
      <c r="K104" s="1054"/>
      <c r="L104" s="1054"/>
      <c r="M104" s="1054"/>
      <c r="N104" s="1054"/>
      <c r="O104" s="1054"/>
      <c r="P104" s="1054"/>
      <c r="Q104" s="1054"/>
      <c r="R104" s="1054"/>
      <c r="S104" s="1054"/>
      <c r="T104" s="1054"/>
      <c r="U104" s="1054"/>
      <c r="V104" s="1054"/>
      <c r="W104" s="1052"/>
    </row>
    <row r="105" spans="1:23">
      <c r="A105" s="1050"/>
      <c r="B105" s="1053"/>
      <c r="C105" s="1053"/>
      <c r="D105" s="1054"/>
      <c r="E105" s="1054"/>
      <c r="F105" s="1054"/>
      <c r="G105" s="1054"/>
      <c r="H105" s="1054"/>
      <c r="I105" s="1054"/>
      <c r="J105" s="1054"/>
      <c r="K105" s="1054"/>
      <c r="L105" s="1054"/>
      <c r="M105" s="1054"/>
      <c r="N105" s="1054"/>
      <c r="O105" s="1054"/>
      <c r="P105" s="1054"/>
      <c r="Q105" s="1054"/>
      <c r="R105" s="1054"/>
      <c r="S105" s="1054"/>
      <c r="T105" s="1054"/>
      <c r="U105" s="1054"/>
      <c r="V105" s="1054"/>
      <c r="W105" s="1052"/>
    </row>
    <row r="106" spans="1:23">
      <c r="A106" s="1050"/>
      <c r="B106" s="1053"/>
      <c r="C106" s="1053"/>
      <c r="D106" s="1054"/>
      <c r="E106" s="1054"/>
      <c r="F106" s="1054"/>
      <c r="G106" s="1054"/>
      <c r="H106" s="1054"/>
      <c r="I106" s="1054"/>
      <c r="J106" s="1054"/>
      <c r="K106" s="1054"/>
      <c r="L106" s="1054"/>
      <c r="M106" s="1054"/>
      <c r="N106" s="1054"/>
      <c r="O106" s="1054"/>
      <c r="P106" s="1054"/>
      <c r="Q106" s="1054"/>
      <c r="R106" s="1054"/>
      <c r="S106" s="1054"/>
      <c r="T106" s="1054"/>
      <c r="U106" s="1054"/>
      <c r="V106" s="1054"/>
      <c r="W106" s="1052"/>
    </row>
    <row r="107" spans="1:23">
      <c r="A107" s="1050"/>
      <c r="B107" s="1053"/>
      <c r="C107" s="1053"/>
      <c r="D107" s="1054"/>
      <c r="E107" s="1054"/>
      <c r="F107" s="1054"/>
      <c r="G107" s="1054"/>
      <c r="H107" s="1054"/>
      <c r="I107" s="1054"/>
      <c r="J107" s="1054"/>
      <c r="K107" s="1054"/>
      <c r="L107" s="1054"/>
      <c r="M107" s="1054"/>
      <c r="N107" s="1054"/>
      <c r="O107" s="1054"/>
      <c r="P107" s="1054"/>
      <c r="Q107" s="1054"/>
      <c r="R107" s="1054"/>
      <c r="S107" s="1054"/>
      <c r="T107" s="1054"/>
      <c r="U107" s="1054"/>
      <c r="V107" s="1054"/>
      <c r="W107" s="1052"/>
    </row>
    <row r="108" spans="1:23">
      <c r="A108" s="1050"/>
      <c r="B108" s="1053"/>
      <c r="C108" s="1053"/>
      <c r="D108" s="1054"/>
      <c r="E108" s="1054"/>
      <c r="F108" s="1054"/>
      <c r="G108" s="1054"/>
      <c r="H108" s="1054"/>
      <c r="I108" s="1054"/>
      <c r="J108" s="1054"/>
      <c r="K108" s="1054"/>
      <c r="L108" s="1054"/>
      <c r="M108" s="1054"/>
      <c r="N108" s="1054"/>
      <c r="O108" s="1054"/>
      <c r="P108" s="1054"/>
      <c r="Q108" s="1054"/>
      <c r="R108" s="1054"/>
      <c r="S108" s="1054"/>
      <c r="T108" s="1054"/>
      <c r="U108" s="1054"/>
      <c r="V108" s="1054"/>
      <c r="W108" s="1052"/>
    </row>
    <row r="109" spans="1:23">
      <c r="A109" s="1050"/>
      <c r="B109" s="1053"/>
      <c r="C109" s="1053"/>
      <c r="D109" s="1054"/>
      <c r="E109" s="1054"/>
      <c r="F109" s="1054"/>
      <c r="G109" s="1054"/>
      <c r="H109" s="1054"/>
      <c r="I109" s="1054"/>
      <c r="J109" s="1054"/>
      <c r="K109" s="1054"/>
      <c r="L109" s="1054"/>
      <c r="M109" s="1054"/>
      <c r="N109" s="1054"/>
      <c r="O109" s="1054"/>
      <c r="P109" s="1054"/>
      <c r="Q109" s="1054"/>
      <c r="R109" s="1054"/>
      <c r="S109" s="1054"/>
      <c r="T109" s="1054"/>
      <c r="U109" s="1054"/>
      <c r="V109" s="1054"/>
      <c r="W109" s="1052"/>
    </row>
    <row r="110" spans="1:23">
      <c r="A110" s="1050"/>
      <c r="B110" s="1053"/>
      <c r="C110" s="1053"/>
      <c r="D110" s="1054"/>
      <c r="E110" s="1054"/>
      <c r="F110" s="1054"/>
      <c r="G110" s="1054"/>
      <c r="H110" s="1054"/>
      <c r="I110" s="1054"/>
      <c r="J110" s="1054"/>
      <c r="K110" s="1054"/>
      <c r="L110" s="1054"/>
      <c r="M110" s="1054"/>
      <c r="N110" s="1054"/>
      <c r="O110" s="1054"/>
      <c r="P110" s="1054"/>
      <c r="Q110" s="1054"/>
      <c r="R110" s="1054"/>
      <c r="S110" s="1054"/>
      <c r="T110" s="1054"/>
      <c r="U110" s="1054"/>
      <c r="V110" s="1054"/>
      <c r="W110" s="1052"/>
    </row>
    <row r="111" spans="1:23">
      <c r="A111" s="1050"/>
      <c r="B111" s="1053"/>
      <c r="C111" s="1053"/>
      <c r="D111" s="1054"/>
      <c r="E111" s="1054"/>
      <c r="F111" s="1054"/>
      <c r="G111" s="1054"/>
      <c r="H111" s="1054"/>
      <c r="I111" s="1054"/>
      <c r="J111" s="1054"/>
      <c r="K111" s="1054"/>
      <c r="L111" s="1054"/>
      <c r="M111" s="1054"/>
      <c r="N111" s="1054"/>
      <c r="O111" s="1054"/>
      <c r="P111" s="1054"/>
      <c r="Q111" s="1054"/>
      <c r="R111" s="1054"/>
      <c r="S111" s="1054"/>
      <c r="T111" s="1054"/>
      <c r="U111" s="1054"/>
      <c r="V111" s="1054"/>
      <c r="W111" s="1052"/>
    </row>
    <row r="112" spans="1:23">
      <c r="A112" s="1050"/>
      <c r="B112" s="1053"/>
      <c r="C112" s="1053"/>
      <c r="D112" s="1054"/>
      <c r="E112" s="1054"/>
      <c r="F112" s="1054"/>
      <c r="G112" s="1054"/>
      <c r="H112" s="1054"/>
      <c r="I112" s="1054"/>
      <c r="J112" s="1054"/>
      <c r="K112" s="1054"/>
      <c r="L112" s="1054"/>
      <c r="M112" s="1054"/>
      <c r="N112" s="1054"/>
      <c r="O112" s="1054"/>
      <c r="P112" s="1054"/>
      <c r="Q112" s="1054"/>
      <c r="R112" s="1054"/>
      <c r="S112" s="1054"/>
      <c r="T112" s="1054"/>
      <c r="U112" s="1054"/>
      <c r="V112" s="1054"/>
      <c r="W112" s="1052"/>
    </row>
    <row r="113" spans="1:23">
      <c r="A113" s="1050"/>
      <c r="B113" s="1053"/>
      <c r="C113" s="1053"/>
      <c r="D113" s="1054"/>
      <c r="E113" s="1054"/>
      <c r="F113" s="1054"/>
      <c r="G113" s="1054"/>
      <c r="H113" s="1054"/>
      <c r="I113" s="1054"/>
      <c r="J113" s="1054"/>
      <c r="K113" s="1054"/>
      <c r="L113" s="1054"/>
      <c r="M113" s="1054"/>
      <c r="N113" s="1054"/>
      <c r="O113" s="1054"/>
      <c r="P113" s="1054"/>
      <c r="Q113" s="1054"/>
      <c r="R113" s="1054"/>
      <c r="S113" s="1054"/>
      <c r="T113" s="1054"/>
      <c r="U113" s="1054"/>
      <c r="V113" s="1054"/>
      <c r="W113" s="1052"/>
    </row>
    <row r="114" spans="1:23">
      <c r="A114" s="1050"/>
      <c r="B114" s="1053"/>
      <c r="C114" s="1053"/>
      <c r="D114" s="1054"/>
      <c r="E114" s="1054"/>
      <c r="F114" s="1054"/>
      <c r="G114" s="1054"/>
      <c r="H114" s="1054"/>
      <c r="I114" s="1054"/>
      <c r="J114" s="1054"/>
      <c r="K114" s="1054"/>
      <c r="L114" s="1054"/>
      <c r="M114" s="1054"/>
      <c r="N114" s="1054"/>
      <c r="O114" s="1054"/>
      <c r="P114" s="1054"/>
      <c r="Q114" s="1054"/>
      <c r="R114" s="1054"/>
      <c r="S114" s="1054"/>
      <c r="T114" s="1054"/>
      <c r="U114" s="1054"/>
      <c r="V114" s="1054"/>
      <c r="W114" s="1052"/>
    </row>
    <row r="115" spans="1:23">
      <c r="A115" s="1050"/>
      <c r="B115" s="1053"/>
      <c r="C115" s="1053"/>
      <c r="D115" s="1054"/>
      <c r="E115" s="1054"/>
      <c r="F115" s="1054"/>
      <c r="G115" s="1054"/>
      <c r="H115" s="1054"/>
      <c r="I115" s="1054"/>
      <c r="J115" s="1054"/>
      <c r="K115" s="1054"/>
      <c r="L115" s="1054"/>
      <c r="M115" s="1054"/>
      <c r="N115" s="1054"/>
      <c r="O115" s="1054"/>
      <c r="P115" s="1054"/>
      <c r="Q115" s="1054"/>
      <c r="R115" s="1054"/>
      <c r="S115" s="1054"/>
      <c r="T115" s="1054"/>
      <c r="U115" s="1054"/>
      <c r="V115" s="1054"/>
      <c r="W115" s="1052"/>
    </row>
    <row r="116" spans="1:23">
      <c r="A116" s="1050"/>
      <c r="B116" s="1053"/>
      <c r="C116" s="1053"/>
      <c r="D116" s="1054"/>
      <c r="E116" s="1054"/>
      <c r="F116" s="1054"/>
      <c r="G116" s="1054"/>
      <c r="H116" s="1054"/>
      <c r="I116" s="1054"/>
      <c r="J116" s="1054"/>
      <c r="K116" s="1054"/>
      <c r="L116" s="1054"/>
      <c r="M116" s="1054"/>
      <c r="N116" s="1054"/>
      <c r="O116" s="1054"/>
      <c r="P116" s="1054"/>
      <c r="Q116" s="1054"/>
      <c r="R116" s="1054"/>
      <c r="S116" s="1054"/>
      <c r="T116" s="1054"/>
      <c r="U116" s="1054"/>
      <c r="V116" s="1054"/>
      <c r="W116" s="1052"/>
    </row>
    <row r="117" spans="1:23">
      <c r="A117" s="1050"/>
      <c r="B117" s="1053"/>
      <c r="C117" s="1053"/>
      <c r="D117" s="1054"/>
      <c r="E117" s="1054"/>
      <c r="F117" s="1054"/>
      <c r="G117" s="1054"/>
      <c r="H117" s="1054"/>
      <c r="I117" s="1054"/>
      <c r="J117" s="1054"/>
      <c r="K117" s="1054"/>
      <c r="L117" s="1054"/>
      <c r="M117" s="1054"/>
      <c r="N117" s="1054"/>
      <c r="O117" s="1054"/>
      <c r="P117" s="1054"/>
      <c r="Q117" s="1054"/>
      <c r="R117" s="1054"/>
      <c r="S117" s="1054"/>
      <c r="T117" s="1054"/>
      <c r="U117" s="1054"/>
      <c r="V117" s="1054"/>
      <c r="W117" s="1052"/>
    </row>
    <row r="118" spans="1:23">
      <c r="A118" s="1050"/>
      <c r="B118" s="1053"/>
      <c r="C118" s="1053"/>
      <c r="D118" s="1054"/>
      <c r="E118" s="1054"/>
      <c r="F118" s="1054"/>
      <c r="G118" s="1054"/>
      <c r="H118" s="1054"/>
      <c r="I118" s="1054"/>
      <c r="J118" s="1054"/>
      <c r="K118" s="1054"/>
      <c r="L118" s="1054"/>
      <c r="M118" s="1054"/>
      <c r="N118" s="1054"/>
      <c r="O118" s="1054"/>
      <c r="P118" s="1054"/>
      <c r="Q118" s="1054"/>
      <c r="R118" s="1054"/>
      <c r="S118" s="1054"/>
      <c r="T118" s="1054"/>
      <c r="U118" s="1054"/>
      <c r="V118" s="1054"/>
      <c r="W118" s="1052"/>
    </row>
    <row r="119" spans="1:23">
      <c r="A119" s="1050"/>
      <c r="B119" s="1053"/>
      <c r="C119" s="1053"/>
      <c r="D119" s="1054"/>
      <c r="E119" s="1054"/>
      <c r="F119" s="1054"/>
      <c r="G119" s="1054"/>
      <c r="H119" s="1054"/>
      <c r="I119" s="1054"/>
      <c r="J119" s="1054"/>
      <c r="K119" s="1054"/>
      <c r="L119" s="1054"/>
      <c r="M119" s="1054"/>
      <c r="N119" s="1054"/>
      <c r="O119" s="1054"/>
      <c r="P119" s="1054"/>
      <c r="Q119" s="1054"/>
      <c r="R119" s="1054"/>
      <c r="S119" s="1054"/>
      <c r="T119" s="1054"/>
      <c r="U119" s="1054"/>
      <c r="V119" s="1054"/>
      <c r="W119" s="1052"/>
    </row>
    <row r="120" spans="1:23">
      <c r="A120" s="1050"/>
      <c r="B120" s="1053"/>
      <c r="C120" s="1053"/>
      <c r="D120" s="1054"/>
      <c r="E120" s="1054"/>
      <c r="F120" s="1054"/>
      <c r="G120" s="1054"/>
      <c r="H120" s="1054"/>
      <c r="I120" s="1054"/>
      <c r="J120" s="1054"/>
      <c r="K120" s="1054"/>
      <c r="L120" s="1054"/>
      <c r="M120" s="1054"/>
      <c r="N120" s="1054"/>
      <c r="O120" s="1054"/>
      <c r="P120" s="1054"/>
      <c r="Q120" s="1054"/>
      <c r="R120" s="1054"/>
      <c r="S120" s="1054"/>
      <c r="T120" s="1054"/>
      <c r="U120" s="1054"/>
      <c r="V120" s="1054"/>
      <c r="W120" s="1052"/>
    </row>
    <row r="121" spans="1:23">
      <c r="A121" s="1050"/>
      <c r="B121" s="1053"/>
      <c r="C121" s="1053"/>
      <c r="D121" s="1054"/>
      <c r="E121" s="1054"/>
      <c r="F121" s="1054"/>
      <c r="G121" s="1054"/>
      <c r="H121" s="1054"/>
      <c r="I121" s="1054"/>
      <c r="J121" s="1054"/>
      <c r="K121" s="1054"/>
      <c r="L121" s="1054"/>
      <c r="M121" s="1054"/>
      <c r="N121" s="1054"/>
      <c r="O121" s="1054"/>
      <c r="P121" s="1054"/>
      <c r="Q121" s="1054"/>
      <c r="R121" s="1054"/>
      <c r="S121" s="1054"/>
      <c r="T121" s="1054"/>
      <c r="U121" s="1054"/>
      <c r="V121" s="1054"/>
      <c r="W121" s="1052"/>
    </row>
    <row r="122" spans="1:23">
      <c r="A122" s="1050"/>
      <c r="B122" s="1053"/>
      <c r="C122" s="1053"/>
      <c r="D122" s="1054"/>
      <c r="E122" s="1054"/>
      <c r="F122" s="1054"/>
      <c r="G122" s="1054"/>
      <c r="H122" s="1054"/>
      <c r="I122" s="1054"/>
      <c r="J122" s="1054"/>
      <c r="K122" s="1054"/>
      <c r="L122" s="1054"/>
      <c r="M122" s="1054"/>
      <c r="N122" s="1054"/>
      <c r="O122" s="1054"/>
      <c r="P122" s="1054"/>
      <c r="Q122" s="1054"/>
      <c r="R122" s="1054"/>
      <c r="S122" s="1054"/>
      <c r="T122" s="1054"/>
      <c r="U122" s="1054"/>
      <c r="V122" s="1054"/>
      <c r="W122" s="1052"/>
    </row>
    <row r="123" spans="1:23">
      <c r="A123" s="1050"/>
      <c r="B123" s="1053"/>
      <c r="C123" s="1053"/>
      <c r="D123" s="1054"/>
      <c r="E123" s="1054"/>
      <c r="F123" s="1054"/>
      <c r="G123" s="1054"/>
      <c r="H123" s="1054"/>
      <c r="I123" s="1054"/>
      <c r="J123" s="1054"/>
      <c r="K123" s="1054"/>
      <c r="L123" s="1054"/>
      <c r="M123" s="1054"/>
      <c r="N123" s="1054"/>
      <c r="O123" s="1054"/>
      <c r="P123" s="1054"/>
      <c r="Q123" s="1054"/>
      <c r="R123" s="1054"/>
      <c r="S123" s="1054"/>
      <c r="T123" s="1054"/>
      <c r="U123" s="1054"/>
      <c r="V123" s="1054"/>
      <c r="W123" s="1052"/>
    </row>
    <row r="124" spans="1:23">
      <c r="A124" s="1050"/>
      <c r="B124" s="1053"/>
      <c r="C124" s="1053"/>
      <c r="D124" s="1054"/>
      <c r="E124" s="1054"/>
      <c r="F124" s="1054"/>
      <c r="G124" s="1054"/>
      <c r="H124" s="1054"/>
      <c r="I124" s="1054"/>
      <c r="J124" s="1054"/>
      <c r="K124" s="1054"/>
      <c r="L124" s="1054"/>
      <c r="M124" s="1054"/>
      <c r="N124" s="1054"/>
      <c r="O124" s="1054"/>
      <c r="P124" s="1054"/>
      <c r="Q124" s="1054"/>
      <c r="R124" s="1054"/>
      <c r="S124" s="1054"/>
      <c r="T124" s="1054"/>
      <c r="U124" s="1054"/>
      <c r="V124" s="1054"/>
      <c r="W124" s="1052"/>
    </row>
    <row r="125" spans="1:23">
      <c r="A125" s="1050"/>
      <c r="B125" s="1053"/>
      <c r="C125" s="1053"/>
      <c r="D125" s="1054"/>
      <c r="E125" s="1054"/>
      <c r="F125" s="1054"/>
      <c r="G125" s="1054"/>
      <c r="H125" s="1054"/>
      <c r="I125" s="1054"/>
      <c r="J125" s="1054"/>
      <c r="K125" s="1054"/>
      <c r="L125" s="1054"/>
      <c r="M125" s="1054"/>
      <c r="N125" s="1054"/>
      <c r="O125" s="1054"/>
      <c r="P125" s="1054"/>
      <c r="Q125" s="1054"/>
      <c r="R125" s="1054"/>
      <c r="S125" s="1054"/>
      <c r="T125" s="1054"/>
      <c r="U125" s="1054"/>
      <c r="V125" s="1054"/>
      <c r="W125" s="1052"/>
    </row>
    <row r="126" spans="1:23">
      <c r="A126" s="1050"/>
      <c r="B126" s="1053"/>
      <c r="C126" s="1053"/>
      <c r="D126" s="1054"/>
      <c r="E126" s="1054"/>
      <c r="F126" s="1054"/>
      <c r="G126" s="1054"/>
      <c r="H126" s="1054"/>
      <c r="I126" s="1054"/>
      <c r="J126" s="1054"/>
      <c r="K126" s="1054"/>
      <c r="L126" s="1054"/>
      <c r="M126" s="1054"/>
      <c r="N126" s="1054"/>
      <c r="O126" s="1054"/>
      <c r="P126" s="1054"/>
      <c r="Q126" s="1054"/>
      <c r="R126" s="1054"/>
      <c r="S126" s="1054"/>
      <c r="T126" s="1054"/>
      <c r="U126" s="1054"/>
      <c r="V126" s="1054"/>
      <c r="W126" s="1052"/>
    </row>
    <row r="127" spans="1:23">
      <c r="A127" s="1050"/>
      <c r="B127" s="1053"/>
      <c r="C127" s="1053"/>
      <c r="D127" s="1054"/>
      <c r="E127" s="1054"/>
      <c r="F127" s="1054"/>
      <c r="G127" s="1054"/>
      <c r="H127" s="1054"/>
      <c r="I127" s="1054"/>
      <c r="J127" s="1054"/>
      <c r="K127" s="1054"/>
      <c r="L127" s="1054"/>
      <c r="M127" s="1054"/>
      <c r="N127" s="1054"/>
      <c r="O127" s="1054"/>
      <c r="P127" s="1054"/>
      <c r="Q127" s="1054"/>
      <c r="R127" s="1054"/>
      <c r="S127" s="1054"/>
      <c r="T127" s="1054"/>
      <c r="U127" s="1054"/>
      <c r="V127" s="1054"/>
      <c r="W127" s="1052"/>
    </row>
    <row r="128" spans="1:23">
      <c r="A128" s="1050"/>
      <c r="B128" s="1053"/>
      <c r="C128" s="1053"/>
      <c r="D128" s="1054"/>
      <c r="E128" s="1054"/>
      <c r="F128" s="1054"/>
      <c r="G128" s="1054"/>
      <c r="H128" s="1054"/>
      <c r="I128" s="1054"/>
      <c r="J128" s="1054"/>
      <c r="K128" s="1054"/>
      <c r="L128" s="1054"/>
      <c r="M128" s="1054"/>
      <c r="N128" s="1054"/>
      <c r="O128" s="1054"/>
      <c r="P128" s="1054"/>
      <c r="Q128" s="1054"/>
      <c r="R128" s="1054"/>
      <c r="S128" s="1054"/>
      <c r="T128" s="1054"/>
      <c r="U128" s="1054"/>
      <c r="V128" s="1054"/>
      <c r="W128" s="1052"/>
    </row>
    <row r="129" spans="1:23">
      <c r="A129" s="1050"/>
      <c r="B129" s="1053"/>
      <c r="C129" s="1053"/>
      <c r="D129" s="1054"/>
      <c r="E129" s="1054"/>
      <c r="F129" s="1054"/>
      <c r="G129" s="1054"/>
      <c r="H129" s="1054"/>
      <c r="I129" s="1054"/>
      <c r="J129" s="1054"/>
      <c r="K129" s="1054"/>
      <c r="L129" s="1054"/>
      <c r="M129" s="1054"/>
      <c r="N129" s="1054"/>
      <c r="O129" s="1054"/>
      <c r="P129" s="1054"/>
      <c r="Q129" s="1054"/>
      <c r="R129" s="1054"/>
      <c r="S129" s="1054"/>
      <c r="T129" s="1054"/>
      <c r="U129" s="1054"/>
      <c r="V129" s="1054"/>
      <c r="W129" s="1052"/>
    </row>
    <row r="130" spans="1:23">
      <c r="A130" s="1050"/>
      <c r="B130" s="1053"/>
      <c r="C130" s="1053"/>
      <c r="D130" s="1054"/>
      <c r="E130" s="1054"/>
      <c r="F130" s="1054"/>
      <c r="G130" s="1054"/>
      <c r="H130" s="1054"/>
      <c r="I130" s="1054"/>
      <c r="J130" s="1054"/>
      <c r="K130" s="1054"/>
      <c r="L130" s="1054"/>
      <c r="M130" s="1054"/>
      <c r="N130" s="1054"/>
      <c r="O130" s="1054"/>
      <c r="P130" s="1054"/>
      <c r="Q130" s="1054"/>
      <c r="R130" s="1054"/>
      <c r="S130" s="1054"/>
      <c r="T130" s="1054"/>
      <c r="U130" s="1054"/>
      <c r="V130" s="1054"/>
      <c r="W130" s="1052"/>
    </row>
    <row r="131" spans="1:23">
      <c r="A131" s="1050"/>
      <c r="B131" s="1053"/>
      <c r="C131" s="1053"/>
      <c r="D131" s="1054"/>
      <c r="E131" s="1054"/>
      <c r="F131" s="1054"/>
      <c r="G131" s="1054"/>
      <c r="H131" s="1054"/>
      <c r="I131" s="1054"/>
      <c r="J131" s="1054"/>
      <c r="K131" s="1054"/>
      <c r="L131" s="1054"/>
      <c r="M131" s="1054"/>
      <c r="N131" s="1054"/>
      <c r="O131" s="1054"/>
      <c r="P131" s="1054"/>
      <c r="Q131" s="1054"/>
      <c r="R131" s="1054"/>
      <c r="S131" s="1054"/>
      <c r="T131" s="1054"/>
      <c r="U131" s="1054"/>
      <c r="V131" s="1054"/>
      <c r="W131" s="1052"/>
    </row>
    <row r="132" spans="1:23">
      <c r="A132" s="1050"/>
      <c r="B132" s="1053"/>
      <c r="C132" s="1053"/>
      <c r="D132" s="1054"/>
      <c r="E132" s="1054"/>
      <c r="F132" s="1054"/>
      <c r="G132" s="1054"/>
      <c r="H132" s="1054"/>
      <c r="I132" s="1054"/>
      <c r="J132" s="1054"/>
      <c r="K132" s="1054"/>
      <c r="L132" s="1054"/>
      <c r="M132" s="1054"/>
      <c r="N132" s="1054"/>
      <c r="O132" s="1054"/>
      <c r="P132" s="1054"/>
      <c r="Q132" s="1054"/>
      <c r="R132" s="1054"/>
      <c r="S132" s="1054"/>
      <c r="T132" s="1054"/>
      <c r="U132" s="1054"/>
      <c r="V132" s="1054"/>
      <c r="W132" s="1052"/>
    </row>
    <row r="133" spans="1:23">
      <c r="A133" s="1050"/>
      <c r="B133" s="1053"/>
      <c r="C133" s="1053"/>
      <c r="D133" s="1054"/>
      <c r="E133" s="1054"/>
      <c r="F133" s="1054"/>
      <c r="G133" s="1054"/>
      <c r="H133" s="1054"/>
      <c r="I133" s="1054"/>
      <c r="J133" s="1054"/>
      <c r="K133" s="1054"/>
      <c r="L133" s="1054"/>
      <c r="M133" s="1054"/>
      <c r="N133" s="1054"/>
      <c r="O133" s="1054"/>
      <c r="P133" s="1054"/>
      <c r="Q133" s="1054"/>
      <c r="R133" s="1054"/>
      <c r="S133" s="1054"/>
      <c r="T133" s="1054"/>
      <c r="U133" s="1054"/>
      <c r="V133" s="1054"/>
      <c r="W133" s="1052"/>
    </row>
    <row r="134" spans="1:23">
      <c r="A134" s="1050"/>
      <c r="B134" s="1053"/>
      <c r="C134" s="1053"/>
      <c r="D134" s="1054"/>
      <c r="E134" s="1054"/>
      <c r="F134" s="1054"/>
      <c r="G134" s="1054"/>
      <c r="H134" s="1054"/>
      <c r="I134" s="1054"/>
      <c r="J134" s="1054"/>
      <c r="K134" s="1054"/>
      <c r="L134" s="1054"/>
      <c r="M134" s="1054"/>
      <c r="N134" s="1054"/>
      <c r="O134" s="1054"/>
      <c r="P134" s="1054"/>
      <c r="Q134" s="1054"/>
      <c r="R134" s="1054"/>
      <c r="S134" s="1054"/>
      <c r="T134" s="1054"/>
      <c r="U134" s="1054"/>
      <c r="V134" s="1054"/>
      <c r="W134" s="1052"/>
    </row>
    <row r="135" spans="1:23">
      <c r="A135" s="1050"/>
      <c r="B135" s="1053"/>
      <c r="C135" s="1053"/>
      <c r="D135" s="1054"/>
      <c r="E135" s="1054"/>
      <c r="F135" s="1054"/>
      <c r="G135" s="1054"/>
      <c r="H135" s="1054"/>
      <c r="I135" s="1054"/>
      <c r="J135" s="1054"/>
      <c r="K135" s="1054"/>
      <c r="L135" s="1054"/>
      <c r="M135" s="1054"/>
      <c r="N135" s="1054"/>
      <c r="O135" s="1054"/>
      <c r="P135" s="1054"/>
      <c r="Q135" s="1054"/>
      <c r="R135" s="1054"/>
      <c r="S135" s="1054"/>
      <c r="T135" s="1054"/>
      <c r="U135" s="1054"/>
      <c r="V135" s="1054"/>
      <c r="W135" s="1052"/>
    </row>
    <row r="136" spans="1:23">
      <c r="A136" s="1050"/>
      <c r="B136" s="1053"/>
      <c r="C136" s="1053"/>
      <c r="D136" s="1054"/>
      <c r="E136" s="1054"/>
      <c r="F136" s="1054"/>
      <c r="G136" s="1054"/>
      <c r="H136" s="1054"/>
      <c r="I136" s="1054"/>
      <c r="J136" s="1054"/>
      <c r="K136" s="1054"/>
      <c r="L136" s="1054"/>
      <c r="M136" s="1054"/>
      <c r="N136" s="1054"/>
      <c r="O136" s="1054"/>
      <c r="P136" s="1054"/>
      <c r="Q136" s="1054"/>
      <c r="R136" s="1054"/>
      <c r="S136" s="1054"/>
      <c r="T136" s="1054"/>
      <c r="U136" s="1054"/>
      <c r="V136" s="1054"/>
      <c r="W136" s="1052"/>
    </row>
    <row r="137" spans="1:23">
      <c r="A137" s="1050"/>
      <c r="B137" s="1053"/>
      <c r="C137" s="1053"/>
      <c r="D137" s="1054"/>
      <c r="E137" s="1054"/>
      <c r="F137" s="1054"/>
      <c r="G137" s="1054"/>
      <c r="H137" s="1054"/>
      <c r="I137" s="1054"/>
      <c r="J137" s="1054"/>
      <c r="K137" s="1054"/>
      <c r="L137" s="1054"/>
      <c r="M137" s="1054"/>
      <c r="N137" s="1054"/>
      <c r="O137" s="1054"/>
      <c r="P137" s="1054"/>
      <c r="Q137" s="1054"/>
      <c r="R137" s="1054"/>
      <c r="S137" s="1054"/>
      <c r="T137" s="1054"/>
      <c r="U137" s="1054"/>
      <c r="V137" s="1054"/>
      <c r="W137" s="1052"/>
    </row>
    <row r="138" spans="1:23">
      <c r="A138" s="1050"/>
      <c r="B138" s="1053"/>
      <c r="C138" s="1053"/>
      <c r="D138" s="1054"/>
      <c r="E138" s="1054"/>
      <c r="F138" s="1054"/>
      <c r="G138" s="1054"/>
      <c r="H138" s="1054"/>
      <c r="I138" s="1054"/>
      <c r="J138" s="1054"/>
      <c r="K138" s="1054"/>
      <c r="L138" s="1054"/>
      <c r="M138" s="1054"/>
      <c r="N138" s="1054"/>
      <c r="O138" s="1054"/>
      <c r="P138" s="1054"/>
      <c r="Q138" s="1054"/>
      <c r="R138" s="1054"/>
      <c r="S138" s="1054"/>
      <c r="T138" s="1054"/>
      <c r="U138" s="1054"/>
      <c r="V138" s="1054"/>
      <c r="W138" s="1052"/>
    </row>
    <row r="139" spans="1:23">
      <c r="A139" s="1050"/>
      <c r="B139" s="1053"/>
      <c r="C139" s="1053"/>
      <c r="D139" s="1054"/>
      <c r="E139" s="1054"/>
      <c r="F139" s="1054"/>
      <c r="G139" s="1054"/>
      <c r="H139" s="1054"/>
      <c r="I139" s="1054"/>
      <c r="J139" s="1054"/>
      <c r="K139" s="1054"/>
      <c r="L139" s="1054"/>
      <c r="M139" s="1054"/>
      <c r="N139" s="1054"/>
      <c r="O139" s="1054"/>
      <c r="P139" s="1054"/>
      <c r="Q139" s="1054"/>
      <c r="R139" s="1054"/>
      <c r="S139" s="1054"/>
      <c r="T139" s="1054"/>
      <c r="U139" s="1054"/>
      <c r="V139" s="1054"/>
      <c r="W139" s="1052"/>
    </row>
    <row r="140" spans="1:23">
      <c r="A140" s="1050"/>
      <c r="B140" s="1053"/>
      <c r="C140" s="1053"/>
      <c r="D140" s="1054"/>
      <c r="E140" s="1054"/>
      <c r="F140" s="1054"/>
      <c r="G140" s="1054"/>
      <c r="H140" s="1054"/>
      <c r="I140" s="1054"/>
      <c r="J140" s="1054"/>
      <c r="K140" s="1054"/>
      <c r="L140" s="1054"/>
      <c r="M140" s="1054"/>
      <c r="N140" s="1054"/>
      <c r="O140" s="1054"/>
      <c r="P140" s="1054"/>
      <c r="Q140" s="1054"/>
      <c r="R140" s="1054"/>
      <c r="S140" s="1054"/>
      <c r="T140" s="1054"/>
      <c r="U140" s="1054"/>
      <c r="V140" s="1054"/>
      <c r="W140" s="1052"/>
    </row>
    <row r="141" spans="1:23">
      <c r="A141" s="1050"/>
      <c r="B141" s="1053"/>
      <c r="C141" s="1053"/>
      <c r="D141" s="1054"/>
      <c r="E141" s="1054"/>
      <c r="F141" s="1054"/>
      <c r="G141" s="1054"/>
      <c r="H141" s="1054"/>
      <c r="I141" s="1054"/>
      <c r="J141" s="1054"/>
      <c r="K141" s="1054"/>
      <c r="L141" s="1054"/>
      <c r="M141" s="1054"/>
      <c r="N141" s="1054"/>
      <c r="O141" s="1054"/>
      <c r="P141" s="1054"/>
      <c r="Q141" s="1054"/>
      <c r="R141" s="1054"/>
      <c r="S141" s="1054"/>
      <c r="T141" s="1054"/>
      <c r="U141" s="1054"/>
      <c r="V141" s="1054"/>
      <c r="W141" s="1052"/>
    </row>
    <row r="142" spans="1:23">
      <c r="A142" s="1050"/>
      <c r="B142" s="1053"/>
      <c r="C142" s="1053"/>
      <c r="D142" s="1054"/>
      <c r="E142" s="1054"/>
      <c r="F142" s="1054"/>
      <c r="G142" s="1054"/>
      <c r="H142" s="1054"/>
      <c r="I142" s="1054"/>
      <c r="J142" s="1054"/>
      <c r="K142" s="1054"/>
      <c r="L142" s="1054"/>
      <c r="M142" s="1054"/>
      <c r="N142" s="1054"/>
      <c r="O142" s="1054"/>
      <c r="P142" s="1054"/>
      <c r="Q142" s="1054"/>
      <c r="R142" s="1054"/>
      <c r="S142" s="1054"/>
      <c r="T142" s="1054"/>
      <c r="U142" s="1054"/>
      <c r="V142" s="1054"/>
      <c r="W142" s="1052"/>
    </row>
    <row r="143" spans="1:23">
      <c r="A143" s="1050"/>
      <c r="B143" s="1053"/>
      <c r="C143" s="1053"/>
      <c r="D143" s="1054"/>
      <c r="E143" s="1054"/>
      <c r="F143" s="1054"/>
      <c r="G143" s="1054"/>
      <c r="H143" s="1054"/>
      <c r="I143" s="1054"/>
      <c r="J143" s="1054"/>
      <c r="K143" s="1054"/>
      <c r="L143" s="1054"/>
      <c r="M143" s="1054"/>
      <c r="N143" s="1054"/>
      <c r="O143" s="1054"/>
      <c r="P143" s="1054"/>
      <c r="Q143" s="1054"/>
      <c r="R143" s="1054"/>
      <c r="S143" s="1054"/>
      <c r="T143" s="1054"/>
      <c r="U143" s="1054"/>
      <c r="V143" s="1054"/>
      <c r="W143" s="1052"/>
    </row>
    <row r="144" spans="1:23">
      <c r="A144" s="1050"/>
      <c r="B144" s="1053"/>
      <c r="C144" s="1053"/>
      <c r="D144" s="1054"/>
      <c r="E144" s="1054"/>
      <c r="F144" s="1054"/>
      <c r="G144" s="1054"/>
      <c r="H144" s="1054"/>
      <c r="I144" s="1054"/>
      <c r="J144" s="1054"/>
      <c r="K144" s="1054"/>
      <c r="L144" s="1054"/>
      <c r="M144" s="1054"/>
      <c r="N144" s="1054"/>
      <c r="O144" s="1054"/>
      <c r="P144" s="1054"/>
      <c r="Q144" s="1054"/>
      <c r="R144" s="1054"/>
      <c r="S144" s="1054"/>
      <c r="T144" s="1054"/>
      <c r="U144" s="1054"/>
      <c r="V144" s="1054"/>
      <c r="W144" s="1052"/>
    </row>
    <row r="145" spans="1:23">
      <c r="A145" s="1050"/>
      <c r="B145" s="1053"/>
      <c r="C145" s="1053"/>
      <c r="D145" s="1054"/>
      <c r="E145" s="1054"/>
      <c r="F145" s="1054"/>
      <c r="G145" s="1054"/>
      <c r="H145" s="1054"/>
      <c r="I145" s="1054"/>
      <c r="J145" s="1054"/>
      <c r="K145" s="1054"/>
      <c r="L145" s="1054"/>
      <c r="M145" s="1054"/>
      <c r="N145" s="1054"/>
      <c r="O145" s="1054"/>
      <c r="P145" s="1054"/>
      <c r="Q145" s="1054"/>
      <c r="R145" s="1054"/>
      <c r="S145" s="1054"/>
      <c r="T145" s="1054"/>
      <c r="U145" s="1054"/>
      <c r="V145" s="1054"/>
      <c r="W145" s="1052"/>
    </row>
    <row r="146" spans="1:23">
      <c r="A146" s="1050"/>
      <c r="B146" s="1053"/>
      <c r="C146" s="1053"/>
      <c r="D146" s="1054"/>
      <c r="E146" s="1054"/>
      <c r="F146" s="1054"/>
      <c r="G146" s="1054"/>
      <c r="H146" s="1054"/>
      <c r="I146" s="1054"/>
      <c r="J146" s="1054"/>
      <c r="K146" s="1054"/>
      <c r="L146" s="1054"/>
      <c r="M146" s="1054"/>
      <c r="N146" s="1054"/>
      <c r="O146" s="1054"/>
      <c r="P146" s="1054"/>
      <c r="Q146" s="1054"/>
      <c r="R146" s="1054"/>
      <c r="S146" s="1054"/>
      <c r="T146" s="1054"/>
      <c r="U146" s="1054"/>
      <c r="V146" s="1054"/>
      <c r="W146" s="1052"/>
    </row>
    <row r="147" spans="1:23">
      <c r="A147" s="1050"/>
      <c r="B147" s="1053"/>
      <c r="C147" s="1053"/>
      <c r="D147" s="1054"/>
      <c r="E147" s="1054"/>
      <c r="F147" s="1054"/>
      <c r="G147" s="1054"/>
      <c r="H147" s="1054"/>
      <c r="I147" s="1054"/>
      <c r="J147" s="1054"/>
      <c r="K147" s="1054"/>
      <c r="L147" s="1054"/>
      <c r="M147" s="1054"/>
      <c r="N147" s="1054"/>
      <c r="O147" s="1054"/>
      <c r="P147" s="1054"/>
      <c r="Q147" s="1054"/>
      <c r="R147" s="1054"/>
      <c r="S147" s="1054"/>
      <c r="T147" s="1054"/>
      <c r="U147" s="1054"/>
      <c r="V147" s="1054"/>
      <c r="W147" s="1052"/>
    </row>
    <row r="148" spans="1:23">
      <c r="A148" s="1050"/>
      <c r="B148" s="1053"/>
      <c r="C148" s="1053"/>
      <c r="D148" s="1054"/>
      <c r="E148" s="1054"/>
      <c r="F148" s="1054"/>
      <c r="G148" s="1054"/>
      <c r="H148" s="1054"/>
      <c r="I148" s="1054"/>
      <c r="J148" s="1054"/>
      <c r="K148" s="1054"/>
      <c r="L148" s="1054"/>
      <c r="M148" s="1054"/>
      <c r="N148" s="1054"/>
      <c r="O148" s="1054"/>
      <c r="P148" s="1054"/>
      <c r="Q148" s="1054"/>
      <c r="R148" s="1054"/>
      <c r="S148" s="1054"/>
      <c r="T148" s="1054"/>
      <c r="U148" s="1054"/>
      <c r="V148" s="1054"/>
      <c r="W148" s="1052"/>
    </row>
    <row r="149" spans="1:23">
      <c r="A149" s="1050"/>
      <c r="B149" s="1053"/>
      <c r="C149" s="1053"/>
      <c r="D149" s="1054"/>
      <c r="E149" s="1054"/>
      <c r="F149" s="1054"/>
      <c r="G149" s="1054"/>
      <c r="H149" s="1054"/>
      <c r="I149" s="1054"/>
      <c r="J149" s="1054"/>
      <c r="K149" s="1054"/>
      <c r="L149" s="1054"/>
      <c r="M149" s="1054"/>
      <c r="N149" s="1054"/>
      <c r="O149" s="1054"/>
      <c r="P149" s="1054"/>
      <c r="Q149" s="1054"/>
      <c r="R149" s="1054"/>
      <c r="S149" s="1054"/>
      <c r="T149" s="1054"/>
      <c r="U149" s="1054"/>
      <c r="V149" s="1054"/>
      <c r="W149" s="1052"/>
    </row>
    <row r="150" spans="1:23">
      <c r="A150" s="1050"/>
      <c r="B150" s="1053"/>
      <c r="C150" s="1053"/>
      <c r="D150" s="1054"/>
      <c r="E150" s="1054"/>
      <c r="F150" s="1054"/>
      <c r="G150" s="1054"/>
      <c r="H150" s="1054"/>
      <c r="I150" s="1054"/>
      <c r="J150" s="1054"/>
      <c r="K150" s="1054"/>
      <c r="L150" s="1054"/>
      <c r="M150" s="1054"/>
      <c r="N150" s="1054"/>
      <c r="O150" s="1054"/>
      <c r="P150" s="1054"/>
      <c r="Q150" s="1054"/>
      <c r="R150" s="1054"/>
      <c r="S150" s="1054"/>
      <c r="T150" s="1054"/>
      <c r="U150" s="1054"/>
      <c r="V150" s="1054"/>
      <c r="W150" s="1052"/>
    </row>
    <row r="151" spans="1:23">
      <c r="A151" s="1050"/>
      <c r="B151" s="1053"/>
      <c r="C151" s="1053"/>
      <c r="D151" s="1054"/>
      <c r="E151" s="1054"/>
      <c r="F151" s="1054"/>
      <c r="G151" s="1054"/>
      <c r="H151" s="1054"/>
      <c r="I151" s="1054"/>
      <c r="J151" s="1054"/>
      <c r="K151" s="1054"/>
      <c r="L151" s="1054"/>
      <c r="M151" s="1054"/>
      <c r="N151" s="1054"/>
      <c r="O151" s="1054"/>
      <c r="P151" s="1054"/>
      <c r="Q151" s="1054"/>
      <c r="R151" s="1054"/>
      <c r="S151" s="1054"/>
      <c r="T151" s="1054"/>
      <c r="U151" s="1054"/>
      <c r="V151" s="1054"/>
      <c r="W151" s="1052"/>
    </row>
    <row r="152" spans="1:23">
      <c r="A152" s="1050"/>
      <c r="B152" s="1053"/>
      <c r="C152" s="1053"/>
      <c r="D152" s="1054"/>
      <c r="E152" s="1054"/>
      <c r="F152" s="1054"/>
      <c r="G152" s="1054"/>
      <c r="H152" s="1054"/>
      <c r="I152" s="1054"/>
      <c r="J152" s="1054"/>
      <c r="K152" s="1054"/>
      <c r="L152" s="1054"/>
      <c r="M152" s="1054"/>
      <c r="N152" s="1054"/>
      <c r="O152" s="1054"/>
      <c r="P152" s="1054"/>
      <c r="Q152" s="1054"/>
      <c r="R152" s="1054"/>
      <c r="S152" s="1054"/>
      <c r="T152" s="1054"/>
      <c r="U152" s="1054"/>
      <c r="V152" s="1054"/>
      <c r="W152" s="1052"/>
    </row>
    <row r="153" spans="1:23">
      <c r="A153" s="1050"/>
      <c r="B153" s="1053"/>
      <c r="C153" s="1053"/>
      <c r="D153" s="1054"/>
      <c r="E153" s="1054"/>
      <c r="F153" s="1054"/>
      <c r="G153" s="1054"/>
      <c r="H153" s="1054"/>
      <c r="I153" s="1054"/>
      <c r="J153" s="1054"/>
      <c r="K153" s="1054"/>
      <c r="L153" s="1054"/>
      <c r="M153" s="1054"/>
      <c r="N153" s="1054"/>
      <c r="O153" s="1054"/>
      <c r="P153" s="1054"/>
      <c r="Q153" s="1054"/>
      <c r="R153" s="1054"/>
      <c r="S153" s="1054"/>
      <c r="T153" s="1054"/>
      <c r="U153" s="1054"/>
      <c r="V153" s="1054"/>
      <c r="W153" s="1052"/>
    </row>
    <row r="154" spans="1:23">
      <c r="A154" s="1050"/>
      <c r="B154" s="1053"/>
      <c r="C154" s="1053"/>
      <c r="D154" s="1054"/>
      <c r="E154" s="1054"/>
      <c r="F154" s="1054"/>
      <c r="G154" s="1054"/>
      <c r="H154" s="1054"/>
      <c r="I154" s="1054"/>
      <c r="J154" s="1054"/>
      <c r="K154" s="1054"/>
      <c r="L154" s="1054"/>
      <c r="M154" s="1054"/>
      <c r="N154" s="1054"/>
      <c r="O154" s="1054"/>
      <c r="P154" s="1054"/>
      <c r="Q154" s="1054"/>
      <c r="R154" s="1054"/>
      <c r="S154" s="1054"/>
      <c r="T154" s="1054"/>
      <c r="U154" s="1054"/>
      <c r="V154" s="1054"/>
      <c r="W154" s="1052"/>
    </row>
    <row r="155" spans="1:23">
      <c r="A155" s="1050"/>
      <c r="B155" s="1053"/>
      <c r="C155" s="1053"/>
      <c r="D155" s="1054"/>
      <c r="E155" s="1054"/>
      <c r="F155" s="1054"/>
      <c r="G155" s="1054"/>
      <c r="H155" s="1054"/>
      <c r="I155" s="1054"/>
      <c r="J155" s="1054"/>
      <c r="K155" s="1054"/>
      <c r="L155" s="1054"/>
      <c r="M155" s="1054"/>
      <c r="N155" s="1054"/>
      <c r="O155" s="1054"/>
      <c r="P155" s="1054"/>
      <c r="Q155" s="1054"/>
      <c r="R155" s="1054"/>
      <c r="S155" s="1054"/>
      <c r="T155" s="1054"/>
      <c r="U155" s="1054"/>
      <c r="V155" s="1054"/>
      <c r="W155" s="1052"/>
    </row>
    <row r="156" spans="1:23">
      <c r="A156" s="1050"/>
      <c r="B156" s="1053"/>
      <c r="C156" s="1053"/>
      <c r="D156" s="1054"/>
      <c r="E156" s="1054"/>
      <c r="F156" s="1054"/>
      <c r="G156" s="1054"/>
      <c r="H156" s="1054"/>
      <c r="I156" s="1054"/>
      <c r="J156" s="1054"/>
      <c r="K156" s="1054"/>
      <c r="L156" s="1054"/>
      <c r="M156" s="1054"/>
      <c r="N156" s="1054"/>
      <c r="O156" s="1054"/>
      <c r="P156" s="1054"/>
      <c r="Q156" s="1054"/>
      <c r="R156" s="1054"/>
      <c r="S156" s="1054"/>
      <c r="T156" s="1054"/>
      <c r="U156" s="1054"/>
      <c r="V156" s="1054"/>
      <c r="W156" s="1052"/>
    </row>
    <row r="157" spans="1:23">
      <c r="A157" s="1050"/>
      <c r="B157" s="1053"/>
      <c r="C157" s="1053"/>
      <c r="D157" s="1054"/>
      <c r="E157" s="1054"/>
      <c r="F157" s="1054"/>
      <c r="G157" s="1054"/>
      <c r="H157" s="1054"/>
      <c r="I157" s="1054"/>
      <c r="J157" s="1054"/>
      <c r="K157" s="1054"/>
      <c r="L157" s="1054"/>
      <c r="M157" s="1054"/>
      <c r="N157" s="1054"/>
      <c r="O157" s="1054"/>
      <c r="P157" s="1054"/>
      <c r="Q157" s="1054"/>
      <c r="R157" s="1054"/>
      <c r="S157" s="1054"/>
      <c r="T157" s="1054"/>
      <c r="U157" s="1054"/>
      <c r="V157" s="1054"/>
      <c r="W157" s="1052"/>
    </row>
    <row r="158" spans="1:23">
      <c r="A158" s="1050"/>
      <c r="B158" s="1053"/>
      <c r="C158" s="1053"/>
      <c r="D158" s="1054"/>
      <c r="E158" s="1054"/>
      <c r="F158" s="1054"/>
      <c r="G158" s="1054"/>
      <c r="H158" s="1054"/>
      <c r="I158" s="1054"/>
      <c r="J158" s="1054"/>
      <c r="K158" s="1054"/>
      <c r="L158" s="1054"/>
      <c r="M158" s="1054"/>
      <c r="N158" s="1054"/>
      <c r="O158" s="1054"/>
      <c r="P158" s="1054"/>
      <c r="Q158" s="1054"/>
      <c r="R158" s="1054"/>
      <c r="S158" s="1054"/>
      <c r="T158" s="1054"/>
      <c r="U158" s="1054"/>
      <c r="V158" s="1054"/>
      <c r="W158" s="1052"/>
    </row>
    <row r="159" spans="1:23">
      <c r="A159" s="1050"/>
      <c r="B159" s="1053"/>
      <c r="C159" s="1053"/>
      <c r="D159" s="1054"/>
      <c r="E159" s="1054"/>
      <c r="F159" s="1054"/>
      <c r="G159" s="1054"/>
      <c r="H159" s="1054"/>
      <c r="I159" s="1054"/>
      <c r="J159" s="1054"/>
      <c r="K159" s="1054"/>
      <c r="L159" s="1054"/>
      <c r="M159" s="1054"/>
      <c r="N159" s="1054"/>
      <c r="O159" s="1054"/>
      <c r="P159" s="1054"/>
      <c r="Q159" s="1054"/>
      <c r="R159" s="1054"/>
      <c r="S159" s="1054"/>
      <c r="T159" s="1054"/>
      <c r="U159" s="1054"/>
      <c r="V159" s="1054"/>
      <c r="W159" s="1052"/>
    </row>
    <row r="160" spans="1:23">
      <c r="A160" s="1050"/>
      <c r="B160" s="1053"/>
      <c r="C160" s="1053"/>
      <c r="D160" s="1054"/>
      <c r="E160" s="1054"/>
      <c r="F160" s="1054"/>
      <c r="G160" s="1054"/>
      <c r="H160" s="1054"/>
      <c r="I160" s="1054"/>
      <c r="J160" s="1054"/>
      <c r="K160" s="1054"/>
      <c r="L160" s="1054"/>
      <c r="M160" s="1054"/>
      <c r="N160" s="1054"/>
      <c r="O160" s="1054"/>
      <c r="P160" s="1054"/>
      <c r="Q160" s="1054"/>
      <c r="R160" s="1054"/>
      <c r="S160" s="1054"/>
      <c r="T160" s="1054"/>
      <c r="U160" s="1054"/>
      <c r="V160" s="1054"/>
      <c r="W160" s="1052"/>
    </row>
    <row r="161" spans="1:23">
      <c r="A161" s="1050"/>
      <c r="B161" s="1053"/>
      <c r="C161" s="1053"/>
      <c r="D161" s="1054"/>
      <c r="E161" s="1054"/>
      <c r="F161" s="1054"/>
      <c r="G161" s="1054"/>
      <c r="H161" s="1054"/>
      <c r="I161" s="1054"/>
      <c r="J161" s="1054"/>
      <c r="K161" s="1054"/>
      <c r="L161" s="1054"/>
      <c r="M161" s="1054"/>
      <c r="N161" s="1054"/>
      <c r="O161" s="1054"/>
      <c r="P161" s="1054"/>
      <c r="Q161" s="1054"/>
      <c r="R161" s="1054"/>
      <c r="S161" s="1054"/>
      <c r="T161" s="1054"/>
      <c r="U161" s="1054"/>
      <c r="V161" s="1054"/>
      <c r="W161" s="1052"/>
    </row>
    <row r="162" spans="1:23">
      <c r="A162" s="1050"/>
      <c r="B162" s="1053"/>
      <c r="C162" s="1053"/>
      <c r="D162" s="1054"/>
      <c r="E162" s="1054"/>
      <c r="F162" s="1054"/>
      <c r="G162" s="1054"/>
      <c r="H162" s="1054"/>
      <c r="I162" s="1054"/>
      <c r="J162" s="1054"/>
      <c r="K162" s="1054"/>
      <c r="L162" s="1054"/>
      <c r="M162" s="1054"/>
      <c r="N162" s="1054"/>
      <c r="O162" s="1054"/>
      <c r="P162" s="1054"/>
      <c r="Q162" s="1054"/>
      <c r="R162" s="1054"/>
      <c r="S162" s="1054"/>
      <c r="T162" s="1054"/>
      <c r="U162" s="1054"/>
      <c r="V162" s="1054"/>
      <c r="W162" s="1052"/>
    </row>
    <row r="163" spans="1:23">
      <c r="A163" s="1050"/>
      <c r="B163" s="1053"/>
      <c r="C163" s="1053"/>
      <c r="D163" s="1054"/>
      <c r="E163" s="1054"/>
      <c r="F163" s="1054"/>
      <c r="G163" s="1054"/>
      <c r="H163" s="1054"/>
      <c r="I163" s="1054"/>
      <c r="J163" s="1054"/>
      <c r="K163" s="1054"/>
      <c r="L163" s="1054"/>
      <c r="M163" s="1054"/>
      <c r="N163" s="1054"/>
      <c r="O163" s="1054"/>
      <c r="P163" s="1054"/>
      <c r="Q163" s="1054"/>
      <c r="R163" s="1054"/>
      <c r="S163" s="1054"/>
      <c r="T163" s="1054"/>
      <c r="U163" s="1054"/>
      <c r="V163" s="1054"/>
      <c r="W163" s="1052"/>
    </row>
    <row r="164" spans="1:23">
      <c r="A164" s="1050"/>
      <c r="B164" s="1053"/>
      <c r="C164" s="1053"/>
      <c r="D164" s="1054"/>
      <c r="E164" s="1054"/>
      <c r="F164" s="1054"/>
      <c r="G164" s="1054"/>
      <c r="H164" s="1054"/>
      <c r="I164" s="1054"/>
      <c r="J164" s="1054"/>
      <c r="K164" s="1054"/>
      <c r="L164" s="1054"/>
      <c r="M164" s="1054"/>
      <c r="N164" s="1054"/>
      <c r="O164" s="1054"/>
      <c r="P164" s="1054"/>
      <c r="Q164" s="1054"/>
      <c r="R164" s="1054"/>
      <c r="S164" s="1054"/>
      <c r="T164" s="1054"/>
      <c r="U164" s="1054"/>
      <c r="V164" s="1054"/>
      <c r="W164" s="1052"/>
    </row>
    <row r="165" spans="1:23">
      <c r="A165" s="1050"/>
      <c r="B165" s="1053"/>
      <c r="C165" s="1053"/>
      <c r="D165" s="1054"/>
      <c r="E165" s="1054"/>
      <c r="F165" s="1054"/>
      <c r="G165" s="1054"/>
      <c r="H165" s="1054"/>
      <c r="I165" s="1054"/>
      <c r="J165" s="1054"/>
      <c r="K165" s="1054"/>
      <c r="L165" s="1054"/>
      <c r="M165" s="1054"/>
      <c r="N165" s="1054"/>
      <c r="O165" s="1054"/>
      <c r="P165" s="1054"/>
      <c r="Q165" s="1054"/>
      <c r="R165" s="1054"/>
      <c r="S165" s="1054"/>
      <c r="T165" s="1054"/>
      <c r="U165" s="1054"/>
      <c r="V165" s="1054"/>
      <c r="W165" s="1052"/>
    </row>
    <row r="166" spans="1:23">
      <c r="A166" s="1050"/>
      <c r="B166" s="1053"/>
      <c r="C166" s="1053"/>
      <c r="D166" s="1054"/>
      <c r="E166" s="1054"/>
      <c r="F166" s="1054"/>
      <c r="G166" s="1054"/>
      <c r="H166" s="1054"/>
      <c r="I166" s="1054"/>
      <c r="J166" s="1054"/>
      <c r="K166" s="1054"/>
      <c r="L166" s="1054"/>
      <c r="M166" s="1054"/>
      <c r="N166" s="1054"/>
      <c r="O166" s="1054"/>
      <c r="P166" s="1054"/>
      <c r="Q166" s="1054"/>
      <c r="R166" s="1054"/>
      <c r="S166" s="1054"/>
      <c r="T166" s="1054"/>
      <c r="U166" s="1054"/>
      <c r="V166" s="1054"/>
      <c r="W166" s="1052"/>
    </row>
    <row r="167" spans="1:23">
      <c r="A167" s="1050"/>
      <c r="B167" s="1053"/>
      <c r="C167" s="1053"/>
      <c r="D167" s="1054"/>
      <c r="E167" s="1054"/>
      <c r="F167" s="1054"/>
      <c r="G167" s="1054"/>
      <c r="H167" s="1054"/>
      <c r="I167" s="1054"/>
      <c r="J167" s="1054"/>
      <c r="K167" s="1054"/>
      <c r="L167" s="1054"/>
      <c r="M167" s="1054"/>
      <c r="N167" s="1054"/>
      <c r="O167" s="1054"/>
      <c r="P167" s="1054"/>
      <c r="Q167" s="1054"/>
      <c r="R167" s="1054"/>
      <c r="S167" s="1054"/>
      <c r="T167" s="1054"/>
      <c r="U167" s="1054"/>
      <c r="V167" s="1054"/>
      <c r="W167" s="1052"/>
    </row>
    <row r="168" spans="1:23">
      <c r="A168" s="1050"/>
      <c r="B168" s="1053"/>
      <c r="C168" s="1053"/>
      <c r="D168" s="1054"/>
      <c r="E168" s="1054"/>
      <c r="F168" s="1054"/>
      <c r="G168" s="1054"/>
      <c r="H168" s="1054"/>
      <c r="I168" s="1054"/>
      <c r="J168" s="1054"/>
      <c r="K168" s="1054"/>
      <c r="L168" s="1054"/>
      <c r="M168" s="1054"/>
      <c r="N168" s="1054"/>
      <c r="O168" s="1054"/>
      <c r="P168" s="1054"/>
      <c r="Q168" s="1054"/>
      <c r="R168" s="1054"/>
      <c r="S168" s="1054"/>
      <c r="T168" s="1054"/>
      <c r="U168" s="1054"/>
      <c r="V168" s="1054"/>
      <c r="W168" s="1052"/>
    </row>
    <row r="169" spans="1:23">
      <c r="A169" s="1050"/>
      <c r="B169" s="1053"/>
      <c r="C169" s="1053"/>
      <c r="D169" s="1054"/>
      <c r="E169" s="1054"/>
      <c r="F169" s="1054"/>
      <c r="G169" s="1054"/>
      <c r="H169" s="1054"/>
      <c r="I169" s="1054"/>
      <c r="J169" s="1054"/>
      <c r="K169" s="1054"/>
      <c r="L169" s="1054"/>
      <c r="M169" s="1054"/>
      <c r="N169" s="1054"/>
      <c r="O169" s="1054"/>
      <c r="P169" s="1054"/>
      <c r="Q169" s="1054"/>
      <c r="R169" s="1054"/>
      <c r="S169" s="1054"/>
      <c r="T169" s="1054"/>
      <c r="U169" s="1054"/>
      <c r="V169" s="1054"/>
      <c r="W169" s="1052"/>
    </row>
    <row r="170" spans="1:23">
      <c r="A170" s="1050"/>
      <c r="B170" s="1053"/>
      <c r="C170" s="1053"/>
      <c r="D170" s="1054"/>
      <c r="E170" s="1054"/>
      <c r="F170" s="1054"/>
      <c r="G170" s="1054"/>
      <c r="H170" s="1054"/>
      <c r="I170" s="1054"/>
      <c r="J170" s="1054"/>
      <c r="K170" s="1054"/>
      <c r="L170" s="1054"/>
      <c r="M170" s="1054"/>
      <c r="N170" s="1054"/>
      <c r="O170" s="1054"/>
      <c r="P170" s="1054"/>
      <c r="Q170" s="1054"/>
      <c r="R170" s="1054"/>
      <c r="S170" s="1054"/>
      <c r="T170" s="1054"/>
      <c r="U170" s="1054"/>
      <c r="V170" s="1054"/>
      <c r="W170" s="1052"/>
    </row>
    <row r="171" spans="1:23">
      <c r="A171" s="1050"/>
      <c r="B171" s="1053"/>
      <c r="C171" s="1053"/>
      <c r="D171" s="1054"/>
      <c r="E171" s="1054"/>
      <c r="F171" s="1054"/>
      <c r="G171" s="1054"/>
      <c r="H171" s="1054"/>
      <c r="I171" s="1054"/>
      <c r="J171" s="1054"/>
      <c r="K171" s="1054"/>
      <c r="L171" s="1054"/>
      <c r="M171" s="1054"/>
      <c r="N171" s="1054"/>
      <c r="O171" s="1054"/>
      <c r="P171" s="1054"/>
      <c r="Q171" s="1054"/>
      <c r="R171" s="1054"/>
      <c r="S171" s="1054"/>
      <c r="T171" s="1054"/>
      <c r="U171" s="1054"/>
      <c r="V171" s="1054"/>
      <c r="W171" s="1052"/>
    </row>
    <row r="172" spans="1:23">
      <c r="A172" s="1050"/>
      <c r="B172" s="1053"/>
      <c r="C172" s="1053"/>
      <c r="D172" s="1054"/>
      <c r="E172" s="1054"/>
      <c r="F172" s="1054"/>
      <c r="G172" s="1054"/>
      <c r="H172" s="1054"/>
      <c r="I172" s="1054"/>
      <c r="J172" s="1054"/>
      <c r="K172" s="1054"/>
      <c r="L172" s="1054"/>
      <c r="M172" s="1054"/>
      <c r="N172" s="1054"/>
      <c r="O172" s="1054"/>
      <c r="P172" s="1054"/>
      <c r="Q172" s="1054"/>
      <c r="R172" s="1054"/>
      <c r="S172" s="1054"/>
      <c r="T172" s="1054"/>
      <c r="U172" s="1054"/>
      <c r="V172" s="1054"/>
      <c r="W172" s="1052"/>
    </row>
    <row r="173" spans="1:23">
      <c r="A173" s="1050"/>
      <c r="B173" s="1053"/>
      <c r="C173" s="1053"/>
      <c r="D173" s="1054"/>
      <c r="E173" s="1054"/>
      <c r="F173" s="1054"/>
      <c r="G173" s="1054"/>
      <c r="H173" s="1054"/>
      <c r="I173" s="1054"/>
      <c r="J173" s="1054"/>
      <c r="K173" s="1054"/>
      <c r="L173" s="1054"/>
      <c r="M173" s="1054"/>
      <c r="N173" s="1054"/>
      <c r="O173" s="1054"/>
      <c r="P173" s="1054"/>
      <c r="Q173" s="1054"/>
      <c r="R173" s="1054"/>
      <c r="S173" s="1054"/>
      <c r="T173" s="1054"/>
      <c r="U173" s="1054"/>
      <c r="V173" s="1054"/>
      <c r="W173" s="1052"/>
    </row>
    <row r="174" spans="1:23">
      <c r="A174" s="1050"/>
      <c r="B174" s="1053"/>
      <c r="C174" s="1053"/>
      <c r="D174" s="1054"/>
      <c r="E174" s="1054"/>
      <c r="F174" s="1054"/>
      <c r="G174" s="1054"/>
      <c r="H174" s="1054"/>
      <c r="I174" s="1054"/>
      <c r="J174" s="1054"/>
      <c r="K174" s="1054"/>
      <c r="L174" s="1054"/>
      <c r="M174" s="1054"/>
      <c r="N174" s="1054"/>
      <c r="O174" s="1054"/>
      <c r="P174" s="1054"/>
      <c r="Q174" s="1054"/>
      <c r="R174" s="1054"/>
      <c r="S174" s="1054"/>
      <c r="T174" s="1054"/>
      <c r="U174" s="1054"/>
      <c r="V174" s="1054"/>
      <c r="W174" s="1052"/>
    </row>
    <row r="175" spans="1:23">
      <c r="A175" s="1050"/>
      <c r="B175" s="1053"/>
      <c r="C175" s="1053"/>
      <c r="D175" s="1054"/>
      <c r="E175" s="1054"/>
      <c r="F175" s="1054"/>
      <c r="G175" s="1054"/>
      <c r="H175" s="1054"/>
      <c r="I175" s="1054"/>
      <c r="J175" s="1054"/>
      <c r="K175" s="1054"/>
      <c r="L175" s="1054"/>
      <c r="M175" s="1054"/>
      <c r="N175" s="1054"/>
      <c r="O175" s="1054"/>
      <c r="P175" s="1054"/>
      <c r="Q175" s="1054"/>
      <c r="R175" s="1054"/>
      <c r="S175" s="1054"/>
      <c r="T175" s="1054"/>
      <c r="U175" s="1054"/>
      <c r="V175" s="1054"/>
      <c r="W175" s="1052"/>
    </row>
    <row r="176" spans="1:23">
      <c r="A176" s="1050"/>
      <c r="B176" s="1053"/>
      <c r="C176" s="1053"/>
      <c r="D176" s="1054"/>
      <c r="E176" s="1054"/>
      <c r="F176" s="1054"/>
      <c r="G176" s="1054"/>
      <c r="H176" s="1054"/>
      <c r="I176" s="1054"/>
      <c r="J176" s="1054"/>
      <c r="K176" s="1054"/>
      <c r="L176" s="1054"/>
      <c r="M176" s="1054"/>
      <c r="N176" s="1054"/>
      <c r="O176" s="1054"/>
      <c r="P176" s="1054"/>
      <c r="Q176" s="1054"/>
      <c r="R176" s="1054"/>
      <c r="S176" s="1054"/>
      <c r="T176" s="1054"/>
      <c r="U176" s="1054"/>
      <c r="V176" s="1054"/>
      <c r="W176" s="1052"/>
    </row>
    <row r="177" spans="1:23">
      <c r="A177" s="1050"/>
      <c r="B177" s="1053"/>
      <c r="C177" s="1053"/>
      <c r="D177" s="1054"/>
      <c r="E177" s="1054"/>
      <c r="F177" s="1054"/>
      <c r="G177" s="1054"/>
      <c r="H177" s="1054"/>
      <c r="I177" s="1054"/>
      <c r="J177" s="1054"/>
      <c r="K177" s="1054"/>
      <c r="L177" s="1054"/>
      <c r="M177" s="1054"/>
      <c r="N177" s="1054"/>
      <c r="O177" s="1054"/>
      <c r="P177" s="1054"/>
      <c r="Q177" s="1054"/>
      <c r="R177" s="1054"/>
      <c r="S177" s="1054"/>
      <c r="T177" s="1054"/>
      <c r="U177" s="1054"/>
      <c r="V177" s="1054"/>
      <c r="W177" s="1052"/>
    </row>
    <row r="178" spans="1:23">
      <c r="A178" s="1050"/>
      <c r="B178" s="1053"/>
      <c r="C178" s="1053"/>
      <c r="D178" s="1054"/>
      <c r="E178" s="1054"/>
      <c r="F178" s="1054"/>
      <c r="G178" s="1054"/>
      <c r="H178" s="1054"/>
      <c r="I178" s="1054"/>
      <c r="J178" s="1054"/>
      <c r="K178" s="1054"/>
      <c r="L178" s="1054"/>
      <c r="M178" s="1054"/>
      <c r="N178" s="1054"/>
      <c r="O178" s="1054"/>
      <c r="P178" s="1054"/>
      <c r="Q178" s="1054"/>
      <c r="R178" s="1054"/>
      <c r="S178" s="1054"/>
      <c r="T178" s="1054"/>
      <c r="U178" s="1054"/>
      <c r="V178" s="1054"/>
      <c r="W178" s="1052"/>
    </row>
    <row r="179" spans="1:23">
      <c r="A179" s="1050"/>
      <c r="B179" s="1053"/>
      <c r="C179" s="1053"/>
      <c r="D179" s="1054"/>
      <c r="E179" s="1054"/>
      <c r="F179" s="1054"/>
      <c r="G179" s="1054"/>
      <c r="H179" s="1054"/>
      <c r="I179" s="1054"/>
      <c r="J179" s="1054"/>
      <c r="K179" s="1054"/>
      <c r="L179" s="1054"/>
      <c r="M179" s="1054"/>
      <c r="N179" s="1054"/>
      <c r="O179" s="1054"/>
      <c r="P179" s="1054"/>
      <c r="Q179" s="1054"/>
      <c r="R179" s="1054"/>
      <c r="S179" s="1054"/>
      <c r="T179" s="1054"/>
      <c r="U179" s="1054"/>
      <c r="V179" s="1054"/>
      <c r="W179" s="1052"/>
    </row>
    <row r="180" spans="1:23">
      <c r="A180" s="1050"/>
      <c r="B180" s="1053"/>
      <c r="C180" s="1053"/>
      <c r="D180" s="1054"/>
      <c r="E180" s="1054"/>
      <c r="F180" s="1054"/>
      <c r="G180" s="1054"/>
      <c r="H180" s="1054"/>
      <c r="I180" s="1054"/>
      <c r="J180" s="1054"/>
      <c r="K180" s="1054"/>
      <c r="L180" s="1054"/>
      <c r="M180" s="1054"/>
      <c r="N180" s="1054"/>
      <c r="O180" s="1054"/>
      <c r="P180" s="1054"/>
      <c r="Q180" s="1054"/>
      <c r="R180" s="1054"/>
      <c r="S180" s="1054"/>
      <c r="T180" s="1054"/>
      <c r="U180" s="1054"/>
      <c r="V180" s="1054"/>
      <c r="W180" s="1052"/>
    </row>
    <row r="181" spans="1:23">
      <c r="A181" s="1050"/>
      <c r="B181" s="1053"/>
      <c r="C181" s="1053"/>
      <c r="D181" s="1054"/>
      <c r="E181" s="1054"/>
      <c r="F181" s="1054"/>
      <c r="G181" s="1054"/>
      <c r="H181" s="1054"/>
      <c r="I181" s="1054"/>
      <c r="J181" s="1054"/>
      <c r="K181" s="1054"/>
      <c r="L181" s="1054"/>
      <c r="M181" s="1054"/>
      <c r="N181" s="1054"/>
      <c r="O181" s="1054"/>
      <c r="P181" s="1054"/>
      <c r="Q181" s="1054"/>
      <c r="R181" s="1054"/>
      <c r="S181" s="1054"/>
      <c r="T181" s="1054"/>
      <c r="U181" s="1054"/>
      <c r="V181" s="1054"/>
      <c r="W181" s="1052"/>
    </row>
    <row r="182" spans="1:23">
      <c r="A182" s="1050"/>
      <c r="B182" s="1053"/>
      <c r="C182" s="1053"/>
      <c r="D182" s="1054"/>
      <c r="E182" s="1054"/>
      <c r="F182" s="1054"/>
      <c r="G182" s="1054"/>
      <c r="H182" s="1054"/>
      <c r="I182" s="1054"/>
      <c r="J182" s="1054"/>
      <c r="K182" s="1054"/>
      <c r="L182" s="1054"/>
      <c r="M182" s="1054"/>
      <c r="N182" s="1054"/>
      <c r="O182" s="1054"/>
      <c r="P182" s="1054"/>
      <c r="Q182" s="1054"/>
      <c r="R182" s="1054"/>
      <c r="S182" s="1054"/>
      <c r="T182" s="1054"/>
      <c r="U182" s="1054"/>
      <c r="V182" s="1054"/>
      <c r="W182" s="1052"/>
    </row>
    <row r="183" spans="1:23">
      <c r="A183" s="1050"/>
      <c r="B183" s="1053"/>
      <c r="C183" s="1053"/>
      <c r="D183" s="1054"/>
      <c r="E183" s="1054"/>
      <c r="F183" s="1054"/>
      <c r="G183" s="1054"/>
      <c r="H183" s="1054"/>
      <c r="I183" s="1054"/>
      <c r="J183" s="1054"/>
      <c r="K183" s="1054"/>
      <c r="L183" s="1054"/>
      <c r="M183" s="1054"/>
      <c r="N183" s="1054"/>
      <c r="O183" s="1054"/>
      <c r="P183" s="1054"/>
      <c r="Q183" s="1054"/>
      <c r="R183" s="1054"/>
      <c r="S183" s="1054"/>
      <c r="T183" s="1054"/>
      <c r="U183" s="1054"/>
      <c r="V183" s="1054"/>
      <c r="W183" s="1052"/>
    </row>
    <row r="184" spans="1:23">
      <c r="A184" s="1050"/>
      <c r="B184" s="1053"/>
      <c r="C184" s="1053"/>
      <c r="D184" s="1054"/>
      <c r="E184" s="1054"/>
      <c r="F184" s="1054"/>
      <c r="G184" s="1054"/>
      <c r="H184" s="1054"/>
      <c r="I184" s="1054"/>
      <c r="J184" s="1054"/>
      <c r="K184" s="1054"/>
      <c r="L184" s="1054"/>
      <c r="M184" s="1054"/>
      <c r="N184" s="1054"/>
      <c r="O184" s="1054"/>
      <c r="P184" s="1054"/>
      <c r="Q184" s="1054"/>
      <c r="R184" s="1054"/>
      <c r="S184" s="1054"/>
      <c r="T184" s="1054"/>
      <c r="U184" s="1054"/>
      <c r="V184" s="1054"/>
      <c r="W184" s="1052"/>
    </row>
    <row r="185" spans="1:23">
      <c r="A185" s="1050"/>
      <c r="B185" s="1053"/>
      <c r="C185" s="1053"/>
      <c r="D185" s="1054"/>
      <c r="E185" s="1054"/>
      <c r="F185" s="1054"/>
      <c r="G185" s="1054"/>
      <c r="H185" s="1054"/>
      <c r="I185" s="1054"/>
      <c r="J185" s="1054"/>
      <c r="K185" s="1054"/>
      <c r="L185" s="1054"/>
      <c r="M185" s="1054"/>
      <c r="N185" s="1054"/>
      <c r="O185" s="1054"/>
      <c r="P185" s="1054"/>
      <c r="Q185" s="1054"/>
      <c r="R185" s="1054"/>
      <c r="S185" s="1054"/>
      <c r="T185" s="1054"/>
      <c r="U185" s="1054"/>
      <c r="V185" s="1054"/>
      <c r="W185" s="1052"/>
    </row>
    <row r="186" spans="1:23">
      <c r="A186" s="1050"/>
      <c r="B186" s="1053"/>
      <c r="C186" s="1053"/>
      <c r="D186" s="1054"/>
      <c r="E186" s="1054"/>
      <c r="F186" s="1054"/>
      <c r="G186" s="1054"/>
      <c r="H186" s="1054"/>
      <c r="I186" s="1054"/>
      <c r="J186" s="1054"/>
      <c r="K186" s="1054"/>
      <c r="L186" s="1054"/>
      <c r="M186" s="1054"/>
      <c r="N186" s="1054"/>
      <c r="O186" s="1054"/>
      <c r="P186" s="1054"/>
      <c r="Q186" s="1054"/>
      <c r="R186" s="1054"/>
      <c r="S186" s="1054"/>
      <c r="T186" s="1054"/>
      <c r="U186" s="1054"/>
      <c r="V186" s="1054"/>
      <c r="W186" s="1052"/>
    </row>
    <row r="187" spans="1:23">
      <c r="A187" s="1050"/>
      <c r="B187" s="1053"/>
      <c r="C187" s="1053"/>
      <c r="D187" s="1054"/>
      <c r="E187" s="1054"/>
      <c r="F187" s="1054"/>
      <c r="G187" s="1054"/>
      <c r="H187" s="1054"/>
      <c r="I187" s="1054"/>
      <c r="J187" s="1054"/>
      <c r="K187" s="1054"/>
      <c r="L187" s="1054"/>
      <c r="M187" s="1054"/>
      <c r="N187" s="1054"/>
      <c r="O187" s="1054"/>
      <c r="P187" s="1054"/>
      <c r="Q187" s="1054"/>
      <c r="R187" s="1054"/>
      <c r="S187" s="1054"/>
      <c r="T187" s="1054"/>
      <c r="U187" s="1054"/>
      <c r="V187" s="1054"/>
      <c r="W187" s="1052"/>
    </row>
    <row r="188" spans="1:23">
      <c r="A188" s="1050"/>
      <c r="B188" s="1053"/>
      <c r="C188" s="1053"/>
      <c r="D188" s="1054"/>
      <c r="E188" s="1054"/>
      <c r="F188" s="1054"/>
      <c r="G188" s="1054"/>
      <c r="H188" s="1054"/>
      <c r="I188" s="1054"/>
      <c r="J188" s="1054"/>
      <c r="K188" s="1054"/>
      <c r="L188" s="1054"/>
      <c r="M188" s="1054"/>
      <c r="N188" s="1054"/>
      <c r="O188" s="1054"/>
      <c r="P188" s="1054"/>
      <c r="Q188" s="1054"/>
      <c r="R188" s="1054"/>
      <c r="S188" s="1054"/>
      <c r="T188" s="1054"/>
      <c r="U188" s="1054"/>
      <c r="V188" s="1054"/>
      <c r="W188" s="1052"/>
    </row>
    <row r="189" spans="1:23">
      <c r="A189" s="1050"/>
      <c r="B189" s="1053"/>
      <c r="C189" s="1053"/>
      <c r="D189" s="1054"/>
      <c r="E189" s="1054"/>
      <c r="F189" s="1054"/>
      <c r="G189" s="1054"/>
      <c r="H189" s="1054"/>
      <c r="I189" s="1054"/>
      <c r="J189" s="1054"/>
      <c r="K189" s="1054"/>
      <c r="L189" s="1054"/>
      <c r="M189" s="1054"/>
      <c r="N189" s="1054"/>
      <c r="O189" s="1054"/>
      <c r="P189" s="1054"/>
      <c r="Q189" s="1054"/>
      <c r="R189" s="1054"/>
      <c r="S189" s="1054"/>
      <c r="T189" s="1054"/>
      <c r="U189" s="1054"/>
      <c r="V189" s="1054"/>
      <c r="W189" s="1052"/>
    </row>
    <row r="190" spans="1:23">
      <c r="A190" s="1050"/>
      <c r="B190" s="1053"/>
      <c r="C190" s="1053"/>
      <c r="D190" s="1054"/>
      <c r="E190" s="1054"/>
      <c r="F190" s="1054"/>
      <c r="G190" s="1054"/>
      <c r="H190" s="1054"/>
      <c r="I190" s="1054"/>
      <c r="J190" s="1054"/>
      <c r="K190" s="1054"/>
      <c r="L190" s="1054"/>
      <c r="M190" s="1054"/>
      <c r="N190" s="1054"/>
      <c r="O190" s="1054"/>
      <c r="P190" s="1054"/>
      <c r="Q190" s="1054"/>
      <c r="R190" s="1054"/>
      <c r="S190" s="1054"/>
      <c r="T190" s="1054"/>
      <c r="U190" s="1054"/>
      <c r="V190" s="1054"/>
      <c r="W190" s="1052"/>
    </row>
    <row r="191" spans="1:23">
      <c r="A191" s="1050"/>
      <c r="B191" s="1053"/>
      <c r="C191" s="1053"/>
      <c r="D191" s="1054"/>
      <c r="E191" s="1054"/>
      <c r="F191" s="1054"/>
      <c r="G191" s="1054"/>
      <c r="H191" s="1054"/>
      <c r="I191" s="1054"/>
      <c r="J191" s="1054"/>
      <c r="K191" s="1054"/>
      <c r="L191" s="1054"/>
      <c r="M191" s="1054"/>
      <c r="N191" s="1054"/>
      <c r="O191" s="1054"/>
      <c r="P191" s="1054"/>
      <c r="Q191" s="1054"/>
      <c r="R191" s="1054"/>
      <c r="S191" s="1054"/>
      <c r="T191" s="1054"/>
      <c r="U191" s="1054"/>
      <c r="V191" s="1054"/>
      <c r="W191" s="1052"/>
    </row>
    <row r="192" spans="1:23">
      <c r="A192" s="1050"/>
      <c r="B192" s="1053"/>
      <c r="C192" s="1053"/>
      <c r="D192" s="1054"/>
      <c r="E192" s="1054"/>
      <c r="F192" s="1054"/>
      <c r="G192" s="1054"/>
      <c r="H192" s="1054"/>
      <c r="I192" s="1054"/>
      <c r="J192" s="1054"/>
      <c r="K192" s="1054"/>
      <c r="L192" s="1054"/>
      <c r="M192" s="1054"/>
      <c r="N192" s="1054"/>
      <c r="O192" s="1054"/>
      <c r="P192" s="1054"/>
      <c r="Q192" s="1054"/>
      <c r="R192" s="1054"/>
      <c r="S192" s="1054"/>
      <c r="T192" s="1054"/>
      <c r="U192" s="1054"/>
      <c r="V192" s="1054"/>
      <c r="W192" s="1052"/>
    </row>
    <row r="193" spans="1:23">
      <c r="A193" s="1050"/>
      <c r="B193" s="1053"/>
      <c r="C193" s="1053"/>
      <c r="D193" s="1054"/>
      <c r="E193" s="1054"/>
      <c r="F193" s="1054"/>
      <c r="G193" s="1054"/>
      <c r="H193" s="1054"/>
      <c r="I193" s="1054"/>
      <c r="J193" s="1054"/>
      <c r="K193" s="1054"/>
      <c r="L193" s="1054"/>
      <c r="M193" s="1054"/>
      <c r="N193" s="1054"/>
      <c r="O193" s="1054"/>
      <c r="P193" s="1054"/>
      <c r="Q193" s="1054"/>
      <c r="R193" s="1054"/>
      <c r="S193" s="1054"/>
      <c r="T193" s="1054"/>
      <c r="U193" s="1054"/>
      <c r="V193" s="1054"/>
      <c r="W193" s="1052"/>
    </row>
    <row r="194" spans="1:23">
      <c r="A194" s="1050"/>
      <c r="B194" s="1053"/>
      <c r="C194" s="1053"/>
      <c r="D194" s="1054"/>
      <c r="E194" s="1054"/>
      <c r="F194" s="1054"/>
      <c r="G194" s="1054"/>
      <c r="H194" s="1054"/>
      <c r="I194" s="1054"/>
      <c r="J194" s="1054"/>
      <c r="K194" s="1054"/>
      <c r="L194" s="1054"/>
      <c r="M194" s="1054"/>
      <c r="N194" s="1054"/>
      <c r="O194" s="1054"/>
      <c r="P194" s="1054"/>
      <c r="Q194" s="1054"/>
      <c r="R194" s="1054"/>
      <c r="S194" s="1054"/>
      <c r="T194" s="1054"/>
      <c r="U194" s="1054"/>
      <c r="V194" s="1054"/>
      <c r="W194" s="1052"/>
    </row>
    <row r="195" spans="1:23">
      <c r="A195" s="1050"/>
      <c r="B195" s="1053"/>
      <c r="C195" s="1053"/>
      <c r="D195" s="1054"/>
      <c r="E195" s="1054"/>
      <c r="F195" s="1054"/>
      <c r="G195" s="1054"/>
      <c r="H195" s="1054"/>
      <c r="I195" s="1054"/>
      <c r="J195" s="1054"/>
      <c r="K195" s="1054"/>
      <c r="L195" s="1054"/>
      <c r="M195" s="1054"/>
      <c r="N195" s="1054"/>
      <c r="O195" s="1054"/>
      <c r="P195" s="1054"/>
      <c r="Q195" s="1054"/>
      <c r="R195" s="1054"/>
      <c r="S195" s="1054"/>
      <c r="T195" s="1054"/>
      <c r="U195" s="1054"/>
      <c r="V195" s="1054"/>
      <c r="W195" s="1052"/>
    </row>
    <row r="196" spans="1:23">
      <c r="A196" s="1050"/>
      <c r="B196" s="1053"/>
      <c r="C196" s="1053"/>
      <c r="D196" s="1054"/>
      <c r="E196" s="1054"/>
      <c r="F196" s="1054"/>
      <c r="G196" s="1054"/>
      <c r="H196" s="1054"/>
      <c r="I196" s="1054"/>
      <c r="J196" s="1054"/>
      <c r="K196" s="1054"/>
      <c r="L196" s="1054"/>
      <c r="M196" s="1054"/>
      <c r="N196" s="1054"/>
      <c r="O196" s="1054"/>
      <c r="P196" s="1054"/>
      <c r="Q196" s="1054"/>
      <c r="R196" s="1054"/>
      <c r="S196" s="1054"/>
      <c r="T196" s="1054"/>
      <c r="U196" s="1054"/>
      <c r="V196" s="1054"/>
      <c r="W196" s="1052"/>
    </row>
    <row r="197" spans="1:23">
      <c r="A197" s="1050"/>
      <c r="B197" s="1053"/>
      <c r="C197" s="1053"/>
      <c r="D197" s="1054"/>
      <c r="E197" s="1054"/>
      <c r="F197" s="1054"/>
      <c r="G197" s="1054"/>
      <c r="H197" s="1054"/>
      <c r="I197" s="1054"/>
      <c r="J197" s="1054"/>
      <c r="K197" s="1054"/>
      <c r="L197" s="1054"/>
      <c r="M197" s="1054"/>
      <c r="N197" s="1054"/>
      <c r="O197" s="1054"/>
      <c r="P197" s="1054"/>
      <c r="Q197" s="1054"/>
      <c r="R197" s="1054"/>
      <c r="S197" s="1054"/>
      <c r="T197" s="1054"/>
      <c r="U197" s="1054"/>
      <c r="V197" s="1054"/>
      <c r="W197" s="1052"/>
    </row>
    <row r="198" spans="1:23">
      <c r="A198" s="1050"/>
      <c r="B198" s="1053"/>
      <c r="C198" s="1053"/>
      <c r="D198" s="1054"/>
      <c r="E198" s="1054"/>
      <c r="F198" s="1054"/>
      <c r="G198" s="1054"/>
      <c r="H198" s="1054"/>
      <c r="I198" s="1054"/>
      <c r="J198" s="1054"/>
      <c r="K198" s="1054"/>
      <c r="L198" s="1054"/>
      <c r="M198" s="1054"/>
      <c r="N198" s="1054"/>
      <c r="O198" s="1054"/>
      <c r="P198" s="1054"/>
      <c r="Q198" s="1054"/>
      <c r="R198" s="1054"/>
      <c r="S198" s="1054"/>
      <c r="T198" s="1054"/>
      <c r="U198" s="1054"/>
      <c r="V198" s="1054"/>
      <c r="W198" s="1052"/>
    </row>
    <row r="199" spans="1:23">
      <c r="A199" s="1050"/>
      <c r="B199" s="1053"/>
      <c r="C199" s="1053"/>
      <c r="D199" s="1054"/>
      <c r="E199" s="1054"/>
      <c r="F199" s="1054"/>
      <c r="G199" s="1054"/>
      <c r="H199" s="1054"/>
      <c r="I199" s="1054"/>
      <c r="J199" s="1054"/>
      <c r="K199" s="1054"/>
      <c r="L199" s="1054"/>
      <c r="M199" s="1054"/>
      <c r="N199" s="1054"/>
      <c r="O199" s="1054"/>
      <c r="P199" s="1054"/>
      <c r="Q199" s="1054"/>
      <c r="R199" s="1054"/>
      <c r="S199" s="1054"/>
      <c r="T199" s="1054"/>
      <c r="U199" s="1054"/>
      <c r="V199" s="1054"/>
      <c r="W199" s="1052"/>
    </row>
    <row r="200" spans="1:23">
      <c r="A200" s="1050"/>
      <c r="B200" s="1053"/>
      <c r="C200" s="1053"/>
      <c r="D200" s="1054"/>
      <c r="E200" s="1054"/>
      <c r="F200" s="1054"/>
      <c r="G200" s="1054"/>
      <c r="H200" s="1054"/>
      <c r="I200" s="1054"/>
      <c r="J200" s="1054"/>
      <c r="K200" s="1054"/>
      <c r="L200" s="1054"/>
      <c r="M200" s="1054"/>
      <c r="N200" s="1054"/>
      <c r="O200" s="1054"/>
      <c r="P200" s="1054"/>
      <c r="Q200" s="1054"/>
      <c r="R200" s="1054"/>
      <c r="S200" s="1054"/>
      <c r="T200" s="1054"/>
      <c r="U200" s="1054"/>
      <c r="V200" s="1054"/>
      <c r="W200" s="1052"/>
    </row>
    <row r="201" spans="1:23">
      <c r="A201" s="1050"/>
      <c r="B201" s="1053"/>
      <c r="C201" s="1053"/>
      <c r="D201" s="1054"/>
      <c r="E201" s="1054"/>
      <c r="F201" s="1054"/>
      <c r="G201" s="1054"/>
      <c r="H201" s="1054"/>
      <c r="I201" s="1054"/>
      <c r="J201" s="1054"/>
      <c r="K201" s="1054"/>
      <c r="L201" s="1054"/>
      <c r="M201" s="1054"/>
      <c r="N201" s="1054"/>
      <c r="O201" s="1054"/>
      <c r="P201" s="1054"/>
      <c r="Q201" s="1054"/>
      <c r="R201" s="1054"/>
      <c r="S201" s="1054"/>
      <c r="T201" s="1054"/>
      <c r="U201" s="1054"/>
      <c r="V201" s="1054"/>
      <c r="W201" s="1052"/>
    </row>
    <row r="202" spans="1:23">
      <c r="A202" s="1050"/>
      <c r="B202" s="1053"/>
      <c r="C202" s="1053"/>
      <c r="D202" s="1054"/>
      <c r="E202" s="1054"/>
      <c r="F202" s="1054"/>
      <c r="G202" s="1054"/>
      <c r="H202" s="1054"/>
      <c r="I202" s="1054"/>
      <c r="J202" s="1054"/>
      <c r="K202" s="1054"/>
      <c r="L202" s="1054"/>
      <c r="M202" s="1054"/>
      <c r="N202" s="1054"/>
      <c r="O202" s="1054"/>
      <c r="P202" s="1054"/>
      <c r="Q202" s="1054"/>
      <c r="R202" s="1054"/>
      <c r="S202" s="1054"/>
      <c r="T202" s="1054"/>
      <c r="U202" s="1054"/>
      <c r="V202" s="1054"/>
      <c r="W202" s="1052"/>
    </row>
    <row r="203" spans="1:23">
      <c r="A203" s="1050"/>
      <c r="B203" s="1053"/>
      <c r="C203" s="1053"/>
      <c r="D203" s="1054"/>
      <c r="E203" s="1054"/>
      <c r="F203" s="1054"/>
      <c r="G203" s="1054"/>
      <c r="H203" s="1054"/>
      <c r="I203" s="1054"/>
      <c r="J203" s="1054"/>
      <c r="K203" s="1054"/>
      <c r="L203" s="1054"/>
      <c r="M203" s="1054"/>
      <c r="N203" s="1054"/>
      <c r="O203" s="1054"/>
      <c r="P203" s="1054"/>
      <c r="Q203" s="1054"/>
      <c r="R203" s="1054"/>
      <c r="S203" s="1054"/>
      <c r="T203" s="1054"/>
      <c r="U203" s="1054"/>
      <c r="V203" s="1054"/>
      <c r="W203" s="1052"/>
    </row>
    <row r="204" spans="1:23">
      <c r="A204" s="1050"/>
      <c r="B204" s="1053"/>
      <c r="C204" s="1053"/>
      <c r="D204" s="1054"/>
      <c r="E204" s="1054"/>
      <c r="F204" s="1054"/>
      <c r="G204" s="1054"/>
      <c r="H204" s="1054"/>
      <c r="I204" s="1054"/>
      <c r="J204" s="1054"/>
      <c r="K204" s="1054"/>
      <c r="L204" s="1054"/>
      <c r="M204" s="1054"/>
      <c r="N204" s="1054"/>
      <c r="O204" s="1054"/>
      <c r="P204" s="1054"/>
      <c r="Q204" s="1054"/>
      <c r="R204" s="1054"/>
      <c r="S204" s="1054"/>
      <c r="T204" s="1054"/>
      <c r="U204" s="1054"/>
      <c r="V204" s="1054"/>
      <c r="W204" s="1052"/>
    </row>
    <row r="205" spans="1:23">
      <c r="A205" s="1008"/>
      <c r="B205" s="1008"/>
      <c r="C205" s="1008"/>
      <c r="D205" s="1008"/>
      <c r="E205" s="1008"/>
      <c r="F205" s="1008"/>
      <c r="G205" s="1008"/>
      <c r="H205" s="1008"/>
      <c r="I205" s="1008"/>
      <c r="J205" s="1008"/>
      <c r="K205" s="1008"/>
      <c r="L205" s="1008"/>
      <c r="M205" s="1008"/>
      <c r="N205" s="1008"/>
      <c r="O205" s="1008"/>
      <c r="P205" s="1008"/>
      <c r="Q205" s="1008"/>
      <c r="R205" s="1008"/>
      <c r="S205" s="1008"/>
      <c r="T205" s="1008"/>
      <c r="U205" s="1008"/>
      <c r="V205" s="1008"/>
      <c r="W205" s="1008"/>
    </row>
    <row r="206" spans="1:23">
      <c r="A206" s="1008"/>
      <c r="B206" s="1008"/>
      <c r="C206" s="1008"/>
      <c r="D206" s="1008"/>
      <c r="E206" s="1008"/>
      <c r="F206" s="1008"/>
      <c r="G206" s="1008"/>
      <c r="H206" s="1008"/>
      <c r="I206" s="1008"/>
      <c r="J206" s="1008"/>
      <c r="K206" s="1008"/>
      <c r="L206" s="1008"/>
      <c r="M206" s="1008"/>
      <c r="N206" s="1008"/>
      <c r="O206" s="1008"/>
      <c r="P206" s="1008"/>
      <c r="Q206" s="1008"/>
      <c r="R206" s="1008"/>
      <c r="S206" s="1008"/>
      <c r="T206" s="1008"/>
      <c r="U206" s="1008"/>
      <c r="V206" s="1008"/>
      <c r="W206" s="1008"/>
    </row>
    <row r="207" spans="1:23">
      <c r="A207" s="1008"/>
      <c r="B207" s="1008"/>
      <c r="C207" s="1008"/>
      <c r="D207" s="1008"/>
      <c r="E207" s="1008"/>
      <c r="F207" s="1008"/>
      <c r="G207" s="1008"/>
      <c r="H207" s="1008"/>
      <c r="I207" s="1008"/>
      <c r="J207" s="1008"/>
      <c r="K207" s="1008"/>
      <c r="L207" s="1008"/>
      <c r="M207" s="1008"/>
      <c r="N207" s="1008"/>
      <c r="O207" s="1008"/>
      <c r="P207" s="1008"/>
      <c r="Q207" s="1008"/>
      <c r="R207" s="1008"/>
      <c r="S207" s="1008"/>
      <c r="T207" s="1008"/>
      <c r="U207" s="1008"/>
      <c r="V207" s="1008"/>
      <c r="W207" s="1008"/>
    </row>
    <row r="208" spans="1:23">
      <c r="A208" s="1008"/>
      <c r="B208" s="1008"/>
      <c r="C208" s="1008"/>
      <c r="D208" s="1008"/>
      <c r="E208" s="1008"/>
      <c r="F208" s="1008"/>
      <c r="G208" s="1008"/>
      <c r="H208" s="1008"/>
      <c r="I208" s="1008"/>
      <c r="J208" s="1008"/>
      <c r="K208" s="1008"/>
      <c r="L208" s="1008"/>
      <c r="M208" s="1008"/>
      <c r="N208" s="1008"/>
      <c r="O208" s="1008"/>
      <c r="P208" s="1008"/>
      <c r="Q208" s="1008"/>
      <c r="R208" s="1008"/>
      <c r="S208" s="1008"/>
      <c r="T208" s="1008"/>
      <c r="U208" s="1008"/>
      <c r="V208" s="1008"/>
      <c r="W208" s="1008"/>
    </row>
    <row r="209" spans="1:26">
      <c r="A209" s="1020"/>
      <c r="B209" s="1021" t="s">
        <v>34</v>
      </c>
      <c r="C209" s="1022"/>
      <c r="D209" s="1022"/>
      <c r="E209" s="1022"/>
      <c r="F209" s="1022"/>
      <c r="G209" s="1022"/>
      <c r="H209" s="1022"/>
      <c r="I209" s="1022"/>
      <c r="J209" s="1022"/>
      <c r="K209" s="1022"/>
      <c r="L209" s="1022"/>
      <c r="M209" s="1022"/>
      <c r="N209" s="1022"/>
      <c r="O209" s="1022"/>
      <c r="P209" s="1020" t="s">
        <v>105</v>
      </c>
      <c r="Q209" s="1020"/>
      <c r="R209" s="1020"/>
      <c r="S209" s="1022"/>
      <c r="T209" s="1022"/>
      <c r="U209" s="1020"/>
      <c r="V209" s="1022"/>
      <c r="W209" s="1022"/>
      <c r="X209" s="1022"/>
      <c r="Y209" s="1022"/>
      <c r="Z209" s="1022"/>
    </row>
    <row r="210" spans="1:26">
      <c r="A210" s="1024"/>
      <c r="B210" s="1025" t="s">
        <v>1944</v>
      </c>
      <c r="C210" s="1026"/>
      <c r="D210" s="1026"/>
      <c r="E210" s="1026"/>
      <c r="F210" s="1026"/>
      <c r="G210" s="1026"/>
      <c r="H210" s="1026"/>
      <c r="I210" s="1026"/>
      <c r="J210" s="1026"/>
      <c r="K210" s="1026"/>
      <c r="L210" s="1026"/>
      <c r="M210" s="1026"/>
      <c r="N210" s="1026"/>
      <c r="O210" s="1026"/>
      <c r="P210" s="1024" t="s">
        <v>67</v>
      </c>
      <c r="Q210" s="1024"/>
      <c r="R210" s="1024"/>
      <c r="S210" s="1026"/>
      <c r="T210" s="1026"/>
      <c r="U210" s="1024"/>
      <c r="V210" s="1026"/>
      <c r="W210" s="1026"/>
      <c r="X210" s="1026"/>
      <c r="Y210" s="1026"/>
      <c r="Z210" s="1026"/>
    </row>
    <row r="211" spans="1:26">
      <c r="A211" s="1027"/>
      <c r="B211" s="1028" t="s">
        <v>1755</v>
      </c>
      <c r="C211" s="1023"/>
      <c r="D211" s="1023"/>
      <c r="E211" s="1023"/>
      <c r="F211" s="1023"/>
      <c r="G211" s="1023"/>
      <c r="H211" s="1023"/>
      <c r="I211" s="1023"/>
      <c r="J211" s="1023"/>
      <c r="K211" s="1023"/>
      <c r="L211" s="1023"/>
      <c r="M211" s="1023"/>
      <c r="N211" s="1023"/>
      <c r="O211" s="1023"/>
      <c r="P211" s="1027" t="s">
        <v>167</v>
      </c>
      <c r="Q211" s="1027"/>
      <c r="R211" s="1027"/>
      <c r="S211" s="1023"/>
      <c r="T211" s="1023"/>
      <c r="U211" s="1027"/>
      <c r="V211" s="1023"/>
      <c r="W211" s="1023"/>
      <c r="X211" s="1023"/>
      <c r="Y211" s="1023"/>
      <c r="Z211" s="1023"/>
    </row>
    <row r="212" spans="1:26">
      <c r="A212" s="1027"/>
      <c r="B212" s="1028" t="s">
        <v>923</v>
      </c>
      <c r="C212" s="1023"/>
      <c r="D212" s="1023"/>
      <c r="E212" s="1023"/>
      <c r="F212" s="1023"/>
      <c r="G212" s="1023"/>
      <c r="H212" s="1023"/>
      <c r="I212" s="1023"/>
      <c r="J212" s="1023"/>
      <c r="K212" s="1023"/>
      <c r="L212" s="1023"/>
      <c r="M212" s="1023"/>
      <c r="N212" s="1023"/>
      <c r="O212" s="1023"/>
      <c r="P212" s="1027" t="s">
        <v>92</v>
      </c>
      <c r="Q212" s="1027"/>
      <c r="R212" s="1027"/>
      <c r="S212" s="1023"/>
      <c r="T212" s="1023"/>
      <c r="U212" s="1027"/>
      <c r="V212" s="1023"/>
      <c r="W212" s="1023"/>
      <c r="X212" s="1023"/>
      <c r="Y212" s="1023"/>
      <c r="Z212" s="1023"/>
    </row>
    <row r="213" spans="1:26">
      <c r="A213" s="1027"/>
      <c r="B213" s="1028" t="s">
        <v>2270</v>
      </c>
      <c r="C213" s="1023"/>
      <c r="D213" s="1023"/>
      <c r="E213" s="1023"/>
      <c r="F213" s="1023"/>
      <c r="G213" s="1023"/>
      <c r="H213" s="1023"/>
      <c r="I213" s="1023"/>
      <c r="J213" s="1023"/>
      <c r="K213" s="1023"/>
      <c r="L213" s="1023"/>
      <c r="M213" s="1023"/>
      <c r="N213" s="1023"/>
      <c r="O213" s="1023"/>
      <c r="P213" s="1027" t="s">
        <v>124</v>
      </c>
      <c r="Q213" s="1027"/>
      <c r="R213" s="1027"/>
      <c r="S213" s="1023"/>
      <c r="T213" s="1023"/>
      <c r="U213" s="1027"/>
      <c r="V213" s="1023"/>
      <c r="W213" s="1023"/>
      <c r="X213" s="1023"/>
      <c r="Y213" s="1023"/>
      <c r="Z213" s="1023"/>
    </row>
    <row r="214" spans="1:26">
      <c r="A214" s="1027"/>
      <c r="B214" s="1028" t="s">
        <v>2360</v>
      </c>
      <c r="C214" s="1023"/>
      <c r="D214" s="1023"/>
      <c r="E214" s="1023"/>
      <c r="F214" s="1023"/>
      <c r="G214" s="1023"/>
      <c r="H214" s="1023"/>
      <c r="I214" s="1023"/>
      <c r="J214" s="1023"/>
      <c r="K214" s="1023"/>
      <c r="L214" s="1023"/>
      <c r="M214" s="1023"/>
      <c r="N214" s="1023"/>
      <c r="O214" s="1023"/>
      <c r="P214" s="1027" t="s">
        <v>909</v>
      </c>
      <c r="Q214" s="1027"/>
      <c r="R214" s="1027"/>
      <c r="S214" s="1023"/>
      <c r="T214" s="1023"/>
      <c r="U214" s="1027"/>
      <c r="V214" s="1023"/>
      <c r="W214" s="1023"/>
      <c r="X214" s="1023"/>
      <c r="Y214" s="1023"/>
      <c r="Z214" s="1023"/>
    </row>
    <row r="215" spans="1:26">
      <c r="A215" s="1027"/>
      <c r="B215" s="1028" t="s">
        <v>2455</v>
      </c>
      <c r="C215" s="1023"/>
      <c r="D215" s="1023"/>
      <c r="E215" s="1023"/>
      <c r="F215" s="1023"/>
      <c r="G215" s="1023"/>
      <c r="H215" s="1023"/>
      <c r="I215" s="1023"/>
      <c r="J215" s="1023"/>
      <c r="K215" s="1023"/>
      <c r="L215" s="1023"/>
      <c r="M215" s="1023"/>
      <c r="N215" s="1023"/>
      <c r="O215" s="1023"/>
      <c r="P215" s="1027"/>
      <c r="Q215" s="1027"/>
      <c r="R215" s="1027"/>
      <c r="S215" s="1023"/>
      <c r="T215" s="1023"/>
      <c r="U215" s="1027"/>
      <c r="V215" s="1023"/>
      <c r="W215" s="1023"/>
      <c r="X215" s="1023"/>
      <c r="Y215" s="1023"/>
      <c r="Z215" s="1023"/>
    </row>
    <row r="216" spans="1:26">
      <c r="A216" s="1027"/>
      <c r="B216" s="1028" t="s">
        <v>2599</v>
      </c>
      <c r="C216" s="1023"/>
      <c r="D216" s="1023"/>
      <c r="E216" s="1023"/>
      <c r="F216" s="1023"/>
      <c r="G216" s="1023"/>
      <c r="H216" s="1023"/>
      <c r="I216" s="1023"/>
      <c r="J216" s="1023"/>
      <c r="K216" s="1023"/>
      <c r="L216" s="1023"/>
      <c r="M216" s="1023"/>
      <c r="N216" s="1023"/>
      <c r="O216" s="1023"/>
      <c r="P216" s="1027"/>
      <c r="Q216" s="1027"/>
      <c r="R216" s="1027"/>
      <c r="S216" s="1023"/>
      <c r="T216" s="1023"/>
      <c r="U216" s="1027"/>
      <c r="V216" s="1023"/>
      <c r="W216" s="1023"/>
      <c r="X216" s="1023"/>
      <c r="Y216" s="1023"/>
      <c r="Z216" s="1023"/>
    </row>
    <row r="217" spans="1:26">
      <c r="A217" s="1027"/>
      <c r="B217" s="1028" t="s">
        <v>1172</v>
      </c>
      <c r="C217" s="1023"/>
      <c r="D217" s="1023"/>
      <c r="E217" s="1023"/>
      <c r="F217" s="1023"/>
      <c r="G217" s="1023"/>
      <c r="H217" s="1023"/>
      <c r="I217" s="1023"/>
      <c r="J217" s="1023"/>
      <c r="K217" s="1023"/>
      <c r="L217" s="1023"/>
      <c r="M217" s="1023"/>
      <c r="N217" s="1023"/>
      <c r="O217" s="1023"/>
      <c r="P217" s="1027"/>
      <c r="Q217" s="1027"/>
      <c r="R217" s="1027"/>
      <c r="S217" s="1023"/>
      <c r="T217" s="1023"/>
      <c r="U217" s="1027"/>
      <c r="V217" s="1023"/>
      <c r="W217" s="1023"/>
      <c r="X217" s="1023"/>
      <c r="Y217" s="1023"/>
      <c r="Z217" s="1023"/>
    </row>
    <row r="218" spans="1:26">
      <c r="A218" s="1027"/>
      <c r="B218" s="1028" t="s">
        <v>2600</v>
      </c>
      <c r="C218" s="1023"/>
      <c r="D218" s="1023"/>
      <c r="E218" s="1023"/>
      <c r="F218" s="1023"/>
      <c r="G218" s="1023"/>
      <c r="H218" s="1023"/>
      <c r="I218" s="1023"/>
      <c r="J218" s="1023"/>
      <c r="K218" s="1023"/>
      <c r="L218" s="1023"/>
      <c r="M218" s="1023"/>
      <c r="N218" s="1023"/>
      <c r="O218" s="1023"/>
      <c r="P218" s="1027"/>
      <c r="Q218" s="1027"/>
      <c r="R218" s="1027"/>
      <c r="S218" s="1023"/>
      <c r="T218" s="1023"/>
      <c r="U218" s="1027"/>
      <c r="V218" s="1023"/>
      <c r="W218" s="1023"/>
      <c r="X218" s="1023"/>
      <c r="Y218" s="1023"/>
      <c r="Z218" s="1023"/>
    </row>
    <row r="219" spans="1:26">
      <c r="A219" s="1027"/>
      <c r="B219" s="1028" t="s">
        <v>2601</v>
      </c>
      <c r="C219" s="1023"/>
      <c r="D219" s="1023"/>
      <c r="E219" s="1023"/>
      <c r="F219" s="1023"/>
      <c r="G219" s="1023"/>
      <c r="H219" s="1023"/>
      <c r="I219" s="1023"/>
      <c r="J219" s="1023"/>
      <c r="K219" s="1023"/>
      <c r="L219" s="1023"/>
      <c r="M219" s="1023"/>
      <c r="N219" s="1023"/>
      <c r="O219" s="1023"/>
      <c r="P219" s="1023"/>
      <c r="Q219" s="1023"/>
      <c r="R219" s="1023"/>
      <c r="S219" s="1023"/>
      <c r="T219" s="1023"/>
      <c r="U219" s="1023"/>
      <c r="V219" s="1023"/>
      <c r="W219" s="1023"/>
      <c r="X219" s="1023"/>
      <c r="Y219" s="1023"/>
      <c r="Z219" s="1023"/>
    </row>
    <row r="220" spans="1:26">
      <c r="A220" s="1027"/>
      <c r="B220" s="1028" t="s">
        <v>2602</v>
      </c>
      <c r="C220" s="1023"/>
      <c r="D220" s="1023"/>
      <c r="E220" s="1023"/>
      <c r="F220" s="1023"/>
      <c r="G220" s="1023"/>
      <c r="H220" s="1023"/>
      <c r="I220" s="1023"/>
      <c r="J220" s="1023"/>
      <c r="K220" s="1023"/>
      <c r="L220" s="1023"/>
      <c r="M220" s="1023"/>
      <c r="N220" s="1023"/>
      <c r="O220" s="1023"/>
      <c r="P220" s="1023"/>
      <c r="Q220" s="1023"/>
      <c r="R220" s="1023"/>
      <c r="S220" s="1023"/>
      <c r="T220" s="1023"/>
      <c r="U220" s="1023"/>
      <c r="V220" s="1023"/>
      <c r="W220" s="1023"/>
      <c r="X220" s="1023"/>
      <c r="Y220" s="1023"/>
      <c r="Z220" s="1023"/>
    </row>
    <row r="221" spans="1:26">
      <c r="A221" s="1027"/>
      <c r="B221" s="1028" t="s">
        <v>2603</v>
      </c>
      <c r="C221" s="1023"/>
      <c r="D221" s="1023"/>
      <c r="E221" s="1023"/>
      <c r="F221" s="1023"/>
      <c r="G221" s="1023"/>
      <c r="H221" s="1023"/>
      <c r="I221" s="1023"/>
      <c r="J221" s="1023"/>
      <c r="K221" s="1023"/>
      <c r="L221" s="1023"/>
      <c r="M221" s="1023"/>
      <c r="N221" s="1023"/>
      <c r="O221" s="1023"/>
      <c r="P221" s="1023"/>
      <c r="Q221" s="1023"/>
      <c r="R221" s="1023"/>
      <c r="S221" s="1023"/>
      <c r="T221" s="1023"/>
      <c r="U221" s="1023"/>
      <c r="V221" s="1023"/>
      <c r="W221" s="1023"/>
      <c r="X221" s="1023"/>
      <c r="Y221" s="1023"/>
      <c r="Z221" s="1023"/>
    </row>
    <row r="222" spans="1:26">
      <c r="A222" s="1027"/>
      <c r="B222" s="1028" t="s">
        <v>2604</v>
      </c>
      <c r="C222" s="1023"/>
      <c r="D222" s="1023"/>
      <c r="E222" s="1023"/>
      <c r="F222" s="1023"/>
      <c r="G222" s="1023"/>
      <c r="H222" s="1023"/>
      <c r="I222" s="1023"/>
      <c r="J222" s="1023"/>
      <c r="K222" s="1023"/>
      <c r="L222" s="1023"/>
      <c r="M222" s="1023"/>
      <c r="N222" s="1023"/>
      <c r="O222" s="1023"/>
      <c r="P222" s="1023"/>
      <c r="Q222" s="1023"/>
      <c r="R222" s="1023"/>
      <c r="S222" s="1023"/>
      <c r="T222" s="1023"/>
      <c r="U222" s="1023"/>
      <c r="V222" s="1023"/>
      <c r="W222" s="1023"/>
      <c r="X222" s="1023"/>
      <c r="Y222" s="1023"/>
      <c r="Z222" s="1023"/>
    </row>
    <row r="223" spans="1:26">
      <c r="A223" s="1017"/>
      <c r="B223" s="1018" t="s">
        <v>2605</v>
      </c>
      <c r="C223" s="1011"/>
      <c r="D223" s="1011"/>
      <c r="E223" s="1011"/>
      <c r="F223" s="1011"/>
      <c r="G223" s="1011"/>
      <c r="H223" s="1011"/>
      <c r="I223" s="1011"/>
      <c r="J223" s="1011"/>
      <c r="K223" s="1011"/>
      <c r="L223" s="1011"/>
      <c r="M223" s="1011"/>
      <c r="N223" s="1011"/>
      <c r="O223" s="1011"/>
      <c r="P223" s="1011"/>
      <c r="Q223" s="1011"/>
      <c r="R223" s="1011"/>
      <c r="S223" s="1011"/>
      <c r="T223" s="1011"/>
      <c r="U223" s="1011"/>
      <c r="V223" s="1011"/>
      <c r="W223" s="1011"/>
      <c r="X223" s="1011"/>
      <c r="Y223" s="1011"/>
      <c r="Z223" s="1011"/>
    </row>
    <row r="224" spans="1:26">
      <c r="A224" s="1017"/>
      <c r="B224" s="1018" t="s">
        <v>2606</v>
      </c>
      <c r="C224" s="1011"/>
      <c r="D224" s="1011"/>
      <c r="E224" s="1011"/>
      <c r="F224" s="1011"/>
      <c r="G224" s="1011"/>
      <c r="H224" s="1011"/>
      <c r="I224" s="1011"/>
      <c r="J224" s="1011"/>
      <c r="K224" s="1011"/>
      <c r="L224" s="1011"/>
      <c r="M224" s="1011"/>
      <c r="N224" s="1011"/>
      <c r="O224" s="1011"/>
      <c r="P224" s="1011"/>
      <c r="Q224" s="1011"/>
      <c r="R224" s="1011"/>
      <c r="S224" s="1011"/>
      <c r="T224" s="1011"/>
      <c r="U224" s="1011"/>
      <c r="V224" s="1011"/>
      <c r="W224" s="1011"/>
      <c r="X224" s="1011"/>
      <c r="Y224" s="1011"/>
      <c r="Z224" s="1011"/>
    </row>
    <row r="225" spans="1:3" ht="27">
      <c r="A225" s="1017"/>
      <c r="B225" s="1018" t="s">
        <v>2582</v>
      </c>
      <c r="C225" s="1011"/>
    </row>
    <row r="226" spans="1:3">
      <c r="A226" s="1017"/>
      <c r="B226" s="1017"/>
      <c r="C226" s="1017"/>
    </row>
    <row r="227" spans="1:3">
      <c r="A227" s="1017"/>
      <c r="B227" s="1017"/>
      <c r="C227" s="1017"/>
    </row>
    <row r="228" spans="1:3">
      <c r="A228" s="1017"/>
      <c r="B228" s="1017"/>
      <c r="C228" s="1017"/>
    </row>
    <row r="229" spans="1:3">
      <c r="A229" s="1017"/>
      <c r="B229" s="1017"/>
      <c r="C229" s="1017"/>
    </row>
    <row r="230" spans="1:3">
      <c r="A230" s="1017"/>
      <c r="B230" s="1017"/>
      <c r="C230" s="1017"/>
    </row>
    <row r="231" spans="1:3">
      <c r="A231" s="1017"/>
      <c r="B231" s="1017"/>
      <c r="C231" s="1017"/>
    </row>
    <row r="232" spans="1:3">
      <c r="A232" s="1017"/>
      <c r="B232" s="1017"/>
      <c r="C232" s="1017"/>
    </row>
    <row r="233" spans="1:3">
      <c r="A233" s="1017"/>
      <c r="B233" s="1017"/>
      <c r="C233" s="1017"/>
    </row>
    <row r="234" spans="1:3">
      <c r="A234" s="1017"/>
      <c r="B234" s="1017"/>
      <c r="C234" s="1017"/>
    </row>
    <row r="235" spans="1:3">
      <c r="A235" s="1017"/>
      <c r="B235" s="1017"/>
      <c r="C235" s="1017"/>
    </row>
    <row r="236" spans="1:3">
      <c r="A236" s="1017"/>
      <c r="B236" s="1017"/>
      <c r="C236" s="1017"/>
    </row>
    <row r="237" spans="1:3">
      <c r="A237" s="1017"/>
      <c r="B237" s="1017"/>
      <c r="C237" s="1017"/>
    </row>
    <row r="238" spans="1:3">
      <c r="A238" s="1017"/>
      <c r="B238" s="1017"/>
      <c r="C238" s="1017"/>
    </row>
    <row r="239" spans="1:3">
      <c r="A239" s="1017"/>
      <c r="B239" s="1017"/>
      <c r="C239" s="1017"/>
    </row>
    <row r="240" spans="1:3">
      <c r="A240" s="1017"/>
      <c r="B240" s="1017"/>
      <c r="C240" s="1017"/>
    </row>
    <row r="241" spans="1:3">
      <c r="A241" s="1017"/>
      <c r="B241" s="1017"/>
      <c r="C241" s="1017"/>
    </row>
    <row r="242" spans="1:3">
      <c r="A242" s="1017"/>
      <c r="B242" s="1017"/>
      <c r="C242" s="1017"/>
    </row>
    <row r="243" spans="1:3">
      <c r="A243" s="1017"/>
      <c r="B243" s="1017"/>
      <c r="C243" s="1017"/>
    </row>
    <row r="244" spans="1:3">
      <c r="A244" s="1017"/>
      <c r="B244" s="1017"/>
      <c r="C244" s="1017"/>
    </row>
  </sheetData>
  <mergeCells count="4">
    <mergeCell ref="N3:O3"/>
    <mergeCell ref="A1:Y2"/>
    <mergeCell ref="I3:M3"/>
    <mergeCell ref="W3:Y3"/>
  </mergeCells>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5"/>
  <sheetViews>
    <sheetView workbookViewId="0">
      <selection activeCell="G3" sqref="G1:G1048576"/>
    </sheetView>
  </sheetViews>
  <sheetFormatPr defaultColWidth="8.88671875" defaultRowHeight="13.5"/>
  <cols>
    <col min="1" max="1" width="5.109375" style="1014" customWidth="1"/>
    <col min="2" max="2" width="12.33203125" style="1014" customWidth="1"/>
    <col min="3" max="3" width="9.109375" style="1014" customWidth="1"/>
    <col min="4" max="4" width="17.6640625" style="1009" customWidth="1"/>
    <col min="5" max="5" width="12.109375" style="1009" customWidth="1"/>
    <col min="6" max="6" width="39.21875" style="1009" customWidth="1"/>
    <col min="7" max="7" width="25.109375" style="1009" customWidth="1"/>
    <col min="8" max="8" width="12.21875" style="1009" customWidth="1"/>
    <col min="9" max="9" width="14.21875" style="1009" customWidth="1"/>
    <col min="10" max="11" width="7.6640625" style="1009" customWidth="1"/>
    <col min="12" max="12" width="8.44140625" style="1009" customWidth="1"/>
    <col min="13" max="13" width="7.6640625" style="1009" customWidth="1"/>
    <col min="14" max="14" width="10.21875" style="1009" customWidth="1"/>
    <col min="15" max="15" width="18.44140625" style="1009" customWidth="1"/>
    <col min="16" max="18" width="12.77734375" style="1009" customWidth="1"/>
    <col min="19" max="19" width="12.21875" style="1009" customWidth="1"/>
    <col min="20" max="20" width="13.33203125" style="1009" customWidth="1"/>
    <col min="21" max="21" width="12.77734375" style="1009" customWidth="1"/>
    <col min="22" max="25" width="12.21875" style="1009" customWidth="1"/>
    <col min="26" max="26" width="15.88671875" style="1017" customWidth="1"/>
    <col min="27" max="16384" width="8.88671875" style="1009"/>
  </cols>
  <sheetData>
    <row r="1" spans="1:26" ht="29.25" customHeight="1">
      <c r="A1" s="1611" t="s">
        <v>4584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row>
    <row r="2" spans="1:26" s="1011" customFormat="1" ht="17.25" customHeight="1"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017"/>
    </row>
    <row r="3" spans="1:26" s="1011" customFormat="1" ht="22.5" customHeight="1" thickBot="1">
      <c r="A3" s="1012"/>
      <c r="B3" s="1012"/>
      <c r="C3" s="1012"/>
      <c r="D3" s="1010"/>
      <c r="E3" s="1010"/>
      <c r="F3" s="1010"/>
      <c r="G3" s="1010"/>
      <c r="H3" s="1010"/>
      <c r="I3" s="1612"/>
      <c r="J3" s="1613"/>
      <c r="K3" s="1613"/>
      <c r="L3" s="1613"/>
      <c r="M3" s="1613"/>
      <c r="N3" s="1609" t="s">
        <v>4585</v>
      </c>
      <c r="O3" s="1610"/>
      <c r="P3" s="940"/>
      <c r="Q3" s="940"/>
      <c r="R3" s="944"/>
      <c r="S3" s="945"/>
      <c r="T3" s="945"/>
      <c r="U3" s="945"/>
      <c r="V3" s="945"/>
      <c r="W3" s="1621" t="s">
        <v>4586</v>
      </c>
      <c r="X3" s="1622"/>
      <c r="Y3" s="1623"/>
      <c r="Z3" s="319"/>
    </row>
    <row r="4" spans="1:26" ht="39.75" customHeight="1" thickBot="1">
      <c r="A4" s="939" t="s">
        <v>4587</v>
      </c>
      <c r="B4" s="1007" t="s">
        <v>4588</v>
      </c>
      <c r="C4" s="1006" t="s">
        <v>4589</v>
      </c>
      <c r="D4" s="939" t="s">
        <v>4590</v>
      </c>
      <c r="E4" s="935" t="s">
        <v>4591</v>
      </c>
      <c r="F4" s="939" t="s">
        <v>4592</v>
      </c>
      <c r="G4" s="935" t="s">
        <v>4593</v>
      </c>
      <c r="H4" s="935" t="s">
        <v>4594</v>
      </c>
      <c r="I4" s="936" t="s">
        <v>4595</v>
      </c>
      <c r="J4" s="1005" t="s">
        <v>4596</v>
      </c>
      <c r="K4" s="942" t="s">
        <v>4597</v>
      </c>
      <c r="L4" s="942" t="s">
        <v>4598</v>
      </c>
      <c r="M4" s="943" t="s">
        <v>4599</v>
      </c>
      <c r="N4" s="946" t="s">
        <v>4600</v>
      </c>
      <c r="O4" s="943" t="s">
        <v>4601</v>
      </c>
      <c r="P4" s="289" t="s">
        <v>4602</v>
      </c>
      <c r="Q4" s="935" t="s">
        <v>4603</v>
      </c>
      <c r="R4" s="934" t="s">
        <v>4604</v>
      </c>
      <c r="S4" s="934" t="s">
        <v>4605</v>
      </c>
      <c r="T4" s="287" t="s">
        <v>4606</v>
      </c>
      <c r="U4" s="931" t="s">
        <v>4607</v>
      </c>
      <c r="V4" s="932" t="s">
        <v>4608</v>
      </c>
      <c r="W4" s="930" t="s">
        <v>4609</v>
      </c>
      <c r="X4" s="1004" t="s">
        <v>4610</v>
      </c>
      <c r="Y4" s="1003" t="s">
        <v>4611</v>
      </c>
      <c r="Z4" s="934" t="s">
        <v>42</v>
      </c>
    </row>
    <row r="5" spans="1:26" ht="90" customHeight="1">
      <c r="A5" s="950">
        <v>1</v>
      </c>
      <c r="B5" s="1067" t="s">
        <v>4612</v>
      </c>
      <c r="C5" s="1068" t="s">
        <v>4613</v>
      </c>
      <c r="D5" s="1069" t="s">
        <v>4614</v>
      </c>
      <c r="E5" s="1069" t="s">
        <v>4615</v>
      </c>
      <c r="F5" s="1070" t="s">
        <v>4616</v>
      </c>
      <c r="G5" s="1069" t="s">
        <v>4617</v>
      </c>
      <c r="H5" s="1069" t="s">
        <v>828</v>
      </c>
      <c r="I5" s="1071">
        <v>1300</v>
      </c>
      <c r="J5" s="1072"/>
      <c r="K5" s="1073">
        <v>500</v>
      </c>
      <c r="L5" s="1073">
        <v>800</v>
      </c>
      <c r="M5" s="1074"/>
      <c r="N5" s="1075"/>
      <c r="O5" s="1076"/>
      <c r="P5" s="1077" t="s">
        <v>11</v>
      </c>
      <c r="Q5" s="1057"/>
      <c r="R5" s="1069" t="s">
        <v>4618</v>
      </c>
      <c r="S5" s="1069" t="s">
        <v>82</v>
      </c>
      <c r="T5" s="1075" t="s">
        <v>1103</v>
      </c>
      <c r="U5" s="1041" t="s">
        <v>4619</v>
      </c>
      <c r="V5" s="1078" t="s">
        <v>4620</v>
      </c>
      <c r="W5" s="1079">
        <f>X5+Y5</f>
        <v>292.10899999999998</v>
      </c>
      <c r="X5" s="1080">
        <v>290.755</v>
      </c>
      <c r="Y5" s="1081">
        <v>1.3540000000000001</v>
      </c>
      <c r="Z5" s="1082" t="s">
        <v>4621</v>
      </c>
    </row>
    <row r="6" spans="1:26" ht="59.45" customHeight="1">
      <c r="A6" s="950">
        <v>2</v>
      </c>
      <c r="B6" s="1083"/>
      <c r="C6" s="1084" t="s">
        <v>4622</v>
      </c>
      <c r="D6" s="1069" t="s">
        <v>4623</v>
      </c>
      <c r="E6" s="1069" t="s">
        <v>4624</v>
      </c>
      <c r="F6" s="951" t="s">
        <v>4625</v>
      </c>
      <c r="G6" s="1069" t="s">
        <v>4626</v>
      </c>
      <c r="H6" s="1069" t="s">
        <v>4627</v>
      </c>
      <c r="I6" s="1071">
        <v>800</v>
      </c>
      <c r="J6" s="1072"/>
      <c r="K6" s="1073">
        <v>500</v>
      </c>
      <c r="L6" s="1073">
        <v>300</v>
      </c>
      <c r="M6" s="1074"/>
      <c r="N6" s="1085"/>
      <c r="O6" s="1086"/>
      <c r="P6" s="1077" t="s">
        <v>105</v>
      </c>
      <c r="Q6" s="1057"/>
      <c r="R6" s="1069" t="s">
        <v>4628</v>
      </c>
      <c r="S6" s="1069" t="s">
        <v>82</v>
      </c>
      <c r="T6" s="1085" t="s">
        <v>1103</v>
      </c>
      <c r="U6" s="1041" t="s">
        <v>84</v>
      </c>
      <c r="V6" s="1078" t="s">
        <v>1047</v>
      </c>
      <c r="W6" s="1079">
        <f t="shared" ref="W6:W69" si="0">X6+Y6</f>
        <v>237.94499999999999</v>
      </c>
      <c r="X6" s="1087">
        <v>236.75299999999999</v>
      </c>
      <c r="Y6" s="1088">
        <v>1.1919999999999999</v>
      </c>
      <c r="Z6" s="1082" t="s">
        <v>4629</v>
      </c>
    </row>
    <row r="7" spans="1:26" ht="75" customHeight="1">
      <c r="A7" s="950">
        <v>3</v>
      </c>
      <c r="B7" s="1083"/>
      <c r="C7" s="1089" t="s">
        <v>4630</v>
      </c>
      <c r="D7" s="1069" t="s">
        <v>4631</v>
      </c>
      <c r="E7" s="1069" t="s">
        <v>4632</v>
      </c>
      <c r="F7" s="1070" t="s">
        <v>4633</v>
      </c>
      <c r="G7" s="1069" t="s">
        <v>4634</v>
      </c>
      <c r="H7" s="1069" t="s">
        <v>1845</v>
      </c>
      <c r="I7" s="1071">
        <v>450</v>
      </c>
      <c r="J7" s="1072"/>
      <c r="K7" s="1073">
        <v>30</v>
      </c>
      <c r="L7" s="1073">
        <v>420</v>
      </c>
      <c r="M7" s="1074"/>
      <c r="N7" s="1075" t="s">
        <v>4635</v>
      </c>
      <c r="O7" s="1076" t="s">
        <v>4635</v>
      </c>
      <c r="P7" s="1077" t="s">
        <v>105</v>
      </c>
      <c r="Q7" s="1057"/>
      <c r="R7" s="1069" t="s">
        <v>4636</v>
      </c>
      <c r="S7" s="1069" t="s">
        <v>82</v>
      </c>
      <c r="T7" s="1085" t="s">
        <v>73</v>
      </c>
      <c r="U7" s="1041" t="s">
        <v>84</v>
      </c>
      <c r="V7" s="1078" t="s">
        <v>1047</v>
      </c>
      <c r="W7" s="1079">
        <f t="shared" si="0"/>
        <v>114.89</v>
      </c>
      <c r="X7" s="1087">
        <v>111.592</v>
      </c>
      <c r="Y7" s="1088">
        <v>3.298</v>
      </c>
      <c r="Z7" s="1082" t="s">
        <v>4637</v>
      </c>
    </row>
    <row r="8" spans="1:26" ht="46.15" customHeight="1">
      <c r="A8" s="950">
        <v>4</v>
      </c>
      <c r="B8" s="1083"/>
      <c r="C8" s="1090"/>
      <c r="D8" s="1069" t="s">
        <v>4638</v>
      </c>
      <c r="E8" s="1069" t="s">
        <v>4639</v>
      </c>
      <c r="F8" s="951" t="s">
        <v>4640</v>
      </c>
      <c r="G8" s="1069" t="s">
        <v>4641</v>
      </c>
      <c r="H8" s="1069" t="s">
        <v>4642</v>
      </c>
      <c r="I8" s="1071">
        <v>190</v>
      </c>
      <c r="J8" s="1072"/>
      <c r="K8" s="1073"/>
      <c r="L8" s="1073">
        <v>190</v>
      </c>
      <c r="M8" s="1074"/>
      <c r="N8" s="1085"/>
      <c r="O8" s="1086"/>
      <c r="P8" s="1077" t="s">
        <v>67</v>
      </c>
      <c r="Q8" s="1057"/>
      <c r="R8" s="1069" t="s">
        <v>2371</v>
      </c>
      <c r="S8" s="1069" t="s">
        <v>82</v>
      </c>
      <c r="T8" s="1085" t="s">
        <v>995</v>
      </c>
      <c r="U8" s="1041" t="s">
        <v>84</v>
      </c>
      <c r="V8" s="1078" t="s">
        <v>1047</v>
      </c>
      <c r="W8" s="1079">
        <f t="shared" si="0"/>
        <v>10</v>
      </c>
      <c r="X8" s="1087">
        <v>10</v>
      </c>
      <c r="Y8" s="1088">
        <v>0</v>
      </c>
      <c r="Z8" s="1082" t="s">
        <v>4643</v>
      </c>
    </row>
    <row r="9" spans="1:26" ht="38.25" customHeight="1">
      <c r="A9" s="950">
        <v>5</v>
      </c>
      <c r="B9" s="1083"/>
      <c r="C9" s="1089" t="s">
        <v>4644</v>
      </c>
      <c r="D9" s="1069" t="s">
        <v>4645</v>
      </c>
      <c r="E9" s="1069" t="s">
        <v>4646</v>
      </c>
      <c r="F9" s="951" t="s">
        <v>4647</v>
      </c>
      <c r="G9" s="1069" t="s">
        <v>4648</v>
      </c>
      <c r="H9" s="1069" t="s">
        <v>2502</v>
      </c>
      <c r="I9" s="1071">
        <v>930</v>
      </c>
      <c r="J9" s="1072"/>
      <c r="K9" s="1073">
        <v>20</v>
      </c>
      <c r="L9" s="1073">
        <v>850</v>
      </c>
      <c r="M9" s="1074">
        <v>60</v>
      </c>
      <c r="N9" s="1085" t="s">
        <v>4635</v>
      </c>
      <c r="O9" s="1076" t="s">
        <v>4635</v>
      </c>
      <c r="P9" s="1077" t="s">
        <v>105</v>
      </c>
      <c r="Q9" s="1057"/>
      <c r="R9" s="1069" t="s">
        <v>4649</v>
      </c>
      <c r="S9" s="1069" t="s">
        <v>82</v>
      </c>
      <c r="T9" s="1085" t="s">
        <v>83</v>
      </c>
      <c r="U9" s="1041" t="s">
        <v>2204</v>
      </c>
      <c r="V9" s="1078" t="s">
        <v>85</v>
      </c>
      <c r="W9" s="1079">
        <f t="shared" si="0"/>
        <v>345</v>
      </c>
      <c r="X9" s="1087">
        <v>345</v>
      </c>
      <c r="Y9" s="1088"/>
      <c r="Z9" s="1082" t="s">
        <v>4650</v>
      </c>
    </row>
    <row r="10" spans="1:26" ht="38.25" customHeight="1">
      <c r="A10" s="950">
        <v>6</v>
      </c>
      <c r="B10" s="1083"/>
      <c r="C10" s="1091"/>
      <c r="D10" s="1069" t="s">
        <v>4651</v>
      </c>
      <c r="E10" s="1069" t="s">
        <v>4652</v>
      </c>
      <c r="F10" s="951" t="s">
        <v>4653</v>
      </c>
      <c r="G10" s="1069" t="s">
        <v>4654</v>
      </c>
      <c r="H10" s="1069" t="s">
        <v>1990</v>
      </c>
      <c r="I10" s="1071">
        <v>71.599999999999994</v>
      </c>
      <c r="J10" s="1092"/>
      <c r="K10" s="1093"/>
      <c r="L10" s="1093">
        <v>66</v>
      </c>
      <c r="M10" s="1094">
        <v>5.6</v>
      </c>
      <c r="N10" s="1075"/>
      <c r="O10" s="1076"/>
      <c r="P10" s="1077" t="s">
        <v>67</v>
      </c>
      <c r="Q10" s="1057"/>
      <c r="R10" s="1069" t="s">
        <v>4655</v>
      </c>
      <c r="S10" s="1069" t="s">
        <v>82</v>
      </c>
      <c r="T10" s="1085" t="s">
        <v>929</v>
      </c>
      <c r="U10" s="1041" t="s">
        <v>84</v>
      </c>
      <c r="V10" s="1078" t="s">
        <v>85</v>
      </c>
      <c r="W10" s="1079">
        <f t="shared" si="0"/>
        <v>35</v>
      </c>
      <c r="X10" s="1087">
        <v>35</v>
      </c>
      <c r="Y10" s="1088"/>
      <c r="Z10" s="1082" t="s">
        <v>4656</v>
      </c>
    </row>
    <row r="11" spans="1:26" ht="38.25" customHeight="1">
      <c r="A11" s="950">
        <v>7</v>
      </c>
      <c r="B11" s="1083"/>
      <c r="C11" s="1091"/>
      <c r="D11" s="1069" t="s">
        <v>4657</v>
      </c>
      <c r="E11" s="1069" t="s">
        <v>4658</v>
      </c>
      <c r="F11" s="951" t="s">
        <v>4659</v>
      </c>
      <c r="G11" s="1069" t="s">
        <v>4660</v>
      </c>
      <c r="H11" s="1069" t="s">
        <v>1022</v>
      </c>
      <c r="I11" s="1071">
        <v>48.4</v>
      </c>
      <c r="J11" s="1072"/>
      <c r="K11" s="1073"/>
      <c r="L11" s="1073">
        <v>42</v>
      </c>
      <c r="M11" s="1074">
        <v>6.4</v>
      </c>
      <c r="N11" s="1085"/>
      <c r="O11" s="1086"/>
      <c r="P11" s="1077" t="s">
        <v>167</v>
      </c>
      <c r="Q11" s="1057"/>
      <c r="R11" s="1069" t="s">
        <v>4661</v>
      </c>
      <c r="S11" s="1069" t="s">
        <v>82</v>
      </c>
      <c r="T11" s="1085" t="s">
        <v>929</v>
      </c>
      <c r="U11" s="1041" t="s">
        <v>84</v>
      </c>
      <c r="V11" s="1078" t="s">
        <v>85</v>
      </c>
      <c r="W11" s="1079">
        <f t="shared" si="0"/>
        <v>2.1</v>
      </c>
      <c r="X11" s="1087">
        <v>2.1</v>
      </c>
      <c r="Y11" s="1088"/>
      <c r="Z11" s="1082" t="s">
        <v>4662</v>
      </c>
    </row>
    <row r="12" spans="1:26" ht="38.25" customHeight="1">
      <c r="A12" s="950">
        <v>8</v>
      </c>
      <c r="B12" s="1083"/>
      <c r="C12" s="1091"/>
      <c r="D12" s="1069" t="s">
        <v>4663</v>
      </c>
      <c r="E12" s="1069" t="s">
        <v>4664</v>
      </c>
      <c r="F12" s="1095" t="s">
        <v>4665</v>
      </c>
      <c r="G12" s="1069" t="s">
        <v>4666</v>
      </c>
      <c r="H12" s="1069" t="s">
        <v>3280</v>
      </c>
      <c r="I12" s="1071">
        <v>100</v>
      </c>
      <c r="J12" s="1092"/>
      <c r="K12" s="1093"/>
      <c r="L12" s="1093">
        <v>66</v>
      </c>
      <c r="M12" s="1094">
        <v>34</v>
      </c>
      <c r="N12" s="1075"/>
      <c r="O12" s="1076"/>
      <c r="P12" s="1077" t="s">
        <v>167</v>
      </c>
      <c r="Q12" s="1057"/>
      <c r="R12" s="1069" t="s">
        <v>4667</v>
      </c>
      <c r="S12" s="1069" t="s">
        <v>82</v>
      </c>
      <c r="T12" s="1085" t="s">
        <v>929</v>
      </c>
      <c r="U12" s="1041" t="s">
        <v>84</v>
      </c>
      <c r="V12" s="1078" t="s">
        <v>85</v>
      </c>
      <c r="W12" s="1079">
        <f t="shared" si="0"/>
        <v>198.7</v>
      </c>
      <c r="X12" s="1087">
        <v>198.7</v>
      </c>
      <c r="Y12" s="1088"/>
      <c r="Z12" s="1082" t="s">
        <v>4668</v>
      </c>
    </row>
    <row r="13" spans="1:26" ht="38.25" customHeight="1">
      <c r="A13" s="950">
        <v>9</v>
      </c>
      <c r="B13" s="1083"/>
      <c r="C13" s="1091"/>
      <c r="D13" s="1069" t="s">
        <v>4669</v>
      </c>
      <c r="E13" s="1069" t="s">
        <v>4670</v>
      </c>
      <c r="F13" s="951" t="s">
        <v>4671</v>
      </c>
      <c r="G13" s="1069" t="s">
        <v>4672</v>
      </c>
      <c r="H13" s="1069" t="s">
        <v>828</v>
      </c>
      <c r="I13" s="1071">
        <v>76</v>
      </c>
      <c r="J13" s="1072"/>
      <c r="K13" s="1073"/>
      <c r="L13" s="1073">
        <v>66</v>
      </c>
      <c r="M13" s="1074">
        <v>10</v>
      </c>
      <c r="N13" s="1085"/>
      <c r="O13" s="1086"/>
      <c r="P13" s="1077" t="s">
        <v>167</v>
      </c>
      <c r="Q13" s="1057"/>
      <c r="R13" s="1069" t="s">
        <v>4673</v>
      </c>
      <c r="S13" s="1069" t="s">
        <v>82</v>
      </c>
      <c r="T13" s="1085" t="s">
        <v>929</v>
      </c>
      <c r="U13" s="1041" t="s">
        <v>84</v>
      </c>
      <c r="V13" s="1078" t="s">
        <v>85</v>
      </c>
      <c r="W13" s="1079">
        <f t="shared" si="0"/>
        <v>19</v>
      </c>
      <c r="X13" s="1087">
        <v>19</v>
      </c>
      <c r="Y13" s="1088"/>
      <c r="Z13" s="1082" t="s">
        <v>4674</v>
      </c>
    </row>
    <row r="14" spans="1:26" ht="38.25" customHeight="1">
      <c r="A14" s="950">
        <v>10</v>
      </c>
      <c r="B14" s="1083"/>
      <c r="C14" s="1090"/>
      <c r="D14" s="1069" t="s">
        <v>4675</v>
      </c>
      <c r="E14" s="1069" t="s">
        <v>4676</v>
      </c>
      <c r="F14" s="951" t="s">
        <v>4677</v>
      </c>
      <c r="G14" s="1069" t="s">
        <v>4678</v>
      </c>
      <c r="H14" s="1069" t="s">
        <v>1908</v>
      </c>
      <c r="I14" s="1071">
        <v>200</v>
      </c>
      <c r="J14" s="1072"/>
      <c r="K14" s="1073"/>
      <c r="L14" s="1073">
        <v>200</v>
      </c>
      <c r="M14" s="1074"/>
      <c r="N14" s="1085"/>
      <c r="O14" s="1086"/>
      <c r="P14" s="1077" t="s">
        <v>67</v>
      </c>
      <c r="Q14" s="1057"/>
      <c r="R14" s="1069" t="s">
        <v>4679</v>
      </c>
      <c r="S14" s="1069" t="s">
        <v>82</v>
      </c>
      <c r="T14" s="1085" t="s">
        <v>929</v>
      </c>
      <c r="U14" s="1041" t="s">
        <v>84</v>
      </c>
      <c r="V14" s="1078" t="s">
        <v>85</v>
      </c>
      <c r="W14" s="1079">
        <f t="shared" si="0"/>
        <v>25</v>
      </c>
      <c r="X14" s="1087">
        <v>25</v>
      </c>
      <c r="Y14" s="1088"/>
      <c r="Z14" s="1082" t="s">
        <v>4680</v>
      </c>
    </row>
    <row r="15" spans="1:26" ht="38.25" customHeight="1">
      <c r="A15" s="950">
        <v>11</v>
      </c>
      <c r="B15" s="1083"/>
      <c r="C15" s="1089" t="s">
        <v>4681</v>
      </c>
      <c r="D15" s="1069" t="s">
        <v>4682</v>
      </c>
      <c r="E15" s="1069" t="s">
        <v>4683</v>
      </c>
      <c r="F15" s="951" t="s">
        <v>4684</v>
      </c>
      <c r="G15" s="1069" t="s">
        <v>4685</v>
      </c>
      <c r="H15" s="1096" t="s">
        <v>2453</v>
      </c>
      <c r="I15" s="1097">
        <v>620</v>
      </c>
      <c r="J15" s="1098"/>
      <c r="K15" s="1099">
        <v>20</v>
      </c>
      <c r="L15" s="1099">
        <v>600</v>
      </c>
      <c r="M15" s="1100"/>
      <c r="N15" s="1085" t="s">
        <v>4635</v>
      </c>
      <c r="O15" s="1076" t="s">
        <v>4635</v>
      </c>
      <c r="P15" s="1077" t="s">
        <v>67</v>
      </c>
      <c r="Q15" s="1057"/>
      <c r="R15" s="1069" t="s">
        <v>4686</v>
      </c>
      <c r="S15" s="1069" t="s">
        <v>82</v>
      </c>
      <c r="T15" s="1085" t="s">
        <v>995</v>
      </c>
      <c r="U15" s="1041" t="s">
        <v>84</v>
      </c>
      <c r="V15" s="1078" t="s">
        <v>1047</v>
      </c>
      <c r="W15" s="1079">
        <f t="shared" si="0"/>
        <v>398.06800000000004</v>
      </c>
      <c r="X15" s="1098">
        <v>377.36900000000003</v>
      </c>
      <c r="Y15" s="1100">
        <v>20.699000000000002</v>
      </c>
      <c r="Z15" s="1082" t="s">
        <v>4687</v>
      </c>
    </row>
    <row r="16" spans="1:26" ht="56.45" customHeight="1">
      <c r="A16" s="950">
        <v>12</v>
      </c>
      <c r="B16" s="1083"/>
      <c r="C16" s="1091"/>
      <c r="D16" s="1069" t="s">
        <v>4688</v>
      </c>
      <c r="E16" s="1069" t="s">
        <v>4689</v>
      </c>
      <c r="F16" s="951" t="s">
        <v>4690</v>
      </c>
      <c r="G16" s="1069" t="s">
        <v>4691</v>
      </c>
      <c r="H16" s="1069" t="s">
        <v>2596</v>
      </c>
      <c r="I16" s="1097">
        <v>80</v>
      </c>
      <c r="J16" s="1098"/>
      <c r="K16" s="1099">
        <v>0</v>
      </c>
      <c r="L16" s="1099">
        <v>40</v>
      </c>
      <c r="M16" s="1100">
        <v>40</v>
      </c>
      <c r="N16" s="1085"/>
      <c r="O16" s="1086"/>
      <c r="P16" s="1077" t="s">
        <v>92</v>
      </c>
      <c r="Q16" s="1057"/>
      <c r="R16" s="1069" t="s">
        <v>2992</v>
      </c>
      <c r="S16" s="1069" t="s">
        <v>82</v>
      </c>
      <c r="T16" s="1085" t="s">
        <v>995</v>
      </c>
      <c r="U16" s="1041" t="s">
        <v>84</v>
      </c>
      <c r="V16" s="1078" t="s">
        <v>1047</v>
      </c>
      <c r="W16" s="1079">
        <f t="shared" si="0"/>
        <v>10</v>
      </c>
      <c r="X16" s="1098">
        <v>10</v>
      </c>
      <c r="Y16" s="1100">
        <v>0</v>
      </c>
      <c r="Z16" s="1082" t="s">
        <v>4692</v>
      </c>
    </row>
    <row r="17" spans="1:26" ht="38.25" customHeight="1">
      <c r="A17" s="950">
        <v>13</v>
      </c>
      <c r="B17" s="1083"/>
      <c r="C17" s="1091"/>
      <c r="D17" s="1069" t="s">
        <v>4693</v>
      </c>
      <c r="E17" s="1069" t="s">
        <v>4694</v>
      </c>
      <c r="F17" s="951" t="s">
        <v>4695</v>
      </c>
      <c r="G17" s="1069" t="s">
        <v>4696</v>
      </c>
      <c r="H17" s="1069" t="s">
        <v>3357</v>
      </c>
      <c r="I17" s="1097">
        <v>100</v>
      </c>
      <c r="J17" s="1098"/>
      <c r="K17" s="1099"/>
      <c r="L17" s="1099">
        <v>100</v>
      </c>
      <c r="M17" s="1100"/>
      <c r="N17" s="1085"/>
      <c r="O17" s="1086"/>
      <c r="P17" s="1077" t="s">
        <v>167</v>
      </c>
      <c r="Q17" s="1057"/>
      <c r="R17" s="1069" t="s">
        <v>4697</v>
      </c>
      <c r="S17" s="1069" t="s">
        <v>82</v>
      </c>
      <c r="T17" s="1085" t="s">
        <v>995</v>
      </c>
      <c r="U17" s="1041" t="s">
        <v>84</v>
      </c>
      <c r="V17" s="1078" t="s">
        <v>1047</v>
      </c>
      <c r="W17" s="1079">
        <f t="shared" si="0"/>
        <v>92.596000000000004</v>
      </c>
      <c r="X17" s="1098">
        <v>91.382000000000005</v>
      </c>
      <c r="Y17" s="1100">
        <v>1.214</v>
      </c>
      <c r="Z17" s="1082" t="s">
        <v>4698</v>
      </c>
    </row>
    <row r="18" spans="1:26" ht="38.25" customHeight="1">
      <c r="A18" s="950">
        <v>14</v>
      </c>
      <c r="B18" s="1083"/>
      <c r="C18" s="1091"/>
      <c r="D18" s="1069" t="s">
        <v>4699</v>
      </c>
      <c r="E18" s="1069" t="s">
        <v>4700</v>
      </c>
      <c r="F18" s="951" t="s">
        <v>4701</v>
      </c>
      <c r="G18" s="1069" t="s">
        <v>4702</v>
      </c>
      <c r="H18" s="1069" t="s">
        <v>4703</v>
      </c>
      <c r="I18" s="1097">
        <v>150</v>
      </c>
      <c r="J18" s="1098"/>
      <c r="K18" s="1099"/>
      <c r="L18" s="1099">
        <v>150</v>
      </c>
      <c r="M18" s="1100"/>
      <c r="N18" s="1075"/>
      <c r="O18" s="1076"/>
      <c r="P18" s="1077" t="s">
        <v>105</v>
      </c>
      <c r="Q18" s="1057"/>
      <c r="R18" s="1069" t="s">
        <v>1004</v>
      </c>
      <c r="S18" s="1069" t="s">
        <v>82</v>
      </c>
      <c r="T18" s="1085" t="s">
        <v>3130</v>
      </c>
      <c r="U18" s="1041" t="s">
        <v>2349</v>
      </c>
      <c r="V18" s="1078" t="s">
        <v>4704</v>
      </c>
      <c r="W18" s="1079">
        <f t="shared" si="0"/>
        <v>96.853999999999999</v>
      </c>
      <c r="X18" s="1098">
        <v>96.853999999999999</v>
      </c>
      <c r="Y18" s="1100">
        <v>0</v>
      </c>
      <c r="Z18" s="1082" t="s">
        <v>4705</v>
      </c>
    </row>
    <row r="19" spans="1:26" ht="38.25" customHeight="1">
      <c r="A19" s="950">
        <v>15</v>
      </c>
      <c r="B19" s="1083"/>
      <c r="C19" s="1091"/>
      <c r="D19" s="1069" t="s">
        <v>4706</v>
      </c>
      <c r="E19" s="1069" t="s">
        <v>4707</v>
      </c>
      <c r="F19" s="951" t="s">
        <v>4708</v>
      </c>
      <c r="G19" s="1069" t="s">
        <v>4709</v>
      </c>
      <c r="H19" s="1069" t="s">
        <v>2453</v>
      </c>
      <c r="I19" s="1097">
        <v>720</v>
      </c>
      <c r="J19" s="1098">
        <v>360</v>
      </c>
      <c r="K19" s="1099">
        <v>180</v>
      </c>
      <c r="L19" s="1099">
        <v>180</v>
      </c>
      <c r="M19" s="1100"/>
      <c r="N19" s="1075" t="s">
        <v>1002</v>
      </c>
      <c r="O19" s="1076" t="s">
        <v>3312</v>
      </c>
      <c r="P19" s="1077" t="s">
        <v>67</v>
      </c>
      <c r="Q19" s="950"/>
      <c r="R19" s="1069" t="s">
        <v>1004</v>
      </c>
      <c r="S19" s="1069" t="s">
        <v>82</v>
      </c>
      <c r="T19" s="1085" t="s">
        <v>3130</v>
      </c>
      <c r="U19" s="1041" t="s">
        <v>2349</v>
      </c>
      <c r="V19" s="1078" t="s">
        <v>4704</v>
      </c>
      <c r="W19" s="1079">
        <f t="shared" si="0"/>
        <v>166.65</v>
      </c>
      <c r="X19" s="1098">
        <v>166.65</v>
      </c>
      <c r="Y19" s="1100">
        <v>0</v>
      </c>
      <c r="Z19" s="1082" t="s">
        <v>4710</v>
      </c>
    </row>
    <row r="20" spans="1:26" ht="38.25" customHeight="1">
      <c r="A20" s="950">
        <v>16</v>
      </c>
      <c r="B20" s="1083"/>
      <c r="C20" s="1091"/>
      <c r="D20" s="1069" t="s">
        <v>4711</v>
      </c>
      <c r="E20" s="1069" t="s">
        <v>4712</v>
      </c>
      <c r="F20" s="951" t="s">
        <v>4713</v>
      </c>
      <c r="G20" s="1069" t="s">
        <v>4714</v>
      </c>
      <c r="H20" s="1069" t="s">
        <v>1776</v>
      </c>
      <c r="I20" s="1097">
        <v>710</v>
      </c>
      <c r="J20" s="1101">
        <v>240</v>
      </c>
      <c r="K20" s="1102"/>
      <c r="L20" s="1103">
        <v>470</v>
      </c>
      <c r="M20" s="1104"/>
      <c r="N20" s="1085" t="s">
        <v>4715</v>
      </c>
      <c r="O20" s="1086"/>
      <c r="P20" s="1077" t="s">
        <v>67</v>
      </c>
      <c r="Q20" s="1057"/>
      <c r="R20" s="1069" t="s">
        <v>4716</v>
      </c>
      <c r="S20" s="1069" t="s">
        <v>82</v>
      </c>
      <c r="T20" s="1085" t="s">
        <v>995</v>
      </c>
      <c r="U20" s="1041" t="s">
        <v>84</v>
      </c>
      <c r="V20" s="1078" t="s">
        <v>1047</v>
      </c>
      <c r="W20" s="1079">
        <f t="shared" si="0"/>
        <v>39.182000000000002</v>
      </c>
      <c r="X20" s="1105">
        <v>38.393000000000001</v>
      </c>
      <c r="Y20" s="1106">
        <v>0.78900000000000003</v>
      </c>
      <c r="Z20" s="1082" t="s">
        <v>4717</v>
      </c>
    </row>
    <row r="21" spans="1:26" ht="38.25" customHeight="1">
      <c r="A21" s="950">
        <v>17</v>
      </c>
      <c r="B21" s="1083"/>
      <c r="C21" s="1091"/>
      <c r="D21" s="1069" t="s">
        <v>4718</v>
      </c>
      <c r="E21" s="1069" t="s">
        <v>4719</v>
      </c>
      <c r="F21" s="1095" t="s">
        <v>4720</v>
      </c>
      <c r="G21" s="1069" t="s">
        <v>4721</v>
      </c>
      <c r="H21" s="1069" t="s">
        <v>2453</v>
      </c>
      <c r="I21" s="1097">
        <v>500</v>
      </c>
      <c r="J21" s="1101">
        <v>200</v>
      </c>
      <c r="K21" s="1102"/>
      <c r="L21" s="1103">
        <v>300</v>
      </c>
      <c r="M21" s="1104"/>
      <c r="N21" s="1085" t="s">
        <v>4715</v>
      </c>
      <c r="O21" s="1086"/>
      <c r="P21" s="1077" t="s">
        <v>67</v>
      </c>
      <c r="Q21" s="1057"/>
      <c r="R21" s="1069" t="s">
        <v>2475</v>
      </c>
      <c r="S21" s="1069" t="s">
        <v>82</v>
      </c>
      <c r="T21" s="1085" t="s">
        <v>3130</v>
      </c>
      <c r="U21" s="1041" t="s">
        <v>4722</v>
      </c>
      <c r="V21" s="1078" t="s">
        <v>4704</v>
      </c>
      <c r="W21" s="1079">
        <f t="shared" si="0"/>
        <v>100</v>
      </c>
      <c r="X21" s="1105">
        <v>98.911000000000001</v>
      </c>
      <c r="Y21" s="1106">
        <v>1.089</v>
      </c>
      <c r="Z21" s="1082" t="s">
        <v>4717</v>
      </c>
    </row>
    <row r="22" spans="1:26" ht="38.25" customHeight="1">
      <c r="A22" s="950">
        <v>18</v>
      </c>
      <c r="B22" s="1083"/>
      <c r="C22" s="1091"/>
      <c r="D22" s="1069" t="s">
        <v>4723</v>
      </c>
      <c r="E22" s="1069" t="s">
        <v>4724</v>
      </c>
      <c r="F22" s="951" t="s">
        <v>4725</v>
      </c>
      <c r="G22" s="1069" t="s">
        <v>4726</v>
      </c>
      <c r="H22" s="1069" t="s">
        <v>4727</v>
      </c>
      <c r="I22" s="1097">
        <v>757</v>
      </c>
      <c r="J22" s="1098"/>
      <c r="K22" s="1099"/>
      <c r="L22" s="1107">
        <v>757</v>
      </c>
      <c r="M22" s="1100"/>
      <c r="N22" s="1075"/>
      <c r="O22" s="1076"/>
      <c r="P22" s="1077" t="s">
        <v>67</v>
      </c>
      <c r="Q22" s="1057"/>
      <c r="R22" s="1069" t="s">
        <v>2683</v>
      </c>
      <c r="S22" s="1069" t="s">
        <v>82</v>
      </c>
      <c r="T22" s="1085" t="s">
        <v>3130</v>
      </c>
      <c r="U22" s="1041" t="s">
        <v>4722</v>
      </c>
      <c r="V22" s="1078" t="s">
        <v>4704</v>
      </c>
      <c r="W22" s="1079">
        <f t="shared" si="0"/>
        <v>130</v>
      </c>
      <c r="X22" s="1105">
        <v>125</v>
      </c>
      <c r="Y22" s="1106">
        <v>5</v>
      </c>
      <c r="Z22" s="1082" t="s">
        <v>4728</v>
      </c>
    </row>
    <row r="23" spans="1:26" ht="38.25" customHeight="1">
      <c r="A23" s="950">
        <v>19</v>
      </c>
      <c r="B23" s="1083"/>
      <c r="C23" s="1091"/>
      <c r="D23" s="1108" t="s">
        <v>4729</v>
      </c>
      <c r="E23" s="1069" t="s">
        <v>4730</v>
      </c>
      <c r="F23" s="951" t="s">
        <v>4731</v>
      </c>
      <c r="G23" s="1069" t="s">
        <v>4732</v>
      </c>
      <c r="H23" s="1069" t="s">
        <v>1832</v>
      </c>
      <c r="I23" s="1097">
        <v>350</v>
      </c>
      <c r="J23" s="1098"/>
      <c r="K23" s="1099"/>
      <c r="L23" s="1099">
        <v>350</v>
      </c>
      <c r="M23" s="1100"/>
      <c r="N23" s="1075"/>
      <c r="O23" s="1076"/>
      <c r="P23" s="1077" t="s">
        <v>67</v>
      </c>
      <c r="Q23" s="950"/>
      <c r="R23" s="1069" t="s">
        <v>4733</v>
      </c>
      <c r="S23" s="1069" t="s">
        <v>82</v>
      </c>
      <c r="T23" s="1085" t="s">
        <v>995</v>
      </c>
      <c r="U23" s="1041" t="s">
        <v>4734</v>
      </c>
      <c r="V23" s="1078" t="s">
        <v>1047</v>
      </c>
      <c r="W23" s="1079">
        <f t="shared" si="0"/>
        <v>1242.239</v>
      </c>
      <c r="X23" s="1098">
        <v>1241.93</v>
      </c>
      <c r="Y23" s="1100">
        <v>0.309</v>
      </c>
      <c r="Z23" s="1082" t="s">
        <v>4717</v>
      </c>
    </row>
    <row r="24" spans="1:26" ht="38.25" customHeight="1">
      <c r="A24" s="950">
        <v>20</v>
      </c>
      <c r="B24" s="1083"/>
      <c r="C24" s="1091"/>
      <c r="D24" s="1108" t="s">
        <v>4735</v>
      </c>
      <c r="E24" s="1069" t="s">
        <v>4736</v>
      </c>
      <c r="F24" s="951" t="s">
        <v>4737</v>
      </c>
      <c r="G24" s="1069" t="s">
        <v>4732</v>
      </c>
      <c r="H24" s="1069" t="s">
        <v>1832</v>
      </c>
      <c r="I24" s="1097">
        <v>350</v>
      </c>
      <c r="J24" s="1101"/>
      <c r="K24" s="1102"/>
      <c r="L24" s="1103">
        <v>350</v>
      </c>
      <c r="M24" s="1104"/>
      <c r="N24" s="1085"/>
      <c r="O24" s="1086"/>
      <c r="P24" s="1077" t="s">
        <v>67</v>
      </c>
      <c r="Q24" s="1057"/>
      <c r="R24" s="1069" t="s">
        <v>3098</v>
      </c>
      <c r="S24" s="1069" t="s">
        <v>82</v>
      </c>
      <c r="T24" s="1085" t="s">
        <v>995</v>
      </c>
      <c r="U24" s="1041" t="s">
        <v>84</v>
      </c>
      <c r="V24" s="1078" t="s">
        <v>1047</v>
      </c>
      <c r="W24" s="1079">
        <f t="shared" si="0"/>
        <v>344.54700000000003</v>
      </c>
      <c r="X24" s="1098">
        <v>344.50200000000001</v>
      </c>
      <c r="Y24" s="1100">
        <v>4.4999999999999998E-2</v>
      </c>
      <c r="Z24" s="1082" t="s">
        <v>4717</v>
      </c>
    </row>
    <row r="25" spans="1:26" ht="38.25" customHeight="1">
      <c r="A25" s="950">
        <v>21</v>
      </c>
      <c r="B25" s="1083"/>
      <c r="C25" s="1091"/>
      <c r="D25" s="1109" t="s">
        <v>4738</v>
      </c>
      <c r="E25" s="1069" t="s">
        <v>4739</v>
      </c>
      <c r="F25" s="951" t="s">
        <v>4740</v>
      </c>
      <c r="G25" s="1069" t="s">
        <v>4732</v>
      </c>
      <c r="H25" s="1069" t="s">
        <v>1832</v>
      </c>
      <c r="I25" s="1097">
        <v>400</v>
      </c>
      <c r="J25" s="1101"/>
      <c r="K25" s="1102"/>
      <c r="L25" s="1103">
        <v>400</v>
      </c>
      <c r="M25" s="1104"/>
      <c r="N25" s="1075"/>
      <c r="O25" s="1076"/>
      <c r="P25" s="1077" t="s">
        <v>1951</v>
      </c>
      <c r="Q25" s="950"/>
      <c r="R25" s="1069" t="s">
        <v>4697</v>
      </c>
      <c r="S25" s="1069" t="s">
        <v>82</v>
      </c>
      <c r="T25" s="1085" t="s">
        <v>995</v>
      </c>
      <c r="U25" s="1041" t="s">
        <v>84</v>
      </c>
      <c r="V25" s="1078" t="s">
        <v>1047</v>
      </c>
      <c r="W25" s="1079">
        <f t="shared" si="0"/>
        <v>692.14599999999996</v>
      </c>
      <c r="X25" s="1098">
        <v>691.673</v>
      </c>
      <c r="Y25" s="1100">
        <v>0.47299999999999998</v>
      </c>
      <c r="Z25" s="1082" t="s">
        <v>4717</v>
      </c>
    </row>
    <row r="26" spans="1:26" ht="38.25" customHeight="1">
      <c r="A26" s="950">
        <v>22</v>
      </c>
      <c r="B26" s="1083"/>
      <c r="C26" s="1090"/>
      <c r="D26" s="1069" t="s">
        <v>4741</v>
      </c>
      <c r="E26" s="1069" t="s">
        <v>4742</v>
      </c>
      <c r="F26" s="951" t="s">
        <v>4743</v>
      </c>
      <c r="G26" s="1069" t="s">
        <v>4732</v>
      </c>
      <c r="H26" s="1069" t="s">
        <v>1832</v>
      </c>
      <c r="I26" s="1097">
        <v>400</v>
      </c>
      <c r="J26" s="1101"/>
      <c r="K26" s="1102"/>
      <c r="L26" s="1103">
        <v>400</v>
      </c>
      <c r="M26" s="1104"/>
      <c r="N26" s="1075"/>
      <c r="O26" s="1076"/>
      <c r="P26" s="1077" t="s">
        <v>67</v>
      </c>
      <c r="Q26" s="1057"/>
      <c r="R26" s="1069" t="s">
        <v>2097</v>
      </c>
      <c r="S26" s="1069" t="s">
        <v>82</v>
      </c>
      <c r="T26" s="1085" t="s">
        <v>995</v>
      </c>
      <c r="U26" s="1041" t="s">
        <v>84</v>
      </c>
      <c r="V26" s="1078" t="s">
        <v>1047</v>
      </c>
      <c r="W26" s="1079">
        <f t="shared" si="0"/>
        <v>276.45699999999999</v>
      </c>
      <c r="X26" s="1098">
        <v>276.14400000000001</v>
      </c>
      <c r="Y26" s="1100">
        <v>0.313</v>
      </c>
      <c r="Z26" s="1082" t="s">
        <v>4717</v>
      </c>
    </row>
    <row r="27" spans="1:26" ht="75" customHeight="1">
      <c r="A27" s="950">
        <v>23</v>
      </c>
      <c r="B27" s="1083"/>
      <c r="C27" s="1089" t="s">
        <v>4744</v>
      </c>
      <c r="D27" s="1069" t="s">
        <v>4745</v>
      </c>
      <c r="E27" s="1069" t="s">
        <v>4746</v>
      </c>
      <c r="F27" s="951" t="s">
        <v>4747</v>
      </c>
      <c r="G27" s="1069" t="s">
        <v>4748</v>
      </c>
      <c r="H27" s="1069" t="s">
        <v>1015</v>
      </c>
      <c r="I27" s="1071">
        <v>590</v>
      </c>
      <c r="J27" s="1072"/>
      <c r="K27" s="1073">
        <v>10</v>
      </c>
      <c r="L27" s="1110">
        <v>580</v>
      </c>
      <c r="M27" s="1074"/>
      <c r="N27" s="1075" t="s">
        <v>4749</v>
      </c>
      <c r="O27" s="1076" t="s">
        <v>4749</v>
      </c>
      <c r="P27" s="1077" t="s">
        <v>105</v>
      </c>
      <c r="Q27" s="1057"/>
      <c r="R27" s="1069" t="s">
        <v>4750</v>
      </c>
      <c r="S27" s="1069" t="s">
        <v>82</v>
      </c>
      <c r="T27" s="1085" t="s">
        <v>929</v>
      </c>
      <c r="U27" s="1041" t="s">
        <v>84</v>
      </c>
      <c r="V27" s="1078" t="s">
        <v>1047</v>
      </c>
      <c r="W27" s="1079">
        <f t="shared" si="0"/>
        <v>165.69</v>
      </c>
      <c r="X27" s="1087">
        <v>164.11699999999999</v>
      </c>
      <c r="Y27" s="1111">
        <v>1.573</v>
      </c>
      <c r="Z27" s="1082" t="s">
        <v>4751</v>
      </c>
    </row>
    <row r="28" spans="1:26" ht="46.15" customHeight="1">
      <c r="A28" s="950">
        <v>24</v>
      </c>
      <c r="B28" s="1083"/>
      <c r="C28" s="1091"/>
      <c r="D28" s="1069" t="s">
        <v>4752</v>
      </c>
      <c r="E28" s="1069" t="s">
        <v>4753</v>
      </c>
      <c r="F28" s="951" t="s">
        <v>4754</v>
      </c>
      <c r="G28" s="1069" t="s">
        <v>4755</v>
      </c>
      <c r="H28" s="1069" t="s">
        <v>1993</v>
      </c>
      <c r="I28" s="1071">
        <v>170</v>
      </c>
      <c r="J28" s="1072"/>
      <c r="K28" s="1073"/>
      <c r="L28" s="1110">
        <v>170</v>
      </c>
      <c r="M28" s="1074"/>
      <c r="N28" s="1085"/>
      <c r="O28" s="1086"/>
      <c r="P28" s="1077" t="s">
        <v>92</v>
      </c>
      <c r="Q28" s="1057"/>
      <c r="R28" s="1069" t="s">
        <v>4756</v>
      </c>
      <c r="S28" s="1069" t="s">
        <v>82</v>
      </c>
      <c r="T28" s="1085" t="s">
        <v>929</v>
      </c>
      <c r="U28" s="1041" t="s">
        <v>84</v>
      </c>
      <c r="V28" s="1078" t="s">
        <v>1047</v>
      </c>
      <c r="W28" s="1079">
        <f t="shared" si="0"/>
        <v>40.531999999999996</v>
      </c>
      <c r="X28" s="1087">
        <v>39.457999999999998</v>
      </c>
      <c r="Y28" s="1111">
        <v>1.0740000000000001</v>
      </c>
      <c r="Z28" s="1082" t="s">
        <v>4757</v>
      </c>
    </row>
    <row r="29" spans="1:26" ht="45" customHeight="1">
      <c r="A29" s="950">
        <v>25</v>
      </c>
      <c r="B29" s="1083"/>
      <c r="C29" s="1090"/>
      <c r="D29" s="1069" t="s">
        <v>4758</v>
      </c>
      <c r="E29" s="1069" t="s">
        <v>4700</v>
      </c>
      <c r="F29" s="951" t="s">
        <v>4759</v>
      </c>
      <c r="G29" s="1069" t="s">
        <v>4760</v>
      </c>
      <c r="H29" s="1069" t="s">
        <v>978</v>
      </c>
      <c r="I29" s="1071">
        <v>100</v>
      </c>
      <c r="J29" s="1072"/>
      <c r="K29" s="1073"/>
      <c r="L29" s="1110">
        <v>100</v>
      </c>
      <c r="M29" s="1074"/>
      <c r="N29" s="1085"/>
      <c r="O29" s="1086"/>
      <c r="P29" s="1077" t="s">
        <v>105</v>
      </c>
      <c r="Q29" s="1057"/>
      <c r="R29" s="1069" t="s">
        <v>4761</v>
      </c>
      <c r="S29" s="1069" t="s">
        <v>82</v>
      </c>
      <c r="T29" s="1085" t="s">
        <v>929</v>
      </c>
      <c r="U29" s="1041" t="s">
        <v>84</v>
      </c>
      <c r="V29" s="1078" t="s">
        <v>1047</v>
      </c>
      <c r="W29" s="1079">
        <f t="shared" si="0"/>
        <v>0</v>
      </c>
      <c r="X29" s="1087">
        <v>0</v>
      </c>
      <c r="Y29" s="1111">
        <v>0</v>
      </c>
      <c r="Z29" s="1082" t="s">
        <v>4762</v>
      </c>
    </row>
    <row r="30" spans="1:26" ht="38.25" customHeight="1">
      <c r="A30" s="950">
        <v>26</v>
      </c>
      <c r="B30" s="1083"/>
      <c r="C30" s="1089" t="s">
        <v>4763</v>
      </c>
      <c r="D30" s="1069" t="s">
        <v>4764</v>
      </c>
      <c r="E30" s="1069" t="s">
        <v>4765</v>
      </c>
      <c r="F30" s="951" t="s">
        <v>4766</v>
      </c>
      <c r="G30" s="1069" t="s">
        <v>4767</v>
      </c>
      <c r="H30" s="1069" t="s">
        <v>4768</v>
      </c>
      <c r="I30" s="1071">
        <v>300</v>
      </c>
      <c r="J30" s="1072"/>
      <c r="K30" s="1073">
        <v>10</v>
      </c>
      <c r="L30" s="1110">
        <v>290</v>
      </c>
      <c r="M30" s="1074"/>
      <c r="N30" s="1075" t="s">
        <v>4749</v>
      </c>
      <c r="O30" s="1076" t="s">
        <v>4749</v>
      </c>
      <c r="P30" s="1077" t="s">
        <v>167</v>
      </c>
      <c r="Q30" s="950"/>
      <c r="R30" s="1069" t="s">
        <v>4769</v>
      </c>
      <c r="S30" s="1069" t="s">
        <v>82</v>
      </c>
      <c r="T30" s="1085" t="s">
        <v>929</v>
      </c>
      <c r="U30" s="1041" t="s">
        <v>84</v>
      </c>
      <c r="V30" s="1078" t="s">
        <v>1047</v>
      </c>
      <c r="W30" s="1079">
        <f t="shared" si="0"/>
        <v>1502.202</v>
      </c>
      <c r="X30" s="1087">
        <v>1487.202</v>
      </c>
      <c r="Y30" s="1088">
        <v>15</v>
      </c>
      <c r="Z30" s="1082" t="s">
        <v>4770</v>
      </c>
    </row>
    <row r="31" spans="1:26" ht="38.25" customHeight="1">
      <c r="A31" s="950">
        <v>27</v>
      </c>
      <c r="B31" s="1083"/>
      <c r="C31" s="1091"/>
      <c r="D31" s="1069" t="s">
        <v>4771</v>
      </c>
      <c r="E31" s="1069" t="s">
        <v>4772</v>
      </c>
      <c r="F31" s="951" t="s">
        <v>4773</v>
      </c>
      <c r="G31" s="1069" t="s">
        <v>4774</v>
      </c>
      <c r="H31" s="1069" t="s">
        <v>1892</v>
      </c>
      <c r="I31" s="1071">
        <v>91</v>
      </c>
      <c r="J31" s="1072"/>
      <c r="K31" s="1073"/>
      <c r="L31" s="1110">
        <v>91</v>
      </c>
      <c r="M31" s="1074"/>
      <c r="N31" s="1075"/>
      <c r="O31" s="1076"/>
      <c r="P31" s="1077" t="s">
        <v>167</v>
      </c>
      <c r="Q31" s="1057"/>
      <c r="R31" s="1069" t="s">
        <v>2492</v>
      </c>
      <c r="S31" s="1069" t="s">
        <v>82</v>
      </c>
      <c r="T31" s="1085" t="s">
        <v>1005</v>
      </c>
      <c r="U31" s="1041" t="s">
        <v>84</v>
      </c>
      <c r="V31" s="1078" t="s">
        <v>1047</v>
      </c>
      <c r="W31" s="1079">
        <f t="shared" si="0"/>
        <v>60</v>
      </c>
      <c r="X31" s="1087">
        <v>59.4</v>
      </c>
      <c r="Y31" s="1088">
        <v>0.6</v>
      </c>
      <c r="Z31" s="1082" t="s">
        <v>4775</v>
      </c>
    </row>
    <row r="32" spans="1:26" ht="38.25" customHeight="1">
      <c r="A32" s="950">
        <v>28</v>
      </c>
      <c r="B32" s="1083"/>
      <c r="C32" s="1091"/>
      <c r="D32" s="1069" t="s">
        <v>4776</v>
      </c>
      <c r="E32" s="1069" t="s">
        <v>4639</v>
      </c>
      <c r="F32" s="951" t="s">
        <v>4777</v>
      </c>
      <c r="G32" s="1069" t="s">
        <v>4778</v>
      </c>
      <c r="H32" s="1069" t="s">
        <v>1845</v>
      </c>
      <c r="I32" s="1071">
        <v>30</v>
      </c>
      <c r="J32" s="1072"/>
      <c r="K32" s="1073"/>
      <c r="L32" s="1110">
        <v>30</v>
      </c>
      <c r="M32" s="1074"/>
      <c r="N32" s="1075"/>
      <c r="O32" s="1076"/>
      <c r="P32" s="1077" t="s">
        <v>167</v>
      </c>
      <c r="Q32" s="1057"/>
      <c r="R32" s="1069" t="s">
        <v>2964</v>
      </c>
      <c r="S32" s="1069" t="s">
        <v>82</v>
      </c>
      <c r="T32" s="1085" t="s">
        <v>929</v>
      </c>
      <c r="U32" s="1041" t="s">
        <v>84</v>
      </c>
      <c r="V32" s="1078" t="s">
        <v>1047</v>
      </c>
      <c r="W32" s="1079">
        <f t="shared" si="0"/>
        <v>3</v>
      </c>
      <c r="X32" s="1087">
        <v>2.97</v>
      </c>
      <c r="Y32" s="1088">
        <v>0.03</v>
      </c>
      <c r="Z32" s="1082" t="s">
        <v>4779</v>
      </c>
    </row>
    <row r="33" spans="1:26" ht="38.25" customHeight="1">
      <c r="A33" s="950">
        <v>29</v>
      </c>
      <c r="B33" s="1083"/>
      <c r="C33" s="1091"/>
      <c r="D33" s="1069" t="s">
        <v>4780</v>
      </c>
      <c r="E33" s="1069" t="s">
        <v>4781</v>
      </c>
      <c r="F33" s="951" t="s">
        <v>4782</v>
      </c>
      <c r="G33" s="1069" t="s">
        <v>4783</v>
      </c>
      <c r="H33" s="1069" t="s">
        <v>3618</v>
      </c>
      <c r="I33" s="1071">
        <v>65</v>
      </c>
      <c r="J33" s="1072"/>
      <c r="K33" s="1073"/>
      <c r="L33" s="1110">
        <v>65</v>
      </c>
      <c r="M33" s="1074"/>
      <c r="N33" s="1075"/>
      <c r="O33" s="1076"/>
      <c r="P33" s="1077" t="s">
        <v>92</v>
      </c>
      <c r="Q33" s="1057"/>
      <c r="R33" s="1069" t="s">
        <v>2026</v>
      </c>
      <c r="S33" s="1069" t="s">
        <v>82</v>
      </c>
      <c r="T33" s="1085" t="s">
        <v>929</v>
      </c>
      <c r="U33" s="1041" t="s">
        <v>84</v>
      </c>
      <c r="V33" s="1078" t="s">
        <v>1047</v>
      </c>
      <c r="W33" s="1079">
        <f t="shared" si="0"/>
        <v>39.800000000000004</v>
      </c>
      <c r="X33" s="1087">
        <v>39.6</v>
      </c>
      <c r="Y33" s="1088">
        <v>0.2</v>
      </c>
      <c r="Z33" s="1082" t="s">
        <v>4784</v>
      </c>
    </row>
    <row r="34" spans="1:26" ht="38.25" customHeight="1">
      <c r="A34" s="950">
        <v>30</v>
      </c>
      <c r="B34" s="1083"/>
      <c r="C34" s="1090"/>
      <c r="D34" s="1069" t="s">
        <v>4785</v>
      </c>
      <c r="E34" s="1069" t="s">
        <v>4786</v>
      </c>
      <c r="F34" s="951" t="s">
        <v>4787</v>
      </c>
      <c r="G34" s="1069" t="s">
        <v>4788</v>
      </c>
      <c r="H34" s="1069" t="s">
        <v>3077</v>
      </c>
      <c r="I34" s="1071">
        <v>90</v>
      </c>
      <c r="J34" s="1072"/>
      <c r="K34" s="1073"/>
      <c r="L34" s="1110">
        <v>90</v>
      </c>
      <c r="M34" s="1074"/>
      <c r="N34" s="1075"/>
      <c r="O34" s="1076"/>
      <c r="P34" s="1077" t="s">
        <v>92</v>
      </c>
      <c r="Q34" s="950"/>
      <c r="R34" s="1069" t="s">
        <v>4789</v>
      </c>
      <c r="S34" s="1069" t="s">
        <v>82</v>
      </c>
      <c r="T34" s="1085" t="s">
        <v>929</v>
      </c>
      <c r="U34" s="1041" t="s">
        <v>84</v>
      </c>
      <c r="V34" s="1078" t="s">
        <v>1047</v>
      </c>
      <c r="W34" s="1079">
        <f t="shared" si="0"/>
        <v>250.5</v>
      </c>
      <c r="X34" s="1087">
        <v>247.5</v>
      </c>
      <c r="Y34" s="1088">
        <v>3</v>
      </c>
      <c r="Z34" s="1082" t="s">
        <v>4790</v>
      </c>
    </row>
    <row r="35" spans="1:26" ht="47.45" customHeight="1">
      <c r="A35" s="950">
        <v>31</v>
      </c>
      <c r="B35" s="1083"/>
      <c r="C35" s="1089" t="s">
        <v>4791</v>
      </c>
      <c r="D35" s="1069" t="s">
        <v>4792</v>
      </c>
      <c r="E35" s="1069" t="s">
        <v>4793</v>
      </c>
      <c r="F35" s="951" t="s">
        <v>4794</v>
      </c>
      <c r="G35" s="1069" t="s">
        <v>4795</v>
      </c>
      <c r="H35" s="1069" t="s">
        <v>1234</v>
      </c>
      <c r="I35" s="1071">
        <v>690</v>
      </c>
      <c r="J35" s="1072">
        <v>170</v>
      </c>
      <c r="K35" s="1073"/>
      <c r="L35" s="1110">
        <v>500</v>
      </c>
      <c r="M35" s="1074">
        <v>20</v>
      </c>
      <c r="N35" s="1085" t="s">
        <v>927</v>
      </c>
      <c r="O35" s="1086" t="s">
        <v>4796</v>
      </c>
      <c r="P35" s="1077" t="s">
        <v>92</v>
      </c>
      <c r="Q35" s="1069" t="s">
        <v>4797</v>
      </c>
      <c r="R35" s="1069" t="s">
        <v>4798</v>
      </c>
      <c r="S35" s="1069" t="s">
        <v>82</v>
      </c>
      <c r="T35" s="1085" t="s">
        <v>83</v>
      </c>
      <c r="U35" s="1041" t="s">
        <v>3599</v>
      </c>
      <c r="V35" s="1078" t="s">
        <v>1047</v>
      </c>
      <c r="W35" s="1079">
        <f t="shared" si="0"/>
        <v>469.17899999999997</v>
      </c>
      <c r="X35" s="1087">
        <v>453.947</v>
      </c>
      <c r="Y35" s="1088">
        <v>15.231999999999999</v>
      </c>
      <c r="Z35" s="1082" t="s">
        <v>4799</v>
      </c>
    </row>
    <row r="36" spans="1:26" ht="46.15" customHeight="1">
      <c r="A36" s="950">
        <v>32</v>
      </c>
      <c r="B36" s="1083"/>
      <c r="C36" s="1091"/>
      <c r="D36" s="1069" t="s">
        <v>4800</v>
      </c>
      <c r="E36" s="1069" t="s">
        <v>4801</v>
      </c>
      <c r="F36" s="951" t="s">
        <v>4802</v>
      </c>
      <c r="G36" s="1069" t="s">
        <v>6321</v>
      </c>
      <c r="H36" s="1069" t="s">
        <v>2211</v>
      </c>
      <c r="I36" s="1071">
        <v>202</v>
      </c>
      <c r="J36" s="1072"/>
      <c r="K36" s="1073"/>
      <c r="L36" s="1110">
        <v>200</v>
      </c>
      <c r="M36" s="1074">
        <v>2</v>
      </c>
      <c r="N36" s="1075"/>
      <c r="O36" s="1076"/>
      <c r="P36" s="1077" t="s">
        <v>67</v>
      </c>
      <c r="Q36" s="1057"/>
      <c r="R36" s="1069" t="s">
        <v>4803</v>
      </c>
      <c r="S36" s="1069" t="s">
        <v>82</v>
      </c>
      <c r="T36" s="1085" t="s">
        <v>2641</v>
      </c>
      <c r="U36" s="1041" t="s">
        <v>84</v>
      </c>
      <c r="V36" s="1078" t="s">
        <v>1047</v>
      </c>
      <c r="W36" s="1079">
        <f t="shared" si="0"/>
        <v>172.53</v>
      </c>
      <c r="X36" s="1087">
        <v>171.256</v>
      </c>
      <c r="Y36" s="1088">
        <v>1.274</v>
      </c>
      <c r="Z36" s="1082" t="s">
        <v>4804</v>
      </c>
    </row>
    <row r="37" spans="1:26" ht="38.25" customHeight="1">
      <c r="A37" s="950">
        <v>33</v>
      </c>
      <c r="B37" s="1083"/>
      <c r="C37" s="1090"/>
      <c r="D37" s="1069" t="s">
        <v>4805</v>
      </c>
      <c r="E37" s="1069" t="s">
        <v>4806</v>
      </c>
      <c r="F37" s="951" t="s">
        <v>4807</v>
      </c>
      <c r="G37" s="1069" t="s">
        <v>6322</v>
      </c>
      <c r="H37" s="1069" t="s">
        <v>4808</v>
      </c>
      <c r="I37" s="1071">
        <v>40</v>
      </c>
      <c r="J37" s="1072"/>
      <c r="K37" s="1073"/>
      <c r="L37" s="1110">
        <v>35</v>
      </c>
      <c r="M37" s="1074">
        <v>5</v>
      </c>
      <c r="N37" s="1075"/>
      <c r="O37" s="1076"/>
      <c r="P37" s="1077" t="s">
        <v>92</v>
      </c>
      <c r="Q37" s="950"/>
      <c r="R37" s="1069" t="s">
        <v>1110</v>
      </c>
      <c r="S37" s="1069" t="s">
        <v>2124</v>
      </c>
      <c r="T37" s="1085" t="s">
        <v>2641</v>
      </c>
      <c r="U37" s="1041" t="s">
        <v>84</v>
      </c>
      <c r="V37" s="1078" t="s">
        <v>1047</v>
      </c>
      <c r="W37" s="1079">
        <f t="shared" si="0"/>
        <v>0</v>
      </c>
      <c r="X37" s="1087">
        <v>0</v>
      </c>
      <c r="Y37" s="1088">
        <v>0</v>
      </c>
      <c r="Z37" s="1082" t="s">
        <v>4809</v>
      </c>
    </row>
    <row r="38" spans="1:26" ht="53.45" customHeight="1">
      <c r="A38" s="950">
        <v>34</v>
      </c>
      <c r="B38" s="1083"/>
      <c r="C38" s="1089" t="s">
        <v>4810</v>
      </c>
      <c r="D38" s="1069" t="s">
        <v>4811</v>
      </c>
      <c r="E38" s="1069" t="s">
        <v>4812</v>
      </c>
      <c r="F38" s="951" t="s">
        <v>4813</v>
      </c>
      <c r="G38" s="1069" t="s">
        <v>4814</v>
      </c>
      <c r="H38" s="1069" t="s">
        <v>966</v>
      </c>
      <c r="I38" s="1071">
        <v>410</v>
      </c>
      <c r="J38" s="1092"/>
      <c r="K38" s="1093">
        <v>10</v>
      </c>
      <c r="L38" s="1112">
        <v>400</v>
      </c>
      <c r="M38" s="1094"/>
      <c r="N38" s="1075" t="s">
        <v>4815</v>
      </c>
      <c r="O38" s="1076" t="s">
        <v>4815</v>
      </c>
      <c r="P38" s="1113" t="s">
        <v>67</v>
      </c>
      <c r="Q38" s="1057"/>
      <c r="R38" s="1108" t="s">
        <v>1242</v>
      </c>
      <c r="S38" s="1108" t="s">
        <v>82</v>
      </c>
      <c r="T38" s="1075" t="s">
        <v>995</v>
      </c>
      <c r="U38" s="1114" t="s">
        <v>84</v>
      </c>
      <c r="V38" s="1115" t="s">
        <v>1047</v>
      </c>
      <c r="W38" s="1079">
        <f t="shared" si="0"/>
        <v>302.495</v>
      </c>
      <c r="X38" s="1116">
        <v>302.495</v>
      </c>
      <c r="Y38" s="1117">
        <v>0</v>
      </c>
      <c r="Z38" s="1118" t="s">
        <v>4816</v>
      </c>
    </row>
    <row r="39" spans="1:26" ht="45" customHeight="1">
      <c r="A39" s="950">
        <v>35</v>
      </c>
      <c r="B39" s="1083"/>
      <c r="C39" s="1091"/>
      <c r="D39" s="1108" t="s">
        <v>4817</v>
      </c>
      <c r="E39" s="1069" t="s">
        <v>4632</v>
      </c>
      <c r="F39" s="951" t="s">
        <v>4818</v>
      </c>
      <c r="G39" s="1069" t="s">
        <v>4819</v>
      </c>
      <c r="H39" s="1069" t="s">
        <v>1022</v>
      </c>
      <c r="I39" s="1071">
        <v>290</v>
      </c>
      <c r="J39" s="1092"/>
      <c r="K39" s="1093"/>
      <c r="L39" s="1112">
        <v>290</v>
      </c>
      <c r="M39" s="1094"/>
      <c r="N39" s="1075"/>
      <c r="O39" s="1076"/>
      <c r="P39" s="1113" t="s">
        <v>67</v>
      </c>
      <c r="Q39" s="950"/>
      <c r="R39" s="1108" t="s">
        <v>4820</v>
      </c>
      <c r="S39" s="1108" t="s">
        <v>82</v>
      </c>
      <c r="T39" s="1075" t="s">
        <v>929</v>
      </c>
      <c r="U39" s="1114" t="s">
        <v>84</v>
      </c>
      <c r="V39" s="1115" t="s">
        <v>1047</v>
      </c>
      <c r="W39" s="1079">
        <f t="shared" si="0"/>
        <v>25.553000000000001</v>
      </c>
      <c r="X39" s="1116">
        <v>25.553000000000001</v>
      </c>
      <c r="Y39" s="1117">
        <v>0</v>
      </c>
      <c r="Z39" s="1118" t="s">
        <v>4816</v>
      </c>
    </row>
    <row r="40" spans="1:26" ht="48.6" customHeight="1">
      <c r="A40" s="950">
        <v>36</v>
      </c>
      <c r="B40" s="1083"/>
      <c r="C40" s="1090"/>
      <c r="D40" s="1108" t="s">
        <v>4821</v>
      </c>
      <c r="E40" s="1069" t="s">
        <v>4781</v>
      </c>
      <c r="F40" s="951" t="s">
        <v>4822</v>
      </c>
      <c r="G40" s="1069" t="s">
        <v>4823</v>
      </c>
      <c r="H40" s="1069" t="s">
        <v>1022</v>
      </c>
      <c r="I40" s="1071">
        <v>50</v>
      </c>
      <c r="J40" s="1092"/>
      <c r="K40" s="1093"/>
      <c r="L40" s="1112">
        <v>50</v>
      </c>
      <c r="M40" s="1094"/>
      <c r="N40" s="1075"/>
      <c r="O40" s="1076"/>
      <c r="P40" s="1113" t="s">
        <v>67</v>
      </c>
      <c r="Q40" s="1057"/>
      <c r="R40" s="1108" t="s">
        <v>2376</v>
      </c>
      <c r="S40" s="1108" t="s">
        <v>82</v>
      </c>
      <c r="T40" s="1075" t="s">
        <v>929</v>
      </c>
      <c r="U40" s="1114" t="s">
        <v>84</v>
      </c>
      <c r="V40" s="1115" t="s">
        <v>1047</v>
      </c>
      <c r="W40" s="1079">
        <f t="shared" si="0"/>
        <v>20</v>
      </c>
      <c r="X40" s="1116">
        <v>20</v>
      </c>
      <c r="Y40" s="1117">
        <v>0</v>
      </c>
      <c r="Z40" s="1082" t="s">
        <v>4824</v>
      </c>
    </row>
    <row r="41" spans="1:26" ht="72" customHeight="1">
      <c r="A41" s="950">
        <v>37</v>
      </c>
      <c r="B41" s="1083"/>
      <c r="C41" s="1089" t="s">
        <v>4825</v>
      </c>
      <c r="D41" s="1069" t="s">
        <v>4826</v>
      </c>
      <c r="E41" s="1069" t="s">
        <v>4827</v>
      </c>
      <c r="F41" s="951" t="s">
        <v>4828</v>
      </c>
      <c r="G41" s="1069" t="s">
        <v>4829</v>
      </c>
      <c r="H41" s="1069" t="s">
        <v>2008</v>
      </c>
      <c r="I41" s="1071">
        <v>450</v>
      </c>
      <c r="J41" s="1072"/>
      <c r="K41" s="1073"/>
      <c r="L41" s="1110">
        <v>450</v>
      </c>
      <c r="M41" s="1074"/>
      <c r="N41" s="1075"/>
      <c r="O41" s="1076"/>
      <c r="P41" s="1077" t="s">
        <v>167</v>
      </c>
      <c r="Q41" s="950"/>
      <c r="R41" s="1108" t="s">
        <v>2972</v>
      </c>
      <c r="S41" s="1108" t="s">
        <v>82</v>
      </c>
      <c r="T41" s="1075" t="s">
        <v>2949</v>
      </c>
      <c r="U41" s="1041" t="s">
        <v>84</v>
      </c>
      <c r="V41" s="1078" t="s">
        <v>1047</v>
      </c>
      <c r="W41" s="1079">
        <f>X41+Y41</f>
        <v>558.98099999999999</v>
      </c>
      <c r="X41" s="1119">
        <v>558.98099999999999</v>
      </c>
      <c r="Y41" s="1111">
        <v>0</v>
      </c>
      <c r="Z41" s="1082" t="s">
        <v>4830</v>
      </c>
    </row>
    <row r="42" spans="1:26" ht="49.9" customHeight="1">
      <c r="A42" s="950">
        <v>38</v>
      </c>
      <c r="B42" s="1083"/>
      <c r="C42" s="1091"/>
      <c r="D42" s="1069" t="s">
        <v>4831</v>
      </c>
      <c r="E42" s="1069" t="s">
        <v>4832</v>
      </c>
      <c r="F42" s="951" t="s">
        <v>4833</v>
      </c>
      <c r="G42" s="1069" t="s">
        <v>4834</v>
      </c>
      <c r="H42" s="1069" t="s">
        <v>3615</v>
      </c>
      <c r="I42" s="1071">
        <v>32</v>
      </c>
      <c r="J42" s="1072"/>
      <c r="K42" s="1073"/>
      <c r="L42" s="1110">
        <v>32</v>
      </c>
      <c r="M42" s="1074"/>
      <c r="N42" s="1075"/>
      <c r="O42" s="1076"/>
      <c r="P42" s="1077" t="s">
        <v>167</v>
      </c>
      <c r="Q42" s="950"/>
      <c r="R42" s="1108" t="s">
        <v>1011</v>
      </c>
      <c r="S42" s="1108" t="s">
        <v>82</v>
      </c>
      <c r="T42" s="1075" t="s">
        <v>95</v>
      </c>
      <c r="U42" s="1041" t="s">
        <v>84</v>
      </c>
      <c r="V42" s="1078" t="s">
        <v>1047</v>
      </c>
      <c r="W42" s="1079">
        <f t="shared" si="0"/>
        <v>15</v>
      </c>
      <c r="X42" s="1119">
        <v>15</v>
      </c>
      <c r="Y42" s="1111">
        <v>0</v>
      </c>
      <c r="Z42" s="1082" t="s">
        <v>4835</v>
      </c>
    </row>
    <row r="43" spans="1:26" ht="38.25" customHeight="1">
      <c r="A43" s="950">
        <v>39</v>
      </c>
      <c r="B43" s="1083"/>
      <c r="C43" s="1091"/>
      <c r="D43" s="1069" t="s">
        <v>4836</v>
      </c>
      <c r="E43" s="1069" t="s">
        <v>4837</v>
      </c>
      <c r="F43" s="951" t="s">
        <v>4838</v>
      </c>
      <c r="G43" s="1069" t="s">
        <v>4839</v>
      </c>
      <c r="H43" s="1069" t="s">
        <v>4840</v>
      </c>
      <c r="I43" s="1071">
        <v>287.5</v>
      </c>
      <c r="J43" s="1072"/>
      <c r="K43" s="1073"/>
      <c r="L43" s="1110">
        <v>287.5</v>
      </c>
      <c r="M43" s="1074"/>
      <c r="N43" s="1075"/>
      <c r="O43" s="1076"/>
      <c r="P43" s="1077" t="s">
        <v>105</v>
      </c>
      <c r="Q43" s="1057"/>
      <c r="R43" s="1108" t="s">
        <v>4841</v>
      </c>
      <c r="S43" s="1108" t="s">
        <v>82</v>
      </c>
      <c r="T43" s="1075" t="s">
        <v>2949</v>
      </c>
      <c r="U43" s="1041" t="s">
        <v>84</v>
      </c>
      <c r="V43" s="1078" t="s">
        <v>1047</v>
      </c>
      <c r="W43" s="1079">
        <f t="shared" si="0"/>
        <v>6</v>
      </c>
      <c r="X43" s="1119">
        <v>6</v>
      </c>
      <c r="Y43" s="1111">
        <v>0</v>
      </c>
      <c r="Z43" s="1082" t="s">
        <v>4842</v>
      </c>
    </row>
    <row r="44" spans="1:26" s="1013" customFormat="1" ht="61.9" customHeight="1">
      <c r="A44" s="950">
        <v>40</v>
      </c>
      <c r="B44" s="1083"/>
      <c r="C44" s="1091"/>
      <c r="D44" s="1069" t="s">
        <v>4843</v>
      </c>
      <c r="E44" s="1069" t="s">
        <v>4844</v>
      </c>
      <c r="F44" s="951" t="s">
        <v>4845</v>
      </c>
      <c r="G44" s="1069" t="s">
        <v>4846</v>
      </c>
      <c r="H44" s="1069" t="s">
        <v>1867</v>
      </c>
      <c r="I44" s="1071">
        <v>150</v>
      </c>
      <c r="J44" s="1072"/>
      <c r="K44" s="1073"/>
      <c r="L44" s="1110">
        <v>150</v>
      </c>
      <c r="M44" s="1074"/>
      <c r="N44" s="1075"/>
      <c r="O44" s="1076"/>
      <c r="P44" s="1077" t="s">
        <v>67</v>
      </c>
      <c r="Q44" s="1057"/>
      <c r="R44" s="1108" t="s">
        <v>1097</v>
      </c>
      <c r="S44" s="1108" t="s">
        <v>82</v>
      </c>
      <c r="T44" s="1075" t="s">
        <v>2949</v>
      </c>
      <c r="U44" s="1041" t="s">
        <v>84</v>
      </c>
      <c r="V44" s="1078" t="s">
        <v>1047</v>
      </c>
      <c r="W44" s="1079">
        <f t="shared" si="0"/>
        <v>7</v>
      </c>
      <c r="X44" s="1119">
        <v>7</v>
      </c>
      <c r="Y44" s="1111">
        <v>0</v>
      </c>
      <c r="Z44" s="1118" t="s">
        <v>4847</v>
      </c>
    </row>
    <row r="45" spans="1:26" s="1013" customFormat="1" ht="51.6" customHeight="1">
      <c r="A45" s="950">
        <v>41</v>
      </c>
      <c r="B45" s="1083"/>
      <c r="C45" s="1091"/>
      <c r="D45" s="1069" t="s">
        <v>4848</v>
      </c>
      <c r="E45" s="1069" t="s">
        <v>4849</v>
      </c>
      <c r="F45" s="951" t="s">
        <v>4850</v>
      </c>
      <c r="G45" s="1069" t="s">
        <v>4851</v>
      </c>
      <c r="H45" s="1069" t="s">
        <v>3442</v>
      </c>
      <c r="I45" s="1071">
        <v>120</v>
      </c>
      <c r="J45" s="1072"/>
      <c r="K45" s="1073"/>
      <c r="L45" s="1110">
        <v>120</v>
      </c>
      <c r="M45" s="1074"/>
      <c r="N45" s="1075"/>
      <c r="O45" s="1076"/>
      <c r="P45" s="1077" t="s">
        <v>167</v>
      </c>
      <c r="Q45" s="950"/>
      <c r="R45" s="1108" t="s">
        <v>3244</v>
      </c>
      <c r="S45" s="1108" t="s">
        <v>82</v>
      </c>
      <c r="T45" s="1075" t="s">
        <v>95</v>
      </c>
      <c r="U45" s="1041" t="s">
        <v>84</v>
      </c>
      <c r="V45" s="1078" t="s">
        <v>1047</v>
      </c>
      <c r="W45" s="1079">
        <f t="shared" si="0"/>
        <v>75</v>
      </c>
      <c r="X45" s="1119">
        <v>75</v>
      </c>
      <c r="Y45" s="1111">
        <v>0</v>
      </c>
      <c r="Z45" s="1082" t="s">
        <v>4852</v>
      </c>
    </row>
    <row r="46" spans="1:26" s="1013" customFormat="1" ht="38.25" customHeight="1">
      <c r="A46" s="950">
        <v>42</v>
      </c>
      <c r="B46" s="1083"/>
      <c r="C46" s="1090"/>
      <c r="D46" s="1069" t="s">
        <v>4853</v>
      </c>
      <c r="E46" s="1069" t="s">
        <v>4781</v>
      </c>
      <c r="F46" s="951" t="s">
        <v>4854</v>
      </c>
      <c r="G46" s="1069" t="s">
        <v>4855</v>
      </c>
      <c r="H46" s="1069" t="s">
        <v>1845</v>
      </c>
      <c r="I46" s="1071">
        <v>100</v>
      </c>
      <c r="J46" s="1072"/>
      <c r="K46" s="1073"/>
      <c r="L46" s="1110">
        <v>30</v>
      </c>
      <c r="M46" s="1074">
        <v>70</v>
      </c>
      <c r="N46" s="1075"/>
      <c r="O46" s="1076"/>
      <c r="P46" s="1077" t="s">
        <v>67</v>
      </c>
      <c r="Q46" s="1057"/>
      <c r="R46" s="1108" t="s">
        <v>4856</v>
      </c>
      <c r="S46" s="1108" t="s">
        <v>82</v>
      </c>
      <c r="T46" s="1075" t="s">
        <v>95</v>
      </c>
      <c r="U46" s="1041" t="s">
        <v>84</v>
      </c>
      <c r="V46" s="1078" t="s">
        <v>1047</v>
      </c>
      <c r="W46" s="1079">
        <f t="shared" si="0"/>
        <v>25</v>
      </c>
      <c r="X46" s="1119">
        <v>25</v>
      </c>
      <c r="Y46" s="1111">
        <v>0</v>
      </c>
      <c r="Z46" s="1082" t="s">
        <v>4857</v>
      </c>
    </row>
    <row r="47" spans="1:26" s="1013" customFormat="1" ht="47.45" customHeight="1">
      <c r="A47" s="950">
        <v>43</v>
      </c>
      <c r="B47" s="1083"/>
      <c r="C47" s="1089" t="s">
        <v>4858</v>
      </c>
      <c r="D47" s="1069" t="s">
        <v>4859</v>
      </c>
      <c r="E47" s="1069" t="s">
        <v>4860</v>
      </c>
      <c r="F47" s="951" t="s">
        <v>4861</v>
      </c>
      <c r="G47" s="1069" t="s">
        <v>4862</v>
      </c>
      <c r="H47" s="1069" t="s">
        <v>4863</v>
      </c>
      <c r="I47" s="1071">
        <v>20</v>
      </c>
      <c r="J47" s="1072"/>
      <c r="K47" s="1073"/>
      <c r="L47" s="1110">
        <v>20</v>
      </c>
      <c r="M47" s="1074"/>
      <c r="N47" s="1075"/>
      <c r="O47" s="1076"/>
      <c r="P47" s="1077" t="s">
        <v>167</v>
      </c>
      <c r="Q47" s="950"/>
      <c r="R47" s="1108" t="s">
        <v>4733</v>
      </c>
      <c r="S47" s="1108" t="s">
        <v>82</v>
      </c>
      <c r="T47" s="1075" t="s">
        <v>4864</v>
      </c>
      <c r="U47" s="1114" t="s">
        <v>84</v>
      </c>
      <c r="V47" s="1078" t="s">
        <v>1047</v>
      </c>
      <c r="W47" s="1079">
        <f t="shared" si="0"/>
        <v>0</v>
      </c>
      <c r="X47" s="1119"/>
      <c r="Y47" s="1111"/>
      <c r="Z47" s="1082" t="s">
        <v>4865</v>
      </c>
    </row>
    <row r="48" spans="1:26" s="1013" customFormat="1" ht="57.6" customHeight="1">
      <c r="A48" s="950">
        <v>44</v>
      </c>
      <c r="B48" s="1083"/>
      <c r="C48" s="1091"/>
      <c r="D48" s="1069" t="s">
        <v>4866</v>
      </c>
      <c r="E48" s="1069" t="s">
        <v>4646</v>
      </c>
      <c r="F48" s="951" t="s">
        <v>4867</v>
      </c>
      <c r="G48" s="1069" t="s">
        <v>4868</v>
      </c>
      <c r="H48" s="1069" t="s">
        <v>3615</v>
      </c>
      <c r="I48" s="1071">
        <v>430</v>
      </c>
      <c r="J48" s="1072"/>
      <c r="K48" s="1073">
        <v>30</v>
      </c>
      <c r="L48" s="1110">
        <v>400</v>
      </c>
      <c r="M48" s="1074"/>
      <c r="N48" s="1075" t="s">
        <v>4815</v>
      </c>
      <c r="O48" s="1076" t="s">
        <v>4815</v>
      </c>
      <c r="P48" s="1077" t="s">
        <v>67</v>
      </c>
      <c r="Q48" s="950"/>
      <c r="R48" s="1069" t="s">
        <v>4869</v>
      </c>
      <c r="S48" s="1069" t="s">
        <v>82</v>
      </c>
      <c r="T48" s="1085" t="s">
        <v>2015</v>
      </c>
      <c r="U48" s="1041" t="s">
        <v>84</v>
      </c>
      <c r="V48" s="1078" t="s">
        <v>1047</v>
      </c>
      <c r="W48" s="1079">
        <f t="shared" si="0"/>
        <v>57.167999999999999</v>
      </c>
      <c r="X48" s="1087">
        <v>57.167999999999999</v>
      </c>
      <c r="Y48" s="1088"/>
      <c r="Z48" s="1082" t="s">
        <v>4870</v>
      </c>
    </row>
    <row r="49" spans="1:26" s="1013" customFormat="1" ht="61.15" customHeight="1">
      <c r="A49" s="950">
        <v>45</v>
      </c>
      <c r="B49" s="1083"/>
      <c r="C49" s="1091"/>
      <c r="D49" s="1069" t="s">
        <v>4871</v>
      </c>
      <c r="E49" s="1069" t="s">
        <v>4872</v>
      </c>
      <c r="F49" s="951" t="s">
        <v>4873</v>
      </c>
      <c r="G49" s="1069" t="s">
        <v>4874</v>
      </c>
      <c r="H49" s="1069" t="s">
        <v>1852</v>
      </c>
      <c r="I49" s="1071">
        <v>40</v>
      </c>
      <c r="J49" s="1072"/>
      <c r="K49" s="1073"/>
      <c r="L49" s="1110">
        <v>40</v>
      </c>
      <c r="M49" s="1074"/>
      <c r="N49" s="1075"/>
      <c r="O49" s="1076"/>
      <c r="P49" s="1077" t="s">
        <v>92</v>
      </c>
      <c r="Q49" s="1057"/>
      <c r="R49" s="1069" t="s">
        <v>4875</v>
      </c>
      <c r="S49" s="1069" t="s">
        <v>82</v>
      </c>
      <c r="T49" s="1085" t="s">
        <v>4864</v>
      </c>
      <c r="U49" s="1041" t="s">
        <v>84</v>
      </c>
      <c r="V49" s="1078" t="s">
        <v>1047</v>
      </c>
      <c r="W49" s="1079">
        <f t="shared" si="0"/>
        <v>13</v>
      </c>
      <c r="X49" s="1087">
        <v>13</v>
      </c>
      <c r="Y49" s="1088"/>
      <c r="Z49" s="1082" t="s">
        <v>4876</v>
      </c>
    </row>
    <row r="50" spans="1:26" s="1013" customFormat="1" ht="42.6" customHeight="1">
      <c r="A50" s="950">
        <v>46</v>
      </c>
      <c r="B50" s="1120"/>
      <c r="C50" s="1091"/>
      <c r="D50" s="1069" t="s">
        <v>4877</v>
      </c>
      <c r="E50" s="1069" t="s">
        <v>4878</v>
      </c>
      <c r="F50" s="951" t="s">
        <v>4879</v>
      </c>
      <c r="G50" s="1069" t="s">
        <v>4880</v>
      </c>
      <c r="H50" s="1069" t="s">
        <v>3621</v>
      </c>
      <c r="I50" s="1071">
        <v>500</v>
      </c>
      <c r="J50" s="1072"/>
      <c r="K50" s="1073"/>
      <c r="L50" s="1110">
        <v>500</v>
      </c>
      <c r="M50" s="1074"/>
      <c r="N50" s="1075"/>
      <c r="O50" s="1076"/>
      <c r="P50" s="1077" t="s">
        <v>92</v>
      </c>
      <c r="Q50" s="1121"/>
      <c r="R50" s="1069" t="s">
        <v>4881</v>
      </c>
      <c r="S50" s="1069" t="s">
        <v>82</v>
      </c>
      <c r="T50" s="1085" t="s">
        <v>2015</v>
      </c>
      <c r="U50" s="1041" t="s">
        <v>84</v>
      </c>
      <c r="V50" s="1078" t="s">
        <v>1047</v>
      </c>
      <c r="W50" s="1079">
        <f t="shared" si="0"/>
        <v>0</v>
      </c>
      <c r="X50" s="1087"/>
      <c r="Y50" s="1088"/>
      <c r="Z50" s="1082" t="s">
        <v>4882</v>
      </c>
    </row>
    <row r="51" spans="1:26" s="1013" customFormat="1" ht="43.15" customHeight="1">
      <c r="A51" s="950">
        <v>47</v>
      </c>
      <c r="B51" s="1120"/>
      <c r="C51" s="1090"/>
      <c r="D51" s="1069" t="s">
        <v>4883</v>
      </c>
      <c r="E51" s="1069" t="s">
        <v>4676</v>
      </c>
      <c r="F51" s="951" t="s">
        <v>4884</v>
      </c>
      <c r="G51" s="1069" t="s">
        <v>4885</v>
      </c>
      <c r="H51" s="1069" t="s">
        <v>1867</v>
      </c>
      <c r="I51" s="1071">
        <v>10</v>
      </c>
      <c r="J51" s="1072"/>
      <c r="K51" s="1073"/>
      <c r="L51" s="1110">
        <v>10</v>
      </c>
      <c r="M51" s="1074"/>
      <c r="N51" s="1075"/>
      <c r="O51" s="1076"/>
      <c r="P51" s="1077" t="s">
        <v>124</v>
      </c>
      <c r="Q51" s="1121"/>
      <c r="R51" s="1069" t="s">
        <v>4886</v>
      </c>
      <c r="S51" s="1069" t="s">
        <v>82</v>
      </c>
      <c r="T51" s="1085" t="s">
        <v>4864</v>
      </c>
      <c r="U51" s="1041" t="s">
        <v>84</v>
      </c>
      <c r="V51" s="1078" t="s">
        <v>1047</v>
      </c>
      <c r="W51" s="1079">
        <f t="shared" si="0"/>
        <v>0</v>
      </c>
      <c r="X51" s="1087"/>
      <c r="Y51" s="1088"/>
      <c r="Z51" s="1082" t="s">
        <v>4887</v>
      </c>
    </row>
    <row r="52" spans="1:26" s="1013" customFormat="1" ht="91.9" customHeight="1">
      <c r="A52" s="950">
        <v>48</v>
      </c>
      <c r="B52" s="1120"/>
      <c r="C52" s="1089" t="s">
        <v>4888</v>
      </c>
      <c r="D52" s="1069" t="s">
        <v>4889</v>
      </c>
      <c r="E52" s="1069" t="s">
        <v>4890</v>
      </c>
      <c r="F52" s="951" t="s">
        <v>4891</v>
      </c>
      <c r="G52" s="1069" t="s">
        <v>4892</v>
      </c>
      <c r="H52" s="1069" t="s">
        <v>4893</v>
      </c>
      <c r="I52" s="1071">
        <v>870</v>
      </c>
      <c r="J52" s="1072">
        <v>170</v>
      </c>
      <c r="K52" s="1073"/>
      <c r="L52" s="1110">
        <v>700</v>
      </c>
      <c r="M52" s="1074"/>
      <c r="N52" s="1075" t="s">
        <v>927</v>
      </c>
      <c r="O52" s="1076" t="s">
        <v>4894</v>
      </c>
      <c r="P52" s="1113" t="s">
        <v>92</v>
      </c>
      <c r="Q52" s="1069" t="s">
        <v>4797</v>
      </c>
      <c r="R52" s="1108" t="s">
        <v>4895</v>
      </c>
      <c r="S52" s="1108" t="s">
        <v>82</v>
      </c>
      <c r="T52" s="1075" t="s">
        <v>2015</v>
      </c>
      <c r="U52" s="1041" t="s">
        <v>84</v>
      </c>
      <c r="V52" s="1115" t="s">
        <v>85</v>
      </c>
      <c r="W52" s="1079">
        <f t="shared" si="0"/>
        <v>349.85199999999998</v>
      </c>
      <c r="X52" s="1116">
        <v>347.47699999999998</v>
      </c>
      <c r="Y52" s="1117">
        <v>2.375</v>
      </c>
      <c r="Z52" s="1082" t="s">
        <v>4896</v>
      </c>
    </row>
    <row r="53" spans="1:26" s="1013" customFormat="1" ht="46.9" customHeight="1">
      <c r="A53" s="950">
        <v>49</v>
      </c>
      <c r="B53" s="1120"/>
      <c r="C53" s="1091"/>
      <c r="D53" s="1069" t="s">
        <v>4897</v>
      </c>
      <c r="E53" s="1069" t="s">
        <v>4898</v>
      </c>
      <c r="F53" s="951" t="s">
        <v>4899</v>
      </c>
      <c r="G53" s="1069" t="s">
        <v>4900</v>
      </c>
      <c r="H53" s="1069" t="s">
        <v>1234</v>
      </c>
      <c r="I53" s="1071">
        <v>700</v>
      </c>
      <c r="J53" s="1072"/>
      <c r="K53" s="1073"/>
      <c r="L53" s="1110">
        <v>700</v>
      </c>
      <c r="M53" s="1074"/>
      <c r="N53" s="1075"/>
      <c r="O53" s="1076"/>
      <c r="P53" s="1077" t="s">
        <v>67</v>
      </c>
      <c r="Q53" s="1121"/>
      <c r="R53" s="1069" t="s">
        <v>1996</v>
      </c>
      <c r="S53" s="1069" t="s">
        <v>82</v>
      </c>
      <c r="T53" s="1085" t="s">
        <v>995</v>
      </c>
      <c r="U53" s="1041" t="s">
        <v>84</v>
      </c>
      <c r="V53" s="1078" t="s">
        <v>1047</v>
      </c>
      <c r="W53" s="1079">
        <f t="shared" si="0"/>
        <v>102.414</v>
      </c>
      <c r="X53" s="1116">
        <v>100.878</v>
      </c>
      <c r="Y53" s="1117">
        <v>1.536</v>
      </c>
      <c r="Z53" s="1082" t="s">
        <v>4901</v>
      </c>
    </row>
    <row r="54" spans="1:26" s="1013" customFormat="1" ht="55.15" customHeight="1">
      <c r="A54" s="950">
        <v>50</v>
      </c>
      <c r="B54" s="1120"/>
      <c r="C54" s="1091"/>
      <c r="D54" s="1069" t="s">
        <v>4902</v>
      </c>
      <c r="E54" s="1069" t="s">
        <v>4903</v>
      </c>
      <c r="F54" s="951" t="s">
        <v>4904</v>
      </c>
      <c r="G54" s="1069" t="s">
        <v>4905</v>
      </c>
      <c r="H54" s="1069" t="s">
        <v>2762</v>
      </c>
      <c r="I54" s="1071">
        <v>410</v>
      </c>
      <c r="J54" s="1072"/>
      <c r="K54" s="1073"/>
      <c r="L54" s="1110">
        <v>410</v>
      </c>
      <c r="M54" s="1074"/>
      <c r="N54" s="1075"/>
      <c r="O54" s="1076"/>
      <c r="P54" s="1077" t="s">
        <v>67</v>
      </c>
      <c r="Q54" s="1121"/>
      <c r="R54" s="1069" t="s">
        <v>4906</v>
      </c>
      <c r="S54" s="1069" t="s">
        <v>82</v>
      </c>
      <c r="T54" s="1085" t="s">
        <v>2015</v>
      </c>
      <c r="U54" s="1041" t="s">
        <v>4907</v>
      </c>
      <c r="V54" s="1078" t="s">
        <v>1064</v>
      </c>
      <c r="W54" s="1079">
        <f t="shared" si="0"/>
        <v>82.885999999999996</v>
      </c>
      <c r="X54" s="1116">
        <v>80.399000000000001</v>
      </c>
      <c r="Y54" s="1117">
        <v>2.4870000000000001</v>
      </c>
      <c r="Z54" s="1082" t="s">
        <v>4908</v>
      </c>
    </row>
    <row r="55" spans="1:26" s="1013" customFormat="1" ht="38.25" customHeight="1">
      <c r="A55" s="950">
        <v>51</v>
      </c>
      <c r="B55" s="1120"/>
      <c r="C55" s="1091"/>
      <c r="D55" s="1108" t="s">
        <v>4909</v>
      </c>
      <c r="E55" s="1069" t="s">
        <v>4910</v>
      </c>
      <c r="F55" s="1095" t="s">
        <v>4911</v>
      </c>
      <c r="G55" s="1069" t="s">
        <v>4912</v>
      </c>
      <c r="H55" s="1069" t="s">
        <v>3615</v>
      </c>
      <c r="I55" s="1071">
        <v>65</v>
      </c>
      <c r="J55" s="1092"/>
      <c r="K55" s="1093"/>
      <c r="L55" s="1112">
        <v>55</v>
      </c>
      <c r="M55" s="1094">
        <v>10</v>
      </c>
      <c r="N55" s="1075"/>
      <c r="O55" s="1076"/>
      <c r="P55" s="1113" t="s">
        <v>92</v>
      </c>
      <c r="Q55" s="1121"/>
      <c r="R55" s="1108" t="s">
        <v>2026</v>
      </c>
      <c r="S55" s="1108" t="s">
        <v>82</v>
      </c>
      <c r="T55" s="1075" t="s">
        <v>929</v>
      </c>
      <c r="U55" s="1114" t="s">
        <v>84</v>
      </c>
      <c r="V55" s="1115" t="s">
        <v>1047</v>
      </c>
      <c r="W55" s="1079">
        <f t="shared" si="0"/>
        <v>29.7</v>
      </c>
      <c r="X55" s="1116">
        <v>29.646999999999998</v>
      </c>
      <c r="Y55" s="1117">
        <v>5.2999999999999999E-2</v>
      </c>
      <c r="Z55" s="1082" t="s">
        <v>4913</v>
      </c>
    </row>
    <row r="56" spans="1:26" s="1013" customFormat="1" ht="55.9" customHeight="1">
      <c r="A56" s="950">
        <v>52</v>
      </c>
      <c r="B56" s="1120"/>
      <c r="C56" s="1090"/>
      <c r="D56" s="1069" t="s">
        <v>4914</v>
      </c>
      <c r="E56" s="1069" t="s">
        <v>4915</v>
      </c>
      <c r="F56" s="951" t="s">
        <v>4916</v>
      </c>
      <c r="G56" s="1069" t="s">
        <v>4917</v>
      </c>
      <c r="H56" s="1069" t="s">
        <v>1022</v>
      </c>
      <c r="I56" s="1071">
        <v>225</v>
      </c>
      <c r="J56" s="1072"/>
      <c r="K56" s="1073"/>
      <c r="L56" s="1110">
        <v>200</v>
      </c>
      <c r="M56" s="1074">
        <v>25</v>
      </c>
      <c r="N56" s="1075"/>
      <c r="O56" s="1076"/>
      <c r="P56" s="1077" t="s">
        <v>92</v>
      </c>
      <c r="Q56" s="1121"/>
      <c r="R56" s="1069" t="s">
        <v>4918</v>
      </c>
      <c r="S56" s="1069" t="s">
        <v>82</v>
      </c>
      <c r="T56" s="1085" t="s">
        <v>929</v>
      </c>
      <c r="U56" s="1041" t="s">
        <v>84</v>
      </c>
      <c r="V56" s="1078" t="s">
        <v>1064</v>
      </c>
      <c r="W56" s="1079">
        <f t="shared" si="0"/>
        <v>141.21</v>
      </c>
      <c r="X56" s="1116">
        <v>141.10400000000001</v>
      </c>
      <c r="Y56" s="1117">
        <v>0.106</v>
      </c>
      <c r="Z56" s="1082" t="s">
        <v>4919</v>
      </c>
    </row>
    <row r="57" spans="1:26" s="1013" customFormat="1" ht="47.45" customHeight="1">
      <c r="A57" s="950">
        <v>53</v>
      </c>
      <c r="B57" s="1120"/>
      <c r="C57" s="1089" t="s">
        <v>4920</v>
      </c>
      <c r="D57" s="1069" t="s">
        <v>4921</v>
      </c>
      <c r="E57" s="1069" t="s">
        <v>4922</v>
      </c>
      <c r="F57" s="951" t="s">
        <v>4923</v>
      </c>
      <c r="G57" s="1069" t="s">
        <v>4924</v>
      </c>
      <c r="H57" s="1069" t="s">
        <v>1117</v>
      </c>
      <c r="I57" s="1071">
        <v>830</v>
      </c>
      <c r="J57" s="1072"/>
      <c r="K57" s="1073">
        <v>20</v>
      </c>
      <c r="L57" s="1110">
        <v>810</v>
      </c>
      <c r="M57" s="1074"/>
      <c r="N57" s="1075" t="s">
        <v>4815</v>
      </c>
      <c r="O57" s="1076" t="s">
        <v>4815</v>
      </c>
      <c r="P57" s="1113" t="s">
        <v>167</v>
      </c>
      <c r="Q57" s="1121"/>
      <c r="R57" s="1108" t="s">
        <v>4925</v>
      </c>
      <c r="S57" s="1108" t="s">
        <v>82</v>
      </c>
      <c r="T57" s="1075" t="s">
        <v>4926</v>
      </c>
      <c r="U57" s="1114" t="s">
        <v>84</v>
      </c>
      <c r="V57" s="1115" t="s">
        <v>1047</v>
      </c>
      <c r="W57" s="1079">
        <f t="shared" si="0"/>
        <v>514.50900000000001</v>
      </c>
      <c r="X57" s="1101">
        <v>510.709</v>
      </c>
      <c r="Y57" s="1117">
        <v>3.8</v>
      </c>
      <c r="Z57" s="1082" t="s">
        <v>4927</v>
      </c>
    </row>
    <row r="58" spans="1:26" ht="38.25" customHeight="1">
      <c r="A58" s="950">
        <v>54</v>
      </c>
      <c r="B58" s="1120"/>
      <c r="C58" s="1091"/>
      <c r="D58" s="1069" t="s">
        <v>4928</v>
      </c>
      <c r="E58" s="1069" t="s">
        <v>4929</v>
      </c>
      <c r="F58" s="951" t="s">
        <v>4930</v>
      </c>
      <c r="G58" s="1069" t="s">
        <v>4931</v>
      </c>
      <c r="H58" s="1069" t="s">
        <v>972</v>
      </c>
      <c r="I58" s="1071">
        <v>35</v>
      </c>
      <c r="J58" s="1072"/>
      <c r="K58" s="1073"/>
      <c r="L58" s="1110">
        <v>35</v>
      </c>
      <c r="M58" s="1074"/>
      <c r="N58" s="1075"/>
      <c r="O58" s="1076"/>
      <c r="P58" s="1113" t="s">
        <v>167</v>
      </c>
      <c r="Q58" s="1121"/>
      <c r="R58" s="1069" t="s">
        <v>4932</v>
      </c>
      <c r="S58" s="1108" t="s">
        <v>82</v>
      </c>
      <c r="T58" s="1075" t="s">
        <v>95</v>
      </c>
      <c r="U58" s="1114" t="s">
        <v>84</v>
      </c>
      <c r="V58" s="1115" t="s">
        <v>1047</v>
      </c>
      <c r="W58" s="1079">
        <f t="shared" si="0"/>
        <v>5</v>
      </c>
      <c r="X58" s="1101">
        <v>5</v>
      </c>
      <c r="Y58" s="1122"/>
      <c r="Z58" s="1082" t="s">
        <v>4933</v>
      </c>
    </row>
    <row r="59" spans="1:26" ht="73.150000000000006" customHeight="1">
      <c r="A59" s="950">
        <v>55</v>
      </c>
      <c r="B59" s="1120"/>
      <c r="C59" s="1091"/>
      <c r="D59" s="1069" t="s">
        <v>4934</v>
      </c>
      <c r="E59" s="1069" t="s">
        <v>4935</v>
      </c>
      <c r="F59" s="951" t="s">
        <v>4936</v>
      </c>
      <c r="G59" s="1069" t="s">
        <v>4937</v>
      </c>
      <c r="H59" s="1069" t="s">
        <v>1234</v>
      </c>
      <c r="I59" s="1071">
        <v>15</v>
      </c>
      <c r="J59" s="1092"/>
      <c r="K59" s="1093"/>
      <c r="L59" s="1110">
        <v>15</v>
      </c>
      <c r="M59" s="1094"/>
      <c r="N59" s="1075"/>
      <c r="O59" s="1076"/>
      <c r="P59" s="1113" t="s">
        <v>167</v>
      </c>
      <c r="Q59" s="1121"/>
      <c r="R59" s="1108" t="s">
        <v>4932</v>
      </c>
      <c r="S59" s="1108" t="s">
        <v>82</v>
      </c>
      <c r="T59" s="1075" t="s">
        <v>95</v>
      </c>
      <c r="U59" s="1114" t="s">
        <v>84</v>
      </c>
      <c r="V59" s="1115" t="s">
        <v>1047</v>
      </c>
      <c r="W59" s="1079">
        <f t="shared" si="0"/>
        <v>1</v>
      </c>
      <c r="X59" s="1101">
        <v>1</v>
      </c>
      <c r="Y59" s="1122"/>
      <c r="Z59" s="1082" t="s">
        <v>4938</v>
      </c>
    </row>
    <row r="60" spans="1:26" ht="42.6" customHeight="1">
      <c r="A60" s="950">
        <v>56</v>
      </c>
      <c r="B60" s="1120"/>
      <c r="C60" s="1091"/>
      <c r="D60" s="1069" t="s">
        <v>4939</v>
      </c>
      <c r="E60" s="1069" t="s">
        <v>4940</v>
      </c>
      <c r="F60" s="951" t="s">
        <v>4941</v>
      </c>
      <c r="G60" s="1069" t="s">
        <v>4942</v>
      </c>
      <c r="H60" s="1069" t="s">
        <v>1990</v>
      </c>
      <c r="I60" s="1071">
        <v>90</v>
      </c>
      <c r="J60" s="1092"/>
      <c r="K60" s="1093"/>
      <c r="L60" s="1110">
        <v>90</v>
      </c>
      <c r="M60" s="1094"/>
      <c r="N60" s="1075"/>
      <c r="O60" s="1076"/>
      <c r="P60" s="1113" t="s">
        <v>67</v>
      </c>
      <c r="Q60" s="1121"/>
      <c r="R60" s="1108" t="s">
        <v>4943</v>
      </c>
      <c r="S60" s="1108" t="s">
        <v>82</v>
      </c>
      <c r="T60" s="1075" t="s">
        <v>3019</v>
      </c>
      <c r="U60" s="1114" t="s">
        <v>84</v>
      </c>
      <c r="V60" s="1115" t="s">
        <v>1047</v>
      </c>
      <c r="W60" s="1079">
        <f t="shared" si="0"/>
        <v>15</v>
      </c>
      <c r="X60" s="1101">
        <v>15</v>
      </c>
      <c r="Y60" s="1122"/>
      <c r="Z60" s="1082" t="s">
        <v>4944</v>
      </c>
    </row>
    <row r="61" spans="1:26" ht="61.9" customHeight="1">
      <c r="A61" s="950">
        <v>57</v>
      </c>
      <c r="B61" s="1120"/>
      <c r="C61" s="1091"/>
      <c r="D61" s="1069" t="s">
        <v>4945</v>
      </c>
      <c r="E61" s="1069" t="s">
        <v>4929</v>
      </c>
      <c r="F61" s="951" t="s">
        <v>4946</v>
      </c>
      <c r="G61" s="1069" t="s">
        <v>4947</v>
      </c>
      <c r="H61" s="1069" t="s">
        <v>1038</v>
      </c>
      <c r="I61" s="1071">
        <v>70</v>
      </c>
      <c r="J61" s="1092"/>
      <c r="K61" s="1093"/>
      <c r="L61" s="1110">
        <v>70</v>
      </c>
      <c r="M61" s="1094"/>
      <c r="N61" s="1075"/>
      <c r="O61" s="1076"/>
      <c r="P61" s="1113" t="s">
        <v>167</v>
      </c>
      <c r="Q61" s="1121"/>
      <c r="R61" s="1108" t="s">
        <v>4948</v>
      </c>
      <c r="S61" s="1108" t="s">
        <v>82</v>
      </c>
      <c r="T61" s="1075" t="s">
        <v>3019</v>
      </c>
      <c r="U61" s="1114" t="s">
        <v>84</v>
      </c>
      <c r="V61" s="1115" t="s">
        <v>1047</v>
      </c>
      <c r="W61" s="1079">
        <f t="shared" si="0"/>
        <v>10</v>
      </c>
      <c r="X61" s="1101">
        <v>10</v>
      </c>
      <c r="Y61" s="1122"/>
      <c r="Z61" s="1082" t="s">
        <v>4949</v>
      </c>
    </row>
    <row r="62" spans="1:26" ht="51" customHeight="1">
      <c r="A62" s="950">
        <v>58</v>
      </c>
      <c r="B62" s="1120"/>
      <c r="C62" s="1090"/>
      <c r="D62" s="1069" t="s">
        <v>4950</v>
      </c>
      <c r="E62" s="1069" t="s">
        <v>4951</v>
      </c>
      <c r="F62" s="951" t="s">
        <v>4952</v>
      </c>
      <c r="G62" s="1069" t="s">
        <v>4953</v>
      </c>
      <c r="H62" s="1069" t="s">
        <v>4954</v>
      </c>
      <c r="I62" s="1071">
        <v>70</v>
      </c>
      <c r="J62" s="1092"/>
      <c r="K62" s="1093"/>
      <c r="L62" s="1110">
        <v>70</v>
      </c>
      <c r="M62" s="1094"/>
      <c r="N62" s="1075"/>
      <c r="O62" s="1076"/>
      <c r="P62" s="1113" t="s">
        <v>167</v>
      </c>
      <c r="Q62" s="1121"/>
      <c r="R62" s="1108" t="s">
        <v>4955</v>
      </c>
      <c r="S62" s="1108" t="s">
        <v>82</v>
      </c>
      <c r="T62" s="1075" t="s">
        <v>3019</v>
      </c>
      <c r="U62" s="1114" t="s">
        <v>84</v>
      </c>
      <c r="V62" s="1115" t="s">
        <v>1047</v>
      </c>
      <c r="W62" s="1079">
        <f t="shared" si="0"/>
        <v>1.5</v>
      </c>
      <c r="X62" s="1101">
        <v>1.5</v>
      </c>
      <c r="Y62" s="1122"/>
      <c r="Z62" s="1082" t="s">
        <v>4956</v>
      </c>
    </row>
    <row r="63" spans="1:26" ht="38.25" customHeight="1">
      <c r="A63" s="950">
        <v>59</v>
      </c>
      <c r="B63" s="1120"/>
      <c r="C63" s="1089" t="s">
        <v>4957</v>
      </c>
      <c r="D63" s="1069" t="s">
        <v>4958</v>
      </c>
      <c r="E63" s="1069" t="s">
        <v>4959</v>
      </c>
      <c r="F63" s="951" t="s">
        <v>4960</v>
      </c>
      <c r="G63" s="1069" t="s">
        <v>4961</v>
      </c>
      <c r="H63" s="1069" t="s">
        <v>3669</v>
      </c>
      <c r="I63" s="1071">
        <v>70</v>
      </c>
      <c r="J63" s="1072"/>
      <c r="K63" s="1073"/>
      <c r="L63" s="1110">
        <v>50</v>
      </c>
      <c r="M63" s="1074">
        <v>20</v>
      </c>
      <c r="N63" s="1075"/>
      <c r="O63" s="1076"/>
      <c r="P63" s="1077" t="s">
        <v>92</v>
      </c>
      <c r="Q63" s="1121"/>
      <c r="R63" s="1069" t="s">
        <v>4962</v>
      </c>
      <c r="S63" s="1069" t="s">
        <v>82</v>
      </c>
      <c r="T63" s="1085" t="s">
        <v>3019</v>
      </c>
      <c r="U63" s="1041" t="s">
        <v>84</v>
      </c>
      <c r="V63" s="1078" t="s">
        <v>85</v>
      </c>
      <c r="W63" s="1079">
        <f t="shared" si="0"/>
        <v>17</v>
      </c>
      <c r="X63" s="1087">
        <v>17</v>
      </c>
      <c r="Y63" s="1088"/>
      <c r="Z63" s="1082" t="s">
        <v>4963</v>
      </c>
    </row>
    <row r="64" spans="1:26" ht="121.9" customHeight="1">
      <c r="A64" s="950">
        <v>60</v>
      </c>
      <c r="B64" s="1120"/>
      <c r="C64" s="1091"/>
      <c r="D64" s="1069" t="s">
        <v>4964</v>
      </c>
      <c r="E64" s="1069" t="s">
        <v>4965</v>
      </c>
      <c r="F64" s="951" t="s">
        <v>4966</v>
      </c>
      <c r="G64" s="1069" t="s">
        <v>4967</v>
      </c>
      <c r="H64" s="1069" t="s">
        <v>1803</v>
      </c>
      <c r="I64" s="1071">
        <v>1592</v>
      </c>
      <c r="J64" s="1072">
        <v>92</v>
      </c>
      <c r="K64" s="1073"/>
      <c r="L64" s="1123">
        <v>1500</v>
      </c>
      <c r="M64" s="1074"/>
      <c r="N64" s="1075" t="s">
        <v>927</v>
      </c>
      <c r="O64" s="1076" t="s">
        <v>4968</v>
      </c>
      <c r="P64" s="1077" t="s">
        <v>167</v>
      </c>
      <c r="Q64" s="1069" t="s">
        <v>4969</v>
      </c>
      <c r="R64" s="1069" t="s">
        <v>3098</v>
      </c>
      <c r="S64" s="1069" t="s">
        <v>82</v>
      </c>
      <c r="T64" s="1085" t="s">
        <v>3019</v>
      </c>
      <c r="U64" s="1041" t="s">
        <v>84</v>
      </c>
      <c r="V64" s="1078" t="s">
        <v>3625</v>
      </c>
      <c r="W64" s="1079">
        <f t="shared" si="0"/>
        <v>458.50799999999998</v>
      </c>
      <c r="X64" s="1087">
        <v>447.80799999999999</v>
      </c>
      <c r="Y64" s="1088">
        <v>10.7</v>
      </c>
      <c r="Z64" s="1082" t="s">
        <v>4970</v>
      </c>
    </row>
    <row r="65" spans="1:26" ht="64.150000000000006" customHeight="1">
      <c r="A65" s="950">
        <v>61</v>
      </c>
      <c r="B65" s="1120"/>
      <c r="C65" s="1091"/>
      <c r="D65" s="1069" t="s">
        <v>4971</v>
      </c>
      <c r="E65" s="1069" t="s">
        <v>4781</v>
      </c>
      <c r="F65" s="951" t="s">
        <v>4972</v>
      </c>
      <c r="G65" s="1069" t="s">
        <v>4973</v>
      </c>
      <c r="H65" s="1069" t="s">
        <v>1832</v>
      </c>
      <c r="I65" s="1071">
        <v>115</v>
      </c>
      <c r="J65" s="1072"/>
      <c r="K65" s="1073"/>
      <c r="L65" s="1110">
        <v>105</v>
      </c>
      <c r="M65" s="1074">
        <v>10</v>
      </c>
      <c r="N65" s="1075"/>
      <c r="O65" s="1076"/>
      <c r="P65" s="1077" t="s">
        <v>67</v>
      </c>
      <c r="Q65" s="1121"/>
      <c r="R65" s="1069" t="s">
        <v>4974</v>
      </c>
      <c r="S65" s="1069" t="s">
        <v>82</v>
      </c>
      <c r="T65" s="1085" t="s">
        <v>3019</v>
      </c>
      <c r="U65" s="1041" t="s">
        <v>84</v>
      </c>
      <c r="V65" s="1078" t="s">
        <v>85</v>
      </c>
      <c r="W65" s="1079">
        <f t="shared" si="0"/>
        <v>20</v>
      </c>
      <c r="X65" s="1087">
        <v>20</v>
      </c>
      <c r="Y65" s="1088"/>
      <c r="Z65" s="1082" t="s">
        <v>4975</v>
      </c>
    </row>
    <row r="66" spans="1:26" ht="38.25" customHeight="1">
      <c r="A66" s="950">
        <v>62</v>
      </c>
      <c r="B66" s="1120"/>
      <c r="C66" s="1091"/>
      <c r="D66" s="1069" t="s">
        <v>4976</v>
      </c>
      <c r="E66" s="1069" t="s">
        <v>4977</v>
      </c>
      <c r="F66" s="951" t="s">
        <v>4978</v>
      </c>
      <c r="G66" s="1069" t="s">
        <v>4979</v>
      </c>
      <c r="H66" s="1069" t="s">
        <v>779</v>
      </c>
      <c r="I66" s="1071">
        <v>52</v>
      </c>
      <c r="J66" s="1072"/>
      <c r="K66" s="1073"/>
      <c r="L66" s="1110">
        <v>36</v>
      </c>
      <c r="M66" s="1074">
        <v>16</v>
      </c>
      <c r="N66" s="1075"/>
      <c r="O66" s="1076"/>
      <c r="P66" s="1077" t="s">
        <v>92</v>
      </c>
      <c r="Q66" s="1121"/>
      <c r="R66" s="1069" t="s">
        <v>4980</v>
      </c>
      <c r="S66" s="1069" t="s">
        <v>82</v>
      </c>
      <c r="T66" s="1085" t="s">
        <v>3019</v>
      </c>
      <c r="U66" s="1041" t="s">
        <v>84</v>
      </c>
      <c r="V66" s="1078" t="s">
        <v>85</v>
      </c>
      <c r="W66" s="1079">
        <f t="shared" si="0"/>
        <v>4.5</v>
      </c>
      <c r="X66" s="1087">
        <v>4.5</v>
      </c>
      <c r="Y66" s="1088"/>
      <c r="Z66" s="1082" t="s">
        <v>4981</v>
      </c>
    </row>
    <row r="67" spans="1:26" ht="53.45" customHeight="1">
      <c r="A67" s="950">
        <v>63</v>
      </c>
      <c r="B67" s="1120"/>
      <c r="C67" s="1090"/>
      <c r="D67" s="1069" t="s">
        <v>4982</v>
      </c>
      <c r="E67" s="1069" t="s">
        <v>4746</v>
      </c>
      <c r="F67" s="951" t="s">
        <v>4983</v>
      </c>
      <c r="G67" s="1069" t="s">
        <v>4984</v>
      </c>
      <c r="H67" s="1069" t="s">
        <v>4985</v>
      </c>
      <c r="I67" s="1071">
        <v>40</v>
      </c>
      <c r="J67" s="1072"/>
      <c r="K67" s="1073"/>
      <c r="L67" s="1110">
        <v>20</v>
      </c>
      <c r="M67" s="1074">
        <v>20</v>
      </c>
      <c r="N67" s="1075"/>
      <c r="O67" s="1076"/>
      <c r="P67" s="1077" t="s">
        <v>92</v>
      </c>
      <c r="Q67" s="1121"/>
      <c r="R67" s="1069" t="s">
        <v>4986</v>
      </c>
      <c r="S67" s="1069" t="s">
        <v>82</v>
      </c>
      <c r="T67" s="1075" t="s">
        <v>2015</v>
      </c>
      <c r="U67" s="1041" t="s">
        <v>84</v>
      </c>
      <c r="V67" s="1078" t="s">
        <v>85</v>
      </c>
      <c r="W67" s="1079">
        <f t="shared" si="0"/>
        <v>0</v>
      </c>
      <c r="X67" s="1087"/>
      <c r="Y67" s="1088"/>
      <c r="Z67" s="1082" t="s">
        <v>952</v>
      </c>
    </row>
    <row r="68" spans="1:26" ht="62.45" customHeight="1">
      <c r="A68" s="950">
        <v>64</v>
      </c>
      <c r="B68" s="1120"/>
      <c r="C68" s="1124" t="s">
        <v>4987</v>
      </c>
      <c r="D68" s="1069" t="s">
        <v>4988</v>
      </c>
      <c r="E68" s="1069" t="s">
        <v>4989</v>
      </c>
      <c r="F68" s="951" t="s">
        <v>4990</v>
      </c>
      <c r="G68" s="1069" t="s">
        <v>4991</v>
      </c>
      <c r="H68" s="1069" t="s">
        <v>943</v>
      </c>
      <c r="I68" s="1071">
        <v>50</v>
      </c>
      <c r="J68" s="1125"/>
      <c r="K68" s="1126"/>
      <c r="L68" s="1112">
        <v>50</v>
      </c>
      <c r="M68" s="1127"/>
      <c r="N68" s="1075"/>
      <c r="O68" s="1076"/>
      <c r="P68" s="1113" t="s">
        <v>167</v>
      </c>
      <c r="Q68" s="1121"/>
      <c r="R68" s="1108" t="s">
        <v>1011</v>
      </c>
      <c r="S68" s="1069" t="s">
        <v>82</v>
      </c>
      <c r="T68" s="1075" t="s">
        <v>2015</v>
      </c>
      <c r="U68" s="1041" t="s">
        <v>4992</v>
      </c>
      <c r="V68" s="1078" t="s">
        <v>1954</v>
      </c>
      <c r="W68" s="1079">
        <f t="shared" si="0"/>
        <v>8.7370000000000001</v>
      </c>
      <c r="X68" s="1116">
        <v>8.7370000000000001</v>
      </c>
      <c r="Y68" s="1117"/>
      <c r="Z68" s="1082" t="s">
        <v>4993</v>
      </c>
    </row>
    <row r="69" spans="1:26" ht="82.9" customHeight="1">
      <c r="A69" s="950">
        <v>65</v>
      </c>
      <c r="B69" s="1120"/>
      <c r="C69" s="1128"/>
      <c r="D69" s="1069" t="s">
        <v>4994</v>
      </c>
      <c r="E69" s="1069" t="s">
        <v>4995</v>
      </c>
      <c r="F69" s="951" t="s">
        <v>4996</v>
      </c>
      <c r="G69" s="1069" t="s">
        <v>4997</v>
      </c>
      <c r="H69" s="1069" t="s">
        <v>3068</v>
      </c>
      <c r="I69" s="1071">
        <v>100</v>
      </c>
      <c r="J69" s="1129"/>
      <c r="K69" s="1130"/>
      <c r="L69" s="1110">
        <v>100</v>
      </c>
      <c r="M69" s="1131"/>
      <c r="N69" s="1075"/>
      <c r="O69" s="1076"/>
      <c r="P69" s="1077" t="s">
        <v>105</v>
      </c>
      <c r="Q69" s="1121"/>
      <c r="R69" s="1069" t="s">
        <v>4998</v>
      </c>
      <c r="S69" s="1069" t="s">
        <v>82</v>
      </c>
      <c r="T69" s="1075" t="s">
        <v>2015</v>
      </c>
      <c r="U69" s="1041" t="s">
        <v>4999</v>
      </c>
      <c r="V69" s="1078" t="s">
        <v>1954</v>
      </c>
      <c r="W69" s="1079">
        <f t="shared" si="0"/>
        <v>19.866</v>
      </c>
      <c r="X69" s="1087">
        <v>19.866</v>
      </c>
      <c r="Y69" s="1088"/>
      <c r="Z69" s="1082" t="s">
        <v>5000</v>
      </c>
    </row>
    <row r="70" spans="1:26" ht="34.15" customHeight="1">
      <c r="A70" s="950">
        <v>66</v>
      </c>
      <c r="B70" s="1120"/>
      <c r="C70" s="1128"/>
      <c r="D70" s="1069" t="s">
        <v>5001</v>
      </c>
      <c r="E70" s="1069" t="s">
        <v>5002</v>
      </c>
      <c r="F70" s="951" t="s">
        <v>5003</v>
      </c>
      <c r="G70" s="1069" t="s">
        <v>5004</v>
      </c>
      <c r="H70" s="1069" t="s">
        <v>5005</v>
      </c>
      <c r="I70" s="1071">
        <v>50</v>
      </c>
      <c r="J70" s="1129"/>
      <c r="K70" s="1130"/>
      <c r="L70" s="1110">
        <v>50</v>
      </c>
      <c r="M70" s="1131"/>
      <c r="N70" s="1075"/>
      <c r="O70" s="1076"/>
      <c r="P70" s="1077" t="s">
        <v>67</v>
      </c>
      <c r="Q70" s="1121"/>
      <c r="R70" s="1069" t="s">
        <v>5006</v>
      </c>
      <c r="S70" s="1069" t="s">
        <v>82</v>
      </c>
      <c r="T70" s="1075" t="s">
        <v>2015</v>
      </c>
      <c r="U70" s="1041" t="s">
        <v>5007</v>
      </c>
      <c r="V70" s="1078" t="s">
        <v>1954</v>
      </c>
      <c r="W70" s="1079">
        <f t="shared" ref="W70:W110" si="1">X70+Y70</f>
        <v>7.4610000000000003</v>
      </c>
      <c r="X70" s="1087">
        <v>7.4610000000000003</v>
      </c>
      <c r="Y70" s="1088"/>
      <c r="Z70" s="1082" t="s">
        <v>5008</v>
      </c>
    </row>
    <row r="71" spans="1:26" ht="52.15" customHeight="1">
      <c r="A71" s="950">
        <v>67</v>
      </c>
      <c r="B71" s="1120"/>
      <c r="C71" s="1128"/>
      <c r="D71" s="1069" t="s">
        <v>5009</v>
      </c>
      <c r="E71" s="1069" t="s">
        <v>5010</v>
      </c>
      <c r="F71" s="951" t="s">
        <v>5011</v>
      </c>
      <c r="G71" s="1069" t="s">
        <v>5012</v>
      </c>
      <c r="H71" s="1069" t="s">
        <v>3691</v>
      </c>
      <c r="I71" s="1071">
        <v>992</v>
      </c>
      <c r="J71" s="1132">
        <v>92</v>
      </c>
      <c r="K71" s="1130"/>
      <c r="L71" s="1110">
        <v>900</v>
      </c>
      <c r="M71" s="1131"/>
      <c r="N71" s="1075" t="s">
        <v>927</v>
      </c>
      <c r="O71" s="1076" t="s">
        <v>4968</v>
      </c>
      <c r="P71" s="1077" t="s">
        <v>67</v>
      </c>
      <c r="Q71" s="1069" t="s">
        <v>4969</v>
      </c>
      <c r="R71" s="1069" t="s">
        <v>5013</v>
      </c>
      <c r="S71" s="1069" t="s">
        <v>82</v>
      </c>
      <c r="T71" s="1075" t="s">
        <v>2015</v>
      </c>
      <c r="U71" s="1041" t="s">
        <v>5007</v>
      </c>
      <c r="V71" s="1078" t="s">
        <v>1954</v>
      </c>
      <c r="W71" s="1079">
        <f t="shared" si="1"/>
        <v>212.10900000000001</v>
      </c>
      <c r="X71" s="1116">
        <v>211.167</v>
      </c>
      <c r="Y71" s="1117">
        <v>0.94199999999999995</v>
      </c>
      <c r="Z71" s="1082" t="s">
        <v>5014</v>
      </c>
    </row>
    <row r="72" spans="1:26" ht="38.25" customHeight="1">
      <c r="A72" s="950">
        <v>68</v>
      </c>
      <c r="B72" s="1120"/>
      <c r="C72" s="1128"/>
      <c r="D72" s="1069" t="s">
        <v>5015</v>
      </c>
      <c r="E72" s="1069" t="s">
        <v>5016</v>
      </c>
      <c r="F72" s="951" t="s">
        <v>5017</v>
      </c>
      <c r="G72" s="1069" t="s">
        <v>5018</v>
      </c>
      <c r="H72" s="1069" t="s">
        <v>4581</v>
      </c>
      <c r="I72" s="1071">
        <v>40</v>
      </c>
      <c r="J72" s="1129"/>
      <c r="K72" s="1130"/>
      <c r="L72" s="1110">
        <v>40</v>
      </c>
      <c r="M72" s="1131"/>
      <c r="N72" s="1075"/>
      <c r="O72" s="1076"/>
      <c r="P72" s="1077" t="s">
        <v>167</v>
      </c>
      <c r="Q72" s="1121"/>
      <c r="R72" s="1069" t="s">
        <v>5019</v>
      </c>
      <c r="S72" s="1069" t="s">
        <v>82</v>
      </c>
      <c r="T72" s="1075" t="s">
        <v>2015</v>
      </c>
      <c r="U72" s="1041" t="s">
        <v>5020</v>
      </c>
      <c r="V72" s="1115" t="s">
        <v>1954</v>
      </c>
      <c r="W72" s="1079">
        <f t="shared" si="1"/>
        <v>0</v>
      </c>
      <c r="X72" s="1116"/>
      <c r="Y72" s="1117"/>
      <c r="Z72" s="1082" t="s">
        <v>5021</v>
      </c>
    </row>
    <row r="73" spans="1:26" ht="63.6" customHeight="1">
      <c r="A73" s="950">
        <v>69</v>
      </c>
      <c r="B73" s="1120"/>
      <c r="C73" s="1133"/>
      <c r="D73" s="1069" t="s">
        <v>5022</v>
      </c>
      <c r="E73" s="1069" t="s">
        <v>5023</v>
      </c>
      <c r="F73" s="951" t="s">
        <v>5024</v>
      </c>
      <c r="G73" s="1069" t="s">
        <v>5025</v>
      </c>
      <c r="H73" s="1069" t="s">
        <v>2574</v>
      </c>
      <c r="I73" s="1071">
        <v>500</v>
      </c>
      <c r="J73" s="1129"/>
      <c r="K73" s="1130"/>
      <c r="L73" s="1110">
        <v>500</v>
      </c>
      <c r="M73" s="1131"/>
      <c r="N73" s="1075"/>
      <c r="O73" s="1076"/>
      <c r="P73" s="1077" t="s">
        <v>167</v>
      </c>
      <c r="Q73" s="1121"/>
      <c r="R73" s="1069" t="s">
        <v>4697</v>
      </c>
      <c r="S73" s="1069" t="s">
        <v>82</v>
      </c>
      <c r="T73" s="1075" t="s">
        <v>2015</v>
      </c>
      <c r="U73" s="1041" t="s">
        <v>5007</v>
      </c>
      <c r="V73" s="1115" t="s">
        <v>1954</v>
      </c>
      <c r="W73" s="1079">
        <f t="shared" si="1"/>
        <v>77.347999999999999</v>
      </c>
      <c r="X73" s="1116">
        <v>77.347999999999999</v>
      </c>
      <c r="Y73" s="1134"/>
      <c r="Z73" s="1082" t="s">
        <v>5026</v>
      </c>
    </row>
    <row r="74" spans="1:26" ht="64.150000000000006" customHeight="1">
      <c r="A74" s="950">
        <v>70</v>
      </c>
      <c r="B74" s="1120"/>
      <c r="C74" s="1124" t="s">
        <v>5027</v>
      </c>
      <c r="D74" s="1069" t="s">
        <v>5028</v>
      </c>
      <c r="E74" s="1069" t="s">
        <v>5029</v>
      </c>
      <c r="F74" s="951" t="s">
        <v>5030</v>
      </c>
      <c r="G74" s="1069" t="s">
        <v>5031</v>
      </c>
      <c r="H74" s="1069"/>
      <c r="I74" s="1071">
        <v>1200</v>
      </c>
      <c r="J74" s="1129"/>
      <c r="K74" s="1130"/>
      <c r="L74" s="1110">
        <v>1200</v>
      </c>
      <c r="M74" s="1131"/>
      <c r="N74" s="1075"/>
      <c r="O74" s="1076"/>
      <c r="P74" s="1077" t="s">
        <v>167</v>
      </c>
      <c r="Q74" s="1121"/>
      <c r="R74" s="1069" t="s">
        <v>5032</v>
      </c>
      <c r="S74" s="1069" t="s">
        <v>82</v>
      </c>
      <c r="T74" s="1075" t="s">
        <v>2015</v>
      </c>
      <c r="U74" s="1041" t="s">
        <v>84</v>
      </c>
      <c r="V74" s="1115" t="s">
        <v>1047</v>
      </c>
      <c r="W74" s="1079">
        <f t="shared" si="1"/>
        <v>0</v>
      </c>
      <c r="X74" s="1116"/>
      <c r="Y74" s="1134"/>
      <c r="Z74" s="1082" t="s">
        <v>5033</v>
      </c>
    </row>
    <row r="75" spans="1:26" ht="47.45" customHeight="1">
      <c r="A75" s="950">
        <v>71</v>
      </c>
      <c r="B75" s="1120"/>
      <c r="C75" s="1128"/>
      <c r="D75" s="1069" t="s">
        <v>5034</v>
      </c>
      <c r="E75" s="1069" t="s">
        <v>5035</v>
      </c>
      <c r="F75" s="951" t="s">
        <v>5036</v>
      </c>
      <c r="G75" s="1069" t="s">
        <v>5031</v>
      </c>
      <c r="H75" s="1069"/>
      <c r="I75" s="1071">
        <v>600</v>
      </c>
      <c r="J75" s="1129"/>
      <c r="K75" s="1130"/>
      <c r="L75" s="1110">
        <v>600</v>
      </c>
      <c r="M75" s="1131"/>
      <c r="N75" s="1075"/>
      <c r="O75" s="1076"/>
      <c r="P75" s="1077" t="s">
        <v>92</v>
      </c>
      <c r="Q75" s="1121"/>
      <c r="R75" s="1069" t="s">
        <v>3626</v>
      </c>
      <c r="S75" s="1069" t="s">
        <v>82</v>
      </c>
      <c r="T75" s="1075" t="s">
        <v>2015</v>
      </c>
      <c r="U75" s="1041" t="s">
        <v>84</v>
      </c>
      <c r="V75" s="1115" t="s">
        <v>1047</v>
      </c>
      <c r="W75" s="1079">
        <f t="shared" si="1"/>
        <v>0</v>
      </c>
      <c r="X75" s="1116"/>
      <c r="Y75" s="1134"/>
      <c r="Z75" s="1082" t="s">
        <v>5037</v>
      </c>
    </row>
    <row r="76" spans="1:26" ht="38.25" customHeight="1">
      <c r="A76" s="950">
        <v>72</v>
      </c>
      <c r="B76" s="1120"/>
      <c r="C76" s="1128"/>
      <c r="D76" s="1069" t="s">
        <v>5038</v>
      </c>
      <c r="E76" s="1069" t="s">
        <v>4860</v>
      </c>
      <c r="F76" s="951" t="s">
        <v>5039</v>
      </c>
      <c r="G76" s="1069" t="s">
        <v>5040</v>
      </c>
      <c r="H76" s="1069" t="s">
        <v>5041</v>
      </c>
      <c r="I76" s="1071">
        <v>45</v>
      </c>
      <c r="J76" s="1072"/>
      <c r="K76" s="1073"/>
      <c r="L76" s="1110">
        <v>45</v>
      </c>
      <c r="M76" s="1074"/>
      <c r="N76" s="1075"/>
      <c r="O76" s="1076"/>
      <c r="P76" s="1077" t="s">
        <v>167</v>
      </c>
      <c r="Q76" s="1121"/>
      <c r="R76" s="1069" t="s">
        <v>5042</v>
      </c>
      <c r="S76" s="1069" t="s">
        <v>82</v>
      </c>
      <c r="T76" s="1085" t="s">
        <v>5043</v>
      </c>
      <c r="U76" s="1041" t="s">
        <v>84</v>
      </c>
      <c r="V76" s="1078" t="s">
        <v>1047</v>
      </c>
      <c r="W76" s="1079">
        <f t="shared" si="1"/>
        <v>0</v>
      </c>
      <c r="X76" s="1087">
        <v>0</v>
      </c>
      <c r="Y76" s="1088">
        <v>0</v>
      </c>
      <c r="Z76" s="1082" t="s">
        <v>5044</v>
      </c>
    </row>
    <row r="77" spans="1:26" ht="38.25" customHeight="1">
      <c r="A77" s="950">
        <v>73</v>
      </c>
      <c r="B77" s="1120"/>
      <c r="C77" s="1128"/>
      <c r="D77" s="1069" t="s">
        <v>5045</v>
      </c>
      <c r="E77" s="1069" t="s">
        <v>4639</v>
      </c>
      <c r="F77" s="951" t="s">
        <v>5046</v>
      </c>
      <c r="G77" s="1069" t="s">
        <v>5047</v>
      </c>
      <c r="H77" s="1069" t="s">
        <v>5048</v>
      </c>
      <c r="I77" s="1071">
        <v>30</v>
      </c>
      <c r="J77" s="1072"/>
      <c r="K77" s="1073"/>
      <c r="L77" s="1110">
        <v>30</v>
      </c>
      <c r="M77" s="1074"/>
      <c r="N77" s="1075"/>
      <c r="O77" s="1076"/>
      <c r="P77" s="1077" t="s">
        <v>167</v>
      </c>
      <c r="Q77" s="1121"/>
      <c r="R77" s="1069" t="s">
        <v>2964</v>
      </c>
      <c r="S77" s="1069" t="s">
        <v>82</v>
      </c>
      <c r="T77" s="1085" t="s">
        <v>5043</v>
      </c>
      <c r="U77" s="1041" t="s">
        <v>84</v>
      </c>
      <c r="V77" s="1078" t="s">
        <v>1047</v>
      </c>
      <c r="W77" s="1079">
        <f t="shared" si="1"/>
        <v>3</v>
      </c>
      <c r="X77" s="1087">
        <v>3</v>
      </c>
      <c r="Y77" s="1088"/>
      <c r="Z77" s="1082" t="s">
        <v>5049</v>
      </c>
    </row>
    <row r="78" spans="1:26" ht="38.25" customHeight="1">
      <c r="A78" s="950">
        <v>74</v>
      </c>
      <c r="B78" s="1120"/>
      <c r="C78" s="1133"/>
      <c r="D78" s="1069" t="s">
        <v>5050</v>
      </c>
      <c r="E78" s="1069" t="s">
        <v>4652</v>
      </c>
      <c r="F78" s="951" t="s">
        <v>5051</v>
      </c>
      <c r="G78" s="1069" t="s">
        <v>5052</v>
      </c>
      <c r="H78" s="1069" t="s">
        <v>4378</v>
      </c>
      <c r="I78" s="1071">
        <v>20</v>
      </c>
      <c r="J78" s="1072"/>
      <c r="K78" s="1073"/>
      <c r="L78" s="1110">
        <v>20</v>
      </c>
      <c r="M78" s="1074"/>
      <c r="N78" s="1075"/>
      <c r="O78" s="1076"/>
      <c r="P78" s="1077" t="s">
        <v>124</v>
      </c>
      <c r="Q78" s="1121"/>
      <c r="R78" s="1069" t="s">
        <v>5053</v>
      </c>
      <c r="S78" s="1069" t="s">
        <v>82</v>
      </c>
      <c r="T78" s="1085" t="s">
        <v>5043</v>
      </c>
      <c r="U78" s="1041" t="s">
        <v>84</v>
      </c>
      <c r="V78" s="1078" t="s">
        <v>1047</v>
      </c>
      <c r="W78" s="1079">
        <f t="shared" si="1"/>
        <v>5</v>
      </c>
      <c r="X78" s="1087">
        <v>5</v>
      </c>
      <c r="Y78" s="1088"/>
      <c r="Z78" s="1082" t="s">
        <v>5054</v>
      </c>
    </row>
    <row r="79" spans="1:26" ht="62.45" customHeight="1">
      <c r="A79" s="950">
        <v>75</v>
      </c>
      <c r="B79" s="1120"/>
      <c r="C79" s="1089" t="s">
        <v>5055</v>
      </c>
      <c r="D79" s="1069" t="s">
        <v>5056</v>
      </c>
      <c r="E79" s="1069" t="s">
        <v>5057</v>
      </c>
      <c r="F79" s="951" t="s">
        <v>5058</v>
      </c>
      <c r="G79" s="1069" t="s">
        <v>5059</v>
      </c>
      <c r="H79" s="1069" t="s">
        <v>3643</v>
      </c>
      <c r="I79" s="1071">
        <v>1070</v>
      </c>
      <c r="J79" s="1135">
        <v>70</v>
      </c>
      <c r="K79" s="1136"/>
      <c r="L79" s="1136">
        <v>1000</v>
      </c>
      <c r="M79" s="1074"/>
      <c r="N79" s="1075" t="s">
        <v>927</v>
      </c>
      <c r="O79" s="1076" t="s">
        <v>5060</v>
      </c>
      <c r="P79" s="1077" t="s">
        <v>67</v>
      </c>
      <c r="Q79" s="1069" t="s">
        <v>5061</v>
      </c>
      <c r="R79" s="1108" t="s">
        <v>5062</v>
      </c>
      <c r="S79" s="1108" t="s">
        <v>82</v>
      </c>
      <c r="T79" s="1085" t="s">
        <v>929</v>
      </c>
      <c r="U79" s="1041" t="s">
        <v>84</v>
      </c>
      <c r="V79" s="1078" t="s">
        <v>5063</v>
      </c>
      <c r="W79" s="1079">
        <f t="shared" si="1"/>
        <v>261.35000000000002</v>
      </c>
      <c r="X79" s="1087">
        <v>247.8</v>
      </c>
      <c r="Y79" s="1137">
        <v>13.55</v>
      </c>
      <c r="Z79" s="1082" t="s">
        <v>5064</v>
      </c>
    </row>
    <row r="80" spans="1:26" ht="53.45" customHeight="1">
      <c r="A80" s="950">
        <v>76</v>
      </c>
      <c r="B80" s="1120"/>
      <c r="C80" s="1091"/>
      <c r="D80" s="1069" t="s">
        <v>5065</v>
      </c>
      <c r="E80" s="1069" t="s">
        <v>5066</v>
      </c>
      <c r="F80" s="951" t="s">
        <v>5067</v>
      </c>
      <c r="G80" s="1069" t="s">
        <v>5059</v>
      </c>
      <c r="H80" s="1069" t="s">
        <v>958</v>
      </c>
      <c r="I80" s="1071">
        <v>1100</v>
      </c>
      <c r="J80" s="1135"/>
      <c r="K80" s="1136"/>
      <c r="L80" s="1136">
        <v>1100</v>
      </c>
      <c r="M80" s="1074"/>
      <c r="N80" s="1075"/>
      <c r="O80" s="1076"/>
      <c r="P80" s="1113" t="s">
        <v>167</v>
      </c>
      <c r="Q80" s="1121"/>
      <c r="R80" s="1108" t="s">
        <v>2431</v>
      </c>
      <c r="S80" s="1108" t="s">
        <v>82</v>
      </c>
      <c r="T80" s="1075" t="s">
        <v>995</v>
      </c>
      <c r="U80" s="1114" t="s">
        <v>84</v>
      </c>
      <c r="V80" s="1115" t="s">
        <v>1047</v>
      </c>
      <c r="W80" s="1079">
        <f t="shared" si="1"/>
        <v>748</v>
      </c>
      <c r="X80" s="1116">
        <v>718</v>
      </c>
      <c r="Y80" s="1138">
        <v>30</v>
      </c>
      <c r="Z80" s="1082" t="s">
        <v>5068</v>
      </c>
    </row>
    <row r="81" spans="1:26" ht="48" customHeight="1">
      <c r="A81" s="950">
        <v>77</v>
      </c>
      <c r="B81" s="1120"/>
      <c r="C81" s="1091"/>
      <c r="D81" s="1069" t="s">
        <v>5069</v>
      </c>
      <c r="E81" s="1069" t="s">
        <v>4676</v>
      </c>
      <c r="F81" s="951" t="s">
        <v>5070</v>
      </c>
      <c r="G81" s="1069" t="s">
        <v>5071</v>
      </c>
      <c r="H81" s="1069" t="s">
        <v>1015</v>
      </c>
      <c r="I81" s="1071">
        <v>100</v>
      </c>
      <c r="J81" s="1139"/>
      <c r="K81" s="1140"/>
      <c r="L81" s="1140">
        <v>100</v>
      </c>
      <c r="M81" s="1094"/>
      <c r="N81" s="1075"/>
      <c r="O81" s="1076"/>
      <c r="P81" s="1113" t="s">
        <v>105</v>
      </c>
      <c r="Q81" s="1121"/>
      <c r="R81" s="1108" t="s">
        <v>5072</v>
      </c>
      <c r="S81" s="1108" t="s">
        <v>82</v>
      </c>
      <c r="T81" s="1075" t="s">
        <v>5073</v>
      </c>
      <c r="U81" s="1114" t="s">
        <v>84</v>
      </c>
      <c r="V81" s="1115" t="s">
        <v>1047</v>
      </c>
      <c r="W81" s="1079">
        <f t="shared" si="1"/>
        <v>15.05</v>
      </c>
      <c r="X81" s="1116">
        <v>15.05</v>
      </c>
      <c r="Y81" s="1141">
        <v>0</v>
      </c>
      <c r="Z81" s="1082" t="s">
        <v>5074</v>
      </c>
    </row>
    <row r="82" spans="1:26" ht="50.45" customHeight="1">
      <c r="A82" s="950">
        <v>78</v>
      </c>
      <c r="B82" s="1120"/>
      <c r="C82" s="1090"/>
      <c r="D82" s="1069" t="s">
        <v>5075</v>
      </c>
      <c r="E82" s="1069" t="s">
        <v>4670</v>
      </c>
      <c r="F82" s="951" t="s">
        <v>5076</v>
      </c>
      <c r="G82" s="1069" t="s">
        <v>5077</v>
      </c>
      <c r="H82" s="1069" t="s">
        <v>5078</v>
      </c>
      <c r="I82" s="1071">
        <v>100</v>
      </c>
      <c r="J82" s="1135"/>
      <c r="K82" s="1136"/>
      <c r="L82" s="1136">
        <v>100</v>
      </c>
      <c r="M82" s="1074"/>
      <c r="N82" s="1075"/>
      <c r="O82" s="1076"/>
      <c r="P82" s="1077" t="s">
        <v>92</v>
      </c>
      <c r="Q82" s="1121"/>
      <c r="R82" s="1069" t="s">
        <v>5079</v>
      </c>
      <c r="S82" s="1069" t="s">
        <v>82</v>
      </c>
      <c r="T82" s="1085" t="s">
        <v>929</v>
      </c>
      <c r="U82" s="1041" t="s">
        <v>84</v>
      </c>
      <c r="V82" s="1078" t="s">
        <v>1047</v>
      </c>
      <c r="W82" s="1079">
        <f t="shared" si="1"/>
        <v>100.15</v>
      </c>
      <c r="X82" s="1087">
        <v>100.15</v>
      </c>
      <c r="Y82" s="1111">
        <v>0</v>
      </c>
      <c r="Z82" s="1082" t="s">
        <v>5080</v>
      </c>
    </row>
    <row r="83" spans="1:26" ht="102.6" customHeight="1">
      <c r="A83" s="950">
        <v>79</v>
      </c>
      <c r="B83" s="1120"/>
      <c r="C83" s="1089" t="s">
        <v>5081</v>
      </c>
      <c r="D83" s="1069" t="s">
        <v>5082</v>
      </c>
      <c r="E83" s="1142" t="s">
        <v>5083</v>
      </c>
      <c r="F83" s="951" t="s">
        <v>5084</v>
      </c>
      <c r="G83" s="1069" t="s">
        <v>5085</v>
      </c>
      <c r="H83" s="1069" t="s">
        <v>3643</v>
      </c>
      <c r="I83" s="1071">
        <v>580</v>
      </c>
      <c r="J83" s="1072"/>
      <c r="K83" s="1073"/>
      <c r="L83" s="1110">
        <v>580</v>
      </c>
      <c r="M83" s="1074"/>
      <c r="N83" s="1075"/>
      <c r="O83" s="1076"/>
      <c r="P83" s="1077" t="s">
        <v>167</v>
      </c>
      <c r="Q83" s="1121"/>
      <c r="R83" s="1069" t="s">
        <v>5086</v>
      </c>
      <c r="S83" s="1069" t="s">
        <v>82</v>
      </c>
      <c r="T83" s="1085" t="s">
        <v>995</v>
      </c>
      <c r="U83" s="1041" t="s">
        <v>84</v>
      </c>
      <c r="V83" s="1078" t="s">
        <v>1047</v>
      </c>
      <c r="W83" s="1079">
        <f t="shared" si="1"/>
        <v>114</v>
      </c>
      <c r="X83" s="1087">
        <v>113</v>
      </c>
      <c r="Y83" s="1088">
        <v>1</v>
      </c>
      <c r="Z83" s="1082" t="s">
        <v>5087</v>
      </c>
    </row>
    <row r="84" spans="1:26" ht="90.6" customHeight="1">
      <c r="A84" s="950">
        <v>80</v>
      </c>
      <c r="B84" s="1120"/>
      <c r="C84" s="1090"/>
      <c r="D84" s="1069" t="s">
        <v>5088</v>
      </c>
      <c r="E84" s="1142" t="s">
        <v>5089</v>
      </c>
      <c r="F84" s="951" t="s">
        <v>5090</v>
      </c>
      <c r="G84" s="1069" t="s">
        <v>5085</v>
      </c>
      <c r="H84" s="1069" t="s">
        <v>2915</v>
      </c>
      <c r="I84" s="1071">
        <v>350</v>
      </c>
      <c r="J84" s="1072"/>
      <c r="K84" s="1073"/>
      <c r="L84" s="1110">
        <v>350</v>
      </c>
      <c r="M84" s="1074"/>
      <c r="N84" s="1075"/>
      <c r="O84" s="1076"/>
      <c r="P84" s="1077" t="s">
        <v>167</v>
      </c>
      <c r="Q84" s="1121"/>
      <c r="R84" s="1069" t="s">
        <v>5091</v>
      </c>
      <c r="S84" s="1069" t="s">
        <v>82</v>
      </c>
      <c r="T84" s="1085" t="s">
        <v>995</v>
      </c>
      <c r="U84" s="1041" t="s">
        <v>84</v>
      </c>
      <c r="V84" s="1078" t="s">
        <v>1047</v>
      </c>
      <c r="W84" s="1079">
        <f t="shared" si="1"/>
        <v>59.728999999999999</v>
      </c>
      <c r="X84" s="1087">
        <v>58.728999999999999</v>
      </c>
      <c r="Y84" s="1088">
        <v>1</v>
      </c>
      <c r="Z84" s="1082" t="s">
        <v>5092</v>
      </c>
    </row>
    <row r="85" spans="1:26" ht="63" customHeight="1">
      <c r="A85" s="950">
        <v>81</v>
      </c>
      <c r="B85" s="1120"/>
      <c r="C85" s="1089" t="s">
        <v>5093</v>
      </c>
      <c r="D85" s="1069" t="s">
        <v>5094</v>
      </c>
      <c r="E85" s="1069" t="s">
        <v>5095</v>
      </c>
      <c r="F85" s="951" t="s">
        <v>5096</v>
      </c>
      <c r="G85" s="1069" t="s">
        <v>5097</v>
      </c>
      <c r="H85" s="1069" t="s">
        <v>3418</v>
      </c>
      <c r="I85" s="1071">
        <v>900</v>
      </c>
      <c r="J85" s="1072"/>
      <c r="K85" s="1073"/>
      <c r="L85" s="1110">
        <v>900</v>
      </c>
      <c r="M85" s="1074"/>
      <c r="N85" s="1075"/>
      <c r="O85" s="1076"/>
      <c r="P85" s="1077" t="s">
        <v>167</v>
      </c>
      <c r="Q85" s="1121"/>
      <c r="R85" s="1069" t="s">
        <v>5098</v>
      </c>
      <c r="S85" s="1069" t="s">
        <v>82</v>
      </c>
      <c r="T85" s="1085" t="s">
        <v>929</v>
      </c>
      <c r="U85" s="1041" t="s">
        <v>84</v>
      </c>
      <c r="V85" s="1078" t="s">
        <v>1047</v>
      </c>
      <c r="W85" s="1079">
        <f t="shared" si="1"/>
        <v>270.238</v>
      </c>
      <c r="X85" s="1087">
        <v>267.238</v>
      </c>
      <c r="Y85" s="1088">
        <v>3</v>
      </c>
      <c r="Z85" s="1082" t="s">
        <v>5099</v>
      </c>
    </row>
    <row r="86" spans="1:26" ht="81.599999999999994" customHeight="1">
      <c r="A86" s="950">
        <v>82</v>
      </c>
      <c r="B86" s="1120"/>
      <c r="C86" s="1091"/>
      <c r="D86" s="1069" t="s">
        <v>5100</v>
      </c>
      <c r="E86" s="1069" t="s">
        <v>5101</v>
      </c>
      <c r="F86" s="951" t="s">
        <v>5102</v>
      </c>
      <c r="G86" s="1069" t="s">
        <v>5097</v>
      </c>
      <c r="H86" s="1069" t="s">
        <v>2876</v>
      </c>
      <c r="I86" s="1071">
        <v>740</v>
      </c>
      <c r="J86" s="1072"/>
      <c r="K86" s="1073"/>
      <c r="L86" s="1110">
        <v>740</v>
      </c>
      <c r="M86" s="1074"/>
      <c r="N86" s="1075"/>
      <c r="O86" s="1076"/>
      <c r="P86" s="1077" t="s">
        <v>167</v>
      </c>
      <c r="Q86" s="1121"/>
      <c r="R86" s="1069" t="s">
        <v>2431</v>
      </c>
      <c r="S86" s="1069" t="s">
        <v>82</v>
      </c>
      <c r="T86" s="1085" t="s">
        <v>929</v>
      </c>
      <c r="U86" s="1041" t="s">
        <v>84</v>
      </c>
      <c r="V86" s="1078" t="s">
        <v>1047</v>
      </c>
      <c r="W86" s="1079">
        <f t="shared" si="1"/>
        <v>215.929</v>
      </c>
      <c r="X86" s="1087">
        <v>209.929</v>
      </c>
      <c r="Y86" s="1088">
        <v>6</v>
      </c>
      <c r="Z86" s="1082" t="s">
        <v>5099</v>
      </c>
    </row>
    <row r="87" spans="1:26" ht="48" customHeight="1">
      <c r="A87" s="950">
        <v>83</v>
      </c>
      <c r="B87" s="1120"/>
      <c r="C87" s="1091"/>
      <c r="D87" s="1069" t="s">
        <v>5103</v>
      </c>
      <c r="E87" s="1069" t="s">
        <v>5104</v>
      </c>
      <c r="F87" s="951" t="s">
        <v>5105</v>
      </c>
      <c r="G87" s="1069" t="s">
        <v>5106</v>
      </c>
      <c r="H87" s="1069" t="s">
        <v>2568</v>
      </c>
      <c r="I87" s="1071">
        <v>66</v>
      </c>
      <c r="J87" s="1072"/>
      <c r="K87" s="1073"/>
      <c r="L87" s="1110">
        <v>60</v>
      </c>
      <c r="M87" s="1074">
        <v>6</v>
      </c>
      <c r="N87" s="1075"/>
      <c r="O87" s="1076"/>
      <c r="P87" s="1077" t="s">
        <v>167</v>
      </c>
      <c r="Q87" s="1121"/>
      <c r="R87" s="1069" t="s">
        <v>5107</v>
      </c>
      <c r="S87" s="1069" t="s">
        <v>82</v>
      </c>
      <c r="T87" s="1085" t="s">
        <v>929</v>
      </c>
      <c r="U87" s="1041" t="s">
        <v>84</v>
      </c>
      <c r="V87" s="1078" t="s">
        <v>1047</v>
      </c>
      <c r="W87" s="1079">
        <f t="shared" si="1"/>
        <v>6</v>
      </c>
      <c r="X87" s="1087">
        <v>6</v>
      </c>
      <c r="Y87" s="1088"/>
      <c r="Z87" s="1082" t="s">
        <v>5108</v>
      </c>
    </row>
    <row r="88" spans="1:26" ht="38.25" customHeight="1">
      <c r="A88" s="950">
        <v>84</v>
      </c>
      <c r="B88" s="1120"/>
      <c r="C88" s="1091"/>
      <c r="D88" s="1069" t="s">
        <v>5109</v>
      </c>
      <c r="E88" s="1069" t="s">
        <v>5110</v>
      </c>
      <c r="F88" s="951" t="s">
        <v>5111</v>
      </c>
      <c r="G88" s="1069" t="s">
        <v>5112</v>
      </c>
      <c r="H88" s="1069" t="s">
        <v>3636</v>
      </c>
      <c r="I88" s="1071">
        <v>50</v>
      </c>
      <c r="J88" s="1072"/>
      <c r="K88" s="1073"/>
      <c r="L88" s="1110">
        <v>50</v>
      </c>
      <c r="M88" s="1074"/>
      <c r="N88" s="1075"/>
      <c r="O88" s="1076"/>
      <c r="P88" s="1077" t="s">
        <v>92</v>
      </c>
      <c r="Q88" s="1121"/>
      <c r="R88" s="1069" t="s">
        <v>5113</v>
      </c>
      <c r="S88" s="1069" t="s">
        <v>82</v>
      </c>
      <c r="T88" s="1085" t="s">
        <v>929</v>
      </c>
      <c r="U88" s="1041" t="s">
        <v>84</v>
      </c>
      <c r="V88" s="1078" t="s">
        <v>1047</v>
      </c>
      <c r="W88" s="1079">
        <f t="shared" si="1"/>
        <v>50</v>
      </c>
      <c r="X88" s="1087">
        <v>49.9</v>
      </c>
      <c r="Y88" s="1088">
        <v>0.1</v>
      </c>
      <c r="Z88" s="1082" t="s">
        <v>5114</v>
      </c>
    </row>
    <row r="89" spans="1:26" ht="38.25" customHeight="1">
      <c r="A89" s="950">
        <v>85</v>
      </c>
      <c r="B89" s="1120"/>
      <c r="C89" s="1090"/>
      <c r="D89" s="1069" t="s">
        <v>5115</v>
      </c>
      <c r="E89" s="1069" t="s">
        <v>5116</v>
      </c>
      <c r="F89" s="951" t="s">
        <v>5117</v>
      </c>
      <c r="G89" s="1069" t="s">
        <v>5118</v>
      </c>
      <c r="H89" s="1069" t="s">
        <v>943</v>
      </c>
      <c r="I89" s="1071">
        <v>50</v>
      </c>
      <c r="J89" s="1072"/>
      <c r="K89" s="1073"/>
      <c r="L89" s="1110">
        <v>50</v>
      </c>
      <c r="M89" s="1074">
        <v>0</v>
      </c>
      <c r="N89" s="1075"/>
      <c r="O89" s="1076"/>
      <c r="P89" s="1077" t="s">
        <v>92</v>
      </c>
      <c r="Q89" s="1121"/>
      <c r="R89" s="1069" t="s">
        <v>5119</v>
      </c>
      <c r="S89" s="1069" t="s">
        <v>82</v>
      </c>
      <c r="T89" s="1085" t="s">
        <v>5120</v>
      </c>
      <c r="U89" s="1041" t="s">
        <v>84</v>
      </c>
      <c r="V89" s="1078" t="s">
        <v>1047</v>
      </c>
      <c r="W89" s="1079">
        <f t="shared" si="1"/>
        <v>1</v>
      </c>
      <c r="X89" s="1087">
        <v>1</v>
      </c>
      <c r="Y89" s="1088"/>
      <c r="Z89" s="1082" t="s">
        <v>5121</v>
      </c>
    </row>
    <row r="90" spans="1:26" ht="60" customHeight="1">
      <c r="A90" s="950">
        <v>86</v>
      </c>
      <c r="B90" s="1120"/>
      <c r="C90" s="1089" t="s">
        <v>5122</v>
      </c>
      <c r="D90" s="1069" t="s">
        <v>5123</v>
      </c>
      <c r="E90" s="1069" t="s">
        <v>5124</v>
      </c>
      <c r="F90" s="951" t="s">
        <v>5125</v>
      </c>
      <c r="G90" s="1069" t="s">
        <v>5126</v>
      </c>
      <c r="H90" s="1069" t="s">
        <v>2453</v>
      </c>
      <c r="I90" s="1071">
        <v>133</v>
      </c>
      <c r="J90" s="1072"/>
      <c r="K90" s="1073"/>
      <c r="L90" s="1110">
        <v>63</v>
      </c>
      <c r="M90" s="1074">
        <v>70</v>
      </c>
      <c r="N90" s="1075"/>
      <c r="O90" s="1076"/>
      <c r="P90" s="1077" t="s">
        <v>92</v>
      </c>
      <c r="Q90" s="1121"/>
      <c r="R90" s="1069" t="s">
        <v>5127</v>
      </c>
      <c r="S90" s="1069" t="s">
        <v>82</v>
      </c>
      <c r="T90" s="1085" t="s">
        <v>929</v>
      </c>
      <c r="U90" s="1041" t="s">
        <v>84</v>
      </c>
      <c r="V90" s="1078" t="s">
        <v>945</v>
      </c>
      <c r="W90" s="1079">
        <f t="shared" si="1"/>
        <v>44.76</v>
      </c>
      <c r="X90" s="1087">
        <v>44.46</v>
      </c>
      <c r="Y90" s="1088">
        <v>0.3</v>
      </c>
      <c r="Z90" s="1082" t="s">
        <v>5128</v>
      </c>
    </row>
    <row r="91" spans="1:26" ht="85.15" customHeight="1">
      <c r="A91" s="950">
        <v>87</v>
      </c>
      <c r="B91" s="1120"/>
      <c r="C91" s="1091"/>
      <c r="D91" s="1069" t="s">
        <v>5129</v>
      </c>
      <c r="E91" s="1069" t="s">
        <v>5130</v>
      </c>
      <c r="F91" s="951" t="s">
        <v>5131</v>
      </c>
      <c r="G91" s="1069" t="s">
        <v>5132</v>
      </c>
      <c r="H91" s="1069" t="s">
        <v>1959</v>
      </c>
      <c r="I91" s="1071">
        <v>70</v>
      </c>
      <c r="J91" s="1072"/>
      <c r="K91" s="1073"/>
      <c r="L91" s="1110">
        <v>50</v>
      </c>
      <c r="M91" s="1074">
        <v>20</v>
      </c>
      <c r="N91" s="1075"/>
      <c r="O91" s="1076"/>
      <c r="P91" s="1077" t="s">
        <v>167</v>
      </c>
      <c r="Q91" s="1121"/>
      <c r="R91" s="1069" t="s">
        <v>4324</v>
      </c>
      <c r="S91" s="1069" t="s">
        <v>82</v>
      </c>
      <c r="T91" s="1085" t="s">
        <v>929</v>
      </c>
      <c r="U91" s="1041" t="s">
        <v>84</v>
      </c>
      <c r="V91" s="1078" t="s">
        <v>945</v>
      </c>
      <c r="W91" s="1079">
        <f t="shared" si="1"/>
        <v>30</v>
      </c>
      <c r="X91" s="1087">
        <v>30</v>
      </c>
      <c r="Y91" s="1088"/>
      <c r="Z91" s="1082" t="s">
        <v>5133</v>
      </c>
    </row>
    <row r="92" spans="1:26" ht="57" customHeight="1">
      <c r="A92" s="950">
        <v>88</v>
      </c>
      <c r="B92" s="1120"/>
      <c r="C92" s="1091"/>
      <c r="D92" s="1069" t="s">
        <v>5134</v>
      </c>
      <c r="E92" s="1069" t="s">
        <v>5135</v>
      </c>
      <c r="F92" s="951" t="s">
        <v>5136</v>
      </c>
      <c r="G92" s="1069" t="s">
        <v>5137</v>
      </c>
      <c r="H92" s="1069" t="s">
        <v>5138</v>
      </c>
      <c r="I92" s="1071">
        <v>402</v>
      </c>
      <c r="J92" s="1072"/>
      <c r="K92" s="1073"/>
      <c r="L92" s="1110">
        <v>202</v>
      </c>
      <c r="M92" s="1074">
        <v>200</v>
      </c>
      <c r="N92" s="1075"/>
      <c r="O92" s="1076"/>
      <c r="P92" s="1077" t="s">
        <v>67</v>
      </c>
      <c r="Q92" s="1121"/>
      <c r="R92" s="1069" t="s">
        <v>5139</v>
      </c>
      <c r="S92" s="1069" t="s">
        <v>82</v>
      </c>
      <c r="T92" s="1085" t="s">
        <v>5140</v>
      </c>
      <c r="U92" s="1041" t="s">
        <v>3627</v>
      </c>
      <c r="V92" s="1078" t="s">
        <v>945</v>
      </c>
      <c r="W92" s="1079">
        <f t="shared" si="1"/>
        <v>100.23</v>
      </c>
      <c r="X92" s="1087">
        <v>100.23</v>
      </c>
      <c r="Y92" s="1088"/>
      <c r="Z92" s="1082" t="s">
        <v>5141</v>
      </c>
    </row>
    <row r="93" spans="1:26" ht="87.6" customHeight="1">
      <c r="A93" s="950">
        <v>89</v>
      </c>
      <c r="B93" s="1120"/>
      <c r="C93" s="1091"/>
      <c r="D93" s="1069" t="s">
        <v>5142</v>
      </c>
      <c r="E93" s="1069" t="s">
        <v>5143</v>
      </c>
      <c r="F93" s="951" t="s">
        <v>5144</v>
      </c>
      <c r="G93" s="1069" t="s">
        <v>5145</v>
      </c>
      <c r="H93" s="1069" t="s">
        <v>5146</v>
      </c>
      <c r="I93" s="1071">
        <v>80</v>
      </c>
      <c r="J93" s="1072"/>
      <c r="K93" s="1073"/>
      <c r="L93" s="1110">
        <v>60</v>
      </c>
      <c r="M93" s="1074">
        <v>20</v>
      </c>
      <c r="N93" s="1075"/>
      <c r="O93" s="1076"/>
      <c r="P93" s="1077" t="s">
        <v>167</v>
      </c>
      <c r="Q93" s="1121"/>
      <c r="R93" s="1069" t="s">
        <v>5147</v>
      </c>
      <c r="S93" s="1069" t="s">
        <v>82</v>
      </c>
      <c r="T93" s="1085" t="s">
        <v>929</v>
      </c>
      <c r="U93" s="1041" t="s">
        <v>84</v>
      </c>
      <c r="V93" s="1078" t="s">
        <v>945</v>
      </c>
      <c r="W93" s="1079">
        <f t="shared" si="1"/>
        <v>15</v>
      </c>
      <c r="X93" s="1087">
        <v>14.85</v>
      </c>
      <c r="Y93" s="1088">
        <v>0.15</v>
      </c>
      <c r="Z93" s="1082" t="s">
        <v>5148</v>
      </c>
    </row>
    <row r="94" spans="1:26" ht="99.6" customHeight="1">
      <c r="A94" s="950">
        <v>90</v>
      </c>
      <c r="B94" s="1120"/>
      <c r="C94" s="1091"/>
      <c r="D94" s="1069" t="s">
        <v>5149</v>
      </c>
      <c r="E94" s="1069" t="s">
        <v>5150</v>
      </c>
      <c r="F94" s="951" t="s">
        <v>5151</v>
      </c>
      <c r="G94" s="1069" t="s">
        <v>5152</v>
      </c>
      <c r="H94" s="1069" t="s">
        <v>1022</v>
      </c>
      <c r="I94" s="1071">
        <v>398</v>
      </c>
      <c r="J94" s="1072"/>
      <c r="K94" s="1073">
        <v>40</v>
      </c>
      <c r="L94" s="1110">
        <v>280</v>
      </c>
      <c r="M94" s="1074">
        <v>78</v>
      </c>
      <c r="N94" s="1075" t="s">
        <v>4749</v>
      </c>
      <c r="O94" s="1076" t="s">
        <v>4749</v>
      </c>
      <c r="P94" s="1077" t="s">
        <v>167</v>
      </c>
      <c r="Q94" s="1121"/>
      <c r="R94" s="1069" t="s">
        <v>5153</v>
      </c>
      <c r="S94" s="1069" t="s">
        <v>82</v>
      </c>
      <c r="T94" s="1085" t="s">
        <v>929</v>
      </c>
      <c r="U94" s="1041" t="s">
        <v>84</v>
      </c>
      <c r="V94" s="1078" t="s">
        <v>945</v>
      </c>
      <c r="W94" s="1079">
        <f t="shared" si="1"/>
        <v>350.49299999999999</v>
      </c>
      <c r="X94" s="1087">
        <v>350.25200000000001</v>
      </c>
      <c r="Y94" s="1088">
        <v>0.24099999999999999</v>
      </c>
      <c r="Z94" s="1082" t="s">
        <v>5154</v>
      </c>
    </row>
    <row r="95" spans="1:26" ht="85.9" customHeight="1">
      <c r="A95" s="950">
        <v>91</v>
      </c>
      <c r="B95" s="1120"/>
      <c r="C95" s="1090"/>
      <c r="D95" s="1069" t="s">
        <v>5155</v>
      </c>
      <c r="E95" s="1069" t="s">
        <v>4676</v>
      </c>
      <c r="F95" s="951" t="s">
        <v>5156</v>
      </c>
      <c r="G95" s="1069" t="s">
        <v>5157</v>
      </c>
      <c r="H95" s="1069" t="s">
        <v>3009</v>
      </c>
      <c r="I95" s="1071">
        <v>104</v>
      </c>
      <c r="J95" s="1072"/>
      <c r="K95" s="1073"/>
      <c r="L95" s="1110">
        <v>54</v>
      </c>
      <c r="M95" s="1074">
        <v>50</v>
      </c>
      <c r="N95" s="1075"/>
      <c r="O95" s="1076"/>
      <c r="P95" s="1077" t="s">
        <v>167</v>
      </c>
      <c r="Q95" s="1121"/>
      <c r="R95" s="1069" t="s">
        <v>979</v>
      </c>
      <c r="S95" s="1069" t="s">
        <v>82</v>
      </c>
      <c r="T95" s="1085" t="s">
        <v>929</v>
      </c>
      <c r="U95" s="1041" t="s">
        <v>84</v>
      </c>
      <c r="V95" s="1078" t="s">
        <v>945</v>
      </c>
      <c r="W95" s="1079">
        <f t="shared" si="1"/>
        <v>20</v>
      </c>
      <c r="X95" s="1087">
        <v>20</v>
      </c>
      <c r="Y95" s="1088"/>
      <c r="Z95" s="1082" t="s">
        <v>5158</v>
      </c>
    </row>
    <row r="96" spans="1:26" ht="48.6" customHeight="1">
      <c r="A96" s="950">
        <v>92</v>
      </c>
      <c r="B96" s="1120"/>
      <c r="C96" s="1143" t="s">
        <v>5159</v>
      </c>
      <c r="D96" s="1144" t="s">
        <v>5160</v>
      </c>
      <c r="E96" s="1145" t="s">
        <v>5161</v>
      </c>
      <c r="F96" s="1146" t="s">
        <v>5162</v>
      </c>
      <c r="G96" s="1145" t="s">
        <v>5163</v>
      </c>
      <c r="H96" s="1145" t="s">
        <v>1015</v>
      </c>
      <c r="I96" s="1071">
        <v>290</v>
      </c>
      <c r="J96" s="1147"/>
      <c r="K96" s="1148"/>
      <c r="L96" s="1149">
        <v>290</v>
      </c>
      <c r="M96" s="1150"/>
      <c r="N96" s="1151"/>
      <c r="O96" s="1076"/>
      <c r="P96" s="1152" t="s">
        <v>167</v>
      </c>
      <c r="Q96" s="1121"/>
      <c r="R96" s="1145" t="s">
        <v>5164</v>
      </c>
      <c r="S96" s="1145" t="s">
        <v>82</v>
      </c>
      <c r="T96" s="1153" t="s">
        <v>5165</v>
      </c>
      <c r="U96" s="1041" t="s">
        <v>84</v>
      </c>
      <c r="V96" s="1154" t="s">
        <v>1047</v>
      </c>
      <c r="W96" s="1079">
        <f t="shared" si="1"/>
        <v>933.69299999999998</v>
      </c>
      <c r="X96" s="1155">
        <v>933.69299999999998</v>
      </c>
      <c r="Y96" s="1156">
        <v>0</v>
      </c>
      <c r="Z96" s="1157" t="s">
        <v>5166</v>
      </c>
    </row>
    <row r="97" spans="1:26" ht="38.25" customHeight="1">
      <c r="A97" s="950">
        <v>93</v>
      </c>
      <c r="B97" s="1120"/>
      <c r="C97" s="1158"/>
      <c r="D97" s="1145" t="s">
        <v>5167</v>
      </c>
      <c r="E97" s="1145" t="s">
        <v>4700</v>
      </c>
      <c r="F97" s="1146" t="s">
        <v>5168</v>
      </c>
      <c r="G97" s="1145" t="s">
        <v>5169</v>
      </c>
      <c r="H97" s="1145" t="s">
        <v>3418</v>
      </c>
      <c r="I97" s="1071">
        <v>280</v>
      </c>
      <c r="J97" s="1147"/>
      <c r="K97" s="1148"/>
      <c r="L97" s="1149">
        <v>280</v>
      </c>
      <c r="M97" s="1150"/>
      <c r="N97" s="1151"/>
      <c r="O97" s="1159"/>
      <c r="P97" s="1160" t="s">
        <v>909</v>
      </c>
      <c r="Q97" s="1121"/>
      <c r="R97" s="1161" t="s">
        <v>5170</v>
      </c>
      <c r="S97" s="1145" t="s">
        <v>82</v>
      </c>
      <c r="T97" s="1153" t="s">
        <v>5165</v>
      </c>
      <c r="U97" s="1041" t="s">
        <v>84</v>
      </c>
      <c r="V97" s="1154" t="s">
        <v>1047</v>
      </c>
      <c r="W97" s="1079">
        <f t="shared" si="1"/>
        <v>28.44</v>
      </c>
      <c r="X97" s="1155">
        <v>28.44</v>
      </c>
      <c r="Y97" s="1156">
        <v>0</v>
      </c>
      <c r="Z97" s="1157" t="s">
        <v>5171</v>
      </c>
    </row>
    <row r="98" spans="1:26" ht="38.25" customHeight="1">
      <c r="A98" s="950">
        <v>94</v>
      </c>
      <c r="B98" s="1120"/>
      <c r="C98" s="1158"/>
      <c r="D98" s="1145" t="s">
        <v>5172</v>
      </c>
      <c r="E98" s="1145" t="s">
        <v>5173</v>
      </c>
      <c r="F98" s="1162" t="s">
        <v>5174</v>
      </c>
      <c r="G98" s="1145" t="s">
        <v>5169</v>
      </c>
      <c r="H98" s="1145" t="s">
        <v>2370</v>
      </c>
      <c r="I98" s="1071">
        <v>180</v>
      </c>
      <c r="J98" s="1163"/>
      <c r="K98" s="1164"/>
      <c r="L98" s="1165">
        <v>180</v>
      </c>
      <c r="M98" s="1166"/>
      <c r="N98" s="1151"/>
      <c r="O98" s="1159"/>
      <c r="P98" s="1160" t="s">
        <v>167</v>
      </c>
      <c r="Q98" s="1121"/>
      <c r="R98" s="1161" t="s">
        <v>5175</v>
      </c>
      <c r="S98" s="1145" t="s">
        <v>82</v>
      </c>
      <c r="T98" s="1153" t="s">
        <v>5165</v>
      </c>
      <c r="U98" s="1041" t="s">
        <v>84</v>
      </c>
      <c r="V98" s="1154" t="s">
        <v>1047</v>
      </c>
      <c r="W98" s="1079">
        <f t="shared" si="1"/>
        <v>239</v>
      </c>
      <c r="X98" s="1155">
        <v>239</v>
      </c>
      <c r="Y98" s="1156">
        <v>0</v>
      </c>
      <c r="Z98" s="1157" t="s">
        <v>5176</v>
      </c>
    </row>
    <row r="99" spans="1:26" ht="38.25" customHeight="1">
      <c r="A99" s="950">
        <v>95</v>
      </c>
      <c r="B99" s="1120"/>
      <c r="C99" s="1158"/>
      <c r="D99" s="1145" t="s">
        <v>5177</v>
      </c>
      <c r="E99" s="1145" t="s">
        <v>4860</v>
      </c>
      <c r="F99" s="1162" t="s">
        <v>5178</v>
      </c>
      <c r="G99" s="1145" t="s">
        <v>5179</v>
      </c>
      <c r="H99" s="1145" t="s">
        <v>2698</v>
      </c>
      <c r="I99" s="1071">
        <v>20</v>
      </c>
      <c r="J99" s="1163"/>
      <c r="K99" s="1164"/>
      <c r="L99" s="1165">
        <v>20</v>
      </c>
      <c r="M99" s="1166"/>
      <c r="N99" s="1151"/>
      <c r="O99" s="1159"/>
      <c r="P99" s="1160" t="s">
        <v>92</v>
      </c>
      <c r="Q99" s="1121"/>
      <c r="R99" s="1161" t="s">
        <v>5180</v>
      </c>
      <c r="S99" s="1145" t="s">
        <v>82</v>
      </c>
      <c r="T99" s="1153" t="s">
        <v>5181</v>
      </c>
      <c r="U99" s="1041" t="s">
        <v>84</v>
      </c>
      <c r="V99" s="1154" t="s">
        <v>1047</v>
      </c>
      <c r="W99" s="1079">
        <f t="shared" si="1"/>
        <v>0</v>
      </c>
      <c r="X99" s="1155">
        <v>0</v>
      </c>
      <c r="Y99" s="1156">
        <v>0</v>
      </c>
      <c r="Z99" s="1157" t="s">
        <v>5182</v>
      </c>
    </row>
    <row r="100" spans="1:26" ht="38.25" customHeight="1">
      <c r="A100" s="950">
        <v>96</v>
      </c>
      <c r="B100" s="1120"/>
      <c r="C100" s="1158"/>
      <c r="D100" s="1145" t="s">
        <v>5183</v>
      </c>
      <c r="E100" s="1145" t="s">
        <v>4670</v>
      </c>
      <c r="F100" s="1162" t="s">
        <v>5184</v>
      </c>
      <c r="G100" s="1145" t="s">
        <v>5185</v>
      </c>
      <c r="H100" s="1145" t="s">
        <v>828</v>
      </c>
      <c r="I100" s="1071">
        <v>60</v>
      </c>
      <c r="J100" s="1147"/>
      <c r="K100" s="1148"/>
      <c r="L100" s="1149">
        <v>60</v>
      </c>
      <c r="M100" s="1150"/>
      <c r="N100" s="1151"/>
      <c r="O100" s="1159"/>
      <c r="P100" s="1160" t="s">
        <v>167</v>
      </c>
      <c r="Q100" s="1121"/>
      <c r="R100" s="1161" t="s">
        <v>5186</v>
      </c>
      <c r="S100" s="1145" t="s">
        <v>82</v>
      </c>
      <c r="T100" s="1153" t="s">
        <v>5165</v>
      </c>
      <c r="U100" s="1041" t="s">
        <v>84</v>
      </c>
      <c r="V100" s="1154" t="s">
        <v>3183</v>
      </c>
      <c r="W100" s="1079">
        <f t="shared" si="1"/>
        <v>6.1</v>
      </c>
      <c r="X100" s="1155">
        <v>6.1</v>
      </c>
      <c r="Y100" s="1156">
        <v>0</v>
      </c>
      <c r="Z100" s="1157" t="s">
        <v>5187</v>
      </c>
    </row>
    <row r="101" spans="1:26" ht="38.25" customHeight="1">
      <c r="A101" s="950">
        <v>97</v>
      </c>
      <c r="B101" s="1120"/>
      <c r="C101" s="1167"/>
      <c r="D101" s="1145" t="s">
        <v>5188</v>
      </c>
      <c r="E101" s="1145" t="s">
        <v>4639</v>
      </c>
      <c r="F101" s="1168" t="s">
        <v>5189</v>
      </c>
      <c r="G101" s="1145" t="s">
        <v>5190</v>
      </c>
      <c r="H101" s="1145" t="s">
        <v>1015</v>
      </c>
      <c r="I101" s="1169">
        <v>30</v>
      </c>
      <c r="J101" s="1170"/>
      <c r="K101" s="1171"/>
      <c r="L101" s="1172">
        <v>30</v>
      </c>
      <c r="M101" s="1150"/>
      <c r="N101" s="1151"/>
      <c r="O101" s="1159"/>
      <c r="P101" s="1160" t="s">
        <v>167</v>
      </c>
      <c r="Q101" s="1121"/>
      <c r="R101" s="1161" t="s">
        <v>2492</v>
      </c>
      <c r="S101" s="1161" t="s">
        <v>82</v>
      </c>
      <c r="T101" s="1173" t="s">
        <v>2518</v>
      </c>
      <c r="U101" s="1041" t="s">
        <v>84</v>
      </c>
      <c r="V101" s="1154" t="s">
        <v>1047</v>
      </c>
      <c r="W101" s="1079">
        <f t="shared" si="1"/>
        <v>2.5</v>
      </c>
      <c r="X101" s="1155">
        <v>2.5</v>
      </c>
      <c r="Y101" s="1174">
        <v>0</v>
      </c>
      <c r="Z101" s="1175" t="s">
        <v>5191</v>
      </c>
    </row>
    <row r="102" spans="1:26" ht="60" customHeight="1">
      <c r="A102" s="950">
        <v>98</v>
      </c>
      <c r="B102" s="1120"/>
      <c r="C102" s="1089" t="s">
        <v>5192</v>
      </c>
      <c r="D102" s="1069" t="s">
        <v>5193</v>
      </c>
      <c r="E102" s="1069" t="s">
        <v>5194</v>
      </c>
      <c r="F102" s="951" t="s">
        <v>5195</v>
      </c>
      <c r="G102" s="1041" t="s">
        <v>5196</v>
      </c>
      <c r="H102" s="1069" t="s">
        <v>5048</v>
      </c>
      <c r="I102" s="1071">
        <v>750</v>
      </c>
      <c r="J102" s="1072"/>
      <c r="K102" s="1073"/>
      <c r="L102" s="1110">
        <v>750</v>
      </c>
      <c r="M102" s="1074"/>
      <c r="N102" s="1075"/>
      <c r="O102" s="1076"/>
      <c r="P102" s="1113" t="s">
        <v>92</v>
      </c>
      <c r="Q102" s="1121"/>
      <c r="R102" s="1108" t="s">
        <v>5197</v>
      </c>
      <c r="S102" s="1108" t="s">
        <v>82</v>
      </c>
      <c r="T102" s="1176" t="s">
        <v>929</v>
      </c>
      <c r="U102" s="1114" t="s">
        <v>84</v>
      </c>
      <c r="V102" s="1115" t="s">
        <v>1064</v>
      </c>
      <c r="W102" s="1079">
        <f t="shared" si="1"/>
        <v>51</v>
      </c>
      <c r="X102" s="1087">
        <v>51</v>
      </c>
      <c r="Y102" s="1111"/>
      <c r="Z102" s="1082" t="s">
        <v>5198</v>
      </c>
    </row>
    <row r="103" spans="1:26" ht="45.6" customHeight="1">
      <c r="A103" s="950">
        <v>99</v>
      </c>
      <c r="B103" s="1120"/>
      <c r="C103" s="1091"/>
      <c r="D103" s="1069" t="s">
        <v>5199</v>
      </c>
      <c r="E103" s="1069" t="s">
        <v>5200</v>
      </c>
      <c r="F103" s="951" t="s">
        <v>5201</v>
      </c>
      <c r="G103" s="1041" t="s">
        <v>5202</v>
      </c>
      <c r="H103" s="1096" t="s">
        <v>3036</v>
      </c>
      <c r="I103" s="1071">
        <v>260</v>
      </c>
      <c r="J103" s="1092"/>
      <c r="K103" s="1093">
        <v>10</v>
      </c>
      <c r="L103" s="1112">
        <v>250</v>
      </c>
      <c r="M103" s="1094"/>
      <c r="N103" s="1075" t="s">
        <v>4749</v>
      </c>
      <c r="O103" s="1076" t="s">
        <v>4749</v>
      </c>
      <c r="P103" s="1113" t="s">
        <v>67</v>
      </c>
      <c r="Q103" s="1121"/>
      <c r="R103" s="1108" t="s">
        <v>5203</v>
      </c>
      <c r="S103" s="1108" t="s">
        <v>82</v>
      </c>
      <c r="T103" s="1075" t="s">
        <v>929</v>
      </c>
      <c r="U103" s="1114" t="s">
        <v>84</v>
      </c>
      <c r="V103" s="1115" t="s">
        <v>85</v>
      </c>
      <c r="W103" s="1079">
        <f t="shared" si="1"/>
        <v>83.1</v>
      </c>
      <c r="X103" s="1116">
        <v>83.1</v>
      </c>
      <c r="Y103" s="1141"/>
      <c r="Z103" s="1082" t="s">
        <v>5204</v>
      </c>
    </row>
    <row r="104" spans="1:26" ht="59.45" customHeight="1">
      <c r="A104" s="950">
        <v>100</v>
      </c>
      <c r="B104" s="1120"/>
      <c r="C104" s="1090"/>
      <c r="D104" s="1069" t="s">
        <v>5205</v>
      </c>
      <c r="E104" s="1069" t="s">
        <v>5206</v>
      </c>
      <c r="F104" s="951" t="s">
        <v>5207</v>
      </c>
      <c r="G104" s="1041" t="s">
        <v>5208</v>
      </c>
      <c r="H104" s="1069" t="s">
        <v>5209</v>
      </c>
      <c r="I104" s="1071">
        <v>250</v>
      </c>
      <c r="J104" s="1092"/>
      <c r="K104" s="1093"/>
      <c r="L104" s="1112">
        <v>250</v>
      </c>
      <c r="M104" s="1094"/>
      <c r="N104" s="1075"/>
      <c r="O104" s="1076"/>
      <c r="P104" s="1113" t="s">
        <v>92</v>
      </c>
      <c r="Q104" s="1121"/>
      <c r="R104" s="1108" t="s">
        <v>5197</v>
      </c>
      <c r="S104" s="1108" t="s">
        <v>82</v>
      </c>
      <c r="T104" s="1075" t="s">
        <v>929</v>
      </c>
      <c r="U104" s="1114" t="s">
        <v>84</v>
      </c>
      <c r="V104" s="1115" t="s">
        <v>1064</v>
      </c>
      <c r="W104" s="1079">
        <f t="shared" si="1"/>
        <v>46.472999999999999</v>
      </c>
      <c r="X104" s="1116">
        <v>46.472999999999999</v>
      </c>
      <c r="Y104" s="1141"/>
      <c r="Z104" s="1082" t="s">
        <v>5210</v>
      </c>
    </row>
    <row r="105" spans="1:26" ht="97.9" customHeight="1">
      <c r="A105" s="950">
        <v>101</v>
      </c>
      <c r="B105" s="1120"/>
      <c r="C105" s="1089" t="s">
        <v>5211</v>
      </c>
      <c r="D105" s="1069" t="s">
        <v>5212</v>
      </c>
      <c r="E105" s="1069" t="s">
        <v>5213</v>
      </c>
      <c r="F105" s="951" t="s">
        <v>5214</v>
      </c>
      <c r="G105" s="1069" t="s">
        <v>5215</v>
      </c>
      <c r="H105" s="1069" t="s">
        <v>5216</v>
      </c>
      <c r="I105" s="1071">
        <v>770</v>
      </c>
      <c r="J105" s="1072">
        <v>170</v>
      </c>
      <c r="K105" s="1073"/>
      <c r="L105" s="1110">
        <v>600</v>
      </c>
      <c r="M105" s="1074"/>
      <c r="N105" s="1075" t="s">
        <v>927</v>
      </c>
      <c r="O105" s="1076" t="s">
        <v>5217</v>
      </c>
      <c r="P105" s="1077" t="s">
        <v>167</v>
      </c>
      <c r="Q105" s="1069" t="s">
        <v>5218</v>
      </c>
      <c r="R105" s="1069" t="s">
        <v>5219</v>
      </c>
      <c r="S105" s="1069" t="s">
        <v>82</v>
      </c>
      <c r="T105" s="1085" t="s">
        <v>83</v>
      </c>
      <c r="U105" s="1041" t="s">
        <v>5220</v>
      </c>
      <c r="V105" s="1078" t="s">
        <v>1047</v>
      </c>
      <c r="W105" s="1079">
        <f t="shared" si="1"/>
        <v>529.18999999999994</v>
      </c>
      <c r="X105" s="1087">
        <v>477.33</v>
      </c>
      <c r="Y105" s="1088">
        <v>51.86</v>
      </c>
      <c r="Z105" s="1082" t="s">
        <v>5221</v>
      </c>
    </row>
    <row r="106" spans="1:26" ht="87.6" customHeight="1">
      <c r="A106" s="950">
        <v>102</v>
      </c>
      <c r="B106" s="1120"/>
      <c r="C106" s="1091"/>
      <c r="D106" s="1069" t="s">
        <v>5222</v>
      </c>
      <c r="E106" s="1069" t="s">
        <v>4786</v>
      </c>
      <c r="F106" s="951" t="s">
        <v>5223</v>
      </c>
      <c r="G106" s="1069" t="s">
        <v>5224</v>
      </c>
      <c r="H106" s="1069" t="s">
        <v>5225</v>
      </c>
      <c r="I106" s="1071">
        <v>100</v>
      </c>
      <c r="J106" s="1072"/>
      <c r="K106" s="1073"/>
      <c r="L106" s="1110">
        <v>100</v>
      </c>
      <c r="M106" s="1074"/>
      <c r="N106" s="1075"/>
      <c r="O106" s="1177"/>
      <c r="P106" s="1077" t="s">
        <v>67</v>
      </c>
      <c r="Q106" s="1121"/>
      <c r="R106" s="1069" t="s">
        <v>5226</v>
      </c>
      <c r="S106" s="1069" t="s">
        <v>82</v>
      </c>
      <c r="T106" s="1085" t="s">
        <v>83</v>
      </c>
      <c r="U106" s="1041" t="s">
        <v>5227</v>
      </c>
      <c r="V106" s="1078" t="s">
        <v>1047</v>
      </c>
      <c r="W106" s="1079">
        <f t="shared" si="1"/>
        <v>9.1</v>
      </c>
      <c r="X106" s="1087">
        <v>9.1</v>
      </c>
      <c r="Y106" s="1088">
        <v>0</v>
      </c>
      <c r="Z106" s="1082" t="s">
        <v>5228</v>
      </c>
    </row>
    <row r="107" spans="1:26" ht="48.6" customHeight="1">
      <c r="A107" s="950">
        <v>103</v>
      </c>
      <c r="B107" s="1120"/>
      <c r="C107" s="1091"/>
      <c r="D107" s="1069" t="s">
        <v>5229</v>
      </c>
      <c r="E107" s="1069" t="s">
        <v>5230</v>
      </c>
      <c r="F107" s="951" t="s">
        <v>5231</v>
      </c>
      <c r="G107" s="1069" t="s">
        <v>5232</v>
      </c>
      <c r="H107" s="1069" t="s">
        <v>5225</v>
      </c>
      <c r="I107" s="1071">
        <v>70</v>
      </c>
      <c r="J107" s="1072"/>
      <c r="K107" s="1073"/>
      <c r="L107" s="1110">
        <v>70</v>
      </c>
      <c r="M107" s="1074"/>
      <c r="N107" s="1075"/>
      <c r="O107" s="1177"/>
      <c r="P107" s="1077" t="s">
        <v>92</v>
      </c>
      <c r="Q107" s="1121"/>
      <c r="R107" s="1069" t="s">
        <v>5233</v>
      </c>
      <c r="S107" s="1069" t="s">
        <v>82</v>
      </c>
      <c r="T107" s="1085" t="s">
        <v>1005</v>
      </c>
      <c r="U107" s="1041" t="s">
        <v>84</v>
      </c>
      <c r="V107" s="1078" t="s">
        <v>1047</v>
      </c>
      <c r="W107" s="1079">
        <f t="shared" si="1"/>
        <v>22.318000000000001</v>
      </c>
      <c r="X107" s="1087">
        <v>21.937000000000001</v>
      </c>
      <c r="Y107" s="1088">
        <v>0.38100000000000001</v>
      </c>
      <c r="Z107" s="1082" t="s">
        <v>5234</v>
      </c>
    </row>
    <row r="108" spans="1:26" ht="59.45" customHeight="1">
      <c r="A108" s="950">
        <v>104</v>
      </c>
      <c r="B108" s="1120"/>
      <c r="C108" s="1090"/>
      <c r="D108" s="1069" t="s">
        <v>5235</v>
      </c>
      <c r="E108" s="1069" t="s">
        <v>4676</v>
      </c>
      <c r="F108" s="951" t="s">
        <v>5236</v>
      </c>
      <c r="G108" s="1069" t="s">
        <v>5237</v>
      </c>
      <c r="H108" s="1069" t="s">
        <v>3612</v>
      </c>
      <c r="I108" s="1071">
        <v>100</v>
      </c>
      <c r="J108" s="1072"/>
      <c r="K108" s="1073"/>
      <c r="L108" s="1110">
        <v>30</v>
      </c>
      <c r="M108" s="1074">
        <v>70</v>
      </c>
      <c r="N108" s="1075"/>
      <c r="O108" s="1177"/>
      <c r="P108" s="1077" t="s">
        <v>92</v>
      </c>
      <c r="Q108" s="1121"/>
      <c r="R108" s="1069" t="s">
        <v>1023</v>
      </c>
      <c r="S108" s="1069" t="s">
        <v>82</v>
      </c>
      <c r="T108" s="1085" t="s">
        <v>5238</v>
      </c>
      <c r="U108" s="1041" t="s">
        <v>84</v>
      </c>
      <c r="V108" s="1078" t="s">
        <v>1047</v>
      </c>
      <c r="W108" s="1079">
        <f t="shared" si="1"/>
        <v>10.427</v>
      </c>
      <c r="X108" s="1087">
        <v>10.427</v>
      </c>
      <c r="Y108" s="1088">
        <v>0</v>
      </c>
      <c r="Z108" s="1082" t="s">
        <v>5239</v>
      </c>
    </row>
    <row r="109" spans="1:26" ht="103.15" customHeight="1">
      <c r="A109" s="950">
        <v>105</v>
      </c>
      <c r="B109" s="1120"/>
      <c r="C109" s="1089" t="s">
        <v>5240</v>
      </c>
      <c r="D109" s="1069" t="s">
        <v>5241</v>
      </c>
      <c r="E109" s="1069" t="s">
        <v>5242</v>
      </c>
      <c r="F109" s="951" t="s">
        <v>5243</v>
      </c>
      <c r="G109" s="1069" t="s">
        <v>6323</v>
      </c>
      <c r="H109" s="1069" t="s">
        <v>5244</v>
      </c>
      <c r="I109" s="1071">
        <v>600</v>
      </c>
      <c r="J109" s="1072"/>
      <c r="K109" s="1073">
        <v>200</v>
      </c>
      <c r="L109" s="1110">
        <v>400</v>
      </c>
      <c r="M109" s="1074"/>
      <c r="N109" s="1085" t="s">
        <v>4749</v>
      </c>
      <c r="O109" s="1178" t="s">
        <v>4749</v>
      </c>
      <c r="P109" s="1077" t="s">
        <v>167</v>
      </c>
      <c r="Q109" s="1121"/>
      <c r="R109" s="1069" t="s">
        <v>5245</v>
      </c>
      <c r="S109" s="1069" t="s">
        <v>5246</v>
      </c>
      <c r="T109" s="1085" t="s">
        <v>5240</v>
      </c>
      <c r="U109" s="1041" t="s">
        <v>84</v>
      </c>
      <c r="V109" s="1078" t="s">
        <v>1064</v>
      </c>
      <c r="W109" s="1079">
        <f t="shared" si="1"/>
        <v>0</v>
      </c>
      <c r="X109" s="1087"/>
      <c r="Y109" s="1088"/>
      <c r="Z109" s="1082" t="s">
        <v>5247</v>
      </c>
    </row>
    <row r="110" spans="1:26" ht="75" customHeight="1">
      <c r="A110" s="950">
        <v>106</v>
      </c>
      <c r="B110" s="1120"/>
      <c r="C110" s="1091"/>
      <c r="D110" s="1069" t="s">
        <v>5248</v>
      </c>
      <c r="E110" s="1069" t="s">
        <v>5249</v>
      </c>
      <c r="F110" s="951" t="s">
        <v>5250</v>
      </c>
      <c r="G110" s="1069" t="s">
        <v>6324</v>
      </c>
      <c r="H110" s="1069" t="s">
        <v>2038</v>
      </c>
      <c r="I110" s="1071">
        <v>180</v>
      </c>
      <c r="J110" s="1072"/>
      <c r="K110" s="1073"/>
      <c r="L110" s="1110">
        <v>90</v>
      </c>
      <c r="M110" s="1074">
        <v>90</v>
      </c>
      <c r="N110" s="1075"/>
      <c r="O110" s="1076"/>
      <c r="P110" s="1077" t="s">
        <v>167</v>
      </c>
      <c r="Q110" s="1121"/>
      <c r="R110" s="1069" t="s">
        <v>4733</v>
      </c>
      <c r="S110" s="1069" t="s">
        <v>82</v>
      </c>
      <c r="T110" s="1085" t="s">
        <v>929</v>
      </c>
      <c r="U110" s="1041" t="s">
        <v>84</v>
      </c>
      <c r="V110" s="1078" t="s">
        <v>1064</v>
      </c>
      <c r="W110" s="1079">
        <f t="shared" si="1"/>
        <v>33.387999999999998</v>
      </c>
      <c r="X110" s="1087">
        <v>33.387999999999998</v>
      </c>
      <c r="Y110" s="1088">
        <v>0</v>
      </c>
      <c r="Z110" s="1082" t="s">
        <v>5251</v>
      </c>
    </row>
    <row r="111" spans="1:26" ht="67.900000000000006" customHeight="1" thickBot="1">
      <c r="A111" s="1179">
        <v>107</v>
      </c>
      <c r="B111" s="1180"/>
      <c r="C111" s="1181"/>
      <c r="D111" s="1182" t="s">
        <v>5252</v>
      </c>
      <c r="E111" s="1182" t="s">
        <v>5253</v>
      </c>
      <c r="F111" s="1183" t="s">
        <v>5254</v>
      </c>
      <c r="G111" s="1182" t="s">
        <v>6325</v>
      </c>
      <c r="H111" s="1182" t="s">
        <v>5255</v>
      </c>
      <c r="I111" s="1184">
        <v>63</v>
      </c>
      <c r="J111" s="1185"/>
      <c r="K111" s="1186"/>
      <c r="L111" s="1187">
        <v>56</v>
      </c>
      <c r="M111" s="1188">
        <v>7</v>
      </c>
      <c r="N111" s="1189"/>
      <c r="O111" s="1190"/>
      <c r="P111" s="1191" t="s">
        <v>167</v>
      </c>
      <c r="Q111" s="1192"/>
      <c r="R111" s="1182" t="s">
        <v>3199</v>
      </c>
      <c r="S111" s="1182" t="s">
        <v>82</v>
      </c>
      <c r="T111" s="1193" t="s">
        <v>5256</v>
      </c>
      <c r="U111" s="1194" t="s">
        <v>84</v>
      </c>
      <c r="V111" s="1195" t="s">
        <v>5257</v>
      </c>
      <c r="W111" s="1196">
        <f>SUM(X111+Y111)</f>
        <v>20</v>
      </c>
      <c r="X111" s="1197">
        <v>20</v>
      </c>
      <c r="Y111" s="1198">
        <v>0</v>
      </c>
      <c r="Z111" s="1199" t="s">
        <v>5258</v>
      </c>
    </row>
    <row r="112" spans="1:26" s="1011" customFormat="1">
      <c r="A112" s="1017"/>
      <c r="B112" s="1017"/>
      <c r="C112" s="1017"/>
      <c r="Z112" s="1017"/>
    </row>
    <row r="113" spans="1:26" s="1011" customFormat="1">
      <c r="A113" s="1017"/>
      <c r="B113" s="1017"/>
      <c r="C113" s="1017"/>
      <c r="Z113" s="1017"/>
    </row>
    <row r="114" spans="1:26" s="1011" customFormat="1">
      <c r="A114" s="1017"/>
      <c r="B114" s="1017"/>
      <c r="C114" s="1017"/>
      <c r="Z114" s="1017"/>
    </row>
    <row r="115" spans="1:26" s="1011" customFormat="1">
      <c r="A115" s="1017"/>
      <c r="B115" s="1017"/>
      <c r="C115" s="1017"/>
      <c r="Z115" s="1017"/>
    </row>
  </sheetData>
  <mergeCells count="4">
    <mergeCell ref="A1:Y2"/>
    <mergeCell ref="I3:M3"/>
    <mergeCell ref="N3:O3"/>
    <mergeCell ref="W3:Y3"/>
  </mergeCells>
  <phoneticPr fontId="3" type="noConversion"/>
  <dataValidations count="2">
    <dataValidation type="list" allowBlank="1" showInputMessage="1" showErrorMessage="1" sqref="B5:B111">
      <formula1>#REF!</formula1>
    </dataValidation>
    <dataValidation type="list" allowBlank="1" showInputMessage="1" showErrorMessage="1" sqref="P5:P111 Q106:Q111 Q80:Q104 Q72:Q78 Q65:Q70 Q53:Q63 Q36:Q51 Q5:Q34">
      <formula1>#REF!</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0"/>
  <sheetViews>
    <sheetView workbookViewId="0">
      <selection activeCell="G3" sqref="G1:G1048576"/>
    </sheetView>
  </sheetViews>
  <sheetFormatPr defaultRowHeight="13.5"/>
  <cols>
    <col min="4" max="4" width="16.88671875" customWidth="1"/>
    <col min="5" max="5" width="12.33203125" customWidth="1"/>
    <col min="6" max="6" width="28.44140625" customWidth="1"/>
    <col min="7" max="7" width="24.5546875" customWidth="1"/>
  </cols>
  <sheetData>
    <row r="1" spans="1:25">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row>
    <row r="2" spans="1:25"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row>
    <row r="3" spans="1:25" ht="17.25" thickBot="1">
      <c r="A3" s="1203"/>
      <c r="B3" s="1203"/>
      <c r="C3" s="1203"/>
      <c r="D3" s="1201"/>
      <c r="E3" s="1201"/>
      <c r="F3" s="1201"/>
      <c r="G3" s="1201"/>
      <c r="H3" s="1201"/>
      <c r="I3" s="1612"/>
      <c r="J3" s="1613"/>
      <c r="K3" s="1613"/>
      <c r="L3" s="1613"/>
      <c r="M3" s="1613"/>
      <c r="N3" s="1609" t="s">
        <v>1754</v>
      </c>
      <c r="O3" s="1610"/>
      <c r="P3" s="1228"/>
      <c r="Q3" s="1228"/>
      <c r="R3" s="1234"/>
      <c r="S3" s="1235"/>
      <c r="T3" s="1235"/>
      <c r="U3" s="1235"/>
      <c r="V3" s="1235"/>
      <c r="W3" s="1621" t="s">
        <v>896</v>
      </c>
      <c r="X3" s="1622"/>
      <c r="Y3" s="1623"/>
    </row>
    <row r="4" spans="1:25" ht="57.75" thickBot="1">
      <c r="A4" s="1227" t="s">
        <v>897</v>
      </c>
      <c r="B4" s="1209" t="s">
        <v>898</v>
      </c>
      <c r="C4" s="1225" t="s">
        <v>899</v>
      </c>
      <c r="D4" s="1226" t="s">
        <v>900</v>
      </c>
      <c r="E4" s="1223" t="s">
        <v>901</v>
      </c>
      <c r="F4" s="1226" t="s">
        <v>902</v>
      </c>
      <c r="G4" s="1223" t="s">
        <v>903</v>
      </c>
      <c r="H4" s="1223" t="s">
        <v>904</v>
      </c>
      <c r="I4" s="1224" t="s">
        <v>905</v>
      </c>
      <c r="J4" s="1231" t="s">
        <v>906</v>
      </c>
      <c r="K4" s="1232" t="s">
        <v>907</v>
      </c>
      <c r="L4" s="1232" t="s">
        <v>908</v>
      </c>
      <c r="M4" s="1233" t="s">
        <v>909</v>
      </c>
      <c r="N4" s="1236" t="s">
        <v>910</v>
      </c>
      <c r="O4" s="1233" t="s">
        <v>911</v>
      </c>
      <c r="P4" s="1223" t="s">
        <v>912</v>
      </c>
      <c r="Q4" s="1223" t="s">
        <v>913</v>
      </c>
      <c r="R4" s="1222" t="s">
        <v>914</v>
      </c>
      <c r="S4" s="1221" t="s">
        <v>915</v>
      </c>
      <c r="T4" s="1218" t="s">
        <v>916</v>
      </c>
      <c r="U4" s="1219" t="s">
        <v>917</v>
      </c>
      <c r="V4" s="1220" t="s">
        <v>918</v>
      </c>
      <c r="W4" s="1222" t="s">
        <v>919</v>
      </c>
      <c r="X4" s="1221" t="s">
        <v>920</v>
      </c>
      <c r="Y4" s="1222" t="s">
        <v>921</v>
      </c>
    </row>
    <row r="5" spans="1:25" ht="60" customHeight="1">
      <c r="A5" s="1208">
        <v>1</v>
      </c>
      <c r="B5" s="1206" t="s">
        <v>2604</v>
      </c>
      <c r="C5" s="1207" t="s">
        <v>5259</v>
      </c>
      <c r="D5" s="1211" t="s">
        <v>5260</v>
      </c>
      <c r="E5" s="1214" t="s">
        <v>5261</v>
      </c>
      <c r="F5" s="1215" t="s">
        <v>5262</v>
      </c>
      <c r="G5" s="1214" t="s">
        <v>5263</v>
      </c>
      <c r="H5" s="1216" t="s">
        <v>1038</v>
      </c>
      <c r="I5" s="1217">
        <v>120</v>
      </c>
      <c r="J5" s="1229"/>
      <c r="K5" s="1230">
        <v>50</v>
      </c>
      <c r="L5" s="1230">
        <v>50</v>
      </c>
      <c r="M5" s="1216">
        <v>20</v>
      </c>
      <c r="N5" s="1237" t="s">
        <v>945</v>
      </c>
      <c r="O5" s="1211" t="s">
        <v>945</v>
      </c>
      <c r="P5" s="1217" t="s">
        <v>124</v>
      </c>
      <c r="Q5" s="1205" t="s">
        <v>936</v>
      </c>
      <c r="R5" s="1216" t="s">
        <v>5264</v>
      </c>
      <c r="S5" s="1217" t="s">
        <v>82</v>
      </c>
      <c r="T5" s="1204" t="s">
        <v>5265</v>
      </c>
      <c r="U5" s="1205" t="s">
        <v>84</v>
      </c>
      <c r="V5" s="1216" t="s">
        <v>85</v>
      </c>
      <c r="W5" s="1238">
        <v>20</v>
      </c>
      <c r="X5" s="1214">
        <v>19.899999999999999</v>
      </c>
      <c r="Y5" s="1214">
        <v>0.1</v>
      </c>
    </row>
    <row r="6" spans="1:25" ht="60" customHeight="1">
      <c r="A6" s="1208">
        <v>2</v>
      </c>
      <c r="B6" s="1206" t="s">
        <v>2604</v>
      </c>
      <c r="C6" s="1207" t="s">
        <v>5259</v>
      </c>
      <c r="D6" s="1211" t="s">
        <v>5266</v>
      </c>
      <c r="E6" s="1214" t="s">
        <v>5267</v>
      </c>
      <c r="F6" s="1215" t="s">
        <v>5268</v>
      </c>
      <c r="G6" s="1214" t="s">
        <v>5269</v>
      </c>
      <c r="H6" s="1216" t="s">
        <v>5270</v>
      </c>
      <c r="I6" s="1217">
        <v>295</v>
      </c>
      <c r="J6" s="1229"/>
      <c r="K6" s="1230">
        <v>27</v>
      </c>
      <c r="L6" s="1230">
        <v>268</v>
      </c>
      <c r="M6" s="1216">
        <v>0</v>
      </c>
      <c r="N6" s="1237"/>
      <c r="O6" s="1211"/>
      <c r="P6" s="1217" t="s">
        <v>124</v>
      </c>
      <c r="Q6" s="1211"/>
      <c r="R6" s="1205" t="s">
        <v>2009</v>
      </c>
      <c r="S6" s="1216" t="s">
        <v>82</v>
      </c>
      <c r="T6" s="1217" t="s">
        <v>1103</v>
      </c>
      <c r="U6" s="1204" t="s">
        <v>84</v>
      </c>
      <c r="V6" s="1205" t="s">
        <v>85</v>
      </c>
      <c r="W6" s="1216">
        <v>250</v>
      </c>
      <c r="X6" s="1216">
        <v>250</v>
      </c>
      <c r="Y6" s="1214"/>
    </row>
    <row r="7" spans="1:25" ht="60" customHeight="1">
      <c r="A7" s="1208">
        <v>3</v>
      </c>
      <c r="B7" s="1206" t="s">
        <v>2604</v>
      </c>
      <c r="C7" s="1207" t="s">
        <v>5259</v>
      </c>
      <c r="D7" s="1211" t="s">
        <v>5271</v>
      </c>
      <c r="E7" s="1214" t="s">
        <v>952</v>
      </c>
      <c r="F7" s="1215" t="s">
        <v>5272</v>
      </c>
      <c r="G7" s="1214" t="s">
        <v>5273</v>
      </c>
      <c r="H7" s="1216" t="s">
        <v>5274</v>
      </c>
      <c r="I7" s="1217">
        <v>60</v>
      </c>
      <c r="J7" s="1239"/>
      <c r="K7" s="1240"/>
      <c r="L7" s="1240">
        <v>40</v>
      </c>
      <c r="M7" s="1241">
        <v>20</v>
      </c>
      <c r="N7" s="1237"/>
      <c r="O7" s="1211"/>
      <c r="P7" s="1242" t="s">
        <v>92</v>
      </c>
      <c r="Q7" s="1211" t="s">
        <v>5275</v>
      </c>
      <c r="R7" s="1205" t="s">
        <v>5276</v>
      </c>
      <c r="S7" s="1216" t="s">
        <v>82</v>
      </c>
      <c r="T7" s="1217" t="s">
        <v>5265</v>
      </c>
      <c r="U7" s="1204" t="s">
        <v>84</v>
      </c>
      <c r="V7" s="1205" t="s">
        <v>5277</v>
      </c>
      <c r="W7" s="1216">
        <v>100</v>
      </c>
      <c r="X7" s="1216">
        <v>99.5</v>
      </c>
      <c r="Y7" s="1214">
        <v>0.5</v>
      </c>
    </row>
    <row r="8" spans="1:25" ht="60" customHeight="1">
      <c r="A8" s="1208">
        <v>4</v>
      </c>
      <c r="B8" s="1206" t="s">
        <v>2604</v>
      </c>
      <c r="C8" s="1207" t="s">
        <v>5259</v>
      </c>
      <c r="D8" s="1211" t="s">
        <v>5278</v>
      </c>
      <c r="E8" s="1214" t="s">
        <v>952</v>
      </c>
      <c r="F8" s="1215" t="s">
        <v>5279</v>
      </c>
      <c r="G8" s="1214" t="s">
        <v>5280</v>
      </c>
      <c r="H8" s="1216" t="s">
        <v>5281</v>
      </c>
      <c r="I8" s="1217">
        <v>60</v>
      </c>
      <c r="J8" s="1239"/>
      <c r="K8" s="1240">
        <v>15</v>
      </c>
      <c r="L8" s="1240">
        <v>27</v>
      </c>
      <c r="M8" s="1241">
        <v>18</v>
      </c>
      <c r="N8" s="1237"/>
      <c r="O8" s="1211"/>
      <c r="P8" s="1242" t="s">
        <v>92</v>
      </c>
      <c r="Q8" s="1211" t="s">
        <v>5275</v>
      </c>
      <c r="R8" s="1205" t="s">
        <v>5282</v>
      </c>
      <c r="S8" s="1216" t="s">
        <v>82</v>
      </c>
      <c r="T8" s="1217" t="s">
        <v>5265</v>
      </c>
      <c r="U8" s="1204" t="s">
        <v>84</v>
      </c>
      <c r="V8" s="1205" t="s">
        <v>5277</v>
      </c>
      <c r="W8" s="1216">
        <v>30</v>
      </c>
      <c r="X8" s="1216">
        <v>29.9</v>
      </c>
      <c r="Y8" s="1214">
        <v>0.1</v>
      </c>
    </row>
    <row r="9" spans="1:25" ht="60" customHeight="1">
      <c r="A9" s="1208">
        <v>5</v>
      </c>
      <c r="B9" s="1243" t="s">
        <v>2604</v>
      </c>
      <c r="C9" s="1244" t="s">
        <v>5259</v>
      </c>
      <c r="D9" s="1245" t="s">
        <v>5283</v>
      </c>
      <c r="E9" s="1245" t="s">
        <v>5284</v>
      </c>
      <c r="F9" s="1246" t="s">
        <v>5285</v>
      </c>
      <c r="G9" s="1245" t="s">
        <v>5286</v>
      </c>
      <c r="H9" s="1247" t="s">
        <v>1010</v>
      </c>
      <c r="I9" s="1217">
        <v>1160</v>
      </c>
      <c r="J9" s="1248">
        <v>160</v>
      </c>
      <c r="K9" s="1249">
        <v>300</v>
      </c>
      <c r="L9" s="1249">
        <v>700</v>
      </c>
      <c r="M9" s="1247"/>
      <c r="N9" s="1250" t="s">
        <v>927</v>
      </c>
      <c r="O9" s="1251" t="s">
        <v>5287</v>
      </c>
      <c r="P9" s="1252" t="s">
        <v>5288</v>
      </c>
      <c r="Q9" s="1253" t="s">
        <v>936</v>
      </c>
      <c r="R9" s="1254" t="s">
        <v>5289</v>
      </c>
      <c r="S9" s="1255" t="s">
        <v>82</v>
      </c>
      <c r="T9" s="1256" t="s">
        <v>1103</v>
      </c>
      <c r="U9" s="1257" t="s">
        <v>84</v>
      </c>
      <c r="V9" s="1254" t="s">
        <v>85</v>
      </c>
      <c r="W9" s="1255">
        <v>335</v>
      </c>
      <c r="X9" s="1255">
        <v>335</v>
      </c>
      <c r="Y9" s="1255"/>
    </row>
    <row r="10" spans="1:25" ht="60" customHeight="1">
      <c r="A10" s="1208">
        <v>6</v>
      </c>
      <c r="B10" s="1206" t="s">
        <v>2604</v>
      </c>
      <c r="C10" s="1207" t="s">
        <v>5259</v>
      </c>
      <c r="D10" s="1211" t="s">
        <v>5290</v>
      </c>
      <c r="E10" s="1214" t="s">
        <v>1094</v>
      </c>
      <c r="F10" s="1215" t="s">
        <v>5291</v>
      </c>
      <c r="G10" s="1214" t="s">
        <v>5292</v>
      </c>
      <c r="H10" s="1216" t="s">
        <v>5293</v>
      </c>
      <c r="I10" s="1217">
        <v>500</v>
      </c>
      <c r="J10" s="1229">
        <v>100</v>
      </c>
      <c r="K10" s="1230">
        <v>45</v>
      </c>
      <c r="L10" s="1230">
        <v>355</v>
      </c>
      <c r="M10" s="1216"/>
      <c r="N10" s="1237" t="s">
        <v>927</v>
      </c>
      <c r="O10" s="1212" t="s">
        <v>5294</v>
      </c>
      <c r="P10" s="1217" t="s">
        <v>124</v>
      </c>
      <c r="Q10" s="1211" t="s">
        <v>5275</v>
      </c>
      <c r="R10" s="1205" t="s">
        <v>5295</v>
      </c>
      <c r="S10" s="1216" t="s">
        <v>82</v>
      </c>
      <c r="T10" s="1217" t="s">
        <v>995</v>
      </c>
      <c r="U10" s="1204" t="s">
        <v>84</v>
      </c>
      <c r="V10" s="1205" t="s">
        <v>1047</v>
      </c>
      <c r="W10" s="1216">
        <v>50</v>
      </c>
      <c r="X10" s="1216">
        <v>50</v>
      </c>
      <c r="Y10" s="1214"/>
    </row>
    <row r="11" spans="1:25" ht="60" customHeight="1">
      <c r="A11" s="1208">
        <v>7</v>
      </c>
      <c r="B11" s="1206" t="s">
        <v>2604</v>
      </c>
      <c r="C11" s="1207" t="s">
        <v>5259</v>
      </c>
      <c r="D11" s="1211" t="s">
        <v>5296</v>
      </c>
      <c r="E11" s="1214" t="s">
        <v>3283</v>
      </c>
      <c r="F11" s="1215" t="s">
        <v>5297</v>
      </c>
      <c r="G11" s="1214" t="s">
        <v>5298</v>
      </c>
      <c r="H11" s="1216" t="s">
        <v>5299</v>
      </c>
      <c r="I11" s="1217">
        <v>880</v>
      </c>
      <c r="J11" s="1229">
        <v>70</v>
      </c>
      <c r="K11" s="1230">
        <v>70</v>
      </c>
      <c r="L11" s="1230">
        <v>740</v>
      </c>
      <c r="M11" s="1216">
        <v>0</v>
      </c>
      <c r="N11" s="1237" t="s">
        <v>927</v>
      </c>
      <c r="O11" s="1211" t="s">
        <v>5300</v>
      </c>
      <c r="P11" s="1217" t="s">
        <v>124</v>
      </c>
      <c r="Q11" s="1211" t="s">
        <v>2764</v>
      </c>
      <c r="R11" s="1205" t="s">
        <v>5301</v>
      </c>
      <c r="S11" s="1216" t="s">
        <v>82</v>
      </c>
      <c r="T11" s="1217" t="s">
        <v>1103</v>
      </c>
      <c r="U11" s="1204" t="s">
        <v>84</v>
      </c>
      <c r="V11" s="1205" t="s">
        <v>85</v>
      </c>
      <c r="W11" s="1216">
        <v>331</v>
      </c>
      <c r="X11" s="1216">
        <v>331</v>
      </c>
      <c r="Y11" s="1214"/>
    </row>
    <row r="12" spans="1:25" ht="60" customHeight="1">
      <c r="A12" s="1208">
        <v>8</v>
      </c>
      <c r="B12" s="1206" t="s">
        <v>2604</v>
      </c>
      <c r="C12" s="1207" t="s">
        <v>5259</v>
      </c>
      <c r="D12" s="1211" t="s">
        <v>5302</v>
      </c>
      <c r="E12" s="1214" t="s">
        <v>2840</v>
      </c>
      <c r="F12" s="1215" t="s">
        <v>5303</v>
      </c>
      <c r="G12" s="1214" t="s">
        <v>5304</v>
      </c>
      <c r="H12" s="1216" t="s">
        <v>2727</v>
      </c>
      <c r="I12" s="1217">
        <v>560</v>
      </c>
      <c r="J12" s="1229">
        <v>100</v>
      </c>
      <c r="K12" s="1230">
        <v>45</v>
      </c>
      <c r="L12" s="1230">
        <v>205</v>
      </c>
      <c r="M12" s="1216">
        <v>210</v>
      </c>
      <c r="N12" s="1237" t="s">
        <v>927</v>
      </c>
      <c r="O12" s="1211" t="s">
        <v>5305</v>
      </c>
      <c r="P12" s="1217" t="s">
        <v>67</v>
      </c>
      <c r="Q12" s="1205" t="s">
        <v>936</v>
      </c>
      <c r="R12" s="1216" t="s">
        <v>5306</v>
      </c>
      <c r="S12" s="1217" t="s">
        <v>82</v>
      </c>
      <c r="T12" s="1204" t="s">
        <v>929</v>
      </c>
      <c r="U12" s="1205" t="s">
        <v>84</v>
      </c>
      <c r="V12" s="1216" t="s">
        <v>85</v>
      </c>
      <c r="W12" s="1216">
        <v>15</v>
      </c>
      <c r="X12" s="1214">
        <v>15</v>
      </c>
      <c r="Y12" s="1214"/>
    </row>
    <row r="13" spans="1:25" ht="60" customHeight="1">
      <c r="A13" s="1208">
        <v>9</v>
      </c>
      <c r="B13" s="1206" t="s">
        <v>2604</v>
      </c>
      <c r="C13" s="1207" t="s">
        <v>5259</v>
      </c>
      <c r="D13" s="1211" t="s">
        <v>5307</v>
      </c>
      <c r="E13" s="1214" t="s">
        <v>3602</v>
      </c>
      <c r="F13" s="1215" t="s">
        <v>5308</v>
      </c>
      <c r="G13" s="1214" t="s">
        <v>5309</v>
      </c>
      <c r="H13" s="1216" t="s">
        <v>5310</v>
      </c>
      <c r="I13" s="1217">
        <v>95</v>
      </c>
      <c r="J13" s="1229"/>
      <c r="K13" s="1230">
        <v>30</v>
      </c>
      <c r="L13" s="1230">
        <v>50</v>
      </c>
      <c r="M13" s="1216">
        <v>15</v>
      </c>
      <c r="N13" s="1237"/>
      <c r="O13" s="1211"/>
      <c r="P13" s="1217" t="s">
        <v>105</v>
      </c>
      <c r="Q13" s="1205" t="s">
        <v>5275</v>
      </c>
      <c r="R13" s="1216" t="s">
        <v>5311</v>
      </c>
      <c r="S13" s="1217" t="s">
        <v>82</v>
      </c>
      <c r="T13" s="1204" t="s">
        <v>83</v>
      </c>
      <c r="U13" s="1205" t="s">
        <v>84</v>
      </c>
      <c r="V13" s="1216" t="s">
        <v>85</v>
      </c>
      <c r="W13" s="1216">
        <v>50</v>
      </c>
      <c r="X13" s="1214">
        <v>49.9</v>
      </c>
      <c r="Y13" s="1214">
        <v>0.1</v>
      </c>
    </row>
    <row r="14" spans="1:25" ht="60" customHeight="1">
      <c r="A14" s="1208">
        <v>10</v>
      </c>
      <c r="B14" s="1206" t="s">
        <v>2604</v>
      </c>
      <c r="C14" s="1207" t="s">
        <v>5312</v>
      </c>
      <c r="D14" s="1211" t="s">
        <v>5313</v>
      </c>
      <c r="E14" s="1214" t="s">
        <v>5314</v>
      </c>
      <c r="F14" s="1215" t="s">
        <v>5315</v>
      </c>
      <c r="G14" s="1214" t="s">
        <v>5316</v>
      </c>
      <c r="H14" s="1216" t="s">
        <v>5317</v>
      </c>
      <c r="I14" s="1217">
        <v>250</v>
      </c>
      <c r="J14" s="1229"/>
      <c r="K14" s="1230"/>
      <c r="L14" s="1230">
        <v>250</v>
      </c>
      <c r="M14" s="1216"/>
      <c r="N14" s="1237"/>
      <c r="O14" s="1211"/>
      <c r="P14" s="1217" t="s">
        <v>167</v>
      </c>
      <c r="Q14" s="1211"/>
      <c r="R14" s="1205" t="s">
        <v>1011</v>
      </c>
      <c r="S14" s="1216" t="s">
        <v>82</v>
      </c>
      <c r="T14" s="1217" t="s">
        <v>995</v>
      </c>
      <c r="U14" s="1204" t="s">
        <v>1141</v>
      </c>
      <c r="V14" s="1205" t="s">
        <v>85</v>
      </c>
      <c r="W14" s="1216">
        <v>305</v>
      </c>
      <c r="X14" s="1216">
        <v>303</v>
      </c>
      <c r="Y14" s="1214">
        <v>2</v>
      </c>
    </row>
    <row r="15" spans="1:25" ht="60" customHeight="1">
      <c r="A15" s="1208">
        <v>11</v>
      </c>
      <c r="B15" s="1206" t="s">
        <v>2604</v>
      </c>
      <c r="C15" s="1207" t="s">
        <v>5312</v>
      </c>
      <c r="D15" s="1211" t="s">
        <v>5318</v>
      </c>
      <c r="E15" s="1214" t="s">
        <v>5319</v>
      </c>
      <c r="F15" s="1215" t="s">
        <v>5320</v>
      </c>
      <c r="G15" s="1214" t="s">
        <v>5321</v>
      </c>
      <c r="H15" s="1216" t="s">
        <v>5322</v>
      </c>
      <c r="I15" s="1217">
        <v>2900</v>
      </c>
      <c r="J15" s="1229"/>
      <c r="K15" s="1230">
        <v>500</v>
      </c>
      <c r="L15" s="1230">
        <v>2400</v>
      </c>
      <c r="M15" s="1216"/>
      <c r="N15" s="1237"/>
      <c r="O15" s="1211"/>
      <c r="P15" s="1217" t="s">
        <v>67</v>
      </c>
      <c r="Q15" s="1211" t="s">
        <v>936</v>
      </c>
      <c r="R15" s="1205" t="s">
        <v>5323</v>
      </c>
      <c r="S15" s="1216" t="s">
        <v>82</v>
      </c>
      <c r="T15" s="1217" t="s">
        <v>929</v>
      </c>
      <c r="U15" s="1204" t="s">
        <v>1141</v>
      </c>
      <c r="V15" s="1205" t="s">
        <v>85</v>
      </c>
      <c r="W15" s="1216">
        <v>334</v>
      </c>
      <c r="X15" s="1216">
        <v>327</v>
      </c>
      <c r="Y15" s="1214">
        <v>7</v>
      </c>
    </row>
    <row r="16" spans="1:25" ht="60" customHeight="1">
      <c r="A16" s="1341">
        <v>12</v>
      </c>
      <c r="B16" s="1340" t="s">
        <v>2604</v>
      </c>
      <c r="C16" s="1339" t="s">
        <v>5312</v>
      </c>
      <c r="D16" s="1348" t="s">
        <v>5324</v>
      </c>
      <c r="E16" s="1345" t="s">
        <v>5325</v>
      </c>
      <c r="F16" s="1342" t="s">
        <v>5326</v>
      </c>
      <c r="G16" s="1345" t="s">
        <v>5327</v>
      </c>
      <c r="H16" s="1343" t="s">
        <v>1022</v>
      </c>
      <c r="I16" s="1344">
        <v>106</v>
      </c>
      <c r="J16" s="1346"/>
      <c r="K16" s="1347">
        <v>14</v>
      </c>
      <c r="L16" s="1347">
        <v>56</v>
      </c>
      <c r="M16" s="1343">
        <v>36</v>
      </c>
      <c r="N16" s="1349"/>
      <c r="O16" s="1348"/>
      <c r="P16" s="1344" t="s">
        <v>67</v>
      </c>
      <c r="Q16" s="1348" t="s">
        <v>67</v>
      </c>
      <c r="R16" s="1328" t="s">
        <v>5328</v>
      </c>
      <c r="S16" s="1343" t="s">
        <v>82</v>
      </c>
      <c r="T16" s="1344" t="s">
        <v>95</v>
      </c>
      <c r="U16" s="1338" t="s">
        <v>84</v>
      </c>
      <c r="V16" s="1328" t="s">
        <v>85</v>
      </c>
      <c r="W16" s="1343">
        <v>50</v>
      </c>
      <c r="X16" s="1343">
        <v>50</v>
      </c>
      <c r="Y16" s="1345"/>
    </row>
    <row r="17" spans="1:25" ht="60" customHeight="1">
      <c r="A17" s="1208">
        <v>13</v>
      </c>
      <c r="B17" s="1206" t="s">
        <v>2604</v>
      </c>
      <c r="C17" s="1207" t="s">
        <v>5329</v>
      </c>
      <c r="D17" s="1211" t="s">
        <v>5330</v>
      </c>
      <c r="E17" s="1266" t="s">
        <v>5331</v>
      </c>
      <c r="F17" s="1333" t="s">
        <v>5332</v>
      </c>
      <c r="G17" s="1214" t="s">
        <v>5333</v>
      </c>
      <c r="H17" s="1216" t="s">
        <v>3009</v>
      </c>
      <c r="I17" s="1217">
        <v>600</v>
      </c>
      <c r="J17" s="1229"/>
      <c r="K17" s="1230"/>
      <c r="L17" s="1230">
        <v>600</v>
      </c>
      <c r="M17" s="1216"/>
      <c r="N17" s="1237"/>
      <c r="O17" s="1211"/>
      <c r="P17" s="1217" t="s">
        <v>92</v>
      </c>
      <c r="Q17" s="1204" t="s">
        <v>936</v>
      </c>
      <c r="R17" s="1205" t="s">
        <v>5334</v>
      </c>
      <c r="S17" s="1214" t="s">
        <v>82</v>
      </c>
      <c r="T17" s="1327" t="s">
        <v>929</v>
      </c>
      <c r="U17" s="1204" t="s">
        <v>1141</v>
      </c>
      <c r="V17" s="1205" t="s">
        <v>1064</v>
      </c>
      <c r="W17" s="1216">
        <v>50</v>
      </c>
      <c r="X17" s="1216">
        <v>50</v>
      </c>
      <c r="Y17" s="1214"/>
    </row>
    <row r="18" spans="1:25" ht="60" customHeight="1">
      <c r="A18" s="1208">
        <v>14</v>
      </c>
      <c r="B18" s="1206" t="s">
        <v>2604</v>
      </c>
      <c r="C18" s="1207" t="s">
        <v>5335</v>
      </c>
      <c r="D18" s="1211" t="s">
        <v>5336</v>
      </c>
      <c r="E18" s="1214" t="s">
        <v>5337</v>
      </c>
      <c r="F18" s="1215" t="s">
        <v>5338</v>
      </c>
      <c r="G18" s="1214" t="s">
        <v>5339</v>
      </c>
      <c r="H18" s="1216" t="s">
        <v>5041</v>
      </c>
      <c r="I18" s="1217">
        <v>198</v>
      </c>
      <c r="J18" s="1229"/>
      <c r="K18" s="1230"/>
      <c r="L18" s="1230">
        <v>170</v>
      </c>
      <c r="M18" s="1216" t="s">
        <v>5340</v>
      </c>
      <c r="N18" s="1237"/>
      <c r="O18" s="1211"/>
      <c r="P18" s="1217" t="s">
        <v>167</v>
      </c>
      <c r="Q18" s="1204" t="s">
        <v>936</v>
      </c>
      <c r="R18" s="1205" t="s">
        <v>3370</v>
      </c>
      <c r="S18" s="1216" t="s">
        <v>82</v>
      </c>
      <c r="T18" s="1217" t="s">
        <v>5341</v>
      </c>
      <c r="U18" s="1204" t="s">
        <v>5342</v>
      </c>
      <c r="V18" s="1205" t="s">
        <v>85</v>
      </c>
      <c r="W18" s="1216">
        <v>220</v>
      </c>
      <c r="X18" s="1216">
        <v>217</v>
      </c>
      <c r="Y18" s="1214">
        <v>3</v>
      </c>
    </row>
    <row r="19" spans="1:25" ht="60" customHeight="1">
      <c r="A19" s="1208">
        <v>15</v>
      </c>
      <c r="B19" s="1206" t="s">
        <v>2604</v>
      </c>
      <c r="C19" s="1207" t="s">
        <v>5335</v>
      </c>
      <c r="D19" s="1211" t="s">
        <v>5343</v>
      </c>
      <c r="E19" s="1214" t="s">
        <v>5344</v>
      </c>
      <c r="F19" s="1215" t="s">
        <v>5345</v>
      </c>
      <c r="G19" s="1214" t="s">
        <v>5339</v>
      </c>
      <c r="H19" s="1216" t="s">
        <v>1776</v>
      </c>
      <c r="I19" s="1217">
        <v>90</v>
      </c>
      <c r="J19" s="1229"/>
      <c r="K19" s="1230"/>
      <c r="L19" s="1230">
        <v>90</v>
      </c>
      <c r="M19" s="1216"/>
      <c r="N19" s="1237"/>
      <c r="O19" s="1211"/>
      <c r="P19" s="1217" t="s">
        <v>167</v>
      </c>
      <c r="Q19" s="1204" t="s">
        <v>936</v>
      </c>
      <c r="R19" s="1205" t="s">
        <v>2492</v>
      </c>
      <c r="S19" s="1216" t="s">
        <v>82</v>
      </c>
      <c r="T19" s="1217" t="s">
        <v>1103</v>
      </c>
      <c r="U19" s="1204" t="s">
        <v>5342</v>
      </c>
      <c r="V19" s="1205" t="s">
        <v>85</v>
      </c>
      <c r="W19" s="1216">
        <v>105</v>
      </c>
      <c r="X19" s="1216">
        <v>103</v>
      </c>
      <c r="Y19" s="1214">
        <v>2</v>
      </c>
    </row>
    <row r="20" spans="1:25" ht="60" customHeight="1">
      <c r="A20" s="1208">
        <v>16</v>
      </c>
      <c r="B20" s="1206" t="s">
        <v>2604</v>
      </c>
      <c r="C20" s="1207" t="s">
        <v>5335</v>
      </c>
      <c r="D20" s="1211" t="s">
        <v>5346</v>
      </c>
      <c r="E20" s="1214" t="s">
        <v>5347</v>
      </c>
      <c r="F20" s="1215" t="s">
        <v>5348</v>
      </c>
      <c r="G20" s="1214" t="s">
        <v>5339</v>
      </c>
      <c r="H20" s="1216" t="s">
        <v>2111</v>
      </c>
      <c r="I20" s="1217">
        <v>2076</v>
      </c>
      <c r="J20" s="1229"/>
      <c r="K20" s="1230"/>
      <c r="L20" s="1230">
        <v>1576</v>
      </c>
      <c r="M20" s="1216" t="s">
        <v>5349</v>
      </c>
      <c r="N20" s="1237"/>
      <c r="O20" s="1211"/>
      <c r="P20" s="1217" t="s">
        <v>67</v>
      </c>
      <c r="Q20" s="1204" t="s">
        <v>5350</v>
      </c>
      <c r="R20" s="1205" t="s">
        <v>5351</v>
      </c>
      <c r="S20" s="1216" t="s">
        <v>82</v>
      </c>
      <c r="T20" s="1217" t="s">
        <v>1103</v>
      </c>
      <c r="U20" s="1204" t="s">
        <v>5342</v>
      </c>
      <c r="V20" s="1205" t="s">
        <v>85</v>
      </c>
      <c r="W20" s="1216">
        <v>1032</v>
      </c>
      <c r="X20" s="1216">
        <v>986</v>
      </c>
      <c r="Y20" s="1214">
        <v>46</v>
      </c>
    </row>
    <row r="21" spans="1:25" ht="60" customHeight="1">
      <c r="A21" s="1208">
        <v>17</v>
      </c>
      <c r="B21" s="1206" t="s">
        <v>2604</v>
      </c>
      <c r="C21" s="1207" t="s">
        <v>5352</v>
      </c>
      <c r="D21" s="1211" t="s">
        <v>5353</v>
      </c>
      <c r="E21" s="1214" t="s">
        <v>1231</v>
      </c>
      <c r="F21" s="1215" t="s">
        <v>5354</v>
      </c>
      <c r="G21" s="1214" t="s">
        <v>5355</v>
      </c>
      <c r="H21" s="1216" t="s">
        <v>828</v>
      </c>
      <c r="I21" s="1217">
        <v>600</v>
      </c>
      <c r="J21" s="1229">
        <v>0</v>
      </c>
      <c r="K21" s="1230">
        <v>0</v>
      </c>
      <c r="L21" s="1230">
        <v>600</v>
      </c>
      <c r="M21" s="1216">
        <v>0</v>
      </c>
      <c r="N21" s="1237" t="s">
        <v>1950</v>
      </c>
      <c r="O21" s="1211"/>
      <c r="P21" s="1217" t="s">
        <v>105</v>
      </c>
      <c r="Q21" s="1205" t="s">
        <v>936</v>
      </c>
      <c r="R21" s="1205" t="s">
        <v>5356</v>
      </c>
      <c r="S21" s="1216" t="s">
        <v>82</v>
      </c>
      <c r="T21" s="1217" t="s">
        <v>5357</v>
      </c>
      <c r="U21" s="1204" t="s">
        <v>5358</v>
      </c>
      <c r="V21" s="1216" t="s">
        <v>1047</v>
      </c>
      <c r="W21" s="1258">
        <v>102700</v>
      </c>
      <c r="X21" s="1259">
        <v>102212</v>
      </c>
      <c r="Y21" s="1214">
        <v>488</v>
      </c>
    </row>
    <row r="22" spans="1:25" ht="60" customHeight="1">
      <c r="A22" s="1208">
        <v>18</v>
      </c>
      <c r="B22" s="1206" t="s">
        <v>2604</v>
      </c>
      <c r="C22" s="1207" t="s">
        <v>5352</v>
      </c>
      <c r="D22" s="1211" t="s">
        <v>5359</v>
      </c>
      <c r="E22" s="1214" t="s">
        <v>2783</v>
      </c>
      <c r="F22" s="1215" t="s">
        <v>5360</v>
      </c>
      <c r="G22" s="1214" t="s">
        <v>5361</v>
      </c>
      <c r="H22" s="1216" t="s">
        <v>5362</v>
      </c>
      <c r="I22" s="1217">
        <v>90</v>
      </c>
      <c r="J22" s="1229">
        <v>0</v>
      </c>
      <c r="K22" s="1230">
        <v>0</v>
      </c>
      <c r="L22" s="1230">
        <v>90</v>
      </c>
      <c r="M22" s="1216">
        <v>0</v>
      </c>
      <c r="N22" s="1237" t="s">
        <v>1950</v>
      </c>
      <c r="O22" s="1211"/>
      <c r="P22" s="1217" t="s">
        <v>167</v>
      </c>
      <c r="Q22" s="1205" t="s">
        <v>936</v>
      </c>
      <c r="R22" s="1205" t="s">
        <v>5363</v>
      </c>
      <c r="S22" s="1216" t="s">
        <v>82</v>
      </c>
      <c r="T22" s="1217" t="s">
        <v>5357</v>
      </c>
      <c r="U22" s="1204" t="s">
        <v>5358</v>
      </c>
      <c r="V22" s="1216" t="s">
        <v>1047</v>
      </c>
      <c r="W22" s="1258">
        <v>20099</v>
      </c>
      <c r="X22" s="1258">
        <v>20099</v>
      </c>
      <c r="Y22" s="1214">
        <v>0</v>
      </c>
    </row>
    <row r="23" spans="1:25" ht="60" customHeight="1">
      <c r="A23" s="1208">
        <v>19</v>
      </c>
      <c r="B23" s="1206" t="s">
        <v>2604</v>
      </c>
      <c r="C23" s="1207" t="s">
        <v>5352</v>
      </c>
      <c r="D23" s="1211" t="s">
        <v>5364</v>
      </c>
      <c r="E23" s="1214" t="s">
        <v>5365</v>
      </c>
      <c r="F23" s="1215" t="s">
        <v>5366</v>
      </c>
      <c r="G23" s="1214" t="s">
        <v>5355</v>
      </c>
      <c r="H23" s="1260" t="s">
        <v>3636</v>
      </c>
      <c r="I23" s="1217">
        <v>50</v>
      </c>
      <c r="J23" s="1229">
        <v>0</v>
      </c>
      <c r="K23" s="1230">
        <v>0</v>
      </c>
      <c r="L23" s="1230">
        <v>50</v>
      </c>
      <c r="M23" s="1216">
        <v>0</v>
      </c>
      <c r="N23" s="1237" t="s">
        <v>1950</v>
      </c>
      <c r="O23" s="1211"/>
      <c r="P23" s="1217" t="s">
        <v>105</v>
      </c>
      <c r="Q23" s="1205" t="s">
        <v>936</v>
      </c>
      <c r="R23" s="1205" t="s">
        <v>5367</v>
      </c>
      <c r="S23" s="1216" t="s">
        <v>82</v>
      </c>
      <c r="T23" s="1217" t="s">
        <v>5357</v>
      </c>
      <c r="U23" s="1204" t="s">
        <v>5358</v>
      </c>
      <c r="V23" s="1216" t="s">
        <v>1047</v>
      </c>
      <c r="W23" s="1258">
        <v>8132</v>
      </c>
      <c r="X23" s="1259">
        <v>8132</v>
      </c>
      <c r="Y23" s="1214">
        <v>0</v>
      </c>
    </row>
    <row r="24" spans="1:25" ht="60" customHeight="1">
      <c r="A24" s="1208">
        <v>20</v>
      </c>
      <c r="B24" s="1206" t="s">
        <v>2604</v>
      </c>
      <c r="C24" s="1207" t="s">
        <v>5352</v>
      </c>
      <c r="D24" s="1211" t="s">
        <v>5368</v>
      </c>
      <c r="E24" s="1214" t="s">
        <v>5369</v>
      </c>
      <c r="F24" s="1215" t="s">
        <v>5370</v>
      </c>
      <c r="G24" s="1214" t="s">
        <v>5371</v>
      </c>
      <c r="H24" s="1260" t="s">
        <v>2762</v>
      </c>
      <c r="I24" s="1217">
        <v>900</v>
      </c>
      <c r="J24" s="1229">
        <v>0</v>
      </c>
      <c r="K24" s="1230">
        <v>0</v>
      </c>
      <c r="L24" s="1230">
        <v>900</v>
      </c>
      <c r="M24" s="1216">
        <v>0</v>
      </c>
      <c r="N24" s="1237" t="s">
        <v>1950</v>
      </c>
      <c r="O24" s="1211"/>
      <c r="P24" s="1217" t="s">
        <v>92</v>
      </c>
      <c r="Q24" s="1205" t="s">
        <v>936</v>
      </c>
      <c r="R24" s="1205" t="s">
        <v>1118</v>
      </c>
      <c r="S24" s="1216" t="s">
        <v>82</v>
      </c>
      <c r="T24" s="1217" t="s">
        <v>929</v>
      </c>
      <c r="U24" s="1204" t="s">
        <v>5372</v>
      </c>
      <c r="V24" s="1216" t="s">
        <v>1047</v>
      </c>
      <c r="W24" s="1258">
        <v>361044</v>
      </c>
      <c r="X24" s="1261">
        <v>361044</v>
      </c>
      <c r="Y24" s="1214">
        <v>0</v>
      </c>
    </row>
    <row r="25" spans="1:25" ht="60" customHeight="1">
      <c r="A25" s="1208">
        <v>21</v>
      </c>
      <c r="B25" s="1206" t="s">
        <v>2604</v>
      </c>
      <c r="C25" s="1207" t="s">
        <v>5352</v>
      </c>
      <c r="D25" s="1211" t="s">
        <v>5373</v>
      </c>
      <c r="E25" s="1214" t="s">
        <v>5374</v>
      </c>
      <c r="F25" s="1215" t="s">
        <v>5375</v>
      </c>
      <c r="G25" s="1214" t="s">
        <v>5361</v>
      </c>
      <c r="H25" s="1216" t="s">
        <v>5376</v>
      </c>
      <c r="I25" s="1217">
        <v>250</v>
      </c>
      <c r="J25" s="1229">
        <v>0</v>
      </c>
      <c r="K25" s="1230">
        <v>0</v>
      </c>
      <c r="L25" s="1230">
        <v>250</v>
      </c>
      <c r="M25" s="1216">
        <v>0</v>
      </c>
      <c r="N25" s="1237" t="s">
        <v>1950</v>
      </c>
      <c r="O25" s="1211"/>
      <c r="P25" s="1217" t="s">
        <v>92</v>
      </c>
      <c r="Q25" s="1205" t="s">
        <v>936</v>
      </c>
      <c r="R25" s="1205" t="s">
        <v>5377</v>
      </c>
      <c r="S25" s="1216" t="s">
        <v>82</v>
      </c>
      <c r="T25" s="1217" t="s">
        <v>5357</v>
      </c>
      <c r="U25" s="1204" t="s">
        <v>5358</v>
      </c>
      <c r="V25" s="1216" t="s">
        <v>1047</v>
      </c>
      <c r="W25" s="1258">
        <v>129568</v>
      </c>
      <c r="X25" s="1259">
        <v>129444</v>
      </c>
      <c r="Y25" s="1214">
        <v>124</v>
      </c>
    </row>
    <row r="26" spans="1:25" ht="60" customHeight="1">
      <c r="A26" s="1208">
        <v>22</v>
      </c>
      <c r="B26" s="1206" t="s">
        <v>2604</v>
      </c>
      <c r="C26" s="1205" t="s">
        <v>5378</v>
      </c>
      <c r="D26" s="1211" t="s">
        <v>5379</v>
      </c>
      <c r="E26" s="1214" t="s">
        <v>5380</v>
      </c>
      <c r="F26" s="1215" t="s">
        <v>5381</v>
      </c>
      <c r="G26" s="1214" t="s">
        <v>5382</v>
      </c>
      <c r="H26" s="1216" t="s">
        <v>1054</v>
      </c>
      <c r="I26" s="1217">
        <v>280</v>
      </c>
      <c r="J26" s="1229"/>
      <c r="K26" s="1230"/>
      <c r="L26" s="1230">
        <v>280</v>
      </c>
      <c r="M26" s="1216"/>
      <c r="N26" s="1237"/>
      <c r="O26" s="1211"/>
      <c r="P26" s="1262" t="s">
        <v>909</v>
      </c>
      <c r="Q26" s="1214" t="s">
        <v>936</v>
      </c>
      <c r="R26" s="1214" t="s">
        <v>5383</v>
      </c>
      <c r="S26" s="1214" t="s">
        <v>82</v>
      </c>
      <c r="T26" s="1214" t="s">
        <v>1089</v>
      </c>
      <c r="U26" s="1214" t="s">
        <v>1141</v>
      </c>
      <c r="V26" s="1214" t="s">
        <v>85</v>
      </c>
      <c r="W26" s="1216">
        <v>44</v>
      </c>
      <c r="X26" s="1216">
        <v>44</v>
      </c>
      <c r="Y26" s="1214"/>
    </row>
    <row r="27" spans="1:25" ht="60" customHeight="1">
      <c r="A27" s="1208">
        <v>23</v>
      </c>
      <c r="B27" s="1206" t="s">
        <v>2604</v>
      </c>
      <c r="C27" s="1205" t="s">
        <v>5378</v>
      </c>
      <c r="D27" s="1211" t="s">
        <v>5384</v>
      </c>
      <c r="E27" s="1214" t="s">
        <v>5385</v>
      </c>
      <c r="F27" s="1215" t="s">
        <v>5386</v>
      </c>
      <c r="G27" s="1214" t="s">
        <v>5387</v>
      </c>
      <c r="H27" s="1216" t="s">
        <v>2465</v>
      </c>
      <c r="I27" s="1217">
        <v>610</v>
      </c>
      <c r="J27" s="1229"/>
      <c r="K27" s="1230"/>
      <c r="L27" s="1230">
        <v>110</v>
      </c>
      <c r="M27" s="1216">
        <v>500</v>
      </c>
      <c r="N27" s="1237"/>
      <c r="O27" s="1211"/>
      <c r="P27" s="1262" t="s">
        <v>92</v>
      </c>
      <c r="Q27" s="1214" t="s">
        <v>936</v>
      </c>
      <c r="R27" s="1214" t="s">
        <v>5388</v>
      </c>
      <c r="S27" s="1214" t="s">
        <v>82</v>
      </c>
      <c r="T27" s="1214" t="s">
        <v>929</v>
      </c>
      <c r="U27" s="1214" t="s">
        <v>1141</v>
      </c>
      <c r="V27" s="1214" t="s">
        <v>85</v>
      </c>
      <c r="W27" s="1216">
        <v>58</v>
      </c>
      <c r="X27" s="1216">
        <v>58</v>
      </c>
      <c r="Y27" s="1214"/>
    </row>
    <row r="28" spans="1:25" ht="60" customHeight="1">
      <c r="A28" s="1208">
        <v>24</v>
      </c>
      <c r="B28" s="1206" t="s">
        <v>2604</v>
      </c>
      <c r="C28" s="1205" t="s">
        <v>5378</v>
      </c>
      <c r="D28" s="1211" t="s">
        <v>5389</v>
      </c>
      <c r="E28" s="1214" t="s">
        <v>5390</v>
      </c>
      <c r="F28" s="1215" t="s">
        <v>5391</v>
      </c>
      <c r="G28" s="1214" t="s">
        <v>5392</v>
      </c>
      <c r="H28" s="1216" t="s">
        <v>5393</v>
      </c>
      <c r="I28" s="1217">
        <v>95</v>
      </c>
      <c r="J28" s="1229"/>
      <c r="K28" s="1230"/>
      <c r="L28" s="1230">
        <v>95</v>
      </c>
      <c r="M28" s="1216"/>
      <c r="N28" s="1237"/>
      <c r="O28" s="1211"/>
      <c r="P28" s="1262" t="s">
        <v>67</v>
      </c>
      <c r="Q28" s="1214" t="s">
        <v>936</v>
      </c>
      <c r="R28" s="1214" t="s">
        <v>67</v>
      </c>
      <c r="S28" s="1214" t="s">
        <v>82</v>
      </c>
      <c r="T28" s="1214" t="s">
        <v>929</v>
      </c>
      <c r="U28" s="1214" t="s">
        <v>1141</v>
      </c>
      <c r="V28" s="1214" t="s">
        <v>85</v>
      </c>
      <c r="W28" s="1216">
        <v>50</v>
      </c>
      <c r="X28" s="1216">
        <v>50</v>
      </c>
      <c r="Y28" s="1214"/>
    </row>
    <row r="29" spans="1:25" ht="60" customHeight="1">
      <c r="A29" s="1208">
        <v>25</v>
      </c>
      <c r="B29" s="1206" t="s">
        <v>2604</v>
      </c>
      <c r="C29" s="1205" t="s">
        <v>5378</v>
      </c>
      <c r="D29" s="1211" t="s">
        <v>5394</v>
      </c>
      <c r="E29" s="1214" t="s">
        <v>5385</v>
      </c>
      <c r="F29" s="1215" t="s">
        <v>5395</v>
      </c>
      <c r="G29" s="1214" t="s">
        <v>5396</v>
      </c>
      <c r="H29" s="1216" t="s">
        <v>5397</v>
      </c>
      <c r="I29" s="1217">
        <v>90</v>
      </c>
      <c r="J29" s="1229"/>
      <c r="K29" s="1230"/>
      <c r="L29" s="1230">
        <v>90</v>
      </c>
      <c r="M29" s="1216"/>
      <c r="N29" s="1237"/>
      <c r="O29" s="1211"/>
      <c r="P29" s="1262" t="s">
        <v>92</v>
      </c>
      <c r="Q29" s="1214" t="s">
        <v>936</v>
      </c>
      <c r="R29" s="1214" t="s">
        <v>5398</v>
      </c>
      <c r="S29" s="1214" t="s">
        <v>82</v>
      </c>
      <c r="T29" s="1214" t="s">
        <v>929</v>
      </c>
      <c r="U29" s="1214" t="s">
        <v>1141</v>
      </c>
      <c r="V29" s="1214" t="s">
        <v>85</v>
      </c>
      <c r="W29" s="1216">
        <v>12</v>
      </c>
      <c r="X29" s="1216">
        <v>12</v>
      </c>
      <c r="Y29" s="1214"/>
    </row>
    <row r="30" spans="1:25" ht="60" customHeight="1">
      <c r="A30" s="1208">
        <v>26</v>
      </c>
      <c r="B30" s="1206" t="s">
        <v>2604</v>
      </c>
      <c r="C30" s="1205" t="s">
        <v>5378</v>
      </c>
      <c r="D30" s="1211" t="s">
        <v>5399</v>
      </c>
      <c r="E30" s="1214" t="s">
        <v>1905</v>
      </c>
      <c r="F30" s="1215" t="s">
        <v>5400</v>
      </c>
      <c r="G30" s="1214" t="s">
        <v>5401</v>
      </c>
      <c r="H30" s="1216" t="s">
        <v>1117</v>
      </c>
      <c r="I30" s="1217">
        <v>70</v>
      </c>
      <c r="J30" s="1229"/>
      <c r="K30" s="1230"/>
      <c r="L30" s="1230">
        <v>70</v>
      </c>
      <c r="M30" s="1216"/>
      <c r="N30" s="1237"/>
      <c r="O30" s="1211"/>
      <c r="P30" s="1262" t="s">
        <v>92</v>
      </c>
      <c r="Q30" s="1214" t="s">
        <v>936</v>
      </c>
      <c r="R30" s="1214" t="s">
        <v>986</v>
      </c>
      <c r="S30" s="1214" t="s">
        <v>82</v>
      </c>
      <c r="T30" s="1214" t="s">
        <v>83</v>
      </c>
      <c r="U30" s="1214" t="s">
        <v>1141</v>
      </c>
      <c r="V30" s="1214" t="s">
        <v>85</v>
      </c>
      <c r="W30" s="1216">
        <v>40</v>
      </c>
      <c r="X30" s="1216">
        <v>40</v>
      </c>
      <c r="Y30" s="1214"/>
    </row>
    <row r="31" spans="1:25" ht="60" customHeight="1">
      <c r="A31" s="1208">
        <v>27</v>
      </c>
      <c r="B31" s="1307" t="s">
        <v>2604</v>
      </c>
      <c r="C31" s="1334" t="s">
        <v>5402</v>
      </c>
      <c r="D31" s="1308" t="s">
        <v>5403</v>
      </c>
      <c r="E31" s="1309" t="s">
        <v>5404</v>
      </c>
      <c r="F31" s="1335" t="s">
        <v>5405</v>
      </c>
      <c r="G31" s="1309" t="s">
        <v>5406</v>
      </c>
      <c r="H31" s="1311" t="s">
        <v>1010</v>
      </c>
      <c r="I31" s="1306">
        <v>700</v>
      </c>
      <c r="J31" s="1313"/>
      <c r="K31" s="1314" t="s">
        <v>952</v>
      </c>
      <c r="L31" s="1314">
        <v>700</v>
      </c>
      <c r="M31" s="1311"/>
      <c r="N31" s="1316"/>
      <c r="O31" s="1308"/>
      <c r="P31" s="1306" t="s">
        <v>67</v>
      </c>
      <c r="Q31" s="1336" t="s">
        <v>936</v>
      </c>
      <c r="R31" s="1337" t="s">
        <v>5407</v>
      </c>
      <c r="S31" s="1311" t="s">
        <v>82</v>
      </c>
      <c r="T31" s="1306" t="s">
        <v>929</v>
      </c>
      <c r="U31" s="1336" t="s">
        <v>84</v>
      </c>
      <c r="V31" s="1337" t="s">
        <v>1047</v>
      </c>
      <c r="W31" s="1311">
        <v>100</v>
      </c>
      <c r="X31" s="1311">
        <v>99</v>
      </c>
      <c r="Y31" s="1309">
        <v>1</v>
      </c>
    </row>
    <row r="32" spans="1:25" ht="60" customHeight="1">
      <c r="A32" s="1208">
        <v>28</v>
      </c>
      <c r="B32" s="1206" t="s">
        <v>2604</v>
      </c>
      <c r="C32" s="1207" t="s">
        <v>5402</v>
      </c>
      <c r="D32" s="1211" t="s">
        <v>5408</v>
      </c>
      <c r="E32" s="1214" t="s">
        <v>5409</v>
      </c>
      <c r="F32" s="1215" t="s">
        <v>5410</v>
      </c>
      <c r="G32" s="1214" t="s">
        <v>5411</v>
      </c>
      <c r="H32" s="1216" t="s">
        <v>966</v>
      </c>
      <c r="I32" s="1217">
        <v>50</v>
      </c>
      <c r="J32" s="1229"/>
      <c r="K32" s="1230"/>
      <c r="L32" s="1230">
        <v>50</v>
      </c>
      <c r="M32" s="1216"/>
      <c r="N32" s="1237"/>
      <c r="O32" s="1211"/>
      <c r="P32" s="1217" t="s">
        <v>92</v>
      </c>
      <c r="Q32" s="1204" t="s">
        <v>936</v>
      </c>
      <c r="R32" s="1205" t="s">
        <v>3467</v>
      </c>
      <c r="S32" s="1216" t="s">
        <v>82</v>
      </c>
      <c r="T32" s="1217" t="s">
        <v>929</v>
      </c>
      <c r="U32" s="1204" t="s">
        <v>84</v>
      </c>
      <c r="V32" s="1205" t="s">
        <v>1047</v>
      </c>
      <c r="W32" s="1216">
        <v>50</v>
      </c>
      <c r="X32" s="1216">
        <v>50</v>
      </c>
      <c r="Y32" s="1214"/>
    </row>
    <row r="33" spans="1:25" ht="60" customHeight="1">
      <c r="A33" s="1208">
        <v>29</v>
      </c>
      <c r="B33" s="1263" t="s">
        <v>2604</v>
      </c>
      <c r="C33" s="1264" t="s">
        <v>5412</v>
      </c>
      <c r="D33" s="1265" t="s">
        <v>5413</v>
      </c>
      <c r="E33" s="1266" t="s">
        <v>5414</v>
      </c>
      <c r="F33" s="1267" t="s">
        <v>5415</v>
      </c>
      <c r="G33" s="1266" t="s">
        <v>5416</v>
      </c>
      <c r="H33" s="1268" t="s">
        <v>2008</v>
      </c>
      <c r="I33" s="1269">
        <v>940</v>
      </c>
      <c r="J33" s="1270">
        <v>270</v>
      </c>
      <c r="K33" s="1270">
        <v>270</v>
      </c>
      <c r="L33" s="1271">
        <v>400</v>
      </c>
      <c r="M33" s="1272" t="s">
        <v>945</v>
      </c>
      <c r="N33" s="1237" t="s">
        <v>927</v>
      </c>
      <c r="O33" s="1211" t="s">
        <v>5417</v>
      </c>
      <c r="P33" s="1273" t="s">
        <v>67</v>
      </c>
      <c r="Q33" s="1263" t="s">
        <v>5418</v>
      </c>
      <c r="R33" s="1264" t="s">
        <v>5419</v>
      </c>
      <c r="S33" s="1274" t="s">
        <v>82</v>
      </c>
      <c r="T33" s="1275" t="s">
        <v>5420</v>
      </c>
      <c r="U33" s="1276" t="s">
        <v>5421</v>
      </c>
      <c r="V33" s="1277" t="s">
        <v>5422</v>
      </c>
      <c r="W33" s="1216">
        <v>191</v>
      </c>
      <c r="X33" s="1216">
        <v>188</v>
      </c>
      <c r="Y33" s="1214">
        <v>3</v>
      </c>
    </row>
    <row r="34" spans="1:25" ht="60" customHeight="1">
      <c r="A34" s="1208">
        <v>30</v>
      </c>
      <c r="B34" s="1263" t="s">
        <v>2604</v>
      </c>
      <c r="C34" s="1264" t="s">
        <v>5412</v>
      </c>
      <c r="D34" s="1278" t="s">
        <v>5423</v>
      </c>
      <c r="E34" s="1278" t="s">
        <v>5424</v>
      </c>
      <c r="F34" s="1279" t="s">
        <v>5425</v>
      </c>
      <c r="G34" s="1278" t="s">
        <v>5426</v>
      </c>
      <c r="H34" s="1280" t="s">
        <v>3136</v>
      </c>
      <c r="I34" s="1281">
        <v>360</v>
      </c>
      <c r="J34" s="1282"/>
      <c r="K34" s="1283"/>
      <c r="L34" s="1283">
        <v>360</v>
      </c>
      <c r="M34" s="1280"/>
      <c r="N34" s="1284"/>
      <c r="O34" s="1285"/>
      <c r="P34" s="1286" t="s">
        <v>92</v>
      </c>
      <c r="Q34" s="1213"/>
      <c r="R34" s="1287" t="s">
        <v>5377</v>
      </c>
      <c r="S34" s="1288" t="s">
        <v>82</v>
      </c>
      <c r="T34" s="1275" t="s">
        <v>5420</v>
      </c>
      <c r="U34" s="1276" t="s">
        <v>5421</v>
      </c>
      <c r="V34" s="1287" t="s">
        <v>5422</v>
      </c>
      <c r="W34" s="1280">
        <v>450</v>
      </c>
      <c r="X34" s="1278">
        <v>450</v>
      </c>
      <c r="Y34" s="1278"/>
    </row>
    <row r="35" spans="1:25" ht="60" customHeight="1">
      <c r="A35" s="1208">
        <v>31</v>
      </c>
      <c r="B35" s="1263" t="s">
        <v>2604</v>
      </c>
      <c r="C35" s="1264" t="s">
        <v>5412</v>
      </c>
      <c r="D35" s="1289" t="s">
        <v>5427</v>
      </c>
      <c r="E35" s="1289" t="s">
        <v>5428</v>
      </c>
      <c r="F35" s="1290" t="s">
        <v>5429</v>
      </c>
      <c r="G35" s="1289" t="s">
        <v>5430</v>
      </c>
      <c r="H35" s="1291" t="s">
        <v>1993</v>
      </c>
      <c r="I35" s="1292">
        <v>210</v>
      </c>
      <c r="J35" s="1293"/>
      <c r="K35" s="1294"/>
      <c r="L35" s="1294">
        <v>210</v>
      </c>
      <c r="M35" s="1291"/>
      <c r="N35" s="1284"/>
      <c r="O35" s="1285"/>
      <c r="P35" s="1295" t="s">
        <v>92</v>
      </c>
      <c r="Q35" s="1200"/>
      <c r="R35" s="1296" t="s">
        <v>5431</v>
      </c>
      <c r="S35" s="1288" t="s">
        <v>82</v>
      </c>
      <c r="T35" s="1275" t="s">
        <v>5420</v>
      </c>
      <c r="U35" s="1276" t="s">
        <v>5421</v>
      </c>
      <c r="V35" s="1296" t="s">
        <v>5422</v>
      </c>
      <c r="W35" s="1280">
        <v>60</v>
      </c>
      <c r="X35" s="1278">
        <v>60</v>
      </c>
      <c r="Y35" s="1278"/>
    </row>
    <row r="36" spans="1:25" ht="60" customHeight="1">
      <c r="A36" s="1208">
        <v>32</v>
      </c>
      <c r="B36" s="1263" t="s">
        <v>2604</v>
      </c>
      <c r="C36" s="1264" t="s">
        <v>5412</v>
      </c>
      <c r="D36" s="1265" t="s">
        <v>5432</v>
      </c>
      <c r="E36" s="1266" t="s">
        <v>5433</v>
      </c>
      <c r="F36" s="1267" t="s">
        <v>5434</v>
      </c>
      <c r="G36" s="1266" t="s">
        <v>5435</v>
      </c>
      <c r="H36" s="1268" t="s">
        <v>5436</v>
      </c>
      <c r="I36" s="1269">
        <v>210</v>
      </c>
      <c r="J36" s="1270"/>
      <c r="K36" s="1270"/>
      <c r="L36" s="1271">
        <v>210</v>
      </c>
      <c r="M36" s="1272" t="s">
        <v>945</v>
      </c>
      <c r="N36" s="1237">
        <v>0</v>
      </c>
      <c r="O36" s="1211" t="s">
        <v>959</v>
      </c>
      <c r="P36" s="1297" t="s">
        <v>5437</v>
      </c>
      <c r="Q36" s="1263" t="s">
        <v>1141</v>
      </c>
      <c r="R36" s="1264" t="s">
        <v>5438</v>
      </c>
      <c r="S36" s="1274" t="s">
        <v>82</v>
      </c>
      <c r="T36" s="1275" t="s">
        <v>5439</v>
      </c>
      <c r="U36" s="1276" t="s">
        <v>5421</v>
      </c>
      <c r="V36" s="1277" t="s">
        <v>5422</v>
      </c>
      <c r="W36" s="1216">
        <v>80</v>
      </c>
      <c r="X36" s="1216">
        <v>80</v>
      </c>
      <c r="Y36" s="1214">
        <v>0</v>
      </c>
    </row>
    <row r="37" spans="1:25" ht="60" customHeight="1">
      <c r="A37" s="1208">
        <v>33</v>
      </c>
      <c r="B37" s="1206" t="s">
        <v>2604</v>
      </c>
      <c r="C37" s="1207" t="s">
        <v>5440</v>
      </c>
      <c r="D37" s="1211" t="s">
        <v>5441</v>
      </c>
      <c r="E37" s="1214" t="s">
        <v>2536</v>
      </c>
      <c r="F37" s="1215" t="s">
        <v>5442</v>
      </c>
      <c r="G37" s="1214" t="s">
        <v>5443</v>
      </c>
      <c r="H37" s="1216" t="s">
        <v>5444</v>
      </c>
      <c r="I37" s="1217">
        <v>550</v>
      </c>
      <c r="J37" s="1229">
        <v>0</v>
      </c>
      <c r="K37" s="1230">
        <v>185</v>
      </c>
      <c r="L37" s="1230">
        <v>365</v>
      </c>
      <c r="M37" s="1216">
        <v>0</v>
      </c>
      <c r="N37" s="1237"/>
      <c r="O37" s="1211"/>
      <c r="P37" s="1217" t="s">
        <v>105</v>
      </c>
      <c r="Q37" s="1211" t="s">
        <v>105</v>
      </c>
      <c r="R37" s="1205" t="s">
        <v>4306</v>
      </c>
      <c r="S37" s="1216" t="s">
        <v>82</v>
      </c>
      <c r="T37" s="1217" t="s">
        <v>83</v>
      </c>
      <c r="U37" s="1204" t="s">
        <v>2903</v>
      </c>
      <c r="V37" s="1205" t="s">
        <v>85</v>
      </c>
      <c r="W37" s="1216">
        <v>100</v>
      </c>
      <c r="X37" s="1216">
        <v>100</v>
      </c>
      <c r="Y37" s="1214"/>
    </row>
    <row r="38" spans="1:25" ht="60" customHeight="1">
      <c r="A38" s="1208">
        <v>34</v>
      </c>
      <c r="B38" s="1206" t="s">
        <v>2604</v>
      </c>
      <c r="C38" s="1207" t="s">
        <v>5440</v>
      </c>
      <c r="D38" s="1211" t="s">
        <v>5445</v>
      </c>
      <c r="E38" s="1214" t="s">
        <v>2840</v>
      </c>
      <c r="F38" s="1215" t="s">
        <v>5446</v>
      </c>
      <c r="G38" s="1214" t="s">
        <v>5447</v>
      </c>
      <c r="H38" s="1216" t="s">
        <v>5448</v>
      </c>
      <c r="I38" s="1217">
        <v>245</v>
      </c>
      <c r="J38" s="1229">
        <v>0</v>
      </c>
      <c r="K38" s="1230">
        <v>24</v>
      </c>
      <c r="L38" s="1230">
        <v>221</v>
      </c>
      <c r="M38" s="1216">
        <v>0</v>
      </c>
      <c r="N38" s="1237"/>
      <c r="O38" s="1211"/>
      <c r="P38" s="1217" t="s">
        <v>167</v>
      </c>
      <c r="Q38" s="1211" t="s">
        <v>167</v>
      </c>
      <c r="R38" s="1205" t="s">
        <v>5449</v>
      </c>
      <c r="S38" s="1216" t="s">
        <v>82</v>
      </c>
      <c r="T38" s="1217" t="s">
        <v>929</v>
      </c>
      <c r="U38" s="1204" t="s">
        <v>84</v>
      </c>
      <c r="V38" s="1205" t="s">
        <v>85</v>
      </c>
      <c r="W38" s="1216">
        <v>50</v>
      </c>
      <c r="X38" s="1216">
        <v>50</v>
      </c>
      <c r="Y38" s="1214"/>
    </row>
    <row r="39" spans="1:25" ht="60" customHeight="1">
      <c r="A39" s="1208">
        <v>35</v>
      </c>
      <c r="B39" s="1206" t="s">
        <v>2604</v>
      </c>
      <c r="C39" s="1207" t="s">
        <v>5440</v>
      </c>
      <c r="D39" s="1211" t="s">
        <v>5450</v>
      </c>
      <c r="E39" s="1214" t="s">
        <v>2119</v>
      </c>
      <c r="F39" s="1215" t="s">
        <v>5451</v>
      </c>
      <c r="G39" s="1214" t="s">
        <v>5452</v>
      </c>
      <c r="H39" s="1216" t="s">
        <v>5453</v>
      </c>
      <c r="I39" s="1217">
        <v>170</v>
      </c>
      <c r="J39" s="1229">
        <v>0</v>
      </c>
      <c r="K39" s="1230">
        <v>0</v>
      </c>
      <c r="L39" s="1230">
        <v>170</v>
      </c>
      <c r="M39" s="1216">
        <v>0</v>
      </c>
      <c r="N39" s="1237"/>
      <c r="O39" s="1211"/>
      <c r="P39" s="1217" t="s">
        <v>92</v>
      </c>
      <c r="Q39" s="1211" t="s">
        <v>92</v>
      </c>
      <c r="R39" s="1205" t="s">
        <v>3395</v>
      </c>
      <c r="S39" s="1216" t="s">
        <v>82</v>
      </c>
      <c r="T39" s="1217" t="s">
        <v>83</v>
      </c>
      <c r="U39" s="1204" t="s">
        <v>2903</v>
      </c>
      <c r="V39" s="1205" t="s">
        <v>85</v>
      </c>
      <c r="W39" s="1216">
        <v>100</v>
      </c>
      <c r="X39" s="1216">
        <v>100</v>
      </c>
      <c r="Y39" s="1214"/>
    </row>
    <row r="40" spans="1:25" ht="60" customHeight="1">
      <c r="A40" s="1208">
        <v>36</v>
      </c>
      <c r="B40" s="1206" t="s">
        <v>2604</v>
      </c>
      <c r="C40" s="1207" t="s">
        <v>5454</v>
      </c>
      <c r="D40" s="1211" t="s">
        <v>5455</v>
      </c>
      <c r="E40" s="1214" t="s">
        <v>5456</v>
      </c>
      <c r="F40" s="1215" t="s">
        <v>5457</v>
      </c>
      <c r="G40" s="1214" t="s">
        <v>5458</v>
      </c>
      <c r="H40" s="1216" t="s">
        <v>5459</v>
      </c>
      <c r="I40" s="1217">
        <v>150</v>
      </c>
      <c r="J40" s="1229"/>
      <c r="K40" s="1230"/>
      <c r="L40" s="1230">
        <v>150</v>
      </c>
      <c r="M40" s="1216"/>
      <c r="N40" s="1237"/>
      <c r="O40" s="1211"/>
      <c r="P40" s="1217" t="s">
        <v>67</v>
      </c>
      <c r="Q40" s="1211" t="s">
        <v>67</v>
      </c>
      <c r="R40" s="1205" t="s">
        <v>5460</v>
      </c>
      <c r="S40" s="1298" t="s">
        <v>5461</v>
      </c>
      <c r="T40" s="1217" t="s">
        <v>995</v>
      </c>
      <c r="U40" s="1204" t="s">
        <v>84</v>
      </c>
      <c r="V40" s="1205" t="s">
        <v>1047</v>
      </c>
      <c r="W40" s="1216">
        <v>0</v>
      </c>
      <c r="X40" s="1216"/>
      <c r="Y40" s="1214"/>
    </row>
    <row r="41" spans="1:25" ht="60" customHeight="1">
      <c r="A41" s="1208">
        <v>37</v>
      </c>
      <c r="B41" s="1206" t="s">
        <v>2604</v>
      </c>
      <c r="C41" s="1207" t="s">
        <v>5462</v>
      </c>
      <c r="D41" s="1211" t="s">
        <v>5463</v>
      </c>
      <c r="E41" s="1214" t="s">
        <v>5464</v>
      </c>
      <c r="F41" s="1215" t="s">
        <v>5465</v>
      </c>
      <c r="G41" s="1214" t="s">
        <v>5466</v>
      </c>
      <c r="H41" s="1216" t="s">
        <v>5467</v>
      </c>
      <c r="I41" s="1217">
        <v>450</v>
      </c>
      <c r="J41" s="1229"/>
      <c r="K41" s="1230">
        <v>150</v>
      </c>
      <c r="L41" s="1230">
        <v>300</v>
      </c>
      <c r="M41" s="1216"/>
      <c r="N41" s="1237"/>
      <c r="O41" s="1211"/>
      <c r="P41" s="1217" t="s">
        <v>105</v>
      </c>
      <c r="Q41" s="1205" t="s">
        <v>936</v>
      </c>
      <c r="R41" s="1216" t="s">
        <v>5468</v>
      </c>
      <c r="S41" s="1217" t="s">
        <v>82</v>
      </c>
      <c r="T41" s="1204" t="s">
        <v>929</v>
      </c>
      <c r="U41" s="1205" t="s">
        <v>1141</v>
      </c>
      <c r="V41" s="1216" t="s">
        <v>85</v>
      </c>
      <c r="W41" s="1216">
        <v>16</v>
      </c>
      <c r="X41" s="1214">
        <v>16</v>
      </c>
      <c r="Y41" s="1214"/>
    </row>
    <row r="42" spans="1:25" ht="60" customHeight="1">
      <c r="A42" s="1208">
        <v>38</v>
      </c>
      <c r="B42" s="1206" t="s">
        <v>2604</v>
      </c>
      <c r="C42" s="1207" t="s">
        <v>5462</v>
      </c>
      <c r="D42" s="1211" t="s">
        <v>5469</v>
      </c>
      <c r="E42" s="1214" t="s">
        <v>2119</v>
      </c>
      <c r="F42" s="1215" t="s">
        <v>5470</v>
      </c>
      <c r="G42" s="1214" t="s">
        <v>5471</v>
      </c>
      <c r="H42" s="1216" t="s">
        <v>5472</v>
      </c>
      <c r="I42" s="1217">
        <v>800</v>
      </c>
      <c r="J42" s="1229"/>
      <c r="K42" s="1230"/>
      <c r="L42" s="1230">
        <v>800</v>
      </c>
      <c r="M42" s="1216"/>
      <c r="N42" s="1237"/>
      <c r="O42" s="1211"/>
      <c r="P42" s="1217" t="s">
        <v>92</v>
      </c>
      <c r="Q42" s="1205" t="s">
        <v>936</v>
      </c>
      <c r="R42" s="1216" t="s">
        <v>5473</v>
      </c>
      <c r="S42" s="1217" t="s">
        <v>82</v>
      </c>
      <c r="T42" s="1204" t="s">
        <v>929</v>
      </c>
      <c r="U42" s="1205" t="s">
        <v>1141</v>
      </c>
      <c r="V42" s="1216" t="s">
        <v>85</v>
      </c>
      <c r="W42" s="1216">
        <v>15</v>
      </c>
      <c r="X42" s="1214">
        <v>15</v>
      </c>
      <c r="Y42" s="1214"/>
    </row>
    <row r="43" spans="1:25" ht="60" customHeight="1">
      <c r="A43" s="1208">
        <v>39</v>
      </c>
      <c r="B43" s="1206" t="s">
        <v>2604</v>
      </c>
      <c r="C43" s="1207" t="s">
        <v>5474</v>
      </c>
      <c r="D43" s="1211" t="s">
        <v>5475</v>
      </c>
      <c r="E43" s="1214" t="s">
        <v>5476</v>
      </c>
      <c r="F43" s="1215" t="s">
        <v>5477</v>
      </c>
      <c r="G43" s="1214" t="s">
        <v>5478</v>
      </c>
      <c r="H43" s="1216" t="s">
        <v>2876</v>
      </c>
      <c r="I43" s="1217">
        <v>550</v>
      </c>
      <c r="J43" s="1229">
        <v>0</v>
      </c>
      <c r="K43" s="1230">
        <v>0</v>
      </c>
      <c r="L43" s="1230">
        <v>550</v>
      </c>
      <c r="M43" s="1216">
        <v>0</v>
      </c>
      <c r="N43" s="1237" t="s">
        <v>1950</v>
      </c>
      <c r="O43" s="1211" t="s">
        <v>1950</v>
      </c>
      <c r="P43" s="1217" t="s">
        <v>67</v>
      </c>
      <c r="Q43" s="1211" t="s">
        <v>67</v>
      </c>
      <c r="R43" s="1205" t="s">
        <v>5479</v>
      </c>
      <c r="S43" s="1216" t="s">
        <v>82</v>
      </c>
      <c r="T43" s="1217" t="s">
        <v>929</v>
      </c>
      <c r="U43" s="1204" t="s">
        <v>5480</v>
      </c>
      <c r="V43" s="1205" t="s">
        <v>1047</v>
      </c>
      <c r="W43" s="1216">
        <v>111</v>
      </c>
      <c r="X43" s="1216">
        <v>110</v>
      </c>
      <c r="Y43" s="1214">
        <v>1</v>
      </c>
    </row>
    <row r="44" spans="1:25" ht="60" customHeight="1">
      <c r="A44" s="1208">
        <v>40</v>
      </c>
      <c r="B44" s="1206" t="s">
        <v>2604</v>
      </c>
      <c r="C44" s="1207" t="s">
        <v>5474</v>
      </c>
      <c r="D44" s="1211" t="s">
        <v>5481</v>
      </c>
      <c r="E44" s="1214" t="s">
        <v>1765</v>
      </c>
      <c r="F44" s="1215" t="s">
        <v>5482</v>
      </c>
      <c r="G44" s="1214" t="s">
        <v>5478</v>
      </c>
      <c r="H44" s="1216" t="s">
        <v>5483</v>
      </c>
      <c r="I44" s="1217">
        <v>63</v>
      </c>
      <c r="J44" s="1229">
        <v>0</v>
      </c>
      <c r="K44" s="1230">
        <v>0</v>
      </c>
      <c r="L44" s="1230">
        <v>63</v>
      </c>
      <c r="M44" s="1216">
        <v>0</v>
      </c>
      <c r="N44" s="1237" t="s">
        <v>1950</v>
      </c>
      <c r="O44" s="1211" t="s">
        <v>1950</v>
      </c>
      <c r="P44" s="1217" t="s">
        <v>105</v>
      </c>
      <c r="Q44" s="1211" t="s">
        <v>105</v>
      </c>
      <c r="R44" s="1205" t="s">
        <v>5484</v>
      </c>
      <c r="S44" s="1216" t="s">
        <v>82</v>
      </c>
      <c r="T44" s="1217" t="s">
        <v>929</v>
      </c>
      <c r="U44" s="1204" t="s">
        <v>5480</v>
      </c>
      <c r="V44" s="1205" t="s">
        <v>1047</v>
      </c>
      <c r="W44" s="1216">
        <v>20</v>
      </c>
      <c r="X44" s="1216">
        <v>20</v>
      </c>
      <c r="Y44" s="1214">
        <v>0</v>
      </c>
    </row>
    <row r="45" spans="1:25" ht="60" customHeight="1">
      <c r="A45" s="1208">
        <v>41</v>
      </c>
      <c r="B45" s="1206" t="s">
        <v>2604</v>
      </c>
      <c r="C45" s="1207" t="s">
        <v>5485</v>
      </c>
      <c r="D45" s="1211" t="s">
        <v>5486</v>
      </c>
      <c r="E45" s="1214" t="s">
        <v>5487</v>
      </c>
      <c r="F45" s="1215" t="s">
        <v>5488</v>
      </c>
      <c r="G45" s="1214" t="s">
        <v>5489</v>
      </c>
      <c r="H45" s="1216" t="s">
        <v>1993</v>
      </c>
      <c r="I45" s="1217">
        <v>540</v>
      </c>
      <c r="J45" s="1229"/>
      <c r="K45" s="1230">
        <v>40</v>
      </c>
      <c r="L45" s="1230">
        <v>500</v>
      </c>
      <c r="M45" s="1216"/>
      <c r="N45" s="1237"/>
      <c r="O45" s="1211"/>
      <c r="P45" s="1217" t="s">
        <v>92</v>
      </c>
      <c r="Q45" s="1211" t="s">
        <v>936</v>
      </c>
      <c r="R45" s="1205" t="s">
        <v>5490</v>
      </c>
      <c r="S45" s="1216" t="s">
        <v>82</v>
      </c>
      <c r="T45" s="1217" t="s">
        <v>1103</v>
      </c>
      <c r="U45" s="1204" t="s">
        <v>5491</v>
      </c>
      <c r="V45" s="1205" t="s">
        <v>85</v>
      </c>
      <c r="W45" s="1216">
        <v>78</v>
      </c>
      <c r="X45" s="1216">
        <v>78</v>
      </c>
      <c r="Y45" s="1214"/>
    </row>
    <row r="46" spans="1:25" ht="60" customHeight="1">
      <c r="A46" s="1208">
        <v>42</v>
      </c>
      <c r="B46" s="1206" t="s">
        <v>2604</v>
      </c>
      <c r="C46" s="1207" t="s">
        <v>5485</v>
      </c>
      <c r="D46" s="1211" t="s">
        <v>5492</v>
      </c>
      <c r="E46" s="1214" t="s">
        <v>5493</v>
      </c>
      <c r="F46" s="1215" t="s">
        <v>5494</v>
      </c>
      <c r="G46" s="1214" t="s">
        <v>5495</v>
      </c>
      <c r="H46" s="1216" t="s">
        <v>2727</v>
      </c>
      <c r="I46" s="1217">
        <v>400</v>
      </c>
      <c r="J46" s="1229"/>
      <c r="K46" s="1230"/>
      <c r="L46" s="1230">
        <v>400</v>
      </c>
      <c r="M46" s="1216"/>
      <c r="N46" s="1237"/>
      <c r="O46" s="1211"/>
      <c r="P46" s="1217" t="s">
        <v>92</v>
      </c>
      <c r="Q46" s="1211" t="s">
        <v>936</v>
      </c>
      <c r="R46" s="1205" t="s">
        <v>4544</v>
      </c>
      <c r="S46" s="1216" t="s">
        <v>82</v>
      </c>
      <c r="T46" s="1217" t="s">
        <v>1103</v>
      </c>
      <c r="U46" s="1204" t="s">
        <v>5496</v>
      </c>
      <c r="V46" s="1205" t="s">
        <v>1064</v>
      </c>
      <c r="W46" s="1216">
        <v>302</v>
      </c>
      <c r="X46" s="1216">
        <v>300</v>
      </c>
      <c r="Y46" s="1214">
        <v>2</v>
      </c>
    </row>
    <row r="47" spans="1:25" ht="60" customHeight="1">
      <c r="A47" s="1208">
        <v>43</v>
      </c>
      <c r="B47" s="1206" t="s">
        <v>2604</v>
      </c>
      <c r="C47" s="1207" t="s">
        <v>5485</v>
      </c>
      <c r="D47" s="1211" t="s">
        <v>5497</v>
      </c>
      <c r="E47" s="1214" t="s">
        <v>3266</v>
      </c>
      <c r="F47" s="1215" t="s">
        <v>5498</v>
      </c>
      <c r="G47" s="1214" t="s">
        <v>5499</v>
      </c>
      <c r="H47" s="1216" t="s">
        <v>3009</v>
      </c>
      <c r="I47" s="1217">
        <v>100</v>
      </c>
      <c r="J47" s="1229"/>
      <c r="K47" s="1230" t="s">
        <v>1702</v>
      </c>
      <c r="L47" s="1230">
        <v>100</v>
      </c>
      <c r="M47" s="1216"/>
      <c r="N47" s="1237"/>
      <c r="O47" s="1211"/>
      <c r="P47" s="1217" t="s">
        <v>105</v>
      </c>
      <c r="Q47" s="1211" t="s">
        <v>936</v>
      </c>
      <c r="R47" s="1205" t="s">
        <v>5500</v>
      </c>
      <c r="S47" s="1216" t="s">
        <v>82</v>
      </c>
      <c r="T47" s="1217" t="s">
        <v>1103</v>
      </c>
      <c r="U47" s="1204" t="s">
        <v>5501</v>
      </c>
      <c r="V47" s="1205" t="s">
        <v>85</v>
      </c>
      <c r="W47" s="1216">
        <v>8</v>
      </c>
      <c r="X47" s="1216">
        <v>8</v>
      </c>
      <c r="Y47" s="1214"/>
    </row>
    <row r="48" spans="1:25" ht="60" customHeight="1">
      <c r="A48" s="1208">
        <v>44</v>
      </c>
      <c r="B48" s="1206" t="s">
        <v>2604</v>
      </c>
      <c r="C48" s="1207" t="s">
        <v>5485</v>
      </c>
      <c r="D48" s="1211" t="s">
        <v>5502</v>
      </c>
      <c r="E48" s="1214" t="s">
        <v>2378</v>
      </c>
      <c r="F48" s="1215" t="s">
        <v>5503</v>
      </c>
      <c r="G48" s="1214" t="s">
        <v>5504</v>
      </c>
      <c r="H48" s="1216" t="s">
        <v>2727</v>
      </c>
      <c r="I48" s="1217">
        <v>80</v>
      </c>
      <c r="J48" s="1229"/>
      <c r="K48" s="1230">
        <v>20</v>
      </c>
      <c r="L48" s="1230">
        <v>60</v>
      </c>
      <c r="M48" s="1216"/>
      <c r="N48" s="1237"/>
      <c r="O48" s="1211"/>
      <c r="P48" s="1217" t="s">
        <v>67</v>
      </c>
      <c r="Q48" s="1211" t="s">
        <v>936</v>
      </c>
      <c r="R48" s="1205" t="s">
        <v>5505</v>
      </c>
      <c r="S48" s="1216" t="s">
        <v>82</v>
      </c>
      <c r="T48" s="1217" t="s">
        <v>83</v>
      </c>
      <c r="U48" s="1204" t="s">
        <v>84</v>
      </c>
      <c r="V48" s="1205" t="s">
        <v>85</v>
      </c>
      <c r="W48" s="1216">
        <v>8</v>
      </c>
      <c r="X48" s="1216">
        <v>8</v>
      </c>
      <c r="Y48" s="1214"/>
    </row>
    <row r="49" spans="1:25" ht="60" customHeight="1">
      <c r="A49" s="1208">
        <v>45</v>
      </c>
      <c r="B49" s="1206" t="s">
        <v>2604</v>
      </c>
      <c r="C49" s="1207" t="s">
        <v>5506</v>
      </c>
      <c r="D49" s="1211" t="s">
        <v>5507</v>
      </c>
      <c r="E49" s="1214" t="s">
        <v>5508</v>
      </c>
      <c r="F49" s="1215" t="s">
        <v>5509</v>
      </c>
      <c r="G49" s="1214" t="s">
        <v>5510</v>
      </c>
      <c r="H49" s="1216" t="s">
        <v>2762</v>
      </c>
      <c r="I49" s="1217">
        <v>740</v>
      </c>
      <c r="J49" s="1229">
        <v>70</v>
      </c>
      <c r="K49" s="1230">
        <v>70</v>
      </c>
      <c r="L49" s="1230">
        <v>600</v>
      </c>
      <c r="M49" s="1216">
        <v>0</v>
      </c>
      <c r="N49" s="1237" t="s">
        <v>927</v>
      </c>
      <c r="O49" s="1211" t="s">
        <v>5511</v>
      </c>
      <c r="P49" s="1217" t="s">
        <v>92</v>
      </c>
      <c r="Q49" s="1211" t="s">
        <v>92</v>
      </c>
      <c r="R49" s="1205" t="s">
        <v>5512</v>
      </c>
      <c r="S49" s="1216" t="s">
        <v>82</v>
      </c>
      <c r="T49" s="1217" t="s">
        <v>929</v>
      </c>
      <c r="U49" s="1204" t="s">
        <v>1141</v>
      </c>
      <c r="V49" s="1205" t="s">
        <v>85</v>
      </c>
      <c r="W49" s="1216">
        <v>96</v>
      </c>
      <c r="X49" s="1216">
        <v>96</v>
      </c>
      <c r="Y49" s="1214">
        <v>0</v>
      </c>
    </row>
    <row r="50" spans="1:25" ht="60" customHeight="1">
      <c r="A50" s="1208">
        <v>46</v>
      </c>
      <c r="B50" s="1206" t="s">
        <v>2604</v>
      </c>
      <c r="C50" s="1207" t="s">
        <v>5506</v>
      </c>
      <c r="D50" s="1211" t="s">
        <v>5513</v>
      </c>
      <c r="E50" s="1214" t="s">
        <v>5514</v>
      </c>
      <c r="F50" s="1215" t="s">
        <v>5515</v>
      </c>
      <c r="G50" s="1214" t="s">
        <v>5516</v>
      </c>
      <c r="H50" s="1216" t="s">
        <v>2698</v>
      </c>
      <c r="I50" s="1217">
        <v>120</v>
      </c>
      <c r="J50" s="1229">
        <v>0</v>
      </c>
      <c r="K50" s="1230">
        <v>30</v>
      </c>
      <c r="L50" s="1230">
        <v>90</v>
      </c>
      <c r="M50" s="1216">
        <v>0</v>
      </c>
      <c r="N50" s="1237"/>
      <c r="O50" s="1211"/>
      <c r="P50" s="1217" t="s">
        <v>92</v>
      </c>
      <c r="Q50" s="1211"/>
      <c r="R50" s="1205" t="s">
        <v>5517</v>
      </c>
      <c r="S50" s="1216" t="s">
        <v>82</v>
      </c>
      <c r="T50" s="1217" t="s">
        <v>2015</v>
      </c>
      <c r="U50" s="1204" t="s">
        <v>1141</v>
      </c>
      <c r="V50" s="1205" t="s">
        <v>85</v>
      </c>
      <c r="W50" s="1216">
        <v>50</v>
      </c>
      <c r="X50" s="1216">
        <v>50</v>
      </c>
      <c r="Y50" s="1214">
        <v>0</v>
      </c>
    </row>
    <row r="51" spans="1:25" ht="60" customHeight="1">
      <c r="A51" s="1208">
        <v>47</v>
      </c>
      <c r="B51" s="1206" t="s">
        <v>2604</v>
      </c>
      <c r="C51" s="1207" t="s">
        <v>5506</v>
      </c>
      <c r="D51" s="1211" t="s">
        <v>5518</v>
      </c>
      <c r="E51" s="1214" t="s">
        <v>5519</v>
      </c>
      <c r="F51" s="1215" t="s">
        <v>5520</v>
      </c>
      <c r="G51" s="1214" t="s">
        <v>5521</v>
      </c>
      <c r="H51" s="1216" t="s">
        <v>3418</v>
      </c>
      <c r="I51" s="1217">
        <v>150</v>
      </c>
      <c r="J51" s="1229">
        <v>0</v>
      </c>
      <c r="K51" s="1230">
        <v>30</v>
      </c>
      <c r="L51" s="1230">
        <v>120</v>
      </c>
      <c r="M51" s="1216">
        <v>0</v>
      </c>
      <c r="N51" s="1237"/>
      <c r="O51" s="1211"/>
      <c r="P51" s="1217" t="s">
        <v>92</v>
      </c>
      <c r="Q51" s="1211"/>
      <c r="R51" s="1205" t="s">
        <v>5522</v>
      </c>
      <c r="S51" s="1216" t="s">
        <v>82</v>
      </c>
      <c r="T51" s="1217" t="s">
        <v>2015</v>
      </c>
      <c r="U51" s="1204" t="s">
        <v>1141</v>
      </c>
      <c r="V51" s="1205" t="s">
        <v>85</v>
      </c>
      <c r="W51" s="1216">
        <v>11</v>
      </c>
      <c r="X51" s="1216">
        <v>11</v>
      </c>
      <c r="Y51" s="1214">
        <v>0</v>
      </c>
    </row>
    <row r="52" spans="1:25" ht="60" customHeight="1">
      <c r="A52" s="1208">
        <v>48</v>
      </c>
      <c r="B52" s="1206" t="s">
        <v>2604</v>
      </c>
      <c r="C52" s="1207" t="s">
        <v>5506</v>
      </c>
      <c r="D52" s="1211" t="s">
        <v>5523</v>
      </c>
      <c r="E52" s="1214" t="s">
        <v>3657</v>
      </c>
      <c r="F52" s="1215" t="s">
        <v>5524</v>
      </c>
      <c r="G52" s="1214" t="s">
        <v>5525</v>
      </c>
      <c r="H52" s="1216" t="s">
        <v>1990</v>
      </c>
      <c r="I52" s="1217">
        <v>300</v>
      </c>
      <c r="J52" s="1229">
        <v>0</v>
      </c>
      <c r="K52" s="1230">
        <v>100</v>
      </c>
      <c r="L52" s="1230">
        <v>200</v>
      </c>
      <c r="M52" s="1216">
        <v>0</v>
      </c>
      <c r="N52" s="1237"/>
      <c r="O52" s="1211"/>
      <c r="P52" s="1217" t="s">
        <v>124</v>
      </c>
      <c r="Q52" s="1211"/>
      <c r="R52" s="1205" t="s">
        <v>2009</v>
      </c>
      <c r="S52" s="1216" t="s">
        <v>82</v>
      </c>
      <c r="T52" s="1217" t="s">
        <v>2015</v>
      </c>
      <c r="U52" s="1204" t="s">
        <v>1141</v>
      </c>
      <c r="V52" s="1205" t="s">
        <v>85</v>
      </c>
      <c r="W52" s="1216">
        <v>163</v>
      </c>
      <c r="X52" s="1216">
        <v>163</v>
      </c>
      <c r="Y52" s="1214">
        <v>0</v>
      </c>
    </row>
    <row r="53" spans="1:25" ht="60" customHeight="1">
      <c r="A53" s="1208">
        <v>49</v>
      </c>
      <c r="B53" s="1206" t="s">
        <v>2604</v>
      </c>
      <c r="C53" s="1207" t="s">
        <v>5526</v>
      </c>
      <c r="D53" s="1211" t="s">
        <v>5527</v>
      </c>
      <c r="E53" s="1214" t="s">
        <v>2489</v>
      </c>
      <c r="F53" s="1215" t="s">
        <v>5528</v>
      </c>
      <c r="G53" s="1214" t="s">
        <v>5529</v>
      </c>
      <c r="H53" s="1299" t="s">
        <v>5530</v>
      </c>
      <c r="I53" s="1217">
        <v>530</v>
      </c>
      <c r="J53" s="1229"/>
      <c r="K53" s="1230"/>
      <c r="L53" s="1230">
        <v>530</v>
      </c>
      <c r="M53" s="1216"/>
      <c r="N53" s="1237"/>
      <c r="O53" s="1211"/>
      <c r="P53" s="1217" t="s">
        <v>105</v>
      </c>
      <c r="Q53" s="1211"/>
      <c r="R53" s="1205" t="s">
        <v>5531</v>
      </c>
      <c r="S53" s="1216" t="s">
        <v>82</v>
      </c>
      <c r="T53" s="1217" t="s">
        <v>929</v>
      </c>
      <c r="U53" s="1204" t="s">
        <v>1141</v>
      </c>
      <c r="V53" s="1205" t="s">
        <v>85</v>
      </c>
      <c r="W53" s="1216">
        <v>200</v>
      </c>
      <c r="X53" s="1216">
        <v>200</v>
      </c>
      <c r="Y53" s="1214"/>
    </row>
    <row r="54" spans="1:25" ht="60" customHeight="1">
      <c r="A54" s="1208">
        <v>50</v>
      </c>
      <c r="B54" s="1206" t="s">
        <v>2604</v>
      </c>
      <c r="C54" s="1207" t="s">
        <v>5526</v>
      </c>
      <c r="D54" s="1211" t="s">
        <v>5532</v>
      </c>
      <c r="E54" s="1214" t="s">
        <v>2119</v>
      </c>
      <c r="F54" s="1215" t="s">
        <v>5533</v>
      </c>
      <c r="G54" s="1214" t="s">
        <v>5534</v>
      </c>
      <c r="H54" s="1299" t="s">
        <v>3136</v>
      </c>
      <c r="I54" s="1217">
        <v>270</v>
      </c>
      <c r="J54" s="1229"/>
      <c r="K54" s="1230"/>
      <c r="L54" s="1230">
        <v>270</v>
      </c>
      <c r="M54" s="1216"/>
      <c r="N54" s="1237"/>
      <c r="O54" s="1211"/>
      <c r="P54" s="1217" t="s">
        <v>92</v>
      </c>
      <c r="Q54" s="1211"/>
      <c r="R54" s="1205" t="s">
        <v>5535</v>
      </c>
      <c r="S54" s="1216" t="s">
        <v>82</v>
      </c>
      <c r="T54" s="1217" t="s">
        <v>929</v>
      </c>
      <c r="U54" s="1204" t="s">
        <v>1141</v>
      </c>
      <c r="V54" s="1205" t="s">
        <v>85</v>
      </c>
      <c r="W54" s="1216">
        <v>370</v>
      </c>
      <c r="X54" s="1216">
        <v>370</v>
      </c>
      <c r="Y54" s="1214"/>
    </row>
    <row r="55" spans="1:25" ht="60" customHeight="1">
      <c r="A55" s="1208">
        <v>51</v>
      </c>
      <c r="B55" s="1206" t="s">
        <v>2604</v>
      </c>
      <c r="C55" s="1207" t="s">
        <v>5526</v>
      </c>
      <c r="D55" s="1211" t="s">
        <v>5536</v>
      </c>
      <c r="E55" s="1214" t="s">
        <v>2119</v>
      </c>
      <c r="F55" s="1215" t="s">
        <v>5537</v>
      </c>
      <c r="G55" s="1214" t="s">
        <v>5538</v>
      </c>
      <c r="H55" s="1299" t="s">
        <v>1015</v>
      </c>
      <c r="I55" s="1217">
        <v>650</v>
      </c>
      <c r="J55" s="1229">
        <v>150</v>
      </c>
      <c r="K55" s="1230">
        <v>67</v>
      </c>
      <c r="L55" s="1230">
        <v>433</v>
      </c>
      <c r="M55" s="1216"/>
      <c r="N55" s="1237" t="s">
        <v>927</v>
      </c>
      <c r="O55" s="1211" t="s">
        <v>5539</v>
      </c>
      <c r="P55" s="1217" t="s">
        <v>67</v>
      </c>
      <c r="Q55" s="1211"/>
      <c r="R55" s="1205" t="s">
        <v>5540</v>
      </c>
      <c r="S55" s="1216" t="s">
        <v>82</v>
      </c>
      <c r="T55" s="1217" t="s">
        <v>5541</v>
      </c>
      <c r="U55" s="1204" t="s">
        <v>1141</v>
      </c>
      <c r="V55" s="1205" t="s">
        <v>1047</v>
      </c>
      <c r="W55" s="1216">
        <v>370</v>
      </c>
      <c r="X55" s="1216">
        <v>370</v>
      </c>
      <c r="Y55" s="1214"/>
    </row>
    <row r="56" spans="1:25" ht="60" customHeight="1">
      <c r="A56" s="1208">
        <v>52</v>
      </c>
      <c r="B56" s="1307" t="s">
        <v>2604</v>
      </c>
      <c r="C56" s="1207" t="s">
        <v>5542</v>
      </c>
      <c r="D56" s="1308" t="s">
        <v>5543</v>
      </c>
      <c r="E56" s="1309" t="s">
        <v>3646</v>
      </c>
      <c r="F56" s="1310" t="s">
        <v>5544</v>
      </c>
      <c r="G56" s="1309" t="s">
        <v>5545</v>
      </c>
      <c r="H56" s="1311" t="s">
        <v>1993</v>
      </c>
      <c r="I56" s="1312">
        <v>1400</v>
      </c>
      <c r="J56" s="1313">
        <v>70</v>
      </c>
      <c r="K56" s="1314">
        <v>70</v>
      </c>
      <c r="L56" s="1315">
        <v>1260</v>
      </c>
      <c r="M56" s="1311">
        <v>0</v>
      </c>
      <c r="N56" s="1316" t="s">
        <v>927</v>
      </c>
      <c r="O56" s="1308" t="s">
        <v>1248</v>
      </c>
      <c r="P56" s="1317" t="s">
        <v>105</v>
      </c>
      <c r="Q56" s="1318" t="s">
        <v>5546</v>
      </c>
      <c r="R56" s="1319" t="s">
        <v>5547</v>
      </c>
      <c r="S56" s="1320" t="s">
        <v>82</v>
      </c>
      <c r="T56" s="1321" t="s">
        <v>83</v>
      </c>
      <c r="U56" s="1204" t="s">
        <v>5548</v>
      </c>
      <c r="V56" s="1322" t="s">
        <v>85</v>
      </c>
      <c r="W56" s="1323">
        <v>99.9</v>
      </c>
      <c r="X56" s="1324">
        <v>99</v>
      </c>
      <c r="Y56" s="1309">
        <v>0.9</v>
      </c>
    </row>
    <row r="57" spans="1:25" ht="60" customHeight="1">
      <c r="A57" s="1208">
        <v>53</v>
      </c>
      <c r="B57" s="1307" t="s">
        <v>2604</v>
      </c>
      <c r="C57" s="1207" t="s">
        <v>5542</v>
      </c>
      <c r="D57" s="1308" t="s">
        <v>5549</v>
      </c>
      <c r="E57" s="1309" t="s">
        <v>5550</v>
      </c>
      <c r="F57" s="1310" t="s">
        <v>5551</v>
      </c>
      <c r="G57" s="1309" t="s">
        <v>5545</v>
      </c>
      <c r="H57" s="1311" t="s">
        <v>972</v>
      </c>
      <c r="I57" s="1306">
        <v>50</v>
      </c>
      <c r="J57" s="1313">
        <v>0</v>
      </c>
      <c r="K57" s="1314">
        <v>0</v>
      </c>
      <c r="L57" s="1314">
        <v>50</v>
      </c>
      <c r="M57" s="1311">
        <v>0</v>
      </c>
      <c r="N57" s="1316"/>
      <c r="O57" s="1308"/>
      <c r="P57" s="1317" t="s">
        <v>167</v>
      </c>
      <c r="Q57" s="1325"/>
      <c r="R57" s="1326" t="s">
        <v>2376</v>
      </c>
      <c r="S57" s="1320" t="s">
        <v>82</v>
      </c>
      <c r="T57" s="1321" t="s">
        <v>83</v>
      </c>
      <c r="U57" s="1204" t="s">
        <v>5552</v>
      </c>
      <c r="V57" s="1322" t="s">
        <v>85</v>
      </c>
      <c r="W57" s="1323">
        <v>10</v>
      </c>
      <c r="X57" s="1324">
        <v>10</v>
      </c>
      <c r="Y57" s="1309">
        <v>0</v>
      </c>
    </row>
    <row r="58" spans="1:25" ht="60" customHeight="1">
      <c r="A58" s="1208">
        <v>54</v>
      </c>
      <c r="B58" s="1206" t="s">
        <v>2604</v>
      </c>
      <c r="C58" s="1207" t="s">
        <v>5542</v>
      </c>
      <c r="D58" s="1211" t="s">
        <v>5553</v>
      </c>
      <c r="E58" s="1214" t="s">
        <v>5554</v>
      </c>
      <c r="F58" s="1215" t="s">
        <v>5555</v>
      </c>
      <c r="G58" s="1214" t="s">
        <v>5556</v>
      </c>
      <c r="H58" s="1216" t="s">
        <v>5557</v>
      </c>
      <c r="I58" s="1217">
        <v>80</v>
      </c>
      <c r="J58" s="1229">
        <v>0</v>
      </c>
      <c r="K58" s="1230">
        <v>0</v>
      </c>
      <c r="L58" s="1230">
        <v>80</v>
      </c>
      <c r="M58" s="1216">
        <v>0</v>
      </c>
      <c r="N58" s="1237"/>
      <c r="O58" s="1211"/>
      <c r="P58" s="1217" t="s">
        <v>67</v>
      </c>
      <c r="Q58" s="1204"/>
      <c r="R58" s="1216" t="s">
        <v>67</v>
      </c>
      <c r="S58" s="1214" t="s">
        <v>82</v>
      </c>
      <c r="T58" s="1327"/>
      <c r="U58" s="1205"/>
      <c r="V58" s="1272" t="s">
        <v>1047</v>
      </c>
      <c r="W58" s="1323">
        <v>30</v>
      </c>
      <c r="X58" s="1214">
        <v>30</v>
      </c>
      <c r="Y58" s="1214">
        <v>0</v>
      </c>
    </row>
    <row r="59" spans="1:25" ht="60" customHeight="1">
      <c r="A59" s="1208">
        <v>55</v>
      </c>
      <c r="B59" s="1206" t="s">
        <v>2604</v>
      </c>
      <c r="C59" s="1207" t="s">
        <v>5558</v>
      </c>
      <c r="D59" s="1211" t="s">
        <v>5559</v>
      </c>
      <c r="E59" s="1214" t="s">
        <v>5560</v>
      </c>
      <c r="F59" s="1300" t="s">
        <v>5561</v>
      </c>
      <c r="G59" s="1214" t="s">
        <v>5562</v>
      </c>
      <c r="H59" s="1216" t="s">
        <v>1959</v>
      </c>
      <c r="I59" s="1301">
        <v>1150</v>
      </c>
      <c r="J59" s="1229"/>
      <c r="K59" s="1230"/>
      <c r="L59" s="1302">
        <v>1150</v>
      </c>
      <c r="M59" s="1216"/>
      <c r="N59" s="1237"/>
      <c r="O59" s="1211"/>
      <c r="P59" s="1217" t="s">
        <v>67</v>
      </c>
      <c r="Q59" s="1211"/>
      <c r="R59" s="1205" t="s">
        <v>5563</v>
      </c>
      <c r="S59" s="1216" t="s">
        <v>82</v>
      </c>
      <c r="T59" s="1217" t="s">
        <v>929</v>
      </c>
      <c r="U59" s="1204" t="s">
        <v>5564</v>
      </c>
      <c r="V59" s="1205" t="s">
        <v>1064</v>
      </c>
      <c r="W59" s="1216">
        <v>400</v>
      </c>
      <c r="X59" s="1216">
        <v>400</v>
      </c>
      <c r="Y59" s="1214"/>
    </row>
    <row r="60" spans="1:25" ht="60" customHeight="1">
      <c r="A60" s="1208">
        <v>56</v>
      </c>
      <c r="B60" s="1206" t="s">
        <v>2604</v>
      </c>
      <c r="C60" s="1207" t="s">
        <v>5565</v>
      </c>
      <c r="D60" s="1211" t="s">
        <v>5566</v>
      </c>
      <c r="E60" s="1214" t="s">
        <v>5567</v>
      </c>
      <c r="F60" s="1303" t="s">
        <v>5568</v>
      </c>
      <c r="G60" s="1214" t="s">
        <v>5569</v>
      </c>
      <c r="H60" s="1216" t="s">
        <v>1886</v>
      </c>
      <c r="I60" s="1301">
        <v>1800</v>
      </c>
      <c r="J60" s="1229">
        <v>720</v>
      </c>
      <c r="K60" s="1230">
        <v>324</v>
      </c>
      <c r="L60" s="1230">
        <v>756</v>
      </c>
      <c r="M60" s="1216"/>
      <c r="N60" s="1237" t="s">
        <v>927</v>
      </c>
      <c r="O60" s="1211" t="s">
        <v>1995</v>
      </c>
      <c r="P60" s="1217" t="s">
        <v>67</v>
      </c>
      <c r="Q60" s="1304" t="s">
        <v>936</v>
      </c>
      <c r="R60" s="1216" t="s">
        <v>5570</v>
      </c>
      <c r="S60" s="1216" t="s">
        <v>82</v>
      </c>
      <c r="T60" s="1217" t="s">
        <v>2015</v>
      </c>
      <c r="U60" s="1204" t="s">
        <v>84</v>
      </c>
      <c r="V60" s="1205" t="s">
        <v>5571</v>
      </c>
      <c r="W60" s="1216">
        <v>340</v>
      </c>
      <c r="X60" s="1216">
        <v>310</v>
      </c>
      <c r="Y60" s="1214">
        <v>30</v>
      </c>
    </row>
    <row r="61" spans="1:25" ht="60" customHeight="1">
      <c r="A61" s="1208">
        <v>57</v>
      </c>
      <c r="B61" s="1206" t="s">
        <v>2604</v>
      </c>
      <c r="C61" s="1207" t="s">
        <v>5565</v>
      </c>
      <c r="D61" s="1211" t="s">
        <v>5572</v>
      </c>
      <c r="E61" s="1214" t="s">
        <v>952</v>
      </c>
      <c r="F61" s="1215" t="s">
        <v>5573</v>
      </c>
      <c r="G61" s="1214" t="s">
        <v>5574</v>
      </c>
      <c r="H61" s="1216" t="s">
        <v>1010</v>
      </c>
      <c r="I61" s="1217">
        <v>200</v>
      </c>
      <c r="J61" s="1229"/>
      <c r="K61" s="1230">
        <v>36</v>
      </c>
      <c r="L61" s="1230">
        <v>164</v>
      </c>
      <c r="M61" s="1216"/>
      <c r="N61" s="1237"/>
      <c r="O61" s="1211"/>
      <c r="P61" s="1217" t="s">
        <v>67</v>
      </c>
      <c r="Q61" s="1204" t="s">
        <v>936</v>
      </c>
      <c r="R61" s="1216" t="s">
        <v>5575</v>
      </c>
      <c r="S61" s="1217" t="s">
        <v>82</v>
      </c>
      <c r="T61" s="1217" t="s">
        <v>5576</v>
      </c>
      <c r="U61" s="1229" t="s">
        <v>84</v>
      </c>
      <c r="V61" s="1205" t="s">
        <v>85</v>
      </c>
      <c r="W61" s="1258">
        <v>19.149999999999999</v>
      </c>
      <c r="X61" s="1259">
        <v>19</v>
      </c>
      <c r="Y61" s="1214">
        <v>0.15</v>
      </c>
    </row>
    <row r="62" spans="1:25" ht="60" customHeight="1">
      <c r="A62" s="1208">
        <v>58</v>
      </c>
      <c r="B62" s="1206" t="s">
        <v>2604</v>
      </c>
      <c r="C62" s="1207" t="s">
        <v>5577</v>
      </c>
      <c r="D62" s="1211" t="s">
        <v>5578</v>
      </c>
      <c r="E62" s="1214" t="s">
        <v>5579</v>
      </c>
      <c r="F62" s="1215" t="s">
        <v>5580</v>
      </c>
      <c r="G62" s="1214" t="s">
        <v>5581</v>
      </c>
      <c r="H62" s="1216" t="s">
        <v>5582</v>
      </c>
      <c r="I62" s="1217">
        <v>800</v>
      </c>
      <c r="J62" s="1229">
        <v>100</v>
      </c>
      <c r="K62" s="1230">
        <v>45</v>
      </c>
      <c r="L62" s="1230">
        <v>655</v>
      </c>
      <c r="M62" s="1216"/>
      <c r="N62" s="1237" t="s">
        <v>927</v>
      </c>
      <c r="O62" s="1211" t="s">
        <v>1825</v>
      </c>
      <c r="P62" s="1217" t="s">
        <v>67</v>
      </c>
      <c r="Q62" s="1237" t="s">
        <v>936</v>
      </c>
      <c r="R62" s="1205" t="s">
        <v>5583</v>
      </c>
      <c r="S62" s="1216" t="s">
        <v>2124</v>
      </c>
      <c r="T62" s="1217" t="s">
        <v>929</v>
      </c>
      <c r="U62" s="1204" t="s">
        <v>1141</v>
      </c>
      <c r="V62" s="1205" t="s">
        <v>1047</v>
      </c>
      <c r="W62" s="1216" t="s">
        <v>5584</v>
      </c>
      <c r="X62" s="1216" t="s">
        <v>5584</v>
      </c>
      <c r="Y62" s="1214"/>
    </row>
    <row r="63" spans="1:25" ht="60" customHeight="1">
      <c r="A63" s="1208">
        <v>59</v>
      </c>
      <c r="B63" s="1206" t="s">
        <v>2604</v>
      </c>
      <c r="C63" s="1207" t="s">
        <v>5577</v>
      </c>
      <c r="D63" s="1211" t="s">
        <v>5585</v>
      </c>
      <c r="E63" s="1214" t="s">
        <v>5579</v>
      </c>
      <c r="F63" s="1215" t="s">
        <v>5586</v>
      </c>
      <c r="G63" s="1214" t="s">
        <v>5587</v>
      </c>
      <c r="H63" s="1216" t="s">
        <v>2568</v>
      </c>
      <c r="I63" s="1217">
        <v>300</v>
      </c>
      <c r="J63" s="1229"/>
      <c r="K63" s="1230"/>
      <c r="L63" s="1230">
        <v>300</v>
      </c>
      <c r="M63" s="1216"/>
      <c r="N63" s="1237"/>
      <c r="O63" s="1211"/>
      <c r="P63" s="1217" t="s">
        <v>92</v>
      </c>
      <c r="Q63" s="1205" t="s">
        <v>936</v>
      </c>
      <c r="R63" s="1216" t="s">
        <v>5588</v>
      </c>
      <c r="S63" s="1217" t="s">
        <v>82</v>
      </c>
      <c r="T63" s="1204" t="s">
        <v>95</v>
      </c>
      <c r="U63" s="1205" t="s">
        <v>1141</v>
      </c>
      <c r="V63" s="1216" t="s">
        <v>85</v>
      </c>
      <c r="W63" s="1216">
        <v>100</v>
      </c>
      <c r="X63" s="1214">
        <v>100</v>
      </c>
      <c r="Y63" s="1214"/>
    </row>
    <row r="64" spans="1:25" ht="60" customHeight="1">
      <c r="A64" s="1208">
        <v>60</v>
      </c>
      <c r="B64" s="1206" t="s">
        <v>2604</v>
      </c>
      <c r="C64" s="1207" t="s">
        <v>5577</v>
      </c>
      <c r="D64" s="1211" t="s">
        <v>5589</v>
      </c>
      <c r="E64" s="1214" t="s">
        <v>5590</v>
      </c>
      <c r="F64" s="1215" t="s">
        <v>5591</v>
      </c>
      <c r="G64" s="1214" t="s">
        <v>5592</v>
      </c>
      <c r="H64" s="1216" t="s">
        <v>5593</v>
      </c>
      <c r="I64" s="1217">
        <v>100</v>
      </c>
      <c r="J64" s="1229"/>
      <c r="K64" s="1230"/>
      <c r="L64" s="1230">
        <v>100</v>
      </c>
      <c r="M64" s="1216"/>
      <c r="N64" s="1237"/>
      <c r="O64" s="1211"/>
      <c r="P64" s="1217" t="s">
        <v>105</v>
      </c>
      <c r="Q64" s="1205" t="s">
        <v>3647</v>
      </c>
      <c r="R64" s="1216" t="s">
        <v>5594</v>
      </c>
      <c r="S64" s="1217" t="s">
        <v>82</v>
      </c>
      <c r="T64" s="1204" t="s">
        <v>1103</v>
      </c>
      <c r="U64" s="1205" t="s">
        <v>5595</v>
      </c>
      <c r="V64" s="1216" t="s">
        <v>85</v>
      </c>
      <c r="W64" s="1216">
        <v>25</v>
      </c>
      <c r="X64" s="1214">
        <v>25</v>
      </c>
      <c r="Y64" s="1214"/>
    </row>
    <row r="65" spans="1:25" ht="60" customHeight="1">
      <c r="A65" s="1208">
        <v>61</v>
      </c>
      <c r="B65" s="1206" t="s">
        <v>2604</v>
      </c>
      <c r="C65" s="1207" t="s">
        <v>5577</v>
      </c>
      <c r="D65" s="1211" t="s">
        <v>5596</v>
      </c>
      <c r="E65" s="1214" t="s">
        <v>5590</v>
      </c>
      <c r="F65" s="1215" t="s">
        <v>5597</v>
      </c>
      <c r="G65" s="1214" t="s">
        <v>5598</v>
      </c>
      <c r="H65" s="1216" t="s">
        <v>2136</v>
      </c>
      <c r="I65" s="1217">
        <v>50</v>
      </c>
      <c r="J65" s="1229"/>
      <c r="K65" s="1230" t="s">
        <v>1702</v>
      </c>
      <c r="L65" s="1230">
        <v>50</v>
      </c>
      <c r="M65" s="1216"/>
      <c r="N65" s="1237"/>
      <c r="O65" s="1211"/>
      <c r="P65" s="1217" t="s">
        <v>92</v>
      </c>
      <c r="Q65" s="1205" t="s">
        <v>936</v>
      </c>
      <c r="R65" s="1216" t="s">
        <v>5599</v>
      </c>
      <c r="S65" s="1217" t="s">
        <v>82</v>
      </c>
      <c r="T65" s="1204" t="s">
        <v>95</v>
      </c>
      <c r="U65" s="1205" t="s">
        <v>1141</v>
      </c>
      <c r="V65" s="1216" t="s">
        <v>85</v>
      </c>
      <c r="W65" s="1216">
        <v>25</v>
      </c>
      <c r="X65" s="1214">
        <v>25</v>
      </c>
      <c r="Y65" s="1214"/>
    </row>
    <row r="66" spans="1:25" ht="60" customHeight="1">
      <c r="A66" s="1208">
        <v>62</v>
      </c>
      <c r="B66" s="1206" t="s">
        <v>2604</v>
      </c>
      <c r="C66" s="1207" t="s">
        <v>5600</v>
      </c>
      <c r="D66" s="1211" t="s">
        <v>5601</v>
      </c>
      <c r="E66" s="1214" t="s">
        <v>5602</v>
      </c>
      <c r="F66" s="1215" t="s">
        <v>5603</v>
      </c>
      <c r="G66" s="1214" t="s">
        <v>5604</v>
      </c>
      <c r="H66" s="1216" t="s">
        <v>3418</v>
      </c>
      <c r="I66" s="1301">
        <v>1464</v>
      </c>
      <c r="J66" s="1229">
        <v>92</v>
      </c>
      <c r="K66" s="1230">
        <v>92</v>
      </c>
      <c r="L66" s="1302">
        <v>1280</v>
      </c>
      <c r="M66" s="1216" t="s">
        <v>945</v>
      </c>
      <c r="N66" s="1237" t="s">
        <v>927</v>
      </c>
      <c r="O66" s="1211" t="s">
        <v>1248</v>
      </c>
      <c r="P66" s="1217" t="s">
        <v>167</v>
      </c>
      <c r="Q66" s="1205" t="s">
        <v>1249</v>
      </c>
      <c r="R66" s="1216" t="s">
        <v>5522</v>
      </c>
      <c r="S66" s="1217" t="s">
        <v>82</v>
      </c>
      <c r="T66" s="1204" t="s">
        <v>83</v>
      </c>
      <c r="U66" s="1205" t="s">
        <v>84</v>
      </c>
      <c r="V66" s="1216" t="s">
        <v>1064</v>
      </c>
      <c r="W66" s="1216">
        <v>500</v>
      </c>
      <c r="X66" s="1214">
        <v>500</v>
      </c>
      <c r="Y66" s="1214" t="s">
        <v>945</v>
      </c>
    </row>
    <row r="67" spans="1:25" ht="60" customHeight="1">
      <c r="A67" s="1208">
        <v>63</v>
      </c>
      <c r="B67" s="1206" t="s">
        <v>2604</v>
      </c>
      <c r="C67" s="1207" t="s">
        <v>5600</v>
      </c>
      <c r="D67" s="1211" t="s">
        <v>5605</v>
      </c>
      <c r="E67" s="1214" t="s">
        <v>5606</v>
      </c>
      <c r="F67" s="1215" t="s">
        <v>5607</v>
      </c>
      <c r="G67" s="1214" t="s">
        <v>5608</v>
      </c>
      <c r="H67" s="1216" t="s">
        <v>3643</v>
      </c>
      <c r="I67" s="1217">
        <v>360</v>
      </c>
      <c r="J67" s="1229" t="s">
        <v>945</v>
      </c>
      <c r="K67" s="1230" t="s">
        <v>945</v>
      </c>
      <c r="L67" s="1230">
        <v>360</v>
      </c>
      <c r="M67" s="1216" t="s">
        <v>945</v>
      </c>
      <c r="N67" s="1237" t="s">
        <v>945</v>
      </c>
      <c r="O67" s="1211" t="s">
        <v>945</v>
      </c>
      <c r="P67" s="1217" t="s">
        <v>92</v>
      </c>
      <c r="Q67" s="1205" t="s">
        <v>936</v>
      </c>
      <c r="R67" s="1216" t="s">
        <v>5609</v>
      </c>
      <c r="S67" s="1217" t="s">
        <v>82</v>
      </c>
      <c r="T67" s="1204" t="s">
        <v>83</v>
      </c>
      <c r="U67" s="1205" t="s">
        <v>84</v>
      </c>
      <c r="V67" s="1216" t="s">
        <v>1064</v>
      </c>
      <c r="W67" s="1216">
        <v>190</v>
      </c>
      <c r="X67" s="1214">
        <v>190</v>
      </c>
      <c r="Y67" s="1214" t="s">
        <v>945</v>
      </c>
    </row>
    <row r="68" spans="1:25" ht="60" customHeight="1">
      <c r="A68" s="1208">
        <v>64</v>
      </c>
      <c r="B68" s="1206" t="s">
        <v>2604</v>
      </c>
      <c r="C68" s="1207" t="s">
        <v>5600</v>
      </c>
      <c r="D68" s="1211" t="s">
        <v>5610</v>
      </c>
      <c r="E68" s="1214" t="s">
        <v>5611</v>
      </c>
      <c r="F68" s="1215" t="s">
        <v>5612</v>
      </c>
      <c r="G68" s="1214" t="s">
        <v>5613</v>
      </c>
      <c r="H68" s="1216" t="s">
        <v>5614</v>
      </c>
      <c r="I68" s="1301">
        <v>2100</v>
      </c>
      <c r="J68" s="1305">
        <v>2000</v>
      </c>
      <c r="K68" s="1230">
        <v>30</v>
      </c>
      <c r="L68" s="1230">
        <v>70</v>
      </c>
      <c r="M68" s="1216" t="s">
        <v>945</v>
      </c>
      <c r="N68" s="1237" t="s">
        <v>5615</v>
      </c>
      <c r="O68" s="1211" t="s">
        <v>5616</v>
      </c>
      <c r="P68" s="1217" t="s">
        <v>167</v>
      </c>
      <c r="Q68" s="1205" t="s">
        <v>936</v>
      </c>
      <c r="R68" s="1216" t="s">
        <v>5617</v>
      </c>
      <c r="S68" s="1217" t="s">
        <v>5618</v>
      </c>
      <c r="T68" s="1204" t="s">
        <v>1005</v>
      </c>
      <c r="U68" s="1205" t="s">
        <v>84</v>
      </c>
      <c r="V68" s="1216" t="s">
        <v>1047</v>
      </c>
      <c r="W68" s="1216" t="s">
        <v>945</v>
      </c>
      <c r="X68" s="1214" t="s">
        <v>945</v>
      </c>
      <c r="Y68" s="1214" t="s">
        <v>945</v>
      </c>
    </row>
    <row r="69" spans="1:25" ht="60" customHeight="1">
      <c r="A69" s="1208">
        <v>65</v>
      </c>
      <c r="B69" s="1206" t="s">
        <v>2604</v>
      </c>
      <c r="C69" s="1207" t="s">
        <v>5619</v>
      </c>
      <c r="D69" s="1211" t="s">
        <v>5620</v>
      </c>
      <c r="E69" s="1214" t="s">
        <v>5621</v>
      </c>
      <c r="F69" s="1215" t="s">
        <v>5622</v>
      </c>
      <c r="G69" s="1214" t="s">
        <v>5623</v>
      </c>
      <c r="H69" s="1216" t="s">
        <v>2568</v>
      </c>
      <c r="I69" s="1217">
        <v>350</v>
      </c>
      <c r="J69" s="1229"/>
      <c r="K69" s="1230"/>
      <c r="L69" s="1230">
        <v>350</v>
      </c>
      <c r="M69" s="1216"/>
      <c r="N69" s="1237"/>
      <c r="O69" s="1211"/>
      <c r="P69" s="1217" t="s">
        <v>92</v>
      </c>
      <c r="Q69" s="1229" t="s">
        <v>1141</v>
      </c>
      <c r="R69" s="1205" t="s">
        <v>5512</v>
      </c>
      <c r="S69" s="1262" t="s">
        <v>82</v>
      </c>
      <c r="T69" s="1217" t="s">
        <v>929</v>
      </c>
      <c r="U69" s="1204" t="s">
        <v>5624</v>
      </c>
      <c r="V69" s="1216" t="s">
        <v>1064</v>
      </c>
      <c r="W69" s="1216">
        <v>380</v>
      </c>
      <c r="X69" s="1214">
        <v>380</v>
      </c>
      <c r="Y69" s="1214"/>
    </row>
    <row r="70" spans="1:25" ht="60" customHeight="1">
      <c r="A70" s="1208">
        <v>66</v>
      </c>
      <c r="B70" s="1206" t="s">
        <v>2604</v>
      </c>
      <c r="C70" s="1207" t="s">
        <v>5619</v>
      </c>
      <c r="D70" s="1211" t="s">
        <v>5625</v>
      </c>
      <c r="E70" s="1214" t="s">
        <v>1965</v>
      </c>
      <c r="F70" s="1215" t="s">
        <v>5626</v>
      </c>
      <c r="G70" s="1214" t="s">
        <v>5623</v>
      </c>
      <c r="H70" s="1216" t="s">
        <v>1062</v>
      </c>
      <c r="I70" s="1217">
        <v>200</v>
      </c>
      <c r="J70" s="1229"/>
      <c r="K70" s="1230"/>
      <c r="L70" s="1230">
        <v>200</v>
      </c>
      <c r="M70" s="1216"/>
      <c r="N70" s="1237"/>
      <c r="O70" s="1211"/>
      <c r="P70" s="1217" t="s">
        <v>92</v>
      </c>
      <c r="Q70" s="1229" t="s">
        <v>1141</v>
      </c>
      <c r="R70" s="1205" t="s">
        <v>3624</v>
      </c>
      <c r="S70" s="1216" t="s">
        <v>82</v>
      </c>
      <c r="T70" s="1217" t="s">
        <v>929</v>
      </c>
      <c r="U70" s="1204" t="s">
        <v>5624</v>
      </c>
      <c r="V70" s="1205" t="s">
        <v>1047</v>
      </c>
      <c r="W70" s="1216"/>
      <c r="X70" s="1216"/>
      <c r="Y70" s="1214"/>
    </row>
    <row r="71" spans="1:25" ht="60" customHeight="1">
      <c r="A71" s="1208">
        <v>67</v>
      </c>
      <c r="B71" s="1206" t="s">
        <v>2604</v>
      </c>
      <c r="C71" s="1207" t="s">
        <v>5619</v>
      </c>
      <c r="D71" s="1211" t="s">
        <v>5627</v>
      </c>
      <c r="E71" s="1214" t="s">
        <v>5628</v>
      </c>
      <c r="F71" s="1215" t="s">
        <v>5629</v>
      </c>
      <c r="G71" s="1214" t="s">
        <v>5630</v>
      </c>
      <c r="H71" s="1216" t="s">
        <v>5631</v>
      </c>
      <c r="I71" s="1217">
        <v>220</v>
      </c>
      <c r="J71" s="1229"/>
      <c r="K71" s="1230"/>
      <c r="L71" s="1230">
        <v>220</v>
      </c>
      <c r="M71" s="1216"/>
      <c r="N71" s="1237"/>
      <c r="O71" s="1211"/>
      <c r="P71" s="1217" t="s">
        <v>92</v>
      </c>
      <c r="Q71" s="1229" t="s">
        <v>1141</v>
      </c>
      <c r="R71" s="1205" t="s">
        <v>5609</v>
      </c>
      <c r="S71" s="1216" t="s">
        <v>82</v>
      </c>
      <c r="T71" s="1217" t="s">
        <v>929</v>
      </c>
      <c r="U71" s="1204" t="s">
        <v>5624</v>
      </c>
      <c r="V71" s="1205" t="s">
        <v>1047</v>
      </c>
      <c r="W71" s="1216">
        <v>80</v>
      </c>
      <c r="X71" s="1216">
        <v>80</v>
      </c>
      <c r="Y71" s="1214"/>
    </row>
    <row r="72" spans="1:25" ht="60" customHeight="1">
      <c r="A72" s="1208">
        <v>68</v>
      </c>
      <c r="B72" s="1206" t="s">
        <v>2604</v>
      </c>
      <c r="C72" s="1328" t="s">
        <v>5632</v>
      </c>
      <c r="D72" s="1211" t="s">
        <v>5633</v>
      </c>
      <c r="E72" s="1214" t="s">
        <v>5634</v>
      </c>
      <c r="F72" s="1215" t="s">
        <v>5635</v>
      </c>
      <c r="G72" s="1214" t="s">
        <v>5636</v>
      </c>
      <c r="H72" s="1216" t="s">
        <v>1022</v>
      </c>
      <c r="I72" s="1217">
        <v>165</v>
      </c>
      <c r="J72" s="1329"/>
      <c r="K72" s="1330">
        <v>10</v>
      </c>
      <c r="L72" s="1330">
        <v>155</v>
      </c>
      <c r="M72" s="1331"/>
      <c r="N72" s="1332"/>
      <c r="O72" s="1212"/>
      <c r="P72" s="1217" t="s">
        <v>92</v>
      </c>
      <c r="Q72" s="1211" t="s">
        <v>936</v>
      </c>
      <c r="R72" s="1205" t="s">
        <v>5637</v>
      </c>
      <c r="S72" s="1216" t="s">
        <v>82</v>
      </c>
      <c r="T72" s="1217" t="s">
        <v>929</v>
      </c>
      <c r="U72" s="1204" t="s">
        <v>945</v>
      </c>
      <c r="V72" s="1205" t="s">
        <v>1711</v>
      </c>
      <c r="W72" s="1216">
        <v>20</v>
      </c>
      <c r="X72" s="1216">
        <v>20</v>
      </c>
      <c r="Y72" s="1214"/>
    </row>
    <row r="73" spans="1:25">
      <c r="A73" s="1210"/>
      <c r="B73" s="1210"/>
      <c r="C73" s="1210"/>
      <c r="D73" s="1202"/>
      <c r="E73" s="1202"/>
      <c r="F73" s="1202"/>
      <c r="G73" s="1202"/>
      <c r="H73" s="1202"/>
      <c r="I73" s="1202"/>
      <c r="J73" s="1202"/>
      <c r="K73" s="1202"/>
      <c r="L73" s="1202"/>
      <c r="M73" s="1202"/>
      <c r="N73" s="1202"/>
      <c r="O73" s="1202"/>
      <c r="P73" s="1202"/>
      <c r="Q73" s="1202"/>
      <c r="R73" s="1202"/>
      <c r="S73" s="1202"/>
      <c r="T73" s="1202"/>
      <c r="U73" s="1202"/>
      <c r="V73" s="1202"/>
      <c r="W73" s="1202"/>
      <c r="X73" s="1202"/>
      <c r="Y73" s="1202"/>
    </row>
    <row r="74" spans="1:25">
      <c r="A74" s="1210"/>
      <c r="B74" s="1210"/>
      <c r="C74" s="1210"/>
      <c r="D74" s="1202"/>
      <c r="E74" s="1202"/>
      <c r="F74" s="1202"/>
      <c r="G74" s="1202"/>
      <c r="H74" s="1202"/>
      <c r="I74" s="1202"/>
      <c r="J74" s="1202"/>
      <c r="K74" s="1202"/>
      <c r="L74" s="1202"/>
      <c r="M74" s="1202"/>
      <c r="N74" s="1202"/>
      <c r="O74" s="1202"/>
      <c r="P74" s="1202"/>
      <c r="Q74" s="1202"/>
      <c r="R74" s="1202"/>
      <c r="S74" s="1202"/>
      <c r="T74" s="1202"/>
      <c r="U74" s="1202"/>
      <c r="V74" s="1202"/>
      <c r="W74" s="1202"/>
      <c r="X74" s="1202"/>
      <c r="Y74" s="1202"/>
    </row>
    <row r="75" spans="1:25">
      <c r="A75" s="1210"/>
      <c r="B75" s="1210"/>
      <c r="C75" s="1210"/>
      <c r="D75" s="1202"/>
      <c r="E75" s="1202"/>
      <c r="F75" s="1202"/>
      <c r="G75" s="1202"/>
      <c r="H75" s="1202"/>
      <c r="I75" s="1202"/>
      <c r="J75" s="1202"/>
      <c r="K75" s="1202"/>
      <c r="L75" s="1202"/>
      <c r="M75" s="1202"/>
      <c r="N75" s="1202"/>
      <c r="O75" s="1202"/>
      <c r="P75" s="1202"/>
      <c r="Q75" s="1202"/>
      <c r="R75" s="1202"/>
      <c r="S75" s="1202"/>
      <c r="T75" s="1202"/>
      <c r="U75" s="1202"/>
      <c r="V75" s="1202"/>
      <c r="W75" s="1202"/>
      <c r="X75" s="1202"/>
      <c r="Y75" s="1202"/>
    </row>
    <row r="76" spans="1:25">
      <c r="A76" s="1210"/>
      <c r="B76" s="1210"/>
      <c r="C76" s="1210"/>
      <c r="D76" s="1202"/>
      <c r="E76" s="1202"/>
      <c r="F76" s="1202"/>
      <c r="G76" s="1202"/>
      <c r="H76" s="1202"/>
      <c r="I76" s="1202"/>
      <c r="J76" s="1202"/>
      <c r="K76" s="1202"/>
      <c r="L76" s="1202"/>
      <c r="M76" s="1202"/>
      <c r="N76" s="1202"/>
      <c r="O76" s="1202"/>
      <c r="P76" s="1202"/>
      <c r="Q76" s="1202"/>
      <c r="R76" s="1202"/>
      <c r="S76" s="1202"/>
      <c r="T76" s="1202"/>
      <c r="U76" s="1202"/>
      <c r="V76" s="1202"/>
      <c r="W76" s="1202"/>
      <c r="X76" s="1202"/>
      <c r="Y76" s="1202"/>
    </row>
    <row r="77" spans="1:25">
      <c r="A77" s="1210"/>
      <c r="B77" s="1210"/>
      <c r="C77" s="1210"/>
      <c r="D77" s="1202"/>
      <c r="E77" s="1202"/>
      <c r="F77" s="1202"/>
      <c r="G77" s="1202"/>
      <c r="H77" s="1202"/>
      <c r="I77" s="1202"/>
      <c r="J77" s="1202"/>
      <c r="K77" s="1202"/>
      <c r="L77" s="1202"/>
      <c r="M77" s="1202"/>
      <c r="N77" s="1202"/>
      <c r="O77" s="1202"/>
      <c r="P77" s="1202"/>
      <c r="Q77" s="1202"/>
      <c r="R77" s="1202"/>
      <c r="S77" s="1202"/>
      <c r="T77" s="1202"/>
      <c r="U77" s="1202"/>
      <c r="V77" s="1202"/>
      <c r="W77" s="1202"/>
      <c r="X77" s="1202"/>
      <c r="Y77" s="1202"/>
    </row>
    <row r="78" spans="1:25">
      <c r="A78" s="1210"/>
      <c r="B78" s="1210"/>
      <c r="C78" s="1210"/>
    </row>
    <row r="79" spans="1:25">
      <c r="A79" s="1210"/>
      <c r="B79" s="1210"/>
      <c r="C79" s="1210"/>
    </row>
    <row r="80" spans="1:25">
      <c r="A80" s="1210"/>
      <c r="B80" s="1210"/>
      <c r="C80" s="1210"/>
    </row>
    <row r="81" spans="1:3">
      <c r="A81" s="1210"/>
      <c r="B81" s="1210"/>
      <c r="C81" s="1210"/>
    </row>
    <row r="82" spans="1:3">
      <c r="A82" s="1210"/>
      <c r="B82" s="1210"/>
      <c r="C82" s="1210"/>
    </row>
    <row r="83" spans="1:3">
      <c r="A83" s="1210"/>
      <c r="B83" s="1210"/>
      <c r="C83" s="1210"/>
    </row>
    <row r="84" spans="1:3">
      <c r="A84" s="1210"/>
      <c r="B84" s="1210"/>
      <c r="C84" s="1210"/>
    </row>
    <row r="85" spans="1:3">
      <c r="A85" s="1210"/>
      <c r="B85" s="1210"/>
      <c r="C85" s="1210"/>
    </row>
    <row r="86" spans="1:3">
      <c r="A86" s="1210"/>
      <c r="B86" s="1210"/>
      <c r="C86" s="1210"/>
    </row>
    <row r="87" spans="1:3">
      <c r="A87" s="1210"/>
      <c r="B87" s="1210"/>
      <c r="C87" s="1210"/>
    </row>
    <row r="88" spans="1:3">
      <c r="A88" s="1210"/>
      <c r="B88" s="1210"/>
      <c r="C88" s="1210"/>
    </row>
    <row r="89" spans="1:3">
      <c r="A89" s="1210"/>
      <c r="B89" s="1210"/>
      <c r="C89" s="1210"/>
    </row>
    <row r="90" spans="1:3">
      <c r="A90" s="1210"/>
      <c r="B90" s="1210"/>
      <c r="C90" s="1210"/>
    </row>
  </sheetData>
  <mergeCells count="4">
    <mergeCell ref="W3:Y3"/>
    <mergeCell ref="N3:O3"/>
    <mergeCell ref="A1:Y2"/>
    <mergeCell ref="I3:M3"/>
  </mergeCells>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8"/>
  <sheetViews>
    <sheetView workbookViewId="0">
      <selection sqref="A1:Y2"/>
    </sheetView>
  </sheetViews>
  <sheetFormatPr defaultRowHeight="13.5"/>
  <cols>
    <col min="4" max="4" width="14.6640625" customWidth="1"/>
    <col min="6" max="6" width="29.6640625" customWidth="1"/>
    <col min="7" max="7" width="16.33203125"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1350"/>
      <c r="AA1" s="1350"/>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352"/>
      <c r="AA2" s="1352"/>
    </row>
    <row r="3" spans="1:27" ht="17.25" thickBot="1">
      <c r="A3" s="1353"/>
      <c r="B3" s="1353"/>
      <c r="C3" s="1353"/>
      <c r="D3" s="1351"/>
      <c r="E3" s="1351"/>
      <c r="F3" s="1351"/>
      <c r="G3" s="1351"/>
      <c r="H3" s="1351"/>
      <c r="I3" s="1612"/>
      <c r="J3" s="1613"/>
      <c r="K3" s="1613"/>
      <c r="L3" s="1613"/>
      <c r="M3" s="1613"/>
      <c r="N3" s="1609" t="s">
        <v>1754</v>
      </c>
      <c r="O3" s="1610"/>
      <c r="P3" s="1387"/>
      <c r="Q3" s="1387"/>
      <c r="R3" s="1403"/>
      <c r="S3" s="1404"/>
      <c r="T3" s="1404"/>
      <c r="U3" s="1404"/>
      <c r="V3" s="1404"/>
      <c r="W3" s="1621" t="s">
        <v>896</v>
      </c>
      <c r="X3" s="1622"/>
      <c r="Y3" s="1623"/>
      <c r="Z3" s="1404"/>
      <c r="AA3" s="1361"/>
    </row>
    <row r="4" spans="1:27" ht="57.75" thickBot="1">
      <c r="A4" s="1386" t="s">
        <v>897</v>
      </c>
      <c r="B4" s="1359" t="s">
        <v>898</v>
      </c>
      <c r="C4" s="1384" t="s">
        <v>899</v>
      </c>
      <c r="D4" s="1385" t="s">
        <v>900</v>
      </c>
      <c r="E4" s="1382" t="s">
        <v>901</v>
      </c>
      <c r="F4" s="1385" t="s">
        <v>902</v>
      </c>
      <c r="G4" s="1382" t="s">
        <v>903</v>
      </c>
      <c r="H4" s="1382" t="s">
        <v>904</v>
      </c>
      <c r="I4" s="1383" t="s">
        <v>905</v>
      </c>
      <c r="J4" s="1400" t="s">
        <v>906</v>
      </c>
      <c r="K4" s="1401" t="s">
        <v>907</v>
      </c>
      <c r="L4" s="1401" t="s">
        <v>908</v>
      </c>
      <c r="M4" s="1402" t="s">
        <v>909</v>
      </c>
      <c r="N4" s="1407" t="s">
        <v>910</v>
      </c>
      <c r="O4" s="1402" t="s">
        <v>911</v>
      </c>
      <c r="P4" s="1382" t="s">
        <v>912</v>
      </c>
      <c r="Q4" s="1382" t="s">
        <v>913</v>
      </c>
      <c r="R4" s="1381" t="s">
        <v>914</v>
      </c>
      <c r="S4" s="1380" t="s">
        <v>915</v>
      </c>
      <c r="T4" s="1377" t="s">
        <v>916</v>
      </c>
      <c r="U4" s="1378" t="s">
        <v>917</v>
      </c>
      <c r="V4" s="1379" t="s">
        <v>918</v>
      </c>
      <c r="W4" s="1381" t="s">
        <v>919</v>
      </c>
      <c r="X4" s="1380" t="s">
        <v>920</v>
      </c>
      <c r="Y4" s="1381" t="s">
        <v>921</v>
      </c>
      <c r="Z4" s="1381" t="s">
        <v>922</v>
      </c>
      <c r="AA4" s="1350"/>
    </row>
    <row r="5" spans="1:27" ht="60" customHeight="1">
      <c r="A5" s="1358">
        <v>1</v>
      </c>
      <c r="B5" s="1356" t="s">
        <v>2605</v>
      </c>
      <c r="C5" s="1357" t="s">
        <v>5638</v>
      </c>
      <c r="D5" s="1363" t="s">
        <v>5639</v>
      </c>
      <c r="E5" s="1366" t="s">
        <v>5640</v>
      </c>
      <c r="F5" s="1368" t="s">
        <v>5641</v>
      </c>
      <c r="G5" s="1366" t="s">
        <v>5642</v>
      </c>
      <c r="H5" s="1373" t="s">
        <v>5643</v>
      </c>
      <c r="I5" s="1375">
        <v>1515</v>
      </c>
      <c r="J5" s="1389">
        <v>0</v>
      </c>
      <c r="K5" s="1393">
        <v>0</v>
      </c>
      <c r="L5" s="1393">
        <v>1515</v>
      </c>
      <c r="M5" s="1373">
        <v>0</v>
      </c>
      <c r="N5" s="1408"/>
      <c r="O5" s="1363"/>
      <c r="P5" s="1375"/>
      <c r="Q5" s="1363"/>
      <c r="R5" s="1355" t="s">
        <v>1011</v>
      </c>
      <c r="S5" s="1373" t="s">
        <v>82</v>
      </c>
      <c r="T5" s="1375" t="s">
        <v>929</v>
      </c>
      <c r="U5" s="1354" t="s">
        <v>1697</v>
      </c>
      <c r="V5" s="1355" t="s">
        <v>85</v>
      </c>
      <c r="W5" s="1373">
        <v>3157</v>
      </c>
      <c r="X5" s="1373">
        <v>2904</v>
      </c>
      <c r="Y5" s="1366">
        <v>253</v>
      </c>
      <c r="Z5" s="1366" t="s">
        <v>1028</v>
      </c>
      <c r="AA5" s="1350"/>
    </row>
    <row r="6" spans="1:27" ht="60" customHeight="1">
      <c r="A6" s="1358">
        <v>2</v>
      </c>
      <c r="B6" s="1356" t="s">
        <v>2605</v>
      </c>
      <c r="C6" s="1357" t="s">
        <v>5638</v>
      </c>
      <c r="D6" s="1363" t="s">
        <v>5644</v>
      </c>
      <c r="E6" s="1366" t="s">
        <v>5645</v>
      </c>
      <c r="F6" s="1368" t="s">
        <v>5646</v>
      </c>
      <c r="G6" s="1366" t="s">
        <v>5647</v>
      </c>
      <c r="H6" s="1373" t="s">
        <v>2568</v>
      </c>
      <c r="I6" s="1375">
        <v>1300</v>
      </c>
      <c r="J6" s="1389">
        <v>0</v>
      </c>
      <c r="K6" s="1393">
        <v>0</v>
      </c>
      <c r="L6" s="1393">
        <v>1300</v>
      </c>
      <c r="M6" s="1373">
        <v>0</v>
      </c>
      <c r="N6" s="1408"/>
      <c r="O6" s="1363"/>
      <c r="P6" s="1375"/>
      <c r="Q6" s="1363"/>
      <c r="R6" s="1355" t="s">
        <v>2431</v>
      </c>
      <c r="S6" s="1373" t="s">
        <v>82</v>
      </c>
      <c r="T6" s="1375" t="s">
        <v>929</v>
      </c>
      <c r="U6" s="1354" t="s">
        <v>5648</v>
      </c>
      <c r="V6" s="1355" t="s">
        <v>85</v>
      </c>
      <c r="W6" s="1373">
        <v>1611</v>
      </c>
      <c r="X6" s="1373">
        <v>1581</v>
      </c>
      <c r="Y6" s="1366">
        <v>30</v>
      </c>
      <c r="Z6" s="1366" t="s">
        <v>5649</v>
      </c>
      <c r="AA6" s="1350"/>
    </row>
    <row r="7" spans="1:27" ht="60" customHeight="1">
      <c r="A7" s="1358">
        <v>3</v>
      </c>
      <c r="B7" s="1356" t="s">
        <v>2605</v>
      </c>
      <c r="C7" s="1357" t="s">
        <v>5638</v>
      </c>
      <c r="D7" s="1363" t="s">
        <v>5650</v>
      </c>
      <c r="E7" s="1366" t="s">
        <v>1019</v>
      </c>
      <c r="F7" s="1368" t="s">
        <v>5651</v>
      </c>
      <c r="G7" s="1366" t="s">
        <v>5652</v>
      </c>
      <c r="H7" s="1373" t="s">
        <v>1234</v>
      </c>
      <c r="I7" s="1375">
        <v>110</v>
      </c>
      <c r="J7" s="1389">
        <v>0</v>
      </c>
      <c r="K7" s="1393">
        <v>10</v>
      </c>
      <c r="L7" s="1393">
        <v>100</v>
      </c>
      <c r="M7" s="1373">
        <v>0</v>
      </c>
      <c r="N7" s="1408"/>
      <c r="O7" s="1363"/>
      <c r="P7" s="1375" t="s">
        <v>124</v>
      </c>
      <c r="Q7" s="1363" t="s">
        <v>124</v>
      </c>
      <c r="R7" s="1355" t="s">
        <v>1996</v>
      </c>
      <c r="S7" s="1373" t="s">
        <v>82</v>
      </c>
      <c r="T7" s="1375" t="s">
        <v>1089</v>
      </c>
      <c r="U7" s="1354"/>
      <c r="V7" s="1355" t="s">
        <v>85</v>
      </c>
      <c r="W7" s="1373">
        <v>30</v>
      </c>
      <c r="X7" s="1373">
        <v>30</v>
      </c>
      <c r="Y7" s="1366"/>
      <c r="Z7" s="1366" t="s">
        <v>930</v>
      </c>
      <c r="AA7" s="1350"/>
    </row>
    <row r="8" spans="1:27" ht="60" customHeight="1">
      <c r="A8" s="1358">
        <v>4</v>
      </c>
      <c r="B8" s="1356" t="s">
        <v>2605</v>
      </c>
      <c r="C8" s="1357" t="s">
        <v>5638</v>
      </c>
      <c r="D8" s="1363" t="s">
        <v>5653</v>
      </c>
      <c r="E8" s="1366" t="s">
        <v>5654</v>
      </c>
      <c r="F8" s="1368" t="s">
        <v>5655</v>
      </c>
      <c r="G8" s="1366" t="s">
        <v>5656</v>
      </c>
      <c r="H8" s="1373" t="s">
        <v>5657</v>
      </c>
      <c r="I8" s="1375">
        <v>110</v>
      </c>
      <c r="J8" s="1389">
        <v>0</v>
      </c>
      <c r="K8" s="1393">
        <v>20</v>
      </c>
      <c r="L8" s="1393">
        <v>90</v>
      </c>
      <c r="M8" s="1373">
        <v>0</v>
      </c>
      <c r="N8" s="1408" t="s">
        <v>927</v>
      </c>
      <c r="O8" s="1363" t="s">
        <v>5658</v>
      </c>
      <c r="P8" s="1375" t="s">
        <v>67</v>
      </c>
      <c r="Q8" s="1363" t="s">
        <v>5659</v>
      </c>
      <c r="R8" s="1355" t="s">
        <v>82</v>
      </c>
      <c r="S8" s="1373" t="s">
        <v>929</v>
      </c>
      <c r="T8" s="1375" t="s">
        <v>5660</v>
      </c>
      <c r="U8" s="1354" t="s">
        <v>1064</v>
      </c>
      <c r="V8" s="1355">
        <v>150</v>
      </c>
      <c r="W8" s="1373"/>
      <c r="X8" s="1373">
        <v>0</v>
      </c>
      <c r="Y8" s="1366"/>
      <c r="Z8" s="1366" t="s">
        <v>930</v>
      </c>
      <c r="AA8" s="1350"/>
    </row>
    <row r="9" spans="1:27" ht="60" customHeight="1">
      <c r="A9" s="1358">
        <v>5</v>
      </c>
      <c r="B9" s="1356" t="s">
        <v>2605</v>
      </c>
      <c r="C9" s="1357" t="s">
        <v>5661</v>
      </c>
      <c r="D9" s="1363" t="s">
        <v>5662</v>
      </c>
      <c r="E9" s="1366" t="s">
        <v>5663</v>
      </c>
      <c r="F9" s="1368" t="s">
        <v>5664</v>
      </c>
      <c r="G9" s="1366" t="s">
        <v>5665</v>
      </c>
      <c r="H9" s="1373" t="s">
        <v>5666</v>
      </c>
      <c r="I9" s="1375">
        <v>533</v>
      </c>
      <c r="J9" s="1389">
        <v>0</v>
      </c>
      <c r="K9" s="1393">
        <v>0</v>
      </c>
      <c r="L9" s="1393">
        <v>500</v>
      </c>
      <c r="M9" s="1373">
        <v>33</v>
      </c>
      <c r="N9" s="1408"/>
      <c r="O9" s="1363"/>
      <c r="P9" s="1375" t="s">
        <v>105</v>
      </c>
      <c r="Q9" s="1363" t="s">
        <v>936</v>
      </c>
      <c r="R9" s="1355" t="s">
        <v>5667</v>
      </c>
      <c r="S9" s="1373" t="s">
        <v>82</v>
      </c>
      <c r="T9" s="1375" t="s">
        <v>1103</v>
      </c>
      <c r="U9" s="1354" t="s">
        <v>3627</v>
      </c>
      <c r="V9" s="1355" t="s">
        <v>1047</v>
      </c>
      <c r="W9" s="1373">
        <v>89</v>
      </c>
      <c r="X9" s="1373">
        <v>89</v>
      </c>
      <c r="Y9" s="1366" t="s">
        <v>945</v>
      </c>
      <c r="Z9" s="1366" t="s">
        <v>1119</v>
      </c>
      <c r="AA9" s="1350"/>
    </row>
    <row r="10" spans="1:27" ht="60" customHeight="1">
      <c r="A10" s="1358">
        <v>6</v>
      </c>
      <c r="B10" s="1356" t="s">
        <v>2605</v>
      </c>
      <c r="C10" s="1357" t="s">
        <v>5661</v>
      </c>
      <c r="D10" s="1363" t="s">
        <v>5668</v>
      </c>
      <c r="E10" s="1366" t="s">
        <v>5669</v>
      </c>
      <c r="F10" s="1368" t="s">
        <v>5670</v>
      </c>
      <c r="G10" s="1366" t="s">
        <v>5671</v>
      </c>
      <c r="H10" s="1373" t="s">
        <v>5672</v>
      </c>
      <c r="I10" s="1375">
        <v>3900</v>
      </c>
      <c r="J10" s="1389">
        <v>0</v>
      </c>
      <c r="K10" s="1393">
        <v>100</v>
      </c>
      <c r="L10" s="1393">
        <v>1800</v>
      </c>
      <c r="M10" s="1373">
        <v>2000</v>
      </c>
      <c r="N10" s="1408"/>
      <c r="O10" s="1363"/>
      <c r="P10" s="1375" t="s">
        <v>105</v>
      </c>
      <c r="Q10" s="1363" t="s">
        <v>5673</v>
      </c>
      <c r="R10" s="1355" t="s">
        <v>5674</v>
      </c>
      <c r="S10" s="1373" t="s">
        <v>82</v>
      </c>
      <c r="T10" s="1375" t="s">
        <v>1103</v>
      </c>
      <c r="U10" s="1354" t="s">
        <v>2642</v>
      </c>
      <c r="V10" s="1355" t="s">
        <v>1047</v>
      </c>
      <c r="W10" s="1373">
        <v>1413</v>
      </c>
      <c r="X10" s="1373">
        <v>1413</v>
      </c>
      <c r="Y10" s="1366" t="s">
        <v>945</v>
      </c>
      <c r="Z10" s="1366" t="s">
        <v>5675</v>
      </c>
      <c r="AA10" s="1350"/>
    </row>
    <row r="11" spans="1:27" ht="60" customHeight="1">
      <c r="A11" s="1358">
        <v>7</v>
      </c>
      <c r="B11" s="1356" t="s">
        <v>2605</v>
      </c>
      <c r="C11" s="1362" t="s">
        <v>5661</v>
      </c>
      <c r="D11" s="1364" t="s">
        <v>5676</v>
      </c>
      <c r="E11" s="1366" t="s">
        <v>5677</v>
      </c>
      <c r="F11" s="1368" t="s">
        <v>5678</v>
      </c>
      <c r="G11" s="1366" t="s">
        <v>5679</v>
      </c>
      <c r="H11" s="1373" t="s">
        <v>5680</v>
      </c>
      <c r="I11" s="1375">
        <v>1679</v>
      </c>
      <c r="J11" s="1390">
        <v>280</v>
      </c>
      <c r="K11" s="1394">
        <v>20</v>
      </c>
      <c r="L11" s="1394">
        <v>1050</v>
      </c>
      <c r="M11" s="1398">
        <v>329</v>
      </c>
      <c r="N11" s="1409" t="s">
        <v>927</v>
      </c>
      <c r="O11" s="1364" t="s">
        <v>5681</v>
      </c>
      <c r="P11" s="1375" t="s">
        <v>67</v>
      </c>
      <c r="Q11" s="1363" t="s">
        <v>5682</v>
      </c>
      <c r="R11" s="1355" t="s">
        <v>5683</v>
      </c>
      <c r="S11" s="1373" t="s">
        <v>82</v>
      </c>
      <c r="T11" s="1375" t="s">
        <v>83</v>
      </c>
      <c r="U11" s="1354" t="s">
        <v>2629</v>
      </c>
      <c r="V11" s="1355" t="s">
        <v>1047</v>
      </c>
      <c r="W11" s="1373">
        <v>710</v>
      </c>
      <c r="X11" s="1373">
        <v>710</v>
      </c>
      <c r="Y11" s="1366" t="s">
        <v>945</v>
      </c>
      <c r="Z11" s="1366" t="s">
        <v>5675</v>
      </c>
      <c r="AA11" s="1350"/>
    </row>
    <row r="12" spans="1:27" ht="60" customHeight="1">
      <c r="A12" s="1358">
        <v>8</v>
      </c>
      <c r="B12" s="1356" t="s">
        <v>2605</v>
      </c>
      <c r="C12" s="1362" t="s">
        <v>5661</v>
      </c>
      <c r="D12" s="1363" t="s">
        <v>5684</v>
      </c>
      <c r="E12" s="1366" t="s">
        <v>5669</v>
      </c>
      <c r="F12" s="1368" t="s">
        <v>5685</v>
      </c>
      <c r="G12" s="1366" t="s">
        <v>5686</v>
      </c>
      <c r="H12" s="1373" t="s">
        <v>2497</v>
      </c>
      <c r="I12" s="1375">
        <v>1150</v>
      </c>
      <c r="J12" s="1390">
        <v>600</v>
      </c>
      <c r="K12" s="1394">
        <v>200</v>
      </c>
      <c r="L12" s="1394">
        <v>200</v>
      </c>
      <c r="M12" s="1398">
        <v>150</v>
      </c>
      <c r="N12" s="1409" t="s">
        <v>927</v>
      </c>
      <c r="O12" s="1364" t="s">
        <v>5687</v>
      </c>
      <c r="P12" s="1375" t="s">
        <v>67</v>
      </c>
      <c r="Q12" s="1363" t="s">
        <v>936</v>
      </c>
      <c r="R12" s="1355" t="s">
        <v>5688</v>
      </c>
      <c r="S12" s="1373" t="s">
        <v>82</v>
      </c>
      <c r="T12" s="1375" t="s">
        <v>83</v>
      </c>
      <c r="U12" s="1354" t="s">
        <v>5689</v>
      </c>
      <c r="V12" s="1355" t="s">
        <v>1064</v>
      </c>
      <c r="W12" s="1373">
        <v>510</v>
      </c>
      <c r="X12" s="1373">
        <v>510</v>
      </c>
      <c r="Y12" s="1366" t="s">
        <v>945</v>
      </c>
      <c r="Z12" s="1366" t="s">
        <v>5690</v>
      </c>
      <c r="AA12" s="1350"/>
    </row>
    <row r="13" spans="1:27" ht="60" customHeight="1">
      <c r="A13" s="1358">
        <v>9</v>
      </c>
      <c r="B13" s="1356" t="s">
        <v>2605</v>
      </c>
      <c r="C13" s="1362" t="s">
        <v>5691</v>
      </c>
      <c r="D13" s="1363" t="s">
        <v>5692</v>
      </c>
      <c r="E13" s="1366" t="s">
        <v>5693</v>
      </c>
      <c r="F13" s="1368" t="s">
        <v>5694</v>
      </c>
      <c r="G13" s="1366" t="s">
        <v>5695</v>
      </c>
      <c r="H13" s="1373" t="s">
        <v>5696</v>
      </c>
      <c r="I13" s="1375">
        <v>1088</v>
      </c>
      <c r="J13" s="1389">
        <v>92</v>
      </c>
      <c r="K13" s="1393">
        <v>46</v>
      </c>
      <c r="L13" s="1393">
        <v>950</v>
      </c>
      <c r="M13" s="1373">
        <v>0</v>
      </c>
      <c r="N13" s="1408" t="s">
        <v>927</v>
      </c>
      <c r="O13" s="1363" t="s">
        <v>1248</v>
      </c>
      <c r="P13" s="1375" t="s">
        <v>105</v>
      </c>
      <c r="Q13" s="1363" t="s">
        <v>2466</v>
      </c>
      <c r="R13" s="1355" t="s">
        <v>5697</v>
      </c>
      <c r="S13" s="1373" t="s">
        <v>82</v>
      </c>
      <c r="T13" s="1375" t="s">
        <v>1103</v>
      </c>
      <c r="U13" s="1354" t="s">
        <v>2629</v>
      </c>
      <c r="V13" s="1355" t="s">
        <v>1047</v>
      </c>
      <c r="W13" s="1373">
        <v>422</v>
      </c>
      <c r="X13" s="1373">
        <v>387</v>
      </c>
      <c r="Y13" s="1366">
        <v>35</v>
      </c>
      <c r="Z13" s="1366" t="s">
        <v>1028</v>
      </c>
      <c r="AA13" s="1350"/>
    </row>
    <row r="14" spans="1:27" ht="60" customHeight="1">
      <c r="A14" s="1358">
        <v>10</v>
      </c>
      <c r="B14" s="1356" t="s">
        <v>2605</v>
      </c>
      <c r="C14" s="1362" t="s">
        <v>5691</v>
      </c>
      <c r="D14" s="1364" t="s">
        <v>5698</v>
      </c>
      <c r="E14" s="1366" t="s">
        <v>5699</v>
      </c>
      <c r="F14" s="1369" t="s">
        <v>5700</v>
      </c>
      <c r="G14" s="1366" t="s">
        <v>5701</v>
      </c>
      <c r="H14" s="1373" t="s">
        <v>2465</v>
      </c>
      <c r="I14" s="1375">
        <v>50</v>
      </c>
      <c r="J14" s="1390">
        <v>0</v>
      </c>
      <c r="K14" s="1394">
        <v>0</v>
      </c>
      <c r="L14" s="1394">
        <v>34</v>
      </c>
      <c r="M14" s="1398">
        <v>16</v>
      </c>
      <c r="N14" s="1409"/>
      <c r="O14" s="1364"/>
      <c r="P14" s="1375" t="s">
        <v>67</v>
      </c>
      <c r="Q14" s="1363"/>
      <c r="R14" s="1355" t="s">
        <v>1011</v>
      </c>
      <c r="S14" s="1373" t="s">
        <v>82</v>
      </c>
      <c r="T14" s="1375" t="s">
        <v>929</v>
      </c>
      <c r="U14" s="1354" t="s">
        <v>1953</v>
      </c>
      <c r="V14" s="1355" t="s">
        <v>1047</v>
      </c>
      <c r="W14" s="1373">
        <v>21</v>
      </c>
      <c r="X14" s="1373">
        <v>20</v>
      </c>
      <c r="Y14" s="1366">
        <v>1</v>
      </c>
      <c r="Z14" s="1366" t="s">
        <v>938</v>
      </c>
      <c r="AA14" s="1350"/>
    </row>
    <row r="15" spans="1:27" ht="60" customHeight="1">
      <c r="A15" s="1358">
        <v>11</v>
      </c>
      <c r="B15" s="1356" t="s">
        <v>2605</v>
      </c>
      <c r="C15" s="1355" t="s">
        <v>5691</v>
      </c>
      <c r="D15" s="1363" t="s">
        <v>5702</v>
      </c>
      <c r="E15" s="1366" t="s">
        <v>5703</v>
      </c>
      <c r="F15" s="1368" t="s">
        <v>5704</v>
      </c>
      <c r="G15" s="1366" t="s">
        <v>5705</v>
      </c>
      <c r="H15" s="1373" t="s">
        <v>1077</v>
      </c>
      <c r="I15" s="1375">
        <v>1425</v>
      </c>
      <c r="J15" s="1391">
        <v>0</v>
      </c>
      <c r="K15" s="1395">
        <v>200</v>
      </c>
      <c r="L15" s="1395">
        <v>1225</v>
      </c>
      <c r="M15" s="1374">
        <v>0</v>
      </c>
      <c r="N15" s="1410"/>
      <c r="O15" s="1405"/>
      <c r="P15" s="1375" t="s">
        <v>67</v>
      </c>
      <c r="Q15" s="1363"/>
      <c r="R15" s="1355" t="s">
        <v>5706</v>
      </c>
      <c r="S15" s="1373" t="s">
        <v>82</v>
      </c>
      <c r="T15" s="1375" t="s">
        <v>1103</v>
      </c>
      <c r="U15" s="1354" t="s">
        <v>5707</v>
      </c>
      <c r="V15" s="1355" t="s">
        <v>1047</v>
      </c>
      <c r="W15" s="1373">
        <v>43</v>
      </c>
      <c r="X15" s="1373">
        <v>15</v>
      </c>
      <c r="Y15" s="1366">
        <v>28</v>
      </c>
      <c r="Z15" s="1366" t="s">
        <v>5708</v>
      </c>
      <c r="AA15" s="1350"/>
    </row>
    <row r="16" spans="1:27" ht="60" customHeight="1">
      <c r="A16" s="1358">
        <v>12</v>
      </c>
      <c r="B16" s="1356" t="s">
        <v>2605</v>
      </c>
      <c r="C16" s="1355" t="s">
        <v>5709</v>
      </c>
      <c r="D16" s="1363" t="s">
        <v>5710</v>
      </c>
      <c r="E16" s="1366" t="s">
        <v>5711</v>
      </c>
      <c r="F16" s="1370" t="s">
        <v>5712</v>
      </c>
      <c r="G16" s="1366" t="s">
        <v>5713</v>
      </c>
      <c r="H16" s="1373" t="s">
        <v>5714</v>
      </c>
      <c r="I16" s="1375">
        <v>465</v>
      </c>
      <c r="J16" s="1389">
        <v>0</v>
      </c>
      <c r="K16" s="1393">
        <v>0</v>
      </c>
      <c r="L16" s="1393">
        <v>465</v>
      </c>
      <c r="M16" s="1373">
        <v>0</v>
      </c>
      <c r="N16" s="1408"/>
      <c r="O16" s="1363"/>
      <c r="P16" s="1375" t="s">
        <v>67</v>
      </c>
      <c r="Q16" s="1363"/>
      <c r="R16" s="1355" t="s">
        <v>5715</v>
      </c>
      <c r="S16" s="1373" t="s">
        <v>82</v>
      </c>
      <c r="T16" s="1375" t="s">
        <v>1103</v>
      </c>
      <c r="U16" s="1354" t="s">
        <v>5716</v>
      </c>
      <c r="V16" s="1355" t="s">
        <v>1047</v>
      </c>
      <c r="W16" s="1373">
        <v>193</v>
      </c>
      <c r="X16" s="1373">
        <v>193</v>
      </c>
      <c r="Y16" s="1366"/>
      <c r="Z16" s="1366" t="s">
        <v>5717</v>
      </c>
      <c r="AA16" s="1350"/>
    </row>
    <row r="17" spans="1:26" ht="60" customHeight="1">
      <c r="A17" s="1358">
        <v>13</v>
      </c>
      <c r="B17" s="1356" t="s">
        <v>2605</v>
      </c>
      <c r="C17" s="1355" t="s">
        <v>5709</v>
      </c>
      <c r="D17" s="1364" t="s">
        <v>5718</v>
      </c>
      <c r="E17" s="1366" t="s">
        <v>952</v>
      </c>
      <c r="F17" s="1368" t="s">
        <v>5719</v>
      </c>
      <c r="G17" s="1366" t="s">
        <v>5720</v>
      </c>
      <c r="H17" s="1373" t="s">
        <v>3024</v>
      </c>
      <c r="I17" s="1375">
        <v>240</v>
      </c>
      <c r="J17" s="1389">
        <v>0</v>
      </c>
      <c r="K17" s="1393">
        <v>0</v>
      </c>
      <c r="L17" s="1393">
        <v>240</v>
      </c>
      <c r="M17" s="1373">
        <v>0</v>
      </c>
      <c r="N17" s="1408"/>
      <c r="O17" s="1363"/>
      <c r="P17" s="1375" t="s">
        <v>909</v>
      </c>
      <c r="Q17" s="1363" t="s">
        <v>909</v>
      </c>
      <c r="R17" s="1355" t="s">
        <v>5721</v>
      </c>
      <c r="S17" s="1373" t="s">
        <v>82</v>
      </c>
      <c r="T17" s="1375" t="s">
        <v>929</v>
      </c>
      <c r="U17" s="1354" t="s">
        <v>1811</v>
      </c>
      <c r="V17" s="1355" t="s">
        <v>1047</v>
      </c>
      <c r="W17" s="1373">
        <v>85</v>
      </c>
      <c r="X17" s="1373">
        <v>85</v>
      </c>
      <c r="Y17" s="1366"/>
      <c r="Z17" s="1366" t="s">
        <v>5722</v>
      </c>
    </row>
    <row r="18" spans="1:26" ht="60" customHeight="1">
      <c r="A18" s="1358">
        <v>14</v>
      </c>
      <c r="B18" s="1356" t="s">
        <v>2605</v>
      </c>
      <c r="C18" s="1355" t="s">
        <v>5709</v>
      </c>
      <c r="D18" s="1363" t="s">
        <v>5723</v>
      </c>
      <c r="E18" s="1366" t="s">
        <v>5724</v>
      </c>
      <c r="F18" s="1368" t="s">
        <v>5725</v>
      </c>
      <c r="G18" s="1449" t="s">
        <v>6326</v>
      </c>
      <c r="H18" s="1373" t="s">
        <v>2129</v>
      </c>
      <c r="I18" s="1375">
        <v>220</v>
      </c>
      <c r="J18" s="1389">
        <v>0</v>
      </c>
      <c r="K18" s="1393">
        <v>10</v>
      </c>
      <c r="L18" s="1393">
        <v>200</v>
      </c>
      <c r="M18" s="1373">
        <v>10</v>
      </c>
      <c r="N18" s="1408"/>
      <c r="O18" s="1363"/>
      <c r="P18" s="1375" t="s">
        <v>92</v>
      </c>
      <c r="Q18" s="1363" t="s">
        <v>936</v>
      </c>
      <c r="R18" s="1355" t="s">
        <v>5726</v>
      </c>
      <c r="S18" s="1373" t="s">
        <v>82</v>
      </c>
      <c r="T18" s="1375" t="s">
        <v>929</v>
      </c>
      <c r="U18" s="1354" t="s">
        <v>84</v>
      </c>
      <c r="V18" s="1355" t="s">
        <v>1047</v>
      </c>
      <c r="W18" s="1373">
        <v>160</v>
      </c>
      <c r="X18" s="1373">
        <v>160</v>
      </c>
      <c r="Y18" s="1366"/>
      <c r="Z18" s="1366" t="s">
        <v>5727</v>
      </c>
    </row>
    <row r="19" spans="1:26" ht="60" customHeight="1">
      <c r="A19" s="1358">
        <v>15</v>
      </c>
      <c r="B19" s="1356" t="s">
        <v>2605</v>
      </c>
      <c r="C19" s="1357" t="s">
        <v>5709</v>
      </c>
      <c r="D19" s="1363" t="s">
        <v>5728</v>
      </c>
      <c r="E19" s="1366" t="s">
        <v>5729</v>
      </c>
      <c r="F19" s="1371" t="s">
        <v>5730</v>
      </c>
      <c r="G19" s="1366" t="s">
        <v>6336</v>
      </c>
      <c r="H19" s="1373" t="s">
        <v>2389</v>
      </c>
      <c r="I19" s="1375">
        <v>140</v>
      </c>
      <c r="J19" s="1390">
        <v>0</v>
      </c>
      <c r="K19" s="1394">
        <v>10</v>
      </c>
      <c r="L19" s="1394">
        <v>110</v>
      </c>
      <c r="M19" s="1398">
        <v>20</v>
      </c>
      <c r="N19" s="1409"/>
      <c r="O19" s="1364"/>
      <c r="P19" s="1358" t="s">
        <v>92</v>
      </c>
      <c r="Q19" s="1364" t="s">
        <v>936</v>
      </c>
      <c r="R19" s="1357" t="s">
        <v>5731</v>
      </c>
      <c r="S19" s="1373" t="s">
        <v>82</v>
      </c>
      <c r="T19" s="1375" t="s">
        <v>929</v>
      </c>
      <c r="U19" s="1356" t="s">
        <v>84</v>
      </c>
      <c r="V19" s="1355" t="s">
        <v>1047</v>
      </c>
      <c r="W19" s="1373">
        <v>150</v>
      </c>
      <c r="X19" s="1373">
        <v>150</v>
      </c>
      <c r="Y19" s="1366"/>
      <c r="Z19" s="1366" t="s">
        <v>5727</v>
      </c>
    </row>
    <row r="20" spans="1:26" ht="60" customHeight="1">
      <c r="A20" s="1358">
        <v>16</v>
      </c>
      <c r="B20" s="1356" t="s">
        <v>2605</v>
      </c>
      <c r="C20" s="1355" t="s">
        <v>5709</v>
      </c>
      <c r="D20" s="1363" t="s">
        <v>5732</v>
      </c>
      <c r="E20" s="1366" t="s">
        <v>5733</v>
      </c>
      <c r="F20" s="1368" t="s">
        <v>5734</v>
      </c>
      <c r="G20" s="1366" t="s">
        <v>5735</v>
      </c>
      <c r="H20" s="1373" t="s">
        <v>1809</v>
      </c>
      <c r="I20" s="1375">
        <v>45</v>
      </c>
      <c r="J20" s="1391">
        <v>0</v>
      </c>
      <c r="K20" s="1395">
        <v>10</v>
      </c>
      <c r="L20" s="1395">
        <v>12</v>
      </c>
      <c r="M20" s="1399">
        <v>23</v>
      </c>
      <c r="N20" s="1411"/>
      <c r="O20" s="1406"/>
      <c r="P20" s="1375" t="s">
        <v>67</v>
      </c>
      <c r="Q20" s="1363" t="s">
        <v>67</v>
      </c>
      <c r="R20" s="1355" t="s">
        <v>5736</v>
      </c>
      <c r="S20" s="1373" t="s">
        <v>82</v>
      </c>
      <c r="T20" s="1375" t="s">
        <v>5737</v>
      </c>
      <c r="U20" s="1354" t="s">
        <v>84</v>
      </c>
      <c r="V20" s="1355" t="s">
        <v>5738</v>
      </c>
      <c r="W20" s="1373">
        <v>5</v>
      </c>
      <c r="X20" s="1373">
        <v>5</v>
      </c>
      <c r="Y20" s="1366"/>
      <c r="Z20" s="1366" t="s">
        <v>1017</v>
      </c>
    </row>
    <row r="21" spans="1:26" ht="60" customHeight="1">
      <c r="A21" s="1358">
        <v>17</v>
      </c>
      <c r="B21" s="1356" t="s">
        <v>2605</v>
      </c>
      <c r="C21" s="1355" t="s">
        <v>5739</v>
      </c>
      <c r="D21" s="1363" t="s">
        <v>5740</v>
      </c>
      <c r="E21" s="1366" t="s">
        <v>5741</v>
      </c>
      <c r="F21" s="1368" t="s">
        <v>5742</v>
      </c>
      <c r="G21" s="1366" t="s">
        <v>5743</v>
      </c>
      <c r="H21" s="1373" t="s">
        <v>2370</v>
      </c>
      <c r="I21" s="1375">
        <v>526</v>
      </c>
      <c r="J21" s="1389">
        <v>0</v>
      </c>
      <c r="K21" s="1393">
        <v>0</v>
      </c>
      <c r="L21" s="1393">
        <v>391</v>
      </c>
      <c r="M21" s="1373">
        <v>135</v>
      </c>
      <c r="N21" s="1408"/>
      <c r="O21" s="1363"/>
      <c r="P21" s="1375" t="s">
        <v>92</v>
      </c>
      <c r="Q21" s="1363" t="s">
        <v>936</v>
      </c>
      <c r="R21" s="1355" t="s">
        <v>5744</v>
      </c>
      <c r="S21" s="1373" t="s">
        <v>82</v>
      </c>
      <c r="T21" s="1375" t="s">
        <v>83</v>
      </c>
      <c r="U21" s="1354" t="s">
        <v>84</v>
      </c>
      <c r="V21" s="1355" t="s">
        <v>1064</v>
      </c>
      <c r="W21" s="1373">
        <v>490</v>
      </c>
      <c r="X21" s="1373">
        <v>490</v>
      </c>
      <c r="Y21" s="1366"/>
      <c r="Z21" s="1366" t="s">
        <v>5745</v>
      </c>
    </row>
    <row r="22" spans="1:26" ht="60" customHeight="1">
      <c r="A22" s="1358">
        <v>18</v>
      </c>
      <c r="B22" s="1356" t="s">
        <v>2605</v>
      </c>
      <c r="C22" s="1355" t="s">
        <v>5739</v>
      </c>
      <c r="D22" s="1363" t="s">
        <v>5746</v>
      </c>
      <c r="E22" s="1366" t="s">
        <v>5747</v>
      </c>
      <c r="F22" s="1368" t="s">
        <v>5748</v>
      </c>
      <c r="G22" s="1366" t="s">
        <v>5749</v>
      </c>
      <c r="H22" s="1373" t="s">
        <v>5750</v>
      </c>
      <c r="I22" s="1375">
        <v>1190</v>
      </c>
      <c r="J22" s="1389">
        <v>0</v>
      </c>
      <c r="K22" s="1393">
        <v>0</v>
      </c>
      <c r="L22" s="1393">
        <v>1040</v>
      </c>
      <c r="M22" s="1373">
        <v>150</v>
      </c>
      <c r="N22" s="1408"/>
      <c r="O22" s="1363"/>
      <c r="P22" s="1375" t="s">
        <v>105</v>
      </c>
      <c r="Q22" s="1363" t="s">
        <v>936</v>
      </c>
      <c r="R22" s="1355" t="s">
        <v>5751</v>
      </c>
      <c r="S22" s="1373" t="s">
        <v>82</v>
      </c>
      <c r="T22" s="1375" t="s">
        <v>83</v>
      </c>
      <c r="U22" s="1354" t="s">
        <v>5752</v>
      </c>
      <c r="V22" s="1355" t="s">
        <v>1064</v>
      </c>
      <c r="W22" s="1373">
        <v>273</v>
      </c>
      <c r="X22" s="1373">
        <v>273</v>
      </c>
      <c r="Y22" s="1366"/>
      <c r="Z22" s="1366" t="s">
        <v>5753</v>
      </c>
    </row>
    <row r="23" spans="1:26" ht="60" customHeight="1">
      <c r="A23" s="1358">
        <v>19</v>
      </c>
      <c r="B23" s="1356" t="s">
        <v>2605</v>
      </c>
      <c r="C23" s="1355" t="s">
        <v>5739</v>
      </c>
      <c r="D23" s="1363" t="s">
        <v>5754</v>
      </c>
      <c r="E23" s="1366" t="s">
        <v>5755</v>
      </c>
      <c r="F23" s="1368" t="s">
        <v>5756</v>
      </c>
      <c r="G23" s="1366" t="s">
        <v>5757</v>
      </c>
      <c r="H23" s="1373" t="s">
        <v>1038</v>
      </c>
      <c r="I23" s="1375">
        <v>300</v>
      </c>
      <c r="J23" s="1389">
        <v>0</v>
      </c>
      <c r="K23" s="1393">
        <v>0</v>
      </c>
      <c r="L23" s="1393">
        <v>300</v>
      </c>
      <c r="M23" s="1373">
        <v>0</v>
      </c>
      <c r="N23" s="1408"/>
      <c r="O23" s="1363"/>
      <c r="P23" s="1375" t="s">
        <v>105</v>
      </c>
      <c r="Q23" s="1363" t="s">
        <v>936</v>
      </c>
      <c r="R23" s="1355" t="s">
        <v>5758</v>
      </c>
      <c r="S23" s="1373" t="s">
        <v>82</v>
      </c>
      <c r="T23" s="1375" t="s">
        <v>1103</v>
      </c>
      <c r="U23" s="1354" t="s">
        <v>84</v>
      </c>
      <c r="V23" s="1355" t="s">
        <v>1047</v>
      </c>
      <c r="W23" s="1373">
        <v>30</v>
      </c>
      <c r="X23" s="1373">
        <v>29.7</v>
      </c>
      <c r="Y23" s="1366">
        <v>0.3</v>
      </c>
      <c r="Z23" s="1366" t="s">
        <v>5759</v>
      </c>
    </row>
    <row r="24" spans="1:26" ht="60" customHeight="1">
      <c r="A24" s="1358">
        <v>20</v>
      </c>
      <c r="B24" s="1356" t="s">
        <v>2605</v>
      </c>
      <c r="C24" s="1357" t="s">
        <v>5739</v>
      </c>
      <c r="D24" s="1363" t="s">
        <v>5760</v>
      </c>
      <c r="E24" s="1366" t="s">
        <v>5761</v>
      </c>
      <c r="F24" s="1369" t="s">
        <v>5762</v>
      </c>
      <c r="G24" s="1366" t="s">
        <v>5763</v>
      </c>
      <c r="H24" s="1373" t="s">
        <v>2211</v>
      </c>
      <c r="I24" s="1375">
        <v>320</v>
      </c>
      <c r="J24" s="1390">
        <v>160</v>
      </c>
      <c r="K24" s="1394">
        <v>48</v>
      </c>
      <c r="L24" s="1394">
        <v>112</v>
      </c>
      <c r="M24" s="1398">
        <v>0</v>
      </c>
      <c r="N24" s="1409" t="s">
        <v>1002</v>
      </c>
      <c r="O24" s="1364" t="s">
        <v>5764</v>
      </c>
      <c r="P24" s="1375" t="s">
        <v>67</v>
      </c>
      <c r="Q24" s="1363" t="s">
        <v>936</v>
      </c>
      <c r="R24" s="1355" t="s">
        <v>1702</v>
      </c>
      <c r="S24" s="1373" t="s">
        <v>82</v>
      </c>
      <c r="T24" s="1375" t="s">
        <v>1103</v>
      </c>
      <c r="U24" s="1354" t="s">
        <v>84</v>
      </c>
      <c r="V24" s="1355" t="s">
        <v>85</v>
      </c>
      <c r="W24" s="1373">
        <v>40</v>
      </c>
      <c r="X24" s="1373">
        <v>40</v>
      </c>
      <c r="Y24" s="1366"/>
      <c r="Z24" s="1366" t="s">
        <v>5765</v>
      </c>
    </row>
    <row r="25" spans="1:26" ht="60" customHeight="1">
      <c r="A25" s="1358">
        <v>21</v>
      </c>
      <c r="B25" s="1356" t="s">
        <v>2605</v>
      </c>
      <c r="C25" s="1355" t="s">
        <v>5739</v>
      </c>
      <c r="D25" s="1363" t="s">
        <v>5766</v>
      </c>
      <c r="E25" s="1366" t="s">
        <v>5767</v>
      </c>
      <c r="F25" s="1368" t="s">
        <v>5768</v>
      </c>
      <c r="G25" s="1366" t="s">
        <v>5769</v>
      </c>
      <c r="H25" s="1373" t="s">
        <v>978</v>
      </c>
      <c r="I25" s="1375">
        <v>58.6</v>
      </c>
      <c r="J25" s="1391">
        <v>0</v>
      </c>
      <c r="K25" s="1395" t="s">
        <v>5770</v>
      </c>
      <c r="L25" s="1395" t="s">
        <v>5771</v>
      </c>
      <c r="M25" s="1374" t="s">
        <v>5772</v>
      </c>
      <c r="N25" s="1410"/>
      <c r="O25" s="1405"/>
      <c r="P25" s="1375" t="s">
        <v>92</v>
      </c>
      <c r="Q25" s="1363" t="s">
        <v>936</v>
      </c>
      <c r="R25" s="1355" t="s">
        <v>5773</v>
      </c>
      <c r="S25" s="1373" t="s">
        <v>82</v>
      </c>
      <c r="T25" s="1375" t="s">
        <v>929</v>
      </c>
      <c r="U25" s="1354" t="s">
        <v>84</v>
      </c>
      <c r="V25" s="1355" t="s">
        <v>1064</v>
      </c>
      <c r="W25" s="1373">
        <v>5</v>
      </c>
      <c r="X25" s="1373">
        <v>5</v>
      </c>
      <c r="Y25" s="1366">
        <v>0</v>
      </c>
      <c r="Z25" s="1366" t="s">
        <v>5774</v>
      </c>
    </row>
    <row r="26" spans="1:26" ht="60" customHeight="1">
      <c r="A26" s="1358">
        <v>22</v>
      </c>
      <c r="B26" s="1356" t="s">
        <v>2605</v>
      </c>
      <c r="C26" s="1355" t="s">
        <v>5739</v>
      </c>
      <c r="D26" s="1363" t="s">
        <v>5775</v>
      </c>
      <c r="E26" s="1366" t="s">
        <v>5776</v>
      </c>
      <c r="F26" s="1368" t="s">
        <v>5777</v>
      </c>
      <c r="G26" s="1366" t="s">
        <v>5778</v>
      </c>
      <c r="H26" s="1374" t="s">
        <v>5779</v>
      </c>
      <c r="I26" s="1375">
        <v>180</v>
      </c>
      <c r="J26" s="1391">
        <v>0</v>
      </c>
      <c r="K26" s="1395">
        <v>0</v>
      </c>
      <c r="L26" s="1395">
        <v>160</v>
      </c>
      <c r="M26" s="1374">
        <v>20</v>
      </c>
      <c r="N26" s="1410"/>
      <c r="O26" s="1405"/>
      <c r="P26" s="1375" t="s">
        <v>92</v>
      </c>
      <c r="Q26" s="1363" t="s">
        <v>936</v>
      </c>
      <c r="R26" s="1355" t="s">
        <v>5780</v>
      </c>
      <c r="S26" s="1374" t="s">
        <v>82</v>
      </c>
      <c r="T26" s="1376" t="s">
        <v>929</v>
      </c>
      <c r="U26" s="1354" t="s">
        <v>84</v>
      </c>
      <c r="V26" s="1362" t="s">
        <v>1047</v>
      </c>
      <c r="W26" s="1373">
        <v>180</v>
      </c>
      <c r="X26" s="1374">
        <v>180</v>
      </c>
      <c r="Y26" s="1388">
        <v>0</v>
      </c>
      <c r="Z26" s="1388" t="s">
        <v>1780</v>
      </c>
    </row>
    <row r="27" spans="1:26" ht="60" customHeight="1">
      <c r="A27" s="1358">
        <v>23</v>
      </c>
      <c r="B27" s="1356" t="s">
        <v>2605</v>
      </c>
      <c r="C27" s="1357" t="s">
        <v>5739</v>
      </c>
      <c r="D27" s="1363" t="s">
        <v>5781</v>
      </c>
      <c r="E27" s="1366" t="s">
        <v>2769</v>
      </c>
      <c r="F27" s="1368" t="s">
        <v>5782</v>
      </c>
      <c r="G27" s="1366" t="s">
        <v>5783</v>
      </c>
      <c r="H27" s="1373" t="s">
        <v>5784</v>
      </c>
      <c r="I27" s="1375">
        <v>219</v>
      </c>
      <c r="J27" s="1390">
        <v>0</v>
      </c>
      <c r="K27" s="1394">
        <v>24</v>
      </c>
      <c r="L27" s="1394">
        <v>105</v>
      </c>
      <c r="M27" s="1398">
        <v>90</v>
      </c>
      <c r="N27" s="1409"/>
      <c r="O27" s="1364"/>
      <c r="P27" s="1358" t="s">
        <v>92</v>
      </c>
      <c r="Q27" s="1364" t="s">
        <v>936</v>
      </c>
      <c r="R27" s="1357" t="s">
        <v>4733</v>
      </c>
      <c r="S27" s="1373" t="s">
        <v>82</v>
      </c>
      <c r="T27" s="1375" t="s">
        <v>929</v>
      </c>
      <c r="U27" s="1356" t="s">
        <v>945</v>
      </c>
      <c r="V27" s="1355" t="s">
        <v>85</v>
      </c>
      <c r="W27" s="1373">
        <v>0</v>
      </c>
      <c r="X27" s="1373">
        <v>0</v>
      </c>
      <c r="Y27" s="1366">
        <v>0</v>
      </c>
      <c r="Z27" s="1366" t="s">
        <v>930</v>
      </c>
    </row>
    <row r="28" spans="1:26" ht="60" customHeight="1">
      <c r="A28" s="1358">
        <v>24</v>
      </c>
      <c r="B28" s="1356" t="s">
        <v>2605</v>
      </c>
      <c r="C28" s="1357" t="s">
        <v>5739</v>
      </c>
      <c r="D28" s="1363" t="s">
        <v>5785</v>
      </c>
      <c r="E28" s="1367" t="s">
        <v>3006</v>
      </c>
      <c r="F28" s="1369" t="s">
        <v>5786</v>
      </c>
      <c r="G28" s="1366" t="s">
        <v>5787</v>
      </c>
      <c r="H28" s="1373" t="s">
        <v>943</v>
      </c>
      <c r="I28" s="1375">
        <v>170</v>
      </c>
      <c r="J28" s="1390">
        <v>20</v>
      </c>
      <c r="K28" s="1394">
        <v>0</v>
      </c>
      <c r="L28" s="1394">
        <v>150</v>
      </c>
      <c r="M28" s="1398">
        <v>0</v>
      </c>
      <c r="N28" s="1409" t="s">
        <v>927</v>
      </c>
      <c r="O28" s="1364" t="s">
        <v>5788</v>
      </c>
      <c r="P28" s="1358" t="s">
        <v>67</v>
      </c>
      <c r="Q28" s="1364" t="s">
        <v>936</v>
      </c>
      <c r="R28" s="1357" t="s">
        <v>2155</v>
      </c>
      <c r="S28" s="1373" t="s">
        <v>82</v>
      </c>
      <c r="T28" s="1375" t="s">
        <v>5789</v>
      </c>
      <c r="U28" s="1356" t="s">
        <v>84</v>
      </c>
      <c r="V28" s="1355" t="s">
        <v>1047</v>
      </c>
      <c r="W28" s="1373">
        <v>100</v>
      </c>
      <c r="X28" s="1373">
        <v>100</v>
      </c>
      <c r="Y28" s="1366"/>
      <c r="Z28" s="1366" t="s">
        <v>5790</v>
      </c>
    </row>
    <row r="29" spans="1:26" ht="60" customHeight="1">
      <c r="A29" s="1358">
        <v>25</v>
      </c>
      <c r="B29" s="1356" t="s">
        <v>2605</v>
      </c>
      <c r="C29" s="1355" t="s">
        <v>5739</v>
      </c>
      <c r="D29" s="1364" t="s">
        <v>5791</v>
      </c>
      <c r="E29" s="1366" t="s">
        <v>3006</v>
      </c>
      <c r="F29" s="1368" t="s">
        <v>5792</v>
      </c>
      <c r="G29" s="1366" t="s">
        <v>5793</v>
      </c>
      <c r="H29" s="1373" t="s">
        <v>5794</v>
      </c>
      <c r="I29" s="1375">
        <v>136</v>
      </c>
      <c r="J29" s="1392">
        <v>0</v>
      </c>
      <c r="K29" s="1396">
        <v>0</v>
      </c>
      <c r="L29" s="1395">
        <v>136</v>
      </c>
      <c r="M29" s="1399">
        <v>0</v>
      </c>
      <c r="N29" s="1411"/>
      <c r="O29" s="1406"/>
      <c r="P29" s="1375" t="s">
        <v>67</v>
      </c>
      <c r="Q29" s="1363" t="s">
        <v>936</v>
      </c>
      <c r="R29" s="1355"/>
      <c r="S29" s="1373" t="s">
        <v>82</v>
      </c>
      <c r="T29" s="1375" t="s">
        <v>929</v>
      </c>
      <c r="U29" s="1354"/>
      <c r="V29" s="1355" t="s">
        <v>85</v>
      </c>
      <c r="W29" s="1373">
        <v>50</v>
      </c>
      <c r="X29" s="1373">
        <v>40</v>
      </c>
      <c r="Y29" s="1366">
        <v>10</v>
      </c>
      <c r="Z29" s="1366" t="s">
        <v>1119</v>
      </c>
    </row>
    <row r="30" spans="1:26" ht="60" customHeight="1">
      <c r="A30" s="1358">
        <v>26</v>
      </c>
      <c r="B30" s="1356" t="s">
        <v>2605</v>
      </c>
      <c r="C30" s="1357" t="s">
        <v>5795</v>
      </c>
      <c r="D30" s="1364" t="s">
        <v>5796</v>
      </c>
      <c r="E30" s="1366" t="s">
        <v>5797</v>
      </c>
      <c r="F30" s="1368" t="s">
        <v>5798</v>
      </c>
      <c r="G30" s="1366" t="s">
        <v>5799</v>
      </c>
      <c r="H30" s="1373" t="s">
        <v>5800</v>
      </c>
      <c r="I30" s="1375">
        <v>2205</v>
      </c>
      <c r="J30" s="1390">
        <v>70</v>
      </c>
      <c r="K30" s="1397">
        <v>35</v>
      </c>
      <c r="L30" s="1397">
        <v>2100</v>
      </c>
      <c r="M30" s="1398">
        <v>0</v>
      </c>
      <c r="N30" s="1409" t="s">
        <v>927</v>
      </c>
      <c r="O30" s="1364" t="s">
        <v>1248</v>
      </c>
      <c r="P30" s="1358" t="s">
        <v>67</v>
      </c>
      <c r="Q30" s="1364" t="s">
        <v>4552</v>
      </c>
      <c r="R30" s="1357" t="s">
        <v>5801</v>
      </c>
      <c r="S30" s="1373" t="s">
        <v>82</v>
      </c>
      <c r="T30" s="1375" t="s">
        <v>1103</v>
      </c>
      <c r="U30" s="1356" t="s">
        <v>5802</v>
      </c>
      <c r="V30" s="1355" t="s">
        <v>85</v>
      </c>
      <c r="W30" s="1373">
        <v>420</v>
      </c>
      <c r="X30" s="1373">
        <v>420</v>
      </c>
      <c r="Y30" s="1366">
        <v>0</v>
      </c>
      <c r="Z30" s="1366" t="s">
        <v>1648</v>
      </c>
    </row>
    <row r="31" spans="1:26" ht="60" customHeight="1">
      <c r="A31" s="1358">
        <v>27</v>
      </c>
      <c r="B31" s="1356" t="s">
        <v>2605</v>
      </c>
      <c r="C31" s="1357" t="s">
        <v>5803</v>
      </c>
      <c r="D31" s="1365" t="s">
        <v>5804</v>
      </c>
      <c r="E31" s="1366" t="s">
        <v>5805</v>
      </c>
      <c r="F31" s="1368" t="s">
        <v>5806</v>
      </c>
      <c r="G31" s="1372" t="s">
        <v>5807</v>
      </c>
      <c r="H31" s="1373" t="s">
        <v>3136</v>
      </c>
      <c r="I31" s="1375">
        <v>310</v>
      </c>
      <c r="J31" s="1390">
        <v>0</v>
      </c>
      <c r="K31" s="1394">
        <v>0</v>
      </c>
      <c r="L31" s="1394">
        <v>310</v>
      </c>
      <c r="M31" s="1398">
        <v>0</v>
      </c>
      <c r="N31" s="1409"/>
      <c r="O31" s="1364"/>
      <c r="P31" s="1375" t="s">
        <v>67</v>
      </c>
      <c r="Q31" s="1363" t="s">
        <v>67</v>
      </c>
      <c r="R31" s="1355" t="s">
        <v>5808</v>
      </c>
      <c r="S31" s="1373" t="s">
        <v>82</v>
      </c>
      <c r="T31" s="1375" t="s">
        <v>2480</v>
      </c>
      <c r="U31" s="1354" t="s">
        <v>84</v>
      </c>
      <c r="V31" s="1355" t="s">
        <v>1047</v>
      </c>
      <c r="W31" s="1373">
        <v>230</v>
      </c>
      <c r="X31" s="1373">
        <v>225</v>
      </c>
      <c r="Y31" s="1366">
        <v>5</v>
      </c>
      <c r="Z31" s="1366" t="s">
        <v>5809</v>
      </c>
    </row>
    <row r="32" spans="1:26" ht="60" customHeight="1">
      <c r="A32" s="1358">
        <v>28</v>
      </c>
      <c r="B32" s="1356" t="s">
        <v>2605</v>
      </c>
      <c r="C32" s="1355" t="s">
        <v>5803</v>
      </c>
      <c r="D32" s="1363" t="s">
        <v>5810</v>
      </c>
      <c r="E32" s="1366" t="s">
        <v>5811</v>
      </c>
      <c r="F32" s="1368" t="s">
        <v>5812</v>
      </c>
      <c r="G32" s="1366" t="s">
        <v>5813</v>
      </c>
      <c r="H32" s="1373" t="s">
        <v>966</v>
      </c>
      <c r="I32" s="1375">
        <v>180</v>
      </c>
      <c r="J32" s="1391">
        <v>0</v>
      </c>
      <c r="K32" s="1395">
        <v>0</v>
      </c>
      <c r="L32" s="1395">
        <v>180</v>
      </c>
      <c r="M32" s="1374">
        <v>0</v>
      </c>
      <c r="N32" s="1410"/>
      <c r="O32" s="1405"/>
      <c r="P32" s="1375" t="s">
        <v>67</v>
      </c>
      <c r="Q32" s="1363" t="s">
        <v>936</v>
      </c>
      <c r="R32" s="1355" t="s">
        <v>5814</v>
      </c>
      <c r="S32" s="1373" t="s">
        <v>82</v>
      </c>
      <c r="T32" s="1375" t="s">
        <v>929</v>
      </c>
      <c r="U32" s="1354" t="s">
        <v>5815</v>
      </c>
      <c r="V32" s="1355" t="s">
        <v>1064</v>
      </c>
      <c r="W32" s="1373">
        <v>67</v>
      </c>
      <c r="X32" s="1373">
        <v>67</v>
      </c>
      <c r="Y32" s="1366"/>
      <c r="Z32" s="1366" t="s">
        <v>2125</v>
      </c>
    </row>
    <row r="33" spans="1:26" ht="60" customHeight="1">
      <c r="A33" s="1358">
        <v>29</v>
      </c>
      <c r="B33" s="1356" t="s">
        <v>2605</v>
      </c>
      <c r="C33" s="1355" t="s">
        <v>5803</v>
      </c>
      <c r="D33" s="1364" t="s">
        <v>5816</v>
      </c>
      <c r="E33" s="1366" t="s">
        <v>5817</v>
      </c>
      <c r="F33" s="1368" t="s">
        <v>5818</v>
      </c>
      <c r="G33" s="1449" t="s">
        <v>6327</v>
      </c>
      <c r="H33" s="1373" t="s">
        <v>3635</v>
      </c>
      <c r="I33" s="1375">
        <v>85</v>
      </c>
      <c r="J33" s="1390">
        <v>0</v>
      </c>
      <c r="K33" s="1394">
        <v>15</v>
      </c>
      <c r="L33" s="1394">
        <v>40</v>
      </c>
      <c r="M33" s="1398">
        <v>30</v>
      </c>
      <c r="N33" s="1409"/>
      <c r="O33" s="1364"/>
      <c r="P33" s="1358" t="s">
        <v>92</v>
      </c>
      <c r="Q33" s="1364" t="s">
        <v>92</v>
      </c>
      <c r="R33" s="1357" t="s">
        <v>5819</v>
      </c>
      <c r="S33" s="1373" t="s">
        <v>82</v>
      </c>
      <c r="T33" s="1375" t="s">
        <v>929</v>
      </c>
      <c r="U33" s="1356" t="s">
        <v>84</v>
      </c>
      <c r="V33" s="1355" t="s">
        <v>1064</v>
      </c>
      <c r="W33" s="1373">
        <v>27</v>
      </c>
      <c r="X33" s="1373">
        <v>27</v>
      </c>
      <c r="Y33" s="1366"/>
      <c r="Z33" s="1366" t="s">
        <v>2106</v>
      </c>
    </row>
    <row r="34" spans="1:26" ht="60" customHeight="1">
      <c r="A34" s="1358">
        <v>30</v>
      </c>
      <c r="B34" s="1356" t="s">
        <v>2605</v>
      </c>
      <c r="C34" s="1355" t="s">
        <v>5803</v>
      </c>
      <c r="D34" s="1364" t="s">
        <v>5820</v>
      </c>
      <c r="E34" s="1366" t="s">
        <v>5821</v>
      </c>
      <c r="F34" s="1369" t="s">
        <v>5822</v>
      </c>
      <c r="G34" s="1366" t="s">
        <v>5823</v>
      </c>
      <c r="H34" s="1373" t="s">
        <v>5824</v>
      </c>
      <c r="I34" s="1375">
        <v>230</v>
      </c>
      <c r="J34" s="1390">
        <v>0</v>
      </c>
      <c r="K34" s="1394">
        <v>0</v>
      </c>
      <c r="L34" s="1394">
        <v>230</v>
      </c>
      <c r="M34" s="1398">
        <v>0</v>
      </c>
      <c r="N34" s="1409"/>
      <c r="O34" s="1364"/>
      <c r="P34" s="1375" t="s">
        <v>105</v>
      </c>
      <c r="Q34" s="1363" t="s">
        <v>105</v>
      </c>
      <c r="R34" s="1355" t="s">
        <v>5825</v>
      </c>
      <c r="S34" s="1373" t="s">
        <v>82</v>
      </c>
      <c r="T34" s="1375" t="s">
        <v>1089</v>
      </c>
      <c r="U34" s="1354" t="s">
        <v>84</v>
      </c>
      <c r="V34" s="1355" t="s">
        <v>1064</v>
      </c>
      <c r="W34" s="1373">
        <v>40</v>
      </c>
      <c r="X34" s="1373">
        <v>40</v>
      </c>
      <c r="Y34" s="1366"/>
      <c r="Z34" s="1366" t="s">
        <v>930</v>
      </c>
    </row>
    <row r="35" spans="1:26" ht="60" customHeight="1">
      <c r="A35" s="1358">
        <v>31</v>
      </c>
      <c r="B35" s="1356" t="s">
        <v>2605</v>
      </c>
      <c r="C35" s="1357" t="s">
        <v>5826</v>
      </c>
      <c r="D35" s="1365" t="s">
        <v>5827</v>
      </c>
      <c r="E35" s="1366" t="s">
        <v>5828</v>
      </c>
      <c r="F35" s="1368" t="s">
        <v>5829</v>
      </c>
      <c r="G35" s="1372" t="s">
        <v>5830</v>
      </c>
      <c r="H35" s="1373" t="s">
        <v>5831</v>
      </c>
      <c r="I35" s="1375">
        <v>900</v>
      </c>
      <c r="J35" s="1390">
        <v>0</v>
      </c>
      <c r="K35" s="1394">
        <v>0</v>
      </c>
      <c r="L35" s="1394">
        <v>740</v>
      </c>
      <c r="M35" s="1398">
        <v>160</v>
      </c>
      <c r="N35" s="1409"/>
      <c r="O35" s="1364"/>
      <c r="P35" s="1375" t="s">
        <v>67</v>
      </c>
      <c r="Q35" s="1363" t="s">
        <v>936</v>
      </c>
      <c r="R35" s="1355" t="s">
        <v>2786</v>
      </c>
      <c r="S35" s="1373" t="s">
        <v>82</v>
      </c>
      <c r="T35" s="1375" t="s">
        <v>929</v>
      </c>
      <c r="U35" s="1354" t="s">
        <v>3365</v>
      </c>
      <c r="V35" s="1355" t="s">
        <v>1047</v>
      </c>
      <c r="W35" s="1373">
        <v>390</v>
      </c>
      <c r="X35" s="1373">
        <v>365</v>
      </c>
      <c r="Y35" s="1366">
        <v>25</v>
      </c>
      <c r="Z35" s="1366" t="s">
        <v>5832</v>
      </c>
    </row>
    <row r="36" spans="1:26" ht="60" customHeight="1">
      <c r="A36" s="1358">
        <v>32</v>
      </c>
      <c r="B36" s="1356" t="s">
        <v>2605</v>
      </c>
      <c r="C36" s="1357" t="s">
        <v>5826</v>
      </c>
      <c r="D36" s="1363" t="s">
        <v>5833</v>
      </c>
      <c r="E36" s="1366" t="s">
        <v>3074</v>
      </c>
      <c r="F36" s="1368" t="s">
        <v>5834</v>
      </c>
      <c r="G36" s="1366" t="s">
        <v>5835</v>
      </c>
      <c r="H36" s="1373" t="s">
        <v>2862</v>
      </c>
      <c r="I36" s="1375">
        <v>200</v>
      </c>
      <c r="J36" s="1390">
        <v>0</v>
      </c>
      <c r="K36" s="1394">
        <v>0</v>
      </c>
      <c r="L36" s="1394">
        <v>200</v>
      </c>
      <c r="M36" s="1398">
        <v>0</v>
      </c>
      <c r="N36" s="1409"/>
      <c r="O36" s="1364"/>
      <c r="P36" s="1358" t="s">
        <v>92</v>
      </c>
      <c r="Q36" s="1364" t="s">
        <v>936</v>
      </c>
      <c r="R36" s="1357" t="s">
        <v>5042</v>
      </c>
      <c r="S36" s="1373" t="s">
        <v>82</v>
      </c>
      <c r="T36" s="1375" t="s">
        <v>929</v>
      </c>
      <c r="U36" s="1356" t="s">
        <v>5836</v>
      </c>
      <c r="V36" s="1355" t="s">
        <v>1047</v>
      </c>
      <c r="W36" s="1373">
        <v>150</v>
      </c>
      <c r="X36" s="1373">
        <v>150</v>
      </c>
      <c r="Y36" s="1366">
        <v>0</v>
      </c>
      <c r="Z36" s="1366" t="s">
        <v>2125</v>
      </c>
    </row>
    <row r="37" spans="1:26" ht="60" customHeight="1">
      <c r="A37" s="1358">
        <v>33</v>
      </c>
      <c r="B37" s="1356" t="s">
        <v>2605</v>
      </c>
      <c r="C37" s="1355" t="s">
        <v>5826</v>
      </c>
      <c r="D37" s="1363" t="s">
        <v>5837</v>
      </c>
      <c r="E37" s="1366" t="s">
        <v>5838</v>
      </c>
      <c r="F37" s="1368" t="s">
        <v>5839</v>
      </c>
      <c r="G37" s="1366" t="s">
        <v>5840</v>
      </c>
      <c r="H37" s="1373" t="s">
        <v>1015</v>
      </c>
      <c r="I37" s="1375">
        <v>400</v>
      </c>
      <c r="J37" s="1391">
        <v>0</v>
      </c>
      <c r="K37" s="1395">
        <v>0</v>
      </c>
      <c r="L37" s="1395">
        <v>400</v>
      </c>
      <c r="M37" s="1374">
        <v>0</v>
      </c>
      <c r="N37" s="1410"/>
      <c r="O37" s="1405"/>
      <c r="P37" s="1375" t="s">
        <v>124</v>
      </c>
      <c r="Q37" s="1363" t="s">
        <v>936</v>
      </c>
      <c r="R37" s="1355" t="s">
        <v>5841</v>
      </c>
      <c r="S37" s="1373" t="s">
        <v>82</v>
      </c>
      <c r="T37" s="1375" t="s">
        <v>929</v>
      </c>
      <c r="U37" s="1354" t="s">
        <v>5842</v>
      </c>
      <c r="V37" s="1355" t="s">
        <v>1047</v>
      </c>
      <c r="W37" s="1373">
        <v>20</v>
      </c>
      <c r="X37" s="1373">
        <v>20</v>
      </c>
      <c r="Y37" s="1366">
        <v>0</v>
      </c>
      <c r="Z37" s="1366" t="s">
        <v>1780</v>
      </c>
    </row>
    <row r="38" spans="1:26" ht="60" customHeight="1">
      <c r="A38" s="1358">
        <v>34</v>
      </c>
      <c r="B38" s="1412" t="s">
        <v>2605</v>
      </c>
      <c r="C38" s="1413" t="s">
        <v>5843</v>
      </c>
      <c r="D38" s="1414" t="s">
        <v>5844</v>
      </c>
      <c r="E38" s="1415" t="s">
        <v>5845</v>
      </c>
      <c r="F38" s="1416" t="s">
        <v>5846</v>
      </c>
      <c r="G38" s="1415" t="s">
        <v>5847</v>
      </c>
      <c r="H38" s="1417" t="s">
        <v>5848</v>
      </c>
      <c r="I38" s="1418">
        <v>565</v>
      </c>
      <c r="J38" s="1419">
        <v>0</v>
      </c>
      <c r="K38" s="1420">
        <v>0</v>
      </c>
      <c r="L38" s="1420">
        <v>565</v>
      </c>
      <c r="M38" s="1417">
        <v>0</v>
      </c>
      <c r="N38" s="1421"/>
      <c r="O38" s="1414"/>
      <c r="P38" s="1418" t="s">
        <v>105</v>
      </c>
      <c r="Q38" s="1414" t="s">
        <v>936</v>
      </c>
      <c r="R38" s="1413" t="s">
        <v>3388</v>
      </c>
      <c r="S38" s="1417" t="s">
        <v>82</v>
      </c>
      <c r="T38" s="1418" t="s">
        <v>83</v>
      </c>
      <c r="U38" s="1412" t="s">
        <v>5849</v>
      </c>
      <c r="V38" s="1413" t="s">
        <v>1047</v>
      </c>
      <c r="W38" s="1373" t="s">
        <v>1047</v>
      </c>
      <c r="X38" s="1417">
        <v>70</v>
      </c>
      <c r="Y38" s="1422">
        <v>0</v>
      </c>
      <c r="Z38" s="1422" t="s">
        <v>930</v>
      </c>
    </row>
    <row r="39" spans="1:26" ht="60" customHeight="1">
      <c r="A39" s="1358">
        <v>35</v>
      </c>
      <c r="B39" s="1412" t="s">
        <v>2605</v>
      </c>
      <c r="C39" s="1413" t="s">
        <v>5850</v>
      </c>
      <c r="D39" s="1414" t="s">
        <v>5851</v>
      </c>
      <c r="E39" s="1415" t="s">
        <v>5852</v>
      </c>
      <c r="F39" s="1416" t="s">
        <v>5853</v>
      </c>
      <c r="G39" s="1415" t="s">
        <v>5854</v>
      </c>
      <c r="H39" s="1417" t="s">
        <v>5855</v>
      </c>
      <c r="I39" s="1418">
        <v>450</v>
      </c>
      <c r="J39" s="1419">
        <v>0</v>
      </c>
      <c r="K39" s="1420">
        <v>0</v>
      </c>
      <c r="L39" s="1420">
        <v>450</v>
      </c>
      <c r="M39" s="1417">
        <v>0</v>
      </c>
      <c r="N39" s="1421"/>
      <c r="O39" s="1414"/>
      <c r="P39" s="1418" t="s">
        <v>105</v>
      </c>
      <c r="Q39" s="1414" t="s">
        <v>936</v>
      </c>
      <c r="R39" s="1413" t="s">
        <v>5856</v>
      </c>
      <c r="S39" s="1417" t="s">
        <v>82</v>
      </c>
      <c r="T39" s="1418" t="s">
        <v>5857</v>
      </c>
      <c r="U39" s="1412" t="s">
        <v>2040</v>
      </c>
      <c r="V39" s="1413" t="s">
        <v>1142</v>
      </c>
      <c r="W39" s="1373">
        <v>58</v>
      </c>
      <c r="X39" s="1417">
        <v>57</v>
      </c>
      <c r="Y39" s="1422">
        <v>1</v>
      </c>
      <c r="Z39" s="1422" t="s">
        <v>5858</v>
      </c>
    </row>
    <row r="40" spans="1:26" ht="60" customHeight="1">
      <c r="A40" s="1358">
        <v>36</v>
      </c>
      <c r="B40" s="1412" t="s">
        <v>2605</v>
      </c>
      <c r="C40" s="1413" t="s">
        <v>5859</v>
      </c>
      <c r="D40" s="1414" t="s">
        <v>5860</v>
      </c>
      <c r="E40" s="1415" t="s">
        <v>5861</v>
      </c>
      <c r="F40" s="1416" t="s">
        <v>5862</v>
      </c>
      <c r="G40" s="1415" t="s">
        <v>5863</v>
      </c>
      <c r="H40" s="1417" t="s">
        <v>2497</v>
      </c>
      <c r="I40" s="1418">
        <v>290</v>
      </c>
      <c r="J40" s="1419">
        <v>0</v>
      </c>
      <c r="K40" s="1420">
        <v>40</v>
      </c>
      <c r="L40" s="1420">
        <v>250</v>
      </c>
      <c r="M40" s="1417">
        <v>0</v>
      </c>
      <c r="N40" s="1421"/>
      <c r="O40" s="1414"/>
      <c r="P40" s="1418" t="s">
        <v>167</v>
      </c>
      <c r="Q40" s="1414" t="s">
        <v>1960</v>
      </c>
      <c r="R40" s="1413" t="s">
        <v>82</v>
      </c>
      <c r="S40" s="1417" t="s">
        <v>83</v>
      </c>
      <c r="T40" s="1418" t="s">
        <v>5864</v>
      </c>
      <c r="U40" s="1412" t="s">
        <v>85</v>
      </c>
      <c r="V40" s="1413">
        <v>1050</v>
      </c>
      <c r="W40" s="1373">
        <v>1050</v>
      </c>
      <c r="X40" s="1417">
        <v>0</v>
      </c>
      <c r="Y40" s="1422" t="s">
        <v>1648</v>
      </c>
      <c r="Z40" s="1422"/>
    </row>
    <row r="41" spans="1:26" ht="60" customHeight="1">
      <c r="A41" s="1358">
        <v>37</v>
      </c>
      <c r="B41" s="1412" t="s">
        <v>2605</v>
      </c>
      <c r="C41" s="1413" t="s">
        <v>5859</v>
      </c>
      <c r="D41" s="1414" t="s">
        <v>5865</v>
      </c>
      <c r="E41" s="1415" t="s">
        <v>5866</v>
      </c>
      <c r="F41" s="1416" t="s">
        <v>5867</v>
      </c>
      <c r="G41" s="1415" t="s">
        <v>5868</v>
      </c>
      <c r="H41" s="1417" t="s">
        <v>5869</v>
      </c>
      <c r="I41" s="1418">
        <v>120</v>
      </c>
      <c r="J41" s="1419">
        <v>0</v>
      </c>
      <c r="K41" s="1420">
        <v>30</v>
      </c>
      <c r="L41" s="1420">
        <v>70</v>
      </c>
      <c r="M41" s="1417">
        <v>20</v>
      </c>
      <c r="N41" s="1421"/>
      <c r="O41" s="1414"/>
      <c r="P41" s="1418" t="s">
        <v>105</v>
      </c>
      <c r="Q41" s="1414" t="s">
        <v>3347</v>
      </c>
      <c r="R41" s="1413" t="s">
        <v>82</v>
      </c>
      <c r="S41" s="1417" t="s">
        <v>83</v>
      </c>
      <c r="T41" s="1418" t="s">
        <v>5864</v>
      </c>
      <c r="U41" s="1412" t="s">
        <v>85</v>
      </c>
      <c r="V41" s="1413">
        <v>25</v>
      </c>
      <c r="W41" s="1373">
        <v>24</v>
      </c>
      <c r="X41" s="1417">
        <v>1</v>
      </c>
      <c r="Y41" s="1422" t="s">
        <v>938</v>
      </c>
      <c r="Z41" s="1422"/>
    </row>
    <row r="42" spans="1:26" ht="60" customHeight="1">
      <c r="A42" s="1358">
        <v>38</v>
      </c>
      <c r="B42" s="1412" t="s">
        <v>2605</v>
      </c>
      <c r="C42" s="1413" t="s">
        <v>5859</v>
      </c>
      <c r="D42" s="1414" t="s">
        <v>5870</v>
      </c>
      <c r="E42" s="1415" t="s">
        <v>5871</v>
      </c>
      <c r="F42" s="1416" t="s">
        <v>5872</v>
      </c>
      <c r="G42" s="1415" t="s">
        <v>5873</v>
      </c>
      <c r="H42" s="1417" t="s">
        <v>2381</v>
      </c>
      <c r="I42" s="1418">
        <v>120</v>
      </c>
      <c r="J42" s="1419">
        <v>0</v>
      </c>
      <c r="K42" s="1420">
        <v>0</v>
      </c>
      <c r="L42" s="1420">
        <v>120</v>
      </c>
      <c r="M42" s="1417">
        <v>0</v>
      </c>
      <c r="N42" s="1421"/>
      <c r="O42" s="1414"/>
      <c r="P42" s="1418" t="s">
        <v>92</v>
      </c>
      <c r="Q42" s="1414" t="s">
        <v>5874</v>
      </c>
      <c r="R42" s="1413" t="s">
        <v>82</v>
      </c>
      <c r="S42" s="1417" t="s">
        <v>929</v>
      </c>
      <c r="T42" s="1418" t="s">
        <v>84</v>
      </c>
      <c r="U42" s="1412" t="s">
        <v>85</v>
      </c>
      <c r="V42" s="1413">
        <v>7</v>
      </c>
      <c r="W42" s="1373">
        <v>7</v>
      </c>
      <c r="X42" s="1417">
        <v>0</v>
      </c>
      <c r="Y42" s="1422" t="s">
        <v>5875</v>
      </c>
      <c r="Z42" s="1422"/>
    </row>
    <row r="43" spans="1:26" ht="60" customHeight="1">
      <c r="A43" s="1358">
        <v>39</v>
      </c>
      <c r="B43" s="1412" t="s">
        <v>2605</v>
      </c>
      <c r="C43" s="1413" t="s">
        <v>5859</v>
      </c>
      <c r="D43" s="1414" t="s">
        <v>5876</v>
      </c>
      <c r="E43" s="1415" t="s">
        <v>5877</v>
      </c>
      <c r="F43" s="1416" t="s">
        <v>5878</v>
      </c>
      <c r="G43" s="1415" t="s">
        <v>5879</v>
      </c>
      <c r="H43" s="1417" t="s">
        <v>5880</v>
      </c>
      <c r="I43" s="1418">
        <v>165</v>
      </c>
      <c r="J43" s="1419">
        <v>0</v>
      </c>
      <c r="K43" s="1420">
        <v>20</v>
      </c>
      <c r="L43" s="1420">
        <v>145</v>
      </c>
      <c r="M43" s="1417">
        <v>0</v>
      </c>
      <c r="N43" s="1421"/>
      <c r="O43" s="1414"/>
      <c r="P43" s="1418" t="s">
        <v>105</v>
      </c>
      <c r="Q43" s="1414" t="s">
        <v>5881</v>
      </c>
      <c r="R43" s="1413" t="s">
        <v>82</v>
      </c>
      <c r="S43" s="1417" t="s">
        <v>83</v>
      </c>
      <c r="T43" s="1418" t="s">
        <v>5882</v>
      </c>
      <c r="U43" s="1412" t="s">
        <v>85</v>
      </c>
      <c r="V43" s="1413">
        <v>100</v>
      </c>
      <c r="W43" s="1373">
        <v>90</v>
      </c>
      <c r="X43" s="1417">
        <v>10</v>
      </c>
      <c r="Y43" s="1422" t="s">
        <v>5883</v>
      </c>
      <c r="Z43" s="1422"/>
    </row>
    <row r="44" spans="1:26" ht="60" customHeight="1">
      <c r="A44" s="1358">
        <v>40</v>
      </c>
      <c r="B44" s="1412" t="s">
        <v>2605</v>
      </c>
      <c r="C44" s="1413" t="s">
        <v>5859</v>
      </c>
      <c r="D44" s="1414" t="s">
        <v>5884</v>
      </c>
      <c r="E44" s="1415" t="s">
        <v>5885</v>
      </c>
      <c r="F44" s="1416" t="s">
        <v>5886</v>
      </c>
      <c r="G44" s="1415" t="s">
        <v>5887</v>
      </c>
      <c r="H44" s="1417" t="s">
        <v>3116</v>
      </c>
      <c r="I44" s="1418">
        <v>120</v>
      </c>
      <c r="J44" s="1419">
        <v>0</v>
      </c>
      <c r="K44" s="1420">
        <v>0</v>
      </c>
      <c r="L44" s="1420">
        <v>120</v>
      </c>
      <c r="M44" s="1417">
        <v>0</v>
      </c>
      <c r="N44" s="1421"/>
      <c r="O44" s="1414"/>
      <c r="P44" s="1418" t="s">
        <v>105</v>
      </c>
      <c r="Q44" s="1414" t="s">
        <v>5888</v>
      </c>
      <c r="R44" s="1413" t="s">
        <v>82</v>
      </c>
      <c r="S44" s="1417" t="s">
        <v>83</v>
      </c>
      <c r="T44" s="1418" t="s">
        <v>5889</v>
      </c>
      <c r="U44" s="1412" t="s">
        <v>85</v>
      </c>
      <c r="V44" s="1413">
        <v>3</v>
      </c>
      <c r="W44" s="1373">
        <v>2</v>
      </c>
      <c r="X44" s="1417">
        <v>1</v>
      </c>
      <c r="Y44" s="1422" t="s">
        <v>938</v>
      </c>
      <c r="Z44" s="1422"/>
    </row>
    <row r="45" spans="1:26" ht="60" customHeight="1">
      <c r="A45" s="1358">
        <v>41</v>
      </c>
      <c r="B45" s="1412" t="s">
        <v>2605</v>
      </c>
      <c r="C45" s="1413" t="s">
        <v>1704</v>
      </c>
      <c r="D45" s="1423" t="s">
        <v>5890</v>
      </c>
      <c r="E45" s="1415" t="s">
        <v>5891</v>
      </c>
      <c r="F45" s="1424" t="s">
        <v>5892</v>
      </c>
      <c r="G45" s="1415" t="s">
        <v>5893</v>
      </c>
      <c r="H45" s="1425" t="s">
        <v>5894</v>
      </c>
      <c r="I45" s="1418">
        <v>200</v>
      </c>
      <c r="J45" s="1419">
        <v>0</v>
      </c>
      <c r="K45" s="1420">
        <v>0</v>
      </c>
      <c r="L45" s="1420">
        <v>200</v>
      </c>
      <c r="M45" s="1417">
        <v>0</v>
      </c>
      <c r="N45" s="1426"/>
      <c r="O45" s="1423"/>
      <c r="P45" s="1427" t="s">
        <v>67</v>
      </c>
      <c r="Q45" s="1423" t="s">
        <v>936</v>
      </c>
      <c r="R45" s="1428" t="s">
        <v>5895</v>
      </c>
      <c r="S45" s="1425" t="s">
        <v>2124</v>
      </c>
      <c r="T45" s="1427" t="s">
        <v>83</v>
      </c>
      <c r="U45" s="1429" t="s">
        <v>4299</v>
      </c>
      <c r="V45" s="1428" t="s">
        <v>85</v>
      </c>
      <c r="W45" s="1373">
        <v>17</v>
      </c>
      <c r="X45" s="1425">
        <v>17</v>
      </c>
      <c r="Y45" s="1430"/>
      <c r="Z45" s="1430" t="s">
        <v>5896</v>
      </c>
    </row>
    <row r="46" spans="1:26" ht="60" customHeight="1">
      <c r="A46" s="1358">
        <v>42</v>
      </c>
      <c r="B46" s="1412" t="s">
        <v>2605</v>
      </c>
      <c r="C46" s="1413" t="s">
        <v>1704</v>
      </c>
      <c r="D46" s="1423" t="s">
        <v>5897</v>
      </c>
      <c r="E46" s="1415" t="s">
        <v>5898</v>
      </c>
      <c r="F46" s="1424" t="s">
        <v>5899</v>
      </c>
      <c r="G46" s="1415" t="s">
        <v>5900</v>
      </c>
      <c r="H46" s="1425" t="s">
        <v>5901</v>
      </c>
      <c r="I46" s="1418">
        <v>100</v>
      </c>
      <c r="J46" s="1419">
        <v>0</v>
      </c>
      <c r="K46" s="1420">
        <v>15</v>
      </c>
      <c r="L46" s="1420">
        <v>55</v>
      </c>
      <c r="M46" s="1417">
        <v>30</v>
      </c>
      <c r="N46" s="1426"/>
      <c r="O46" s="1423"/>
      <c r="P46" s="1427" t="s">
        <v>92</v>
      </c>
      <c r="Q46" s="1423" t="s">
        <v>92</v>
      </c>
      <c r="R46" s="1428" t="s">
        <v>5902</v>
      </c>
      <c r="S46" s="1425" t="s">
        <v>82</v>
      </c>
      <c r="T46" s="1427" t="s">
        <v>1089</v>
      </c>
      <c r="U46" s="1429" t="s">
        <v>84</v>
      </c>
      <c r="V46" s="1428" t="s">
        <v>1064</v>
      </c>
      <c r="W46" s="1373">
        <v>50</v>
      </c>
      <c r="X46" s="1425">
        <v>50</v>
      </c>
      <c r="Y46" s="1430"/>
      <c r="Z46" s="1430" t="s">
        <v>5903</v>
      </c>
    </row>
    <row r="47" spans="1:26" ht="60" customHeight="1">
      <c r="A47" s="1358">
        <v>43</v>
      </c>
      <c r="B47" s="1412" t="s">
        <v>2605</v>
      </c>
      <c r="C47" s="1413" t="s">
        <v>1704</v>
      </c>
      <c r="D47" s="1423" t="s">
        <v>5904</v>
      </c>
      <c r="E47" s="1415" t="s">
        <v>5905</v>
      </c>
      <c r="F47" s="1424" t="s">
        <v>5906</v>
      </c>
      <c r="G47" s="1415" t="s">
        <v>5907</v>
      </c>
      <c r="H47" s="1425" t="s">
        <v>3644</v>
      </c>
      <c r="I47" s="1418">
        <v>100</v>
      </c>
      <c r="J47" s="1419">
        <v>0</v>
      </c>
      <c r="K47" s="1420">
        <v>0</v>
      </c>
      <c r="L47" s="1420">
        <v>100</v>
      </c>
      <c r="M47" s="1417">
        <v>0</v>
      </c>
      <c r="N47" s="1426"/>
      <c r="O47" s="1423"/>
      <c r="P47" s="1427" t="s">
        <v>105</v>
      </c>
      <c r="Q47" s="1423" t="s">
        <v>936</v>
      </c>
      <c r="R47" s="1428" t="s">
        <v>5908</v>
      </c>
      <c r="S47" s="1425" t="s">
        <v>82</v>
      </c>
      <c r="T47" s="1427" t="s">
        <v>1089</v>
      </c>
      <c r="U47" s="1429" t="s">
        <v>84</v>
      </c>
      <c r="V47" s="1428" t="s">
        <v>85</v>
      </c>
      <c r="W47" s="1373">
        <v>5</v>
      </c>
      <c r="X47" s="1425">
        <v>5</v>
      </c>
      <c r="Y47" s="1430"/>
      <c r="Z47" s="1430" t="s">
        <v>5909</v>
      </c>
    </row>
    <row r="48" spans="1:26" ht="60" customHeight="1">
      <c r="A48" s="1358">
        <v>44</v>
      </c>
      <c r="B48" s="1412" t="s">
        <v>2605</v>
      </c>
      <c r="C48" s="1413" t="s">
        <v>5910</v>
      </c>
      <c r="D48" s="1423" t="s">
        <v>5911</v>
      </c>
      <c r="E48" s="1415" t="s">
        <v>2776</v>
      </c>
      <c r="F48" s="1424" t="s">
        <v>5912</v>
      </c>
      <c r="G48" s="1415" t="s">
        <v>5913</v>
      </c>
      <c r="H48" s="1425" t="s">
        <v>1054</v>
      </c>
      <c r="I48" s="1418">
        <v>185</v>
      </c>
      <c r="J48" s="1419">
        <v>0</v>
      </c>
      <c r="K48" s="1420">
        <v>0</v>
      </c>
      <c r="L48" s="1420">
        <v>185</v>
      </c>
      <c r="M48" s="1417">
        <v>0</v>
      </c>
      <c r="N48" s="1426"/>
      <c r="O48" s="1423"/>
      <c r="P48" s="1427" t="s">
        <v>92</v>
      </c>
      <c r="Q48" s="1423"/>
      <c r="R48" s="1428" t="s">
        <v>2112</v>
      </c>
      <c r="S48" s="1425" t="s">
        <v>82</v>
      </c>
      <c r="T48" s="1427" t="s">
        <v>995</v>
      </c>
      <c r="U48" s="1429" t="s">
        <v>84</v>
      </c>
      <c r="V48" s="1428" t="s">
        <v>1047</v>
      </c>
      <c r="W48" s="1373">
        <v>43.8</v>
      </c>
      <c r="X48" s="1425">
        <v>43.8</v>
      </c>
      <c r="Y48" s="1430"/>
      <c r="Z48" s="1430" t="s">
        <v>1017</v>
      </c>
    </row>
    <row r="49" spans="1:26" ht="60" customHeight="1">
      <c r="A49" s="1358">
        <v>45</v>
      </c>
      <c r="B49" s="1412" t="s">
        <v>2605</v>
      </c>
      <c r="C49" s="1413" t="s">
        <v>5910</v>
      </c>
      <c r="D49" s="1423" t="s">
        <v>5914</v>
      </c>
      <c r="E49" s="1415" t="s">
        <v>2536</v>
      </c>
      <c r="F49" s="1424" t="s">
        <v>5915</v>
      </c>
      <c r="G49" s="1415" t="s">
        <v>6328</v>
      </c>
      <c r="H49" s="1425" t="s">
        <v>3136</v>
      </c>
      <c r="I49" s="1418">
        <v>445</v>
      </c>
      <c r="J49" s="1419">
        <v>0</v>
      </c>
      <c r="K49" s="1420">
        <v>0</v>
      </c>
      <c r="L49" s="1420">
        <v>445</v>
      </c>
      <c r="M49" s="1417">
        <v>0</v>
      </c>
      <c r="N49" s="1426"/>
      <c r="O49" s="1423"/>
      <c r="P49" s="1427" t="s">
        <v>92</v>
      </c>
      <c r="Q49" s="1423"/>
      <c r="R49" s="1428" t="s">
        <v>5916</v>
      </c>
      <c r="S49" s="1425" t="s">
        <v>82</v>
      </c>
      <c r="T49" s="1427" t="s">
        <v>929</v>
      </c>
      <c r="U49" s="1429" t="s">
        <v>84</v>
      </c>
      <c r="V49" s="1428" t="s">
        <v>1047</v>
      </c>
      <c r="W49" s="1373">
        <v>97.9</v>
      </c>
      <c r="X49" s="1425">
        <v>97.9</v>
      </c>
      <c r="Y49" s="1430"/>
      <c r="Z49" s="1430" t="s">
        <v>930</v>
      </c>
    </row>
    <row r="50" spans="1:26" ht="60" customHeight="1">
      <c r="A50" s="1358">
        <v>46</v>
      </c>
      <c r="B50" s="1412" t="s">
        <v>2605</v>
      </c>
      <c r="C50" s="1413" t="s">
        <v>5910</v>
      </c>
      <c r="D50" s="1423" t="s">
        <v>5917</v>
      </c>
      <c r="E50" s="1415" t="s">
        <v>5918</v>
      </c>
      <c r="F50" s="1424" t="s">
        <v>5919</v>
      </c>
      <c r="G50" s="1415" t="s">
        <v>6329</v>
      </c>
      <c r="H50" s="1425" t="s">
        <v>3153</v>
      </c>
      <c r="I50" s="1418">
        <v>100</v>
      </c>
      <c r="J50" s="1419">
        <v>0</v>
      </c>
      <c r="K50" s="1420">
        <v>0</v>
      </c>
      <c r="L50" s="1420">
        <v>100</v>
      </c>
      <c r="M50" s="1417">
        <v>0</v>
      </c>
      <c r="N50" s="1426"/>
      <c r="O50" s="1423"/>
      <c r="P50" s="1427" t="s">
        <v>67</v>
      </c>
      <c r="Q50" s="1423"/>
      <c r="R50" s="1428" t="s">
        <v>5920</v>
      </c>
      <c r="S50" s="1425" t="s">
        <v>82</v>
      </c>
      <c r="T50" s="1427" t="s">
        <v>2641</v>
      </c>
      <c r="U50" s="1429" t="s">
        <v>84</v>
      </c>
      <c r="V50" s="1428" t="s">
        <v>1047</v>
      </c>
      <c r="W50" s="1373">
        <v>4.9000000000000004</v>
      </c>
      <c r="X50" s="1425">
        <v>4.9000000000000004</v>
      </c>
      <c r="Y50" s="1430"/>
      <c r="Z50" s="1430" t="s">
        <v>1017</v>
      </c>
    </row>
    <row r="51" spans="1:26" ht="60" customHeight="1">
      <c r="A51" s="1358">
        <v>47</v>
      </c>
      <c r="B51" s="1412" t="s">
        <v>2605</v>
      </c>
      <c r="C51" s="1413" t="s">
        <v>5910</v>
      </c>
      <c r="D51" s="1423" t="s">
        <v>5921</v>
      </c>
      <c r="E51" s="1415" t="s">
        <v>5922</v>
      </c>
      <c r="F51" s="1424" t="s">
        <v>5923</v>
      </c>
      <c r="G51" s="1415" t="s">
        <v>6330</v>
      </c>
      <c r="H51" s="1425" t="s">
        <v>966</v>
      </c>
      <c r="I51" s="1418">
        <v>255</v>
      </c>
      <c r="J51" s="1419">
        <v>0</v>
      </c>
      <c r="K51" s="1420">
        <v>0</v>
      </c>
      <c r="L51" s="1420">
        <v>225</v>
      </c>
      <c r="M51" s="1417">
        <v>0</v>
      </c>
      <c r="N51" s="1426"/>
      <c r="O51" s="1423"/>
      <c r="P51" s="1427" t="s">
        <v>67</v>
      </c>
      <c r="Q51" s="1423"/>
      <c r="R51" s="1428" t="s">
        <v>5924</v>
      </c>
      <c r="S51" s="1425" t="s">
        <v>82</v>
      </c>
      <c r="T51" s="1427" t="s">
        <v>929</v>
      </c>
      <c r="U51" s="1429" t="s">
        <v>84</v>
      </c>
      <c r="V51" s="1428" t="s">
        <v>1047</v>
      </c>
      <c r="W51" s="1373">
        <v>109</v>
      </c>
      <c r="X51" s="1425">
        <v>108</v>
      </c>
      <c r="Y51" s="1430">
        <v>1</v>
      </c>
      <c r="Z51" s="1430" t="s">
        <v>2125</v>
      </c>
    </row>
    <row r="52" spans="1:26" ht="60" customHeight="1">
      <c r="A52" s="1358">
        <v>48</v>
      </c>
      <c r="B52" s="1412" t="s">
        <v>2605</v>
      </c>
      <c r="C52" s="1413" t="s">
        <v>5925</v>
      </c>
      <c r="D52" s="1423" t="s">
        <v>5926</v>
      </c>
      <c r="E52" s="1430" t="s">
        <v>5927</v>
      </c>
      <c r="F52" s="1424" t="s">
        <v>5928</v>
      </c>
      <c r="G52" s="1415" t="s">
        <v>5929</v>
      </c>
      <c r="H52" s="1425" t="s">
        <v>5930</v>
      </c>
      <c r="I52" s="1418">
        <v>520</v>
      </c>
      <c r="J52" s="1419">
        <v>0</v>
      </c>
      <c r="K52" s="1420">
        <v>0</v>
      </c>
      <c r="L52" s="1420">
        <v>520</v>
      </c>
      <c r="M52" s="1417">
        <v>0</v>
      </c>
      <c r="N52" s="1426"/>
      <c r="O52" s="1423"/>
      <c r="P52" s="1427" t="s">
        <v>92</v>
      </c>
      <c r="Q52" s="1423"/>
      <c r="R52" s="1428" t="s">
        <v>4895</v>
      </c>
      <c r="S52" s="1425" t="s">
        <v>82</v>
      </c>
      <c r="T52" s="1427" t="s">
        <v>929</v>
      </c>
      <c r="U52" s="1429" t="s">
        <v>3627</v>
      </c>
      <c r="V52" s="1428" t="s">
        <v>1047</v>
      </c>
      <c r="W52" s="1373">
        <v>530</v>
      </c>
      <c r="X52" s="1425">
        <v>528</v>
      </c>
      <c r="Y52" s="1430">
        <v>2</v>
      </c>
      <c r="Z52" s="1430" t="s">
        <v>930</v>
      </c>
    </row>
    <row r="53" spans="1:26" ht="60" customHeight="1">
      <c r="A53" s="1358">
        <v>49</v>
      </c>
      <c r="B53" s="1412" t="s">
        <v>2605</v>
      </c>
      <c r="C53" s="1413" t="s">
        <v>5925</v>
      </c>
      <c r="D53" s="1423" t="s">
        <v>5931</v>
      </c>
      <c r="E53" s="1430" t="s">
        <v>3620</v>
      </c>
      <c r="F53" s="1424" t="s">
        <v>5932</v>
      </c>
      <c r="G53" s="1415" t="s">
        <v>5933</v>
      </c>
      <c r="H53" s="1425" t="s">
        <v>993</v>
      </c>
      <c r="I53" s="1418">
        <v>161</v>
      </c>
      <c r="J53" s="1419">
        <v>0</v>
      </c>
      <c r="K53" s="1420">
        <v>0</v>
      </c>
      <c r="L53" s="1420">
        <v>161</v>
      </c>
      <c r="M53" s="1417">
        <v>0</v>
      </c>
      <c r="N53" s="1426"/>
      <c r="O53" s="1423"/>
      <c r="P53" s="1427" t="s">
        <v>167</v>
      </c>
      <c r="Q53" s="1423"/>
      <c r="R53" s="1428" t="s">
        <v>5934</v>
      </c>
      <c r="S53" s="1425" t="s">
        <v>82</v>
      </c>
      <c r="T53" s="1427" t="s">
        <v>83</v>
      </c>
      <c r="U53" s="1429" t="s">
        <v>3627</v>
      </c>
      <c r="V53" s="1428" t="s">
        <v>1047</v>
      </c>
      <c r="W53" s="1373">
        <v>380</v>
      </c>
      <c r="X53" s="1425">
        <v>379</v>
      </c>
      <c r="Y53" s="1430">
        <v>1</v>
      </c>
      <c r="Z53" s="1430" t="s">
        <v>2125</v>
      </c>
    </row>
    <row r="54" spans="1:26" ht="60" customHeight="1">
      <c r="A54" s="1358">
        <v>50</v>
      </c>
      <c r="B54" s="1412" t="s">
        <v>2605</v>
      </c>
      <c r="C54" s="1413" t="s">
        <v>5925</v>
      </c>
      <c r="D54" s="1423" t="s">
        <v>5935</v>
      </c>
      <c r="E54" s="1430" t="s">
        <v>3633</v>
      </c>
      <c r="F54" s="1424" t="s">
        <v>5936</v>
      </c>
      <c r="G54" s="1415" t="s">
        <v>5937</v>
      </c>
      <c r="H54" s="1425" t="s">
        <v>993</v>
      </c>
      <c r="I54" s="1418">
        <v>380</v>
      </c>
      <c r="J54" s="1419">
        <v>0</v>
      </c>
      <c r="K54" s="1420">
        <v>0</v>
      </c>
      <c r="L54" s="1420">
        <v>380</v>
      </c>
      <c r="M54" s="1417">
        <v>0</v>
      </c>
      <c r="N54" s="1426"/>
      <c r="O54" s="1423"/>
      <c r="P54" s="1427" t="s">
        <v>167</v>
      </c>
      <c r="Q54" s="1423"/>
      <c r="R54" s="1428" t="s">
        <v>5938</v>
      </c>
      <c r="S54" s="1425" t="s">
        <v>82</v>
      </c>
      <c r="T54" s="1427" t="s">
        <v>929</v>
      </c>
      <c r="U54" s="1429" t="s">
        <v>3627</v>
      </c>
      <c r="V54" s="1428" t="s">
        <v>1047</v>
      </c>
      <c r="W54" s="1373">
        <v>132</v>
      </c>
      <c r="X54" s="1425">
        <v>131</v>
      </c>
      <c r="Y54" s="1430">
        <v>1</v>
      </c>
      <c r="Z54" s="1430" t="s">
        <v>5938</v>
      </c>
    </row>
    <row r="55" spans="1:26" ht="60" customHeight="1">
      <c r="A55" s="1358">
        <v>51</v>
      </c>
      <c r="B55" s="1412" t="s">
        <v>2605</v>
      </c>
      <c r="C55" s="1413" t="s">
        <v>5925</v>
      </c>
      <c r="D55" s="1423" t="s">
        <v>5939</v>
      </c>
      <c r="E55" s="1430" t="s">
        <v>5940</v>
      </c>
      <c r="F55" s="1424" t="s">
        <v>5941</v>
      </c>
      <c r="G55" s="1415" t="s">
        <v>5933</v>
      </c>
      <c r="H55" s="1425" t="s">
        <v>5942</v>
      </c>
      <c r="I55" s="1418">
        <v>210</v>
      </c>
      <c r="J55" s="1419">
        <v>0</v>
      </c>
      <c r="K55" s="1420">
        <v>0</v>
      </c>
      <c r="L55" s="1420">
        <v>210</v>
      </c>
      <c r="M55" s="1417">
        <v>0</v>
      </c>
      <c r="N55" s="1426"/>
      <c r="O55" s="1423"/>
      <c r="P55" s="1427" t="s">
        <v>167</v>
      </c>
      <c r="Q55" s="1423"/>
      <c r="R55" s="1428" t="s">
        <v>5943</v>
      </c>
      <c r="S55" s="1425" t="s">
        <v>82</v>
      </c>
      <c r="T55" s="1427" t="s">
        <v>5944</v>
      </c>
      <c r="U55" s="1429" t="s">
        <v>3627</v>
      </c>
      <c r="V55" s="1428" t="s">
        <v>1047</v>
      </c>
      <c r="W55" s="1373">
        <v>675</v>
      </c>
      <c r="X55" s="1425">
        <v>674</v>
      </c>
      <c r="Y55" s="1430">
        <v>1</v>
      </c>
      <c r="Z55" s="1430" t="s">
        <v>2125</v>
      </c>
    </row>
    <row r="56" spans="1:26" ht="60" customHeight="1">
      <c r="A56" s="1358">
        <v>52</v>
      </c>
      <c r="B56" s="1412" t="s">
        <v>2605</v>
      </c>
      <c r="C56" s="1413" t="s">
        <v>5945</v>
      </c>
      <c r="D56" s="1423" t="s">
        <v>5946</v>
      </c>
      <c r="E56" s="1430" t="s">
        <v>5947</v>
      </c>
      <c r="F56" s="1424" t="s">
        <v>5948</v>
      </c>
      <c r="G56" s="1415" t="s">
        <v>5949</v>
      </c>
      <c r="H56" s="1425" t="s">
        <v>1852</v>
      </c>
      <c r="I56" s="1418">
        <v>2105</v>
      </c>
      <c r="J56" s="1419">
        <v>270</v>
      </c>
      <c r="K56" s="1420">
        <v>135</v>
      </c>
      <c r="L56" s="1420">
        <v>1700</v>
      </c>
      <c r="M56" s="1417" t="s">
        <v>945</v>
      </c>
      <c r="N56" s="1426" t="s">
        <v>927</v>
      </c>
      <c r="O56" s="1423" t="s">
        <v>1248</v>
      </c>
      <c r="P56" s="1427" t="s">
        <v>92</v>
      </c>
      <c r="Q56" s="1423" t="s">
        <v>5950</v>
      </c>
      <c r="R56" s="1428" t="s">
        <v>5951</v>
      </c>
      <c r="S56" s="1425" t="s">
        <v>82</v>
      </c>
      <c r="T56" s="1427" t="s">
        <v>929</v>
      </c>
      <c r="U56" s="1429" t="s">
        <v>84</v>
      </c>
      <c r="V56" s="1428" t="s">
        <v>1047</v>
      </c>
      <c r="W56" s="1373">
        <v>277</v>
      </c>
      <c r="X56" s="1425">
        <v>277</v>
      </c>
      <c r="Y56" s="1430"/>
      <c r="Z56" s="1430" t="s">
        <v>930</v>
      </c>
    </row>
    <row r="57" spans="1:26" ht="60" customHeight="1">
      <c r="A57" s="1358">
        <v>53</v>
      </c>
      <c r="B57" s="1412" t="s">
        <v>2605</v>
      </c>
      <c r="C57" s="1413" t="s">
        <v>5945</v>
      </c>
      <c r="D57" s="1423" t="s">
        <v>5952</v>
      </c>
      <c r="E57" s="1430" t="s">
        <v>5953</v>
      </c>
      <c r="F57" s="1424" t="s">
        <v>5954</v>
      </c>
      <c r="G57" s="1415" t="s">
        <v>5955</v>
      </c>
      <c r="H57" s="1425" t="s">
        <v>5956</v>
      </c>
      <c r="I57" s="1418">
        <v>101</v>
      </c>
      <c r="J57" s="1419">
        <v>0</v>
      </c>
      <c r="K57" s="1420">
        <v>95</v>
      </c>
      <c r="L57" s="1420">
        <v>6</v>
      </c>
      <c r="M57" s="1417">
        <v>0</v>
      </c>
      <c r="N57" s="1426"/>
      <c r="O57" s="1423"/>
      <c r="P57" s="1427" t="s">
        <v>167</v>
      </c>
      <c r="Q57" s="1423"/>
      <c r="R57" s="1428" t="s">
        <v>5957</v>
      </c>
      <c r="S57" s="1425" t="s">
        <v>82</v>
      </c>
      <c r="T57" s="1427" t="s">
        <v>929</v>
      </c>
      <c r="U57" s="1429" t="s">
        <v>1141</v>
      </c>
      <c r="V57" s="1428" t="s">
        <v>5958</v>
      </c>
      <c r="W57" s="1373">
        <v>143</v>
      </c>
      <c r="X57" s="1425">
        <v>142</v>
      </c>
      <c r="Y57" s="1430">
        <v>1</v>
      </c>
      <c r="Z57" s="1430" t="s">
        <v>5959</v>
      </c>
    </row>
    <row r="58" spans="1:26" ht="60" customHeight="1">
      <c r="A58" s="1358">
        <v>54</v>
      </c>
      <c r="B58" s="1412" t="s">
        <v>2605</v>
      </c>
      <c r="C58" s="1413" t="s">
        <v>5945</v>
      </c>
      <c r="D58" s="1423" t="s">
        <v>5960</v>
      </c>
      <c r="E58" s="1430" t="s">
        <v>5961</v>
      </c>
      <c r="F58" s="1424" t="s">
        <v>5962</v>
      </c>
      <c r="G58" s="1415" t="s">
        <v>5963</v>
      </c>
      <c r="H58" s="1425" t="s">
        <v>1832</v>
      </c>
      <c r="I58" s="1418">
        <v>30</v>
      </c>
      <c r="J58" s="1419">
        <v>0</v>
      </c>
      <c r="K58" s="1420">
        <v>0</v>
      </c>
      <c r="L58" s="1420">
        <v>30</v>
      </c>
      <c r="M58" s="1417">
        <v>0</v>
      </c>
      <c r="N58" s="1426"/>
      <c r="O58" s="1423"/>
      <c r="P58" s="1427" t="s">
        <v>167</v>
      </c>
      <c r="Q58" s="1423"/>
      <c r="R58" s="1428" t="s">
        <v>4444</v>
      </c>
      <c r="S58" s="1425" t="s">
        <v>82</v>
      </c>
      <c r="T58" s="1427" t="s">
        <v>5964</v>
      </c>
      <c r="U58" s="1429" t="s">
        <v>1141</v>
      </c>
      <c r="V58" s="1428" t="s">
        <v>1047</v>
      </c>
      <c r="W58" s="1373">
        <v>50</v>
      </c>
      <c r="X58" s="1425">
        <v>49</v>
      </c>
      <c r="Y58" s="1430">
        <v>1</v>
      </c>
      <c r="Z58" s="1430" t="s">
        <v>5965</v>
      </c>
    </row>
    <row r="59" spans="1:26" ht="60" customHeight="1">
      <c r="A59" s="1358">
        <v>55</v>
      </c>
      <c r="B59" s="1412" t="s">
        <v>2605</v>
      </c>
      <c r="C59" s="1413" t="s">
        <v>5945</v>
      </c>
      <c r="D59" s="1423" t="s">
        <v>5966</v>
      </c>
      <c r="E59" s="1430" t="s">
        <v>5967</v>
      </c>
      <c r="F59" s="1424" t="s">
        <v>5968</v>
      </c>
      <c r="G59" s="1415" t="s">
        <v>5969</v>
      </c>
      <c r="H59" s="1425" t="s">
        <v>1832</v>
      </c>
      <c r="I59" s="1418">
        <v>205</v>
      </c>
      <c r="J59" s="1419">
        <v>0</v>
      </c>
      <c r="K59" s="1420">
        <v>20</v>
      </c>
      <c r="L59" s="1420">
        <v>185</v>
      </c>
      <c r="M59" s="1417">
        <v>0</v>
      </c>
      <c r="N59" s="1426"/>
      <c r="O59" s="1423"/>
      <c r="P59" s="1427" t="s">
        <v>167</v>
      </c>
      <c r="Q59" s="1423"/>
      <c r="R59" s="1428" t="s">
        <v>5970</v>
      </c>
      <c r="S59" s="1425" t="s">
        <v>82</v>
      </c>
      <c r="T59" s="1427" t="s">
        <v>5971</v>
      </c>
      <c r="U59" s="1429" t="s">
        <v>1141</v>
      </c>
      <c r="V59" s="1428" t="s">
        <v>5958</v>
      </c>
      <c r="W59" s="1373">
        <v>5</v>
      </c>
      <c r="X59" s="1425">
        <v>5</v>
      </c>
      <c r="Y59" s="1430"/>
      <c r="Z59" s="1430" t="s">
        <v>5972</v>
      </c>
    </row>
    <row r="60" spans="1:26" ht="60" customHeight="1">
      <c r="A60" s="1358">
        <v>56</v>
      </c>
      <c r="B60" s="1412" t="s">
        <v>2605</v>
      </c>
      <c r="C60" s="1413" t="s">
        <v>5945</v>
      </c>
      <c r="D60" s="1423" t="s">
        <v>5973</v>
      </c>
      <c r="E60" s="1430" t="s">
        <v>5974</v>
      </c>
      <c r="F60" s="1424" t="s">
        <v>5975</v>
      </c>
      <c r="G60" s="1415" t="s">
        <v>5976</v>
      </c>
      <c r="H60" s="1425" t="s">
        <v>1803</v>
      </c>
      <c r="I60" s="1418">
        <v>160</v>
      </c>
      <c r="J60" s="1419">
        <v>0</v>
      </c>
      <c r="K60" s="1420">
        <v>0</v>
      </c>
      <c r="L60" s="1420">
        <v>80</v>
      </c>
      <c r="M60" s="1417">
        <v>80</v>
      </c>
      <c r="N60" s="1426"/>
      <c r="O60" s="1423"/>
      <c r="P60" s="1427" t="s">
        <v>92</v>
      </c>
      <c r="Q60" s="1423"/>
      <c r="R60" s="1428" t="s">
        <v>3467</v>
      </c>
      <c r="S60" s="1425" t="s">
        <v>82</v>
      </c>
      <c r="T60" s="1427" t="s">
        <v>2949</v>
      </c>
      <c r="U60" s="1429" t="s">
        <v>5977</v>
      </c>
      <c r="V60" s="1428" t="s">
        <v>1047</v>
      </c>
      <c r="W60" s="1373">
        <v>66</v>
      </c>
      <c r="X60" s="1425">
        <v>60</v>
      </c>
      <c r="Y60" s="1430">
        <v>6</v>
      </c>
      <c r="Z60" s="1430" t="s">
        <v>5978</v>
      </c>
    </row>
    <row r="61" spans="1:26" ht="60" customHeight="1">
      <c r="A61" s="1358">
        <v>57</v>
      </c>
      <c r="B61" s="1412" t="s">
        <v>2605</v>
      </c>
      <c r="C61" s="1413" t="s">
        <v>5945</v>
      </c>
      <c r="D61" s="1423" t="s">
        <v>5979</v>
      </c>
      <c r="E61" s="1430" t="s">
        <v>2650</v>
      </c>
      <c r="F61" s="1424" t="s">
        <v>5980</v>
      </c>
      <c r="G61" s="1415" t="s">
        <v>5981</v>
      </c>
      <c r="H61" s="1425" t="s">
        <v>5982</v>
      </c>
      <c r="I61" s="1418">
        <v>160</v>
      </c>
      <c r="J61" s="1419">
        <v>0</v>
      </c>
      <c r="K61" s="1420">
        <v>40</v>
      </c>
      <c r="L61" s="1420">
        <v>120</v>
      </c>
      <c r="M61" s="1417">
        <v>0</v>
      </c>
      <c r="N61" s="1426"/>
      <c r="O61" s="1423"/>
      <c r="P61" s="1427" t="s">
        <v>67</v>
      </c>
      <c r="Q61" s="1423"/>
      <c r="R61" s="1428" t="s">
        <v>5983</v>
      </c>
      <c r="S61" s="1425" t="s">
        <v>82</v>
      </c>
      <c r="T61" s="1427" t="s">
        <v>929</v>
      </c>
      <c r="U61" s="1429" t="s">
        <v>1141</v>
      </c>
      <c r="V61" s="1428" t="s">
        <v>85</v>
      </c>
      <c r="W61" s="1373">
        <v>40</v>
      </c>
      <c r="X61" s="1425">
        <v>40</v>
      </c>
      <c r="Y61" s="1430">
        <v>0</v>
      </c>
      <c r="Z61" s="1430" t="s">
        <v>5984</v>
      </c>
    </row>
    <row r="62" spans="1:26" ht="60" customHeight="1">
      <c r="A62" s="1358">
        <v>58</v>
      </c>
      <c r="B62" s="1412" t="s">
        <v>2605</v>
      </c>
      <c r="C62" s="1413" t="s">
        <v>5985</v>
      </c>
      <c r="D62" s="1414" t="s">
        <v>5986</v>
      </c>
      <c r="E62" s="1422" t="s">
        <v>5987</v>
      </c>
      <c r="F62" s="1416" t="s">
        <v>5988</v>
      </c>
      <c r="G62" s="1415" t="s">
        <v>5989</v>
      </c>
      <c r="H62" s="1417" t="s">
        <v>5990</v>
      </c>
      <c r="I62" s="1418">
        <v>304</v>
      </c>
      <c r="J62" s="1419">
        <v>0</v>
      </c>
      <c r="K62" s="1420">
        <v>0</v>
      </c>
      <c r="L62" s="1420">
        <v>299</v>
      </c>
      <c r="M62" s="1417">
        <v>5</v>
      </c>
      <c r="N62" s="1421"/>
      <c r="O62" s="1414"/>
      <c r="P62" s="1418" t="s">
        <v>67</v>
      </c>
      <c r="Q62" s="1414" t="s">
        <v>936</v>
      </c>
      <c r="R62" s="1413" t="s">
        <v>5991</v>
      </c>
      <c r="S62" s="1417" t="s">
        <v>82</v>
      </c>
      <c r="T62" s="1418" t="s">
        <v>929</v>
      </c>
      <c r="U62" s="1412" t="s">
        <v>5992</v>
      </c>
      <c r="V62" s="1413" t="s">
        <v>5738</v>
      </c>
      <c r="W62" s="1373">
        <v>266.3</v>
      </c>
      <c r="X62" s="1417">
        <v>265.2</v>
      </c>
      <c r="Y62" s="1422">
        <v>1.1000000000000001</v>
      </c>
      <c r="Z62" s="1422" t="s">
        <v>930</v>
      </c>
    </row>
    <row r="63" spans="1:26" ht="60" customHeight="1">
      <c r="A63" s="1358">
        <v>59</v>
      </c>
      <c r="B63" s="1412" t="s">
        <v>2605</v>
      </c>
      <c r="C63" s="1413" t="s">
        <v>5985</v>
      </c>
      <c r="D63" s="1414" t="s">
        <v>5993</v>
      </c>
      <c r="E63" s="1422" t="s">
        <v>5987</v>
      </c>
      <c r="F63" s="1416" t="s">
        <v>5994</v>
      </c>
      <c r="G63" s="1415" t="s">
        <v>5995</v>
      </c>
      <c r="H63" s="1417" t="s">
        <v>1054</v>
      </c>
      <c r="I63" s="1418">
        <v>950</v>
      </c>
      <c r="J63" s="1419">
        <v>0</v>
      </c>
      <c r="K63" s="1420">
        <v>0</v>
      </c>
      <c r="L63" s="1420">
        <v>900</v>
      </c>
      <c r="M63" s="1417">
        <v>50</v>
      </c>
      <c r="N63" s="1421"/>
      <c r="O63" s="1414"/>
      <c r="P63" s="1418" t="s">
        <v>92</v>
      </c>
      <c r="Q63" s="1414" t="s">
        <v>936</v>
      </c>
      <c r="R63" s="1413" t="s">
        <v>5996</v>
      </c>
      <c r="S63" s="1417" t="s">
        <v>82</v>
      </c>
      <c r="T63" s="1418" t="s">
        <v>929</v>
      </c>
      <c r="U63" s="1412" t="s">
        <v>2105</v>
      </c>
      <c r="V63" s="1413" t="s">
        <v>5997</v>
      </c>
      <c r="W63" s="1373">
        <v>266.3</v>
      </c>
      <c r="X63" s="1417">
        <v>265.2</v>
      </c>
      <c r="Y63" s="1422">
        <v>1.1000000000000001</v>
      </c>
      <c r="Z63" s="1422" t="s">
        <v>930</v>
      </c>
    </row>
    <row r="64" spans="1:26" ht="60" customHeight="1">
      <c r="A64" s="1358">
        <v>60</v>
      </c>
      <c r="B64" s="1412" t="s">
        <v>2605</v>
      </c>
      <c r="C64" s="1413" t="s">
        <v>5998</v>
      </c>
      <c r="D64" s="1414" t="s">
        <v>5999</v>
      </c>
      <c r="E64" s="1422" t="s">
        <v>6000</v>
      </c>
      <c r="F64" s="1416" t="s">
        <v>6001</v>
      </c>
      <c r="G64" s="1415" t="s">
        <v>6002</v>
      </c>
      <c r="H64" s="1417" t="s">
        <v>1010</v>
      </c>
      <c r="I64" s="1418">
        <v>1288</v>
      </c>
      <c r="J64" s="1419">
        <v>0</v>
      </c>
      <c r="K64" s="1420">
        <v>0</v>
      </c>
      <c r="L64" s="1420">
        <v>1288</v>
      </c>
      <c r="M64" s="1417">
        <v>0</v>
      </c>
      <c r="N64" s="1421"/>
      <c r="O64" s="1414"/>
      <c r="P64" s="1418" t="s">
        <v>124</v>
      </c>
      <c r="Q64" s="1414" t="s">
        <v>936</v>
      </c>
      <c r="R64" s="1413" t="s">
        <v>6003</v>
      </c>
      <c r="S64" s="1417" t="s">
        <v>82</v>
      </c>
      <c r="T64" s="1418" t="s">
        <v>1103</v>
      </c>
      <c r="U64" s="1412" t="s">
        <v>6004</v>
      </c>
      <c r="V64" s="1413" t="s">
        <v>1064</v>
      </c>
      <c r="W64" s="1373">
        <v>86</v>
      </c>
      <c r="X64" s="1417">
        <v>86</v>
      </c>
      <c r="Y64" s="1422"/>
      <c r="Z64" s="1422" t="s">
        <v>6005</v>
      </c>
    </row>
    <row r="65" spans="1:26" ht="60" customHeight="1">
      <c r="A65" s="1358">
        <v>61</v>
      </c>
      <c r="B65" s="1412" t="s">
        <v>2605</v>
      </c>
      <c r="C65" s="1413" t="s">
        <v>5998</v>
      </c>
      <c r="D65" s="1414" t="s">
        <v>6006</v>
      </c>
      <c r="E65" s="1422" t="s">
        <v>6007</v>
      </c>
      <c r="F65" s="1416" t="s">
        <v>6008</v>
      </c>
      <c r="G65" s="1415" t="s">
        <v>6331</v>
      </c>
      <c r="H65" s="1417" t="s">
        <v>1117</v>
      </c>
      <c r="I65" s="1418">
        <v>112</v>
      </c>
      <c r="J65" s="1419">
        <v>0</v>
      </c>
      <c r="K65" s="1420">
        <v>6</v>
      </c>
      <c r="L65" s="1420">
        <v>50</v>
      </c>
      <c r="M65" s="1417">
        <v>56</v>
      </c>
      <c r="N65" s="1421"/>
      <c r="O65" s="1414"/>
      <c r="P65" s="1418" t="s">
        <v>67</v>
      </c>
      <c r="Q65" s="1414" t="s">
        <v>936</v>
      </c>
      <c r="R65" s="1413" t="s">
        <v>6009</v>
      </c>
      <c r="S65" s="1417" t="s">
        <v>82</v>
      </c>
      <c r="T65" s="1418" t="s">
        <v>929</v>
      </c>
      <c r="U65" s="1412" t="s">
        <v>6010</v>
      </c>
      <c r="V65" s="1413" t="s">
        <v>1047</v>
      </c>
      <c r="W65" s="1373">
        <v>40</v>
      </c>
      <c r="X65" s="1417">
        <v>40</v>
      </c>
      <c r="Y65" s="1422"/>
      <c r="Z65" s="1422" t="s">
        <v>6011</v>
      </c>
    </row>
    <row r="66" spans="1:26" ht="60" customHeight="1">
      <c r="A66" s="1358">
        <v>62</v>
      </c>
      <c r="B66" s="1412" t="s">
        <v>2605</v>
      </c>
      <c r="C66" s="1413" t="s">
        <v>5998</v>
      </c>
      <c r="D66" s="1414" t="s">
        <v>6012</v>
      </c>
      <c r="E66" s="1422" t="s">
        <v>6013</v>
      </c>
      <c r="F66" s="1416" t="s">
        <v>6014</v>
      </c>
      <c r="G66" s="1415" t="s">
        <v>6015</v>
      </c>
      <c r="H66" s="1417" t="s">
        <v>2727</v>
      </c>
      <c r="I66" s="1418">
        <v>100</v>
      </c>
      <c r="J66" s="1419">
        <v>0</v>
      </c>
      <c r="K66" s="1420">
        <v>100</v>
      </c>
      <c r="L66" s="1420">
        <v>0</v>
      </c>
      <c r="M66" s="1417">
        <v>0</v>
      </c>
      <c r="N66" s="1421" t="s">
        <v>945</v>
      </c>
      <c r="O66" s="1414" t="s">
        <v>945</v>
      </c>
      <c r="P66" s="1418" t="s">
        <v>167</v>
      </c>
      <c r="Q66" s="1414" t="s">
        <v>936</v>
      </c>
      <c r="R66" s="1413" t="s">
        <v>6016</v>
      </c>
      <c r="S66" s="1417" t="s">
        <v>82</v>
      </c>
      <c r="T66" s="1418" t="s">
        <v>6017</v>
      </c>
      <c r="U66" s="1412" t="s">
        <v>84</v>
      </c>
      <c r="V66" s="1413" t="s">
        <v>1047</v>
      </c>
      <c r="W66" s="1373">
        <v>15</v>
      </c>
      <c r="X66" s="1417">
        <v>15</v>
      </c>
      <c r="Y66" s="1422"/>
      <c r="Z66" s="1422" t="s">
        <v>6018</v>
      </c>
    </row>
    <row r="67" spans="1:26" ht="60" customHeight="1">
      <c r="A67" s="1358">
        <v>63</v>
      </c>
      <c r="B67" s="1412" t="s">
        <v>2605</v>
      </c>
      <c r="C67" s="1413" t="s">
        <v>6019</v>
      </c>
      <c r="D67" s="1414" t="s">
        <v>6020</v>
      </c>
      <c r="E67" s="1431" t="s">
        <v>6021</v>
      </c>
      <c r="F67" s="1424" t="s">
        <v>6022</v>
      </c>
      <c r="G67" s="1431" t="s">
        <v>6023</v>
      </c>
      <c r="H67" s="1432" t="s">
        <v>6024</v>
      </c>
      <c r="I67" s="1418">
        <v>190</v>
      </c>
      <c r="J67" s="1419">
        <v>0</v>
      </c>
      <c r="K67" s="1420">
        <v>0</v>
      </c>
      <c r="L67" s="1420">
        <v>140</v>
      </c>
      <c r="M67" s="1417">
        <v>50</v>
      </c>
      <c r="N67" s="1426"/>
      <c r="O67" s="1423"/>
      <c r="P67" s="1427" t="s">
        <v>167</v>
      </c>
      <c r="Q67" s="1423"/>
      <c r="R67" s="1428" t="s">
        <v>2964</v>
      </c>
      <c r="S67" s="1425" t="s">
        <v>82</v>
      </c>
      <c r="T67" s="1427" t="s">
        <v>6025</v>
      </c>
      <c r="U67" s="1429" t="s">
        <v>6026</v>
      </c>
      <c r="V67" s="1428" t="s">
        <v>1047</v>
      </c>
      <c r="W67" s="1373">
        <v>510</v>
      </c>
      <c r="X67" s="1425">
        <v>510</v>
      </c>
      <c r="Y67" s="1430">
        <v>0</v>
      </c>
      <c r="Z67" s="1430" t="s">
        <v>6027</v>
      </c>
    </row>
    <row r="68" spans="1:26" ht="60" customHeight="1">
      <c r="A68" s="1358">
        <v>64</v>
      </c>
      <c r="B68" s="1412" t="s">
        <v>2605</v>
      </c>
      <c r="C68" s="1413" t="s">
        <v>6019</v>
      </c>
      <c r="D68" s="1414" t="s">
        <v>6028</v>
      </c>
      <c r="E68" s="1431" t="s">
        <v>6029</v>
      </c>
      <c r="F68" s="1424" t="s">
        <v>6030</v>
      </c>
      <c r="G68" s="1431" t="s">
        <v>6031</v>
      </c>
      <c r="H68" s="1432" t="s">
        <v>978</v>
      </c>
      <c r="I68" s="1418">
        <v>248</v>
      </c>
      <c r="J68" s="1419">
        <v>0</v>
      </c>
      <c r="K68" s="1420">
        <v>0</v>
      </c>
      <c r="L68" s="1420">
        <v>248</v>
      </c>
      <c r="M68" s="1417">
        <v>0</v>
      </c>
      <c r="N68" s="1426"/>
      <c r="O68" s="1423"/>
      <c r="P68" s="1427" t="s">
        <v>167</v>
      </c>
      <c r="Q68" s="1423"/>
      <c r="R68" s="1428" t="s">
        <v>6032</v>
      </c>
      <c r="S68" s="1425" t="s">
        <v>82</v>
      </c>
      <c r="T68" s="1427" t="s">
        <v>995</v>
      </c>
      <c r="U68" s="1429" t="s">
        <v>84</v>
      </c>
      <c r="V68" s="1428" t="s">
        <v>1064</v>
      </c>
      <c r="W68" s="1373">
        <v>57</v>
      </c>
      <c r="X68" s="1425">
        <v>57</v>
      </c>
      <c r="Y68" s="1430">
        <v>0</v>
      </c>
      <c r="Z68" s="1430" t="s">
        <v>1648</v>
      </c>
    </row>
    <row r="69" spans="1:26" ht="60" customHeight="1">
      <c r="A69" s="1358">
        <v>65</v>
      </c>
      <c r="B69" s="1412" t="s">
        <v>2605</v>
      </c>
      <c r="C69" s="1413" t="s">
        <v>6019</v>
      </c>
      <c r="D69" s="1414" t="s">
        <v>6033</v>
      </c>
      <c r="E69" s="1431" t="s">
        <v>6034</v>
      </c>
      <c r="F69" s="1424" t="s">
        <v>6035</v>
      </c>
      <c r="G69" s="1431" t="s">
        <v>6036</v>
      </c>
      <c r="H69" s="1432" t="s">
        <v>1038</v>
      </c>
      <c r="I69" s="1418">
        <v>190</v>
      </c>
      <c r="J69" s="1419">
        <v>0</v>
      </c>
      <c r="K69" s="1420">
        <v>0</v>
      </c>
      <c r="L69" s="1420">
        <v>190</v>
      </c>
      <c r="M69" s="1417">
        <v>0</v>
      </c>
      <c r="N69" s="1426"/>
      <c r="O69" s="1423"/>
      <c r="P69" s="1427" t="s">
        <v>909</v>
      </c>
      <c r="Q69" s="1423"/>
      <c r="R69" s="1428" t="s">
        <v>6037</v>
      </c>
      <c r="S69" s="1425" t="s">
        <v>82</v>
      </c>
      <c r="T69" s="1427" t="s">
        <v>995</v>
      </c>
      <c r="U69" s="1429" t="s">
        <v>84</v>
      </c>
      <c r="V69" s="1428" t="s">
        <v>1064</v>
      </c>
      <c r="W69" s="1373">
        <v>21</v>
      </c>
      <c r="X69" s="1425">
        <v>21</v>
      </c>
      <c r="Y69" s="1430"/>
      <c r="Z69" s="1430" t="s">
        <v>6038</v>
      </c>
    </row>
    <row r="70" spans="1:26" ht="60" customHeight="1">
      <c r="A70" s="1358">
        <v>66</v>
      </c>
      <c r="B70" s="1412" t="s">
        <v>2605</v>
      </c>
      <c r="C70" s="1413" t="s">
        <v>6019</v>
      </c>
      <c r="D70" s="1414" t="s">
        <v>6039</v>
      </c>
      <c r="E70" s="1431" t="s">
        <v>952</v>
      </c>
      <c r="F70" s="1424" t="s">
        <v>6040</v>
      </c>
      <c r="G70" s="1431" t="s">
        <v>6041</v>
      </c>
      <c r="H70" s="1432"/>
      <c r="I70" s="1418">
        <v>513</v>
      </c>
      <c r="J70" s="1419">
        <v>0</v>
      </c>
      <c r="K70" s="1420">
        <v>0</v>
      </c>
      <c r="L70" s="1420">
        <v>513</v>
      </c>
      <c r="M70" s="1417">
        <v>0</v>
      </c>
      <c r="N70" s="1426"/>
      <c r="O70" s="1423"/>
      <c r="P70" s="1427" t="s">
        <v>124</v>
      </c>
      <c r="Q70" s="1423"/>
      <c r="R70" s="1428"/>
      <c r="S70" s="1425" t="s">
        <v>82</v>
      </c>
      <c r="T70" s="1427" t="s">
        <v>929</v>
      </c>
      <c r="U70" s="1429" t="s">
        <v>6042</v>
      </c>
      <c r="V70" s="1428"/>
      <c r="W70" s="1373">
        <v>48</v>
      </c>
      <c r="X70" s="1425">
        <v>48</v>
      </c>
      <c r="Y70" s="1430"/>
      <c r="Z70" s="1430" t="s">
        <v>6043</v>
      </c>
    </row>
    <row r="71" spans="1:26">
      <c r="A71" s="1360"/>
      <c r="B71" s="1360"/>
      <c r="C71" s="1360"/>
      <c r="D71" s="1352"/>
      <c r="E71" s="1352"/>
      <c r="F71" s="1352"/>
      <c r="G71" s="1352"/>
      <c r="H71" s="1352"/>
      <c r="I71" s="1360"/>
      <c r="J71" s="1360"/>
      <c r="K71" s="1360"/>
      <c r="L71" s="1360"/>
      <c r="M71" s="1360"/>
      <c r="N71" s="1352"/>
      <c r="O71" s="1352"/>
      <c r="P71" s="1352"/>
      <c r="Q71" s="1352"/>
      <c r="R71" s="1352"/>
      <c r="S71" s="1352"/>
      <c r="T71" s="1352"/>
      <c r="U71" s="1352"/>
      <c r="V71" s="1352"/>
      <c r="W71" s="1352"/>
      <c r="X71" s="1352"/>
      <c r="Y71" s="1352"/>
      <c r="Z71" s="1352"/>
    </row>
    <row r="72" spans="1:26">
      <c r="A72" s="1360"/>
      <c r="B72" s="1360"/>
      <c r="C72" s="1360"/>
      <c r="D72" s="1352"/>
      <c r="E72" s="1352"/>
      <c r="F72" s="1352"/>
      <c r="G72" s="1352"/>
      <c r="H72" s="1352"/>
      <c r="I72" s="1360"/>
      <c r="J72" s="1360"/>
      <c r="K72" s="1360"/>
      <c r="L72" s="1360"/>
      <c r="M72" s="1360"/>
      <c r="N72" s="1352"/>
      <c r="O72" s="1352"/>
      <c r="P72" s="1352"/>
      <c r="Q72" s="1352"/>
      <c r="R72" s="1352"/>
      <c r="S72" s="1352"/>
      <c r="T72" s="1352"/>
      <c r="U72" s="1352"/>
      <c r="V72" s="1352"/>
      <c r="W72" s="1352"/>
      <c r="X72" s="1352"/>
      <c r="Y72" s="1352"/>
      <c r="Z72" s="1352"/>
    </row>
    <row r="73" spans="1:26">
      <c r="A73" s="1360"/>
      <c r="B73" s="1360"/>
      <c r="C73" s="1360"/>
      <c r="D73" s="1352"/>
      <c r="E73" s="1352"/>
      <c r="F73" s="1352"/>
      <c r="G73" s="1352"/>
      <c r="H73" s="1352"/>
      <c r="I73" s="1360"/>
      <c r="J73" s="1360"/>
      <c r="K73" s="1360"/>
      <c r="L73" s="1360"/>
      <c r="M73" s="1360"/>
      <c r="N73" s="1352"/>
      <c r="O73" s="1352"/>
      <c r="P73" s="1352"/>
      <c r="Q73" s="1352"/>
      <c r="R73" s="1352"/>
      <c r="S73" s="1352"/>
      <c r="T73" s="1352"/>
      <c r="U73" s="1352"/>
      <c r="V73" s="1352"/>
      <c r="W73" s="1352"/>
      <c r="X73" s="1352"/>
      <c r="Y73" s="1352"/>
      <c r="Z73" s="1352"/>
    </row>
    <row r="74" spans="1:26">
      <c r="A74" s="1360"/>
      <c r="B74" s="1360"/>
      <c r="C74" s="1360"/>
      <c r="D74" s="1352"/>
      <c r="E74" s="1352"/>
      <c r="F74" s="1352"/>
      <c r="G74" s="1352"/>
      <c r="H74" s="1352"/>
      <c r="I74" s="1360"/>
      <c r="J74" s="1360"/>
      <c r="K74" s="1360"/>
      <c r="L74" s="1360"/>
      <c r="M74" s="1360"/>
      <c r="N74" s="1352"/>
      <c r="O74" s="1352"/>
      <c r="P74" s="1352"/>
      <c r="Q74" s="1352"/>
      <c r="R74" s="1352"/>
      <c r="S74" s="1352"/>
      <c r="T74" s="1352"/>
      <c r="U74" s="1352"/>
      <c r="V74" s="1352"/>
      <c r="W74" s="1352"/>
      <c r="X74" s="1352"/>
      <c r="Y74" s="1352"/>
      <c r="Z74" s="1352"/>
    </row>
    <row r="75" spans="1:26">
      <c r="A75" s="1360"/>
      <c r="B75" s="1360"/>
      <c r="C75" s="1360"/>
      <c r="D75" s="1352"/>
      <c r="E75" s="1352"/>
      <c r="F75" s="1352"/>
      <c r="G75" s="1352"/>
      <c r="H75" s="1352"/>
      <c r="I75" s="1360"/>
      <c r="J75" s="1360"/>
      <c r="K75" s="1360"/>
      <c r="L75" s="1360"/>
      <c r="M75" s="1360"/>
      <c r="N75" s="1352"/>
      <c r="O75" s="1352"/>
      <c r="P75" s="1352"/>
      <c r="Q75" s="1352"/>
      <c r="R75" s="1352"/>
      <c r="S75" s="1352"/>
      <c r="T75" s="1352"/>
      <c r="U75" s="1352"/>
      <c r="V75" s="1352"/>
      <c r="W75" s="1352"/>
      <c r="X75" s="1352"/>
      <c r="Y75" s="1352"/>
      <c r="Z75" s="1352"/>
    </row>
    <row r="76" spans="1:26">
      <c r="A76" s="1360"/>
      <c r="B76" s="1360"/>
      <c r="C76" s="1360"/>
      <c r="D76" s="1352"/>
      <c r="E76" s="1352"/>
      <c r="F76" s="1352"/>
      <c r="G76" s="1352"/>
      <c r="H76" s="1352"/>
      <c r="I76" s="1360"/>
      <c r="J76" s="1360"/>
      <c r="K76" s="1360"/>
      <c r="L76" s="1360"/>
      <c r="M76" s="1360"/>
      <c r="N76" s="1352"/>
      <c r="O76" s="1352"/>
      <c r="P76" s="1352"/>
      <c r="Q76" s="1352"/>
      <c r="R76" s="1352"/>
      <c r="S76" s="1352"/>
      <c r="T76" s="1352"/>
      <c r="U76" s="1352"/>
      <c r="V76" s="1352"/>
      <c r="W76" s="1352"/>
      <c r="X76" s="1352"/>
      <c r="Y76" s="1352"/>
      <c r="Z76" s="1352"/>
    </row>
    <row r="77" spans="1:26">
      <c r="A77" s="1360"/>
      <c r="B77" s="1360"/>
      <c r="C77" s="1360"/>
      <c r="D77" s="1352"/>
      <c r="E77" s="1352"/>
      <c r="F77" s="1352"/>
      <c r="G77" s="1352"/>
      <c r="H77" s="1352"/>
      <c r="I77" s="1360"/>
      <c r="J77" s="1360"/>
      <c r="K77" s="1360"/>
      <c r="L77" s="1360"/>
      <c r="M77" s="1360"/>
      <c r="N77" s="1352"/>
      <c r="O77" s="1352"/>
      <c r="P77" s="1352"/>
      <c r="Q77" s="1352"/>
      <c r="R77" s="1352"/>
      <c r="S77" s="1352"/>
      <c r="T77" s="1352"/>
      <c r="U77" s="1352"/>
      <c r="V77" s="1352"/>
      <c r="W77" s="1352"/>
      <c r="X77" s="1352"/>
      <c r="Y77" s="1352"/>
      <c r="Z77" s="1352"/>
    </row>
    <row r="78" spans="1:26">
      <c r="A78" s="1360"/>
      <c r="B78" s="1360"/>
      <c r="C78" s="1360"/>
      <c r="D78" s="1352"/>
      <c r="E78" s="1352"/>
      <c r="F78" s="1352"/>
      <c r="G78" s="1352"/>
      <c r="H78" s="1352"/>
      <c r="I78" s="1360"/>
      <c r="J78" s="1360"/>
      <c r="K78" s="1360"/>
      <c r="L78" s="1360"/>
      <c r="M78" s="1360"/>
      <c r="N78" s="1352"/>
      <c r="O78" s="1352"/>
      <c r="P78" s="1352"/>
      <c r="Q78" s="1352"/>
      <c r="R78" s="1352"/>
      <c r="S78" s="1352"/>
      <c r="T78" s="1352"/>
      <c r="U78" s="1352"/>
      <c r="V78" s="1352"/>
      <c r="W78" s="1352"/>
      <c r="X78" s="1352"/>
      <c r="Y78" s="1352"/>
      <c r="Z78" s="1352"/>
    </row>
    <row r="79" spans="1:26">
      <c r="A79" s="1360"/>
      <c r="B79" s="1360"/>
      <c r="C79" s="1360"/>
      <c r="D79" s="1352"/>
      <c r="E79" s="1352"/>
      <c r="F79" s="1352"/>
      <c r="G79" s="1352"/>
      <c r="H79" s="1352"/>
      <c r="I79" s="1360"/>
      <c r="J79" s="1360"/>
      <c r="K79" s="1360"/>
      <c r="L79" s="1360"/>
      <c r="M79" s="1360"/>
      <c r="N79" s="1352"/>
      <c r="O79" s="1352"/>
      <c r="P79" s="1352"/>
      <c r="Q79" s="1352"/>
      <c r="R79" s="1352"/>
      <c r="S79" s="1352"/>
      <c r="T79" s="1352"/>
      <c r="U79" s="1352"/>
      <c r="V79" s="1352"/>
      <c r="W79" s="1352"/>
      <c r="X79" s="1352"/>
      <c r="Y79" s="1352"/>
      <c r="Z79" s="1352"/>
    </row>
    <row r="80" spans="1:26">
      <c r="A80" s="1360"/>
      <c r="B80" s="1360"/>
      <c r="C80" s="1360"/>
      <c r="D80" s="1352"/>
      <c r="E80" s="1352"/>
      <c r="F80" s="1352"/>
      <c r="G80" s="1352"/>
      <c r="H80" s="1352"/>
      <c r="I80" s="1360"/>
      <c r="J80" s="1360"/>
      <c r="K80" s="1360"/>
      <c r="L80" s="1360"/>
      <c r="M80" s="1360"/>
      <c r="N80" s="1352"/>
      <c r="O80" s="1352"/>
      <c r="P80" s="1352"/>
      <c r="Q80" s="1352"/>
      <c r="R80" s="1352"/>
      <c r="S80" s="1352"/>
      <c r="T80" s="1352"/>
      <c r="U80" s="1352"/>
      <c r="V80" s="1352"/>
      <c r="W80" s="1352"/>
      <c r="X80" s="1352"/>
      <c r="Y80" s="1352"/>
      <c r="Z80" s="1352"/>
    </row>
    <row r="81" spans="1:13">
      <c r="A81" s="1360"/>
      <c r="B81" s="1360"/>
      <c r="C81" s="1360"/>
      <c r="D81" s="1352"/>
      <c r="E81" s="1352"/>
      <c r="F81" s="1352"/>
      <c r="G81" s="1352"/>
      <c r="H81" s="1352"/>
      <c r="I81" s="1360"/>
      <c r="J81" s="1360"/>
      <c r="K81" s="1360"/>
      <c r="L81" s="1360"/>
      <c r="M81" s="1360"/>
    </row>
    <row r="82" spans="1:13">
      <c r="A82" s="1360"/>
      <c r="B82" s="1360"/>
      <c r="C82" s="1360"/>
      <c r="D82" s="1352"/>
      <c r="E82" s="1352"/>
      <c r="F82" s="1352"/>
      <c r="G82" s="1352"/>
      <c r="H82" s="1352"/>
      <c r="I82" s="1360"/>
      <c r="J82" s="1360"/>
      <c r="K82" s="1360"/>
      <c r="L82" s="1360"/>
      <c r="M82" s="1360"/>
    </row>
    <row r="83" spans="1:13">
      <c r="A83" s="1360"/>
      <c r="B83" s="1360"/>
      <c r="C83" s="1360"/>
      <c r="D83" s="1352"/>
      <c r="E83" s="1352"/>
      <c r="F83" s="1352"/>
      <c r="G83" s="1352"/>
      <c r="H83" s="1352"/>
      <c r="I83" s="1360"/>
      <c r="J83" s="1360"/>
      <c r="K83" s="1360"/>
      <c r="L83" s="1360"/>
      <c r="M83" s="1360"/>
    </row>
    <row r="84" spans="1:13">
      <c r="A84" s="1360"/>
      <c r="B84" s="1360"/>
      <c r="C84" s="1360"/>
      <c r="D84" s="1352"/>
      <c r="E84" s="1352"/>
      <c r="F84" s="1352"/>
      <c r="G84" s="1352"/>
      <c r="H84" s="1352"/>
      <c r="I84" s="1360"/>
      <c r="J84" s="1360"/>
      <c r="K84" s="1360"/>
      <c r="L84" s="1360"/>
      <c r="M84" s="1360"/>
    </row>
    <row r="85" spans="1:13">
      <c r="A85" s="1360"/>
      <c r="B85" s="1360"/>
      <c r="C85" s="1360"/>
      <c r="D85" s="1352"/>
      <c r="E85" s="1352"/>
      <c r="F85" s="1352"/>
      <c r="G85" s="1352"/>
      <c r="H85" s="1352"/>
      <c r="I85" s="1360"/>
      <c r="J85" s="1360"/>
      <c r="K85" s="1360"/>
      <c r="L85" s="1360"/>
      <c r="M85" s="1360"/>
    </row>
    <row r="86" spans="1:13">
      <c r="A86" s="1360"/>
      <c r="B86" s="1360"/>
      <c r="C86" s="1360"/>
      <c r="D86" s="1352"/>
      <c r="E86" s="1352"/>
      <c r="F86" s="1352"/>
      <c r="G86" s="1352"/>
      <c r="H86" s="1352"/>
      <c r="I86" s="1360"/>
      <c r="J86" s="1360"/>
      <c r="K86" s="1360"/>
      <c r="L86" s="1360"/>
      <c r="M86" s="1360"/>
    </row>
    <row r="87" spans="1:13">
      <c r="A87" s="1360"/>
      <c r="B87" s="1360"/>
      <c r="C87" s="1360"/>
      <c r="D87" s="1352"/>
      <c r="E87" s="1352"/>
      <c r="F87" s="1352"/>
      <c r="G87" s="1352"/>
      <c r="H87" s="1352"/>
      <c r="I87" s="1360"/>
      <c r="J87" s="1360"/>
      <c r="K87" s="1360"/>
      <c r="L87" s="1360"/>
      <c r="M87" s="1360"/>
    </row>
    <row r="88" spans="1:13">
      <c r="A88" s="1360"/>
      <c r="B88" s="1360"/>
      <c r="C88" s="1360"/>
      <c r="D88" s="1352"/>
      <c r="E88" s="1352"/>
      <c r="F88" s="1352"/>
      <c r="G88" s="1352"/>
      <c r="H88" s="1352"/>
      <c r="I88" s="1360"/>
      <c r="J88" s="1360"/>
      <c r="K88" s="1360"/>
      <c r="L88" s="1360"/>
      <c r="M88" s="1360"/>
    </row>
  </sheetData>
  <mergeCells count="4">
    <mergeCell ref="W3:Y3"/>
    <mergeCell ref="N3:O3"/>
    <mergeCell ref="A1:Y2"/>
    <mergeCell ref="I3:M3"/>
  </mergeCells>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6"/>
  <sheetViews>
    <sheetView workbookViewId="0">
      <selection activeCell="G8" sqref="G8"/>
    </sheetView>
  </sheetViews>
  <sheetFormatPr defaultRowHeight="13.5"/>
  <cols>
    <col min="4" max="4" width="23.21875" customWidth="1"/>
    <col min="5" max="5" width="14.44140625" customWidth="1"/>
    <col min="6" max="6" width="31.21875" customWidth="1"/>
    <col min="7" max="7" width="23.33203125" customWidth="1"/>
    <col min="8" max="8" width="10.109375" customWidth="1"/>
  </cols>
  <sheetData>
    <row r="1" spans="1:27">
      <c r="A1" s="1611" t="s">
        <v>894</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1433"/>
      <c r="AA1" s="1433"/>
    </row>
    <row r="2" spans="1:27" ht="14.25" thickBot="1">
      <c r="A2" s="1611"/>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435"/>
      <c r="AA2" s="1435"/>
    </row>
    <row r="3" spans="1:27" ht="17.25" thickBot="1">
      <c r="A3" s="1436"/>
      <c r="B3" s="1436"/>
      <c r="C3" s="1436"/>
      <c r="D3" s="1434"/>
      <c r="E3" s="1434"/>
      <c r="F3" s="1434"/>
      <c r="G3" s="1434"/>
      <c r="H3" s="1434"/>
      <c r="I3" s="1612"/>
      <c r="J3" s="1613"/>
      <c r="K3" s="1613"/>
      <c r="L3" s="1613"/>
      <c r="M3" s="1613"/>
      <c r="N3" s="1609" t="s">
        <v>1754</v>
      </c>
      <c r="O3" s="1610"/>
      <c r="P3" s="1467"/>
      <c r="Q3" s="1467"/>
      <c r="R3" s="1479"/>
      <c r="S3" s="1480"/>
      <c r="T3" s="1480"/>
      <c r="U3" s="1480"/>
      <c r="V3" s="1480"/>
      <c r="W3" s="1621" t="s">
        <v>896</v>
      </c>
      <c r="X3" s="1622"/>
      <c r="Y3" s="1623"/>
      <c r="Z3" s="1480"/>
      <c r="AA3" s="1444"/>
    </row>
    <row r="4" spans="1:27" ht="57.75" thickBot="1">
      <c r="A4" s="1466" t="s">
        <v>897</v>
      </c>
      <c r="B4" s="1442" t="s">
        <v>898</v>
      </c>
      <c r="C4" s="1464" t="s">
        <v>899</v>
      </c>
      <c r="D4" s="1465" t="s">
        <v>900</v>
      </c>
      <c r="E4" s="1462" t="s">
        <v>901</v>
      </c>
      <c r="F4" s="1465" t="s">
        <v>902</v>
      </c>
      <c r="G4" s="1462" t="s">
        <v>903</v>
      </c>
      <c r="H4" s="1462" t="s">
        <v>904</v>
      </c>
      <c r="I4" s="1463" t="s">
        <v>905</v>
      </c>
      <c r="J4" s="1476" t="s">
        <v>906</v>
      </c>
      <c r="K4" s="1477" t="s">
        <v>907</v>
      </c>
      <c r="L4" s="1477" t="s">
        <v>908</v>
      </c>
      <c r="M4" s="1478" t="s">
        <v>909</v>
      </c>
      <c r="N4" s="1482" t="s">
        <v>910</v>
      </c>
      <c r="O4" s="1478" t="s">
        <v>911</v>
      </c>
      <c r="P4" s="1462" t="s">
        <v>912</v>
      </c>
      <c r="Q4" s="1462" t="s">
        <v>913</v>
      </c>
      <c r="R4" s="1461" t="s">
        <v>914</v>
      </c>
      <c r="S4" s="1460" t="s">
        <v>915</v>
      </c>
      <c r="T4" s="1457" t="s">
        <v>916</v>
      </c>
      <c r="U4" s="1458" t="s">
        <v>917</v>
      </c>
      <c r="V4" s="1459" t="s">
        <v>918</v>
      </c>
      <c r="W4" s="1461" t="s">
        <v>919</v>
      </c>
      <c r="X4" s="1460" t="s">
        <v>920</v>
      </c>
      <c r="Y4" s="1461" t="s">
        <v>921</v>
      </c>
      <c r="Z4" s="1461" t="s">
        <v>922</v>
      </c>
      <c r="AA4" s="1433"/>
    </row>
    <row r="5" spans="1:27" ht="80.099999999999994" customHeight="1">
      <c r="A5" s="1542">
        <v>1</v>
      </c>
      <c r="B5" s="1543" t="s">
        <v>2606</v>
      </c>
      <c r="C5" s="1544" t="s">
        <v>6044</v>
      </c>
      <c r="D5" s="1545" t="s">
        <v>6045</v>
      </c>
      <c r="E5" s="1546" t="s">
        <v>6046</v>
      </c>
      <c r="F5" s="1547" t="s">
        <v>6047</v>
      </c>
      <c r="G5" s="1546" t="s">
        <v>6048</v>
      </c>
      <c r="H5" s="1548" t="s">
        <v>5990</v>
      </c>
      <c r="I5" s="1586">
        <v>1200</v>
      </c>
      <c r="J5" s="1567"/>
      <c r="K5" s="1568">
        <v>1200</v>
      </c>
      <c r="L5" s="1550"/>
      <c r="M5" s="1551"/>
      <c r="N5" s="1552"/>
      <c r="O5" s="1545"/>
      <c r="P5" s="1549" t="s">
        <v>105</v>
      </c>
      <c r="Q5" s="1553" t="s">
        <v>1070</v>
      </c>
      <c r="R5" s="1553" t="s">
        <v>6049</v>
      </c>
      <c r="S5" s="1548" t="s">
        <v>82</v>
      </c>
      <c r="T5" s="1549"/>
      <c r="U5" s="1554" t="s">
        <v>6050</v>
      </c>
      <c r="V5" s="1553" t="s">
        <v>85</v>
      </c>
      <c r="W5" s="1548">
        <v>145</v>
      </c>
      <c r="X5" s="1548">
        <v>145</v>
      </c>
      <c r="Y5" s="1546"/>
      <c r="Z5" s="1546" t="s">
        <v>6051</v>
      </c>
      <c r="AA5" s="1555"/>
    </row>
    <row r="6" spans="1:27" ht="80.099999999999994" customHeight="1">
      <c r="A6" s="1441">
        <v>2</v>
      </c>
      <c r="B6" s="1439" t="s">
        <v>2606</v>
      </c>
      <c r="C6" s="1440" t="s">
        <v>6044</v>
      </c>
      <c r="D6" s="1447" t="s">
        <v>6052</v>
      </c>
      <c r="E6" s="1449" t="s">
        <v>6053</v>
      </c>
      <c r="F6" s="1451" t="s">
        <v>6054</v>
      </c>
      <c r="G6" s="1449" t="s">
        <v>6055</v>
      </c>
      <c r="H6" s="1453" t="s">
        <v>972</v>
      </c>
      <c r="I6" s="1455">
        <v>180</v>
      </c>
      <c r="J6" s="1469"/>
      <c r="K6" s="1472">
        <v>90</v>
      </c>
      <c r="L6" s="1472"/>
      <c r="M6" s="1453">
        <v>90</v>
      </c>
      <c r="N6" s="1483"/>
      <c r="O6" s="1447"/>
      <c r="P6" s="1455" t="s">
        <v>92</v>
      </c>
      <c r="Q6" s="1447"/>
      <c r="R6" s="1438" t="s">
        <v>6056</v>
      </c>
      <c r="S6" s="1453" t="s">
        <v>82</v>
      </c>
      <c r="T6" s="1455" t="s">
        <v>929</v>
      </c>
      <c r="U6" s="1437" t="s">
        <v>84</v>
      </c>
      <c r="V6" s="1438" t="s">
        <v>1047</v>
      </c>
      <c r="W6" s="1453">
        <v>60</v>
      </c>
      <c r="X6" s="1453">
        <v>46.2</v>
      </c>
      <c r="Y6" s="1449">
        <v>13.8</v>
      </c>
      <c r="Z6" s="1449" t="s">
        <v>930</v>
      </c>
      <c r="AA6" s="1433"/>
    </row>
    <row r="7" spans="1:27" ht="80.099999999999994" customHeight="1">
      <c r="A7" s="1441">
        <v>3</v>
      </c>
      <c r="B7" s="1439" t="s">
        <v>2606</v>
      </c>
      <c r="C7" s="1440" t="s">
        <v>6044</v>
      </c>
      <c r="D7" s="1447" t="s">
        <v>6057</v>
      </c>
      <c r="E7" s="1449" t="s">
        <v>1706</v>
      </c>
      <c r="F7" s="1556" t="s">
        <v>6058</v>
      </c>
      <c r="G7" s="1468" t="s">
        <v>6059</v>
      </c>
      <c r="H7" s="1453" t="s">
        <v>978</v>
      </c>
      <c r="I7" s="1455">
        <v>380</v>
      </c>
      <c r="J7" s="1469"/>
      <c r="K7" s="1472">
        <v>190</v>
      </c>
      <c r="L7" s="1472"/>
      <c r="M7" s="1453">
        <v>190</v>
      </c>
      <c r="N7" s="1483"/>
      <c r="O7" s="1447" t="s">
        <v>6060</v>
      </c>
      <c r="P7" s="1455" t="s">
        <v>92</v>
      </c>
      <c r="Q7" s="1447"/>
      <c r="R7" s="1438" t="s">
        <v>6061</v>
      </c>
      <c r="S7" s="1453" t="s">
        <v>82</v>
      </c>
      <c r="T7" s="1455" t="s">
        <v>929</v>
      </c>
      <c r="U7" s="1437" t="s">
        <v>6062</v>
      </c>
      <c r="V7" s="1438" t="s">
        <v>1064</v>
      </c>
      <c r="W7" s="1453">
        <v>58</v>
      </c>
      <c r="X7" s="1453">
        <v>58</v>
      </c>
      <c r="Y7" s="1449"/>
      <c r="Z7" s="1449" t="s">
        <v>6063</v>
      </c>
      <c r="AA7" s="1433"/>
    </row>
    <row r="8" spans="1:27" ht="93.75" customHeight="1">
      <c r="A8" s="1581">
        <v>4</v>
      </c>
      <c r="B8" s="1582" t="s">
        <v>2606</v>
      </c>
      <c r="C8" s="1583" t="s">
        <v>6044</v>
      </c>
      <c r="D8" s="1481" t="s">
        <v>6064</v>
      </c>
      <c r="E8" s="1468" t="s">
        <v>2840</v>
      </c>
      <c r="F8" s="1452" t="s">
        <v>6065</v>
      </c>
      <c r="G8" s="1468" t="s">
        <v>6066</v>
      </c>
      <c r="H8" s="1454" t="s">
        <v>3122</v>
      </c>
      <c r="I8" s="1456">
        <v>115</v>
      </c>
      <c r="J8" s="1471"/>
      <c r="K8" s="1474">
        <v>115</v>
      </c>
      <c r="L8" s="1474"/>
      <c r="M8" s="1454"/>
      <c r="N8" s="1485"/>
      <c r="O8" s="1481" t="s">
        <v>6060</v>
      </c>
      <c r="P8" s="1456" t="s">
        <v>92</v>
      </c>
      <c r="Q8" s="1481"/>
      <c r="R8" s="1445" t="s">
        <v>6067</v>
      </c>
      <c r="S8" s="1454" t="s">
        <v>82</v>
      </c>
      <c r="T8" s="1456" t="s">
        <v>929</v>
      </c>
      <c r="U8" s="1585" t="s">
        <v>84</v>
      </c>
      <c r="V8" s="1445" t="s">
        <v>1779</v>
      </c>
      <c r="W8" s="1454">
        <v>3.5</v>
      </c>
      <c r="X8" s="1454">
        <v>3.3</v>
      </c>
      <c r="Y8" s="1468">
        <v>0.2</v>
      </c>
      <c r="Z8" s="1468" t="s">
        <v>6068</v>
      </c>
      <c r="AA8" s="1584"/>
    </row>
    <row r="9" spans="1:27" ht="63" customHeight="1">
      <c r="A9" s="1441">
        <v>5</v>
      </c>
      <c r="B9" s="1439" t="s">
        <v>2606</v>
      </c>
      <c r="C9" s="1440" t="s">
        <v>6044</v>
      </c>
      <c r="D9" s="1447" t="s">
        <v>6069</v>
      </c>
      <c r="E9" s="1449" t="s">
        <v>6070</v>
      </c>
      <c r="F9" s="1451" t="s">
        <v>6071</v>
      </c>
      <c r="G9" s="1449" t="s">
        <v>6072</v>
      </c>
      <c r="H9" s="1453" t="s">
        <v>1022</v>
      </c>
      <c r="I9" s="1455">
        <v>270</v>
      </c>
      <c r="J9" s="1469"/>
      <c r="K9" s="1472">
        <v>189</v>
      </c>
      <c r="L9" s="1472"/>
      <c r="M9" s="1453">
        <v>81</v>
      </c>
      <c r="N9" s="1483"/>
      <c r="O9" s="1447" t="s">
        <v>6060</v>
      </c>
      <c r="P9" s="1455" t="s">
        <v>92</v>
      </c>
      <c r="Q9" s="1447"/>
      <c r="R9" s="1438" t="s">
        <v>6073</v>
      </c>
      <c r="S9" s="1453" t="s">
        <v>82</v>
      </c>
      <c r="T9" s="1455" t="s">
        <v>1089</v>
      </c>
      <c r="U9" s="1437" t="s">
        <v>84</v>
      </c>
      <c r="V9" s="1438" t="s">
        <v>1064</v>
      </c>
      <c r="W9" s="1453">
        <v>224</v>
      </c>
      <c r="X9" s="1453">
        <v>224</v>
      </c>
      <c r="Y9" s="1449"/>
      <c r="Z9" s="1449" t="s">
        <v>6074</v>
      </c>
      <c r="AA9" s="1433"/>
    </row>
    <row r="10" spans="1:27" ht="80.099999999999994" customHeight="1">
      <c r="A10" s="1441">
        <v>6</v>
      </c>
      <c r="B10" s="1439" t="s">
        <v>2606</v>
      </c>
      <c r="C10" s="1440" t="s">
        <v>6044</v>
      </c>
      <c r="D10" s="1447" t="s">
        <v>6075</v>
      </c>
      <c r="E10" s="1449" t="s">
        <v>1905</v>
      </c>
      <c r="F10" s="1451" t="s">
        <v>6076</v>
      </c>
      <c r="G10" s="1449" t="s">
        <v>6077</v>
      </c>
      <c r="H10" s="1453"/>
      <c r="I10" s="1455"/>
      <c r="J10" s="1469">
        <v>180</v>
      </c>
      <c r="K10" s="1472">
        <v>90</v>
      </c>
      <c r="L10" s="1472"/>
      <c r="M10" s="1453">
        <v>90</v>
      </c>
      <c r="N10" s="1483"/>
      <c r="O10" s="1447"/>
      <c r="P10" s="1438" t="s">
        <v>92</v>
      </c>
      <c r="Q10" s="1453"/>
      <c r="R10" s="1455" t="s">
        <v>6078</v>
      </c>
      <c r="S10" s="1437" t="s">
        <v>82</v>
      </c>
      <c r="T10" s="1438" t="s">
        <v>6079</v>
      </c>
      <c r="U10" s="1437" t="s">
        <v>84</v>
      </c>
      <c r="V10" s="1438" t="s">
        <v>6080</v>
      </c>
      <c r="W10" s="1453">
        <v>50</v>
      </c>
      <c r="X10" s="1453">
        <v>48</v>
      </c>
      <c r="Y10" s="1449">
        <v>2</v>
      </c>
      <c r="Z10" s="1449" t="s">
        <v>6081</v>
      </c>
      <c r="AA10" s="1433"/>
    </row>
    <row r="11" spans="1:27" ht="80.099999999999994" customHeight="1">
      <c r="A11" s="1441">
        <v>7</v>
      </c>
      <c r="B11" s="1439" t="s">
        <v>2606</v>
      </c>
      <c r="C11" s="1440" t="s">
        <v>6044</v>
      </c>
      <c r="D11" s="1447" t="s">
        <v>6082</v>
      </c>
      <c r="E11" s="1449" t="s">
        <v>6083</v>
      </c>
      <c r="F11" s="1534" t="s">
        <v>6084</v>
      </c>
      <c r="G11" s="1449" t="s">
        <v>6085</v>
      </c>
      <c r="H11" s="1453" t="s">
        <v>2888</v>
      </c>
      <c r="I11" s="1455">
        <v>40</v>
      </c>
      <c r="J11" s="1469"/>
      <c r="K11" s="1472">
        <v>20</v>
      </c>
      <c r="L11" s="1472"/>
      <c r="M11" s="1453">
        <v>20</v>
      </c>
      <c r="N11" s="1483"/>
      <c r="O11" s="1447"/>
      <c r="P11" s="1455" t="s">
        <v>92</v>
      </c>
      <c r="Q11" s="1447"/>
      <c r="R11" s="1438" t="s">
        <v>6086</v>
      </c>
      <c r="S11" s="1453" t="s">
        <v>82</v>
      </c>
      <c r="T11" s="1455" t="s">
        <v>6087</v>
      </c>
      <c r="U11" s="1437" t="s">
        <v>84</v>
      </c>
      <c r="V11" s="1438" t="s">
        <v>1047</v>
      </c>
      <c r="W11" s="1535">
        <v>33</v>
      </c>
      <c r="X11" s="1535">
        <v>33</v>
      </c>
      <c r="Y11" s="1536"/>
      <c r="Z11" s="1449" t="s">
        <v>6088</v>
      </c>
      <c r="AA11" s="1433"/>
    </row>
    <row r="12" spans="1:27" ht="80.099999999999994" customHeight="1">
      <c r="A12" s="1441">
        <v>8</v>
      </c>
      <c r="B12" s="1450" t="s">
        <v>2606</v>
      </c>
      <c r="C12" s="1440" t="s">
        <v>6044</v>
      </c>
      <c r="D12" s="1449" t="s">
        <v>6089</v>
      </c>
      <c r="E12" s="1449" t="s">
        <v>2894</v>
      </c>
      <c r="F12" s="1500" t="s">
        <v>6090</v>
      </c>
      <c r="G12" s="1449" t="s">
        <v>6091</v>
      </c>
      <c r="H12" s="1449" t="s">
        <v>2698</v>
      </c>
      <c r="I12" s="1501">
        <v>352</v>
      </c>
      <c r="J12" s="1502">
        <v>0</v>
      </c>
      <c r="K12" s="1503">
        <v>352</v>
      </c>
      <c r="L12" s="1503">
        <v>0</v>
      </c>
      <c r="M12" s="1504">
        <v>0</v>
      </c>
      <c r="N12" s="1483"/>
      <c r="O12" s="1443"/>
      <c r="P12" s="1449" t="s">
        <v>105</v>
      </c>
      <c r="Q12" s="1449"/>
      <c r="R12" s="1449" t="s">
        <v>6092</v>
      </c>
      <c r="S12" s="1449" t="s">
        <v>82</v>
      </c>
      <c r="T12" s="1449" t="s">
        <v>6017</v>
      </c>
      <c r="U12" s="1449" t="s">
        <v>84</v>
      </c>
      <c r="V12" s="1438" t="s">
        <v>3183</v>
      </c>
      <c r="W12" s="1453">
        <v>3.3000000000000003</v>
      </c>
      <c r="X12" s="1453">
        <v>3.2</v>
      </c>
      <c r="Y12" s="1449">
        <v>0.1</v>
      </c>
      <c r="Z12" s="1449" t="s">
        <v>6093</v>
      </c>
      <c r="AA12" s="1433"/>
    </row>
    <row r="13" spans="1:27" ht="80.099999999999994" customHeight="1" thickBot="1">
      <c r="A13" s="1446">
        <v>9</v>
      </c>
      <c r="B13" s="1508" t="s">
        <v>2606</v>
      </c>
      <c r="C13" s="1563" t="s">
        <v>6044</v>
      </c>
      <c r="D13" s="1509" t="s">
        <v>6094</v>
      </c>
      <c r="E13" s="1510" t="s">
        <v>6095</v>
      </c>
      <c r="F13" s="1564" t="s">
        <v>6096</v>
      </c>
      <c r="G13" s="1510" t="s">
        <v>6097</v>
      </c>
      <c r="H13" s="1512" t="s">
        <v>3583</v>
      </c>
      <c r="I13" s="1517">
        <v>200</v>
      </c>
      <c r="J13" s="1565"/>
      <c r="K13" s="1566">
        <v>200</v>
      </c>
      <c r="L13" s="1566"/>
      <c r="M13" s="1512"/>
      <c r="N13" s="1516"/>
      <c r="O13" s="1509"/>
      <c r="P13" s="1517" t="s">
        <v>909</v>
      </c>
      <c r="Q13" s="1509"/>
      <c r="R13" s="1518" t="s">
        <v>6098</v>
      </c>
      <c r="S13" s="1512" t="s">
        <v>82</v>
      </c>
      <c r="T13" s="1517" t="s">
        <v>1005</v>
      </c>
      <c r="U13" s="1519" t="s">
        <v>84</v>
      </c>
      <c r="V13" s="1518" t="s">
        <v>1047</v>
      </c>
      <c r="W13" s="1512">
        <v>3</v>
      </c>
      <c r="X13" s="1512">
        <v>3</v>
      </c>
      <c r="Y13" s="1510"/>
      <c r="Z13" s="1510" t="s">
        <v>6099</v>
      </c>
      <c r="AA13" s="1433"/>
    </row>
    <row r="14" spans="1:27" ht="80.099999999999994" customHeight="1">
      <c r="A14" s="1441">
        <v>10</v>
      </c>
      <c r="B14" s="1439" t="s">
        <v>2606</v>
      </c>
      <c r="C14" s="1440" t="s">
        <v>6044</v>
      </c>
      <c r="D14" s="1447" t="s">
        <v>6100</v>
      </c>
      <c r="E14" s="1449" t="s">
        <v>6101</v>
      </c>
      <c r="F14" s="1451" t="s">
        <v>6102</v>
      </c>
      <c r="G14" s="1449" t="s">
        <v>6103</v>
      </c>
      <c r="H14" s="1453" t="s">
        <v>2848</v>
      </c>
      <c r="I14" s="1455">
        <v>200</v>
      </c>
      <c r="J14" s="1469">
        <v>100</v>
      </c>
      <c r="K14" s="1472">
        <v>100</v>
      </c>
      <c r="L14" s="1472"/>
      <c r="M14" s="1453"/>
      <c r="N14" s="1483" t="s">
        <v>1148</v>
      </c>
      <c r="O14" s="1447" t="s">
        <v>6104</v>
      </c>
      <c r="P14" s="1455" t="s">
        <v>124</v>
      </c>
      <c r="Q14" s="1437"/>
      <c r="R14" s="1438" t="s">
        <v>2396</v>
      </c>
      <c r="S14" s="1453" t="s">
        <v>6105</v>
      </c>
      <c r="T14" s="1455" t="s">
        <v>6017</v>
      </c>
      <c r="U14" s="1437" t="s">
        <v>84</v>
      </c>
      <c r="V14" s="1438" t="s">
        <v>1047</v>
      </c>
      <c r="W14" s="1453">
        <v>0</v>
      </c>
      <c r="X14" s="1453"/>
      <c r="Y14" s="1449"/>
      <c r="Z14" s="1449" t="s">
        <v>938</v>
      </c>
      <c r="AA14" s="1433"/>
    </row>
    <row r="15" spans="1:27" ht="80.099999999999994" customHeight="1">
      <c r="A15" s="1441">
        <v>11</v>
      </c>
      <c r="B15" s="1441" t="s">
        <v>2606</v>
      </c>
      <c r="C15" s="1440" t="s">
        <v>6044</v>
      </c>
      <c r="D15" s="1447" t="s">
        <v>6106</v>
      </c>
      <c r="E15" s="1449" t="s">
        <v>6107</v>
      </c>
      <c r="F15" s="1451" t="s">
        <v>6108</v>
      </c>
      <c r="G15" s="1449" t="s">
        <v>6109</v>
      </c>
      <c r="H15" s="1453" t="s">
        <v>6110</v>
      </c>
      <c r="I15" s="1455">
        <v>400</v>
      </c>
      <c r="J15" s="1469">
        <v>0</v>
      </c>
      <c r="K15" s="1472">
        <v>400</v>
      </c>
      <c r="L15" s="1472">
        <v>0</v>
      </c>
      <c r="M15" s="1453">
        <v>0</v>
      </c>
      <c r="N15" s="1483"/>
      <c r="O15" s="1447"/>
      <c r="P15" s="1455" t="s">
        <v>167</v>
      </c>
      <c r="Q15" s="1447"/>
      <c r="R15" s="1438" t="s">
        <v>6111</v>
      </c>
      <c r="S15" s="1453" t="s">
        <v>82</v>
      </c>
      <c r="T15" s="1455" t="s">
        <v>929</v>
      </c>
      <c r="U15" s="1437" t="s">
        <v>84</v>
      </c>
      <c r="V15" s="1438" t="s">
        <v>85</v>
      </c>
      <c r="W15" s="1453">
        <v>0</v>
      </c>
      <c r="X15" s="1453">
        <v>80</v>
      </c>
      <c r="Y15" s="1449"/>
      <c r="Z15" s="1449" t="s">
        <v>6112</v>
      </c>
      <c r="AA15" s="1433"/>
    </row>
    <row r="16" spans="1:27" ht="80.099999999999994" customHeight="1">
      <c r="A16" s="1441">
        <v>12</v>
      </c>
      <c r="B16" s="1439" t="s">
        <v>2606</v>
      </c>
      <c r="C16" s="1440" t="s">
        <v>6113</v>
      </c>
      <c r="D16" s="1447" t="s">
        <v>6114</v>
      </c>
      <c r="E16" s="1449" t="s">
        <v>6115</v>
      </c>
      <c r="F16" s="1451" t="s">
        <v>6116</v>
      </c>
      <c r="G16" s="1449" t="s">
        <v>6117</v>
      </c>
      <c r="H16" s="1453" t="s">
        <v>1234</v>
      </c>
      <c r="I16" s="1455">
        <v>160</v>
      </c>
      <c r="J16" s="1469">
        <v>0</v>
      </c>
      <c r="K16" s="1472">
        <v>160</v>
      </c>
      <c r="L16" s="1472">
        <v>0</v>
      </c>
      <c r="M16" s="1453">
        <v>0</v>
      </c>
      <c r="N16" s="1483"/>
      <c r="O16" s="1447"/>
      <c r="P16" s="1455" t="s">
        <v>105</v>
      </c>
      <c r="Q16" s="1553" t="s">
        <v>1070</v>
      </c>
      <c r="R16" s="1438" t="s">
        <v>6118</v>
      </c>
      <c r="S16" s="1453" t="s">
        <v>82</v>
      </c>
      <c r="T16" s="1455" t="s">
        <v>929</v>
      </c>
      <c r="U16" s="1437" t="s">
        <v>84</v>
      </c>
      <c r="V16" s="1438" t="s">
        <v>85</v>
      </c>
      <c r="W16" s="1453">
        <v>8500</v>
      </c>
      <c r="X16" s="1453">
        <v>8000</v>
      </c>
      <c r="Y16" s="1449">
        <v>500</v>
      </c>
      <c r="Z16" s="1449" t="s">
        <v>6119</v>
      </c>
      <c r="AA16" s="1433"/>
    </row>
    <row r="17" spans="1:26" ht="80.099999999999994" customHeight="1">
      <c r="A17" s="1441">
        <v>13</v>
      </c>
      <c r="B17" s="1439" t="s">
        <v>2606</v>
      </c>
      <c r="C17" s="1475" t="s">
        <v>6113</v>
      </c>
      <c r="D17" s="1447" t="s">
        <v>6120</v>
      </c>
      <c r="E17" s="1449" t="s">
        <v>6121</v>
      </c>
      <c r="F17" s="1451" t="s">
        <v>6122</v>
      </c>
      <c r="G17" s="1449" t="s">
        <v>6123</v>
      </c>
      <c r="H17" s="1453" t="s">
        <v>2915</v>
      </c>
      <c r="I17" s="1456">
        <v>100</v>
      </c>
      <c r="J17" s="1471">
        <v>0</v>
      </c>
      <c r="K17" s="1474">
        <v>100</v>
      </c>
      <c r="L17" s="1474">
        <v>0</v>
      </c>
      <c r="M17" s="1454">
        <v>0</v>
      </c>
      <c r="N17" s="1485"/>
      <c r="O17" s="1481" t="s">
        <v>1950</v>
      </c>
      <c r="P17" s="1456" t="s">
        <v>67</v>
      </c>
      <c r="Q17" s="1481"/>
      <c r="R17" s="1445" t="s">
        <v>6124</v>
      </c>
      <c r="S17" s="1454" t="s">
        <v>82</v>
      </c>
      <c r="T17" s="1455" t="s">
        <v>929</v>
      </c>
      <c r="U17" s="1437" t="s">
        <v>84</v>
      </c>
      <c r="V17" s="1438" t="s">
        <v>85</v>
      </c>
      <c r="W17" s="1453">
        <v>18</v>
      </c>
      <c r="X17" s="1453">
        <v>16</v>
      </c>
      <c r="Y17" s="1449">
        <v>2</v>
      </c>
      <c r="Z17" s="1449" t="s">
        <v>6125</v>
      </c>
    </row>
    <row r="18" spans="1:26" ht="80.099999999999994" customHeight="1">
      <c r="A18" s="1441">
        <v>14</v>
      </c>
      <c r="B18" s="1439" t="s">
        <v>2606</v>
      </c>
      <c r="C18" s="1440" t="s">
        <v>6113</v>
      </c>
      <c r="D18" s="1447" t="s">
        <v>6126</v>
      </c>
      <c r="E18" s="1449" t="s">
        <v>6127</v>
      </c>
      <c r="F18" s="1451" t="s">
        <v>6128</v>
      </c>
      <c r="G18" s="1449" t="s">
        <v>6129</v>
      </c>
      <c r="H18" s="1453" t="s">
        <v>3643</v>
      </c>
      <c r="I18" s="1537">
        <v>1660</v>
      </c>
      <c r="J18" s="1469"/>
      <c r="K18" s="1538">
        <v>1660</v>
      </c>
      <c r="L18" s="1472"/>
      <c r="M18" s="1453"/>
      <c r="N18" s="1483"/>
      <c r="O18" s="1447"/>
      <c r="P18" s="1455" t="s">
        <v>105</v>
      </c>
      <c r="Q18" s="1553" t="s">
        <v>2998</v>
      </c>
      <c r="R18" s="1557" t="s">
        <v>6130</v>
      </c>
      <c r="S18" s="1453" t="s">
        <v>82</v>
      </c>
      <c r="T18" s="1558" t="s">
        <v>6131</v>
      </c>
      <c r="U18" s="1559" t="s">
        <v>6132</v>
      </c>
      <c r="V18" s="1453" t="s">
        <v>6133</v>
      </c>
      <c r="W18" s="1453">
        <v>393</v>
      </c>
      <c r="X18" s="1453">
        <v>381</v>
      </c>
      <c r="Y18" s="1449">
        <v>12</v>
      </c>
      <c r="Z18" s="1449" t="s">
        <v>6134</v>
      </c>
    </row>
    <row r="19" spans="1:26" ht="80.099999999999994" customHeight="1">
      <c r="A19" s="1441">
        <v>15</v>
      </c>
      <c r="B19" s="1439" t="s">
        <v>2606</v>
      </c>
      <c r="C19" s="1440" t="s">
        <v>6113</v>
      </c>
      <c r="D19" s="1447" t="s">
        <v>6135</v>
      </c>
      <c r="E19" s="1524" t="s">
        <v>6136</v>
      </c>
      <c r="F19" s="1525" t="s">
        <v>6137</v>
      </c>
      <c r="G19" s="1449" t="s">
        <v>6138</v>
      </c>
      <c r="H19" s="1453" t="s">
        <v>6139</v>
      </c>
      <c r="I19" s="1455">
        <v>292</v>
      </c>
      <c r="J19" s="1469"/>
      <c r="K19" s="1472">
        <v>281</v>
      </c>
      <c r="L19" s="1472"/>
      <c r="M19" s="1453">
        <v>23</v>
      </c>
      <c r="N19" s="1483"/>
      <c r="O19" s="1447"/>
      <c r="P19" s="1455" t="s">
        <v>167</v>
      </c>
      <c r="Q19" s="1437"/>
      <c r="R19" s="1557" t="s">
        <v>6140</v>
      </c>
      <c r="S19" s="1540" t="s">
        <v>82</v>
      </c>
      <c r="T19" s="1558" t="s">
        <v>6131</v>
      </c>
      <c r="U19" s="1560" t="s">
        <v>6132</v>
      </c>
      <c r="V19" s="1557" t="s">
        <v>6141</v>
      </c>
      <c r="W19" s="1453">
        <v>305</v>
      </c>
      <c r="X19" s="1561">
        <v>301</v>
      </c>
      <c r="Y19" s="1562">
        <v>4</v>
      </c>
      <c r="Z19" s="1449" t="s">
        <v>6142</v>
      </c>
    </row>
    <row r="20" spans="1:26" ht="80.099999999999994" customHeight="1" thickBot="1">
      <c r="A20" s="1446">
        <v>16</v>
      </c>
      <c r="B20" s="1508" t="s">
        <v>2606</v>
      </c>
      <c r="C20" s="1518" t="s">
        <v>6113</v>
      </c>
      <c r="D20" s="1509" t="s">
        <v>6143</v>
      </c>
      <c r="E20" s="1510" t="s">
        <v>2119</v>
      </c>
      <c r="F20" s="1587" t="s">
        <v>6144</v>
      </c>
      <c r="G20" s="1510" t="s">
        <v>6145</v>
      </c>
      <c r="H20" s="1512" t="s">
        <v>972</v>
      </c>
      <c r="I20" s="1517">
        <v>530</v>
      </c>
      <c r="J20" s="1565"/>
      <c r="K20" s="1566">
        <v>530</v>
      </c>
      <c r="L20" s="1566"/>
      <c r="M20" s="1512"/>
      <c r="N20" s="1516"/>
      <c r="O20" s="1509"/>
      <c r="P20" s="1517" t="s">
        <v>92</v>
      </c>
      <c r="Q20" s="1518" t="s">
        <v>936</v>
      </c>
      <c r="R20" s="1518" t="s">
        <v>6146</v>
      </c>
      <c r="S20" s="1512" t="s">
        <v>82</v>
      </c>
      <c r="T20" s="1517" t="s">
        <v>929</v>
      </c>
      <c r="U20" s="1519" t="s">
        <v>84</v>
      </c>
      <c r="V20" s="1518" t="s">
        <v>6147</v>
      </c>
      <c r="W20" s="1512">
        <v>120</v>
      </c>
      <c r="X20" s="1512">
        <v>115</v>
      </c>
      <c r="Y20" s="1510">
        <v>5</v>
      </c>
      <c r="Z20" s="1510" t="s">
        <v>6148</v>
      </c>
    </row>
    <row r="21" spans="1:26" ht="80.099999999999994" customHeight="1">
      <c r="A21" s="1539">
        <v>17</v>
      </c>
      <c r="B21" s="1439" t="s">
        <v>2606</v>
      </c>
      <c r="C21" s="1440" t="s">
        <v>6113</v>
      </c>
      <c r="D21" s="1447" t="s">
        <v>6149</v>
      </c>
      <c r="E21" s="1449" t="s">
        <v>6150</v>
      </c>
      <c r="F21" s="1451" t="s">
        <v>6151</v>
      </c>
      <c r="G21" s="1449" t="s">
        <v>6152</v>
      </c>
      <c r="H21" s="1453" t="s">
        <v>3622</v>
      </c>
      <c r="I21" s="1455">
        <v>36</v>
      </c>
      <c r="J21" s="1469"/>
      <c r="K21" s="1472">
        <v>25</v>
      </c>
      <c r="L21" s="1472"/>
      <c r="M21" s="1453">
        <v>11</v>
      </c>
      <c r="N21" s="1483"/>
      <c r="O21" s="1447"/>
      <c r="P21" s="1455" t="s">
        <v>167</v>
      </c>
      <c r="Q21" s="1447"/>
      <c r="R21" s="1438" t="s">
        <v>6153</v>
      </c>
      <c r="S21" s="1453" t="s">
        <v>82</v>
      </c>
      <c r="T21" s="1455" t="s">
        <v>929</v>
      </c>
      <c r="U21" s="1437" t="s">
        <v>84</v>
      </c>
      <c r="V21" s="1438" t="s">
        <v>85</v>
      </c>
      <c r="W21" s="1453">
        <v>1.7</v>
      </c>
      <c r="X21" s="1453">
        <v>1.7</v>
      </c>
      <c r="Y21" s="1449"/>
      <c r="Z21" s="1449" t="s">
        <v>6154</v>
      </c>
    </row>
    <row r="22" spans="1:26" ht="80.099999999999994" customHeight="1">
      <c r="A22" s="1441">
        <v>18</v>
      </c>
      <c r="B22" s="1439" t="s">
        <v>2606</v>
      </c>
      <c r="C22" s="1440" t="s">
        <v>6113</v>
      </c>
      <c r="D22" s="1447" t="s">
        <v>6155</v>
      </c>
      <c r="E22" s="1449" t="s">
        <v>6156</v>
      </c>
      <c r="F22" s="1451" t="s">
        <v>6157</v>
      </c>
      <c r="G22" s="1449" t="s">
        <v>6158</v>
      </c>
      <c r="H22" s="1453" t="s">
        <v>958</v>
      </c>
      <c r="I22" s="1455">
        <v>28.5</v>
      </c>
      <c r="J22" s="1469">
        <v>0</v>
      </c>
      <c r="K22" s="1472">
        <v>20</v>
      </c>
      <c r="L22" s="1472">
        <v>0</v>
      </c>
      <c r="M22" s="1453">
        <v>8.5</v>
      </c>
      <c r="N22" s="1483"/>
      <c r="O22" s="1447"/>
      <c r="P22" s="1455" t="s">
        <v>92</v>
      </c>
      <c r="Q22" s="1447"/>
      <c r="R22" s="1438" t="s">
        <v>6159</v>
      </c>
      <c r="S22" s="1453" t="s">
        <v>82</v>
      </c>
      <c r="T22" s="1455" t="s">
        <v>2641</v>
      </c>
      <c r="U22" s="1437" t="s">
        <v>84</v>
      </c>
      <c r="V22" s="1438" t="s">
        <v>85</v>
      </c>
      <c r="W22" s="1453">
        <v>20</v>
      </c>
      <c r="X22" s="1453">
        <v>18</v>
      </c>
      <c r="Y22" s="1449">
        <v>2</v>
      </c>
      <c r="Z22" s="1449" t="s">
        <v>6160</v>
      </c>
    </row>
    <row r="23" spans="1:26" ht="80.099999999999994" customHeight="1">
      <c r="A23" s="1441">
        <v>19</v>
      </c>
      <c r="B23" s="1439" t="s">
        <v>2606</v>
      </c>
      <c r="C23" s="1440" t="s">
        <v>6113</v>
      </c>
      <c r="D23" s="1447" t="s">
        <v>6161</v>
      </c>
      <c r="E23" s="1449" t="s">
        <v>6162</v>
      </c>
      <c r="F23" s="1451" t="s">
        <v>6163</v>
      </c>
      <c r="G23" s="1449" t="s">
        <v>6164</v>
      </c>
      <c r="H23" s="1453" t="s">
        <v>1993</v>
      </c>
      <c r="I23" s="1455">
        <v>30</v>
      </c>
      <c r="J23" s="1469"/>
      <c r="K23" s="1472">
        <v>30</v>
      </c>
      <c r="L23" s="1472"/>
      <c r="M23" s="1453"/>
      <c r="N23" s="1483"/>
      <c r="O23" s="1447"/>
      <c r="P23" s="1455" t="s">
        <v>167</v>
      </c>
      <c r="Q23" s="1437"/>
      <c r="R23" s="1453" t="s">
        <v>1011</v>
      </c>
      <c r="S23" s="1453" t="s">
        <v>82</v>
      </c>
      <c r="T23" s="1455" t="s">
        <v>929</v>
      </c>
      <c r="U23" s="1437" t="s">
        <v>84</v>
      </c>
      <c r="V23" s="1438" t="s">
        <v>1047</v>
      </c>
      <c r="W23" s="1453">
        <v>100</v>
      </c>
      <c r="X23" s="1453">
        <v>100</v>
      </c>
      <c r="Y23" s="1449"/>
      <c r="Z23" s="1449" t="s">
        <v>6165</v>
      </c>
    </row>
    <row r="24" spans="1:26" ht="80.099999999999994" customHeight="1">
      <c r="A24" s="1659">
        <v>20</v>
      </c>
      <c r="B24" s="1661" t="s">
        <v>2606</v>
      </c>
      <c r="C24" s="1657" t="s">
        <v>6113</v>
      </c>
      <c r="D24" s="1663" t="s">
        <v>6166</v>
      </c>
      <c r="E24" s="1663" t="s">
        <v>6167</v>
      </c>
      <c r="F24" s="1664" t="s">
        <v>6168</v>
      </c>
      <c r="G24" s="1663" t="s">
        <v>6169</v>
      </c>
      <c r="H24" s="1647" t="s">
        <v>80</v>
      </c>
      <c r="I24" s="1659">
        <v>28.5</v>
      </c>
      <c r="J24" s="1666"/>
      <c r="K24" s="1668">
        <v>20</v>
      </c>
      <c r="L24" s="1668"/>
      <c r="M24" s="1647">
        <v>8.5</v>
      </c>
      <c r="N24" s="1649"/>
      <c r="O24" s="1651"/>
      <c r="P24" s="1653" t="s">
        <v>167</v>
      </c>
      <c r="Q24" s="1655"/>
      <c r="R24" s="1637" t="s">
        <v>6170</v>
      </c>
      <c r="S24" s="1639" t="s">
        <v>82</v>
      </c>
      <c r="T24" s="1641" t="s">
        <v>929</v>
      </c>
      <c r="U24" s="1643" t="s">
        <v>84</v>
      </c>
      <c r="V24" s="1645" t="s">
        <v>1064</v>
      </c>
      <c r="W24" s="1631">
        <v>9.6999999999999993</v>
      </c>
      <c r="X24" s="1631">
        <v>8.5</v>
      </c>
      <c r="Y24" s="1633">
        <v>1.2</v>
      </c>
      <c r="Z24" s="1635" t="s">
        <v>6171</v>
      </c>
    </row>
    <row r="25" spans="1:26" ht="80.099999999999994" customHeight="1">
      <c r="A25" s="1660"/>
      <c r="B25" s="1662"/>
      <c r="C25" s="1658"/>
      <c r="D25" s="1634"/>
      <c r="E25" s="1634"/>
      <c r="F25" s="1665"/>
      <c r="G25" s="1634"/>
      <c r="H25" s="1648"/>
      <c r="I25" s="1660"/>
      <c r="J25" s="1667"/>
      <c r="K25" s="1669"/>
      <c r="L25" s="1669"/>
      <c r="M25" s="1648"/>
      <c r="N25" s="1650"/>
      <c r="O25" s="1652"/>
      <c r="P25" s="1654"/>
      <c r="Q25" s="1656"/>
      <c r="R25" s="1638"/>
      <c r="S25" s="1640"/>
      <c r="T25" s="1642"/>
      <c r="U25" s="1644"/>
      <c r="V25" s="1646"/>
      <c r="W25" s="1632"/>
      <c r="X25" s="1632"/>
      <c r="Y25" s="1634"/>
      <c r="Z25" s="1636"/>
    </row>
    <row r="26" spans="1:26" ht="80.099999999999994" customHeight="1">
      <c r="A26" s="1441">
        <v>21</v>
      </c>
      <c r="B26" s="1439" t="s">
        <v>2606</v>
      </c>
      <c r="C26" s="1445" t="s">
        <v>6113</v>
      </c>
      <c r="D26" s="1448" t="s">
        <v>6172</v>
      </c>
      <c r="E26" s="1449" t="s">
        <v>6173</v>
      </c>
      <c r="F26" s="1451" t="s">
        <v>6174</v>
      </c>
      <c r="G26" s="1449" t="s">
        <v>6175</v>
      </c>
      <c r="H26" s="1453" t="s">
        <v>1010</v>
      </c>
      <c r="I26" s="1455">
        <v>10</v>
      </c>
      <c r="J26" s="1470"/>
      <c r="K26" s="1473">
        <v>10</v>
      </c>
      <c r="L26" s="1473"/>
      <c r="M26" s="1475"/>
      <c r="N26" s="1484"/>
      <c r="O26" s="1448"/>
      <c r="P26" s="1455" t="s">
        <v>67</v>
      </c>
      <c r="Q26" s="1447"/>
      <c r="R26" s="1438" t="s">
        <v>6176</v>
      </c>
      <c r="S26" s="1453" t="s">
        <v>82</v>
      </c>
      <c r="T26" s="1455" t="s">
        <v>2949</v>
      </c>
      <c r="U26" s="1437"/>
      <c r="V26" s="1438"/>
      <c r="W26" s="1453">
        <v>3</v>
      </c>
      <c r="X26" s="1453">
        <v>2.7</v>
      </c>
      <c r="Y26" s="1449">
        <v>0.3</v>
      </c>
      <c r="Z26" s="1449" t="s">
        <v>6177</v>
      </c>
    </row>
    <row r="27" spans="1:26" ht="80.099999999999994" customHeight="1">
      <c r="A27" s="1441">
        <v>22</v>
      </c>
      <c r="B27" s="1439" t="s">
        <v>2606</v>
      </c>
      <c r="C27" s="1440" t="s">
        <v>6113</v>
      </c>
      <c r="D27" s="1447" t="s">
        <v>6178</v>
      </c>
      <c r="E27" s="1449" t="s">
        <v>6179</v>
      </c>
      <c r="F27" s="1451" t="s">
        <v>6180</v>
      </c>
      <c r="G27" s="1449" t="s">
        <v>6181</v>
      </c>
      <c r="H27" s="1453" t="s">
        <v>3122</v>
      </c>
      <c r="I27" s="1455">
        <v>70</v>
      </c>
      <c r="J27" s="1469"/>
      <c r="K27" s="1472"/>
      <c r="L27" s="1472">
        <v>70</v>
      </c>
      <c r="M27" s="1453"/>
      <c r="N27" s="1483"/>
      <c r="O27" s="1447"/>
      <c r="P27" s="1455" t="s">
        <v>105</v>
      </c>
      <c r="Q27" s="1447"/>
      <c r="R27" s="1438" t="s">
        <v>6182</v>
      </c>
      <c r="S27" s="1453" t="s">
        <v>82</v>
      </c>
      <c r="T27" s="1455" t="s">
        <v>6183</v>
      </c>
      <c r="U27" s="1437" t="s">
        <v>84</v>
      </c>
      <c r="V27" s="1438" t="s">
        <v>1047</v>
      </c>
      <c r="W27" s="1453">
        <v>13</v>
      </c>
      <c r="X27" s="1453">
        <v>11</v>
      </c>
      <c r="Y27" s="1449">
        <v>2</v>
      </c>
      <c r="Z27" s="1449" t="s">
        <v>6184</v>
      </c>
    </row>
    <row r="28" spans="1:26" ht="80.099999999999994" customHeight="1" thickBot="1">
      <c r="A28" s="1441">
        <v>23</v>
      </c>
      <c r="B28" s="1439" t="s">
        <v>2606</v>
      </c>
      <c r="C28" s="1438" t="s">
        <v>6113</v>
      </c>
      <c r="D28" s="1447" t="s">
        <v>6185</v>
      </c>
      <c r="E28" s="1449" t="s">
        <v>6186</v>
      </c>
      <c r="F28" s="1451" t="s">
        <v>6187</v>
      </c>
      <c r="G28" s="1449" t="s">
        <v>6188</v>
      </c>
      <c r="H28" s="1453" t="s">
        <v>6189</v>
      </c>
      <c r="I28" s="1455">
        <v>20</v>
      </c>
      <c r="J28" s="1469"/>
      <c r="K28" s="1472">
        <v>20</v>
      </c>
      <c r="L28" s="1472"/>
      <c r="M28" s="1453"/>
      <c r="N28" s="1483"/>
      <c r="O28" s="1447"/>
      <c r="P28" s="1455" t="s">
        <v>105</v>
      </c>
      <c r="Q28" s="1447"/>
      <c r="R28" s="1438" t="s">
        <v>6190</v>
      </c>
      <c r="S28" s="1453" t="s">
        <v>82</v>
      </c>
      <c r="T28" s="1455" t="s">
        <v>2641</v>
      </c>
      <c r="U28" s="1437" t="s">
        <v>84</v>
      </c>
      <c r="V28" s="1438" t="s">
        <v>1047</v>
      </c>
      <c r="W28" s="1453">
        <v>5</v>
      </c>
      <c r="X28" s="1453">
        <v>5</v>
      </c>
      <c r="Y28" s="1449">
        <v>0</v>
      </c>
      <c r="Z28" s="1449" t="s">
        <v>6191</v>
      </c>
    </row>
    <row r="29" spans="1:26" ht="80.099999999999994" customHeight="1">
      <c r="A29" s="1486">
        <v>24</v>
      </c>
      <c r="B29" s="1487" t="s">
        <v>2606</v>
      </c>
      <c r="C29" s="1488" t="s">
        <v>6113</v>
      </c>
      <c r="D29" s="1489" t="s">
        <v>6192</v>
      </c>
      <c r="E29" s="1490" t="s">
        <v>6193</v>
      </c>
      <c r="F29" s="1491" t="s">
        <v>6194</v>
      </c>
      <c r="G29" s="1490" t="s">
        <v>6195</v>
      </c>
      <c r="H29" s="1492" t="s">
        <v>6196</v>
      </c>
      <c r="I29" s="1493">
        <v>110</v>
      </c>
      <c r="J29" s="1494"/>
      <c r="K29" s="1495">
        <v>20</v>
      </c>
      <c r="L29" s="1495"/>
      <c r="M29" s="1492">
        <v>90</v>
      </c>
      <c r="N29" s="1496"/>
      <c r="O29" s="1489"/>
      <c r="P29" s="1493" t="s">
        <v>167</v>
      </c>
      <c r="Q29" s="1497"/>
      <c r="R29" s="1498" t="s">
        <v>3098</v>
      </c>
      <c r="S29" s="1492" t="s">
        <v>82</v>
      </c>
      <c r="T29" s="1493" t="s">
        <v>1089</v>
      </c>
      <c r="U29" s="1499" t="s">
        <v>84</v>
      </c>
      <c r="V29" s="1498" t="s">
        <v>1047</v>
      </c>
      <c r="W29" s="1492">
        <v>25</v>
      </c>
      <c r="X29" s="1492">
        <v>24.5</v>
      </c>
      <c r="Y29" s="1490">
        <v>0.5</v>
      </c>
      <c r="Z29" s="1490" t="s">
        <v>6197</v>
      </c>
    </row>
    <row r="30" spans="1:26" ht="80.099999999999994" customHeight="1">
      <c r="A30" s="1441">
        <v>25</v>
      </c>
      <c r="B30" s="1439" t="s">
        <v>2606</v>
      </c>
      <c r="C30" s="1440" t="s">
        <v>6113</v>
      </c>
      <c r="D30" s="1447" t="s">
        <v>6198</v>
      </c>
      <c r="E30" s="1449" t="s">
        <v>6199</v>
      </c>
      <c r="F30" s="1569" t="s">
        <v>6200</v>
      </c>
      <c r="G30" s="1449" t="s">
        <v>6201</v>
      </c>
      <c r="H30" s="1453" t="s">
        <v>3639</v>
      </c>
      <c r="I30" s="1455">
        <v>45</v>
      </c>
      <c r="J30" s="1469"/>
      <c r="K30" s="1472">
        <v>45</v>
      </c>
      <c r="L30" s="1472"/>
      <c r="M30" s="1453"/>
      <c r="N30" s="1483"/>
      <c r="O30" s="1447"/>
      <c r="P30" s="1455" t="s">
        <v>124</v>
      </c>
      <c r="Q30" s="1447"/>
      <c r="R30" s="1438" t="s">
        <v>6202</v>
      </c>
      <c r="S30" s="1453" t="s">
        <v>82</v>
      </c>
      <c r="T30" s="1455" t="s">
        <v>3019</v>
      </c>
      <c r="U30" s="1437" t="s">
        <v>84</v>
      </c>
      <c r="V30" s="1438" t="s">
        <v>1047</v>
      </c>
      <c r="W30" s="1453">
        <v>5</v>
      </c>
      <c r="X30" s="1453">
        <v>4.95</v>
      </c>
      <c r="Y30" s="1449">
        <v>0.05</v>
      </c>
      <c r="Z30" s="1449" t="s">
        <v>6203</v>
      </c>
    </row>
    <row r="31" spans="1:26" ht="80.099999999999994" customHeight="1">
      <c r="A31" s="1441">
        <v>26</v>
      </c>
      <c r="B31" s="1439" t="s">
        <v>2606</v>
      </c>
      <c r="C31" s="1440" t="s">
        <v>6113</v>
      </c>
      <c r="D31" s="1447" t="s">
        <v>6204</v>
      </c>
      <c r="E31" s="1449" t="s">
        <v>6205</v>
      </c>
      <c r="F31" s="1570" t="s">
        <v>6206</v>
      </c>
      <c r="G31" s="1449" t="s">
        <v>6332</v>
      </c>
      <c r="H31" s="1453" t="s">
        <v>1054</v>
      </c>
      <c r="I31" s="1455">
        <v>28.6</v>
      </c>
      <c r="J31" s="1469"/>
      <c r="K31" s="1472">
        <v>20</v>
      </c>
      <c r="L31" s="1472"/>
      <c r="M31" s="1453">
        <v>8.6</v>
      </c>
      <c r="N31" s="1483"/>
      <c r="O31" s="1447"/>
      <c r="P31" s="1455" t="s">
        <v>67</v>
      </c>
      <c r="Q31" s="1455"/>
      <c r="R31" s="1438" t="s">
        <v>6207</v>
      </c>
      <c r="S31" s="1455" t="s">
        <v>82</v>
      </c>
      <c r="T31" s="1455" t="s">
        <v>929</v>
      </c>
      <c r="U31" s="1437" t="s">
        <v>84</v>
      </c>
      <c r="V31" s="1438" t="s">
        <v>1047</v>
      </c>
      <c r="W31" s="1453">
        <v>3.5</v>
      </c>
      <c r="X31" s="1453">
        <v>3.5</v>
      </c>
      <c r="Y31" s="1433"/>
      <c r="Z31" s="1449" t="s">
        <v>6208</v>
      </c>
    </row>
    <row r="32" spans="1:26" ht="80.099999999999994" customHeight="1">
      <c r="A32" s="1441">
        <v>27</v>
      </c>
      <c r="B32" s="1439" t="s">
        <v>2606</v>
      </c>
      <c r="C32" s="1522" t="s">
        <v>6113</v>
      </c>
      <c r="D32" s="1447" t="s">
        <v>6209</v>
      </c>
      <c r="E32" s="1449" t="s">
        <v>6210</v>
      </c>
      <c r="F32" s="1451" t="s">
        <v>6211</v>
      </c>
      <c r="G32" s="1449" t="s">
        <v>6212</v>
      </c>
      <c r="H32" s="1453" t="s">
        <v>2136</v>
      </c>
      <c r="I32" s="1455">
        <v>20</v>
      </c>
      <c r="J32" s="1469"/>
      <c r="K32" s="1472">
        <v>20</v>
      </c>
      <c r="L32" s="1472"/>
      <c r="M32" s="1453"/>
      <c r="N32" s="1483"/>
      <c r="O32" s="1447" t="s">
        <v>1950</v>
      </c>
      <c r="P32" s="1455" t="s">
        <v>105</v>
      </c>
      <c r="Q32" s="1437"/>
      <c r="R32" s="1453" t="s">
        <v>6190</v>
      </c>
      <c r="S32" s="1453" t="s">
        <v>82</v>
      </c>
      <c r="T32" s="1455" t="s">
        <v>2641</v>
      </c>
      <c r="U32" s="1437" t="s">
        <v>84</v>
      </c>
      <c r="V32" s="1438" t="s">
        <v>1047</v>
      </c>
      <c r="W32" s="1453">
        <v>5</v>
      </c>
      <c r="X32" s="1453">
        <v>5</v>
      </c>
      <c r="Y32" s="1449"/>
      <c r="Z32" s="1449" t="s">
        <v>1648</v>
      </c>
    </row>
    <row r="33" spans="1:26" ht="80.099999999999994" customHeight="1" thickBot="1">
      <c r="A33" s="1441">
        <v>28</v>
      </c>
      <c r="B33" s="1439" t="s">
        <v>2606</v>
      </c>
      <c r="C33" s="1440" t="s">
        <v>6213</v>
      </c>
      <c r="D33" s="1447" t="s">
        <v>6214</v>
      </c>
      <c r="E33" s="1449" t="s">
        <v>6215</v>
      </c>
      <c r="F33" s="1451" t="s">
        <v>6216</v>
      </c>
      <c r="G33" s="1449" t="s">
        <v>6217</v>
      </c>
      <c r="H33" s="1453" t="s">
        <v>6218</v>
      </c>
      <c r="I33" s="1455">
        <v>710</v>
      </c>
      <c r="J33" s="1469">
        <v>0</v>
      </c>
      <c r="K33" s="1472">
        <v>700</v>
      </c>
      <c r="L33" s="1472">
        <v>0</v>
      </c>
      <c r="M33" s="1453">
        <v>10</v>
      </c>
      <c r="N33" s="1483" t="s">
        <v>945</v>
      </c>
      <c r="O33" s="1447" t="s">
        <v>945</v>
      </c>
      <c r="P33" s="1455" t="s">
        <v>67</v>
      </c>
      <c r="Q33" s="1553" t="s">
        <v>1070</v>
      </c>
      <c r="R33" s="1453" t="s">
        <v>6219</v>
      </c>
      <c r="S33" s="1449" t="s">
        <v>82</v>
      </c>
      <c r="T33" s="1507" t="s">
        <v>929</v>
      </c>
      <c r="U33" s="1437" t="s">
        <v>84</v>
      </c>
      <c r="V33" s="1453" t="s">
        <v>1047</v>
      </c>
      <c r="W33" s="1453">
        <v>150</v>
      </c>
      <c r="X33" s="1453">
        <v>141</v>
      </c>
      <c r="Y33" s="1449">
        <v>9</v>
      </c>
      <c r="Z33" s="1449" t="s">
        <v>6220</v>
      </c>
    </row>
    <row r="34" spans="1:26" ht="80.099999999999994" customHeight="1">
      <c r="A34" s="1441">
        <v>29</v>
      </c>
      <c r="B34" s="1439" t="s">
        <v>2606</v>
      </c>
      <c r="C34" s="1440" t="s">
        <v>6213</v>
      </c>
      <c r="D34" s="1447" t="s">
        <v>6221</v>
      </c>
      <c r="E34" s="1449" t="s">
        <v>6222</v>
      </c>
      <c r="F34" s="1451" t="s">
        <v>6223</v>
      </c>
      <c r="G34" s="1449" t="s">
        <v>6224</v>
      </c>
      <c r="H34" s="1453" t="s">
        <v>1717</v>
      </c>
      <c r="I34" s="1455">
        <v>263</v>
      </c>
      <c r="J34" s="1469">
        <v>0</v>
      </c>
      <c r="K34" s="1472">
        <v>253</v>
      </c>
      <c r="L34" s="1472">
        <v>0</v>
      </c>
      <c r="M34" s="1453">
        <v>10</v>
      </c>
      <c r="N34" s="1483" t="s">
        <v>945</v>
      </c>
      <c r="O34" s="1447" t="s">
        <v>945</v>
      </c>
      <c r="P34" s="1455" t="s">
        <v>167</v>
      </c>
      <c r="Q34" s="1505"/>
      <c r="R34" s="1453" t="s">
        <v>3216</v>
      </c>
      <c r="S34" s="1506" t="s">
        <v>82</v>
      </c>
      <c r="T34" s="1507" t="s">
        <v>929</v>
      </c>
      <c r="U34" s="1505" t="s">
        <v>84</v>
      </c>
      <c r="V34" s="1453" t="s">
        <v>1047</v>
      </c>
      <c r="W34" s="1453">
        <v>94</v>
      </c>
      <c r="X34" s="1453">
        <v>90</v>
      </c>
      <c r="Y34" s="1449">
        <v>4</v>
      </c>
      <c r="Z34" s="1449" t="s">
        <v>6225</v>
      </c>
    </row>
    <row r="35" spans="1:26" ht="80.099999999999994" customHeight="1">
      <c r="A35" s="1441">
        <v>30</v>
      </c>
      <c r="B35" s="1439" t="s">
        <v>2606</v>
      </c>
      <c r="C35" s="1438" t="s">
        <v>6213</v>
      </c>
      <c r="D35" s="1540" t="s">
        <v>6226</v>
      </c>
      <c r="E35" s="1540" t="s">
        <v>6227</v>
      </c>
      <c r="F35" s="1541" t="s">
        <v>6228</v>
      </c>
      <c r="G35" s="1540" t="s">
        <v>6229</v>
      </c>
      <c r="H35" s="1540" t="s">
        <v>958</v>
      </c>
      <c r="I35" s="1455">
        <v>22</v>
      </c>
      <c r="J35" s="1469"/>
      <c r="K35" s="1472">
        <v>15</v>
      </c>
      <c r="L35" s="1472"/>
      <c r="M35" s="1453">
        <v>7</v>
      </c>
      <c r="N35" s="1483"/>
      <c r="O35" s="1447"/>
      <c r="P35" s="1455" t="s">
        <v>92</v>
      </c>
      <c r="Q35" s="1447"/>
      <c r="R35" s="1438" t="s">
        <v>6230</v>
      </c>
      <c r="S35" s="1453" t="s">
        <v>82</v>
      </c>
      <c r="T35" s="1455" t="s">
        <v>929</v>
      </c>
      <c r="U35" s="1437" t="s">
        <v>84</v>
      </c>
      <c r="V35" s="1438" t="s">
        <v>1064</v>
      </c>
      <c r="W35" s="1453">
        <v>31</v>
      </c>
      <c r="X35" s="1453">
        <v>31</v>
      </c>
      <c r="Y35" s="1449"/>
      <c r="Z35" s="1449" t="s">
        <v>6231</v>
      </c>
    </row>
    <row r="36" spans="1:26" ht="80.099999999999994" customHeight="1">
      <c r="A36" s="1441">
        <v>31</v>
      </c>
      <c r="B36" s="1439" t="s">
        <v>2606</v>
      </c>
      <c r="C36" s="1438" t="s">
        <v>6213</v>
      </c>
      <c r="D36" s="1447" t="s">
        <v>6232</v>
      </c>
      <c r="E36" s="1449" t="s">
        <v>1036</v>
      </c>
      <c r="F36" s="1451" t="s">
        <v>6233</v>
      </c>
      <c r="G36" s="1449" t="s">
        <v>6333</v>
      </c>
      <c r="H36" s="1453" t="s">
        <v>3634</v>
      </c>
      <c r="I36" s="1455">
        <v>40</v>
      </c>
      <c r="J36" s="1469"/>
      <c r="K36" s="1472">
        <v>40</v>
      </c>
      <c r="L36" s="1472"/>
      <c r="M36" s="1453"/>
      <c r="N36" s="1483"/>
      <c r="O36" s="1447"/>
      <c r="P36" s="1455" t="s">
        <v>67</v>
      </c>
      <c r="Q36" s="1447"/>
      <c r="R36" s="1438" t="s">
        <v>6234</v>
      </c>
      <c r="S36" s="1453" t="s">
        <v>82</v>
      </c>
      <c r="T36" s="1455" t="s">
        <v>929</v>
      </c>
      <c r="U36" s="1437" t="s">
        <v>84</v>
      </c>
      <c r="V36" s="1438" t="s">
        <v>1047</v>
      </c>
      <c r="W36" s="1453">
        <v>3</v>
      </c>
      <c r="X36" s="1453">
        <v>3</v>
      </c>
      <c r="Y36" s="1449"/>
      <c r="Z36" s="1449" t="s">
        <v>1119</v>
      </c>
    </row>
    <row r="37" spans="1:26" ht="80.099999999999994" customHeight="1" thickBot="1">
      <c r="A37" s="1446">
        <v>32</v>
      </c>
      <c r="B37" s="1508" t="s">
        <v>2606</v>
      </c>
      <c r="C37" s="1518" t="s">
        <v>6213</v>
      </c>
      <c r="D37" s="1509" t="s">
        <v>6235</v>
      </c>
      <c r="E37" s="1510" t="s">
        <v>6236</v>
      </c>
      <c r="F37" s="1511" t="s">
        <v>6237</v>
      </c>
      <c r="G37" s="1510" t="s">
        <v>6238</v>
      </c>
      <c r="H37" s="1512" t="s">
        <v>6239</v>
      </c>
      <c r="I37" s="1580">
        <v>143</v>
      </c>
      <c r="J37" s="1513">
        <v>0</v>
      </c>
      <c r="K37" s="1514">
        <v>100</v>
      </c>
      <c r="L37" s="1514">
        <v>0</v>
      </c>
      <c r="M37" s="1515">
        <v>43</v>
      </c>
      <c r="N37" s="1516"/>
      <c r="O37" s="1509"/>
      <c r="P37" s="1517" t="s">
        <v>92</v>
      </c>
      <c r="Q37" s="1509"/>
      <c r="R37" s="1518" t="s">
        <v>6240</v>
      </c>
      <c r="S37" s="1512" t="s">
        <v>82</v>
      </c>
      <c r="T37" s="1517" t="s">
        <v>1089</v>
      </c>
      <c r="U37" s="1519" t="s">
        <v>84</v>
      </c>
      <c r="V37" s="1518" t="s">
        <v>1047</v>
      </c>
      <c r="W37" s="1512">
        <v>20</v>
      </c>
      <c r="X37" s="1512">
        <v>19</v>
      </c>
      <c r="Y37" s="1510">
        <v>1</v>
      </c>
      <c r="Z37" s="1510" t="s">
        <v>6241</v>
      </c>
    </row>
    <row r="38" spans="1:26" ht="80.099999999999994" customHeight="1">
      <c r="A38" s="1441">
        <v>33</v>
      </c>
      <c r="B38" s="1439" t="s">
        <v>2606</v>
      </c>
      <c r="C38" s="1438" t="s">
        <v>6213</v>
      </c>
      <c r="D38" s="1447" t="s">
        <v>6242</v>
      </c>
      <c r="E38" s="1449" t="s">
        <v>6243</v>
      </c>
      <c r="F38" s="1451" t="s">
        <v>6244</v>
      </c>
      <c r="G38" s="1449" t="s">
        <v>6334</v>
      </c>
      <c r="H38" s="1453" t="s">
        <v>6239</v>
      </c>
      <c r="I38" s="1537">
        <v>50</v>
      </c>
      <c r="J38" s="1469"/>
      <c r="K38" s="1538">
        <v>50</v>
      </c>
      <c r="L38" s="1472"/>
      <c r="M38" s="1453"/>
      <c r="N38" s="1483"/>
      <c r="O38" s="1447"/>
      <c r="P38" s="1455" t="s">
        <v>167</v>
      </c>
      <c r="Q38" s="1438"/>
      <c r="R38" s="1438" t="s">
        <v>6245</v>
      </c>
      <c r="S38" s="1453" t="s">
        <v>82</v>
      </c>
      <c r="T38" s="1455" t="s">
        <v>929</v>
      </c>
      <c r="U38" s="1437" t="s">
        <v>84</v>
      </c>
      <c r="V38" s="1438" t="s">
        <v>1064</v>
      </c>
      <c r="W38" s="1453">
        <v>15</v>
      </c>
      <c r="X38" s="1453">
        <v>15</v>
      </c>
      <c r="Y38" s="1449">
        <v>15</v>
      </c>
      <c r="Z38" s="1449" t="s">
        <v>1017</v>
      </c>
    </row>
    <row r="39" spans="1:26" ht="80.099999999999994" customHeight="1">
      <c r="A39" s="1441">
        <v>34</v>
      </c>
      <c r="B39" s="1439" t="s">
        <v>2606</v>
      </c>
      <c r="C39" s="1440" t="s">
        <v>6213</v>
      </c>
      <c r="D39" s="1447" t="s">
        <v>6246</v>
      </c>
      <c r="E39" s="1449" t="s">
        <v>6247</v>
      </c>
      <c r="F39" s="1451" t="s">
        <v>6248</v>
      </c>
      <c r="G39" s="1449" t="s">
        <v>6249</v>
      </c>
      <c r="H39" s="1453" t="s">
        <v>1038</v>
      </c>
      <c r="I39" s="1455">
        <v>24</v>
      </c>
      <c r="J39" s="1469"/>
      <c r="K39" s="1472">
        <v>12</v>
      </c>
      <c r="L39" s="1472"/>
      <c r="M39" s="1453">
        <v>12</v>
      </c>
      <c r="N39" s="1483"/>
      <c r="O39" s="1447"/>
      <c r="P39" s="1455" t="s">
        <v>124</v>
      </c>
      <c r="Q39" s="1472"/>
      <c r="R39" s="1438" t="s">
        <v>6250</v>
      </c>
      <c r="S39" s="1453" t="s">
        <v>82</v>
      </c>
      <c r="T39" s="1455" t="s">
        <v>929</v>
      </c>
      <c r="U39" s="1437" t="s">
        <v>84</v>
      </c>
      <c r="V39" s="1438" t="s">
        <v>1047</v>
      </c>
      <c r="W39" s="1453">
        <v>5</v>
      </c>
      <c r="X39" s="1453">
        <v>5</v>
      </c>
      <c r="Y39" s="1449">
        <v>0</v>
      </c>
      <c r="Z39" s="1449" t="s">
        <v>6251</v>
      </c>
    </row>
    <row r="40" spans="1:26" ht="80.099999999999994" customHeight="1">
      <c r="A40" s="1441">
        <v>35</v>
      </c>
      <c r="B40" s="1439" t="s">
        <v>2606</v>
      </c>
      <c r="C40" s="1440" t="s">
        <v>6213</v>
      </c>
      <c r="D40" s="1448" t="s">
        <v>6252</v>
      </c>
      <c r="E40" s="1449" t="s">
        <v>6253</v>
      </c>
      <c r="F40" s="1451" t="s">
        <v>6254</v>
      </c>
      <c r="G40" s="1449" t="s">
        <v>6255</v>
      </c>
      <c r="H40" s="1453" t="s">
        <v>2581</v>
      </c>
      <c r="I40" s="1455">
        <v>35</v>
      </c>
      <c r="J40" s="1470"/>
      <c r="K40" s="1473">
        <v>25</v>
      </c>
      <c r="L40" s="1473"/>
      <c r="M40" s="1475">
        <v>10</v>
      </c>
      <c r="N40" s="1484"/>
      <c r="O40" s="1448"/>
      <c r="P40" s="1455" t="s">
        <v>92</v>
      </c>
      <c r="Q40" s="1472"/>
      <c r="R40" s="1438" t="s">
        <v>6256</v>
      </c>
      <c r="S40" s="1453" t="s">
        <v>82</v>
      </c>
      <c r="T40" s="1455" t="s">
        <v>929</v>
      </c>
      <c r="U40" s="1437" t="s">
        <v>84</v>
      </c>
      <c r="V40" s="1438" t="s">
        <v>1047</v>
      </c>
      <c r="W40" s="1453" t="s">
        <v>6257</v>
      </c>
      <c r="X40" s="1453"/>
      <c r="Y40" s="1449"/>
      <c r="Z40" s="1449" t="s">
        <v>6258</v>
      </c>
    </row>
    <row r="41" spans="1:26" ht="80.099999999999994" customHeight="1">
      <c r="A41" s="1581">
        <v>36</v>
      </c>
      <c r="B41" s="1582" t="s">
        <v>2606</v>
      </c>
      <c r="C41" s="1583" t="s">
        <v>6213</v>
      </c>
      <c r="D41" s="1481" t="s">
        <v>6259</v>
      </c>
      <c r="E41" s="1468" t="s">
        <v>6260</v>
      </c>
      <c r="F41" s="1452" t="s">
        <v>6261</v>
      </c>
      <c r="G41" s="1468" t="s">
        <v>6262</v>
      </c>
      <c r="H41" s="1454" t="s">
        <v>2465</v>
      </c>
      <c r="I41" s="1456">
        <v>43</v>
      </c>
      <c r="J41" s="1471"/>
      <c r="K41" s="1474">
        <v>30</v>
      </c>
      <c r="L41" s="1474"/>
      <c r="M41" s="1454">
        <v>13</v>
      </c>
      <c r="N41" s="1485"/>
      <c r="O41" s="1481"/>
      <c r="P41" s="1456" t="s">
        <v>167</v>
      </c>
      <c r="Q41" s="1584"/>
      <c r="R41" s="1445" t="s">
        <v>1017</v>
      </c>
      <c r="S41" s="1454" t="s">
        <v>82</v>
      </c>
      <c r="T41" s="1456" t="s">
        <v>6263</v>
      </c>
      <c r="U41" s="1585" t="s">
        <v>84</v>
      </c>
      <c r="V41" s="1445" t="s">
        <v>1064</v>
      </c>
      <c r="W41" s="1454">
        <v>10</v>
      </c>
      <c r="X41" s="1454">
        <v>10</v>
      </c>
      <c r="Y41" s="1468"/>
      <c r="Z41" s="1468" t="s">
        <v>6264</v>
      </c>
    </row>
    <row r="42" spans="1:26" ht="80.099999999999994" customHeight="1">
      <c r="A42" s="1441">
        <v>37</v>
      </c>
      <c r="B42" s="1439" t="s">
        <v>2606</v>
      </c>
      <c r="C42" s="1438" t="s">
        <v>6213</v>
      </c>
      <c r="D42" s="1447" t="s">
        <v>6265</v>
      </c>
      <c r="E42" s="1449" t="s">
        <v>6266</v>
      </c>
      <c r="F42" s="1451" t="s">
        <v>6267</v>
      </c>
      <c r="G42" s="1449" t="s">
        <v>6268</v>
      </c>
      <c r="H42" s="1453" t="s">
        <v>6269</v>
      </c>
      <c r="I42" s="1455">
        <v>30</v>
      </c>
      <c r="J42" s="1469" t="s">
        <v>945</v>
      </c>
      <c r="K42" s="1472">
        <v>15</v>
      </c>
      <c r="L42" s="1472" t="s">
        <v>945</v>
      </c>
      <c r="M42" s="1453" t="s">
        <v>6270</v>
      </c>
      <c r="N42" s="1483" t="s">
        <v>945</v>
      </c>
      <c r="O42" s="1447" t="s">
        <v>945</v>
      </c>
      <c r="P42" s="1455" t="s">
        <v>124</v>
      </c>
      <c r="Q42" s="1447"/>
      <c r="R42" s="1438" t="s">
        <v>6271</v>
      </c>
      <c r="S42" s="1453" t="s">
        <v>82</v>
      </c>
      <c r="T42" s="1455" t="s">
        <v>929</v>
      </c>
      <c r="U42" s="1437" t="s">
        <v>84</v>
      </c>
      <c r="V42" s="1438" t="s">
        <v>1047</v>
      </c>
      <c r="W42" s="1453">
        <v>1</v>
      </c>
      <c r="X42" s="1453">
        <v>1</v>
      </c>
      <c r="Y42" s="1449" t="s">
        <v>945</v>
      </c>
      <c r="Z42" s="1449" t="s">
        <v>6272</v>
      </c>
    </row>
    <row r="43" spans="1:26" ht="80.099999999999994" customHeight="1" thickBot="1">
      <c r="A43" s="1579">
        <v>38</v>
      </c>
      <c r="B43" s="1571" t="s">
        <v>2606</v>
      </c>
      <c r="C43" s="1571" t="s">
        <v>6213</v>
      </c>
      <c r="D43" s="1572" t="s">
        <v>6273</v>
      </c>
      <c r="E43" s="1572" t="s">
        <v>6274</v>
      </c>
      <c r="F43" s="1573" t="s">
        <v>6275</v>
      </c>
      <c r="G43" s="1572" t="s">
        <v>6335</v>
      </c>
      <c r="H43" s="1572" t="s">
        <v>6276</v>
      </c>
      <c r="I43" s="1572">
        <v>28</v>
      </c>
      <c r="J43" s="1572"/>
      <c r="K43" s="1572">
        <v>25</v>
      </c>
      <c r="L43" s="1572"/>
      <c r="M43" s="1572">
        <v>3</v>
      </c>
      <c r="N43" s="1574"/>
      <c r="O43" s="1574"/>
      <c r="P43" s="1575" t="s">
        <v>67</v>
      </c>
      <c r="Q43" s="1575"/>
      <c r="R43" s="1575" t="s">
        <v>6277</v>
      </c>
      <c r="S43" s="1575" t="s">
        <v>82</v>
      </c>
      <c r="T43" s="1575" t="s">
        <v>2641</v>
      </c>
      <c r="U43" s="1574" t="s">
        <v>84</v>
      </c>
      <c r="V43" s="1576" t="s">
        <v>1950</v>
      </c>
      <c r="W43" s="1577">
        <v>2</v>
      </c>
      <c r="X43" s="1577">
        <v>2</v>
      </c>
      <c r="Y43" s="1574"/>
      <c r="Z43" s="1578" t="s">
        <v>6278</v>
      </c>
    </row>
    <row r="44" spans="1:26" ht="80.099999999999994" customHeight="1">
      <c r="A44" s="1520">
        <v>39</v>
      </c>
      <c r="B44" s="1521" t="s">
        <v>2606</v>
      </c>
      <c r="C44" s="1522" t="s">
        <v>6213</v>
      </c>
      <c r="D44" s="1523" t="s">
        <v>6279</v>
      </c>
      <c r="E44" s="1524" t="s">
        <v>1869</v>
      </c>
      <c r="F44" s="1525" t="s">
        <v>6280</v>
      </c>
      <c r="G44" s="1524" t="s">
        <v>6281</v>
      </c>
      <c r="H44" s="1526" t="s">
        <v>6282</v>
      </c>
      <c r="I44" s="1527">
        <v>140</v>
      </c>
      <c r="J44" s="1528" t="s">
        <v>945</v>
      </c>
      <c r="K44" s="1529">
        <v>70</v>
      </c>
      <c r="L44" s="1530" t="s">
        <v>945</v>
      </c>
      <c r="M44" s="1526" t="s">
        <v>6283</v>
      </c>
      <c r="N44" s="1531"/>
      <c r="O44" s="1523"/>
      <c r="P44" s="1527" t="s">
        <v>124</v>
      </c>
      <c r="Q44" s="1523"/>
      <c r="R44" s="1532" t="s">
        <v>6284</v>
      </c>
      <c r="S44" s="1526" t="s">
        <v>82</v>
      </c>
      <c r="T44" s="1527" t="s">
        <v>6285</v>
      </c>
      <c r="U44" s="1533" t="s">
        <v>84</v>
      </c>
      <c r="V44" s="1532" t="s">
        <v>1047</v>
      </c>
      <c r="W44" s="1526">
        <v>30</v>
      </c>
      <c r="X44" s="1526">
        <v>25</v>
      </c>
      <c r="Y44" s="1524">
        <v>5</v>
      </c>
      <c r="Z44" s="1524" t="s">
        <v>6286</v>
      </c>
    </row>
    <row r="45" spans="1:26" ht="80.099999999999994" customHeight="1">
      <c r="A45" s="1441">
        <v>40</v>
      </c>
      <c r="B45" s="1439" t="s">
        <v>2606</v>
      </c>
      <c r="C45" s="1440" t="s">
        <v>6213</v>
      </c>
      <c r="D45" s="1447" t="s">
        <v>6287</v>
      </c>
      <c r="E45" s="1449" t="s">
        <v>6288</v>
      </c>
      <c r="F45" s="1451" t="s">
        <v>6289</v>
      </c>
      <c r="G45" s="1449" t="s">
        <v>6290</v>
      </c>
      <c r="H45" s="1453" t="s">
        <v>2568</v>
      </c>
      <c r="I45" s="1455">
        <v>50</v>
      </c>
      <c r="J45" s="1469"/>
      <c r="K45" s="1472">
        <v>35</v>
      </c>
      <c r="L45" s="1472"/>
      <c r="M45" s="1453">
        <v>15</v>
      </c>
      <c r="N45" s="1483"/>
      <c r="O45" s="1447"/>
      <c r="P45" s="1455" t="s">
        <v>167</v>
      </c>
      <c r="Q45" s="1447"/>
      <c r="R45" s="1438" t="s">
        <v>1017</v>
      </c>
      <c r="S45" s="1453" t="s">
        <v>82</v>
      </c>
      <c r="T45" s="1455" t="s">
        <v>1089</v>
      </c>
      <c r="U45" s="1437" t="s">
        <v>84</v>
      </c>
      <c r="V45" s="1438"/>
      <c r="W45" s="1453">
        <v>4</v>
      </c>
      <c r="X45" s="1453">
        <v>3.8</v>
      </c>
      <c r="Y45" s="1449">
        <v>0.2</v>
      </c>
      <c r="Z45" s="1449" t="s">
        <v>1017</v>
      </c>
    </row>
    <row r="46" spans="1:26">
      <c r="A46" s="1443"/>
      <c r="B46" s="1443"/>
      <c r="C46" s="1443"/>
      <c r="D46" s="1435"/>
      <c r="E46" s="1435"/>
      <c r="F46" s="1435"/>
      <c r="G46" s="1435"/>
      <c r="H46" s="1435"/>
      <c r="I46" s="1435"/>
      <c r="J46" s="1435"/>
      <c r="K46" s="1435"/>
      <c r="L46" s="1435"/>
      <c r="M46" s="1435"/>
      <c r="N46" s="1435"/>
      <c r="O46" s="1435"/>
      <c r="P46" s="1435"/>
      <c r="Q46" s="1435"/>
      <c r="R46" s="1435"/>
      <c r="S46" s="1435"/>
      <c r="T46" s="1435"/>
      <c r="U46" s="1435"/>
      <c r="V46" s="1435"/>
      <c r="W46" s="1435"/>
      <c r="X46" s="1435"/>
      <c r="Y46" s="1435"/>
      <c r="Z46" s="1435"/>
    </row>
    <row r="47" spans="1:26">
      <c r="A47" s="1443"/>
      <c r="B47" s="1443"/>
      <c r="C47" s="1443"/>
      <c r="D47" s="1435"/>
      <c r="E47" s="1435"/>
      <c r="F47" s="1435"/>
      <c r="G47" s="1435"/>
      <c r="H47" s="1435"/>
      <c r="I47" s="1435"/>
      <c r="J47" s="1435"/>
      <c r="K47" s="1435"/>
      <c r="L47" s="1435"/>
      <c r="M47" s="1435"/>
      <c r="N47" s="1435"/>
      <c r="O47" s="1435"/>
      <c r="P47" s="1435"/>
      <c r="Q47" s="1435"/>
      <c r="R47" s="1435"/>
      <c r="S47" s="1435"/>
      <c r="T47" s="1435"/>
      <c r="U47" s="1435"/>
      <c r="V47" s="1435"/>
      <c r="W47" s="1435"/>
      <c r="X47" s="1435"/>
      <c r="Y47" s="1435"/>
      <c r="Z47" s="1435"/>
    </row>
    <row r="48" spans="1:26">
      <c r="A48" s="1443"/>
      <c r="B48" s="1443"/>
      <c r="C48" s="1443"/>
      <c r="D48" s="1435"/>
      <c r="E48" s="1435"/>
      <c r="F48" s="1435"/>
      <c r="G48" s="1435"/>
      <c r="H48" s="1435"/>
      <c r="I48" s="1435"/>
      <c r="J48" s="1435"/>
      <c r="K48" s="1435"/>
      <c r="L48" s="1435"/>
      <c r="M48" s="1435"/>
      <c r="N48" s="1435"/>
      <c r="O48" s="1435"/>
      <c r="P48" s="1435"/>
      <c r="Q48" s="1435"/>
      <c r="R48" s="1435"/>
      <c r="S48" s="1435"/>
      <c r="T48" s="1435"/>
      <c r="U48" s="1435"/>
      <c r="V48" s="1435"/>
      <c r="W48" s="1435"/>
      <c r="X48" s="1435"/>
      <c r="Y48" s="1435"/>
      <c r="Z48" s="1435"/>
    </row>
    <row r="49" spans="1:3">
      <c r="A49" s="1443"/>
      <c r="B49" s="1443"/>
      <c r="C49" s="1443"/>
    </row>
    <row r="50" spans="1:3">
      <c r="A50" s="1443"/>
      <c r="B50" s="1443"/>
      <c r="C50" s="1443"/>
    </row>
    <row r="51" spans="1:3">
      <c r="A51" s="1443"/>
      <c r="B51" s="1443"/>
      <c r="C51" s="1443"/>
    </row>
    <row r="52" spans="1:3">
      <c r="A52" s="1443"/>
      <c r="B52" s="1443"/>
      <c r="C52" s="1443"/>
    </row>
    <row r="53" spans="1:3">
      <c r="A53" s="1443"/>
      <c r="B53" s="1443"/>
      <c r="C53" s="1443"/>
    </row>
    <row r="54" spans="1:3">
      <c r="A54" s="1443"/>
      <c r="B54" s="1443"/>
      <c r="C54" s="1443"/>
    </row>
    <row r="55" spans="1:3">
      <c r="A55" s="1443"/>
      <c r="B55" s="1443"/>
      <c r="C55" s="1443"/>
    </row>
    <row r="56" spans="1:3">
      <c r="A56" s="1443"/>
      <c r="B56" s="1443"/>
      <c r="C56" s="1443"/>
    </row>
  </sheetData>
  <mergeCells count="30">
    <mergeCell ref="C24:C25"/>
    <mergeCell ref="W3:Y3"/>
    <mergeCell ref="N3:O3"/>
    <mergeCell ref="A1:Y2"/>
    <mergeCell ref="I3:M3"/>
    <mergeCell ref="A24:A25"/>
    <mergeCell ref="B24:B25"/>
    <mergeCell ref="D24:D25"/>
    <mergeCell ref="E24:E25"/>
    <mergeCell ref="F24:F25"/>
    <mergeCell ref="G24:G25"/>
    <mergeCell ref="H24:H25"/>
    <mergeCell ref="I24:I25"/>
    <mergeCell ref="J24:J25"/>
    <mergeCell ref="K24:K25"/>
    <mergeCell ref="L24:L25"/>
    <mergeCell ref="M24:M25"/>
    <mergeCell ref="N24:N25"/>
    <mergeCell ref="O24:O25"/>
    <mergeCell ref="P24:P25"/>
    <mergeCell ref="Q24:Q25"/>
    <mergeCell ref="W24:W25"/>
    <mergeCell ref="X24:X25"/>
    <mergeCell ref="Y24:Y25"/>
    <mergeCell ref="Z24:Z25"/>
    <mergeCell ref="R24:R25"/>
    <mergeCell ref="S24:S25"/>
    <mergeCell ref="T24:T25"/>
    <mergeCell ref="U24:U25"/>
    <mergeCell ref="V24:V2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18</vt:i4>
      </vt:variant>
      <vt:variant>
        <vt:lpstr>이름이 지정된 범위</vt:lpstr>
      </vt:variant>
      <vt:variant>
        <vt:i4>3</vt:i4>
      </vt:variant>
    </vt:vector>
  </HeadingPairs>
  <TitlesOfParts>
    <vt:vector size="21" baseType="lpstr">
      <vt:lpstr>총괄표</vt:lpstr>
      <vt:lpstr>서울특별시</vt:lpstr>
      <vt:lpstr>부산광역시</vt:lpstr>
      <vt:lpstr>대구광역시</vt:lpstr>
      <vt:lpstr>인천광역시</vt:lpstr>
      <vt:lpstr>광주광역시</vt:lpstr>
      <vt:lpstr>대전광역시</vt:lpstr>
      <vt:lpstr>울산광역시</vt:lpstr>
      <vt:lpstr>세종특별자치시</vt:lpstr>
      <vt:lpstr>경기도</vt:lpstr>
      <vt:lpstr>강원도</vt:lpstr>
      <vt:lpstr>충청북도</vt:lpstr>
      <vt:lpstr>충청남도</vt:lpstr>
      <vt:lpstr>전라북도</vt:lpstr>
      <vt:lpstr>전라남도</vt:lpstr>
      <vt:lpstr>경상북도</vt:lpstr>
      <vt:lpstr>경상남도</vt:lpstr>
      <vt:lpstr>제주도</vt:lpstr>
      <vt:lpstr>서울특별시!Print_Area</vt:lpstr>
      <vt:lpstr>총괄표!Print_Area</vt:lpstr>
      <vt:lpstr>서울특별시!Print_Titles</vt:lpstr>
    </vt:vector>
  </TitlesOfParts>
  <Company>user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Preferred Customer</dc:creator>
  <cp:lastModifiedBy>ITBANK-KKM</cp:lastModifiedBy>
  <cp:lastPrinted>2016-01-11T08:18:42Z</cp:lastPrinted>
  <dcterms:created xsi:type="dcterms:W3CDTF">2007-01-24T09:01:51Z</dcterms:created>
  <dcterms:modified xsi:type="dcterms:W3CDTF">2021-07-26T05:28:50Z</dcterms:modified>
</cp:coreProperties>
</file>