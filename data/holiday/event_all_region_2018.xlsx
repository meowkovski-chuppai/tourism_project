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60" yWindow="165" windowWidth="14145" windowHeight="8880" tabRatio="934"/>
  </bookViews>
  <sheets>
    <sheet name="00_총괄표" sheetId="17" r:id="rId1"/>
    <sheet name="01_서울특별시" sheetId="33" r:id="rId2"/>
    <sheet name="02_부산광역시" sheetId="18" r:id="rId3"/>
    <sheet name="03_대구광역시" sheetId="19" r:id="rId4"/>
    <sheet name="04_인천광역시" sheetId="38" r:id="rId5"/>
    <sheet name="05_광주광역시" sheetId="20" r:id="rId6"/>
    <sheet name="06_대전광역시" sheetId="21" r:id="rId7"/>
    <sheet name="07_울산광역시" sheetId="22" r:id="rId8"/>
    <sheet name="08_세종특별자치시" sheetId="23" r:id="rId9"/>
    <sheet name="09_경기도" sheetId="24" r:id="rId10"/>
    <sheet name="10_강원도" sheetId="25" r:id="rId11"/>
    <sheet name="11_충청북도" sheetId="35" r:id="rId12"/>
    <sheet name="12_충청남도" sheetId="39" r:id="rId13"/>
    <sheet name="13_전라북도" sheetId="27" r:id="rId14"/>
    <sheet name="14_전라남도" sheetId="40" r:id="rId15"/>
    <sheet name="15_경상북도" sheetId="36" r:id="rId16"/>
    <sheet name="16_경상남도" sheetId="37" r:id="rId17"/>
    <sheet name="17_제주특별자치도" sheetId="31" r:id="rId18"/>
  </sheets>
  <definedNames>
    <definedName name="_xlnm._FilterDatabase" localSheetId="1" hidden="1">'01_서울특별시'!$A$4:$Y$56</definedName>
    <definedName name="_xlnm._FilterDatabase" localSheetId="2" hidden="1">'02_부산광역시'!$A$4:$Y$41</definedName>
    <definedName name="_xlnm._FilterDatabase" localSheetId="3" hidden="1">'03_대구광역시'!$A$4:$Y$27</definedName>
    <definedName name="_xlnm._FilterDatabase" localSheetId="4" hidden="1">'04_인천광역시'!$A$4:$Y$28</definedName>
    <definedName name="_xlnm._FilterDatabase" localSheetId="5" hidden="1">'05_광주광역시'!$A$4:$Y$13</definedName>
    <definedName name="_xlnm._FilterDatabase" localSheetId="6" hidden="1">'06_대전광역시'!$A$4:$Y$14</definedName>
    <definedName name="_xlnm._FilterDatabase" localSheetId="7" hidden="1">'07_울산광역시'!$A$4:$Y$28</definedName>
    <definedName name="_xlnm._FilterDatabase" localSheetId="8" hidden="1">'08_세종특별자치시'!$A$4:$Y$7</definedName>
    <definedName name="_xlnm._FilterDatabase" localSheetId="9" hidden="1">'09_경기도'!$A$4:$Y$98</definedName>
    <definedName name="_xlnm._FilterDatabase" localSheetId="10" hidden="1">'10_강원도'!$A$5:$Y$29</definedName>
    <definedName name="_xlnm._FilterDatabase" localSheetId="11" hidden="1">'11_충청북도'!$A$4:$Y$10</definedName>
    <definedName name="_xlnm._FilterDatabase" localSheetId="12" hidden="1">'12_충청남도'!$A$4:$Y$40</definedName>
    <definedName name="_xlnm._FilterDatabase" localSheetId="13" hidden="1">'13_전라북도'!$A$4:$Y$55</definedName>
    <definedName name="_xlnm._FilterDatabase" localSheetId="15" hidden="1">'15_경상북도'!$A$4:$Y$8</definedName>
    <definedName name="_xlnm._FilterDatabase" localSheetId="16" hidden="1">'16_경상남도'!$A$4:$Y$34</definedName>
    <definedName name="_xlnm._FilterDatabase" localSheetId="17" hidden="1">'17_제주특별자치도'!$A$4:$Y$32</definedName>
    <definedName name="_xlnm.Print_Area" localSheetId="0">'00_총괄표'!$A$1:$T$16</definedName>
    <definedName name="_xlnm.Print_Area" localSheetId="1">'01_서울특별시'!$A$1:$Z$56</definedName>
    <definedName name="_xlnm.Print_Area" localSheetId="2">'02_부산광역시'!$A$1:$Z$41</definedName>
    <definedName name="_xlnm.Print_Area" localSheetId="3">'03_대구광역시'!$A$4:$I$28</definedName>
    <definedName name="_xlnm.Print_Area" localSheetId="4">'04_인천광역시'!$A$1:$Z$28</definedName>
    <definedName name="_xlnm.Print_Area" localSheetId="5">'05_광주광역시'!$A$1:$Z$13</definedName>
    <definedName name="_xlnm.Print_Area" localSheetId="6">'06_대전광역시'!$A$1:$Z$14</definedName>
    <definedName name="_xlnm.Print_Area" localSheetId="7">'07_울산광역시'!$A$1:$Z$28</definedName>
    <definedName name="_xlnm.Print_Area" localSheetId="8">'08_세종특별자치시'!$A$1:$Z$7</definedName>
    <definedName name="_xlnm.Print_Area" localSheetId="9">'09_경기도'!$A$1:$Z$43</definedName>
    <definedName name="_xlnm.Print_Area" localSheetId="10">'10_강원도'!$A$1:$Z$29</definedName>
    <definedName name="_xlnm.Print_Area" localSheetId="11">'11_충청북도'!$A$1:$Z$10</definedName>
    <definedName name="_xlnm.Print_Area" localSheetId="12">'12_충청남도'!$A$1:$Z$40</definedName>
    <definedName name="_xlnm.Print_Area" localSheetId="13">'13_전라북도'!$A$1:$Z$42</definedName>
    <definedName name="_xlnm.Print_Area" localSheetId="14">'14_전라남도'!$A$1:$Z$30</definedName>
    <definedName name="_xlnm.Print_Area" localSheetId="15">'15_경상북도'!$A$1:$Z$8</definedName>
    <definedName name="_xlnm.Print_Area" localSheetId="16">'16_경상남도'!$A$1:$Z$62</definedName>
    <definedName name="_xlnm.Print_Area" localSheetId="17">'17_제주특별자치도'!$A$1:$Z$32</definedName>
    <definedName name="_xlnm.Print_Titles" localSheetId="1">'01_서울특별시'!$1:$4</definedName>
    <definedName name="_xlnm.Print_Titles" localSheetId="2">'02_부산광역시'!$1:$4</definedName>
    <definedName name="_xlnm.Print_Titles" localSheetId="3">'03_대구광역시'!$1:$4</definedName>
    <definedName name="_xlnm.Print_Titles" localSheetId="4">'04_인천광역시'!$1:$4</definedName>
    <definedName name="_xlnm.Print_Titles" localSheetId="5">'05_광주광역시'!$1:$4</definedName>
    <definedName name="_xlnm.Print_Titles" localSheetId="6">'06_대전광역시'!$1:$4</definedName>
    <definedName name="_xlnm.Print_Titles" localSheetId="7">'07_울산광역시'!$1:$4</definedName>
    <definedName name="_xlnm.Print_Titles" localSheetId="8">'08_세종특별자치시'!$1:$4</definedName>
    <definedName name="_xlnm.Print_Titles" localSheetId="9">'09_경기도'!$1:$4</definedName>
    <definedName name="_xlnm.Print_Titles" localSheetId="10">'10_강원도'!$1:$5</definedName>
    <definedName name="_xlnm.Print_Titles" localSheetId="11">'11_충청북도'!$1:$4</definedName>
    <definedName name="_xlnm.Print_Titles" localSheetId="12">'12_충청남도'!$1:$4</definedName>
    <definedName name="_xlnm.Print_Titles" localSheetId="13">'13_전라북도'!$1:$4</definedName>
    <definedName name="_xlnm.Print_Titles" localSheetId="14">'14_전라남도'!$1:$3</definedName>
    <definedName name="_xlnm.Print_Titles" localSheetId="15">'15_경상북도'!$1:$4</definedName>
    <definedName name="_xlnm.Print_Titles" localSheetId="16">'16_경상남도'!$1:$4</definedName>
    <definedName name="_xlnm.Print_Titles" localSheetId="17">'17_제주특별자치도'!$1:$4</definedName>
    <definedName name="조직형태" localSheetId="1">'01_서울특별시'!#REF!</definedName>
    <definedName name="조직형태" localSheetId="2">'02_부산광역시'!#REF!</definedName>
    <definedName name="조직형태" localSheetId="3">'03_대구광역시'!#REF!</definedName>
    <definedName name="조직형태" localSheetId="4">'04_인천광역시'!#REF!</definedName>
    <definedName name="조직형태" localSheetId="5">'05_광주광역시'!#REF!</definedName>
    <definedName name="조직형태" localSheetId="6">'06_대전광역시'!#REF!</definedName>
    <definedName name="조직형태" localSheetId="7">'07_울산광역시'!#REF!</definedName>
    <definedName name="조직형태" localSheetId="8">'08_세종특별자치시'!#REF!</definedName>
    <definedName name="조직형태" localSheetId="9">'09_경기도'!#REF!</definedName>
    <definedName name="조직형태" localSheetId="10">'10_강원도'!#REF!</definedName>
    <definedName name="조직형태" localSheetId="11">'11_충청북도'!#REF!</definedName>
    <definedName name="조직형태" localSheetId="12">'12_충청남도'!#REF!</definedName>
    <definedName name="조직형태" localSheetId="13">'13_전라북도'!#REF!</definedName>
    <definedName name="조직형태" localSheetId="14">'14_전라남도'!#REF!</definedName>
    <definedName name="조직형태" localSheetId="15">'15_경상북도'!#REF!</definedName>
    <definedName name="조직형태" localSheetId="16">'16_경상남도'!#REF!</definedName>
    <definedName name="조직형태" localSheetId="17">'17_제주특별자치도'!#REF!</definedName>
    <definedName name="조직형태">#REF!</definedName>
  </definedNames>
  <calcPr calcId="144525"/>
</workbook>
</file>

<file path=xl/calcChain.xml><?xml version="1.0" encoding="utf-8"?>
<calcChain xmlns="http://schemas.openxmlformats.org/spreadsheetml/2006/main">
  <c r="I32" i="31" l="1"/>
  <c r="I31" i="31"/>
  <c r="I30" i="31"/>
  <c r="I29" i="31"/>
  <c r="I28" i="31"/>
  <c r="I27" i="31"/>
  <c r="I26" i="31"/>
  <c r="I25" i="31"/>
  <c r="I24" i="31"/>
  <c r="I23" i="31"/>
  <c r="I22" i="31"/>
  <c r="I21" i="31"/>
  <c r="I20" i="31"/>
  <c r="I19" i="31"/>
  <c r="I18" i="31"/>
  <c r="I17" i="31"/>
  <c r="I16" i="31"/>
  <c r="I15" i="31"/>
  <c r="I14" i="31"/>
  <c r="I13" i="31"/>
  <c r="I12" i="31"/>
  <c r="I11" i="31"/>
  <c r="I10" i="31"/>
  <c r="I9" i="31"/>
  <c r="I8" i="31"/>
  <c r="I7" i="31"/>
  <c r="I6" i="31"/>
  <c r="I5" i="31"/>
  <c r="W107" i="40" l="1"/>
  <c r="I107" i="40"/>
  <c r="W106" i="40"/>
  <c r="I106" i="40"/>
  <c r="W105" i="40"/>
  <c r="I105" i="40"/>
  <c r="W104" i="40"/>
  <c r="I104" i="40"/>
  <c r="W103" i="40"/>
  <c r="I103" i="40"/>
  <c r="W102" i="40"/>
  <c r="I102" i="40"/>
  <c r="I101" i="40"/>
  <c r="W84" i="40"/>
  <c r="I84" i="40"/>
  <c r="W83" i="40"/>
  <c r="I83" i="40"/>
  <c r="I78" i="40"/>
  <c r="I77" i="40"/>
  <c r="I76" i="40"/>
  <c r="W75" i="40"/>
  <c r="I75" i="40"/>
  <c r="W74" i="40"/>
  <c r="I74" i="40"/>
  <c r="W73" i="40"/>
  <c r="I73" i="40"/>
  <c r="W72" i="40"/>
  <c r="I72" i="40"/>
  <c r="W71" i="40"/>
  <c r="I71" i="40"/>
  <c r="W70" i="40"/>
  <c r="I70" i="40"/>
  <c r="I69" i="40"/>
  <c r="W68" i="40"/>
  <c r="I68" i="40"/>
  <c r="W34" i="40"/>
  <c r="I34" i="40"/>
  <c r="W33" i="40"/>
  <c r="I33" i="40"/>
  <c r="W32" i="40"/>
  <c r="I32" i="40"/>
  <c r="W31" i="40"/>
  <c r="I31" i="40"/>
  <c r="W30" i="40"/>
  <c r="I30" i="40"/>
  <c r="W29" i="40"/>
  <c r="I29" i="40"/>
  <c r="W28" i="40"/>
  <c r="I28" i="40"/>
  <c r="W27" i="40"/>
  <c r="I27" i="40"/>
  <c r="W26" i="40"/>
  <c r="I26" i="40"/>
  <c r="W25" i="40"/>
  <c r="I25" i="40"/>
  <c r="W23" i="40"/>
  <c r="I23" i="40"/>
  <c r="W22" i="40"/>
  <c r="I22" i="40"/>
  <c r="W21" i="40"/>
  <c r="I21" i="40"/>
  <c r="W20" i="40"/>
  <c r="I20" i="40"/>
  <c r="W19" i="40"/>
  <c r="I19" i="40"/>
  <c r="W18" i="40"/>
  <c r="I18" i="40"/>
  <c r="W17" i="40"/>
  <c r="I17" i="40"/>
  <c r="W16" i="40"/>
  <c r="I16" i="40"/>
  <c r="W15" i="40"/>
  <c r="I15" i="40"/>
  <c r="W6" i="40"/>
  <c r="I6" i="40"/>
  <c r="W5" i="40"/>
  <c r="I5" i="40"/>
  <c r="W5" i="38" l="1"/>
  <c r="W62" i="37" l="1"/>
  <c r="I62" i="37"/>
  <c r="W61" i="37"/>
  <c r="I61" i="37"/>
  <c r="W60" i="37"/>
  <c r="I60" i="37"/>
  <c r="W59" i="37"/>
  <c r="I59" i="37"/>
  <c r="W58" i="37"/>
  <c r="I58" i="37"/>
  <c r="W57" i="37"/>
  <c r="I57" i="37"/>
  <c r="W56" i="37"/>
  <c r="I56" i="37"/>
  <c r="W55" i="37"/>
  <c r="I55" i="37"/>
  <c r="W54" i="37"/>
  <c r="I54" i="37"/>
  <c r="W53" i="37"/>
  <c r="I53" i="37"/>
  <c r="W52" i="37"/>
  <c r="I52" i="37"/>
  <c r="W51" i="37"/>
  <c r="I51" i="37"/>
  <c r="W50" i="37"/>
  <c r="I50" i="37"/>
  <c r="W49" i="37"/>
  <c r="I49" i="37"/>
  <c r="W48" i="37"/>
  <c r="I48" i="37"/>
  <c r="W47" i="37"/>
  <c r="I47" i="37"/>
  <c r="W46" i="37"/>
  <c r="I46" i="37"/>
  <c r="W45" i="37"/>
  <c r="I45" i="37"/>
  <c r="W44" i="37"/>
  <c r="I44" i="37"/>
  <c r="W43" i="37"/>
  <c r="I43" i="37"/>
  <c r="W42" i="37"/>
  <c r="I42" i="37"/>
  <c r="W41" i="37"/>
  <c r="I41" i="37"/>
  <c r="W40" i="37"/>
  <c r="I40" i="37"/>
  <c r="W39" i="37"/>
  <c r="I39" i="37"/>
  <c r="W38" i="37"/>
  <c r="I38" i="37"/>
  <c r="W36" i="37"/>
  <c r="I36" i="37"/>
  <c r="W35" i="37"/>
  <c r="I35" i="37"/>
  <c r="W34" i="37"/>
  <c r="I34" i="37"/>
  <c r="W33" i="37"/>
  <c r="I33" i="37"/>
  <c r="W32" i="37"/>
  <c r="I32" i="37"/>
  <c r="W31" i="37"/>
  <c r="I31" i="37"/>
  <c r="W30" i="37"/>
  <c r="I30" i="37"/>
  <c r="W29" i="37"/>
  <c r="I29" i="37"/>
  <c r="W28" i="37"/>
  <c r="I28" i="37"/>
  <c r="W27" i="37"/>
  <c r="I27" i="37"/>
  <c r="W26" i="37"/>
  <c r="I26" i="37"/>
  <c r="W25" i="37"/>
  <c r="I25" i="37"/>
  <c r="I24" i="37"/>
  <c r="W23" i="37"/>
  <c r="I23" i="37"/>
  <c r="I22" i="37"/>
  <c r="W21" i="37"/>
  <c r="I21" i="37"/>
  <c r="W20" i="37"/>
  <c r="I20" i="37"/>
  <c r="W19" i="37"/>
  <c r="I19" i="37"/>
  <c r="W18" i="37"/>
  <c r="I18" i="37"/>
  <c r="W17" i="37"/>
  <c r="I17" i="37"/>
  <c r="W16" i="37"/>
  <c r="I16" i="37"/>
  <c r="W15" i="37"/>
  <c r="I15" i="37"/>
  <c r="W14" i="37"/>
  <c r="I14" i="37"/>
  <c r="W13" i="37"/>
  <c r="I13" i="37"/>
  <c r="W12" i="37"/>
  <c r="I12" i="37"/>
  <c r="W11" i="37"/>
  <c r="I11" i="37"/>
  <c r="W10" i="37"/>
  <c r="I10" i="37"/>
  <c r="W9" i="37"/>
  <c r="I9" i="37"/>
  <c r="W8" i="37"/>
  <c r="I8" i="37"/>
  <c r="W7" i="37"/>
  <c r="I7" i="37"/>
  <c r="W6" i="37"/>
  <c r="I6" i="37"/>
  <c r="W5" i="37"/>
  <c r="I5" i="37"/>
  <c r="W80" i="36" l="1"/>
  <c r="W78" i="36"/>
  <c r="I78" i="36"/>
  <c r="W77" i="36"/>
  <c r="I77" i="36"/>
  <c r="W76" i="36"/>
  <c r="I76" i="36"/>
  <c r="W75" i="36"/>
  <c r="I75" i="36"/>
  <c r="W74" i="36"/>
  <c r="I74" i="36"/>
  <c r="W73" i="36"/>
  <c r="I73" i="36"/>
  <c r="W72" i="36"/>
  <c r="I72" i="36"/>
  <c r="W71" i="36"/>
  <c r="I71" i="36"/>
  <c r="W70" i="36"/>
  <c r="I70" i="36"/>
  <c r="W69" i="36"/>
  <c r="I69" i="36"/>
  <c r="W68" i="36"/>
  <c r="I68" i="36"/>
  <c r="W67" i="36"/>
  <c r="I67" i="36"/>
  <c r="I66" i="36"/>
  <c r="W65" i="36"/>
  <c r="I65" i="36"/>
  <c r="W64" i="36"/>
  <c r="I64" i="36"/>
  <c r="I63" i="36"/>
  <c r="I62" i="36"/>
  <c r="I61" i="36"/>
  <c r="W60" i="36"/>
  <c r="I60" i="36"/>
  <c r="W59" i="36"/>
  <c r="I59" i="36"/>
  <c r="W58" i="36"/>
  <c r="I58" i="36"/>
  <c r="W57" i="36"/>
  <c r="I57" i="36"/>
  <c r="I56" i="36"/>
  <c r="I55" i="36"/>
  <c r="I54" i="36"/>
  <c r="W53" i="36"/>
  <c r="I53" i="36"/>
  <c r="W52" i="36"/>
  <c r="I52" i="36"/>
  <c r="W51" i="36"/>
  <c r="I51" i="36"/>
  <c r="W50" i="36"/>
  <c r="I50" i="36"/>
  <c r="I49" i="36"/>
  <c r="I48" i="36"/>
  <c r="I47" i="36"/>
  <c r="I46" i="36"/>
  <c r="I45" i="36"/>
  <c r="I44" i="36"/>
  <c r="I43" i="36"/>
  <c r="W42" i="36"/>
  <c r="I42" i="36"/>
  <c r="W41" i="36"/>
  <c r="I41" i="36"/>
  <c r="W40" i="36"/>
  <c r="I40" i="36"/>
  <c r="W39" i="36"/>
  <c r="I39" i="36"/>
  <c r="W38" i="36"/>
  <c r="I38" i="36"/>
  <c r="W33" i="36"/>
  <c r="I33" i="36"/>
  <c r="I32" i="36"/>
  <c r="I31" i="36"/>
  <c r="W30" i="36"/>
  <c r="I30" i="36"/>
  <c r="I29" i="36"/>
  <c r="W28" i="36"/>
  <c r="I28" i="36"/>
  <c r="W27" i="36"/>
  <c r="I27" i="36"/>
  <c r="W26" i="36"/>
  <c r="I26" i="36"/>
  <c r="W25" i="36"/>
  <c r="I25" i="36"/>
  <c r="I24" i="36"/>
  <c r="I23" i="36"/>
  <c r="I22" i="36"/>
  <c r="W21" i="36"/>
  <c r="I21" i="36"/>
  <c r="I20" i="36"/>
  <c r="I19" i="36"/>
  <c r="W18" i="36"/>
  <c r="I18" i="36"/>
  <c r="W17" i="36"/>
  <c r="I17" i="36"/>
  <c r="I16" i="36"/>
  <c r="W15" i="36"/>
  <c r="I15" i="36"/>
  <c r="I14" i="36"/>
  <c r="W13" i="36"/>
  <c r="I13" i="36"/>
  <c r="W12" i="36"/>
  <c r="I12" i="36"/>
  <c r="W11" i="36"/>
  <c r="I11" i="36"/>
  <c r="W10" i="36"/>
  <c r="I10" i="36"/>
  <c r="W9" i="36"/>
  <c r="I9" i="36"/>
  <c r="W8" i="36"/>
  <c r="I8" i="36"/>
  <c r="W7" i="36"/>
  <c r="I7" i="36"/>
  <c r="W6" i="36"/>
  <c r="I6" i="36"/>
  <c r="W5" i="36"/>
  <c r="I5" i="36"/>
  <c r="W50" i="35" l="1"/>
  <c r="I50" i="35"/>
  <c r="W49" i="35"/>
  <c r="W48" i="35"/>
  <c r="W47" i="35"/>
  <c r="W42" i="35"/>
  <c r="I42" i="35"/>
  <c r="W41" i="35"/>
  <c r="I41" i="35"/>
  <c r="W40" i="35"/>
  <c r="I40" i="35"/>
  <c r="W39" i="35"/>
  <c r="I39" i="35"/>
  <c r="W38" i="35"/>
  <c r="I38" i="35"/>
  <c r="W36" i="35"/>
  <c r="W35" i="35"/>
  <c r="W34" i="35"/>
  <c r="W33" i="35"/>
  <c r="W32" i="35"/>
  <c r="W27" i="35"/>
  <c r="W26" i="35"/>
  <c r="W25" i="35"/>
  <c r="W24" i="35"/>
  <c r="W22" i="35"/>
  <c r="W21" i="35"/>
  <c r="W16" i="35"/>
  <c r="W15" i="35"/>
  <c r="W14" i="35"/>
  <c r="W13" i="35"/>
  <c r="W12" i="35"/>
  <c r="W11" i="35"/>
  <c r="W10" i="35"/>
  <c r="W9" i="35"/>
  <c r="W7" i="35"/>
  <c r="W6" i="33" l="1"/>
  <c r="W7" i="33"/>
  <c r="W8" i="33"/>
  <c r="W10" i="33"/>
  <c r="W12" i="33"/>
  <c r="W13" i="33"/>
  <c r="W14" i="33"/>
  <c r="W15" i="33"/>
  <c r="W16" i="33"/>
  <c r="W17" i="33"/>
  <c r="W18" i="33"/>
  <c r="W19" i="33"/>
  <c r="W20" i="33"/>
  <c r="W24" i="33"/>
  <c r="W25" i="33"/>
  <c r="W26" i="33"/>
  <c r="W27" i="33"/>
  <c r="W28" i="33"/>
  <c r="W29" i="33"/>
  <c r="W30" i="33"/>
  <c r="W31" i="33"/>
  <c r="W32" i="33"/>
  <c r="W35" i="33"/>
  <c r="W36" i="33"/>
  <c r="W37" i="33"/>
  <c r="W44" i="33"/>
  <c r="W45" i="33"/>
  <c r="W46" i="33"/>
  <c r="W47" i="33"/>
  <c r="W48" i="33"/>
  <c r="W49" i="33"/>
  <c r="W50" i="33"/>
  <c r="W51" i="33"/>
  <c r="W52" i="33"/>
  <c r="W53" i="33"/>
  <c r="W54" i="33"/>
  <c r="W55" i="33"/>
  <c r="W56" i="33"/>
  <c r="W57" i="33"/>
  <c r="W58" i="33"/>
  <c r="W59" i="33"/>
  <c r="W60" i="33"/>
  <c r="W61" i="33"/>
  <c r="W62" i="33"/>
  <c r="W63" i="33"/>
  <c r="W64" i="33"/>
  <c r="W69" i="33"/>
  <c r="W78" i="33"/>
  <c r="W79" i="33"/>
  <c r="W80" i="33"/>
  <c r="W81" i="33"/>
  <c r="W82" i="33"/>
  <c r="W85" i="33"/>
  <c r="W86" i="33"/>
  <c r="W99" i="33"/>
  <c r="W101" i="33"/>
  <c r="W116" i="33"/>
  <c r="W117" i="33"/>
  <c r="W118" i="33"/>
  <c r="W119" i="33"/>
  <c r="W120" i="33"/>
  <c r="W121" i="33"/>
  <c r="W122" i="33"/>
  <c r="W123" i="33"/>
  <c r="W124" i="33"/>
  <c r="W125" i="33"/>
  <c r="W126" i="33"/>
  <c r="W127" i="33"/>
  <c r="W128" i="33"/>
  <c r="W129" i="33"/>
  <c r="W130" i="33"/>
  <c r="W5" i="33"/>
  <c r="I115" i="33"/>
  <c r="I114" i="33"/>
  <c r="I113" i="33"/>
  <c r="I112" i="33"/>
  <c r="I111" i="33"/>
  <c r="I110" i="33"/>
  <c r="I109" i="33"/>
  <c r="I108" i="33"/>
  <c r="I107" i="33"/>
  <c r="I106" i="33"/>
  <c r="I105" i="33"/>
  <c r="I104" i="33"/>
  <c r="I103" i="33"/>
  <c r="I102" i="33"/>
  <c r="I98" i="33"/>
  <c r="I82" i="33"/>
  <c r="I81" i="33"/>
  <c r="I80" i="33"/>
  <c r="I79" i="33"/>
  <c r="I47" i="33"/>
  <c r="I42" i="33"/>
  <c r="I28" i="33"/>
  <c r="I27" i="33"/>
  <c r="I26" i="33"/>
  <c r="I24" i="33"/>
  <c r="I9" i="33"/>
  <c r="I8" i="33"/>
  <c r="I7" i="33"/>
  <c r="I5" i="33"/>
  <c r="W32" i="31" l="1"/>
  <c r="W28" i="31"/>
  <c r="W27" i="31"/>
  <c r="W25" i="31"/>
  <c r="W23" i="31"/>
  <c r="W22" i="31"/>
  <c r="W21" i="31"/>
  <c r="W19" i="31"/>
  <c r="W18" i="31"/>
  <c r="W17" i="31"/>
  <c r="W15" i="31"/>
  <c r="W13" i="31"/>
  <c r="W12" i="31"/>
  <c r="W11" i="31"/>
  <c r="W10" i="31"/>
  <c r="W9" i="31"/>
  <c r="W7" i="31"/>
  <c r="W6" i="31"/>
  <c r="W51" i="27" l="1"/>
  <c r="I51" i="27"/>
  <c r="W50" i="27"/>
  <c r="I50" i="27"/>
  <c r="W49" i="27"/>
  <c r="I49" i="27"/>
  <c r="W48" i="27"/>
  <c r="I48" i="27"/>
  <c r="W47" i="27"/>
  <c r="I47" i="27"/>
  <c r="W46" i="27"/>
  <c r="I46" i="27"/>
  <c r="W45" i="27"/>
  <c r="I45" i="27"/>
  <c r="W44" i="27"/>
  <c r="W43" i="27"/>
  <c r="W42" i="27"/>
  <c r="W41" i="27"/>
  <c r="W40" i="27"/>
  <c r="W39" i="27"/>
  <c r="W37" i="27"/>
  <c r="I37" i="27"/>
  <c r="I27" i="27"/>
  <c r="W26" i="27"/>
  <c r="I26" i="27"/>
  <c r="W25" i="27"/>
  <c r="I25" i="27"/>
  <c r="W24" i="27"/>
  <c r="I24" i="27"/>
  <c r="W23" i="27"/>
  <c r="I23" i="27"/>
  <c r="W22" i="27"/>
  <c r="I22" i="27"/>
  <c r="W21" i="27"/>
  <c r="W19" i="27"/>
  <c r="W14" i="27"/>
  <c r="I14" i="27"/>
  <c r="W12" i="27"/>
  <c r="W10" i="27"/>
  <c r="W9" i="27"/>
  <c r="W8" i="27"/>
  <c r="W7" i="27"/>
  <c r="W6" i="27"/>
  <c r="W80" i="25" l="1"/>
  <c r="W79" i="25"/>
  <c r="W78" i="25"/>
  <c r="I77" i="25"/>
  <c r="I73" i="25"/>
  <c r="I72" i="25"/>
  <c r="I71" i="25"/>
  <c r="W70" i="25"/>
  <c r="I70" i="25"/>
  <c r="W69" i="25"/>
  <c r="I69" i="25"/>
  <c r="W68" i="25"/>
  <c r="W67" i="25"/>
  <c r="I67" i="25"/>
  <c r="W66" i="25"/>
  <c r="I66" i="25"/>
  <c r="W65" i="25"/>
  <c r="W61" i="25"/>
  <c r="W58" i="25"/>
  <c r="W57" i="25"/>
  <c r="I57" i="25"/>
  <c r="W56" i="25"/>
  <c r="W55" i="25"/>
  <c r="W54" i="25"/>
  <c r="W52" i="25"/>
  <c r="W51" i="25"/>
  <c r="W50" i="25"/>
  <c r="W49" i="25"/>
  <c r="W48" i="25"/>
  <c r="W47" i="25"/>
  <c r="W46" i="25"/>
  <c r="W45" i="25"/>
  <c r="W44" i="25"/>
  <c r="W43" i="25"/>
  <c r="W42" i="25"/>
  <c r="W41" i="25"/>
  <c r="W40" i="25"/>
  <c r="W38" i="25"/>
  <c r="W37" i="25"/>
  <c r="I37" i="25"/>
  <c r="I36" i="25"/>
  <c r="W34" i="25"/>
  <c r="W33" i="25"/>
  <c r="W32" i="25"/>
  <c r="W30" i="25"/>
  <c r="W28" i="25"/>
  <c r="I28" i="25"/>
  <c r="W27" i="25"/>
  <c r="W26" i="25"/>
  <c r="I26" i="25"/>
  <c r="W25" i="25"/>
  <c r="W24" i="25"/>
  <c r="I24" i="25"/>
  <c r="W23" i="25"/>
  <c r="I23" i="25"/>
  <c r="W22" i="25"/>
  <c r="I22" i="25"/>
  <c r="W21" i="25"/>
  <c r="W20" i="25"/>
  <c r="W19" i="25"/>
  <c r="W17" i="25"/>
  <c r="W13" i="25"/>
  <c r="W10" i="25"/>
  <c r="I6" i="25"/>
  <c r="W97" i="24" l="1"/>
  <c r="I96" i="24"/>
  <c r="I94" i="24"/>
  <c r="I93" i="24"/>
  <c r="W92" i="24"/>
  <c r="I92" i="24"/>
  <c r="W91" i="24"/>
  <c r="W83" i="24"/>
  <c r="W82" i="24"/>
  <c r="W81" i="24"/>
  <c r="W79" i="24"/>
  <c r="W78" i="24"/>
  <c r="W77" i="24"/>
  <c r="I77" i="24"/>
  <c r="V69" i="24"/>
  <c r="W67" i="24"/>
  <c r="W66" i="24"/>
  <c r="I66" i="24"/>
  <c r="W65" i="24"/>
  <c r="W64" i="24"/>
  <c r="I64" i="24"/>
  <c r="W63" i="24"/>
  <c r="W59" i="24"/>
  <c r="W53" i="24"/>
  <c r="W50" i="24"/>
  <c r="W49" i="24"/>
  <c r="W48" i="24"/>
  <c r="W47" i="24"/>
  <c r="W46" i="24"/>
  <c r="W45" i="24"/>
  <c r="W43" i="24"/>
  <c r="W42" i="24"/>
  <c r="W41" i="24"/>
  <c r="W37" i="24"/>
  <c r="W36" i="24"/>
  <c r="W32" i="24"/>
  <c r="I32" i="24"/>
  <c r="W31" i="24"/>
  <c r="W30" i="24"/>
  <c r="W29" i="24"/>
  <c r="I29" i="24"/>
  <c r="W28" i="24"/>
  <c r="I28" i="24"/>
  <c r="W26" i="24"/>
  <c r="W25" i="24"/>
  <c r="W23" i="24"/>
  <c r="I23" i="24"/>
  <c r="W22" i="24"/>
  <c r="I20" i="24"/>
  <c r="W19" i="24"/>
  <c r="W15" i="24"/>
  <c r="W14" i="24"/>
  <c r="W13" i="24"/>
  <c r="W12" i="24"/>
  <c r="W11" i="24"/>
  <c r="W10" i="24"/>
  <c r="W9" i="24"/>
  <c r="W8" i="24"/>
  <c r="W7" i="24"/>
  <c r="W6" i="24"/>
  <c r="I6" i="24"/>
  <c r="W5" i="24"/>
  <c r="I5" i="24"/>
  <c r="I5" i="23" l="1"/>
  <c r="W24" i="22" l="1"/>
  <c r="W23" i="22"/>
  <c r="W19" i="22"/>
  <c r="W17" i="22"/>
  <c r="W15" i="22"/>
  <c r="W12" i="22"/>
  <c r="I9" i="22"/>
  <c r="W8" i="22"/>
  <c r="I7" i="22"/>
  <c r="W6" i="22"/>
  <c r="W5" i="22"/>
  <c r="W13" i="20" l="1"/>
  <c r="W12" i="20"/>
  <c r="W11" i="20"/>
  <c r="W10" i="20"/>
  <c r="W9" i="20"/>
  <c r="W8" i="20"/>
  <c r="W7" i="20"/>
  <c r="W6" i="20"/>
  <c r="I6" i="20"/>
  <c r="W5" i="20"/>
  <c r="W28" i="19" l="1"/>
  <c r="W27" i="19"/>
  <c r="W25" i="19"/>
  <c r="I25" i="19"/>
  <c r="W24" i="19"/>
  <c r="X23" i="19"/>
  <c r="W23" i="19"/>
  <c r="I23" i="19"/>
  <c r="X22" i="19"/>
  <c r="W22" i="19" s="1"/>
  <c r="I22" i="19"/>
  <c r="X21" i="19"/>
  <c r="W21" i="19" s="1"/>
  <c r="I21" i="19"/>
  <c r="Y20" i="19"/>
  <c r="X20" i="19" s="1"/>
  <c r="W20" i="19" s="1"/>
  <c r="I20" i="19"/>
  <c r="W19" i="19"/>
  <c r="W18" i="19"/>
  <c r="W12" i="19"/>
  <c r="W11" i="19"/>
  <c r="I11" i="19"/>
  <c r="W10" i="19"/>
  <c r="W9" i="19"/>
  <c r="I9" i="19"/>
  <c r="W8" i="19"/>
  <c r="W41" i="18" l="1"/>
  <c r="I41" i="18"/>
  <c r="W40" i="18"/>
  <c r="I40" i="18"/>
  <c r="W39" i="18"/>
  <c r="I39" i="18"/>
  <c r="W38" i="18"/>
  <c r="I38" i="18"/>
  <c r="W37" i="18"/>
  <c r="I37" i="18"/>
  <c r="I36" i="18"/>
  <c r="I35" i="18"/>
  <c r="I34" i="18"/>
  <c r="W33" i="18"/>
  <c r="I33" i="18"/>
  <c r="I32" i="18"/>
  <c r="W31" i="18"/>
  <c r="I31" i="18"/>
  <c r="W30" i="18"/>
  <c r="I30" i="18"/>
  <c r="I29" i="18"/>
  <c r="W28" i="18"/>
  <c r="I28" i="18"/>
  <c r="W27" i="18"/>
  <c r="I27" i="18"/>
  <c r="I26" i="18"/>
  <c r="W25" i="18"/>
  <c r="I25" i="18"/>
  <c r="W24" i="18"/>
  <c r="I24" i="18"/>
  <c r="I23" i="18"/>
  <c r="W22" i="18"/>
  <c r="I22" i="18"/>
  <c r="W21" i="18"/>
  <c r="I21" i="18"/>
  <c r="W20" i="18"/>
  <c r="I20" i="18"/>
  <c r="W19" i="18"/>
  <c r="I19" i="18"/>
  <c r="I18" i="18"/>
  <c r="W17" i="18"/>
  <c r="I17" i="18"/>
  <c r="W16" i="18"/>
  <c r="I16" i="18"/>
  <c r="W15" i="18"/>
  <c r="I15" i="18"/>
  <c r="W14" i="18"/>
  <c r="I14" i="18"/>
  <c r="W13" i="18"/>
  <c r="I13" i="18"/>
  <c r="W12" i="18"/>
  <c r="I12" i="18"/>
  <c r="W11" i="18"/>
  <c r="I11" i="18"/>
  <c r="W10" i="18"/>
  <c r="I10" i="18"/>
  <c r="W9" i="18"/>
  <c r="I9" i="18"/>
  <c r="W8" i="18"/>
  <c r="I8" i="18"/>
  <c r="W7" i="18"/>
  <c r="I7" i="18"/>
  <c r="W6" i="18"/>
  <c r="I6" i="18"/>
  <c r="W5" i="18"/>
  <c r="I5" i="18"/>
  <c r="B4" i="17" l="1"/>
</calcChain>
</file>

<file path=xl/comments1.xml><?xml version="1.0" encoding="utf-8"?>
<comments xmlns="http://schemas.openxmlformats.org/spreadsheetml/2006/main">
  <authors>
    <author>A55PS</author>
  </authors>
  <commentList>
    <comment ref="K12" authorId="0">
      <text>
        <r>
          <rPr>
            <b/>
            <sz val="9"/>
            <color indexed="81"/>
            <rFont val="돋움"/>
            <family val="3"/>
            <charset val="129"/>
          </rPr>
          <t>문화예술과</t>
        </r>
        <r>
          <rPr>
            <b/>
            <sz val="9"/>
            <color indexed="81"/>
            <rFont val="Tahoma"/>
            <family val="2"/>
          </rPr>
          <t xml:space="preserve"> 
</t>
        </r>
        <r>
          <rPr>
            <b/>
            <sz val="9"/>
            <color indexed="81"/>
            <rFont val="돋움"/>
            <family val="3"/>
            <charset val="129"/>
          </rPr>
          <t>문화예술</t>
        </r>
        <r>
          <rPr>
            <b/>
            <sz val="9"/>
            <color indexed="81"/>
            <rFont val="Tahoma"/>
            <family val="2"/>
          </rPr>
          <t xml:space="preserve"> </t>
        </r>
        <r>
          <rPr>
            <b/>
            <sz val="9"/>
            <color indexed="81"/>
            <rFont val="돋움"/>
            <family val="3"/>
            <charset val="129"/>
          </rPr>
          <t>창작활동</t>
        </r>
        <r>
          <rPr>
            <b/>
            <sz val="9"/>
            <color indexed="81"/>
            <rFont val="Tahoma"/>
            <family val="2"/>
          </rPr>
          <t xml:space="preserve"> </t>
        </r>
        <r>
          <rPr>
            <b/>
            <sz val="9"/>
            <color indexed="81"/>
            <rFont val="돋움"/>
            <family val="3"/>
            <charset val="129"/>
          </rPr>
          <t>지원사업</t>
        </r>
        <r>
          <rPr>
            <sz val="9"/>
            <color indexed="81"/>
            <rFont val="Tahoma"/>
            <family val="2"/>
          </rPr>
          <t xml:space="preserve">
</t>
        </r>
      </text>
    </comment>
    <comment ref="K16" authorId="0">
      <text>
        <r>
          <rPr>
            <b/>
            <sz val="9"/>
            <color indexed="81"/>
            <rFont val="돋움"/>
            <family val="3"/>
            <charset val="129"/>
          </rPr>
          <t>문화예술과
창작활동지원사업</t>
        </r>
      </text>
    </comment>
    <comment ref="K28" authorId="0">
      <text>
        <r>
          <rPr>
            <b/>
            <sz val="9"/>
            <color indexed="81"/>
            <rFont val="돋움"/>
            <family val="3"/>
            <charset val="129"/>
          </rPr>
          <t>문화관광축제</t>
        </r>
        <r>
          <rPr>
            <b/>
            <sz val="9"/>
            <color indexed="81"/>
            <rFont val="Tahoma"/>
            <family val="2"/>
          </rPr>
          <t xml:space="preserve"> </t>
        </r>
        <r>
          <rPr>
            <b/>
            <sz val="9"/>
            <color indexed="81"/>
            <rFont val="돋움"/>
            <family val="3"/>
            <charset val="129"/>
          </rPr>
          <t>육성축제</t>
        </r>
        <r>
          <rPr>
            <b/>
            <sz val="9"/>
            <color indexed="81"/>
            <rFont val="Tahoma"/>
            <family val="2"/>
          </rPr>
          <t xml:space="preserve">,
</t>
        </r>
        <r>
          <rPr>
            <b/>
            <sz val="9"/>
            <color indexed="81"/>
            <rFont val="돋움"/>
            <family val="3"/>
            <charset val="129"/>
          </rPr>
          <t>강원도</t>
        </r>
        <r>
          <rPr>
            <b/>
            <sz val="9"/>
            <color indexed="81"/>
            <rFont val="Tahoma"/>
            <family val="2"/>
          </rPr>
          <t xml:space="preserve"> </t>
        </r>
        <r>
          <rPr>
            <b/>
            <sz val="9"/>
            <color indexed="81"/>
            <rFont val="돋움"/>
            <family val="3"/>
            <charset val="129"/>
          </rPr>
          <t>대표축제</t>
        </r>
        <r>
          <rPr>
            <sz val="9"/>
            <color indexed="81"/>
            <rFont val="Tahoma"/>
            <family val="2"/>
          </rPr>
          <t xml:space="preserve">
</t>
        </r>
      </text>
    </comment>
    <comment ref="H31" authorId="0">
      <text>
        <r>
          <rPr>
            <b/>
            <sz val="9"/>
            <color indexed="81"/>
            <rFont val="Tahoma"/>
            <family val="2"/>
          </rPr>
          <t>2017</t>
        </r>
        <r>
          <rPr>
            <b/>
            <sz val="9"/>
            <color indexed="81"/>
            <rFont val="돋움"/>
            <family val="3"/>
            <charset val="129"/>
          </rPr>
          <t>년도</t>
        </r>
        <r>
          <rPr>
            <b/>
            <sz val="9"/>
            <color indexed="81"/>
            <rFont val="Tahoma"/>
            <family val="2"/>
          </rPr>
          <t xml:space="preserve"> </t>
        </r>
        <r>
          <rPr>
            <b/>
            <sz val="9"/>
            <color indexed="81"/>
            <rFont val="돋움"/>
            <family val="3"/>
            <charset val="129"/>
          </rPr>
          <t>미개최</t>
        </r>
      </text>
    </comment>
    <comment ref="K34" authorId="0">
      <text>
        <r>
          <rPr>
            <b/>
            <sz val="9"/>
            <color indexed="81"/>
            <rFont val="돋움"/>
            <family val="3"/>
            <charset val="129"/>
          </rPr>
          <t>교부금</t>
        </r>
      </text>
    </comment>
    <comment ref="D36" authorId="0">
      <text>
        <r>
          <rPr>
            <b/>
            <sz val="9"/>
            <color indexed="81"/>
            <rFont val="Tahoma"/>
            <family val="2"/>
          </rPr>
          <t xml:space="preserve">2017 </t>
        </r>
        <r>
          <rPr>
            <b/>
            <sz val="9"/>
            <color indexed="81"/>
            <rFont val="돋움"/>
            <family val="3"/>
            <charset val="129"/>
          </rPr>
          <t>축제</t>
        </r>
        <r>
          <rPr>
            <b/>
            <sz val="9"/>
            <color indexed="81"/>
            <rFont val="Tahoma"/>
            <family val="2"/>
          </rPr>
          <t xml:space="preserve"> </t>
        </r>
        <r>
          <rPr>
            <b/>
            <sz val="9"/>
            <color indexed="81"/>
            <rFont val="돋움"/>
            <family val="3"/>
            <charset val="129"/>
          </rPr>
          <t>개최계획</t>
        </r>
        <r>
          <rPr>
            <b/>
            <sz val="9"/>
            <color indexed="81"/>
            <rFont val="Tahoma"/>
            <family val="2"/>
          </rPr>
          <t xml:space="preserve"> </t>
        </r>
        <r>
          <rPr>
            <b/>
            <sz val="9"/>
            <color indexed="81"/>
            <rFont val="돋움"/>
            <family val="3"/>
            <charset val="129"/>
          </rPr>
          <t>제출자료</t>
        </r>
        <r>
          <rPr>
            <b/>
            <sz val="9"/>
            <color indexed="81"/>
            <rFont val="Tahoma"/>
            <family val="2"/>
          </rPr>
          <t>('17.1</t>
        </r>
        <r>
          <rPr>
            <b/>
            <sz val="9"/>
            <color indexed="81"/>
            <rFont val="돋움"/>
            <family val="3"/>
            <charset val="129"/>
          </rPr>
          <t>월</t>
        </r>
        <r>
          <rPr>
            <b/>
            <sz val="9"/>
            <color indexed="81"/>
            <rFont val="Tahoma"/>
            <family val="2"/>
          </rPr>
          <t>)</t>
        </r>
        <r>
          <rPr>
            <b/>
            <sz val="9"/>
            <color indexed="81"/>
            <rFont val="돋움"/>
            <family val="3"/>
            <charset val="129"/>
          </rPr>
          <t>에</t>
        </r>
        <r>
          <rPr>
            <b/>
            <sz val="9"/>
            <color indexed="81"/>
            <rFont val="Tahoma"/>
            <family val="2"/>
          </rPr>
          <t xml:space="preserve"> </t>
        </r>
        <r>
          <rPr>
            <b/>
            <sz val="9"/>
            <color indexed="81"/>
            <rFont val="돋움"/>
            <family val="3"/>
            <charset val="129"/>
          </rPr>
          <t>포함되어</t>
        </r>
        <r>
          <rPr>
            <b/>
            <sz val="9"/>
            <color indexed="81"/>
            <rFont val="Tahoma"/>
            <family val="2"/>
          </rPr>
          <t xml:space="preserve"> </t>
        </r>
        <r>
          <rPr>
            <b/>
            <sz val="9"/>
            <color indexed="81"/>
            <rFont val="돋움"/>
            <family val="3"/>
            <charset val="129"/>
          </rPr>
          <t>있으나</t>
        </r>
        <r>
          <rPr>
            <b/>
            <sz val="9"/>
            <color indexed="81"/>
            <rFont val="Tahoma"/>
            <family val="2"/>
          </rPr>
          <t xml:space="preserve">, </t>
        </r>
        <r>
          <rPr>
            <b/>
            <sz val="9"/>
            <color indexed="81"/>
            <rFont val="돋움"/>
            <family val="3"/>
            <charset val="129"/>
          </rPr>
          <t>미</t>
        </r>
        <r>
          <rPr>
            <b/>
            <sz val="9"/>
            <color indexed="81"/>
            <rFont val="Tahoma"/>
            <family val="2"/>
          </rPr>
          <t xml:space="preserve"> </t>
        </r>
        <r>
          <rPr>
            <b/>
            <sz val="9"/>
            <color indexed="81"/>
            <rFont val="돋움"/>
            <family val="3"/>
            <charset val="129"/>
          </rPr>
          <t>개최됨</t>
        </r>
        <r>
          <rPr>
            <b/>
            <sz val="9"/>
            <color indexed="81"/>
            <rFont val="Tahoma"/>
            <family val="2"/>
          </rPr>
          <t>.</t>
        </r>
      </text>
    </comment>
    <comment ref="H36" authorId="0">
      <text>
        <r>
          <rPr>
            <sz val="9"/>
            <color indexed="81"/>
            <rFont val="Tahoma"/>
            <family val="2"/>
          </rPr>
          <t xml:space="preserve">2017 </t>
        </r>
        <r>
          <rPr>
            <sz val="9"/>
            <color indexed="81"/>
            <rFont val="돋움"/>
            <family val="3"/>
            <charset val="129"/>
          </rPr>
          <t>축제</t>
        </r>
        <r>
          <rPr>
            <sz val="9"/>
            <color indexed="81"/>
            <rFont val="Tahoma"/>
            <family val="2"/>
          </rPr>
          <t xml:space="preserve"> </t>
        </r>
        <r>
          <rPr>
            <sz val="9"/>
            <color indexed="81"/>
            <rFont val="돋움"/>
            <family val="3"/>
            <charset val="129"/>
          </rPr>
          <t>개최계획</t>
        </r>
        <r>
          <rPr>
            <sz val="9"/>
            <color indexed="81"/>
            <rFont val="Tahoma"/>
            <family val="2"/>
          </rPr>
          <t xml:space="preserve"> </t>
        </r>
        <r>
          <rPr>
            <sz val="9"/>
            <color indexed="81"/>
            <rFont val="돋움"/>
            <family val="3"/>
            <charset val="129"/>
          </rPr>
          <t>제출자료</t>
        </r>
        <r>
          <rPr>
            <sz val="9"/>
            <color indexed="81"/>
            <rFont val="Tahoma"/>
            <family val="2"/>
          </rPr>
          <t>('17.1</t>
        </r>
        <r>
          <rPr>
            <sz val="9"/>
            <color indexed="81"/>
            <rFont val="돋움"/>
            <family val="3"/>
            <charset val="129"/>
          </rPr>
          <t>월</t>
        </r>
        <r>
          <rPr>
            <sz val="9"/>
            <color indexed="81"/>
            <rFont val="Tahoma"/>
            <family val="2"/>
          </rPr>
          <t>)</t>
        </r>
        <r>
          <rPr>
            <sz val="9"/>
            <color indexed="81"/>
            <rFont val="돋움"/>
            <family val="3"/>
            <charset val="129"/>
          </rPr>
          <t>에</t>
        </r>
        <r>
          <rPr>
            <sz val="9"/>
            <color indexed="81"/>
            <rFont val="Tahoma"/>
            <family val="2"/>
          </rPr>
          <t xml:space="preserve"> </t>
        </r>
        <r>
          <rPr>
            <sz val="9"/>
            <color indexed="81"/>
            <rFont val="돋움"/>
            <family val="3"/>
            <charset val="129"/>
          </rPr>
          <t>포함되어</t>
        </r>
        <r>
          <rPr>
            <sz val="9"/>
            <color indexed="81"/>
            <rFont val="Tahoma"/>
            <family val="2"/>
          </rPr>
          <t xml:space="preserve"> </t>
        </r>
        <r>
          <rPr>
            <sz val="9"/>
            <color indexed="81"/>
            <rFont val="돋움"/>
            <family val="3"/>
            <charset val="129"/>
          </rPr>
          <t>있으나</t>
        </r>
        <r>
          <rPr>
            <sz val="9"/>
            <color indexed="81"/>
            <rFont val="Tahoma"/>
            <family val="2"/>
          </rPr>
          <t xml:space="preserve">, </t>
        </r>
        <r>
          <rPr>
            <sz val="9"/>
            <color indexed="81"/>
            <rFont val="돋움"/>
            <family val="3"/>
            <charset val="129"/>
          </rPr>
          <t>미</t>
        </r>
        <r>
          <rPr>
            <sz val="9"/>
            <color indexed="81"/>
            <rFont val="Tahoma"/>
            <family val="2"/>
          </rPr>
          <t xml:space="preserve"> </t>
        </r>
        <r>
          <rPr>
            <sz val="9"/>
            <color indexed="81"/>
            <rFont val="돋움"/>
            <family val="3"/>
            <charset val="129"/>
          </rPr>
          <t>개최됨</t>
        </r>
        <r>
          <rPr>
            <sz val="9"/>
            <color indexed="81"/>
            <rFont val="Tahoma"/>
            <family val="2"/>
          </rPr>
          <t xml:space="preserve">.
</t>
        </r>
      </text>
    </comment>
    <comment ref="K43" authorId="0">
      <text>
        <r>
          <rPr>
            <sz val="9"/>
            <color indexed="81"/>
            <rFont val="돋움"/>
            <family val="3"/>
            <charset val="129"/>
          </rPr>
          <t>환동해본부</t>
        </r>
        <r>
          <rPr>
            <sz val="9"/>
            <color indexed="81"/>
            <rFont val="Tahoma"/>
            <family val="2"/>
          </rPr>
          <t xml:space="preserve"> </t>
        </r>
        <r>
          <rPr>
            <sz val="9"/>
            <color indexed="81"/>
            <rFont val="돋움"/>
            <family val="3"/>
            <charset val="129"/>
          </rPr>
          <t>해양항만과
해양항만분야</t>
        </r>
        <r>
          <rPr>
            <sz val="9"/>
            <color indexed="81"/>
            <rFont val="Tahoma"/>
            <family val="2"/>
          </rPr>
          <t xml:space="preserve"> </t>
        </r>
        <r>
          <rPr>
            <sz val="9"/>
            <color indexed="81"/>
            <rFont val="돋움"/>
            <family val="3"/>
            <charset val="129"/>
          </rPr>
          <t>국도비</t>
        </r>
        <r>
          <rPr>
            <sz val="9"/>
            <color indexed="81"/>
            <rFont val="Tahoma"/>
            <family val="2"/>
          </rPr>
          <t xml:space="preserve"> </t>
        </r>
        <r>
          <rPr>
            <sz val="9"/>
            <color indexed="81"/>
            <rFont val="돋움"/>
            <family val="3"/>
            <charset val="129"/>
          </rPr>
          <t>지원사업</t>
        </r>
        <r>
          <rPr>
            <sz val="9"/>
            <color indexed="81"/>
            <rFont val="Tahoma"/>
            <family val="2"/>
          </rPr>
          <t xml:space="preserve">
</t>
        </r>
      </text>
    </comment>
    <comment ref="K49" authorId="0">
      <text>
        <r>
          <rPr>
            <b/>
            <sz val="9"/>
            <color indexed="81"/>
            <rFont val="돋움"/>
            <family val="3"/>
            <charset val="129"/>
          </rPr>
          <t>문화관광축제</t>
        </r>
        <r>
          <rPr>
            <b/>
            <sz val="9"/>
            <color indexed="81"/>
            <rFont val="Tahoma"/>
            <family val="2"/>
          </rPr>
          <t xml:space="preserve"> </t>
        </r>
        <r>
          <rPr>
            <b/>
            <sz val="9"/>
            <color indexed="81"/>
            <rFont val="돋움"/>
            <family val="3"/>
            <charset val="129"/>
          </rPr>
          <t>육성축제</t>
        </r>
        <r>
          <rPr>
            <b/>
            <sz val="9"/>
            <color indexed="81"/>
            <rFont val="Tahoma"/>
            <family val="2"/>
          </rPr>
          <t>,</t>
        </r>
        <r>
          <rPr>
            <sz val="9"/>
            <color indexed="81"/>
            <rFont val="Tahoma"/>
            <family val="2"/>
          </rPr>
          <t xml:space="preserve">
</t>
        </r>
        <r>
          <rPr>
            <sz val="9"/>
            <color indexed="81"/>
            <rFont val="돋움"/>
            <family val="3"/>
            <charset val="129"/>
          </rPr>
          <t>강원도</t>
        </r>
        <r>
          <rPr>
            <sz val="9"/>
            <color indexed="81"/>
            <rFont val="Tahoma"/>
            <family val="2"/>
          </rPr>
          <t xml:space="preserve"> </t>
        </r>
        <r>
          <rPr>
            <sz val="9"/>
            <color indexed="81"/>
            <rFont val="돋움"/>
            <family val="3"/>
            <charset val="129"/>
          </rPr>
          <t>대표축제</t>
        </r>
      </text>
    </comment>
    <comment ref="K57" authorId="0">
      <text>
        <r>
          <rPr>
            <b/>
            <sz val="9"/>
            <color indexed="81"/>
            <rFont val="돋움"/>
            <family val="3"/>
            <charset val="129"/>
          </rPr>
          <t>문화관광축제</t>
        </r>
        <r>
          <rPr>
            <b/>
            <sz val="9"/>
            <color indexed="81"/>
            <rFont val="Tahoma"/>
            <family val="2"/>
          </rPr>
          <t xml:space="preserve"> </t>
        </r>
        <r>
          <rPr>
            <b/>
            <sz val="9"/>
            <color indexed="81"/>
            <rFont val="돋움"/>
            <family val="3"/>
            <charset val="129"/>
          </rPr>
          <t>육성축제</t>
        </r>
        <r>
          <rPr>
            <b/>
            <sz val="9"/>
            <color indexed="81"/>
            <rFont val="Tahoma"/>
            <family val="2"/>
          </rPr>
          <t xml:space="preserve">,
</t>
        </r>
        <r>
          <rPr>
            <b/>
            <sz val="9"/>
            <color indexed="81"/>
            <rFont val="돋움"/>
            <family val="3"/>
            <charset val="129"/>
          </rPr>
          <t>강원도</t>
        </r>
        <r>
          <rPr>
            <b/>
            <sz val="9"/>
            <color indexed="81"/>
            <rFont val="Tahoma"/>
            <family val="2"/>
          </rPr>
          <t xml:space="preserve"> </t>
        </r>
        <r>
          <rPr>
            <b/>
            <sz val="9"/>
            <color indexed="81"/>
            <rFont val="돋움"/>
            <family val="3"/>
            <charset val="129"/>
          </rPr>
          <t>대표축제</t>
        </r>
      </text>
    </comment>
    <comment ref="K74" authorId="0">
      <text>
        <r>
          <rPr>
            <b/>
            <sz val="9"/>
            <color indexed="81"/>
            <rFont val="돋움"/>
            <family val="3"/>
            <charset val="129"/>
          </rPr>
          <t>강원도</t>
        </r>
        <r>
          <rPr>
            <b/>
            <sz val="9"/>
            <color indexed="81"/>
            <rFont val="Tahoma"/>
            <family val="2"/>
          </rPr>
          <t xml:space="preserve"> </t>
        </r>
        <r>
          <rPr>
            <b/>
            <sz val="9"/>
            <color indexed="81"/>
            <rFont val="돋움"/>
            <family val="3"/>
            <charset val="129"/>
          </rPr>
          <t>우수축제</t>
        </r>
        <r>
          <rPr>
            <sz val="9"/>
            <color indexed="81"/>
            <rFont val="Tahoma"/>
            <family val="2"/>
          </rPr>
          <t xml:space="preserve">
</t>
        </r>
      </text>
    </comment>
    <comment ref="K77" authorId="0">
      <text>
        <r>
          <rPr>
            <b/>
            <sz val="9"/>
            <color indexed="81"/>
            <rFont val="돋움"/>
            <family val="3"/>
            <charset val="129"/>
          </rPr>
          <t>강원도</t>
        </r>
        <r>
          <rPr>
            <b/>
            <sz val="9"/>
            <color indexed="81"/>
            <rFont val="Tahoma"/>
            <family val="2"/>
          </rPr>
          <t xml:space="preserve"> </t>
        </r>
        <r>
          <rPr>
            <b/>
            <sz val="9"/>
            <color indexed="81"/>
            <rFont val="돋움"/>
            <family val="3"/>
            <charset val="129"/>
          </rPr>
          <t>우수축제</t>
        </r>
        <r>
          <rPr>
            <sz val="9"/>
            <color indexed="81"/>
            <rFont val="Tahoma"/>
            <family val="2"/>
          </rPr>
          <t xml:space="preserve">
</t>
        </r>
      </text>
    </comment>
    <comment ref="K79" authorId="0">
      <text>
        <r>
          <rPr>
            <b/>
            <sz val="9"/>
            <color indexed="81"/>
            <rFont val="돋움"/>
            <family val="3"/>
            <charset val="129"/>
          </rPr>
          <t>강원도</t>
        </r>
        <r>
          <rPr>
            <b/>
            <sz val="9"/>
            <color indexed="81"/>
            <rFont val="Tahoma"/>
            <family val="2"/>
          </rPr>
          <t xml:space="preserve"> </t>
        </r>
        <r>
          <rPr>
            <b/>
            <sz val="9"/>
            <color indexed="81"/>
            <rFont val="돋움"/>
            <family val="3"/>
            <charset val="129"/>
          </rPr>
          <t>우수축제</t>
        </r>
        <r>
          <rPr>
            <sz val="9"/>
            <color indexed="81"/>
            <rFont val="Tahoma"/>
            <family val="2"/>
          </rPr>
          <t xml:space="preserve">
</t>
        </r>
      </text>
    </comment>
  </commentList>
</comments>
</file>

<file path=xl/sharedStrings.xml><?xml version="1.0" encoding="utf-8"?>
<sst xmlns="http://schemas.openxmlformats.org/spreadsheetml/2006/main" count="13652" uniqueCount="7103">
  <si>
    <t>연번</t>
    <phoneticPr fontId="5" type="noConversion"/>
  </si>
  <si>
    <t>축제명</t>
    <phoneticPr fontId="5" type="noConversion"/>
  </si>
  <si>
    <t>시도명</t>
    <phoneticPr fontId="5" type="noConversion"/>
  </si>
  <si>
    <t>국비</t>
    <phoneticPr fontId="5" type="noConversion"/>
  </si>
  <si>
    <t>시,도비</t>
    <phoneticPr fontId="5" type="noConversion"/>
  </si>
  <si>
    <t>전통역사</t>
    <phoneticPr fontId="5" type="noConversion"/>
  </si>
  <si>
    <t>(단위 : 개)</t>
    <phoneticPr fontId="5" type="noConversion"/>
  </si>
  <si>
    <t>합계</t>
    <phoneticPr fontId="5" type="noConversion"/>
  </si>
  <si>
    <t>서울</t>
    <phoneticPr fontId="5" type="noConversion"/>
  </si>
  <si>
    <t>부산</t>
    <phoneticPr fontId="5" type="noConversion"/>
  </si>
  <si>
    <t>대구</t>
    <phoneticPr fontId="5" type="noConversion"/>
  </si>
  <si>
    <t>인천</t>
    <phoneticPr fontId="5" type="noConversion"/>
  </si>
  <si>
    <t>광주</t>
    <phoneticPr fontId="5" type="noConversion"/>
  </si>
  <si>
    <t>대전</t>
    <phoneticPr fontId="5" type="noConversion"/>
  </si>
  <si>
    <t>울산</t>
    <phoneticPr fontId="5" type="noConversion"/>
  </si>
  <si>
    <t>세종</t>
    <phoneticPr fontId="5" type="noConversion"/>
  </si>
  <si>
    <t>경기</t>
    <phoneticPr fontId="5" type="noConversion"/>
  </si>
  <si>
    <t>강원</t>
    <phoneticPr fontId="5" type="noConversion"/>
  </si>
  <si>
    <t>충북</t>
    <phoneticPr fontId="5" type="noConversion"/>
  </si>
  <si>
    <t>충남</t>
    <phoneticPr fontId="5" type="noConversion"/>
  </si>
  <si>
    <t>전북</t>
    <phoneticPr fontId="5" type="noConversion"/>
  </si>
  <si>
    <t>전남</t>
    <phoneticPr fontId="5" type="noConversion"/>
  </si>
  <si>
    <t>경북</t>
    <phoneticPr fontId="5" type="noConversion"/>
  </si>
  <si>
    <t>경남</t>
    <phoneticPr fontId="5" type="noConversion"/>
  </si>
  <si>
    <t>제주</t>
    <phoneticPr fontId="5" type="noConversion"/>
  </si>
  <si>
    <r>
      <rPr>
        <b/>
        <sz val="14"/>
        <color rgb="FF002060"/>
        <rFont val="굴림"/>
        <family val="3"/>
        <charset val="129"/>
      </rPr>
      <t>※ 작성제외대상</t>
    </r>
    <r>
      <rPr>
        <b/>
        <sz val="13"/>
        <rFont val="굴림"/>
        <family val="3"/>
        <charset val="129"/>
      </rPr>
      <t xml:space="preserve">
</t>
    </r>
    <r>
      <rPr>
        <sz val="11"/>
        <rFont val="굴림"/>
        <family val="3"/>
        <charset val="129"/>
      </rPr>
      <t xml:space="preserve">
 ㅇ </t>
    </r>
    <r>
      <rPr>
        <b/>
        <sz val="11"/>
        <rFont val="굴림"/>
        <family val="3"/>
        <charset val="129"/>
      </rPr>
      <t xml:space="preserve">특정계층만 참여하는 행사 </t>
    </r>
    <r>
      <rPr>
        <sz val="11"/>
        <rFont val="굴림"/>
        <family val="3"/>
        <charset val="129"/>
      </rPr>
      <t xml:space="preserve">(경연대회, 가요제, 
     미술제, 연극제, 기념식, 시상식 등)
 ㅇ </t>
    </r>
    <r>
      <rPr>
        <b/>
        <sz val="11"/>
        <rFont val="굴림"/>
        <family val="3"/>
        <charset val="129"/>
      </rPr>
      <t xml:space="preserve">단순 주민위안 행사 </t>
    </r>
    <r>
      <rPr>
        <sz val="11"/>
        <rFont val="굴림"/>
        <family val="3"/>
        <charset val="129"/>
      </rPr>
      <t xml:space="preserve">(경로잔치 등)
 ㅇ </t>
    </r>
    <r>
      <rPr>
        <b/>
        <sz val="11"/>
        <rFont val="굴림"/>
        <family val="3"/>
        <charset val="129"/>
      </rPr>
      <t xml:space="preserve">순수 예술행사 </t>
    </r>
    <r>
      <rPr>
        <sz val="11"/>
        <rFont val="굴림"/>
        <family val="3"/>
        <charset val="129"/>
      </rPr>
      <t xml:space="preserve">(음악회, 전시회 등)
 ㅇ 기타 종합적인 </t>
    </r>
    <r>
      <rPr>
        <b/>
        <sz val="11"/>
        <rFont val="굴림"/>
        <family val="3"/>
        <charset val="129"/>
      </rPr>
      <t>축제로서의 성격이 약한 행사</t>
    </r>
    <r>
      <rPr>
        <sz val="11"/>
        <rFont val="굴림"/>
        <family val="3"/>
        <charset val="129"/>
      </rPr>
      <t>는 제외</t>
    </r>
    <phoneticPr fontId="5" type="noConversion"/>
  </si>
  <si>
    <r>
      <rPr>
        <b/>
        <sz val="14"/>
        <color rgb="FF002060"/>
        <rFont val="굴림"/>
        <family val="3"/>
        <charset val="129"/>
      </rPr>
      <t>※ 작성 대상</t>
    </r>
    <r>
      <rPr>
        <b/>
        <sz val="13"/>
        <rFont val="굴림"/>
        <family val="3"/>
        <charset val="129"/>
      </rPr>
      <t xml:space="preserve">
 </t>
    </r>
    <r>
      <rPr>
        <sz val="13"/>
        <rFont val="굴림"/>
        <family val="3"/>
        <charset val="129"/>
      </rPr>
      <t>일정기간</t>
    </r>
    <r>
      <rPr>
        <b/>
        <sz val="14"/>
        <color rgb="FFFF0000"/>
        <rFont val="굴림"/>
        <family val="3"/>
        <charset val="129"/>
      </rPr>
      <t>(2일 이상</t>
    </r>
    <r>
      <rPr>
        <sz val="13"/>
        <rFont val="굴림"/>
        <family val="3"/>
        <charset val="129"/>
      </rPr>
      <t xml:space="preserve">) </t>
    </r>
    <r>
      <rPr>
        <b/>
        <sz val="13"/>
        <rFont val="굴림"/>
        <family val="3"/>
        <charset val="129"/>
      </rPr>
      <t>지역주민, 지역단체, 지방
 정부가 개최</t>
    </r>
    <r>
      <rPr>
        <sz val="13"/>
        <rFont val="굴림"/>
        <family val="3"/>
        <charset val="129"/>
      </rPr>
      <t xml:space="preserve">하며, </t>
    </r>
    <r>
      <rPr>
        <u/>
        <sz val="13"/>
        <rFont val="굴림"/>
        <family val="3"/>
        <charset val="129"/>
      </rPr>
      <t>불특정 다수인이 함께 참여</t>
    </r>
    <r>
      <rPr>
        <sz val="13"/>
        <rFont val="굴림"/>
        <family val="3"/>
        <charset val="129"/>
      </rPr>
      <t xml:space="preserve">하는 
 </t>
    </r>
    <r>
      <rPr>
        <b/>
        <sz val="13"/>
        <rFont val="굴림"/>
        <family val="3"/>
        <charset val="129"/>
      </rPr>
      <t xml:space="preserve">문화관광예술축제 </t>
    </r>
    <r>
      <rPr>
        <sz val="13"/>
        <rFont val="굴림"/>
        <family val="3"/>
        <charset val="129"/>
      </rPr>
      <t xml:space="preserve">(문화관광축제, 특산물축제, 
 문화예술제, 일반축제 등)
</t>
    </r>
    <r>
      <rPr>
        <b/>
        <sz val="11"/>
        <rFont val="굴림"/>
        <family val="3"/>
        <charset val="129"/>
      </rPr>
      <t>ㅇ 국가에서 지원하는 축제
ㅇ 지자체 주최(주관)하는 축제
ㅇ 지자체에서 경비 지원 또는 후원하는 축제
ㅇ 민간에서 추진위를 구성하여 개최하는 축제
ㅇ 문화체육관광부 지정 문화관광축제도 포함</t>
    </r>
    <r>
      <rPr>
        <sz val="11"/>
        <rFont val="굴림"/>
        <family val="3"/>
        <charset val="129"/>
      </rPr>
      <t xml:space="preserve">
</t>
    </r>
    <phoneticPr fontId="5" type="noConversion"/>
  </si>
  <si>
    <t>제주도</t>
    <phoneticPr fontId="5" type="noConversion"/>
  </si>
  <si>
    <t>시자체</t>
    <phoneticPr fontId="5" type="noConversion"/>
  </si>
  <si>
    <t>2000년도
(18회)</t>
    <phoneticPr fontId="5" type="noConversion"/>
  </si>
  <si>
    <t>축제소재</t>
    <phoneticPr fontId="5" type="noConversion"/>
  </si>
  <si>
    <t>개최주기</t>
    <phoneticPr fontId="5" type="noConversion"/>
  </si>
  <si>
    <t>조직형태</t>
    <phoneticPr fontId="5" type="noConversion"/>
  </si>
  <si>
    <t>사업위탁
운영여부</t>
    <phoneticPr fontId="5" type="noConversion"/>
  </si>
  <si>
    <t>개최장소</t>
    <phoneticPr fontId="5" type="noConversion"/>
  </si>
  <si>
    <t>서울특별시</t>
    <phoneticPr fontId="5" type="noConversion"/>
  </si>
  <si>
    <t>대구광역시</t>
    <phoneticPr fontId="5" type="noConversion"/>
  </si>
  <si>
    <t>주민화합</t>
    <phoneticPr fontId="5" type="noConversion"/>
  </si>
  <si>
    <t>대전광역시</t>
    <phoneticPr fontId="5" type="noConversion"/>
  </si>
  <si>
    <t>기타</t>
    <phoneticPr fontId="5" type="noConversion"/>
  </si>
  <si>
    <t>경기도</t>
    <phoneticPr fontId="5" type="noConversion"/>
  </si>
  <si>
    <t>합 계</t>
    <phoneticPr fontId="5" type="noConversion"/>
  </si>
  <si>
    <t>문화관광축제 여부</t>
    <phoneticPr fontId="5" type="noConversion"/>
  </si>
  <si>
    <t xml:space="preserve">방문객수(2017년기준, 단위 : 천명) </t>
    <phoneticPr fontId="5" type="noConversion"/>
  </si>
  <si>
    <t>2018년
축제예산</t>
    <phoneticPr fontId="5" type="noConversion"/>
  </si>
  <si>
    <t>2018년
개최기간</t>
    <phoneticPr fontId="5" type="noConversion"/>
  </si>
  <si>
    <t>2018년 지역축제 개최계획 총괄표</t>
    <phoneticPr fontId="5" type="noConversion"/>
  </si>
  <si>
    <t>2018년 지역축제 개최계획 총괄표</t>
    <phoneticPr fontId="5" type="noConversion"/>
  </si>
  <si>
    <t xml:space="preserve">방문객수(2017년기준, 단위 : 천명) </t>
    <phoneticPr fontId="5" type="noConversion"/>
  </si>
  <si>
    <t>연번</t>
    <phoneticPr fontId="5" type="noConversion"/>
  </si>
  <si>
    <t>시도명</t>
    <phoneticPr fontId="5" type="noConversion"/>
  </si>
  <si>
    <t>시군구명</t>
    <phoneticPr fontId="5" type="noConversion"/>
  </si>
  <si>
    <t>시군구명</t>
    <phoneticPr fontId="5" type="noConversion"/>
  </si>
  <si>
    <t>축제명</t>
    <phoneticPr fontId="5" type="noConversion"/>
  </si>
  <si>
    <t>2018년
개최기간</t>
    <phoneticPr fontId="5" type="noConversion"/>
  </si>
  <si>
    <t>축제주요내용</t>
    <phoneticPr fontId="5" type="noConversion"/>
  </si>
  <si>
    <t>축제주요내용</t>
    <phoneticPr fontId="5" type="noConversion"/>
  </si>
  <si>
    <t>주최/주관
(담당자 연락처)</t>
    <phoneticPr fontId="5" type="noConversion"/>
  </si>
  <si>
    <t>주최/주관
(담당자 연락처)</t>
    <phoneticPr fontId="5" type="noConversion"/>
  </si>
  <si>
    <t>최초개최년도
및 횟수</t>
    <phoneticPr fontId="5" type="noConversion"/>
  </si>
  <si>
    <t>최초개최년도
및 횟수</t>
    <phoneticPr fontId="5" type="noConversion"/>
  </si>
  <si>
    <t>2018년
축제예산</t>
    <phoneticPr fontId="5" type="noConversion"/>
  </si>
  <si>
    <t>국비</t>
    <phoneticPr fontId="5" type="noConversion"/>
  </si>
  <si>
    <t>시,도비</t>
    <phoneticPr fontId="5" type="noConversion"/>
  </si>
  <si>
    <t>구,군비</t>
    <phoneticPr fontId="5" type="noConversion"/>
  </si>
  <si>
    <t>기타</t>
    <phoneticPr fontId="5" type="noConversion"/>
  </si>
  <si>
    <t>국비지원
부처명</t>
    <phoneticPr fontId="5" type="noConversion"/>
  </si>
  <si>
    <t>세부사업명</t>
    <phoneticPr fontId="5" type="noConversion"/>
  </si>
  <si>
    <t>세부사업명</t>
    <phoneticPr fontId="5" type="noConversion"/>
  </si>
  <si>
    <t>문화관광축제 여부</t>
    <phoneticPr fontId="5" type="noConversion"/>
  </si>
  <si>
    <t>축제소재</t>
    <phoneticPr fontId="5" type="noConversion"/>
  </si>
  <si>
    <t>개최주기</t>
    <phoneticPr fontId="5" type="noConversion"/>
  </si>
  <si>
    <t>조직형태</t>
    <phoneticPr fontId="5" type="noConversion"/>
  </si>
  <si>
    <t>사업위탁
운영여부</t>
    <phoneticPr fontId="5" type="noConversion"/>
  </si>
  <si>
    <t>합 계</t>
    <phoneticPr fontId="5" type="noConversion"/>
  </si>
  <si>
    <t>내국인</t>
    <phoneticPr fontId="5" type="noConversion"/>
  </si>
  <si>
    <t>내국인</t>
    <phoneticPr fontId="5" type="noConversion"/>
  </si>
  <si>
    <t>외국인</t>
    <phoneticPr fontId="5" type="noConversion"/>
  </si>
  <si>
    <t>외국인</t>
    <phoneticPr fontId="5" type="noConversion"/>
  </si>
  <si>
    <t>부산광역시</t>
    <phoneticPr fontId="5" type="noConversion"/>
  </si>
  <si>
    <t>부산광역시</t>
    <phoneticPr fontId="5" type="noConversion"/>
  </si>
  <si>
    <t>시자체</t>
    <phoneticPr fontId="5" type="noConversion"/>
  </si>
  <si>
    <t>제31회 북극곰수영축제</t>
    <phoneticPr fontId="5" type="noConversion"/>
  </si>
  <si>
    <t>1.6~1.7</t>
    <phoneticPr fontId="5" type="noConversion"/>
  </si>
  <si>
    <t>○ 버스킹, 상징조형물 전시, 체험존 운영
○ 축하공연, 입수식</t>
    <phoneticPr fontId="5" type="noConversion"/>
  </si>
  <si>
    <t>부산일보사</t>
    <phoneticPr fontId="5" type="noConversion"/>
  </si>
  <si>
    <t>1988년도
(제31회)</t>
    <phoneticPr fontId="5" type="noConversion"/>
  </si>
  <si>
    <t>지역특산물</t>
    <phoneticPr fontId="5" type="noConversion"/>
  </si>
  <si>
    <t>지역특산물</t>
    <phoneticPr fontId="5" type="noConversion"/>
  </si>
  <si>
    <t>수영</t>
    <phoneticPr fontId="5" type="noConversion"/>
  </si>
  <si>
    <t>매년</t>
    <phoneticPr fontId="5" type="noConversion"/>
  </si>
  <si>
    <t>사단법인</t>
    <phoneticPr fontId="5" type="noConversion"/>
  </si>
  <si>
    <t>사단법인</t>
    <phoneticPr fontId="5" type="noConversion"/>
  </si>
  <si>
    <t>없음</t>
    <phoneticPr fontId="5" type="noConversion"/>
  </si>
  <si>
    <t>자체추진</t>
    <phoneticPr fontId="5" type="noConversion"/>
  </si>
  <si>
    <t>자체추진</t>
    <phoneticPr fontId="5" type="noConversion"/>
  </si>
  <si>
    <t>바다</t>
    <phoneticPr fontId="5" type="noConversion"/>
  </si>
  <si>
    <t>바다</t>
    <phoneticPr fontId="5" type="noConversion"/>
  </si>
  <si>
    <t>부산광역시</t>
    <phoneticPr fontId="5" type="noConversion"/>
  </si>
  <si>
    <t>시자체</t>
    <phoneticPr fontId="5" type="noConversion"/>
  </si>
  <si>
    <t>제7회 낙동강유채꽃 축제</t>
    <phoneticPr fontId="5" type="noConversion"/>
  </si>
  <si>
    <t>4.7~4.8</t>
    <phoneticPr fontId="5" type="noConversion"/>
  </si>
  <si>
    <t>○ 유채꽃 관람, 체험 및 공연프로그램 등</t>
    <phoneticPr fontId="5" type="noConversion"/>
  </si>
  <si>
    <t>부산시/(사)부산문화관광
축제조직위원회
(888-4137)</t>
    <phoneticPr fontId="5" type="noConversion"/>
  </si>
  <si>
    <t>부산시/(사)부산문화관광
축제조직위원회
(888-4137)</t>
    <phoneticPr fontId="5" type="noConversion"/>
  </si>
  <si>
    <t>2011년도
(7회)</t>
    <phoneticPr fontId="5" type="noConversion"/>
  </si>
  <si>
    <t>생태자원</t>
    <phoneticPr fontId="5" type="noConversion"/>
  </si>
  <si>
    <t>유채</t>
    <phoneticPr fontId="5" type="noConversion"/>
  </si>
  <si>
    <t>매년</t>
    <phoneticPr fontId="5" type="noConversion"/>
  </si>
  <si>
    <t>축제조직위(비영리)</t>
    <phoneticPr fontId="5" type="noConversion"/>
  </si>
  <si>
    <t>축제조직위(비영리)</t>
    <phoneticPr fontId="5" type="noConversion"/>
  </si>
  <si>
    <t>있음
(정규직10명)
(계약직4명)
총 14명</t>
    <phoneticPr fontId="5" type="noConversion"/>
  </si>
  <si>
    <t>있음
(정규직10명)
(계약직4명)
총 14명</t>
    <phoneticPr fontId="5" type="noConversion"/>
  </si>
  <si>
    <t>전체위탁
(민간위탁)</t>
    <phoneticPr fontId="5" type="noConversion"/>
  </si>
  <si>
    <t>공원</t>
    <phoneticPr fontId="5" type="noConversion"/>
  </si>
  <si>
    <t>공원</t>
    <phoneticPr fontId="5" type="noConversion"/>
  </si>
  <si>
    <t>제17회 조선통신사 
한일문화교류축제</t>
    <phoneticPr fontId="5" type="noConversion"/>
  </si>
  <si>
    <t>5.4~5.6</t>
    <phoneticPr fontId="5" type="noConversion"/>
  </si>
  <si>
    <t>○ 조선통신사 행렬재현, 통신사야, 놀자!
○ 한일 뮤직콘서트, 조선통신사의 밤 등</t>
    <phoneticPr fontId="5" type="noConversion"/>
  </si>
  <si>
    <t>부산시/(재)부산문화재단
(660-0002)</t>
    <phoneticPr fontId="5" type="noConversion"/>
  </si>
  <si>
    <t>2002년도
(17회)</t>
    <phoneticPr fontId="5" type="noConversion"/>
  </si>
  <si>
    <t>전통역사</t>
    <phoneticPr fontId="5" type="noConversion"/>
  </si>
  <si>
    <t>조선통신사</t>
    <phoneticPr fontId="5" type="noConversion"/>
  </si>
  <si>
    <t>축제조직위(비영리)</t>
    <phoneticPr fontId="5" type="noConversion"/>
  </si>
  <si>
    <t>시내거리</t>
    <phoneticPr fontId="5" type="noConversion"/>
  </si>
  <si>
    <t>제4회 원도심활성화 축제</t>
    <phoneticPr fontId="5" type="noConversion"/>
  </si>
  <si>
    <t>5.26~5.27</t>
    <phoneticPr fontId="5" type="noConversion"/>
  </si>
  <si>
    <t>○ 원도심골목길축제
○ 원도심 관광명소 탐방 등 관광활성화 프로그램 구성</t>
    <phoneticPr fontId="5" type="noConversion"/>
  </si>
  <si>
    <t>부산시/(사)부산문화관광
축제조직위원회
(888-4137)</t>
    <phoneticPr fontId="5" type="noConversion"/>
  </si>
  <si>
    <t>2015년도
(4회)</t>
    <phoneticPr fontId="5" type="noConversion"/>
  </si>
  <si>
    <t>2015년도
(4회)</t>
    <phoneticPr fontId="5" type="noConversion"/>
  </si>
  <si>
    <t>골목길</t>
    <phoneticPr fontId="5" type="noConversion"/>
  </si>
  <si>
    <t>있음
(정규직10명)
(계약직4명)
총 14명</t>
    <phoneticPr fontId="5" type="noConversion"/>
  </si>
  <si>
    <t>광장</t>
    <phoneticPr fontId="5" type="noConversion"/>
  </si>
  <si>
    <t>시자체</t>
    <phoneticPr fontId="5" type="noConversion"/>
  </si>
  <si>
    <t>제23회 부산바다축제</t>
    <phoneticPr fontId="5" type="noConversion"/>
  </si>
  <si>
    <t>8.1~8.6</t>
    <phoneticPr fontId="5" type="noConversion"/>
  </si>
  <si>
    <t xml:space="preserve">○ 개막행사(물의난장)
○ 공연 및 시민참여 체험프로그램 등 </t>
    <phoneticPr fontId="5" type="noConversion"/>
  </si>
  <si>
    <t>1996년도
(23회)</t>
    <phoneticPr fontId="5" type="noConversion"/>
  </si>
  <si>
    <t>1996년도
(23회)</t>
    <phoneticPr fontId="5" type="noConversion"/>
  </si>
  <si>
    <t>문화예술</t>
    <phoneticPr fontId="5" type="noConversion"/>
  </si>
  <si>
    <t>문화예술</t>
    <phoneticPr fontId="5" type="noConversion"/>
  </si>
  <si>
    <t>제19회 부산국제록페스티벌</t>
    <phoneticPr fontId="5" type="noConversion"/>
  </si>
  <si>
    <t>8.10~8.12</t>
    <phoneticPr fontId="5" type="noConversion"/>
  </si>
  <si>
    <t>○ 국내외 록밴드 라이브공연
○ 시민록밴드 경연대회(영스타)</t>
    <phoneticPr fontId="5" type="noConversion"/>
  </si>
  <si>
    <t>2000년
(19회)</t>
    <phoneticPr fontId="5" type="noConversion"/>
  </si>
  <si>
    <t>록</t>
    <phoneticPr fontId="5" type="noConversion"/>
  </si>
  <si>
    <t>제14회 부산불꽃축제</t>
    <phoneticPr fontId="5" type="noConversion"/>
  </si>
  <si>
    <t>○ 전야콘서트 및 부대행사 
○ 첨단멀티불꽃쇼 등</t>
    <phoneticPr fontId="5" type="noConversion"/>
  </si>
  <si>
    <t>2005년도
(14회)</t>
    <phoneticPr fontId="5" type="noConversion"/>
  </si>
  <si>
    <t>2005년도
(14회)</t>
    <phoneticPr fontId="5" type="noConversion"/>
  </si>
  <si>
    <t>문체부</t>
    <phoneticPr fontId="5" type="noConversion"/>
  </si>
  <si>
    <t>문체부</t>
    <phoneticPr fontId="5" type="noConversion"/>
  </si>
  <si>
    <t>포괄보조사업(지역특화문화행사지원)</t>
    <phoneticPr fontId="5" type="noConversion"/>
  </si>
  <si>
    <t>포괄보조사업(지역특화문화행사지원)</t>
    <phoneticPr fontId="5" type="noConversion"/>
  </si>
  <si>
    <t>불꽃</t>
    <phoneticPr fontId="5" type="noConversion"/>
  </si>
  <si>
    <t>매년</t>
    <phoneticPr fontId="5" type="noConversion"/>
  </si>
  <si>
    <t xml:space="preserve">시자체 </t>
    <phoneticPr fontId="5" type="noConversion"/>
  </si>
  <si>
    <t>제10회 부산크리스마스
트리축제</t>
    <phoneticPr fontId="5" type="noConversion"/>
  </si>
  <si>
    <t>18.12월중</t>
    <phoneticPr fontId="5" type="noConversion"/>
  </si>
  <si>
    <t xml:space="preserve">○ 개막식,점등식,문화공연
○ 사랑나눔행사 </t>
    <phoneticPr fontId="5" type="noConversion"/>
  </si>
  <si>
    <t>부산크리스마스
트리문화축제위
(600-4086)</t>
    <phoneticPr fontId="5" type="noConversion"/>
  </si>
  <si>
    <t>2009년
(10회)</t>
    <phoneticPr fontId="5" type="noConversion"/>
  </si>
  <si>
    <t>트리</t>
    <phoneticPr fontId="5" type="noConversion"/>
  </si>
  <si>
    <t>자체추진</t>
    <phoneticPr fontId="5" type="noConversion"/>
  </si>
  <si>
    <t>시내거리</t>
    <phoneticPr fontId="5" type="noConversion"/>
  </si>
  <si>
    <t>부산광역시</t>
    <phoneticPr fontId="5" type="noConversion"/>
  </si>
  <si>
    <t xml:space="preserve">시자체 </t>
    <phoneticPr fontId="5" type="noConversion"/>
  </si>
  <si>
    <t>2019부산해맞이축제</t>
    <phoneticPr fontId="5" type="noConversion"/>
  </si>
  <si>
    <t>18.12.31~    19.1.1.</t>
    <phoneticPr fontId="5" type="noConversion"/>
  </si>
  <si>
    <t xml:space="preserve">○ 시민의종 타종
○ 해맞이행사 </t>
    <phoneticPr fontId="5" type="noConversion"/>
  </si>
  <si>
    <t>1999년
(20회)</t>
    <phoneticPr fontId="5" type="noConversion"/>
  </si>
  <si>
    <t>문화예술</t>
    <phoneticPr fontId="5" type="noConversion"/>
  </si>
  <si>
    <t>해맞이</t>
    <phoneticPr fontId="5" type="noConversion"/>
  </si>
  <si>
    <t>축제조직위(비영리)</t>
    <phoneticPr fontId="5" type="noConversion"/>
  </si>
  <si>
    <t>부산광역시</t>
    <phoneticPr fontId="5" type="noConversion"/>
  </si>
  <si>
    <t>중구</t>
    <phoneticPr fontId="5" type="noConversion"/>
  </si>
  <si>
    <t>제26회 부산자갈치 축제</t>
    <phoneticPr fontId="5" type="noConversion"/>
  </si>
  <si>
    <t>10.11. ~ 10.14.
(4일간)</t>
    <phoneticPr fontId="5" type="noConversion"/>
  </si>
  <si>
    <t>○ 고기야 놀자(맨손으로 고기잡기) 프로그램 진행  
○ 거리퍼레이드, 불꽃놀이, 회요리 경연, 경매 등 진행</t>
    <phoneticPr fontId="5" type="noConversion"/>
  </si>
  <si>
    <t>(사)부산자갈치문화관광 축제위원회
(051-243-9363)</t>
    <phoneticPr fontId="5" type="noConversion"/>
  </si>
  <si>
    <t>1992
(27회)</t>
    <phoneticPr fontId="5" type="noConversion"/>
  </si>
  <si>
    <t>어패류</t>
    <phoneticPr fontId="5" type="noConversion"/>
  </si>
  <si>
    <t>축제조직위</t>
    <phoneticPr fontId="5" type="noConversion"/>
  </si>
  <si>
    <t>축제조직위</t>
    <phoneticPr fontId="5" type="noConversion"/>
  </si>
  <si>
    <t>있음
정규직 1명
(사무국장)</t>
    <phoneticPr fontId="5" type="noConversion"/>
  </si>
  <si>
    <t>시장</t>
    <phoneticPr fontId="5" type="noConversion"/>
  </si>
  <si>
    <t>시장</t>
    <phoneticPr fontId="5" type="noConversion"/>
  </si>
  <si>
    <t>중구</t>
    <phoneticPr fontId="5" type="noConversion"/>
  </si>
  <si>
    <t>보수동책방골목 문화축제</t>
    <phoneticPr fontId="5" type="noConversion"/>
  </si>
  <si>
    <t>10.19.~10.21.
(3일간)</t>
    <phoneticPr fontId="5" type="noConversion"/>
  </si>
  <si>
    <t>개막식, 1가게1이벤트, 전시회, 심포지엄, 버스킹 등</t>
    <phoneticPr fontId="5" type="noConversion"/>
  </si>
  <si>
    <t>보수동책방골목번영회
(051-253-7220)</t>
    <phoneticPr fontId="5" type="noConversion"/>
  </si>
  <si>
    <t>2004년도
(15회)</t>
    <phoneticPr fontId="5" type="noConversion"/>
  </si>
  <si>
    <t>2004년도
(15회)</t>
    <phoneticPr fontId="5" type="noConversion"/>
  </si>
  <si>
    <t>책</t>
    <phoneticPr fontId="5" type="noConversion"/>
  </si>
  <si>
    <t>책</t>
    <phoneticPr fontId="5" type="noConversion"/>
  </si>
  <si>
    <t>매년</t>
    <phoneticPr fontId="5" type="noConversion"/>
  </si>
  <si>
    <t>임의단체</t>
    <phoneticPr fontId="5" type="noConversion"/>
  </si>
  <si>
    <t>임의단체</t>
    <phoneticPr fontId="5" type="noConversion"/>
  </si>
  <si>
    <t>책방골목</t>
    <phoneticPr fontId="5" type="noConversion"/>
  </si>
  <si>
    <t>부산광역시</t>
  </si>
  <si>
    <t>서구</t>
    <phoneticPr fontId="5" type="noConversion"/>
  </si>
  <si>
    <t>부산고등어축제</t>
    <phoneticPr fontId="5" type="noConversion"/>
  </si>
  <si>
    <t>10.19~10.21
(3일간)</t>
    <phoneticPr fontId="5" type="noConversion"/>
  </si>
  <si>
    <t>10.19~10.21
(3일간)</t>
    <phoneticPr fontId="5" type="noConversion"/>
  </si>
  <si>
    <t xml:space="preserve"> ○ 대표프로그램 - 맨손고등어잡기
 ○ 고등어를 테마로 한 체험, 투어, 전시, 공연, 경연 프로
     그램 운영(5개 분야 20개 프로그램) </t>
    <phoneticPr fontId="5" type="noConversion"/>
  </si>
  <si>
    <t>부산광역시 서구 문화관광과,
대형선망수협 / 부산서구문화원
(051-240-4062)</t>
    <phoneticPr fontId="5" type="noConversion"/>
  </si>
  <si>
    <t>2008년도
(제11회)</t>
    <phoneticPr fontId="5" type="noConversion"/>
  </si>
  <si>
    <t>지역특산물</t>
  </si>
  <si>
    <t>고등어</t>
    <phoneticPr fontId="5" type="noConversion"/>
  </si>
  <si>
    <t>있음
계약직 2명</t>
    <phoneticPr fontId="5" type="noConversion"/>
  </si>
  <si>
    <t>전체위탁</t>
    <phoneticPr fontId="5" type="noConversion"/>
  </si>
  <si>
    <t>전체위탁</t>
    <phoneticPr fontId="5" type="noConversion"/>
  </si>
  <si>
    <t>송도해수욕장</t>
    <phoneticPr fontId="5" type="noConversion"/>
  </si>
  <si>
    <t>부산광역시</t>
    <phoneticPr fontId="5" type="noConversion"/>
  </si>
  <si>
    <t>동구</t>
    <phoneticPr fontId="5" type="noConversion"/>
  </si>
  <si>
    <t>제15회 차이나타운특구 문화축제</t>
    <phoneticPr fontId="5" type="noConversion"/>
  </si>
  <si>
    <t xml:space="preserve">○ 변검, 경극, 부채춤, 사물놀이 등 한중문화 비교공연
○ 한중문화 체험관 운영
</t>
    <phoneticPr fontId="5" type="noConversion"/>
  </si>
  <si>
    <t>동구/차이나타운특구
축제추진위원회
(051-440-4062)</t>
    <phoneticPr fontId="5" type="noConversion"/>
  </si>
  <si>
    <t>2004년도
(15회)</t>
    <phoneticPr fontId="5" type="noConversion"/>
  </si>
  <si>
    <t>한중문화</t>
    <phoneticPr fontId="5" type="noConversion"/>
  </si>
  <si>
    <t>축제추진위</t>
    <phoneticPr fontId="5" type="noConversion"/>
  </si>
  <si>
    <t>축제추진위</t>
    <phoneticPr fontId="5" type="noConversion"/>
  </si>
  <si>
    <t>광장, 시내거리</t>
    <phoneticPr fontId="5" type="noConversion"/>
  </si>
  <si>
    <t>동구</t>
    <phoneticPr fontId="5" type="noConversion"/>
  </si>
  <si>
    <t>조방.LOVE.U빛축제</t>
    <phoneticPr fontId="5" type="noConversion"/>
  </si>
  <si>
    <t>11월~12월
(45일간)</t>
    <phoneticPr fontId="5" type="noConversion"/>
  </si>
  <si>
    <t xml:space="preserve"> ○ 개막 퍼레이드(고적대), 개막식 공연
 ○ 먹거리장터 운영</t>
    <phoneticPr fontId="5" type="noConversion"/>
  </si>
  <si>
    <t>조방경제인연합회/
(051-440-4472)</t>
    <phoneticPr fontId="5" type="noConversion"/>
  </si>
  <si>
    <t>2017년도
(2회)</t>
    <phoneticPr fontId="5" type="noConversion"/>
  </si>
  <si>
    <t>2017년도
(2회)</t>
    <phoneticPr fontId="5" type="noConversion"/>
  </si>
  <si>
    <t>빛, 공연</t>
    <phoneticPr fontId="5" type="noConversion"/>
  </si>
  <si>
    <t>부산광역시</t>
    <phoneticPr fontId="5" type="noConversion"/>
  </si>
  <si>
    <t>제20회 좌천동가구거리 고객한마음 대잔치</t>
    <phoneticPr fontId="5" type="noConversion"/>
  </si>
  <si>
    <t>10월중
(11일간)</t>
    <phoneticPr fontId="5" type="noConversion"/>
  </si>
  <si>
    <t xml:space="preserve">○ 개막행사
○ 가구할인행사 </t>
    <phoneticPr fontId="5" type="noConversion"/>
  </si>
  <si>
    <t>좌천동 가구 상가상인회
(051-440-4475)</t>
    <phoneticPr fontId="5" type="noConversion"/>
  </si>
  <si>
    <t>1997년도
(20회)</t>
    <phoneticPr fontId="5" type="noConversion"/>
  </si>
  <si>
    <t>가구</t>
    <phoneticPr fontId="5" type="noConversion"/>
  </si>
  <si>
    <t>임의단체</t>
    <phoneticPr fontId="5" type="noConversion"/>
  </si>
  <si>
    <t>영도구</t>
    <phoneticPr fontId="5" type="noConversion"/>
  </si>
  <si>
    <t>영도다리축제</t>
    <phoneticPr fontId="5" type="noConversion"/>
  </si>
  <si>
    <t>9.7~9.9
(3일간)</t>
    <phoneticPr fontId="5" type="noConversion"/>
  </si>
  <si>
    <t xml:space="preserve"> ○ 개막공연, 영도다리 주·야간 도개이벤트
 ○ 축제주제관, 영도다리 시민역사 퍼레이드 등</t>
    <phoneticPr fontId="5" type="noConversion"/>
  </si>
  <si>
    <t>영도구 문화관광과/영도문화원
(051-419-4062)</t>
    <phoneticPr fontId="5" type="noConversion"/>
  </si>
  <si>
    <t>1993년
(26회)</t>
    <phoneticPr fontId="5" type="noConversion"/>
  </si>
  <si>
    <t>문화예술</t>
  </si>
  <si>
    <t>문화관광축제
(육성)</t>
    <phoneticPr fontId="5" type="noConversion"/>
  </si>
  <si>
    <t>문화관광축제
(육성)</t>
    <phoneticPr fontId="5" type="noConversion"/>
  </si>
  <si>
    <t>영도다리</t>
    <phoneticPr fontId="5" type="noConversion"/>
  </si>
  <si>
    <t>공공(시군구)</t>
    <phoneticPr fontId="5" type="noConversion"/>
  </si>
  <si>
    <t>해당없음</t>
    <phoneticPr fontId="5" type="noConversion"/>
  </si>
  <si>
    <t>자체추진</t>
    <phoneticPr fontId="5" type="noConversion"/>
  </si>
  <si>
    <t>바다</t>
    <phoneticPr fontId="5" type="noConversion"/>
  </si>
  <si>
    <t>수국꽃문화축제</t>
    <phoneticPr fontId="5" type="noConversion"/>
  </si>
  <si>
    <t>6.30~7.8
(9일간)</t>
    <phoneticPr fontId="5" type="noConversion"/>
  </si>
  <si>
    <t xml:space="preserve"> ○ 개막식, 수국꽃 관람, 야간 문화공연 등
 ○ 음악회, 사진전시회 등</t>
    <phoneticPr fontId="5" type="noConversion"/>
  </si>
  <si>
    <t>수국축제추진위원회</t>
    <phoneticPr fontId="5" type="noConversion"/>
  </si>
  <si>
    <t>2006년
(13회)</t>
    <phoneticPr fontId="5" type="noConversion"/>
  </si>
  <si>
    <t>2006년
(13회)</t>
    <phoneticPr fontId="5" type="noConversion"/>
  </si>
  <si>
    <t>생태자연</t>
  </si>
  <si>
    <t>수국</t>
    <phoneticPr fontId="5" type="noConversion"/>
  </si>
  <si>
    <t>해당없음</t>
    <phoneticPr fontId="5" type="noConversion"/>
  </si>
  <si>
    <t>자체추진</t>
    <phoneticPr fontId="5" type="noConversion"/>
  </si>
  <si>
    <t>부산진구</t>
    <phoneticPr fontId="5" type="noConversion"/>
  </si>
  <si>
    <t>전포카페거리 커피축제</t>
    <phoneticPr fontId="5" type="noConversion"/>
  </si>
  <si>
    <t>2018.하반기
(2일간)</t>
    <phoneticPr fontId="5" type="noConversion"/>
  </si>
  <si>
    <t>○ 커피·디저트 시음회, 체험·전시·이벤트 부스 운영
○ 문화예술 공연, 관광홍보 등</t>
    <phoneticPr fontId="5" type="noConversion"/>
  </si>
  <si>
    <t>부산진구 관광위생과
/전포카페거리상인회
(051-605-4525)</t>
    <phoneticPr fontId="5" type="noConversion"/>
  </si>
  <si>
    <t>2018년도
(2회)</t>
    <phoneticPr fontId="5" type="noConversion"/>
  </si>
  <si>
    <t>기타</t>
  </si>
  <si>
    <t>커피</t>
    <phoneticPr fontId="5" type="noConversion"/>
  </si>
  <si>
    <t>커피</t>
    <phoneticPr fontId="5" type="noConversion"/>
  </si>
  <si>
    <t>공공(시군구)
/임의단체</t>
    <phoneticPr fontId="5" type="noConversion"/>
  </si>
  <si>
    <t>시내거리 또는
운동장
(전포카페거리)</t>
    <phoneticPr fontId="5" type="noConversion"/>
  </si>
  <si>
    <t>동래구</t>
    <phoneticPr fontId="5" type="noConversion"/>
  </si>
  <si>
    <t>제24회 동래읍성역사축제</t>
    <phoneticPr fontId="5" type="noConversion"/>
  </si>
  <si>
    <t>10.12.~10.14
(3일간)</t>
    <phoneticPr fontId="5" type="noConversion"/>
  </si>
  <si>
    <t>○ 조선시대의 동래성 사람들의 생활상과 애국충절을 테마로 한    역사교육형 관광체험프로그램 운영
○ 개폐막 공연, 동래장터 재현 등 4개분야 60여개 프로그램</t>
    <phoneticPr fontId="5" type="noConversion"/>
  </si>
  <si>
    <t>동래구 / 동래문화원, 동래읍성역사축제 추진위원회</t>
    <phoneticPr fontId="5" type="noConversion"/>
  </si>
  <si>
    <t>1995년
(24회)</t>
    <phoneticPr fontId="5" type="noConversion"/>
  </si>
  <si>
    <t>역사(동래읍성, 송상현 부사, 조선시대 등)</t>
    <phoneticPr fontId="5" type="noConversion"/>
  </si>
  <si>
    <t>매년</t>
    <phoneticPr fontId="5" type="noConversion"/>
  </si>
  <si>
    <t>전체위탁</t>
    <phoneticPr fontId="5" type="noConversion"/>
  </si>
  <si>
    <t>공원(사적지), 마을</t>
    <phoneticPr fontId="5" type="noConversion"/>
  </si>
  <si>
    <t>남구</t>
    <phoneticPr fontId="5" type="noConversion"/>
  </si>
  <si>
    <t>오륙도 평화축제</t>
    <phoneticPr fontId="5" type="noConversion"/>
  </si>
  <si>
    <t>○ 평화음악회
○ 자유,평화,화합을 주제로 공연,전시,체험,부대행사
○ 국화전시회, 각종 박람회 등 공동개최</t>
    <phoneticPr fontId="5" type="noConversion"/>
  </si>
  <si>
    <t>부산광역시남구 문화체육과
(051-607-4062)</t>
    <phoneticPr fontId="5" type="noConversion"/>
  </si>
  <si>
    <t>1997년도
(22회)</t>
    <phoneticPr fontId="5" type="noConversion"/>
  </si>
  <si>
    <t>1997년도
(22회)</t>
    <phoneticPr fontId="5" type="noConversion"/>
  </si>
  <si>
    <t>자유,평화,화합</t>
    <phoneticPr fontId="5" type="noConversion"/>
  </si>
  <si>
    <t>공공(자치구)</t>
    <phoneticPr fontId="5" type="noConversion"/>
  </si>
  <si>
    <t>없음</t>
    <phoneticPr fontId="5" type="noConversion"/>
  </si>
  <si>
    <t>자체추진</t>
    <phoneticPr fontId="5" type="noConversion"/>
  </si>
  <si>
    <t>공원(평화공원)</t>
    <phoneticPr fontId="5" type="noConversion"/>
  </si>
  <si>
    <t>북구</t>
    <phoneticPr fontId="5" type="noConversion"/>
  </si>
  <si>
    <t>북구</t>
    <phoneticPr fontId="5" type="noConversion"/>
  </si>
  <si>
    <t>제7회 낙동강 구포나루 축제</t>
    <phoneticPr fontId="5" type="noConversion"/>
  </si>
  <si>
    <t>5.11~5.13
(3일간)</t>
    <phoneticPr fontId="5" type="noConversion"/>
  </si>
  <si>
    <t>○ 핵심프로그램(대표프로그램) : 보부상 행렬
○ 강나루 밀밭을 테마로 한 공연, 전시, 체험 프로그램</t>
    <phoneticPr fontId="5" type="noConversion"/>
  </si>
  <si>
    <t>(사)부산북구문화관광
축제조직위원회
(051-309-4065)</t>
    <phoneticPr fontId="5" type="noConversion"/>
  </si>
  <si>
    <t>2011년도
(6회)</t>
    <phoneticPr fontId="5" type="noConversion"/>
  </si>
  <si>
    <t>전통역사</t>
  </si>
  <si>
    <t>강나루 밀밭</t>
    <phoneticPr fontId="5" type="noConversion"/>
  </si>
  <si>
    <t>하천</t>
    <phoneticPr fontId="5" type="noConversion"/>
  </si>
  <si>
    <t>제25회 낙동민속예술제</t>
    <phoneticPr fontId="5" type="noConversion"/>
  </si>
  <si>
    <t>○ 핵심프로그램 : 구포지역 전통민속놀이 재현
○ 당산제, 길놀이, 구포별신굿, 구포지신밟기 재</t>
    <phoneticPr fontId="5" type="noConversion"/>
  </si>
  <si>
    <t>낙동문화원
(051-364-2710)</t>
    <phoneticPr fontId="5" type="noConversion"/>
  </si>
  <si>
    <t>1993년도
(24회)</t>
    <phoneticPr fontId="5" type="noConversion"/>
  </si>
  <si>
    <t>전통민속공연</t>
    <phoneticPr fontId="5" type="noConversion"/>
  </si>
  <si>
    <t>매년</t>
    <phoneticPr fontId="5" type="noConversion"/>
  </si>
  <si>
    <t>문화원(법인)</t>
    <phoneticPr fontId="5" type="noConversion"/>
  </si>
  <si>
    <t>없음</t>
    <phoneticPr fontId="5" type="noConversion"/>
  </si>
  <si>
    <t>해운대구</t>
    <phoneticPr fontId="5" type="noConversion"/>
  </si>
  <si>
    <t>제14회 해운대모래축제</t>
    <phoneticPr fontId="5" type="noConversion"/>
  </si>
  <si>
    <t>5.19~5.22
(4일간)</t>
    <phoneticPr fontId="5" type="noConversion"/>
  </si>
  <si>
    <t>○ 세계모래조각전
○ 모래를 소재로한 국내 최대규모의 친환경축제
○ 개막식공연, 미디어파사드 외 3개분야 20여개 프로그램</t>
    <phoneticPr fontId="5" type="noConversion"/>
  </si>
  <si>
    <t>해운대구/(사)해운대
문화관광협의회
(051-749-4065)</t>
    <phoneticPr fontId="5" type="noConversion"/>
  </si>
  <si>
    <t>2005년도
(14회)</t>
    <phoneticPr fontId="5" type="noConversion"/>
  </si>
  <si>
    <t>모래</t>
    <phoneticPr fontId="5" type="noConversion"/>
  </si>
  <si>
    <t>공공(시군구),사단법인</t>
    <phoneticPr fontId="5" type="noConversion"/>
  </si>
  <si>
    <t>부분위탁</t>
    <phoneticPr fontId="5" type="noConversion"/>
  </si>
  <si>
    <t>부분위탁</t>
    <phoneticPr fontId="5" type="noConversion"/>
  </si>
  <si>
    <t>해운대구</t>
    <phoneticPr fontId="5" type="noConversion"/>
  </si>
  <si>
    <t>제36회 해운대 달맞이 온천축제</t>
    <phoneticPr fontId="5" type="noConversion"/>
  </si>
  <si>
    <t>2.28~3.2      (3일간)</t>
    <phoneticPr fontId="5" type="noConversion"/>
  </si>
  <si>
    <t>○ 달집 기원제, 소망기원문 쓰기, 대동놀이
○ 구민민속놀이경연대회, 강강술래등</t>
    <phoneticPr fontId="5" type="noConversion"/>
  </si>
  <si>
    <t>해운대구/(사)해운대지구발전협의회
(051-749-4065)</t>
    <phoneticPr fontId="5" type="noConversion"/>
  </si>
  <si>
    <t>1983년도
(36회)</t>
    <phoneticPr fontId="5" type="noConversion"/>
  </si>
  <si>
    <t>1983년도
(36회)</t>
    <phoneticPr fontId="5" type="noConversion"/>
  </si>
  <si>
    <t>달집 및 모래</t>
    <phoneticPr fontId="5" type="noConversion"/>
  </si>
  <si>
    <t>공공(시군구),사단법인</t>
    <phoneticPr fontId="5" type="noConversion"/>
  </si>
  <si>
    <t>부분위탁</t>
    <phoneticPr fontId="5" type="noConversion"/>
  </si>
  <si>
    <t>자연,달</t>
    <phoneticPr fontId="5" type="noConversion"/>
  </si>
  <si>
    <t>제5회 해운대라꼬 빛축제</t>
    <phoneticPr fontId="5" type="noConversion"/>
  </si>
  <si>
    <t>18.12~'19.2</t>
    <phoneticPr fontId="5" type="noConversion"/>
  </si>
  <si>
    <t>○ 구남로 광장 빛의 거리 조성
○ 다양한 포토존 설치
○ 버스킹 등 다양한 문화축제의 장 등</t>
    <phoneticPr fontId="5" type="noConversion"/>
  </si>
  <si>
    <t>부산광역시 해운대구 경제진흥과
(051-749-4472)</t>
    <phoneticPr fontId="5" type="noConversion"/>
  </si>
  <si>
    <t>2014년도
(5회)</t>
    <phoneticPr fontId="5" type="noConversion"/>
  </si>
  <si>
    <t>문화예술</t>
    <phoneticPr fontId="5" type="noConversion"/>
  </si>
  <si>
    <t>빛 조형물 설치, 
다양한 문화공연</t>
    <phoneticPr fontId="5" type="noConversion"/>
  </si>
  <si>
    <t>공공</t>
    <phoneticPr fontId="5" type="noConversion"/>
  </si>
  <si>
    <t>공공</t>
    <phoneticPr fontId="5" type="noConversion"/>
  </si>
  <si>
    <t>사하구</t>
    <phoneticPr fontId="5" type="noConversion"/>
  </si>
  <si>
    <t>제8회 감천문화마을 
골목축제</t>
    <phoneticPr fontId="5" type="noConversion"/>
  </si>
  <si>
    <t>4.27~4.29
(3일간)</t>
    <phoneticPr fontId="5" type="noConversion"/>
  </si>
  <si>
    <t>4.27~4.29
(3일간)</t>
    <phoneticPr fontId="5" type="noConversion"/>
  </si>
  <si>
    <t xml:space="preserve">○ 골목나라 풍선 퍼레이드
○ 골목, 마을이야기를 주제로 다양한 공연, 체험 등 
 </t>
    <phoneticPr fontId="5" type="noConversion"/>
  </si>
  <si>
    <t>부산광역시 사하구
/ (사)감천문화마을 주민협의회
(051-220-5917)</t>
    <phoneticPr fontId="5" type="noConversion"/>
  </si>
  <si>
    <t>2011년도
(8회)</t>
    <phoneticPr fontId="5" type="noConversion"/>
  </si>
  <si>
    <t>2011년도
(8회)</t>
    <phoneticPr fontId="5" type="noConversion"/>
  </si>
  <si>
    <t>감천문화마을</t>
    <phoneticPr fontId="5" type="noConversion"/>
  </si>
  <si>
    <t>사단법인
(주민협의회)</t>
    <phoneticPr fontId="5" type="noConversion"/>
  </si>
  <si>
    <t>있음
계약직 2명
총 2명</t>
    <phoneticPr fontId="5" type="noConversion"/>
  </si>
  <si>
    <t>감천문화마을
일원</t>
    <phoneticPr fontId="5" type="noConversion"/>
  </si>
  <si>
    <t>사하구</t>
    <phoneticPr fontId="5" type="noConversion"/>
  </si>
  <si>
    <t>제6회 사하예술제</t>
    <phoneticPr fontId="5" type="noConversion"/>
  </si>
  <si>
    <t>10월중
(7일간)</t>
    <phoneticPr fontId="5" type="noConversion"/>
  </si>
  <si>
    <t>○ 합창공연, 인문학콘서트, 문학기행, 그림시 전시 등 
○ 공연, 전시, 체험, 연계행사 등</t>
    <phoneticPr fontId="5" type="noConversion"/>
  </si>
  <si>
    <t>부산광역시 사하구 문화관광과
(051-220-4062)</t>
    <phoneticPr fontId="5" type="noConversion"/>
  </si>
  <si>
    <t>2013년도
(6회)</t>
    <phoneticPr fontId="5" type="noConversion"/>
  </si>
  <si>
    <t>지역문화예술</t>
    <phoneticPr fontId="5" type="noConversion"/>
  </si>
  <si>
    <t>공공(시군구)</t>
    <phoneticPr fontId="5" type="noConversion"/>
  </si>
  <si>
    <t>을숙도문화회관</t>
    <phoneticPr fontId="5" type="noConversion"/>
  </si>
  <si>
    <t>사하구</t>
  </si>
  <si>
    <t>제6회 다대포어항문화축제</t>
    <phoneticPr fontId="5" type="noConversion"/>
  </si>
  <si>
    <t>10월중
(2일간)</t>
    <phoneticPr fontId="5" type="noConversion"/>
  </si>
  <si>
    <t>○ 다대포 후리소리 공연, 풍어기원 풍물공연 등</t>
    <phoneticPr fontId="5" type="noConversion"/>
  </si>
  <si>
    <t>다대포어항문화축제추진위원회/ 부산시수협(다대어촌계)
(051-263-1277)</t>
  </si>
  <si>
    <t>2010년
(6회)</t>
    <phoneticPr fontId="5" type="noConversion"/>
  </si>
  <si>
    <t>다대포후릿소리, 방어, 아귀</t>
  </si>
  <si>
    <t>매년</t>
  </si>
  <si>
    <t>축제조직위</t>
  </si>
  <si>
    <t>있음 
정규직 3명
총 3명</t>
  </si>
  <si>
    <t>부분위탁</t>
  </si>
  <si>
    <t>다대포항 일원</t>
  </si>
  <si>
    <t>금정구</t>
    <phoneticPr fontId="5" type="noConversion"/>
  </si>
  <si>
    <t>금정산성역사문화축제
2018</t>
    <phoneticPr fontId="5" type="noConversion"/>
  </si>
  <si>
    <t xml:space="preserve">6.22~6.24 </t>
    <phoneticPr fontId="5" type="noConversion"/>
  </si>
  <si>
    <t>○ 금샘합수식&amp;금어승천식, 주제공연
○ 금어.전통세험, 병영체험, 연계행사 등</t>
    <phoneticPr fontId="5" type="noConversion"/>
  </si>
  <si>
    <t>금정구/
(재)금정문화재단
(070-4167-9724)</t>
    <phoneticPr fontId="5" type="noConversion"/>
  </si>
  <si>
    <t>2011년도
(6회)</t>
    <phoneticPr fontId="5" type="noConversion"/>
  </si>
  <si>
    <t>금정산성, 금샘, 금어</t>
    <phoneticPr fontId="5" type="noConversion"/>
  </si>
  <si>
    <t>재단법인</t>
    <phoneticPr fontId="5" type="noConversion"/>
  </si>
  <si>
    <t>재단법인</t>
    <phoneticPr fontId="5" type="noConversion"/>
  </si>
  <si>
    <t>부분위탁</t>
    <phoneticPr fontId="5" type="noConversion"/>
  </si>
  <si>
    <t>광장, 유적지</t>
    <phoneticPr fontId="5" type="noConversion"/>
  </si>
  <si>
    <t>강서구</t>
    <phoneticPr fontId="5" type="noConversion"/>
  </si>
  <si>
    <t>강서구</t>
    <phoneticPr fontId="5" type="noConversion"/>
  </si>
  <si>
    <t>2018 강서 낙동강변30리 벚꽃 축제</t>
    <phoneticPr fontId="5" type="noConversion"/>
  </si>
  <si>
    <t>3.30.~4.1.
(3일간)</t>
    <phoneticPr fontId="5" type="noConversion"/>
  </si>
  <si>
    <t xml:space="preserve">
○ 문화원 문화공연   ○ 청소년 스타킹 
○ 모형항공기대회, 사생대회 및 백일장 </t>
    <phoneticPr fontId="5" type="noConversion"/>
  </si>
  <si>
    <t>부산광역시 강서구
 / 강서구축제추진위원회
(051-970-4062)</t>
    <phoneticPr fontId="5" type="noConversion"/>
  </si>
  <si>
    <t>2015년도
(4회)</t>
    <phoneticPr fontId="5" type="noConversion"/>
  </si>
  <si>
    <t>벚꽃(30리 벚꽃길)</t>
    <phoneticPr fontId="5" type="noConversion"/>
  </si>
  <si>
    <t>축제조직위
(조례 규정)</t>
    <phoneticPr fontId="5" type="noConversion"/>
  </si>
  <si>
    <t>대저생태공원 일원</t>
    <phoneticPr fontId="5" type="noConversion"/>
  </si>
  <si>
    <t>명지시장전어축제</t>
  </si>
  <si>
    <t>8월말
(3일간)</t>
  </si>
  <si>
    <t>○은빛전어노래자랑   
○빅파워 콘서트(초청가수), 품바 등</t>
    <phoneticPr fontId="5" type="noConversion"/>
  </si>
  <si>
    <t>명지시장전어축제추진위원회/
㈜명지시장상인회
(051-271-2234)</t>
  </si>
  <si>
    <t>2001
(18회)</t>
  </si>
  <si>
    <t>전어</t>
  </si>
  <si>
    <t>명지시장</t>
    <phoneticPr fontId="5" type="noConversion"/>
  </si>
  <si>
    <t>연제구</t>
    <phoneticPr fontId="5" type="noConversion"/>
  </si>
  <si>
    <t>연제고분판타지축제</t>
    <phoneticPr fontId="5" type="noConversion"/>
  </si>
  <si>
    <t>4.7~4.8
(2일간)</t>
    <phoneticPr fontId="5" type="noConversion"/>
  </si>
  <si>
    <t xml:space="preserve"> ○ 왕가의 행차 거리행렬
 ○ 거칠산국을 테마로한 공연, 전시, 체험 등</t>
    <phoneticPr fontId="5" type="noConversion"/>
  </si>
  <si>
    <t>부산광역시 연제구 문화체육과 
/ 연제구축제추진위원회
(051-665-4062)</t>
    <phoneticPr fontId="5" type="noConversion"/>
  </si>
  <si>
    <t>2018
(1회)</t>
    <phoneticPr fontId="5" type="noConversion"/>
  </si>
  <si>
    <t xml:space="preserve"> </t>
    <phoneticPr fontId="5" type="noConversion"/>
  </si>
  <si>
    <t xml:space="preserve"> ·전통역사</t>
    <phoneticPr fontId="5" type="noConversion"/>
  </si>
  <si>
    <t>연산동 고분군</t>
    <phoneticPr fontId="5" type="noConversion"/>
  </si>
  <si>
    <t xml:space="preserve"> ·축제추진위</t>
    <phoneticPr fontId="5" type="noConversion"/>
  </si>
  <si>
    <t>·전체위탁</t>
    <phoneticPr fontId="5" type="noConversion"/>
  </si>
  <si>
    <t>사적지</t>
    <phoneticPr fontId="5" type="noConversion"/>
  </si>
  <si>
    <t>사적지</t>
    <phoneticPr fontId="5" type="noConversion"/>
  </si>
  <si>
    <t>수영구</t>
    <phoneticPr fontId="5" type="noConversion"/>
  </si>
  <si>
    <t>광안리어방축제</t>
    <phoneticPr fontId="5" type="noConversion"/>
  </si>
  <si>
    <t xml:space="preserve"> ○ 핵심프로그램 : 어방그물끌기 한마당(뮤지컬)
 ○ "어방"을 주제로 어방민속마을, 경상좌수사행렬,
      수문장교대식 등</t>
    <phoneticPr fontId="5" type="noConversion"/>
  </si>
  <si>
    <t>수영구 문화공보과
/ 수영구 축제위원회
(051-610-4062)</t>
    <phoneticPr fontId="5" type="noConversion"/>
  </si>
  <si>
    <t>2001년도
(18회)</t>
    <phoneticPr fontId="5" type="noConversion"/>
  </si>
  <si>
    <t>2001년도
(18회)</t>
    <phoneticPr fontId="5" type="noConversion"/>
  </si>
  <si>
    <t>문체부</t>
    <phoneticPr fontId="5" type="noConversion"/>
  </si>
  <si>
    <t>문화관광축제 지원</t>
    <phoneticPr fontId="5" type="noConversion"/>
  </si>
  <si>
    <t>수영의 전통을 이어간다는 의미에서"어방"(수군과 어민의 어업협업체)이라는 축제명을 사용한 전통 어촌민속 축제</t>
    <phoneticPr fontId="5" type="noConversion"/>
  </si>
  <si>
    <t>축제조직위</t>
    <phoneticPr fontId="5" type="noConversion"/>
  </si>
  <si>
    <t>광안리해수욕장</t>
    <phoneticPr fontId="5" type="noConversion"/>
  </si>
  <si>
    <t>사상구</t>
    <phoneticPr fontId="5" type="noConversion"/>
  </si>
  <si>
    <t>제18회사상강변축제</t>
    <phoneticPr fontId="5" type="noConversion"/>
  </si>
  <si>
    <t>9.14~16
(3일간)</t>
    <phoneticPr fontId="5" type="noConversion"/>
  </si>
  <si>
    <t>○ 우~~리동네 스토리텔링 거리퍼레이드
○ 사상강변열린음악회</t>
    <phoneticPr fontId="5" type="noConversion"/>
  </si>
  <si>
    <t>사상구/
사상문화원
(051-310-4064)</t>
    <phoneticPr fontId="5" type="noConversion"/>
  </si>
  <si>
    <t>2000년
(18회)</t>
    <phoneticPr fontId="5" type="noConversion"/>
  </si>
  <si>
    <t>주민화합</t>
  </si>
  <si>
    <t>강변</t>
    <phoneticPr fontId="5" type="noConversion"/>
  </si>
  <si>
    <t>자체추진</t>
    <phoneticPr fontId="5" type="noConversion"/>
  </si>
  <si>
    <t>공원</t>
    <phoneticPr fontId="5" type="noConversion"/>
  </si>
  <si>
    <t>기장군</t>
    <phoneticPr fontId="5" type="noConversion"/>
  </si>
  <si>
    <t>기장 미역·다시마 축제</t>
    <phoneticPr fontId="5" type="noConversion"/>
  </si>
  <si>
    <t>4월중
(3일간)</t>
    <phoneticPr fontId="5" type="noConversion"/>
  </si>
  <si>
    <t xml:space="preserve"> ○ 미역다시마 홍보관 및 직판장 운영, 각종 체험 및 공연프로그램 등(예정)</t>
    <phoneticPr fontId="5" type="noConversion"/>
  </si>
  <si>
    <t>기장군 해양수산과/
기장미역다시마축제추진위원회
(051-709-4612)</t>
    <phoneticPr fontId="5" type="noConversion"/>
  </si>
  <si>
    <t>2008년도
(9회)</t>
    <phoneticPr fontId="5" type="noConversion"/>
  </si>
  <si>
    <t>미역, 다시마</t>
    <phoneticPr fontId="5" type="noConversion"/>
  </si>
  <si>
    <t>부분위탁
 (운영,하드웨어, 
   프로그램)</t>
    <phoneticPr fontId="5" type="noConversion"/>
  </si>
  <si>
    <t>기장군 이동항 일원</t>
    <phoneticPr fontId="5" type="noConversion"/>
  </si>
  <si>
    <t>기장군</t>
    <phoneticPr fontId="5" type="noConversion"/>
  </si>
  <si>
    <t>기장멸치축제</t>
    <phoneticPr fontId="5" type="noConversion"/>
  </si>
  <si>
    <t>4.19~4.22
(4일간)</t>
    <phoneticPr fontId="5" type="noConversion"/>
  </si>
  <si>
    <t xml:space="preserve"> ○ 멸치회 무료시식 및 판매, 수산물경매, 각종 체험행사 등(예정)</t>
    <phoneticPr fontId="5" type="noConversion"/>
  </si>
  <si>
    <t>기장군 해양수산과/
기장멸치축제추진위원회
(051-709-4502)</t>
    <phoneticPr fontId="5" type="noConversion"/>
  </si>
  <si>
    <t>1997년도
(22회)</t>
    <phoneticPr fontId="5" type="noConversion"/>
  </si>
  <si>
    <t>멸치</t>
    <phoneticPr fontId="5" type="noConversion"/>
  </si>
  <si>
    <t>축제추진위</t>
    <phoneticPr fontId="5" type="noConversion"/>
  </si>
  <si>
    <t>부분위탁
 (운영,하드웨어, 
   프로그램)</t>
    <phoneticPr fontId="5" type="noConversion"/>
  </si>
  <si>
    <t>기장군 대변항 일원</t>
    <phoneticPr fontId="5" type="noConversion"/>
  </si>
  <si>
    <t>철마한우불고기축제</t>
    <phoneticPr fontId="5" type="noConversion"/>
  </si>
  <si>
    <t>10.3~10.6.   
(4일간, 예정)</t>
    <phoneticPr fontId="5" type="noConversion"/>
  </si>
  <si>
    <t xml:space="preserve">○ 철마한우의 우수성과 청정 농축산물의 홍보               ○ 자연친화적 농촌문화 체험형 축제행사 진행 </t>
    <phoneticPr fontId="5" type="noConversion"/>
  </si>
  <si>
    <t>기장군 친환경농업과/
철마한우불고기축제추진위원회(051-721-4245)</t>
    <phoneticPr fontId="5" type="noConversion"/>
  </si>
  <si>
    <t>2006년도      (13회)</t>
    <phoneticPr fontId="5" type="noConversion"/>
  </si>
  <si>
    <t>한우</t>
    <phoneticPr fontId="5" type="noConversion"/>
  </si>
  <si>
    <t>축제조직위</t>
    <phoneticPr fontId="5" type="noConversion"/>
  </si>
  <si>
    <t>전체위탁</t>
    <phoneticPr fontId="5" type="noConversion"/>
  </si>
  <si>
    <t>기장군 철마면</t>
    <phoneticPr fontId="5" type="noConversion"/>
  </si>
  <si>
    <t>2018년 지역축제 개최계획 총괄표</t>
    <phoneticPr fontId="5" type="noConversion"/>
  </si>
  <si>
    <t xml:space="preserve">방문객수(2017년기준, 단위 : 천명) </t>
    <phoneticPr fontId="5" type="noConversion"/>
  </si>
  <si>
    <t>연번</t>
    <phoneticPr fontId="5" type="noConversion"/>
  </si>
  <si>
    <t>시도명</t>
    <phoneticPr fontId="5" type="noConversion"/>
  </si>
  <si>
    <t>시군구명</t>
    <phoneticPr fontId="5" type="noConversion"/>
  </si>
  <si>
    <t>축제명</t>
    <phoneticPr fontId="5" type="noConversion"/>
  </si>
  <si>
    <t>2018년
개최기간</t>
    <phoneticPr fontId="5" type="noConversion"/>
  </si>
  <si>
    <t>축제주요내용</t>
    <phoneticPr fontId="5" type="noConversion"/>
  </si>
  <si>
    <t>주최/주관
(담당자 연락처)</t>
    <phoneticPr fontId="5" type="noConversion"/>
  </si>
  <si>
    <t>최초개최년도
및 횟수</t>
    <phoneticPr fontId="5" type="noConversion"/>
  </si>
  <si>
    <t>2018년
축제예산
(단위:백만원)</t>
    <phoneticPr fontId="5" type="noConversion"/>
  </si>
  <si>
    <t>국비</t>
    <phoneticPr fontId="5" type="noConversion"/>
  </si>
  <si>
    <t>시,도비</t>
    <phoneticPr fontId="5" type="noConversion"/>
  </si>
  <si>
    <t>구,군비</t>
    <phoneticPr fontId="5" type="noConversion"/>
  </si>
  <si>
    <t>구,군비</t>
    <phoneticPr fontId="5" type="noConversion"/>
  </si>
  <si>
    <t>기타</t>
    <phoneticPr fontId="5" type="noConversion"/>
  </si>
  <si>
    <t>국비지원
부처명</t>
    <phoneticPr fontId="5" type="noConversion"/>
  </si>
  <si>
    <t>국비지원
부처명</t>
    <phoneticPr fontId="5" type="noConversion"/>
  </si>
  <si>
    <t>문화관광축제 여부</t>
    <phoneticPr fontId="5" type="noConversion"/>
  </si>
  <si>
    <t>축제소재</t>
    <phoneticPr fontId="5" type="noConversion"/>
  </si>
  <si>
    <t>개최주기</t>
    <phoneticPr fontId="5" type="noConversion"/>
  </si>
  <si>
    <t>사업위탁
운영여부</t>
    <phoneticPr fontId="5" type="noConversion"/>
  </si>
  <si>
    <t>합 계</t>
    <phoneticPr fontId="5" type="noConversion"/>
  </si>
  <si>
    <t>내국인</t>
    <phoneticPr fontId="5" type="noConversion"/>
  </si>
  <si>
    <t>외국인</t>
    <phoneticPr fontId="5" type="noConversion"/>
  </si>
  <si>
    <t>개최장소</t>
    <phoneticPr fontId="5" type="noConversion"/>
  </si>
  <si>
    <t>대구광역시</t>
  </si>
  <si>
    <t>시자체</t>
  </si>
  <si>
    <t>형형색색 달구벌
관등놀이</t>
  </si>
  <si>
    <t>4.22~4.30
(8일간)</t>
    <phoneticPr fontId="5" type="noConversion"/>
  </si>
  <si>
    <t xml:space="preserve"> ○ 달구벌 점등식
 ○ 부처님 오신날 법요식 및 연등행렬, 소원풍등날리기
 ○ 신청 등 전시
 ○ 관등놀이 개막식 및 문화공연</t>
    <phoneticPr fontId="5" type="noConversion"/>
  </si>
  <si>
    <t>2013
(6회)</t>
    <phoneticPr fontId="5" type="noConversion"/>
  </si>
  <si>
    <t>연등회</t>
    <phoneticPr fontId="5" type="noConversion"/>
  </si>
  <si>
    <t>사단법인</t>
  </si>
  <si>
    <t>·자체추진</t>
  </si>
  <si>
    <t>두류야구장,국채보상공원,신천둔치 등</t>
  </si>
  <si>
    <t>대구광역시,
중구</t>
    <phoneticPr fontId="5" type="noConversion"/>
  </si>
  <si>
    <t>대구약령시
한방문화축제</t>
  </si>
  <si>
    <t>5.3~5.7
(5일간)</t>
  </si>
  <si>
    <t xml:space="preserve"> ○ 사상체질진단 및 무료한방진료 체험
 ○ 한방을 테마로한 공연, 전시, 체험프로그램 운영
 ○ 고유제, 개막식, 주제공연 및 문화공연
 ○ 기타 특별행사 및 전시 등 </t>
  </si>
  <si>
    <t>대구광역시, 대구광역시 중구
/ (사)약령시보존위원회
(053-803-6782)</t>
  </si>
  <si>
    <t>1978년도
(40회)</t>
  </si>
  <si>
    <t>문체부</t>
  </si>
  <si>
    <t>문화관광축제 지원</t>
  </si>
  <si>
    <t>한방</t>
    <phoneticPr fontId="5" type="noConversion"/>
  </si>
  <si>
    <t>매년</t>
    <phoneticPr fontId="5" type="noConversion"/>
  </si>
  <si>
    <t>사단법인</t>
    <phoneticPr fontId="5" type="noConversion"/>
  </si>
  <si>
    <t xml:space="preserve">있음
정규직 4명
계약직 2명
총 6명  </t>
    <phoneticPr fontId="5" type="noConversion"/>
  </si>
  <si>
    <t>전체위탁</t>
    <phoneticPr fontId="5" type="noConversion"/>
  </si>
  <si>
    <t>시자체</t>
    <phoneticPr fontId="5" type="noConversion"/>
  </si>
  <si>
    <t>컬러풀대구페스티벌</t>
  </si>
  <si>
    <t>5.5~5.6
(2일간)</t>
    <phoneticPr fontId="5" type="noConversion"/>
  </si>
  <si>
    <t xml:space="preserve"> ○ 컬러풀퍼레이드
 ○ 거리예술제
 ○ 예술장터</t>
    <phoneticPr fontId="5" type="noConversion"/>
  </si>
  <si>
    <t>대구광역시 문화예술정책과
(053-803-6224)
/(재)대구문화재단
(053-430-1263)</t>
  </si>
  <si>
    <t>2005년
(14회)</t>
    <phoneticPr fontId="5" type="noConversion"/>
  </si>
  <si>
    <t>문체부</t>
    <phoneticPr fontId="5" type="noConversion"/>
  </si>
  <si>
    <t>지역특화문화행사지원</t>
    <phoneticPr fontId="5" type="noConversion"/>
  </si>
  <si>
    <t>지역특화문화행사지원</t>
    <phoneticPr fontId="5" type="noConversion"/>
  </si>
  <si>
    <t>퍼레이드 및
거리공연</t>
  </si>
  <si>
    <t>재단법인</t>
  </si>
  <si>
    <t xml:space="preserve">있음
정규직 1명
계약직 5명
총 6명  </t>
    <phoneticPr fontId="5" type="noConversion"/>
  </si>
  <si>
    <t>전체위탁</t>
  </si>
  <si>
    <t>시내거리
(국채보상로)</t>
    <phoneticPr fontId="5" type="noConversion"/>
  </si>
  <si>
    <t>대구광역시</t>
    <phoneticPr fontId="5" type="noConversion"/>
  </si>
  <si>
    <t>시자체</t>
    <phoneticPr fontId="5" type="noConversion"/>
  </si>
  <si>
    <t>대구치맥페스티벌</t>
    <phoneticPr fontId="5" type="noConversion"/>
  </si>
  <si>
    <t>7.18.~7.22
(5일간)</t>
    <phoneticPr fontId="5" type="noConversion"/>
  </si>
  <si>
    <t xml:space="preserve"> ○ 전국적인 치킨 맥주업체의 브랜드 홍보 전시 판매 등
 ○ 행사공간별 테마 설정 공연, 전시, 체험프로그램 운영
 ○ 개폐막 공연,시민공연, 치맥생활예술제, 문화공연 등
    - 관람 25종, 참여 체험 45종 프로그램
 ○ 외국인 대상 글러벌존 운영, 기업 비즈니스 라운지 운영
 ○ 치킨산업 홍보관, 학술포럼, EDM 파티 등</t>
    <phoneticPr fontId="5" type="noConversion"/>
  </si>
  <si>
    <t>(사)한국치맥산업협회/
2018 치맥페스티벌 조직위원회
(053-248-9998)</t>
    <phoneticPr fontId="5" type="noConversion"/>
  </si>
  <si>
    <t>2013년도
(6회)</t>
    <phoneticPr fontId="5" type="noConversion"/>
  </si>
  <si>
    <t>맥주, 치킨</t>
    <phoneticPr fontId="5" type="noConversion"/>
  </si>
  <si>
    <t>사단법인
축제조직위</t>
    <phoneticPr fontId="5" type="noConversion"/>
  </si>
  <si>
    <t>있음
정규직 4명</t>
    <phoneticPr fontId="5" type="noConversion"/>
  </si>
  <si>
    <t>부분위탁
(운영 등)</t>
    <phoneticPr fontId="5" type="noConversion"/>
  </si>
  <si>
    <t>두류공원
일원,
평화시장,
서부시장,
이월드 등
연계</t>
    <phoneticPr fontId="5" type="noConversion"/>
  </si>
  <si>
    <t>대구국제호러연극제</t>
  </si>
  <si>
    <t>7.19~7.22
(4일간)</t>
    <phoneticPr fontId="5" type="noConversion"/>
  </si>
  <si>
    <t xml:space="preserve"> ○ 공식 초청작 및 자유 경연작 : 28여편
 ○ 호러공연예술제 및 프린지 공연, 체험 부스 운영 등</t>
    <phoneticPr fontId="5" type="noConversion"/>
  </si>
  <si>
    <t>(사)한국연극협회
대구광역시지회/
대구호러공연예술제조직위원회
(053-255-2555)</t>
    <phoneticPr fontId="5" type="noConversion"/>
  </si>
  <si>
    <t>2004년도
(15회)</t>
    <phoneticPr fontId="5" type="noConversion"/>
  </si>
  <si>
    <t>지역대표공연예술제</t>
    <phoneticPr fontId="5" type="noConversion"/>
  </si>
  <si>
    <t>호러</t>
    <phoneticPr fontId="5" type="noConversion"/>
  </si>
  <si>
    <t>임의단체</t>
    <phoneticPr fontId="5" type="noConversion"/>
  </si>
  <si>
    <t>자체추진</t>
    <phoneticPr fontId="5" type="noConversion"/>
  </si>
  <si>
    <t>기타
(대구스타디움)</t>
  </si>
  <si>
    <t>대구국제바디페인팅페스티벌</t>
    <phoneticPr fontId="5" type="noConversion"/>
  </si>
  <si>
    <t>8.25~8.26
(2일간)</t>
    <phoneticPr fontId="5" type="noConversion"/>
  </si>
  <si>
    <t>○ 바디페인팅 경연, 환타지메이크업
○ 포토제닉, 참여마당 등</t>
    <phoneticPr fontId="5" type="noConversion"/>
  </si>
  <si>
    <t>대구광역시 관광과 / ㈜ TBC/DIBF조직위원회(053-760-1845)</t>
    <phoneticPr fontId="5" type="noConversion"/>
  </si>
  <si>
    <t>2008년도
(11회)</t>
    <phoneticPr fontId="5" type="noConversion"/>
  </si>
  <si>
    <t>문화예술</t>
    <phoneticPr fontId="5" type="noConversion"/>
  </si>
  <si>
    <t>바디페인팅</t>
    <phoneticPr fontId="5" type="noConversion"/>
  </si>
  <si>
    <t>축제조직위(DIBF)</t>
    <phoneticPr fontId="5" type="noConversion"/>
  </si>
  <si>
    <t>두류공원(야외음악당)</t>
    <phoneticPr fontId="5" type="noConversion"/>
  </si>
  <si>
    <t>대구생활문화제</t>
    <phoneticPr fontId="5" type="noConversion"/>
  </si>
  <si>
    <t>2018. 9. 28
~ 10. 7
(7일간)</t>
    <phoneticPr fontId="5" type="noConversion"/>
  </si>
  <si>
    <t>- 메인행사 : 시민 연합공연 및 대규포 퍼포먼스
- 8개 구군 연계 및 참여  : 분야별 동호회 공연 및 전시, 체험 등
- 시민 참여 이벤트 등</t>
    <phoneticPr fontId="5" type="noConversion"/>
  </si>
  <si>
    <t>대구광역시 문화예술정책과
(053-803-3736)
/ (재) 대구문화재단
(053-430-1220)</t>
  </si>
  <si>
    <t>2014
(5회차)</t>
    <phoneticPr fontId="5" type="noConversion"/>
  </si>
  <si>
    <t>생활문화, 동호회, 공연, 전시, 체험 등</t>
  </si>
  <si>
    <t>미정</t>
    <phoneticPr fontId="5" type="noConversion"/>
  </si>
  <si>
    <t>팔공산 산중장터‘승시’</t>
    <phoneticPr fontId="5" type="noConversion"/>
  </si>
  <si>
    <t>10.5~10.8
(4일간)</t>
    <phoneticPr fontId="5" type="noConversion"/>
  </si>
  <si>
    <t>대구광역시 관광과 / 승시축제봉행위원회(053-980-7956)</t>
    <phoneticPr fontId="5" type="noConversion"/>
  </si>
  <si>
    <t>2010년도
(9회)</t>
    <phoneticPr fontId="5" type="noConversion"/>
  </si>
  <si>
    <t>팔공산 산중전통장터 승시</t>
    <phoneticPr fontId="5" type="noConversion"/>
  </si>
  <si>
    <t>승시재연 등</t>
    <phoneticPr fontId="5" type="noConversion"/>
  </si>
  <si>
    <t>승시축제봉행위원회</t>
    <phoneticPr fontId="5" type="noConversion"/>
  </si>
  <si>
    <t>기타(팔공산 동화사 경내)</t>
    <phoneticPr fontId="5" type="noConversion"/>
  </si>
  <si>
    <t>지자체</t>
    <phoneticPr fontId="5" type="noConversion"/>
  </si>
  <si>
    <t>대구국제패션문화
페스티벌</t>
    <phoneticPr fontId="5" type="noConversion"/>
  </si>
  <si>
    <t>미정</t>
    <phoneticPr fontId="5" type="noConversion"/>
  </si>
  <si>
    <t>○ 해외디자이너 초청 패션쇼, 세계 각국의상체험
○ AR 갤러리, O2O쇼룸, 패션아트콜라보</t>
    <phoneticPr fontId="5" type="noConversion"/>
  </si>
  <si>
    <t>대구광역시 섬유패션과
/한국패션산업연구원
(053-803-3352)</t>
    <phoneticPr fontId="5" type="noConversion"/>
  </si>
  <si>
    <t>2014년도
(5회)</t>
    <phoneticPr fontId="5" type="noConversion"/>
  </si>
  <si>
    <t>2014년도
(5회)</t>
    <phoneticPr fontId="5" type="noConversion"/>
  </si>
  <si>
    <t>대중문화콘텐츠산업육성</t>
    <phoneticPr fontId="5" type="noConversion"/>
  </si>
  <si>
    <t>패션</t>
    <phoneticPr fontId="5" type="noConversion"/>
  </si>
  <si>
    <t>비영리법인</t>
    <phoneticPr fontId="5" type="noConversion"/>
  </si>
  <si>
    <t>광장</t>
    <phoneticPr fontId="5" type="noConversion"/>
  </si>
  <si>
    <t>중구</t>
  </si>
  <si>
    <t>동성로축제</t>
  </si>
  <si>
    <t>5.11~5.13
(3일간)</t>
    <phoneticPr fontId="5" type="noConversion"/>
  </si>
  <si>
    <t xml:space="preserve"> ○ 월드DJ페스티벌, 동성로뷰티/패션쇼(산학연계)
 ○ 동성로가요제, 글러벌콘서트, 킹오브댄싱
 ○ 뷰티거리와 연계된 뷰티엑스포 등 거리행사
 ○ 체험 40종, 부스 60개 운영(전통복식, 뮤직존, 한복           투어, 쿨존, 청년창업존, 뷰티존, 패션존 등)</t>
    <phoneticPr fontId="5" type="noConversion"/>
  </si>
  <si>
    <t>(사)달성문화선양회/동성로상점가상인회
(053-423-3337)</t>
    <phoneticPr fontId="5" type="noConversion"/>
  </si>
  <si>
    <t>1990년도
(29회)</t>
    <phoneticPr fontId="5" type="noConversion"/>
  </si>
  <si>
    <t>중심상권, 뷰티</t>
    <phoneticPr fontId="5" type="noConversion"/>
  </si>
  <si>
    <t>없음</t>
  </si>
  <si>
    <t>-</t>
    <phoneticPr fontId="5" type="noConversion"/>
  </si>
  <si>
    <t>대구 중심지 
시내 일원</t>
  </si>
  <si>
    <t>대구패션주얼리위크</t>
  </si>
  <si>
    <t>5.11~5.13
(3일간)</t>
    <phoneticPr fontId="5" type="noConversion"/>
  </si>
  <si>
    <t xml:space="preserve"> ○ 주얼리패션쇼 
 ○ 반지의여왕,진주만대작전,주얼리경매 등
 ○ 기타 주얼리콘서트 및 전시,체험행사 등등 </t>
  </si>
  <si>
    <t>대구패션주얼리특구상인회/
대구패션주얼리위크조직위원회
(053-424-9150)</t>
    <phoneticPr fontId="5" type="noConversion"/>
  </si>
  <si>
    <t>2006년도
(13회)</t>
    <phoneticPr fontId="5" type="noConversion"/>
  </si>
  <si>
    <t>2006년도
(13회)</t>
    <phoneticPr fontId="5" type="noConversion"/>
  </si>
  <si>
    <t>주얼리</t>
  </si>
  <si>
    <t>대구중심지      시내 및 귀금속거리</t>
    <phoneticPr fontId="5" type="noConversion"/>
  </si>
  <si>
    <t>서문시장 대축제</t>
    <phoneticPr fontId="5" type="noConversion"/>
  </si>
  <si>
    <t>9월~10월중              (3일간)</t>
    <phoneticPr fontId="5" type="noConversion"/>
  </si>
  <si>
    <t xml:space="preserve"> ○ 보부상 퍼레이드
 ○ 상인가요제
 ○ 퓨전국악
 ○ 오페라한마당</t>
    <phoneticPr fontId="5" type="noConversion"/>
  </si>
  <si>
    <t>서문시장상가연합회/글로벌명품시장육성사업단                                  (053-256-6341)</t>
    <phoneticPr fontId="5" type="noConversion"/>
  </si>
  <si>
    <t>2001년도
(18회)</t>
    <phoneticPr fontId="5" type="noConversion"/>
  </si>
  <si>
    <t>미정</t>
    <phoneticPr fontId="5" type="noConversion"/>
  </si>
  <si>
    <t>섬유패션 등</t>
  </si>
  <si>
    <t>임의단체</t>
  </si>
  <si>
    <t>전통시장</t>
  </si>
  <si>
    <t>대구화교중화문화축제</t>
    <phoneticPr fontId="5" type="noConversion"/>
  </si>
  <si>
    <t>10월중(2일간)</t>
    <phoneticPr fontId="5" type="noConversion"/>
  </si>
  <si>
    <t xml:space="preserve"> ○ 사자,용춤 등 거리프레이드
 ○ 변검술, 중국기예 무술 등 공연
 ○ 개막공연, 시민체험행사</t>
    <phoneticPr fontId="5" type="noConversion"/>
  </si>
  <si>
    <t>대구 화교협회/
대구화교협회조직위원회
(053-255-0561)</t>
  </si>
  <si>
    <t>2006년도
(12회)</t>
    <phoneticPr fontId="5" type="noConversion"/>
  </si>
  <si>
    <t>화교거리</t>
  </si>
  <si>
    <t>화교소학교
종로거리 일원</t>
  </si>
  <si>
    <t>팔공산 벚꽃축제</t>
    <phoneticPr fontId="5" type="noConversion"/>
  </si>
  <si>
    <t>4월 중
(3~5일간)</t>
    <phoneticPr fontId="5" type="noConversion"/>
  </si>
  <si>
    <t xml:space="preserve"> ○ 벚꽃가요제
 ○ 산채비빔밥 축제
 ○ 7080 음악회 등</t>
    <phoneticPr fontId="5" type="noConversion"/>
  </si>
  <si>
    <t>동화지구번영회
(053-662-2173)</t>
    <phoneticPr fontId="5" type="noConversion"/>
  </si>
  <si>
    <t>2009년도
(10회)</t>
    <phoneticPr fontId="5" type="noConversion"/>
  </si>
  <si>
    <t>2009년도
(10회)</t>
    <phoneticPr fontId="5" type="noConversion"/>
  </si>
  <si>
    <t>벚꽃</t>
    <phoneticPr fontId="5" type="noConversion"/>
  </si>
  <si>
    <t>벚꽃</t>
    <phoneticPr fontId="5" type="noConversion"/>
  </si>
  <si>
    <t>시민단체</t>
    <phoneticPr fontId="5" type="noConversion"/>
  </si>
  <si>
    <t>시민단체</t>
    <phoneticPr fontId="5" type="noConversion"/>
  </si>
  <si>
    <t>부분위탁
(운영,프로그램)</t>
    <phoneticPr fontId="5" type="noConversion"/>
  </si>
  <si>
    <t>광장</t>
    <phoneticPr fontId="5" type="noConversion"/>
  </si>
  <si>
    <t>팔공산 단풍축제</t>
    <phoneticPr fontId="5" type="noConversion"/>
  </si>
  <si>
    <t>10월 중
(3~5일간)</t>
    <phoneticPr fontId="5" type="noConversion"/>
  </si>
  <si>
    <t xml:space="preserve"> ○ 단풍가요제
 ○ 단풍길 걷기대회
 ○ 두부시식 행사 등</t>
    <phoneticPr fontId="5" type="noConversion"/>
  </si>
  <si>
    <t>갓바위상가번영회
(053-662-2173)</t>
    <phoneticPr fontId="5" type="noConversion"/>
  </si>
  <si>
    <t>2000년도
(19회)</t>
    <phoneticPr fontId="5" type="noConversion"/>
  </si>
  <si>
    <t>2000년도
(19회)</t>
    <phoneticPr fontId="5" type="noConversion"/>
  </si>
  <si>
    <t>단풍</t>
    <phoneticPr fontId="5" type="noConversion"/>
  </si>
  <si>
    <t>남구</t>
    <phoneticPr fontId="5" type="noConversion"/>
  </si>
  <si>
    <t>제24회 대덕제
대구앞산빨래터 축제</t>
    <phoneticPr fontId="5" type="noConversion"/>
  </si>
  <si>
    <t>4.28~4.29
(2일간)</t>
    <phoneticPr fontId="5" type="noConversion"/>
  </si>
  <si>
    <t xml:space="preserve"> ○ 손빨래체험, 빨래춤추기
 ○ 빨래터를 테마로한 공연, 전시, 체험프로그램 운영
 ○ 개폐막 공연, 문화공연
 ○ 기타 부대행사 등  </t>
  </si>
  <si>
    <t>남구문화행사추진원회        (053-664-3262)</t>
  </si>
  <si>
    <t>1987년           (25회)</t>
    <phoneticPr fontId="5" type="noConversion"/>
  </si>
  <si>
    <t>빨래터</t>
  </si>
  <si>
    <t>앞산빨래터
공원, 앞산맛둘레길일원</t>
    <phoneticPr fontId="5" type="noConversion"/>
  </si>
  <si>
    <t>남구</t>
    <phoneticPr fontId="5" type="noConversion"/>
  </si>
  <si>
    <t>제5회
대명공연문화거리
로드페스티벌</t>
    <phoneticPr fontId="5" type="noConversion"/>
  </si>
  <si>
    <t>5월중
(3일간)</t>
    <phoneticPr fontId="5" type="noConversion"/>
  </si>
  <si>
    <t>5월중
(3일간)</t>
    <phoneticPr fontId="5" type="noConversion"/>
  </si>
  <si>
    <t xml:space="preserve"> ○ 소극장 연극공연
 ○ 개폐막 공연, 문화공연
 ○ 기타 부대행사 등 </t>
  </si>
  <si>
    <t>대명공연문화거리 운영위원회(053-246-2925)</t>
  </si>
  <si>
    <t>2013년            (6회)</t>
    <phoneticPr fontId="5" type="noConversion"/>
  </si>
  <si>
    <t>연극</t>
  </si>
  <si>
    <t>대명공연문화
거리일대</t>
    <phoneticPr fontId="5" type="noConversion"/>
  </si>
  <si>
    <t>제12회
신천돗자리음악회</t>
    <phoneticPr fontId="5" type="noConversion"/>
  </si>
  <si>
    <t>7월말~8월초
(2~3일간)</t>
    <phoneticPr fontId="5" type="noConversion"/>
  </si>
  <si>
    <t xml:space="preserve"> ○ 신천돗자리가요제
 ○ 폭염탈출을 테마로한 공연, 체험프로그램 운영
 ○ 기타 부대행사 등 </t>
  </si>
  <si>
    <t>남구문화행사추진원회        (053-664-3262)</t>
    <phoneticPr fontId="5" type="noConversion"/>
  </si>
  <si>
    <t>2007년           (12회)</t>
    <phoneticPr fontId="5" type="noConversion"/>
  </si>
  <si>
    <t>폭염</t>
  </si>
  <si>
    <t>신천둔치                 (중동교남편)</t>
  </si>
  <si>
    <t>안지랑곱창
젊음의 거리 축제</t>
    <phoneticPr fontId="5" type="noConversion"/>
  </si>
  <si>
    <t>8.24~8.25
(2일간)</t>
    <phoneticPr fontId="5" type="noConversion"/>
  </si>
  <si>
    <t xml:space="preserve"> ○ 곱창거리 홍보
 ○ 남구푸드 시식관, 식품안전체험관 등 운영
 ○ 플리마켓, 기타 이벤트성 행사 운영
 ○ 초청가수공연 등 </t>
  </si>
  <si>
    <t>안지랑곱창상가번영회,
대구광역시 남구 위생과
(053-664-2765)</t>
  </si>
  <si>
    <t>곱창</t>
    <phoneticPr fontId="5" type="noConversion"/>
  </si>
  <si>
    <t>임의단체(번영회)
공공(구)
협업실시</t>
  </si>
  <si>
    <t>안지랑곱창골목
(맛길 전체)</t>
  </si>
  <si>
    <t>북구</t>
    <phoneticPr fontId="5" type="noConversion"/>
  </si>
  <si>
    <t>금호강바람소리길축제</t>
    <phoneticPr fontId="5" type="noConversion"/>
  </si>
  <si>
    <t>9월중(2일간)</t>
    <phoneticPr fontId="5" type="noConversion"/>
  </si>
  <si>
    <t xml:space="preserve"> ○ 살내전투 재현 불꽃놀이
 ○ 지역복지 박람회, 평생학습박람회
 ○ 기타 체험행사 및 전시, 문화공연 등 </t>
    <phoneticPr fontId="5" type="noConversion"/>
  </si>
  <si>
    <t>대구광역시 북구축제추진위원회
대구광역시 북구문화원
(053-665-2174)</t>
    <phoneticPr fontId="5" type="noConversion"/>
  </si>
  <si>
    <t>2015
(4회)</t>
    <phoneticPr fontId="5" type="noConversion"/>
  </si>
  <si>
    <t>가을강변</t>
    <phoneticPr fontId="5" type="noConversion"/>
  </si>
  <si>
    <t>축제조직위</t>
    <phoneticPr fontId="5" type="noConversion"/>
  </si>
  <si>
    <t>수성구</t>
    <phoneticPr fontId="5" type="noConversion"/>
  </si>
  <si>
    <t>수성못 페스티벌
(Suseong Lake Festival)</t>
    <phoneticPr fontId="5" type="noConversion"/>
  </si>
  <si>
    <t>9.7~9.
(3일간)</t>
    <phoneticPr fontId="5" type="noConversion"/>
  </si>
  <si>
    <t xml:space="preserve"> ○ 호반을 배경으로 펼쳐지는 다채로운 거리예술극
     - 시민참여 주제공연, 국내외 예술가
 ○ (주간) 움직이는 창의놀이터  (야간) 불꽃쇼
 ○ 체험프로그램 : 아트마켓, 벼룩시장, 사생대회, 백일장 등
 ○ 메인무대(전야제, 공식행사, 화합의장)
 ○ 들안길 푸드 페스티벌, 수성아트피아 특별공연 등</t>
    <phoneticPr fontId="5" type="noConversion"/>
  </si>
  <si>
    <t>대구광역시 수성구 문화체육과
(053-666-2163) / (재)수성문화재단(053-668-1504)</t>
    <phoneticPr fontId="5" type="noConversion"/>
  </si>
  <si>
    <t>문화예술</t>
    <phoneticPr fontId="5" type="noConversion"/>
  </si>
  <si>
    <t>호수(물),
불</t>
    <phoneticPr fontId="5" type="noConversion"/>
  </si>
  <si>
    <t>매년</t>
    <phoneticPr fontId="5" type="noConversion"/>
  </si>
  <si>
    <t>재단법인</t>
    <phoneticPr fontId="5" type="noConversion"/>
  </si>
  <si>
    <t>있음
정규직 4</t>
    <phoneticPr fontId="5" type="noConversion"/>
  </si>
  <si>
    <t>부분위탁
(시스템, 행사운영 등)</t>
    <phoneticPr fontId="5" type="noConversion"/>
  </si>
  <si>
    <t>호수(호반)</t>
    <phoneticPr fontId="5" type="noConversion"/>
  </si>
  <si>
    <t>달서구</t>
  </si>
  <si>
    <t>장미꽃 필(feel) 무렵</t>
    <phoneticPr fontId="5" type="noConversion"/>
  </si>
  <si>
    <t>5.11~13</t>
    <phoneticPr fontId="5" type="noConversion"/>
  </si>
  <si>
    <t>장미' 소재, '내 인생의 화양연화' 주제 공연 및 체험, 오월의 웨딩 포토, 모바일포토콘테스트, 사생실기대회 등 장미 소재 체험프로그램 및 장미주간, 추억마당 운영 등                     
개막공연: 퍼포먼스, 댄스, 밴드 등                                거리공연: 주민과 함께하는 놀이극, 창작연희</t>
    <phoneticPr fontId="5" type="noConversion"/>
  </si>
  <si>
    <t>대구시 달서구 문화체육관광과/ (재)달서문화재단                 (053-584-9711)</t>
    <phoneticPr fontId="5" type="noConversion"/>
  </si>
  <si>
    <t>장미. 꽃</t>
    <phoneticPr fontId="5" type="noConversion"/>
  </si>
  <si>
    <t>재단법인</t>
    <phoneticPr fontId="5" type="noConversion"/>
  </si>
  <si>
    <t>자체추진</t>
    <phoneticPr fontId="5" type="noConversion"/>
  </si>
  <si>
    <t>달성군</t>
  </si>
  <si>
    <t>제22회 비슬산
참꽃문화제</t>
    <phoneticPr fontId="5" type="noConversion"/>
  </si>
  <si>
    <t>4월 중순
(3일간)</t>
    <phoneticPr fontId="5" type="noConversion"/>
  </si>
  <si>
    <t>○개막식, 개막축하공연, 2018인분 사찰발우비빔밥만들기
○송해와 함께하는 참꽃가요제
○달성읍면의날 운영, 먹거리장터, 체험홍보부스 운영
○프린지페스타, 버스킹공연 등 다양한 문화예술공연 등</t>
    <phoneticPr fontId="5" type="noConversion"/>
  </si>
  <si>
    <t>달성군 문화체육과
/달성문화재단
(053-668-2172)</t>
  </si>
  <si>
    <t>1997년도
(22회)</t>
    <phoneticPr fontId="5" type="noConversion"/>
  </si>
  <si>
    <t>참꽃</t>
    <phoneticPr fontId="5" type="noConversion"/>
  </si>
  <si>
    <t>전체위탁</t>
    <phoneticPr fontId="5" type="noConversion"/>
  </si>
  <si>
    <t>비슬산자연휴양림 일원</t>
    <phoneticPr fontId="5" type="noConversion"/>
  </si>
  <si>
    <t>달성 100대 피아노</t>
  </si>
  <si>
    <t>9월말
(2일간)</t>
    <phoneticPr fontId="5" type="noConversion"/>
  </si>
  <si>
    <t>○ 한국 최초 피아노 유입지에서 펼쳐지는 100대 피아노 및 100인 피아스니트 공연
○ 유명 아티스트 초청공연 및 피아니스트와의 협연</t>
    <phoneticPr fontId="5" type="noConversion"/>
  </si>
  <si>
    <t>2012년도
(7회)</t>
    <phoneticPr fontId="5" type="noConversion"/>
  </si>
  <si>
    <t>100대 피아노</t>
    <phoneticPr fontId="5" type="noConversion"/>
  </si>
  <si>
    <t>전체위탁</t>
    <phoneticPr fontId="5" type="noConversion"/>
  </si>
  <si>
    <t>사문진나루터</t>
    <phoneticPr fontId="5" type="noConversion"/>
  </si>
  <si>
    <t>광주광역시</t>
  </si>
  <si>
    <t>2018세계청년축제</t>
  </si>
  <si>
    <t>7월중
(3일간)</t>
  </si>
  <si>
    <t xml:space="preserve"> ○ 축제기획단 구성 후 운영 프로그램 결정
 ○ '청년', '광주', '세계'를  테마로 한 공연, 푸드, 문화
     체험 프로그램 운영 예정
 ○ 청년의 미래비전을 담은 개막 퍼포먼스 등</t>
  </si>
  <si>
    <t>광주광역시 청년정책과
/ 제4회 세계청년축제기획단
(062-613-2723)</t>
  </si>
  <si>
    <t>2015년도
(4회)</t>
  </si>
  <si>
    <t>청년</t>
    <phoneticPr fontId="5" type="noConversion"/>
  </si>
  <si>
    <t>공공(시)</t>
    <phoneticPr fontId="5" type="noConversion"/>
  </si>
  <si>
    <t>공공(시)</t>
    <phoneticPr fontId="5" type="noConversion"/>
  </si>
  <si>
    <t>광주세계김치축제</t>
    <phoneticPr fontId="5" type="noConversion"/>
  </si>
  <si>
    <t>11월~12월
(예정)</t>
    <phoneticPr fontId="5" type="noConversion"/>
  </si>
  <si>
    <t xml:space="preserve">ㅇ핵심프로그램: 대한민국 김치 경연대회(대상 대통령상),   
   김치응용요리 경연대회(최우수상 장관상), 빛고을 
   김장대전
ㅇ계절별 김치 버무림 체험 및 김치응용요리 체험 프로
   그램 운영
ㅇ김치 관련 전시, 마케팅, 역대 대통령상 수상 명인 아카
   데미 및 실물 김치전시  등 </t>
    <phoneticPr fontId="5" type="noConversion"/>
  </si>
  <si>
    <t>광주광역시 생명농업과
/ 광주세계김치축제위원회
(062-613-3992)</t>
    <phoneticPr fontId="5" type="noConversion"/>
  </si>
  <si>
    <t>1995년도
(25회)</t>
    <phoneticPr fontId="5" type="noConversion"/>
  </si>
  <si>
    <t>농림부</t>
    <phoneticPr fontId="5" type="noConversion"/>
  </si>
  <si>
    <t>전통발효식품육성사업 지원</t>
    <phoneticPr fontId="5" type="noConversion"/>
  </si>
  <si>
    <t>김치</t>
    <phoneticPr fontId="5" type="noConversion"/>
  </si>
  <si>
    <t>ACC광주프린지인터내셔널</t>
    <phoneticPr fontId="5" type="noConversion"/>
  </si>
  <si>
    <t>9.28~9.30
(3일간)</t>
    <phoneticPr fontId="5" type="noConversion"/>
  </si>
  <si>
    <t>9.28~9.30
(3일간)</t>
    <phoneticPr fontId="5" type="noConversion"/>
  </si>
  <si>
    <t xml:space="preserve"> ○ 거리예술
 ○ 거리극, 거리음악
    - 해외초청작 6, 국내 10 </t>
    <phoneticPr fontId="5" type="noConversion"/>
  </si>
  <si>
    <t>광주광역시 문화도시정책관실 
/ 광주문화재단
(062-613-3422)</t>
    <phoneticPr fontId="5" type="noConversion"/>
  </si>
  <si>
    <t>2016
(3회)</t>
    <phoneticPr fontId="5" type="noConversion"/>
  </si>
  <si>
    <t>거리예술</t>
    <phoneticPr fontId="5" type="noConversion"/>
  </si>
  <si>
    <t>제15회 추억의 
충장축제</t>
    <phoneticPr fontId="5" type="noConversion"/>
  </si>
  <si>
    <t>10. 3~10.7
(5일간)</t>
    <phoneticPr fontId="5" type="noConversion"/>
  </si>
  <si>
    <t xml:space="preserve"> ○ 충장 퍼레이드 경연, 추억전시관
 ○추억을 테마로한 공연, 전시, 체험프로그램 운영
 ○ 개폐막 공연, 주제공연 및 문화공연
    - 7개 분야 20여개 프로그램
 ○ 기타 지역 문화자원 연계 특별행사 및 전시 등</t>
    <phoneticPr fontId="5" type="noConversion"/>
  </si>
  <si>
    <t>광주광역시 동구 문화관광과 
/ 추억의 충장축제위원회
(062-608-2422)</t>
    <phoneticPr fontId="5" type="noConversion"/>
  </si>
  <si>
    <t>문화관광축제지원</t>
    <phoneticPr fontId="5" type="noConversion"/>
  </si>
  <si>
    <t>문화관광축제
(우수)</t>
    <phoneticPr fontId="5" type="noConversion"/>
  </si>
  <si>
    <t>추억</t>
    <phoneticPr fontId="5" type="noConversion"/>
  </si>
  <si>
    <t>축제위원회</t>
    <phoneticPr fontId="5" type="noConversion"/>
  </si>
  <si>
    <t>축제위원회</t>
    <phoneticPr fontId="5" type="noConversion"/>
  </si>
  <si>
    <t>서창만드리풍년제</t>
    <phoneticPr fontId="5" type="noConversion"/>
  </si>
  <si>
    <t>7월중
(1일간)</t>
    <phoneticPr fontId="5" type="noConversion"/>
  </si>
  <si>
    <t xml:space="preserve"> ○ 식전공연(만드리 시연, 풍물놀이)
 ○ 들노래 만드리 재현
 ○ 문화예술공연
 ○ 전통문화 체험부스 등</t>
    <phoneticPr fontId="5" type="noConversion"/>
  </si>
  <si>
    <t>광주광역시 서구
(062-360-7030)</t>
    <phoneticPr fontId="5" type="noConversion"/>
  </si>
  <si>
    <t>1999년도
(20회)</t>
    <phoneticPr fontId="5" type="noConversion"/>
  </si>
  <si>
    <t>1999년도
(20회)</t>
    <phoneticPr fontId="5" type="noConversion"/>
  </si>
  <si>
    <t>들노래
농경문화</t>
    <phoneticPr fontId="5" type="noConversion"/>
  </si>
  <si>
    <t>마을</t>
    <phoneticPr fontId="5" type="noConversion"/>
  </si>
  <si>
    <t>마을</t>
    <phoneticPr fontId="5" type="noConversion"/>
  </si>
  <si>
    <t>영산강 서창들녘 
억새축제</t>
    <phoneticPr fontId="5" type="noConversion"/>
  </si>
  <si>
    <t>10. 11~14
(4일간)</t>
    <phoneticPr fontId="5" type="noConversion"/>
  </si>
  <si>
    <t xml:space="preserve"> ○ 억새를 주제로 한 재현행사
 ○ 개폐막 공연, 주제공연 및 문화공연
 ○ 자연친화형 체험부스 등</t>
    <phoneticPr fontId="5" type="noConversion"/>
  </si>
  <si>
    <t>광주광역시 서구
(062-360-7186)</t>
    <phoneticPr fontId="5" type="noConversion"/>
  </si>
  <si>
    <t>문화관광축제
(육성)</t>
    <phoneticPr fontId="5" type="noConversion"/>
  </si>
  <si>
    <t>억새</t>
    <phoneticPr fontId="5" type="noConversion"/>
  </si>
  <si>
    <t>공공(구)</t>
    <phoneticPr fontId="5" type="noConversion"/>
  </si>
  <si>
    <t>공공(구)</t>
    <phoneticPr fontId="5" type="noConversion"/>
  </si>
  <si>
    <t>하천</t>
    <phoneticPr fontId="5" type="noConversion"/>
  </si>
  <si>
    <t>제36회 고싸움놀이축제</t>
    <phoneticPr fontId="5" type="noConversion"/>
  </si>
  <si>
    <t>18.3.1~3.4
(4일간)</t>
    <phoneticPr fontId="5" type="noConversion"/>
  </si>
  <si>
    <t>광주칠석고싸움놀이보존회
(062-374-3839)</t>
    <phoneticPr fontId="5" type="noConversion"/>
  </si>
  <si>
    <t>1983년도
(35회)</t>
    <phoneticPr fontId="5" type="noConversion"/>
  </si>
  <si>
    <t>고싸움놀이</t>
    <phoneticPr fontId="5" type="noConversion"/>
  </si>
  <si>
    <t>시민단체</t>
    <phoneticPr fontId="5" type="noConversion"/>
  </si>
  <si>
    <t>인문학축제 제8회 
굿모닝!양림</t>
    <phoneticPr fontId="5" type="noConversion"/>
  </si>
  <si>
    <t>10월중
(3일간)</t>
    <phoneticPr fontId="5" type="noConversion"/>
  </si>
  <si>
    <t>10월중
(3일간)</t>
    <phoneticPr fontId="5" type="noConversion"/>
  </si>
  <si>
    <t>광주 남구 문화관광과/남구문화원
(062-607-2315/062-671-7356)</t>
    <phoneticPr fontId="5" type="noConversion"/>
  </si>
  <si>
    <t>-</t>
    <phoneticPr fontId="5" type="noConversion"/>
  </si>
  <si>
    <t>인문학</t>
    <phoneticPr fontId="5" type="noConversion"/>
  </si>
  <si>
    <t>제12회 
광산우리밀축제</t>
    <phoneticPr fontId="5" type="noConversion"/>
  </si>
  <si>
    <t>5.25~5.27
(3일간)</t>
    <phoneticPr fontId="5" type="noConversion"/>
  </si>
  <si>
    <t xml:space="preserve">○ 전국우리밀 요리경연대회
○ 우리밀을 테마로한 전시, 체험 프로그램 운영
   -우리밀 요리체험, 밀놀이체험, 통밀바다, 우리밀 역사
      전시 홍보관, 우리밀 제품 시식회 및 판매, 
      밀밭풍경사진전 등
○ 개폐막 공연및 문화공연
   - 8개분야 50여개 프로그램
○ 우리밀사생대회 등 기타 특별행사 </t>
    <phoneticPr fontId="5" type="noConversion"/>
  </si>
  <si>
    <t>광산구 생명농업과
/ 광산우리밀축제추진위원회
(062-960-8493)</t>
    <phoneticPr fontId="5" type="noConversion"/>
  </si>
  <si>
    <t>2007년도
(12회)</t>
    <phoneticPr fontId="5" type="noConversion"/>
  </si>
  <si>
    <t>2007년도
(12회)</t>
    <phoneticPr fontId="5" type="noConversion"/>
  </si>
  <si>
    <t>우리밀</t>
    <phoneticPr fontId="5" type="noConversion"/>
  </si>
  <si>
    <t>없음</t>
    <phoneticPr fontId="5" type="noConversion"/>
  </si>
  <si>
    <t>전통역사</t>
    <phoneticPr fontId="5" type="noConversion"/>
  </si>
  <si>
    <t>생태자연</t>
    <phoneticPr fontId="5" type="noConversion"/>
  </si>
  <si>
    <t>생태자연</t>
    <phoneticPr fontId="5" type="noConversion"/>
  </si>
  <si>
    <t>주민화합</t>
    <phoneticPr fontId="5" type="noConversion"/>
  </si>
  <si>
    <t>경기도</t>
    <phoneticPr fontId="5" type="noConversion"/>
  </si>
  <si>
    <t>강원도</t>
    <phoneticPr fontId="5" type="noConversion"/>
  </si>
  <si>
    <t>강원도</t>
    <phoneticPr fontId="5" type="noConversion"/>
  </si>
  <si>
    <t>전라북도</t>
    <phoneticPr fontId="5" type="noConversion"/>
  </si>
  <si>
    <t>2018년
축제예산</t>
    <phoneticPr fontId="5" type="noConversion"/>
  </si>
  <si>
    <t>국비지원
부처명</t>
    <phoneticPr fontId="5" type="noConversion"/>
  </si>
  <si>
    <t>세부사업명</t>
    <phoneticPr fontId="5" type="noConversion"/>
  </si>
  <si>
    <t>개최주기</t>
    <phoneticPr fontId="5" type="noConversion"/>
  </si>
  <si>
    <t>매년</t>
    <phoneticPr fontId="5" type="noConversion"/>
  </si>
  <si>
    <t>대덕구</t>
    <phoneticPr fontId="5" type="noConversion"/>
  </si>
  <si>
    <t>금강로하스축제</t>
    <phoneticPr fontId="5" type="noConversion"/>
  </si>
  <si>
    <t>4.6~4.8
(3일간)</t>
    <phoneticPr fontId="5" type="noConversion"/>
  </si>
  <si>
    <t>○뮤직페스티벌, 음악&amp;벚꽃과 함께하는 대청호 걷기대회
○수퍼패밀리 키즈플레이존, 수퍼패밀리 브런치요리대회
○개막공연, 반려동물문화제, 대청호가요제, 근로자 가요제 등</t>
    <phoneticPr fontId="5" type="noConversion"/>
  </si>
  <si>
    <t>대덕구/
대덕구생체협
(042-608-6572)</t>
    <phoneticPr fontId="5" type="noConversion"/>
  </si>
  <si>
    <t>음악, 벛꽃</t>
    <phoneticPr fontId="5" type="noConversion"/>
  </si>
  <si>
    <t>자체추진</t>
    <phoneticPr fontId="5" type="noConversion"/>
  </si>
  <si>
    <t>유성구</t>
    <phoneticPr fontId="5" type="noConversion"/>
  </si>
  <si>
    <t>유성온천문화축제</t>
    <phoneticPr fontId="5" type="noConversion"/>
  </si>
  <si>
    <t>5.11~13
(3일간)</t>
    <phoneticPr fontId="5" type="noConversion"/>
  </si>
  <si>
    <t>○족욕체험장 및 온천테마탕
○온천을 테마로 온천수플에이존, 착정놀이, 온천수물지게체험 등
○ 개막공연, 불꽃놀이, 온천수풋살대회, 이팝나무 LED거리등
○온천수 한방치료체험, 온천수 버블버블dj파티, 온궁행렬 및 퍼레이드, 온천수신제, 전민동 상여놀이,  염색체험학소망기원 이벤트 등</t>
    <phoneticPr fontId="5" type="noConversion"/>
  </si>
  <si>
    <t>유성구/
유성구, 유성문화원
(042-611-2080)</t>
    <phoneticPr fontId="5" type="noConversion"/>
  </si>
  <si>
    <t>1989년도
(25회)</t>
    <phoneticPr fontId="5" type="noConversion"/>
  </si>
  <si>
    <t>온천</t>
    <phoneticPr fontId="5" type="noConversion"/>
  </si>
  <si>
    <t>공공(시군구)</t>
  </si>
  <si>
    <t>공원, 광장,시장</t>
    <phoneticPr fontId="5" type="noConversion"/>
  </si>
  <si>
    <t>서구힐링 아트페스티벌</t>
    <phoneticPr fontId="5" type="noConversion"/>
  </si>
  <si>
    <t>5.25~5.27
(3일간)</t>
    <phoneticPr fontId="5" type="noConversion"/>
  </si>
  <si>
    <t xml:space="preserve">○ 아트 트리(에술작품으로 트리를 구성)
○예술을 테마로 힐링프로그램 구성
○개막공연, 예술작품 전시판매, 사생대회, 아트마켓, 문화예술공연 </t>
    <phoneticPr fontId="5" type="noConversion"/>
  </si>
  <si>
    <t>대전 서구
(042-611-6474)</t>
    <phoneticPr fontId="5" type="noConversion"/>
  </si>
  <si>
    <t>2016년도
(3회)</t>
    <phoneticPr fontId="5" type="noConversion"/>
  </si>
  <si>
    <t>미술, 음악</t>
    <phoneticPr fontId="5" type="noConversion"/>
  </si>
  <si>
    <t>공공(시군구)</t>
    <phoneticPr fontId="5" type="noConversion"/>
  </si>
  <si>
    <t>부분위탁</t>
    <phoneticPr fontId="5" type="noConversion"/>
  </si>
  <si>
    <t>공원,시내거리</t>
    <phoneticPr fontId="5" type="noConversion"/>
  </si>
  <si>
    <t>견우직녀축제</t>
    <phoneticPr fontId="5" type="noConversion"/>
  </si>
  <si>
    <t>8.18~8.19
(2일간)</t>
    <phoneticPr fontId="5" type="noConversion"/>
  </si>
  <si>
    <t>○견우직녀환타지쇼, 견우직녀 만남프로젝트,
○견우와 직녀의 만남을 테마로 한 주제공연, 전통체험, 과학체험 
○견우직녀콘서트, 견우직녀가요제, 길놀이공연,지역문화단체공연,             퍼니존, 커플이벤트, 프로포즈이벤트, 우리학교모여라, 백년해로상, 타임캡슐 등</t>
    <phoneticPr fontId="5" type="noConversion"/>
  </si>
  <si>
    <t>대전문화재단/
추진위.대전MBC
(042-480-1072)</t>
    <phoneticPr fontId="5" type="noConversion"/>
  </si>
  <si>
    <t>견우직녀</t>
    <phoneticPr fontId="5" type="noConversion"/>
  </si>
  <si>
    <t>없음</t>
    <phoneticPr fontId="5" type="noConversion"/>
  </si>
  <si>
    <t>광장, 다리</t>
    <phoneticPr fontId="5" type="noConversion"/>
  </si>
  <si>
    <t>대전국제와인페어</t>
    <phoneticPr fontId="5" type="noConversion"/>
  </si>
  <si>
    <t>8.31~9.2
(3일간)</t>
    <phoneticPr fontId="5" type="noConversion"/>
  </si>
  <si>
    <t>○와인전시 시음전
○와인의 맛과 멋을 테마로 와인과 음악공연, 체험프로그램 운영
○아시아와인트로피, 컨퍼런스, 소믈리에경연대회, 와인페스타
  - 5개분야 20여개 프로그램 운영
○ 와인문화의밤, 와인콘서트, 와인 마스터클래스, 명품와인&amp;아트전, 세계음식푸드코트, 프로포즈 이벤트, 음악분수 등</t>
    <phoneticPr fontId="5" type="noConversion"/>
  </si>
  <si>
    <t>대전마케팅공사/
대전마케팅공사,독일와인마케팅사
(042-250-1353)</t>
    <phoneticPr fontId="5" type="noConversion"/>
  </si>
  <si>
    <t>와인, 음악</t>
    <phoneticPr fontId="5" type="noConversion"/>
  </si>
  <si>
    <t>지방공사</t>
    <phoneticPr fontId="5" type="noConversion"/>
  </si>
  <si>
    <t>전시관,광장</t>
    <phoneticPr fontId="5" type="noConversion"/>
  </si>
  <si>
    <t>칼국수축제</t>
    <phoneticPr fontId="5" type="noConversion"/>
  </si>
  <si>
    <t>9~10월중
(3일간)</t>
    <phoneticPr fontId="5" type="noConversion"/>
  </si>
  <si>
    <t>○ 칼국수 주제전시관, 칼국수먹거리장터
○통밀놀이터, 3색공연, 칼국수만들기 경연대회 등</t>
    <phoneticPr fontId="5" type="noConversion"/>
  </si>
  <si>
    <t>대전 중구/
중구
(042-606-6491)</t>
    <phoneticPr fontId="5" type="noConversion"/>
  </si>
  <si>
    <t>2013년도
(4회)</t>
    <phoneticPr fontId="5" type="noConversion"/>
  </si>
  <si>
    <t>칼국수</t>
    <phoneticPr fontId="5" type="noConversion"/>
  </si>
  <si>
    <t>매년</t>
    <phoneticPr fontId="5" type="noConversion"/>
  </si>
  <si>
    <t>광장</t>
    <phoneticPr fontId="5" type="noConversion"/>
  </si>
  <si>
    <t>대전광역시</t>
    <phoneticPr fontId="5" type="noConversion"/>
  </si>
  <si>
    <t>대전효문화뿌리축제</t>
    <phoneticPr fontId="5" type="noConversion"/>
  </si>
  <si>
    <t>○문중페레이드, 효세족식, 문중체험관
○효와 뿌리를 테마로한 마당극, 만성산보물찾기, 미션레이스 등
○개막주제공연, 플래쉬 몹, 청소년 효골든벨, 문중명랑운동회, 전통놀이경연, 효세족식, 문중체험관, 만성산보물찾기, 미션레이스 함께달려효, 청소년동아리경진대회, 동퍼레이드, 낙화&amp;뱃놀이, 효캠프 등</t>
    <phoneticPr fontId="5" type="noConversion"/>
  </si>
  <si>
    <t>대전 중구/
중구, 중구문화원
(042-606-6286)</t>
    <phoneticPr fontId="5" type="noConversion"/>
  </si>
  <si>
    <t>2008년도
(10회)</t>
    <phoneticPr fontId="5" type="noConversion"/>
  </si>
  <si>
    <t>문체부</t>
    <phoneticPr fontId="5" type="noConversion"/>
  </si>
  <si>
    <t>문화관광축제 지원</t>
    <phoneticPr fontId="5" type="noConversion"/>
  </si>
  <si>
    <t>효, 문중</t>
    <phoneticPr fontId="5" type="noConversion"/>
  </si>
  <si>
    <t>공원, 시내거리</t>
    <phoneticPr fontId="5" type="noConversion"/>
  </si>
  <si>
    <t>대전사이언스페스티벌</t>
    <phoneticPr fontId="5" type="noConversion"/>
  </si>
  <si>
    <t>10월중
(4일간)</t>
    <phoneticPr fontId="5" type="noConversion"/>
  </si>
  <si>
    <t>○ 정부출연연 체험행사, 미디어아트체험전, 기초과학체험, 과학자 토크박스, 사이언스매직쇼, 대전영재페스티벌, 과학동호회체험, 생활과학교실, 대덕특구 투어, 사이언스 가족캠프등</t>
    <phoneticPr fontId="5" type="noConversion"/>
  </si>
  <si>
    <t>대전광역시/
대전마케팅공사
(042-250-1731)</t>
    <phoneticPr fontId="5" type="noConversion"/>
  </si>
  <si>
    <t>2000년도
(21회)</t>
    <phoneticPr fontId="5" type="noConversion"/>
  </si>
  <si>
    <t>과기부</t>
    <phoneticPr fontId="5" type="noConversion"/>
  </si>
  <si>
    <t>과학창의재단 지역축제 지원사업</t>
    <phoneticPr fontId="5" type="noConversion"/>
  </si>
  <si>
    <t>과학</t>
    <phoneticPr fontId="5" type="noConversion"/>
  </si>
  <si>
    <t>부분위탁</t>
    <phoneticPr fontId="5" type="noConversion"/>
  </si>
  <si>
    <t>민간</t>
    <phoneticPr fontId="5" type="noConversion"/>
  </si>
  <si>
    <t>계족산맨발축제</t>
    <phoneticPr fontId="5" type="noConversion"/>
  </si>
  <si>
    <t>5.12~13
(2일간)</t>
    <phoneticPr fontId="5" type="noConversion"/>
  </si>
  <si>
    <t xml:space="preserve"> ○ 맨발걷기 및 마사이마라톤(맨발달리기)
 ○ 황토를 테마로한 숲속음악회, 황토테마체험 운영
 ○ 맨발도장찍기, 사진전, 문화공연등</t>
    <phoneticPr fontId="5" type="noConversion"/>
  </si>
  <si>
    <t>㈜맥키스컴퍼니
(042-530-1832)</t>
    <phoneticPr fontId="5" type="noConversion"/>
  </si>
  <si>
    <t>2006년도
(12회)</t>
    <phoneticPr fontId="5" type="noConversion"/>
  </si>
  <si>
    <t>황토,맨발</t>
    <phoneticPr fontId="5" type="noConversion"/>
  </si>
  <si>
    <t>기업</t>
    <phoneticPr fontId="5" type="noConversion"/>
  </si>
  <si>
    <t>있음
정규직 3명</t>
    <phoneticPr fontId="5" type="noConversion"/>
  </si>
  <si>
    <t>산림욕장</t>
    <phoneticPr fontId="5" type="noConversion"/>
  </si>
  <si>
    <t>민간</t>
    <phoneticPr fontId="5" type="noConversion"/>
  </si>
  <si>
    <t>디쿠페스티벌</t>
    <phoneticPr fontId="5" type="noConversion"/>
  </si>
  <si>
    <t>2.24~2.25
8월중
(2일간)
년2회</t>
    <phoneticPr fontId="5" type="noConversion"/>
  </si>
  <si>
    <t xml:space="preserve"> ○ 코스튬플레이 경연
 ○ 만화 애니메이션을 테마로한 독립애니메이션 상영등
 ○ 개폐막 코스프레 공연, 만화산업전, 만화캐릭터그리기 등
 ○ 만화골든벨, 만화 관련 프리마켓, 만화골든벨 등</t>
    <phoneticPr fontId="5" type="noConversion"/>
  </si>
  <si>
    <t>2004년도
(30회)</t>
    <phoneticPr fontId="5" type="noConversion"/>
  </si>
  <si>
    <t>만화,애니</t>
    <phoneticPr fontId="5" type="noConversion"/>
  </si>
  <si>
    <t>년2회</t>
    <phoneticPr fontId="5" type="noConversion"/>
  </si>
  <si>
    <t>있음
3명</t>
    <phoneticPr fontId="5" type="noConversion"/>
  </si>
  <si>
    <t>전시장</t>
    <phoneticPr fontId="5" type="noConversion"/>
  </si>
  <si>
    <t>문화예술</t>
    <phoneticPr fontId="5" type="noConversion"/>
  </si>
  <si>
    <t>인천광역시</t>
    <phoneticPr fontId="5" type="noConversion"/>
  </si>
  <si>
    <t>2018년 지역축제 개최계획 총괄표</t>
    <phoneticPr fontId="5" type="noConversion"/>
  </si>
  <si>
    <t xml:space="preserve">방문객수(2017년기준, 단위 : 천명) </t>
    <phoneticPr fontId="5" type="noConversion"/>
  </si>
  <si>
    <t>연번</t>
    <phoneticPr fontId="5" type="noConversion"/>
  </si>
  <si>
    <t>시군구명</t>
    <phoneticPr fontId="5" type="noConversion"/>
  </si>
  <si>
    <t>축제명</t>
    <phoneticPr fontId="5" type="noConversion"/>
  </si>
  <si>
    <t>2018년
개최기간</t>
    <phoneticPr fontId="5" type="noConversion"/>
  </si>
  <si>
    <t>축제주요내용</t>
    <phoneticPr fontId="5" type="noConversion"/>
  </si>
  <si>
    <t>주최/주관
(담당자 연락처)</t>
    <phoneticPr fontId="5" type="noConversion"/>
  </si>
  <si>
    <t>최초개최년도
및 횟수</t>
    <phoneticPr fontId="5" type="noConversion"/>
  </si>
  <si>
    <t>2018년
축제예산</t>
    <phoneticPr fontId="5" type="noConversion"/>
  </si>
  <si>
    <t>국비</t>
    <phoneticPr fontId="5" type="noConversion"/>
  </si>
  <si>
    <t>시,도비</t>
    <phoneticPr fontId="5" type="noConversion"/>
  </si>
  <si>
    <t>구,군비</t>
    <phoneticPr fontId="5" type="noConversion"/>
  </si>
  <si>
    <t>기타</t>
    <phoneticPr fontId="5" type="noConversion"/>
  </si>
  <si>
    <t>국비지원
부처명</t>
    <phoneticPr fontId="5" type="noConversion"/>
  </si>
  <si>
    <t>세부사업명</t>
    <phoneticPr fontId="5" type="noConversion"/>
  </si>
  <si>
    <t>문화관광축제 여부</t>
    <phoneticPr fontId="5" type="noConversion"/>
  </si>
  <si>
    <t>개최주기</t>
    <phoneticPr fontId="5" type="noConversion"/>
  </si>
  <si>
    <t>조직형태</t>
    <phoneticPr fontId="5" type="noConversion"/>
  </si>
  <si>
    <t>사업위탁
운영여부</t>
    <phoneticPr fontId="5" type="noConversion"/>
  </si>
  <si>
    <t>합 계</t>
    <phoneticPr fontId="5" type="noConversion"/>
  </si>
  <si>
    <t>내국인</t>
    <phoneticPr fontId="5" type="noConversion"/>
  </si>
  <si>
    <t>외국인</t>
    <phoneticPr fontId="5" type="noConversion"/>
  </si>
  <si>
    <t>개최장소</t>
    <phoneticPr fontId="5" type="noConversion"/>
  </si>
  <si>
    <t>울산광역시</t>
    <phoneticPr fontId="5" type="noConversion"/>
  </si>
  <si>
    <t>시자체</t>
    <phoneticPr fontId="5" type="noConversion"/>
  </si>
  <si>
    <t>제2회울산건축문화제</t>
    <phoneticPr fontId="5" type="noConversion"/>
  </si>
  <si>
    <t>11월초
(6일간)</t>
    <phoneticPr fontId="5" type="noConversion"/>
  </si>
  <si>
    <t>○개막식, 일반전시, 특별기획전, 시민체험, 학술행사 등</t>
    <phoneticPr fontId="5" type="noConversion"/>
  </si>
  <si>
    <t>울산광역시 건축주택과
/울산광역시 건축주택과
(052-229-4422)</t>
    <phoneticPr fontId="5" type="noConversion"/>
  </si>
  <si>
    <t>2017년도
(1회)</t>
    <phoneticPr fontId="5" type="noConversion"/>
  </si>
  <si>
    <t>문화예술</t>
    <phoneticPr fontId="5" type="noConversion"/>
  </si>
  <si>
    <t>지역축제</t>
    <phoneticPr fontId="5" type="noConversion"/>
  </si>
  <si>
    <t>건축</t>
    <phoneticPr fontId="5" type="noConversion"/>
  </si>
  <si>
    <t>매년</t>
    <phoneticPr fontId="5" type="noConversion"/>
  </si>
  <si>
    <t>사단법인</t>
    <phoneticPr fontId="5" type="noConversion"/>
  </si>
  <si>
    <t>없음</t>
    <phoneticPr fontId="5" type="noConversion"/>
  </si>
  <si>
    <t>자체추진</t>
    <phoneticPr fontId="5" type="noConversion"/>
  </si>
  <si>
    <t>공원, 전시장</t>
    <phoneticPr fontId="5" type="noConversion"/>
  </si>
  <si>
    <t>울산광역시</t>
    <phoneticPr fontId="5" type="noConversion"/>
  </si>
  <si>
    <t>시자체</t>
    <phoneticPr fontId="5" type="noConversion"/>
  </si>
  <si>
    <t>제12회 울산대공원     장미축제</t>
    <phoneticPr fontId="5" type="noConversion"/>
  </si>
  <si>
    <t>5.18.~5.27 (10일간)</t>
    <phoneticPr fontId="5" type="noConversion"/>
  </si>
  <si>
    <t xml:space="preserve">○ 퍼레이드, 개막점등식, 체험 및 각종 공연행사
</t>
    <phoneticPr fontId="5" type="noConversion"/>
  </si>
  <si>
    <t>울산광역시 녹지공원과/SK에너지(052-229-3341)</t>
    <phoneticPr fontId="5" type="noConversion"/>
  </si>
  <si>
    <t>2006년/12회(2004년 세월호참사로 미개최)</t>
    <phoneticPr fontId="5" type="noConversion"/>
  </si>
  <si>
    <t>500     (기업체)</t>
    <phoneticPr fontId="5" type="noConversion"/>
  </si>
  <si>
    <t>장미꽃</t>
    <phoneticPr fontId="5" type="noConversion"/>
  </si>
  <si>
    <t>공공(시)+기업체(SK에너지)</t>
    <phoneticPr fontId="5" type="noConversion"/>
  </si>
  <si>
    <t>자체추진</t>
    <phoneticPr fontId="5" type="noConversion"/>
  </si>
  <si>
    <t>공원</t>
    <phoneticPr fontId="5" type="noConversion"/>
  </si>
  <si>
    <t>서머페스티벌</t>
    <phoneticPr fontId="5" type="noConversion"/>
  </si>
  <si>
    <t>7월 중
(7일간)</t>
    <phoneticPr fontId="5" type="noConversion"/>
  </si>
  <si>
    <t>○ 국내정상급 가수를 초청한 7개 장소 7개 테마공연
   - 파티 슷, 쇼 음악중심, 울트라 라이브, 열림콘서트 등</t>
    <phoneticPr fontId="5" type="noConversion"/>
  </si>
  <si>
    <t>울산mbc/울산mbc
(052-229-3751)</t>
    <phoneticPr fontId="5" type="noConversion"/>
  </si>
  <si>
    <t>2003년도
(16회)</t>
    <phoneticPr fontId="5" type="noConversion"/>
  </si>
  <si>
    <t>2003년도
(16회)</t>
    <phoneticPr fontId="5" type="noConversion"/>
  </si>
  <si>
    <t>대중가요</t>
    <phoneticPr fontId="5" type="noConversion"/>
  </si>
  <si>
    <t>재단법인</t>
    <phoneticPr fontId="5" type="noConversion"/>
  </si>
  <si>
    <t>처용문화제</t>
    <phoneticPr fontId="5" type="noConversion"/>
  </si>
  <si>
    <t>10월 중
(3일간)</t>
    <phoneticPr fontId="5" type="noConversion"/>
  </si>
  <si>
    <t>10월 중
(3일간)</t>
    <phoneticPr fontId="5" type="noConversion"/>
  </si>
  <si>
    <t>○ 처용을 테마로한 공연, 전시, 체험프로그램 운영
○ 개막식 주제공연, 폐막대동놀이, 구군민속놀이 등</t>
    <phoneticPr fontId="5" type="noConversion"/>
  </si>
  <si>
    <t>울산광역시 문화예술과
/울산문화재단
(052-229-3751)</t>
    <phoneticPr fontId="5" type="noConversion"/>
  </si>
  <si>
    <t>1967년도
(제52회)</t>
    <phoneticPr fontId="5" type="noConversion"/>
  </si>
  <si>
    <t>전통역사</t>
    <phoneticPr fontId="5" type="noConversion"/>
  </si>
  <si>
    <t>처용</t>
    <phoneticPr fontId="5" type="noConversion"/>
  </si>
  <si>
    <t>매년</t>
    <phoneticPr fontId="5" type="noConversion"/>
  </si>
  <si>
    <t>월드뮤직×
아시아퍼시픽뮤직미팅</t>
    <phoneticPr fontId="5" type="noConversion"/>
  </si>
  <si>
    <t>9월 중
(3일간)</t>
    <phoneticPr fontId="5" type="noConversion"/>
  </si>
  <si>
    <t>○ 월드뮤직션 초청공연
○ 뮤지션들에게 공연의 기회제공하고, 국내외 유명 음악
    관계자들을 초청하여 보여줌으로써 국제 무대 진출 
    기회 제공
○ 공연, 버스킹, 아트마켓 등</t>
    <phoneticPr fontId="5" type="noConversion"/>
  </si>
  <si>
    <t>2018년도
(2회)</t>
    <phoneticPr fontId="5" type="noConversion"/>
  </si>
  <si>
    <t>문체부</t>
    <phoneticPr fontId="5" type="noConversion"/>
  </si>
  <si>
    <t>아시아퍼시픽뮤징미팅</t>
    <phoneticPr fontId="5" type="noConversion"/>
  </si>
  <si>
    <t>월드뮤직</t>
    <phoneticPr fontId="5" type="noConversion"/>
  </si>
  <si>
    <t>울산광역시</t>
  </si>
  <si>
    <t>한글문화예술제</t>
    <phoneticPr fontId="5" type="noConversion"/>
  </si>
  <si>
    <t>10.7.~10.9.
(3일)</t>
    <phoneticPr fontId="5" type="noConversion"/>
  </si>
  <si>
    <t>○ 학술제, 특별전시, 한글과거제, 거리행진, 체험행사 등</t>
    <phoneticPr fontId="5" type="noConversion"/>
  </si>
  <si>
    <t>울산광역시 문화예술과
/ubc울산방송
(052-229-3722)</t>
    <phoneticPr fontId="5" type="noConversion"/>
  </si>
  <si>
    <t>2012년도
(7회)</t>
    <phoneticPr fontId="5" type="noConversion"/>
  </si>
  <si>
    <t>한글</t>
    <phoneticPr fontId="5" type="noConversion"/>
  </si>
  <si>
    <t>시내거리, 박물관</t>
    <phoneticPr fontId="5" type="noConversion"/>
  </si>
  <si>
    <t>웰빙라이프 울산행사</t>
    <phoneticPr fontId="5" type="noConversion"/>
  </si>
  <si>
    <t>○ 건강, 먹거리 등 웰빙관련 전시, 체험 행사
○ 개막식, 요리 및 제과 경연대회 등 부대행사</t>
    <phoneticPr fontId="5" type="noConversion"/>
  </si>
  <si>
    <t>울산광역시 식의약안전과
/외식업울산지회
(052-229-3541)</t>
    <phoneticPr fontId="5" type="noConversion"/>
  </si>
  <si>
    <t>2010년도
(9회)</t>
    <phoneticPr fontId="5" type="noConversion"/>
  </si>
  <si>
    <t>강변</t>
    <phoneticPr fontId="5" type="noConversion"/>
  </si>
  <si>
    <t>울산119안전문화축제</t>
    <phoneticPr fontId="5" type="noConversion"/>
  </si>
  <si>
    <t>10.12~10.14
(3일간)</t>
    <phoneticPr fontId="5" type="noConversion"/>
  </si>
  <si>
    <t>10.12~10.14
(3일간)</t>
    <phoneticPr fontId="5" type="noConversion"/>
  </si>
  <si>
    <t>○ 재난 및 소방안전체험
○ 개막식 및 경연대회, 부대행사 등</t>
    <phoneticPr fontId="5" type="noConversion"/>
  </si>
  <si>
    <t>울산광역시 소방본부 
/울산광역시 소방본부
(052-229-5333)</t>
    <phoneticPr fontId="5" type="noConversion"/>
  </si>
  <si>
    <t>2005년도
(12회)</t>
    <phoneticPr fontId="5" type="noConversion"/>
  </si>
  <si>
    <t>2005년도
(12회)</t>
    <phoneticPr fontId="5" type="noConversion"/>
  </si>
  <si>
    <t>안전</t>
    <phoneticPr fontId="5" type="noConversion"/>
  </si>
  <si>
    <t>공공(시)</t>
    <phoneticPr fontId="5" type="noConversion"/>
  </si>
  <si>
    <t>2018 태화강
 봄꽃대향연</t>
    <phoneticPr fontId="5" type="noConversion"/>
  </si>
  <si>
    <t>5.10.~5.13
 (4일간)</t>
    <phoneticPr fontId="5" type="noConversion"/>
  </si>
  <si>
    <t xml:space="preserve">○ 개막행사, 체험 및 각종 공연행사
</t>
    <phoneticPr fontId="5" type="noConversion"/>
  </si>
  <si>
    <t>울산광역시 환경정책과
/울산광역시 환경정책과
(052-229-3122)</t>
    <phoneticPr fontId="5" type="noConversion"/>
  </si>
  <si>
    <t>2012년/6회(2014년 세월호참사로 미개최)</t>
    <phoneticPr fontId="5" type="noConversion"/>
  </si>
  <si>
    <t>2018 태화강
 가을국향</t>
    <phoneticPr fontId="5" type="noConversion"/>
  </si>
  <si>
    <t>10월중
(3일간)</t>
    <phoneticPr fontId="5" type="noConversion"/>
  </si>
  <si>
    <t xml:space="preserve">○ 국화원, 조형국화 전시, 공연 및 걷기대회 
</t>
    <phoneticPr fontId="5" type="noConversion"/>
  </si>
  <si>
    <t>중구</t>
    <phoneticPr fontId="5" type="noConversion"/>
  </si>
  <si>
    <t>2018 울산마두희축제</t>
    <phoneticPr fontId="5" type="noConversion"/>
  </si>
  <si>
    <t>6.22~6.24
(3일간)</t>
    <phoneticPr fontId="5" type="noConversion"/>
  </si>
  <si>
    <t xml:space="preserve"> ○ 대표프로그램 : 울산큰줄당기기 "마두희"
 ○ 줄다리기를 테마로한 줄제작, 새끼줄꼬기체험, 
     골목줄다리기, 큰줄당기기, 울산큰애기선발대회 등 
     체험 및 참여프로그램, 인디밴드페스티벌, 
     프린지공연 등 문화공연
  -  5개분야 28개 프로그램</t>
    <phoneticPr fontId="5" type="noConversion"/>
  </si>
  <si>
    <t>울산중구 문화관광실
/울산마두희축제추진위원회
(052-290-2007)</t>
    <phoneticPr fontId="5" type="noConversion"/>
  </si>
  <si>
    <t>2014년도
(4회)</t>
    <phoneticPr fontId="5" type="noConversion"/>
  </si>
  <si>
    <t>2014년도
(4회)</t>
    <phoneticPr fontId="5" type="noConversion"/>
  </si>
  <si>
    <t>줄다리기</t>
    <phoneticPr fontId="5" type="noConversion"/>
  </si>
  <si>
    <t>축제조직위</t>
    <phoneticPr fontId="5" type="noConversion"/>
  </si>
  <si>
    <t>있음
정규직 3명</t>
    <phoneticPr fontId="5" type="noConversion"/>
  </si>
  <si>
    <t>전체위탁</t>
    <phoneticPr fontId="5" type="noConversion"/>
  </si>
  <si>
    <t>원도심 거리 및 강변</t>
    <phoneticPr fontId="5" type="noConversion"/>
  </si>
  <si>
    <t>제13회 울산중구 눈꽃축제</t>
    <phoneticPr fontId="5" type="noConversion"/>
  </si>
  <si>
    <t>12.24.~12.25
(2일간)</t>
    <phoneticPr fontId="5" type="noConversion"/>
  </si>
  <si>
    <t>○ 대표프로그램 : 눈꽃연출
○ 개막식, 눈꽃연출, 축하공연, 조형물설치 등 체험 및 
    참여프로그램</t>
    <phoneticPr fontId="5" type="noConversion"/>
  </si>
  <si>
    <t>울산중구 문화관광실
/울산중구문화원
(052-244-2007)</t>
    <phoneticPr fontId="5" type="noConversion"/>
  </si>
  <si>
    <t>2006년도
(13회)</t>
    <phoneticPr fontId="5" type="noConversion"/>
  </si>
  <si>
    <t>눈꽃</t>
    <phoneticPr fontId="5" type="noConversion"/>
  </si>
  <si>
    <t>원도심 거리</t>
  </si>
  <si>
    <t>남구</t>
    <phoneticPr fontId="5" type="noConversion"/>
  </si>
  <si>
    <t>울산고래축제</t>
    <phoneticPr fontId="5" type="noConversion"/>
  </si>
  <si>
    <t>7.5~7.8
(4일간)</t>
    <phoneticPr fontId="5" type="noConversion"/>
  </si>
  <si>
    <t xml:space="preserve"> ○ 핵심프로그램 : 거리퍼레이드, 수상퍼포먼스
 ○ 고래를 테마로한 공연, 전시, 체험프로그램 운영
 ○ 개폐막 공연, 주제공연 및 문화공연
    - 3개 분야 40여개 프로그램
 ○ 기타 특별행사 및 전시 등등 </t>
    <phoneticPr fontId="5" type="noConversion"/>
  </si>
  <si>
    <t>울산남구 고래관광개발과
/ 고래문화재단
(052-226-1998)</t>
    <phoneticPr fontId="5" type="noConversion"/>
  </si>
  <si>
    <t>1995년도
(24회)</t>
    <phoneticPr fontId="5" type="noConversion"/>
  </si>
  <si>
    <t>생태자연</t>
    <phoneticPr fontId="5" type="noConversion"/>
  </si>
  <si>
    <t>고래테마</t>
    <phoneticPr fontId="5" type="noConversion"/>
  </si>
  <si>
    <t>· 매년
(*2018:7월예정)</t>
    <phoneticPr fontId="5" type="noConversion"/>
  </si>
  <si>
    <t xml:space="preserve"> ·사단법인</t>
    <phoneticPr fontId="5" type="noConversion"/>
  </si>
  <si>
    <t>"미측정"</t>
    <phoneticPr fontId="5" type="noConversion"/>
  </si>
  <si>
    <t>"미측정"</t>
    <phoneticPr fontId="5" type="noConversion"/>
  </si>
  <si>
    <t>장생포문화특구
일원</t>
    <phoneticPr fontId="5" type="noConversion"/>
  </si>
  <si>
    <t>동구</t>
  </si>
  <si>
    <t>울산조선해양축제</t>
  </si>
  <si>
    <t>7.20~7.22
(3일간)</t>
    <phoneticPr fontId="5" type="noConversion"/>
  </si>
  <si>
    <t>○ 기발한 배 콘테스트
○ 조선, 해양을 테마로 한 전시, 체험프로그램 운영
○ 개막공연, 프린지공연 등
○ 바지선을 활용한 해상불꽃쇼</t>
    <phoneticPr fontId="5" type="noConversion"/>
  </si>
  <si>
    <t>울산광역시, 울산광역시동구
/ 울산조선해양축제추진위원회
(052-209-3352)</t>
  </si>
  <si>
    <t>2009년도
(10회)</t>
    <phoneticPr fontId="5" type="noConversion"/>
  </si>
  <si>
    <t>바다</t>
  </si>
  <si>
    <t>북구</t>
    <phoneticPr fontId="5" type="noConversion"/>
  </si>
  <si>
    <t>제15회 울산쇠부리축제</t>
    <phoneticPr fontId="5" type="noConversion"/>
  </si>
  <si>
    <t>5.11. ~ 5.13.
( 3일간)</t>
    <phoneticPr fontId="5" type="noConversion"/>
  </si>
  <si>
    <t>○ 쇠부리를 모티브로 한 산업역사 문화축제
○ 쇠부리, 문화, 전시학술, 화합의 장 4개 부문 70여 
    프로그램</t>
    <phoneticPr fontId="5" type="noConversion"/>
  </si>
  <si>
    <t>울산북구 문화체육과
/울산쇠부리축제사무국
(052-241-8758)</t>
    <phoneticPr fontId="5" type="noConversion"/>
  </si>
  <si>
    <t>2005년
(14회)</t>
    <phoneticPr fontId="5" type="noConversion"/>
  </si>
  <si>
    <t>2005년
(14회)</t>
    <phoneticPr fontId="5" type="noConversion"/>
  </si>
  <si>
    <t>쇠부리</t>
    <phoneticPr fontId="5" type="noConversion"/>
  </si>
  <si>
    <t>북구청광장</t>
    <phoneticPr fontId="5" type="noConversion"/>
  </si>
  <si>
    <t>제15회 무룡예술제</t>
    <phoneticPr fontId="5" type="noConversion"/>
  </si>
  <si>
    <t>9~10월중
(10일간)</t>
    <phoneticPr fontId="5" type="noConversion"/>
  </si>
  <si>
    <t>○ 대한민국 대표 공연및 죽구 기획 공연 프로그램 
    테마공연
   - 재즈, 연극, 클래식콘서트 등</t>
    <phoneticPr fontId="5" type="noConversion"/>
  </si>
  <si>
    <t>울산북구 문화체육과
/북구 문화예술회관
(052-241-7356)</t>
    <phoneticPr fontId="5" type="noConversion"/>
  </si>
  <si>
    <t>2004년
(14회)</t>
    <phoneticPr fontId="5" type="noConversion"/>
  </si>
  <si>
    <t>문화공연</t>
    <phoneticPr fontId="5" type="noConversion"/>
  </si>
  <si>
    <t>공공(울산 북구)</t>
    <phoneticPr fontId="5" type="noConversion"/>
  </si>
  <si>
    <t>북구 문화예술
회관</t>
    <phoneticPr fontId="5" type="noConversion"/>
  </si>
  <si>
    <t>울주군</t>
    <phoneticPr fontId="5" type="noConversion"/>
  </si>
  <si>
    <t>언양한우불고기 축제</t>
    <phoneticPr fontId="5" type="noConversion"/>
  </si>
  <si>
    <t>9~10 중 
(3일간)</t>
    <phoneticPr fontId="5" type="noConversion"/>
  </si>
  <si>
    <t>○ 공연, 먹거리마당, 불고기가요제, 체험부스 전시</t>
    <phoneticPr fontId="5" type="noConversion"/>
  </si>
  <si>
    <t>울주군청 축수산과
/언양한우불고기축제 추진위원회
(052-204-1623)</t>
    <phoneticPr fontId="5" type="noConversion"/>
  </si>
  <si>
    <t>1999년도
(18회)</t>
    <phoneticPr fontId="5" type="noConversion"/>
  </si>
  <si>
    <t>불고기</t>
    <phoneticPr fontId="5" type="noConversion"/>
  </si>
  <si>
    <t>부분위탁</t>
    <phoneticPr fontId="5" type="noConversion"/>
  </si>
  <si>
    <t>2018울산옹기축제</t>
    <phoneticPr fontId="5" type="noConversion"/>
  </si>
  <si>
    <t>5.4.~5.7
(4일간)</t>
    <phoneticPr fontId="5" type="noConversion"/>
  </si>
  <si>
    <t xml:space="preserve"> ○ 옹기전통가마 체험테마촌
 ○옹기를 테마로한 공연, 전시, 체험프로그램 운영
 ○ 개폐막 공연, 주제공연 및 문화공연
    - 7개 분야 60여개 프로그램
 ○ 제5회대한민국옹기공모전 및 수상작 전시 </t>
    <phoneticPr fontId="5" type="noConversion"/>
  </si>
  <si>
    <t>울산광역시 울주군 문화관광과
/울산옹기축제추진위원회,
울산외고산옹기마을협동조합(052-204-0331)</t>
    <phoneticPr fontId="5" type="noConversion"/>
  </si>
  <si>
    <t>2000년도
(18회)</t>
    <phoneticPr fontId="5" type="noConversion"/>
  </si>
  <si>
    <t>옹기</t>
    <phoneticPr fontId="5" type="noConversion"/>
  </si>
  <si>
    <t>마을</t>
    <phoneticPr fontId="5" type="noConversion"/>
  </si>
  <si>
    <t>울주세계산악영화제</t>
    <phoneticPr fontId="5" type="noConversion"/>
  </si>
  <si>
    <t>9~10중
(5일간)</t>
    <phoneticPr fontId="5" type="noConversion"/>
  </si>
  <si>
    <t>○ 산악영화 상영, 개폐막 행사
○ 프로그램 이벤트(GV,패널토크,포럼 등)
○ 부대행사(공연, 경연, 체험, 전시, 캠핑 등)</t>
    <phoneticPr fontId="5" type="noConversion"/>
  </si>
  <si>
    <t>울산광역시 울주군 문화관광과/
사단법인 울주세계산악영화제
(052-248-6454)</t>
    <phoneticPr fontId="5" type="noConversion"/>
  </si>
  <si>
    <t>영화, 산악</t>
    <phoneticPr fontId="5" type="noConversion"/>
  </si>
  <si>
    <t>있음
정규직 11명</t>
    <phoneticPr fontId="5" type="noConversion"/>
  </si>
  <si>
    <t>있음
정규직 11명</t>
    <phoneticPr fontId="5" type="noConversion"/>
  </si>
  <si>
    <t>광장</t>
    <phoneticPr fontId="5" type="noConversion"/>
  </si>
  <si>
    <t>간절곶 해맞이</t>
    <phoneticPr fontId="5" type="noConversion"/>
  </si>
  <si>
    <t>12.31.~1.1.
(2일간)</t>
    <phoneticPr fontId="5" type="noConversion"/>
  </si>
  <si>
    <t>○ 울주 정명천년 기념 이벤트
○ 해넘이 매듭콘서트
○ 해맞이 행사
○ 기타 부대행사 운영 등</t>
    <phoneticPr fontId="5" type="noConversion"/>
  </si>
  <si>
    <t>울산광역시 울주군 문화관광과
/울산MBC, 울주문화원
(052-204-0312)</t>
    <phoneticPr fontId="5" type="noConversion"/>
  </si>
  <si>
    <t>해맞이</t>
    <phoneticPr fontId="5" type="noConversion"/>
  </si>
  <si>
    <t>공공</t>
    <phoneticPr fontId="5" type="noConversion"/>
  </si>
  <si>
    <t>해당없음</t>
    <phoneticPr fontId="5" type="noConversion"/>
  </si>
  <si>
    <t>간절곶
(해안공원)</t>
    <phoneticPr fontId="5" type="noConversion"/>
  </si>
  <si>
    <t>울산배축제</t>
    <phoneticPr fontId="5" type="noConversion"/>
  </si>
  <si>
    <t>○ 농산물 직거래
○ 배시식회, 배요리경연,배품평회 등</t>
    <phoneticPr fontId="5" type="noConversion"/>
  </si>
  <si>
    <t>울산광역시 울주군
/울산원예농협
(052-204-1531)</t>
    <phoneticPr fontId="5" type="noConversion"/>
  </si>
  <si>
    <t>1992/20회</t>
    <phoneticPr fontId="5" type="noConversion"/>
  </si>
  <si>
    <t>지역축제</t>
    <phoneticPr fontId="5" type="noConversion"/>
  </si>
  <si>
    <t>배</t>
    <phoneticPr fontId="5" type="noConversion"/>
  </si>
  <si>
    <t>울산농협</t>
    <phoneticPr fontId="5" type="noConversion"/>
  </si>
  <si>
    <t>야외공터</t>
    <phoneticPr fontId="5" type="noConversion"/>
  </si>
  <si>
    <t>제2회 햇토우랑 대축제</t>
    <phoneticPr fontId="5" type="noConversion"/>
  </si>
  <si>
    <t>5.5~5.7
(3일간)</t>
    <phoneticPr fontId="5" type="noConversion"/>
  </si>
  <si>
    <t>5.5~5.7
(3일간)</t>
    <phoneticPr fontId="5" type="noConversion"/>
  </si>
  <si>
    <t>○ 조합원대회, 전국TOP10 가요쇼, 햇토우랑 할인판매,
    대형먹거리광장, 전시홍보, 노래자랑 등</t>
    <phoneticPr fontId="5" type="noConversion"/>
  </si>
  <si>
    <t>울산광역시 울주군
/울산축산농협, UBC 울산방송
(052-257-0508)</t>
    <phoneticPr fontId="5" type="noConversion"/>
  </si>
  <si>
    <t>2017/2회</t>
    <phoneticPr fontId="5" type="noConversion"/>
  </si>
  <si>
    <t>한우</t>
    <phoneticPr fontId="5" type="noConversion"/>
  </si>
  <si>
    <t>을산축협</t>
    <phoneticPr fontId="5" type="noConversion"/>
  </si>
  <si>
    <t>태화강 고수부지</t>
    <phoneticPr fontId="5" type="noConversion"/>
  </si>
  <si>
    <t>언양 한우 불고기축제</t>
    <phoneticPr fontId="5" type="noConversion"/>
  </si>
  <si>
    <t>○ 한우 불고기 먹거리 광장, 판매장 체험마당 등</t>
    <phoneticPr fontId="5" type="noConversion"/>
  </si>
  <si>
    <t>울산광역시 울주군
/언양한우불고기축제 추진위원회
(052-204-1531)</t>
    <phoneticPr fontId="5" type="noConversion"/>
  </si>
  <si>
    <t>1999/19회</t>
    <phoneticPr fontId="5" type="noConversion"/>
  </si>
  <si>
    <t>한우</t>
    <phoneticPr fontId="5" type="noConversion"/>
  </si>
  <si>
    <t>언양한우불고기 추진위원회</t>
    <phoneticPr fontId="5" type="noConversion"/>
  </si>
  <si>
    <t>언양한우불고기 특구 일원</t>
    <phoneticPr fontId="5" type="noConversion"/>
  </si>
  <si>
    <t>울산축산인한마음대회</t>
    <phoneticPr fontId="5" type="noConversion"/>
  </si>
  <si>
    <t>9~10월중
(3일간)</t>
    <phoneticPr fontId="5" type="noConversion"/>
  </si>
  <si>
    <t>○ 개회식, 축산물 소비촉진, 축산인 가요제, 전시행사 등</t>
    <phoneticPr fontId="5" type="noConversion"/>
  </si>
  <si>
    <t>울산광역시 울주군
/울산광역시축산단체연합회
(052-262-5840)</t>
    <phoneticPr fontId="5" type="noConversion"/>
  </si>
  <si>
    <t>2014/5회</t>
    <phoneticPr fontId="5" type="noConversion"/>
  </si>
  <si>
    <t>7개축종단체참여 축산인 한마당행사</t>
    <phoneticPr fontId="5" type="noConversion"/>
  </si>
  <si>
    <t>울산축산단체연합회</t>
    <phoneticPr fontId="5" type="noConversion"/>
  </si>
  <si>
    <t>언양공설주차장(예정)</t>
    <phoneticPr fontId="5" type="noConversion"/>
  </si>
  <si>
    <t>서울특별시</t>
    <phoneticPr fontId="5" type="noConversion"/>
  </si>
  <si>
    <t>대구광역시</t>
    <phoneticPr fontId="5" type="noConversion"/>
  </si>
  <si>
    <t>생태자연</t>
    <phoneticPr fontId="5" type="noConversion"/>
  </si>
  <si>
    <t>지역특산물</t>
    <phoneticPr fontId="5" type="noConversion"/>
  </si>
  <si>
    <t>광주광역시</t>
    <phoneticPr fontId="5" type="noConversion"/>
  </si>
  <si>
    <t>주민화합</t>
    <phoneticPr fontId="5" type="noConversion"/>
  </si>
  <si>
    <t>대전광역시</t>
    <phoneticPr fontId="5" type="noConversion"/>
  </si>
  <si>
    <t>울산광역시</t>
    <phoneticPr fontId="5" type="noConversion"/>
  </si>
  <si>
    <t>경기도</t>
    <phoneticPr fontId="5" type="noConversion"/>
  </si>
  <si>
    <t>강원도</t>
    <phoneticPr fontId="5" type="noConversion"/>
  </si>
  <si>
    <t>2018년 지역축제 개최계획 총괄표</t>
    <phoneticPr fontId="5" type="noConversion"/>
  </si>
  <si>
    <t xml:space="preserve">방문객수(2017년기준, 단위 : 천명) </t>
    <phoneticPr fontId="5" type="noConversion"/>
  </si>
  <si>
    <t>연번</t>
    <phoneticPr fontId="5" type="noConversion"/>
  </si>
  <si>
    <t>시도명</t>
    <phoneticPr fontId="5" type="noConversion"/>
  </si>
  <si>
    <t>시군구명</t>
    <phoneticPr fontId="5" type="noConversion"/>
  </si>
  <si>
    <t>축제명</t>
    <phoneticPr fontId="5" type="noConversion"/>
  </si>
  <si>
    <t>2018년
개최기간</t>
    <phoneticPr fontId="5" type="noConversion"/>
  </si>
  <si>
    <t>주최/주관
(담당자 연락처)</t>
    <phoneticPr fontId="5" type="noConversion"/>
  </si>
  <si>
    <t>최초개최년도
및 횟수</t>
    <phoneticPr fontId="5" type="noConversion"/>
  </si>
  <si>
    <t>2018년
축제예산</t>
    <phoneticPr fontId="5" type="noConversion"/>
  </si>
  <si>
    <t>국비</t>
    <phoneticPr fontId="5" type="noConversion"/>
  </si>
  <si>
    <t>시,도비</t>
    <phoneticPr fontId="5" type="noConversion"/>
  </si>
  <si>
    <t>구,군비</t>
    <phoneticPr fontId="5" type="noConversion"/>
  </si>
  <si>
    <t>기타</t>
    <phoneticPr fontId="5" type="noConversion"/>
  </si>
  <si>
    <t>국비지원
부처명</t>
    <phoneticPr fontId="5" type="noConversion"/>
  </si>
  <si>
    <t>세부사업명</t>
    <phoneticPr fontId="5" type="noConversion"/>
  </si>
  <si>
    <t>축제소재</t>
    <phoneticPr fontId="5" type="noConversion"/>
  </si>
  <si>
    <t>개최주기</t>
    <phoneticPr fontId="5" type="noConversion"/>
  </si>
  <si>
    <t>조직형태</t>
    <phoneticPr fontId="5" type="noConversion"/>
  </si>
  <si>
    <t>합 계</t>
    <phoneticPr fontId="5" type="noConversion"/>
  </si>
  <si>
    <t>내국인</t>
    <phoneticPr fontId="5" type="noConversion"/>
  </si>
  <si>
    <t>외국인</t>
    <phoneticPr fontId="5" type="noConversion"/>
  </si>
  <si>
    <t>세종특별
자치시청</t>
  </si>
  <si>
    <t>세종축제</t>
    <phoneticPr fontId="5" type="noConversion"/>
  </si>
  <si>
    <t>10.6~10.9</t>
    <phoneticPr fontId="5" type="noConversion"/>
  </si>
  <si>
    <t xml:space="preserve"> ○ 세종축제주간 병행운영 (세종예술제등 운영)
 ○ 세종대왕과 한글을 주재로한 공연 전시 및 체험프로그램운영
 ○ 개폐막공연 및 주제공연
    - 5개분야 50여개 프로그램운영
 ○ 한글창의산업전, 한글어린이합창잔치, 한글백일장등 운영</t>
    <phoneticPr fontId="5" type="noConversion"/>
  </si>
  <si>
    <t>세종특별자치시/문화체육관광과
(044-300-3443)</t>
    <phoneticPr fontId="5" type="noConversion"/>
  </si>
  <si>
    <t>2013년
(6회)</t>
    <phoneticPr fontId="5" type="noConversion"/>
  </si>
  <si>
    <t>2013년
(6회)</t>
    <phoneticPr fontId="5" type="noConversion"/>
  </si>
  <si>
    <t>문화예술</t>
    <phoneticPr fontId="5" type="noConversion"/>
  </si>
  <si>
    <t>문화관광축제
(육성축제)</t>
    <phoneticPr fontId="5" type="noConversion"/>
  </si>
  <si>
    <t>세종대왕, 한글</t>
    <phoneticPr fontId="5" type="noConversion"/>
  </si>
  <si>
    <t>공공(시군구)</t>
    <phoneticPr fontId="5" type="noConversion"/>
  </si>
  <si>
    <t>없음</t>
    <phoneticPr fontId="5" type="noConversion"/>
  </si>
  <si>
    <t>부분위탁</t>
    <phoneticPr fontId="5" type="noConversion"/>
  </si>
  <si>
    <t>세종호수공원
(호수 및 공원)</t>
    <phoneticPr fontId="5" type="noConversion"/>
  </si>
  <si>
    <t>푸드트럭페스티벌</t>
    <phoneticPr fontId="5" type="noConversion"/>
  </si>
  <si>
    <t xml:space="preserve"> ○ 푸드트럭 존 운영</t>
    <phoneticPr fontId="5" type="noConversion"/>
  </si>
  <si>
    <t>2015년
(4회)</t>
    <phoneticPr fontId="5" type="noConversion"/>
  </si>
  <si>
    <t>주민화합</t>
    <phoneticPr fontId="5" type="noConversion"/>
  </si>
  <si>
    <t>지역축제</t>
    <phoneticPr fontId="5" type="noConversion"/>
  </si>
  <si>
    <t>푸드트럭</t>
    <phoneticPr fontId="5" type="noConversion"/>
  </si>
  <si>
    <t>매년</t>
    <phoneticPr fontId="5" type="noConversion"/>
  </si>
  <si>
    <t>없음</t>
    <phoneticPr fontId="5" type="noConversion"/>
  </si>
  <si>
    <t>세종조치원 복숭아 봄꽃 축제</t>
    <phoneticPr fontId="5" type="noConversion"/>
  </si>
  <si>
    <t>4월중</t>
    <phoneticPr fontId="5" type="noConversion"/>
  </si>
  <si>
    <t>4월중</t>
    <phoneticPr fontId="5" type="noConversion"/>
  </si>
  <si>
    <t xml:space="preserve"> ○ 꽃을 테마로한 사생대회, 사진촬영대회, 공연, 전시, 
     체험프로그램 운영
 ○ 개폐막 공연, 주제공연 및 문화공연
 ○ 기타 특별행사 및 전시 등등 </t>
    <phoneticPr fontId="5" type="noConversion"/>
  </si>
  <si>
    <t>세종특별자치시 로컬푸드과
/세종조치원복숭아연합영농법인</t>
    <phoneticPr fontId="5" type="noConversion"/>
  </si>
  <si>
    <t>2003년도
(16회)</t>
    <phoneticPr fontId="5" type="noConversion"/>
  </si>
  <si>
    <t>지역특산물</t>
    <phoneticPr fontId="5" type="noConversion"/>
  </si>
  <si>
    <t>지역축제</t>
    <phoneticPr fontId="5" type="noConversion"/>
  </si>
  <si>
    <t>복숭아</t>
    <phoneticPr fontId="5" type="noConversion"/>
  </si>
  <si>
    <t>매년</t>
    <phoneticPr fontId="5" type="noConversion"/>
  </si>
  <si>
    <t>임의단체</t>
    <phoneticPr fontId="5" type="noConversion"/>
  </si>
  <si>
    <t>부</t>
    <phoneticPr fontId="5" type="noConversion"/>
  </si>
  <si>
    <t>전통역사</t>
    <phoneticPr fontId="5" type="noConversion"/>
  </si>
  <si>
    <t>문화예술</t>
    <phoneticPr fontId="5" type="noConversion"/>
  </si>
  <si>
    <t>대구광역시</t>
    <phoneticPr fontId="5" type="noConversion"/>
  </si>
  <si>
    <t>생태자연</t>
    <phoneticPr fontId="5" type="noConversion"/>
  </si>
  <si>
    <t>인천광역시</t>
    <phoneticPr fontId="5" type="noConversion"/>
  </si>
  <si>
    <t>지역특산물</t>
    <phoneticPr fontId="5" type="noConversion"/>
  </si>
  <si>
    <t>주민화합</t>
    <phoneticPr fontId="5" type="noConversion"/>
  </si>
  <si>
    <t>대전광역시</t>
    <phoneticPr fontId="5" type="noConversion"/>
  </si>
  <si>
    <t>기타</t>
    <phoneticPr fontId="5" type="noConversion"/>
  </si>
  <si>
    <t>울산광역시</t>
    <phoneticPr fontId="5" type="noConversion"/>
  </si>
  <si>
    <t>경기도</t>
    <phoneticPr fontId="5" type="noConversion"/>
  </si>
  <si>
    <t>강원도</t>
    <phoneticPr fontId="5" type="noConversion"/>
  </si>
  <si>
    <t>충청북도</t>
    <phoneticPr fontId="5" type="noConversion"/>
  </si>
  <si>
    <t>충청남도</t>
    <phoneticPr fontId="5" type="noConversion"/>
  </si>
  <si>
    <t>전라북도</t>
    <phoneticPr fontId="5" type="noConversion"/>
  </si>
  <si>
    <t>전라남도</t>
    <phoneticPr fontId="5" type="noConversion"/>
  </si>
  <si>
    <t>경상북도</t>
    <phoneticPr fontId="5" type="noConversion"/>
  </si>
  <si>
    <t>제주도</t>
    <phoneticPr fontId="5" type="noConversion"/>
  </si>
  <si>
    <t>2018년 지역축제 개최계획 총괄표</t>
    <phoneticPr fontId="5" type="noConversion"/>
  </si>
  <si>
    <t>연번</t>
    <phoneticPr fontId="5" type="noConversion"/>
  </si>
  <si>
    <t>시도명</t>
    <phoneticPr fontId="5" type="noConversion"/>
  </si>
  <si>
    <t>축제명</t>
    <phoneticPr fontId="5" type="noConversion"/>
  </si>
  <si>
    <t>주최/주관
(담당자 연락처)</t>
    <phoneticPr fontId="5" type="noConversion"/>
  </si>
  <si>
    <t>국비</t>
    <phoneticPr fontId="5" type="noConversion"/>
  </si>
  <si>
    <t>시,도비</t>
    <phoneticPr fontId="5" type="noConversion"/>
  </si>
  <si>
    <t>국비지원
부처명</t>
    <phoneticPr fontId="5" type="noConversion"/>
  </si>
  <si>
    <t>세부사업명</t>
    <phoneticPr fontId="5" type="noConversion"/>
  </si>
  <si>
    <t>문화관광축제 여부</t>
    <phoneticPr fontId="5" type="noConversion"/>
  </si>
  <si>
    <t>축제소재</t>
    <phoneticPr fontId="5" type="noConversion"/>
  </si>
  <si>
    <t>개최주기</t>
    <phoneticPr fontId="5" type="noConversion"/>
  </si>
  <si>
    <t>합 계</t>
    <phoneticPr fontId="5" type="noConversion"/>
  </si>
  <si>
    <t>내국인</t>
    <phoneticPr fontId="5" type="noConversion"/>
  </si>
  <si>
    <t>외국인</t>
    <phoneticPr fontId="5" type="noConversion"/>
  </si>
  <si>
    <t>개최장소</t>
    <phoneticPr fontId="5" type="noConversion"/>
  </si>
  <si>
    <t>경기도</t>
    <phoneticPr fontId="5" type="noConversion"/>
  </si>
  <si>
    <t>안성시</t>
    <phoneticPr fontId="5" type="noConversion"/>
  </si>
  <si>
    <t>2018 안성맞춤 남사당 바우덕이축제</t>
    <phoneticPr fontId="5" type="noConversion"/>
  </si>
  <si>
    <t xml:space="preserve">9월말~10월초
(10.04 길놀이,
10.05~10.09 예정)
</t>
    <phoneticPr fontId="5" type="noConversion"/>
  </si>
  <si>
    <t>○ 시립풍물단 남사당 공연
  - 줄타기등 여섯마당
○ 전야 길놀이 퍼레이드
  - 30여단체 3,000여명
○ 바우덕이 주제 프로그램
○ 유명 무형문화재 초청공연
○ CIOFF 해외공연 초청
○ 안성 옛 장터 운영
○ 남사당놀이 체험
○ 바우덕이 추모제, 전야제, 주제공연 및 문화공연
○ 기타 특별행사 및 전시 등</t>
    <phoneticPr fontId="5" type="noConversion"/>
  </si>
  <si>
    <t>안성시 문화관광과
/안성맞춤남사당바우덕이축제위원회
(031-678-2512)</t>
    <phoneticPr fontId="5" type="noConversion"/>
  </si>
  <si>
    <t>2001년도
(18회)</t>
    <phoneticPr fontId="5" type="noConversion"/>
  </si>
  <si>
    <t>문화관광축제 지원</t>
    <phoneticPr fontId="5" type="noConversion"/>
  </si>
  <si>
    <t>남사당놀이</t>
    <phoneticPr fontId="5" type="noConversion"/>
  </si>
  <si>
    <t>축제조직위</t>
    <phoneticPr fontId="5" type="noConversion"/>
  </si>
  <si>
    <t>자체추진</t>
    <phoneticPr fontId="5" type="noConversion"/>
  </si>
  <si>
    <t>가평군</t>
    <phoneticPr fontId="5" type="noConversion"/>
  </si>
  <si>
    <t xml:space="preserve">제15회 자라섬 국제재즈페스티벌 </t>
    <phoneticPr fontId="5" type="noConversion"/>
  </si>
  <si>
    <t>10.12~10.14
(3일간)</t>
    <phoneticPr fontId="5" type="noConversion"/>
  </si>
  <si>
    <t xml:space="preserve"> ○ 국내외 재즈아티스트 공연
 ○ 재즈콩쿨
 ○ 전시체험 및 각종 이벤트 운영 등</t>
    <phoneticPr fontId="5" type="noConversion"/>
  </si>
  <si>
    <t>가평군 문화체육과
/ (사)자라섬청소년재즈센터
(031-581-2813)</t>
    <phoneticPr fontId="5" type="noConversion"/>
  </si>
  <si>
    <t>문체부</t>
    <phoneticPr fontId="5" type="noConversion"/>
  </si>
  <si>
    <t>음악(재즈)</t>
    <phoneticPr fontId="5" type="noConversion"/>
  </si>
  <si>
    <t xml:space="preserve">있음
정규직 4명
계약직 3명
총 7명  </t>
    <phoneticPr fontId="5" type="noConversion"/>
  </si>
  <si>
    <t>부분위탁
(운영, 하드웨어, 프로그램)</t>
    <phoneticPr fontId="5" type="noConversion"/>
  </si>
  <si>
    <t>기타</t>
    <phoneticPr fontId="5" type="noConversion"/>
  </si>
  <si>
    <t>양평군</t>
    <phoneticPr fontId="5" type="noConversion"/>
  </si>
  <si>
    <t>양평 단월 고로쇠축제</t>
    <phoneticPr fontId="5" type="noConversion"/>
  </si>
  <si>
    <t>3.17~3.18
(2일간)</t>
    <phoneticPr fontId="5" type="noConversion"/>
  </si>
  <si>
    <t xml:space="preserve">○ 고로쇠 판매 및 농특산물 판매
○ 고로쇠 김밥 나눔행사
○ 문화공연 및 이벤트 </t>
    <phoneticPr fontId="5" type="noConversion"/>
  </si>
  <si>
    <t>단월면/단월고로쇠축제추진위원회
(031-770-3199)</t>
    <phoneticPr fontId="5" type="noConversion"/>
  </si>
  <si>
    <t>1999년
(18회)</t>
    <phoneticPr fontId="5" type="noConversion"/>
  </si>
  <si>
    <t>고로쇠</t>
    <phoneticPr fontId="5" type="noConversion"/>
  </si>
  <si>
    <t>고로쇠</t>
    <phoneticPr fontId="5" type="noConversion"/>
  </si>
  <si>
    <t>매년</t>
    <phoneticPr fontId="5" type="noConversion"/>
  </si>
  <si>
    <t>운동장</t>
    <phoneticPr fontId="5" type="noConversion"/>
  </si>
  <si>
    <t>양평 산수유 한우축제</t>
    <phoneticPr fontId="5" type="noConversion"/>
  </si>
  <si>
    <t>4.7~4.8
(2일간</t>
    <phoneticPr fontId="5" type="noConversion"/>
  </si>
  <si>
    <t>○ 산수유 마을 홍보 및 농특산물 홍보
○ 기타문화행사 10여개</t>
    <phoneticPr fontId="5" type="noConversion"/>
  </si>
  <si>
    <t>개군면/양평산수유축제추진위원회
(031-770-3341)</t>
    <phoneticPr fontId="5" type="noConversion"/>
  </si>
  <si>
    <t>2003년도
(14회)</t>
    <phoneticPr fontId="5" type="noConversion"/>
  </si>
  <si>
    <t>지역특산물</t>
    <phoneticPr fontId="5" type="noConversion"/>
  </si>
  <si>
    <t>산수유,한우</t>
    <phoneticPr fontId="5" type="noConversion"/>
  </si>
  <si>
    <t>양평용문산산나물축제</t>
    <phoneticPr fontId="5" type="noConversion"/>
  </si>
  <si>
    <t>5.4~5.6
(3일간)</t>
    <phoneticPr fontId="5" type="noConversion"/>
  </si>
  <si>
    <t>○ 산나물 및 농특산물 판매
○ 산나물 및 한우홍보관 운영
○ 산촌문화 및 이벤트 행사</t>
    <phoneticPr fontId="5" type="noConversion"/>
  </si>
  <si>
    <t>양평군/양평군축제추진위원회
(031-770-2096)</t>
    <phoneticPr fontId="5" type="noConversion"/>
  </si>
  <si>
    <t>2008년
(9회)</t>
    <phoneticPr fontId="5" type="noConversion"/>
  </si>
  <si>
    <t>산나물</t>
    <phoneticPr fontId="5" type="noConversion"/>
  </si>
  <si>
    <t>축제조직위</t>
    <phoneticPr fontId="5" type="noConversion"/>
  </si>
  <si>
    <t>공원</t>
    <phoneticPr fontId="5" type="noConversion"/>
  </si>
  <si>
    <t>양평물축제</t>
    <phoneticPr fontId="5" type="noConversion"/>
  </si>
  <si>
    <t>7월말~8월초
(3일간)</t>
    <phoneticPr fontId="5" type="noConversion"/>
  </si>
  <si>
    <t>○ 물놀이체험 
○ 문화공연 
○ 각종 문화공연 및 이벤트 행사</t>
    <phoneticPr fontId="5" type="noConversion"/>
  </si>
  <si>
    <t>옥천면/물축제추진위원회
(031-770-3132)</t>
    <phoneticPr fontId="5" type="noConversion"/>
  </si>
  <si>
    <t>2012년
(7회)</t>
    <phoneticPr fontId="5" type="noConversion"/>
  </si>
  <si>
    <t>물놀이</t>
    <phoneticPr fontId="5" type="noConversion"/>
  </si>
  <si>
    <t>전체위탁</t>
    <phoneticPr fontId="5" type="noConversion"/>
  </si>
  <si>
    <t>공원,하천</t>
    <phoneticPr fontId="5" type="noConversion"/>
  </si>
  <si>
    <t>시흥시</t>
    <phoneticPr fontId="5" type="noConversion"/>
  </si>
  <si>
    <t>시흥시</t>
    <phoneticPr fontId="5" type="noConversion"/>
  </si>
  <si>
    <t>시흥갯골축제</t>
    <phoneticPr fontId="5" type="noConversion"/>
  </si>
  <si>
    <t>○ 대표프로그램 : 갯골패밀리런, 어쿠스틱음악제
○ 생태자원을 활용한 100여가지 체험 및 공연 프로그램 운영
   - 자연속 놀이와 체험 : 10개 존, 예술과 공연 : 6개 존
○ 갯골미술대회, 시흥청년축제학교 등</t>
    <phoneticPr fontId="5" type="noConversion"/>
  </si>
  <si>
    <t>시흥시 관광과/
시흥갯골축제추진위원회
(031-310-2913)</t>
    <phoneticPr fontId="5" type="noConversion"/>
  </si>
  <si>
    <t>2006년도
(제13회)</t>
    <phoneticPr fontId="5" type="noConversion"/>
  </si>
  <si>
    <t>문화관광축제 지원</t>
    <phoneticPr fontId="5" type="noConversion"/>
  </si>
  <si>
    <t>개골, 소금, 갈대, 바람, 꽃 등</t>
    <phoneticPr fontId="5" type="noConversion"/>
  </si>
  <si>
    <t>공원</t>
    <phoneticPr fontId="5" type="noConversion"/>
  </si>
  <si>
    <t>물왕예술제</t>
    <phoneticPr fontId="5" type="noConversion"/>
  </si>
  <si>
    <t>5월중</t>
    <phoneticPr fontId="5" type="noConversion"/>
  </si>
  <si>
    <t>○공연부문 : 개폐막 공연, 마당극
○전시부문 : 시화전, 미술전, 사진전
○시민참여예술제 : 물왕예술대회, 백일장, 사생·휘호대회
○체험부스 : 부채만들기, 가족사진촬영, 커리커쳐 등</t>
    <phoneticPr fontId="5" type="noConversion"/>
  </si>
  <si>
    <t>시흥시 문화예술과/                     시흥예총                                 (031-310-6731)</t>
    <phoneticPr fontId="5" type="noConversion"/>
  </si>
  <si>
    <t>1993년도       (제25회)</t>
    <phoneticPr fontId="5" type="noConversion"/>
  </si>
  <si>
    <t>예술제</t>
    <phoneticPr fontId="5" type="noConversion"/>
  </si>
  <si>
    <t>사단법인</t>
    <phoneticPr fontId="5" type="noConversion"/>
  </si>
  <si>
    <t>경기도</t>
    <phoneticPr fontId="5" type="noConversion"/>
  </si>
  <si>
    <t>양주시</t>
    <phoneticPr fontId="5" type="noConversion"/>
  </si>
  <si>
    <t>천일홍 축제(가칭)</t>
    <phoneticPr fontId="5" type="noConversion"/>
  </si>
  <si>
    <t>9월중(예정)</t>
    <phoneticPr fontId="5" type="noConversion"/>
  </si>
  <si>
    <t>○ 감동콘서트, 퓨전콘서트 등 문화예술공연, 버스킹공연
○ 전시, 체험 참여프로그램 등
○ 우수농축산물 직거래장터
○ 전국사진공모전, 어린이 그림대회 등
○ 아경연출 등 천일홍 군락지 경관조명</t>
    <phoneticPr fontId="5" type="noConversion"/>
  </si>
  <si>
    <t>양주시 문화관광과 
(031-8082-5655)</t>
    <phoneticPr fontId="5" type="noConversion"/>
  </si>
  <si>
    <t>2017년도
(2회)</t>
    <phoneticPr fontId="5" type="noConversion"/>
  </si>
  <si>
    <t>천일홍 꽃 등</t>
    <phoneticPr fontId="5" type="noConversion"/>
  </si>
  <si>
    <t>공공(시군구)</t>
    <phoneticPr fontId="5" type="noConversion"/>
  </si>
  <si>
    <t>없음</t>
    <phoneticPr fontId="5" type="noConversion"/>
  </si>
  <si>
    <t>의왕시</t>
    <phoneticPr fontId="5" type="noConversion"/>
  </si>
  <si>
    <t>의왕철도축제</t>
    <phoneticPr fontId="5" type="noConversion"/>
  </si>
  <si>
    <t>5.5~5.7
(3일간,예정)</t>
    <phoneticPr fontId="5" type="noConversion"/>
  </si>
  <si>
    <t>○ 한국의 철도 특별전
○ 철도를 테마로한 전시프로그램(9개), 체험프로그램    (125개) 운영
○ 개폐막 공연, 주제공연 및 문화공연
    - 2개 분야 28여개 프로그램</t>
  </si>
  <si>
    <t>의왕시 문화체육과
/의왕시 축제추진위원회
(031-345-2532)</t>
    <phoneticPr fontId="5" type="noConversion"/>
  </si>
  <si>
    <t>전통역사</t>
    <phoneticPr fontId="5" type="noConversion"/>
  </si>
  <si>
    <t>철도</t>
    <phoneticPr fontId="5" type="noConversion"/>
  </si>
  <si>
    <t>자연학습공원
철도박물관
조류생태과학관
의왕역</t>
    <phoneticPr fontId="5" type="noConversion"/>
  </si>
  <si>
    <t>의왕시</t>
    <phoneticPr fontId="5" type="noConversion"/>
  </si>
  <si>
    <t>의왕백운예술제</t>
    <phoneticPr fontId="5" type="noConversion"/>
  </si>
  <si>
    <t>9.15~9.16
(2일간,예정)</t>
    <phoneticPr fontId="5" type="noConversion"/>
  </si>
  <si>
    <t xml:space="preserve">○ 공연프로그램(클래식, 국악,발레, 합창 등)
○ 경연대회(예술경연, 글짓기, 그림,만화그리기)
○ 시민참여 예술공연 
○ 체험 및 부대행사 </t>
  </si>
  <si>
    <t>의왕시 문화체육과
/의왕시 축제추진위원회
(031-345-2533)</t>
    <phoneticPr fontId="5" type="noConversion"/>
  </si>
  <si>
    <t>2003년도
(16회)</t>
    <phoneticPr fontId="5" type="noConversion"/>
  </si>
  <si>
    <t>예술인</t>
    <phoneticPr fontId="5" type="noConversion"/>
  </si>
  <si>
    <t>축제추진위</t>
    <phoneticPr fontId="5" type="noConversion"/>
  </si>
  <si>
    <t>백운호수
공영주차장</t>
    <phoneticPr fontId="5" type="noConversion"/>
  </si>
  <si>
    <t>남양주시</t>
    <phoneticPr fontId="5" type="noConversion"/>
  </si>
  <si>
    <t>제32회                       남양주다산문화제</t>
    <phoneticPr fontId="5" type="noConversion"/>
  </si>
  <si>
    <t>9.14. ~ 9.16.          (3일간)</t>
    <phoneticPr fontId="5" type="noConversion"/>
  </si>
  <si>
    <t>경기도 남양주시 다산로             747번길 11  /                               남양주시다산문화제추진위원회 (031-576-6760)</t>
    <phoneticPr fontId="5" type="noConversion"/>
  </si>
  <si>
    <t>1986년도          (32회)</t>
    <phoneticPr fontId="5" type="noConversion"/>
  </si>
  <si>
    <t>역사인물</t>
    <phoneticPr fontId="5" type="noConversion"/>
  </si>
  <si>
    <t>다산유적지 및 다산생태공원 일원</t>
    <phoneticPr fontId="5" type="noConversion"/>
  </si>
  <si>
    <t>남양주 슬로라이프 
국내대회</t>
    <phoneticPr fontId="5" type="noConversion"/>
  </si>
  <si>
    <t>10월첫주
(예정)</t>
    <phoneticPr fontId="5" type="noConversion"/>
  </si>
  <si>
    <t>○ 슬로라이프 플래닛 (주제 구현)
    - 세계인의 밥상나눔, 슬로라이프5R, 역사홍보관
    - 해외, 국내 친환경 유기농 전시판매 등  
    - 푸드쇼, 슬로라이프 공유부엌, 푸드스타트업스쿨                                         
○ 슬로라이프 중점과제 체험 교육 프로그램 운영
    - 쿡앤두어드벤쳐, 일상의 슬로라이프, 아트페어
    - 요리경연대회, 어린이체험관 등
○ 개막식, 폐막식, 부대행사, 컨퍼런스 등</t>
    <phoneticPr fontId="5" type="noConversion"/>
  </si>
  <si>
    <t xml:space="preserve">남양주시 슬로관광과 /                      슬로라이프기획팀               (031-590-8842) </t>
    <phoneticPr fontId="5" type="noConversion"/>
  </si>
  <si>
    <t>2015년도(1회)</t>
    <phoneticPr fontId="5" type="noConversion"/>
  </si>
  <si>
    <t>문화예술</t>
    <phoneticPr fontId="5" type="noConversion"/>
  </si>
  <si>
    <t>밥상문화</t>
    <phoneticPr fontId="5" type="noConversion"/>
  </si>
  <si>
    <t>격년</t>
    <phoneticPr fontId="5" type="noConversion"/>
  </si>
  <si>
    <t>체육문화센터</t>
    <phoneticPr fontId="5" type="noConversion"/>
  </si>
  <si>
    <t>제13회 광릉숲축제</t>
    <phoneticPr fontId="5" type="noConversion"/>
  </si>
  <si>
    <t>6.16~6.17
(2일간)</t>
    <phoneticPr fontId="5" type="noConversion"/>
  </si>
  <si>
    <t>○ 광릉숲걷기, 숲속체험, 공연, 전시, 체험 등</t>
    <phoneticPr fontId="5" type="noConversion"/>
  </si>
  <si>
    <t>남양주시/광릉숲축제집행위원회 (031-590-8315)</t>
    <phoneticPr fontId="5" type="noConversion"/>
  </si>
  <si>
    <t>2006년도
(13회)</t>
    <phoneticPr fontId="5" type="noConversion"/>
  </si>
  <si>
    <t>숲</t>
    <phoneticPr fontId="5" type="noConversion"/>
  </si>
  <si>
    <t>사적지 및 숲속</t>
    <phoneticPr fontId="5" type="noConversion"/>
  </si>
  <si>
    <t>이천시</t>
    <phoneticPr fontId="5" type="noConversion"/>
  </si>
  <si>
    <t>산수유축제</t>
    <phoneticPr fontId="5" type="noConversion"/>
  </si>
  <si>
    <t>4월초</t>
    <phoneticPr fontId="5" type="noConversion"/>
  </si>
  <si>
    <t>○ 풍년기원제,육현추모제
○ 자연관찰장 운영
○ 산수유꽃과 열매 사진 및 사생대회
○ 산수유 체험행사</t>
    <phoneticPr fontId="5" type="noConversion"/>
  </si>
  <si>
    <t>이천시/이천백사산수꽃축제추진위원회</t>
    <phoneticPr fontId="5" type="noConversion"/>
  </si>
  <si>
    <t>산수유꽃</t>
    <phoneticPr fontId="5" type="noConversion"/>
  </si>
  <si>
    <t>이천도자기축제</t>
    <phoneticPr fontId="5" type="noConversion"/>
  </si>
  <si>
    <t>4.27.~5.13.</t>
    <phoneticPr fontId="5" type="noConversion"/>
  </si>
  <si>
    <t>○ 도자를 테마로 하는 전시, 판매, 시연, 체험, 워크숍·
    공연, 이벤트</t>
    <phoneticPr fontId="5" type="noConversion"/>
  </si>
  <si>
    <t>경기도 이천시/이천도자기축제추진위원회
(031-645-3691)</t>
    <phoneticPr fontId="5" type="noConversion"/>
  </si>
  <si>
    <t>1987년도
(32회)</t>
    <phoneticPr fontId="5" type="noConversion"/>
  </si>
  <si>
    <t>지역특산물</t>
    <phoneticPr fontId="5" type="noConversion"/>
  </si>
  <si>
    <t>도자기</t>
    <phoneticPr fontId="5" type="noConversion"/>
  </si>
  <si>
    <t>경기도</t>
  </si>
  <si>
    <t>이천시</t>
    <phoneticPr fontId="5" type="noConversion"/>
  </si>
  <si>
    <t>이천체험문화축제</t>
    <phoneticPr fontId="5" type="noConversion"/>
  </si>
  <si>
    <t>5월중(3일간)</t>
    <phoneticPr fontId="5" type="noConversion"/>
  </si>
  <si>
    <t>○ 체험프로그램 부스운영
○ 다양한 공연, 판매, 먹거리부스 운영</t>
    <phoneticPr fontId="5" type="noConversion"/>
  </si>
  <si>
    <t>이천시 문화관광과/(사)이천농촌나드리(031-636-2724)</t>
    <phoneticPr fontId="5" type="noConversion"/>
  </si>
  <si>
    <t>2013년도(5회)</t>
    <phoneticPr fontId="5" type="noConversion"/>
  </si>
  <si>
    <t>체험</t>
    <phoneticPr fontId="5" type="noConversion"/>
  </si>
  <si>
    <t>사단법인</t>
    <phoneticPr fontId="5" type="noConversion"/>
  </si>
  <si>
    <t>농업테마공원</t>
    <phoneticPr fontId="5" type="noConversion"/>
  </si>
  <si>
    <t>이천시</t>
    <phoneticPr fontId="5" type="noConversion"/>
  </si>
  <si>
    <t>서희문화제</t>
    <phoneticPr fontId="5" type="noConversion"/>
  </si>
  <si>
    <t>9월 중(2일간)</t>
    <phoneticPr fontId="5" type="noConversion"/>
  </si>
  <si>
    <t>○서희외교담판 재현행사 
○서희선생의외교업적을 테마로한 공연,전시,체험프로
    그램운영   
○고려시대놀이마당,토론배틀,나도외교관스피치경연대회 
    -  5개마당 20여개 프로그램
○서희선생의 업적과 정신을  기리는 작품 전시</t>
    <phoneticPr fontId="5" type="noConversion"/>
  </si>
  <si>
    <t>이천시 문화관광과/서희문화제
추진위원회
(031-645-3657~3659)</t>
    <phoneticPr fontId="5" type="noConversion"/>
  </si>
  <si>
    <t>장위공 서희</t>
    <phoneticPr fontId="5" type="noConversion"/>
  </si>
  <si>
    <t>이천시</t>
    <phoneticPr fontId="5" type="noConversion"/>
  </si>
  <si>
    <t>제22회햇사레장호원복숭아축제</t>
    <phoneticPr fontId="5" type="noConversion"/>
  </si>
  <si>
    <t>9.21~9.23</t>
    <phoneticPr fontId="5" type="noConversion"/>
  </si>
  <si>
    <t xml:space="preserve">○ 개폐막 공연
○ 지역 문화공연
○ 선별체험 및 수확체험
○ 농특산물 및 복숭아 직판 </t>
    <phoneticPr fontId="5" type="noConversion"/>
  </si>
  <si>
    <t>경기동부과수농협
(031-641-5214)</t>
    <phoneticPr fontId="5" type="noConversion"/>
  </si>
  <si>
    <t>1997년도
(22회)</t>
    <phoneticPr fontId="5" type="noConversion"/>
  </si>
  <si>
    <t>지역특산물</t>
    <phoneticPr fontId="5" type="noConversion"/>
  </si>
  <si>
    <t>복숭아</t>
    <phoneticPr fontId="5" type="noConversion"/>
  </si>
  <si>
    <t>매년</t>
    <phoneticPr fontId="5" type="noConversion"/>
  </si>
  <si>
    <t>축제추진위</t>
    <phoneticPr fontId="5" type="noConversion"/>
  </si>
  <si>
    <t xml:space="preserve">공원 </t>
    <phoneticPr fontId="5" type="noConversion"/>
  </si>
  <si>
    <t xml:space="preserve">공원 </t>
    <phoneticPr fontId="5" type="noConversion"/>
  </si>
  <si>
    <t>이천시</t>
    <phoneticPr fontId="5" type="noConversion"/>
  </si>
  <si>
    <t>이천쌀문화축제</t>
    <phoneticPr fontId="5" type="noConversion"/>
  </si>
  <si>
    <t>10. 17.~21.</t>
    <phoneticPr fontId="5" type="noConversion"/>
  </si>
  <si>
    <t>○ 가마솥밥 이천명 이천원
○ 농경문화를 테마로한 공연, 전시, 체험프로그램 운영
○ 개막놀이, 무지개가래떡뽑기, 용줄다리기 등
    - 11개마당 30여개 프로그램
○ '임금님표 이천' 홍보 및 농특산물판매</t>
    <phoneticPr fontId="5" type="noConversion"/>
  </si>
  <si>
    <t>이천시 농업진흥과/이천쌀문화축제추진위원회
(031-644-4131~4133)</t>
    <phoneticPr fontId="5" type="noConversion"/>
  </si>
  <si>
    <t>1999년도
(20회)</t>
    <phoneticPr fontId="5" type="noConversion"/>
  </si>
  <si>
    <t>문체부</t>
    <phoneticPr fontId="5" type="noConversion"/>
  </si>
  <si>
    <t>문화관광축제 지원</t>
    <phoneticPr fontId="5" type="noConversion"/>
  </si>
  <si>
    <t>쌀</t>
    <phoneticPr fontId="5" type="noConversion"/>
  </si>
  <si>
    <t>설봉공원</t>
    <phoneticPr fontId="5" type="noConversion"/>
  </si>
  <si>
    <t>이천시</t>
    <phoneticPr fontId="5" type="noConversion"/>
  </si>
  <si>
    <t>제4회 이천인삼축제</t>
    <phoneticPr fontId="5" type="noConversion"/>
  </si>
  <si>
    <t>11.2~11.4</t>
    <phoneticPr fontId="5" type="noConversion"/>
  </si>
  <si>
    <t>○ 인삼품평회 개최
○ 인삼을 테마로한 공연,전시,체험프로그램 운영
○ 개페막공연, 주제공연및 문화공연
- 건강헬스분야 12개부스전시행사, 문화공연분야 10개부스
○ 기타 특별행사및 전시 등등</t>
    <phoneticPr fontId="5" type="noConversion"/>
  </si>
  <si>
    <t>경기동부인삼농협
(031-635-2429)</t>
    <phoneticPr fontId="5" type="noConversion"/>
  </si>
  <si>
    <t>2015년도
(3회)</t>
    <phoneticPr fontId="5" type="noConversion"/>
  </si>
  <si>
    <t>2015년도
(3회)</t>
    <phoneticPr fontId="5" type="noConversion"/>
  </si>
  <si>
    <t>인삼</t>
    <phoneticPr fontId="5" type="noConversion"/>
  </si>
  <si>
    <t>인삼</t>
    <phoneticPr fontId="5" type="noConversion"/>
  </si>
  <si>
    <t>축제추진위</t>
    <phoneticPr fontId="5" type="noConversion"/>
  </si>
  <si>
    <t>성남시</t>
    <phoneticPr fontId="5" type="noConversion"/>
  </si>
  <si>
    <t>사랑방문화클럽축제</t>
    <phoneticPr fontId="5" type="noConversion"/>
  </si>
  <si>
    <t>10월 예정</t>
    <phoneticPr fontId="5" type="noConversion"/>
  </si>
  <si>
    <t>성남문화재단/ 사랑방문화클럽
(이종필 031-783-8129)</t>
    <phoneticPr fontId="5" type="noConversion"/>
  </si>
  <si>
    <t>2007년도
(12회)</t>
    <phoneticPr fontId="5" type="noConversion"/>
  </si>
  <si>
    <t>문화예술</t>
    <phoneticPr fontId="5" type="noConversion"/>
  </si>
  <si>
    <t xml:space="preserve"> </t>
    <phoneticPr fontId="5" type="noConversion"/>
  </si>
  <si>
    <t>재단법인/시민단체</t>
    <phoneticPr fontId="5" type="noConversion"/>
  </si>
  <si>
    <t>부분위탁(운영,프로그램)</t>
    <phoneticPr fontId="5" type="noConversion"/>
  </si>
  <si>
    <t>시내거리, 마을, 기타</t>
    <phoneticPr fontId="5" type="noConversion"/>
  </si>
  <si>
    <t>김포시</t>
    <phoneticPr fontId="5" type="noConversion"/>
  </si>
  <si>
    <t>2018 아라마린페스티벌</t>
    <phoneticPr fontId="5" type="noConversion"/>
  </si>
  <si>
    <t>2018년 하반기
(세부일정 미정)</t>
    <phoneticPr fontId="5" type="noConversion"/>
  </si>
  <si>
    <t>○ 수상레저대회(아시아SUP챔피언쉽,J24요트선수권 등)
○ 수상레저체험 및 무료체험프로그램, 시민참여 플리마켓
○ 음악회, 버스킹, 푸드트럭 페스티벌 등</t>
    <phoneticPr fontId="5" type="noConversion"/>
  </si>
  <si>
    <t>김포시 문화예술과
(031-980-2481)</t>
    <phoneticPr fontId="5" type="noConversion"/>
  </si>
  <si>
    <t>2016년도
(3회)</t>
    <phoneticPr fontId="5" type="noConversion"/>
  </si>
  <si>
    <t>농식품부</t>
    <phoneticPr fontId="5" type="noConversion"/>
  </si>
  <si>
    <t>지역행복생활권 연계협력사업 지원</t>
    <phoneticPr fontId="5" type="noConversion"/>
  </si>
  <si>
    <t>수상레저,
문화공연</t>
    <phoneticPr fontId="5" type="noConversion"/>
  </si>
  <si>
    <t>공공</t>
    <phoneticPr fontId="5" type="noConversion"/>
  </si>
  <si>
    <t>김포아라마리나</t>
    <phoneticPr fontId="5" type="noConversion"/>
  </si>
  <si>
    <t>부천시</t>
    <phoneticPr fontId="5" type="noConversion"/>
  </si>
  <si>
    <t>부천시</t>
    <phoneticPr fontId="5" type="noConversion"/>
  </si>
  <si>
    <t>원미산 진달래축제</t>
    <phoneticPr fontId="5" type="noConversion"/>
  </si>
  <si>
    <t>4.7~4.8
(2일간)</t>
    <phoneticPr fontId="5" type="noConversion"/>
  </si>
  <si>
    <t>○ 봄맞이 대합창
○ 공연, 체험행사, 누리길 탐방 등</t>
    <phoneticPr fontId="5" type="noConversion"/>
  </si>
  <si>
    <t>원미산 진달래축제 추진위원회
(032-625-5762)</t>
    <phoneticPr fontId="5" type="noConversion"/>
  </si>
  <si>
    <t>2000년도
(18회)</t>
    <phoneticPr fontId="5" type="noConversion"/>
  </si>
  <si>
    <t>봄꽃</t>
    <phoneticPr fontId="5" type="noConversion"/>
  </si>
  <si>
    <t>축제조직위</t>
    <phoneticPr fontId="5" type="noConversion"/>
  </si>
  <si>
    <t>원미산</t>
    <phoneticPr fontId="5" type="noConversion"/>
  </si>
  <si>
    <t>부천시</t>
    <phoneticPr fontId="5" type="noConversion"/>
  </si>
  <si>
    <t>도당산 벚꽃축제</t>
    <phoneticPr fontId="5" type="noConversion"/>
  </si>
  <si>
    <t>○ 벚꽃을 테마로한 어린이 그림그리기, 글짓기 대회개최
○ 개폐막 공연, 주제공연 및 문화공연
○ 캐리커처, 페이스페인팅 등 체험마당 운영</t>
    <phoneticPr fontId="5" type="noConversion"/>
  </si>
  <si>
    <t>도당산벚꽃축제추진위원회
(032-625-5411)</t>
    <phoneticPr fontId="5" type="noConversion"/>
  </si>
  <si>
    <t>주민화합</t>
    <phoneticPr fontId="5" type="noConversion"/>
  </si>
  <si>
    <t>도당산</t>
    <phoneticPr fontId="5" type="noConversion"/>
  </si>
  <si>
    <t>제33회 복사골예술제</t>
    <phoneticPr fontId="5" type="noConversion"/>
  </si>
  <si>
    <t>5.4~5.7
(4일간)</t>
    <phoneticPr fontId="5" type="noConversion"/>
  </si>
  <si>
    <t>○ 부천예총 및 9개지부별 예술문화행사
○ 개막식 행사
○ 문화공연, 전시, 경연행사
  - 3개 분야 25개 프로그램
○ 시민참여, 체험행사 등</t>
  </si>
  <si>
    <t>부천시(문화예술과)/(사)한국예총 부천지회
(이진아/032-625-3111)</t>
    <phoneticPr fontId="5" type="noConversion"/>
  </si>
  <si>
    <t>1985년도
(34회)</t>
    <phoneticPr fontId="5" type="noConversion"/>
  </si>
  <si>
    <t>봄</t>
    <phoneticPr fontId="5" type="noConversion"/>
  </si>
  <si>
    <t>사단법인</t>
    <phoneticPr fontId="5" type="noConversion"/>
  </si>
  <si>
    <t>공원,광장,
시청,문화재단
시민회관</t>
    <phoneticPr fontId="5" type="noConversion"/>
  </si>
  <si>
    <t>제22회 부천국제판타스틱영화제</t>
    <phoneticPr fontId="5" type="noConversion"/>
  </si>
  <si>
    <t>7.12~7.22
(11일간)</t>
    <phoneticPr fontId="5" type="noConversion"/>
  </si>
  <si>
    <t>ㅇ판타스틱 장르 영화상영(40개국 260여편 이상)
ㅇ아시아 판타스틱영화네트워크 (NAFF)
ㅇ시민참여형 행사, 공연, 전시 등</t>
    <phoneticPr fontId="5" type="noConversion"/>
  </si>
  <si>
    <t>(사)부천국제판타스틱영화제조직위원회
(032-327-6313)</t>
    <phoneticPr fontId="5" type="noConversion"/>
  </si>
  <si>
    <t>국제영화제 육성지원 사업</t>
    <phoneticPr fontId="5" type="noConversion"/>
  </si>
  <si>
    <t>장르영화제</t>
    <phoneticPr fontId="5" type="noConversion"/>
  </si>
  <si>
    <t xml:space="preserve">있음
정규직 6명
계약직 15명
위촉직 3명
총 24명  </t>
    <phoneticPr fontId="5" type="noConversion"/>
  </si>
  <si>
    <t>광장,체육관
상영관</t>
  </si>
  <si>
    <t>부천국제만화축제</t>
    <phoneticPr fontId="5" type="noConversion"/>
  </si>
  <si>
    <t>8.15-8.19
(5일간)</t>
    <phoneticPr fontId="5" type="noConversion"/>
  </si>
  <si>
    <t>○ 개.폐막식 공연
○ 전시, 콘텐츠페어, 컨퍼런스
○ 세계어린이만화가대회 
○ 시민참여형 행사</t>
  </si>
  <si>
    <t>(재)한국만화영상진흥원/부천국제만화축제운영위원회
(김준호 032-310-3071)</t>
    <phoneticPr fontId="5" type="noConversion"/>
  </si>
  <si>
    <t>1998년도
(21회)</t>
    <phoneticPr fontId="5" type="noConversion"/>
  </si>
  <si>
    <t>만화</t>
    <phoneticPr fontId="5" type="noConversion"/>
  </si>
  <si>
    <t>박물관,광장</t>
    <phoneticPr fontId="5" type="noConversion"/>
  </si>
  <si>
    <t>부천시</t>
  </si>
  <si>
    <t>제20회 부천국제애니메이션축제</t>
  </si>
  <si>
    <t>10.19~10.23
(5일간)</t>
    <phoneticPr fontId="5" type="noConversion"/>
  </si>
  <si>
    <t>○ 아카데미(오스카) 공식인증 국제애니메이션영화제
○ 애니페어
○ 2018 아시아 애니메이션 포럼(AAF)
○ 개폐막식(제20회특별), 전시 및 부대행사 등</t>
  </si>
  <si>
    <t>(사)부천국제애니메이션페스티벌조직위원회/BIAF집행위원회,(사)한국만화애니메이션학회
(032-325-2061 최은영)</t>
  </si>
  <si>
    <t>1999
(20회)</t>
    <phoneticPr fontId="5" type="noConversion"/>
  </si>
  <si>
    <t>대중문화콘텐츠산업육성</t>
  </si>
  <si>
    <t>애니메이션영화</t>
    <phoneticPr fontId="5" type="noConversion"/>
  </si>
  <si>
    <t>박물관, 시청, 
상영관</t>
    <phoneticPr fontId="5" type="noConversion"/>
  </si>
  <si>
    <t>구리시</t>
  </si>
  <si>
    <t>제18회 구리 유채꽃 축제</t>
    <phoneticPr fontId="5" type="noConversion"/>
  </si>
  <si>
    <t>5.11~5.13
(잠정)</t>
    <phoneticPr fontId="5" type="noConversion"/>
  </si>
  <si>
    <t xml:space="preserve">○ 유채 꽃밭 조성(59,000㎡)
○ 특설무대 운영(개막식, 불꽃쇼)
○ 홍보, 체험부스 운영
○ 먹거리장터 운영
</t>
    <phoneticPr fontId="5" type="noConversion"/>
  </si>
  <si>
    <t>구리시 / (사)한국예총 구리지회
(031-550-2065)</t>
  </si>
  <si>
    <t>유채꽃</t>
  </si>
  <si>
    <t>공공</t>
  </si>
  <si>
    <t>부분위탁
(프로그램)</t>
  </si>
  <si>
    <t>공원</t>
  </si>
  <si>
    <t>제18회 구리 코스모스 축제</t>
    <phoneticPr fontId="5" type="noConversion"/>
  </si>
  <si>
    <t>9.14~9.16
(잠정)</t>
    <phoneticPr fontId="5" type="noConversion"/>
  </si>
  <si>
    <t>○ 코스모스 꽃밭 조성(59,000㎡)
○ 특설무대 운영(개막식, 불꽃쇼)
○ 홍보, 체험부스 운영
○ 먹거리장터 운영</t>
    <phoneticPr fontId="5" type="noConversion"/>
  </si>
  <si>
    <t>코스모스</t>
  </si>
  <si>
    <t>안양시</t>
    <phoneticPr fontId="5" type="noConversion"/>
  </si>
  <si>
    <t>2018 안양충훈
벚꽃축제</t>
    <phoneticPr fontId="5" type="noConversion"/>
  </si>
  <si>
    <t>4월중
(3일간)</t>
    <phoneticPr fontId="5" type="noConversion"/>
  </si>
  <si>
    <t>○ 축제 축하공연 및 불꽃놀이
○ 꽃길 걷기대회 및 봄꽃길 그리기 대회
○ 어린이 벼룩시장 및 체험부스(15개프로그램) 운영 등</t>
    <phoneticPr fontId="5" type="noConversion"/>
  </si>
  <si>
    <t>안양시, 축제추진위원회 /
 안양문화예술재단
(031-8045-0550)</t>
    <phoneticPr fontId="5" type="noConversion"/>
  </si>
  <si>
    <t>재단법인</t>
    <phoneticPr fontId="5" type="noConversion"/>
  </si>
  <si>
    <t>2018 안양시민축제</t>
    <phoneticPr fontId="5" type="noConversion"/>
  </si>
  <si>
    <t>○ 시민생활예술을 테마로 한 공연, 전시, 체험 프로그램 운영
○ 개폐막 공연 개최
 - 초청공연, 시민참여 공연 및 불꽃놀이 등
○ 특별초청 공연 및 방송국 연계 프로그램 등</t>
    <phoneticPr fontId="5" type="noConversion"/>
  </si>
  <si>
    <t>안양시, 축제추진위원회 /
 안양문화예술재단
(031-8045-0550)</t>
    <phoneticPr fontId="5" type="noConversion"/>
  </si>
  <si>
    <t>2000년도
(17회)</t>
    <phoneticPr fontId="5" type="noConversion"/>
  </si>
  <si>
    <t>2000년도
(17회)</t>
    <phoneticPr fontId="5" type="noConversion"/>
  </si>
  <si>
    <t>생활예술</t>
    <phoneticPr fontId="5" type="noConversion"/>
  </si>
  <si>
    <t>화성시</t>
    <phoneticPr fontId="5" type="noConversion"/>
  </si>
  <si>
    <t>화성 뱃놀이 축제</t>
    <phoneticPr fontId="5" type="noConversion"/>
  </si>
  <si>
    <t>5.26~6.03
(9일간)</t>
    <phoneticPr fontId="5" type="noConversion"/>
  </si>
  <si>
    <t xml:space="preserve">ㅇ해상승선체험
ㅇ해양레저체험
ㅇ육상 이벤트 체험
ㅇ야간 뱃놀이 선상체험
ㅇ문화공연
ㅇ부대행사 : 서해안컵 전국 요트대회
</t>
    <phoneticPr fontId="5" type="noConversion"/>
  </si>
  <si>
    <t>화성시 관광진흥과/
화성시문화재단
031-369-6024
(031-8015-8273)</t>
    <phoneticPr fontId="5" type="noConversion"/>
  </si>
  <si>
    <t>2012년도
(7회)</t>
    <phoneticPr fontId="5" type="noConversion"/>
  </si>
  <si>
    <t>바다,광장</t>
    <phoneticPr fontId="5" type="noConversion"/>
  </si>
  <si>
    <t xml:space="preserve">화성시 </t>
  </si>
  <si>
    <t>2018 화성송산포도축제</t>
    <phoneticPr fontId="5" type="noConversion"/>
  </si>
  <si>
    <t>09.01.~09.02
(2일간)</t>
    <phoneticPr fontId="5" type="noConversion"/>
  </si>
  <si>
    <t>ㅇ포도가요제
ㅇ포도밟기, 포도따기, 포도체험
ㅇ문화공연,주민자치공연,이벤트
ㅇ포도품평회,농산물판매 등</t>
    <phoneticPr fontId="5" type="noConversion"/>
  </si>
  <si>
    <t>화성시 농정과 /
 (사)화성송산포도연합회
(축제추진위원회)</t>
    <phoneticPr fontId="5" type="noConversion"/>
  </si>
  <si>
    <t>2013년도 
(6회)</t>
    <phoneticPr fontId="5" type="noConversion"/>
  </si>
  <si>
    <t xml:space="preserve">포도 </t>
  </si>
  <si>
    <t xml:space="preserve">매년 </t>
  </si>
  <si>
    <t xml:space="preserve">(사)화성송산포도연합회 
(축제추진위원회) </t>
    <phoneticPr fontId="5" type="noConversion"/>
  </si>
  <si>
    <t xml:space="preserve">전체위탁 </t>
  </si>
  <si>
    <t xml:space="preserve">광장 </t>
  </si>
  <si>
    <t>정조 효 문화제</t>
    <phoneticPr fontId="5" type="noConversion"/>
  </si>
  <si>
    <t>10.06.~10.07
(2일간)</t>
    <phoneticPr fontId="5" type="noConversion"/>
  </si>
  <si>
    <t>ㅇ능행차 재현
ㅇ개막식.폐막식
ㅇ무대공연
ㅇ전통체험 마당</t>
    <phoneticPr fontId="5" type="noConversion"/>
  </si>
  <si>
    <t>화성시/화성시문화재단
(031-8015-8273)</t>
    <phoneticPr fontId="5" type="noConversion"/>
  </si>
  <si>
    <t>2007년
(9회)</t>
    <phoneticPr fontId="5" type="noConversion"/>
  </si>
  <si>
    <t>정조</t>
    <phoneticPr fontId="5" type="noConversion"/>
  </si>
  <si>
    <t>융건릉 일원</t>
    <phoneticPr fontId="5" type="noConversion"/>
  </si>
  <si>
    <t>화성햇살드리축제</t>
    <phoneticPr fontId="5" type="noConversion"/>
  </si>
  <si>
    <t>11.10.(금) ~ 11.12.(일)
(3일간)</t>
    <phoneticPr fontId="5" type="noConversion"/>
  </si>
  <si>
    <t xml:space="preserve">○ 농업인의 날 행사, 개폐막 공연 등 
○ 햇살드리 농특산물 전시 및 판매
○ 가족과 함께하는 김장담그기 체험
 </t>
    <phoneticPr fontId="5" type="noConversion"/>
  </si>
  <si>
    <t>화성시 농업기술센터 농촌자원과
(031-369-6365)</t>
    <phoneticPr fontId="5" type="noConversion"/>
  </si>
  <si>
    <t>2012년도
(6회)</t>
    <phoneticPr fontId="5" type="noConversion"/>
  </si>
  <si>
    <t>농산물</t>
    <phoneticPr fontId="5" type="noConversion"/>
  </si>
  <si>
    <t>공공부지</t>
    <phoneticPr fontId="5" type="noConversion"/>
  </si>
  <si>
    <t>수원시</t>
    <phoneticPr fontId="5" type="noConversion"/>
  </si>
  <si>
    <t>수원화성문화제</t>
    <phoneticPr fontId="5" type="noConversion"/>
  </si>
  <si>
    <t>10.5.~7.       (3일간)</t>
    <phoneticPr fontId="5" type="noConversion"/>
  </si>
  <si>
    <t>○ 정조대왕 능행차
○ 개폐막행사, 놀이마당 참여프로그램 등
○ 혜경궁홍씨 진찬연
○ 정조대왕 친림과거시험(무과) 등</t>
    <phoneticPr fontId="5" type="noConversion"/>
  </si>
  <si>
    <t>수원시/수원문화재단 
(031-228-2415)</t>
    <phoneticPr fontId="5" type="noConversion"/>
  </si>
  <si>
    <t>1964년도      (54회)</t>
    <phoneticPr fontId="5" type="noConversion"/>
  </si>
  <si>
    <t>수원화성 등      문화자원</t>
    <phoneticPr fontId="5" type="noConversion"/>
  </si>
  <si>
    <t xml:space="preserve">있음
수원문화재단
정규직6명 </t>
    <phoneticPr fontId="5" type="noConversion"/>
  </si>
  <si>
    <t>수원화성일원</t>
    <phoneticPr fontId="5" type="noConversion"/>
  </si>
  <si>
    <t>음식문화축제</t>
    <phoneticPr fontId="5" type="noConversion"/>
  </si>
  <si>
    <t>10.5.~7.       (3일간)</t>
    <phoneticPr fontId="5" type="noConversion"/>
  </si>
  <si>
    <t>○ 향토음식 양념갈비,중식,일식 할인판매
○ 국제자매도시 조리사 초청음식전
○ 수원전국요리경연대회
○ 식품안전체험관 및 어린이급식관리지원센터 홍보관 운영
○ 무대공연 및 이벤트</t>
    <phoneticPr fontId="5" type="noConversion"/>
  </si>
  <si>
    <t>수원시/축제협의회,수원시외식업지부
(031-228-2233)</t>
    <phoneticPr fontId="5" type="noConversion"/>
  </si>
  <si>
    <t xml:space="preserve">
1993년도
(25회)</t>
    <phoneticPr fontId="5" type="noConversion"/>
  </si>
  <si>
    <t>향토음식</t>
    <phoneticPr fontId="5" type="noConversion"/>
  </si>
  <si>
    <t>화성행궁주차장</t>
    <phoneticPr fontId="5" type="noConversion"/>
  </si>
  <si>
    <t>수원시</t>
    <phoneticPr fontId="5" type="noConversion"/>
  </si>
  <si>
    <t>수원연극축제</t>
    <phoneticPr fontId="5" type="noConversion"/>
  </si>
  <si>
    <t>5.25~5.27
(3일간)</t>
    <phoneticPr fontId="5" type="noConversion"/>
  </si>
  <si>
    <t>○ 국내외 초청작 공연
○ 수원생활연극축제, 시민희곡낭독 등</t>
    <phoneticPr fontId="5" type="noConversion"/>
  </si>
  <si>
    <t>수원시/수원문화재단
(031-228-2472)</t>
    <phoneticPr fontId="5" type="noConversion"/>
  </si>
  <si>
    <t>1996년도
(22회)</t>
    <phoneticPr fontId="5" type="noConversion"/>
  </si>
  <si>
    <t>연극</t>
    <phoneticPr fontId="5" type="noConversion"/>
  </si>
  <si>
    <t>연극</t>
    <phoneticPr fontId="5" type="noConversion"/>
  </si>
  <si>
    <t>있음
정규직 4명</t>
    <phoneticPr fontId="5" type="noConversion"/>
  </si>
  <si>
    <t>경기상상캠퍼스</t>
    <phoneticPr fontId="5" type="noConversion"/>
  </si>
  <si>
    <t>수원재즈페스티벌</t>
    <phoneticPr fontId="5" type="noConversion"/>
  </si>
  <si>
    <t>9.7~9.8
(2일간)</t>
    <phoneticPr fontId="5" type="noConversion"/>
  </si>
  <si>
    <t>○ 국내 유명 재즈밴드 초청공연</t>
    <phoneticPr fontId="5" type="noConversion"/>
  </si>
  <si>
    <t>재즈</t>
    <phoneticPr fontId="5" type="noConversion"/>
  </si>
  <si>
    <t>재단법인</t>
    <phoneticPr fontId="5" type="noConversion"/>
  </si>
  <si>
    <t>있음
정규직 7명</t>
    <phoneticPr fontId="5" type="noConversion"/>
  </si>
  <si>
    <t>광교호수공원</t>
    <phoneticPr fontId="5" type="noConversion"/>
  </si>
  <si>
    <t>경기도</t>
    <phoneticPr fontId="5" type="noConversion"/>
  </si>
  <si>
    <t>수원발레축제</t>
    <phoneticPr fontId="5" type="noConversion"/>
  </si>
  <si>
    <t>8.23~8.26
(4일간)</t>
    <phoneticPr fontId="5" type="noConversion"/>
  </si>
  <si>
    <t>○ 발레 메인공연, 자유참가 공연
○ 발레교실, 횡단보도댄스, 발레버스킹, 발레체조 등</t>
    <phoneticPr fontId="5" type="noConversion"/>
  </si>
  <si>
    <t>수원시/발레STP협동조합
(031-228-2472)</t>
    <phoneticPr fontId="5" type="noConversion"/>
  </si>
  <si>
    <t>2015년도
(3회)</t>
    <phoneticPr fontId="5" type="noConversion"/>
  </si>
  <si>
    <t>발레</t>
    <phoneticPr fontId="5" type="noConversion"/>
  </si>
  <si>
    <t>시민단체</t>
    <phoneticPr fontId="5" type="noConversion"/>
  </si>
  <si>
    <t>있음
정규직 16명</t>
    <phoneticPr fontId="5" type="noConversion"/>
  </si>
  <si>
    <t>제1야외음악당</t>
    <phoneticPr fontId="5" type="noConversion"/>
  </si>
  <si>
    <t>전국무궁화축제</t>
    <phoneticPr fontId="5" type="noConversion"/>
  </si>
  <si>
    <t>8월중             (3일간)</t>
    <phoneticPr fontId="5" type="noConversion"/>
  </si>
  <si>
    <t>○ 무궁화를 테마로한 공연, 전시, 체험프로그램 운영</t>
    <phoneticPr fontId="5" type="noConversion"/>
  </si>
  <si>
    <t>산림청 / 수원시                            (031-228-4561)</t>
    <phoneticPr fontId="5" type="noConversion"/>
  </si>
  <si>
    <t>무궁화</t>
    <phoneticPr fontId="5" type="noConversion"/>
  </si>
  <si>
    <t>황구지천 벚꽃축제</t>
    <phoneticPr fontId="5" type="noConversion"/>
  </si>
  <si>
    <t>4월중             (2일간)</t>
    <phoneticPr fontId="5" type="noConversion"/>
  </si>
  <si>
    <t>○ 생태환경 체험 및 홍보 부스 운영
○ 자전거버스 및 이색자전거 체험 
○ 글짓기, 그림그리기 대회
○ 먹거리 장터, 녹색가게, 청소년벼룩시장 등 운영</t>
    <phoneticPr fontId="5" type="noConversion"/>
  </si>
  <si>
    <t>수원시 권선구                                (031-228-6225)</t>
    <phoneticPr fontId="5" type="noConversion"/>
  </si>
  <si>
    <t>2014년          (5회)</t>
    <phoneticPr fontId="5" type="noConversion"/>
  </si>
  <si>
    <t>벚꽃, 황구지천</t>
    <phoneticPr fontId="5" type="noConversion"/>
  </si>
  <si>
    <t>공공(시군구)</t>
    <phoneticPr fontId="5" type="noConversion"/>
  </si>
  <si>
    <t>황구지천</t>
    <phoneticPr fontId="5" type="noConversion"/>
  </si>
  <si>
    <t>수원천 가을축제</t>
    <phoneticPr fontId="5" type="noConversion"/>
  </si>
  <si>
    <t>10월중             (2일간)</t>
    <phoneticPr fontId="5" type="noConversion"/>
  </si>
  <si>
    <t>○ 가을꽃길 조성, 포토존, 원예조형물 설치
○ 체험 및 주민자치센터 프로그램 홍보 부스 운영
○ 먹거리 장터, 녹색가게, 청소년벼룩시장 등 운영
○ 주민자치센터 동아리 및 초청가수 공연</t>
    <phoneticPr fontId="5" type="noConversion"/>
  </si>
  <si>
    <t>2016년            (3회)</t>
    <phoneticPr fontId="5" type="noConversion"/>
  </si>
  <si>
    <t>가을꽃, 수원천</t>
    <phoneticPr fontId="5" type="noConversion"/>
  </si>
  <si>
    <t>수원천</t>
    <phoneticPr fontId="5" type="noConversion"/>
  </si>
  <si>
    <t>광교마루길 행복나눔
한마당 축제</t>
    <phoneticPr fontId="5" type="noConversion"/>
  </si>
  <si>
    <t>4.13~14
(2일간)</t>
    <phoneticPr fontId="5" type="noConversion"/>
  </si>
  <si>
    <t>○ 벚꽃 개화시기에 맞춘 문화공연, 체험프로그램 운영
○ 주민자치센터 동아리 경연대회 등</t>
    <phoneticPr fontId="5" type="noConversion"/>
  </si>
  <si>
    <t>수원시 장안구                                (031-228-5223)</t>
    <phoneticPr fontId="5" type="noConversion"/>
  </si>
  <si>
    <t>벚꽃,음악회</t>
    <phoneticPr fontId="5" type="noConversion"/>
  </si>
  <si>
    <t>의정부시</t>
    <phoneticPr fontId="5" type="noConversion"/>
  </si>
  <si>
    <t>의정부시</t>
    <phoneticPr fontId="5" type="noConversion"/>
  </si>
  <si>
    <t>제17회 의정부음악극축제</t>
    <phoneticPr fontId="5" type="noConversion"/>
  </si>
  <si>
    <t>5.11~5.20
(10일간)</t>
    <phoneticPr fontId="5" type="noConversion"/>
  </si>
  <si>
    <t xml:space="preserve"> -해외공식초청작 5개국 8개 작품
    451(영국), Songs of Lear(폴란드),      
    비행(스페인), 몽유병자들(프랑스)
 -국내공식초청작 10개 작품
    여신님이 보고계셔, 경기도립무용단 공연, 토끼전, 
    필경사 바틀비 등 
- 야외 프린지 공연 40여 작품
- 음악극어워드 5개 작품 
- 찾아가는 공연 10여개 작품 등</t>
    <phoneticPr fontId="5" type="noConversion"/>
  </si>
  <si>
    <t>(재)의정부예술의전당
(828-5831)/
의정부음악극축제집행위원회, 
(828-5887)</t>
    <phoneticPr fontId="5" type="noConversion"/>
  </si>
  <si>
    <t>2002년도
(16회)</t>
  </si>
  <si>
    <t>음악</t>
    <phoneticPr fontId="5" type="noConversion"/>
  </si>
  <si>
    <t>재단법인,
축제집행위</t>
    <phoneticPr fontId="5" type="noConversion"/>
  </si>
  <si>
    <t>예술의전당 및
시일원</t>
    <phoneticPr fontId="5" type="noConversion"/>
  </si>
  <si>
    <t>제33회 회룡문화제</t>
    <phoneticPr fontId="5" type="noConversion"/>
  </si>
  <si>
    <t>10월중</t>
    <phoneticPr fontId="5" type="noConversion"/>
  </si>
  <si>
    <t xml:space="preserve"> -  개·폐막행사, 축하공연, 
 -  회룡노래자랑  (동대항 예선 및 결선)
 -  창작무용극, 회룡종합전시회
 -  기타 부대행사 등  </t>
    <phoneticPr fontId="5" type="noConversion"/>
  </si>
  <si>
    <t>의정부시(828-2382/
 의정부문화원
(사무국)
(850-5750)</t>
    <phoneticPr fontId="5" type="noConversion"/>
  </si>
  <si>
    <t>1986년도
(32회)</t>
    <phoneticPr fontId="5" type="noConversion"/>
  </si>
  <si>
    <t>역사</t>
    <phoneticPr fontId="5" type="noConversion"/>
  </si>
  <si>
    <t>경기도청
북부청사앞
무대 및 시일원</t>
    <phoneticPr fontId="5" type="noConversion"/>
  </si>
  <si>
    <t>용인시</t>
    <phoneticPr fontId="5" type="noConversion"/>
  </si>
  <si>
    <t>용인시</t>
    <phoneticPr fontId="5" type="noConversion"/>
  </si>
  <si>
    <t>제18회 용인사이버과학축제</t>
    <phoneticPr fontId="5" type="noConversion"/>
  </si>
  <si>
    <t>10.13~10.14
(2일간)</t>
    <phoneticPr fontId="5" type="noConversion"/>
  </si>
  <si>
    <t xml:space="preserve"> ○ 가상현실(VR).증강현실(AR) 체험관
 ○ 사물인터넷.드론.로봇체험관
 ○ 용인과학체험한마당, 관내대학교 IT체험관
 ○ 관내 IT기업 및 용인시 홍보관, 부대행사 등</t>
    <phoneticPr fontId="5" type="noConversion"/>
  </si>
  <si>
    <t>용인시 정보통신과
(031-324-2083)</t>
    <phoneticPr fontId="5" type="noConversion"/>
  </si>
  <si>
    <t>IT, 과학</t>
    <phoneticPr fontId="5" type="noConversion"/>
  </si>
  <si>
    <t>시청광장</t>
    <phoneticPr fontId="5" type="noConversion"/>
  </si>
  <si>
    <t>용인시</t>
    <phoneticPr fontId="5" type="noConversion"/>
  </si>
  <si>
    <t>제16회 포은문화제</t>
    <phoneticPr fontId="5" type="noConversion"/>
  </si>
  <si>
    <t xml:space="preserve"> ○ 추모선양행사
 ○ 경연대회(전국한시백일장, 청소년백일장 등)
 ○ 전시(포은선생조명전, 한시백일장 작품전 등)
 ○ 무대공연(국악, 음악, 마당국 등) 등</t>
    <phoneticPr fontId="5" type="noConversion"/>
  </si>
  <si>
    <t>용인시 문화예술과/용인문화원 
(031-324-2097)</t>
    <phoneticPr fontId="5" type="noConversion"/>
  </si>
  <si>
    <t>용인시 문화예술과/용인문화원 
(031-324-2097)</t>
    <phoneticPr fontId="5" type="noConversion"/>
  </si>
  <si>
    <t>종합예술</t>
    <phoneticPr fontId="5" type="noConversion"/>
  </si>
  <si>
    <t>종합예술</t>
    <phoneticPr fontId="5" type="noConversion"/>
  </si>
  <si>
    <t>비영리 특별법인</t>
    <phoneticPr fontId="5" type="noConversion"/>
  </si>
  <si>
    <t>비영리 특별법인</t>
    <phoneticPr fontId="5" type="noConversion"/>
  </si>
  <si>
    <t>사적지</t>
    <phoneticPr fontId="5" type="noConversion"/>
  </si>
  <si>
    <t>제30회 처인성문화제</t>
    <phoneticPr fontId="5" type="noConversion"/>
  </si>
  <si>
    <t>10월 중
(2일간)</t>
    <phoneticPr fontId="5" type="noConversion"/>
  </si>
  <si>
    <t>10월 중
(2일간)</t>
    <phoneticPr fontId="5" type="noConversion"/>
  </si>
  <si>
    <t xml:space="preserve"> ○ 처인성 대몽항쟁 희생자 및 김윤후승장 추모 다례제
 ○ 처인대첩 기념 퍼레이드
 ○ 처인대첩 787주년 기념공연 등</t>
    <phoneticPr fontId="5" type="noConversion"/>
  </si>
  <si>
    <t>1990년도
(30회)</t>
    <phoneticPr fontId="5" type="noConversion"/>
  </si>
  <si>
    <t>제27회 할미성대동제</t>
    <phoneticPr fontId="5" type="noConversion"/>
  </si>
  <si>
    <t xml:space="preserve"> ○ 산신제, 길놀이
 ○ 할미성대동굿12거리</t>
    <phoneticPr fontId="5" type="noConversion"/>
  </si>
  <si>
    <t>1993년도
(27회)</t>
    <phoneticPr fontId="5" type="noConversion"/>
  </si>
  <si>
    <t>실내체육관
주차장</t>
    <phoneticPr fontId="5" type="noConversion"/>
  </si>
  <si>
    <t>제16회 용인예술제(YAF)</t>
    <phoneticPr fontId="5" type="noConversion"/>
  </si>
  <si>
    <t>9월 중
(2일간)</t>
    <phoneticPr fontId="5" type="noConversion"/>
  </si>
  <si>
    <t xml:space="preserve"> ○ 락 페스티벌, 국악, 음악, 무용 등 대중예술 공연
 ○ 시민백일장 등 경연대회
 ○ 미술체험행사 및 전시회 개최</t>
    <phoneticPr fontId="5" type="noConversion"/>
  </si>
  <si>
    <t>용인시 문화예술과/용인예총
(031-324-4535)</t>
    <phoneticPr fontId="5" type="noConversion"/>
  </si>
  <si>
    <t>운동장</t>
    <phoneticPr fontId="5" type="noConversion"/>
  </si>
  <si>
    <t>제2회 민속저잣거리축제 팔도 품바 경연대회</t>
    <phoneticPr fontId="5" type="noConversion"/>
  </si>
  <si>
    <t>9월 중
(2일간)</t>
    <phoneticPr fontId="5" type="noConversion"/>
  </si>
  <si>
    <t xml:space="preserve"> ○ 팔도 품바 경연대회
 ○ 민속 저잣거리 재현
 ○ 용인 먹거리장터 운영</t>
    <phoneticPr fontId="5" type="noConversion"/>
  </si>
  <si>
    <t>용인시 관광과
(031-324-2067)</t>
    <phoneticPr fontId="5" type="noConversion"/>
  </si>
  <si>
    <t>한국민속촌</t>
    <phoneticPr fontId="5" type="noConversion"/>
  </si>
  <si>
    <t>제 4회 태교축제</t>
    <phoneticPr fontId="5" type="noConversion"/>
  </si>
  <si>
    <t>9월중</t>
    <phoneticPr fontId="5" type="noConversion"/>
  </si>
  <si>
    <t>9월중</t>
    <phoneticPr fontId="5" type="noConversion"/>
  </si>
  <si>
    <t>○ 태교콘서트 및 임산부 공연
○ 홍보부스, 태교체험부스 운영
○ 육아박람회, 플리마켓</t>
    <phoneticPr fontId="5" type="noConversion"/>
  </si>
  <si>
    <t>용인시 여성가족과
(031-324-2608)</t>
    <phoneticPr fontId="5" type="noConversion"/>
  </si>
  <si>
    <t>태교,여성,가족</t>
    <phoneticPr fontId="5" type="noConversion"/>
  </si>
  <si>
    <t>용인시청 광장 및 로비</t>
    <phoneticPr fontId="5" type="noConversion"/>
  </si>
  <si>
    <t>용인글로벌페스티벌</t>
    <phoneticPr fontId="5" type="noConversion"/>
  </si>
  <si>
    <t>9월중(1일)</t>
    <phoneticPr fontId="5" type="noConversion"/>
  </si>
  <si>
    <t>○ 무대공연
○ 체험부스
○ 놀이터
○ 어린이그림그리기대회 , 가족사진 전시 등</t>
    <phoneticPr fontId="5" type="noConversion"/>
  </si>
  <si>
    <t>용인시 여성가족과
(031-324-2265)</t>
    <phoneticPr fontId="5" type="noConversion"/>
  </si>
  <si>
    <t>2012년도
(6회)</t>
    <phoneticPr fontId="5" type="noConversion"/>
  </si>
  <si>
    <t>내．외국인,가족</t>
    <phoneticPr fontId="5" type="noConversion"/>
  </si>
  <si>
    <t>용인음식문화축제</t>
    <phoneticPr fontId="5" type="noConversion"/>
  </si>
  <si>
    <t>9월중(2일간)</t>
    <phoneticPr fontId="5" type="noConversion"/>
  </si>
  <si>
    <t>○ 먹거리장터, 요리시연, 홍보관 등 건강한 음식을 바탕으로 음식문화 발전을 위한 다채로운 행사 운영</t>
    <phoneticPr fontId="5" type="noConversion"/>
  </si>
  <si>
    <t>용인시 환경위생사업소 위생과
(031-324-2230)</t>
    <phoneticPr fontId="5" type="noConversion"/>
  </si>
  <si>
    <t>2007년도
(11회)</t>
    <phoneticPr fontId="5" type="noConversion"/>
  </si>
  <si>
    <t>2007년도
(11회)</t>
    <phoneticPr fontId="5" type="noConversion"/>
  </si>
  <si>
    <t>음식</t>
    <phoneticPr fontId="5" type="noConversion"/>
  </si>
  <si>
    <t>용인시청광장</t>
    <phoneticPr fontId="5" type="noConversion"/>
  </si>
  <si>
    <t>2018 용인드론페스티벌</t>
    <phoneticPr fontId="5" type="noConversion"/>
  </si>
  <si>
    <t>10월중(2일간)</t>
    <phoneticPr fontId="5" type="noConversion"/>
  </si>
  <si>
    <t>○ (경진대회) 드론창작군무,챌린지,자율비행,영상제
○ (체험) 드론체험, AR/VR,3D프린터,패러글라이딩, 헬기탑승 등
○ (시연/전시) 드론 군무 및 축구, 드론 전시 및 비즈니스관
○ (이벤트)드론 보물찾기, 꽁알몬, 버스킹</t>
    <phoneticPr fontId="5" type="noConversion"/>
  </si>
  <si>
    <t>용인시 투자유치과
(031-324-2643)</t>
    <phoneticPr fontId="5" type="noConversion"/>
  </si>
  <si>
    <t>IT, 과학</t>
    <phoneticPr fontId="5" type="noConversion"/>
  </si>
  <si>
    <t>(옛)경찰대학교</t>
    <phoneticPr fontId="5" type="noConversion"/>
  </si>
  <si>
    <t>여주시</t>
    <phoneticPr fontId="5" type="noConversion"/>
  </si>
  <si>
    <t>제2회 여주흥천남한강 벚꽃축제</t>
    <phoneticPr fontId="5" type="noConversion"/>
  </si>
  <si>
    <t>4.12~4.16
(5일간)</t>
    <phoneticPr fontId="5" type="noConversion"/>
  </si>
  <si>
    <t>○ 개막식 
○ 야간 별빛 벚꽃길 운영
○ 농특산물 판매 및 먹거리 장터 운영
○ 벚꽃사진 콘테스트
○ 각종 전래놀이 및 전시·체험·이벤트 등
○ 흥천 및 각 읍면 주민자치센터 공연</t>
    <phoneticPr fontId="36" type="noConversion"/>
  </si>
  <si>
    <t>흥천면 귀백리
산7번지 일원</t>
    <phoneticPr fontId="5" type="noConversion"/>
  </si>
  <si>
    <t>여주시</t>
    <phoneticPr fontId="5" type="noConversion"/>
  </si>
  <si>
    <t>여주도자기축제</t>
    <phoneticPr fontId="5" type="noConversion"/>
  </si>
  <si>
    <t>4.21~5.7
(17일간)</t>
    <phoneticPr fontId="5" type="noConversion"/>
  </si>
  <si>
    <t>○ 여주전국도자접시깨기 대회
○ 도자기를 테마로한 전시·체험프로그램 운영
○ 개페막 공연 및 다양한 공연 프로그램 운영
    - 9개 분야 52개 프로그램
○ 기타 여주 농산물 판매행사 등 진행</t>
    <phoneticPr fontId="5" type="noConversion"/>
  </si>
  <si>
    <t>여주시 문화관광과
/ 여주세종문화재단
(02-881-9693)</t>
    <phoneticPr fontId="5" type="noConversion"/>
  </si>
  <si>
    <t>도자기</t>
    <phoneticPr fontId="5" type="noConversion"/>
  </si>
  <si>
    <t>여주 
신륵사관광지</t>
    <phoneticPr fontId="5" type="noConversion"/>
  </si>
  <si>
    <t>금사참외축제</t>
    <phoneticPr fontId="5" type="noConversion"/>
  </si>
  <si>
    <t>5월 말 예정</t>
    <phoneticPr fontId="5" type="noConversion"/>
  </si>
  <si>
    <t>○ 참여행사(참외 따기 체험 등)
○ 판매행사(참외 할인 판매 등)
○ 전시행사(옛날 사진전시회 등)</t>
  </si>
  <si>
    <t>금사참외축제추진위원회
(031-887-3902)</t>
  </si>
  <si>
    <t>2007년
(12회)</t>
    <phoneticPr fontId="5" type="noConversion"/>
  </si>
  <si>
    <t>참외</t>
    <phoneticPr fontId="5" type="noConversion"/>
  </si>
  <si>
    <t>여주오곡나루축제</t>
    <phoneticPr fontId="5" type="noConversion"/>
  </si>
  <si>
    <t>10.26~10.28
(3일간)</t>
    <phoneticPr fontId="5" type="noConversion"/>
  </si>
  <si>
    <t>○ 가마솥 여주쌀·오곡비빔밥 먹기
○ 오곡과 나루를 테마로한 다양한 프로그램 운영
○ 기타 주제프로그램, 방문객 참여·체험 프로그램
    - 6개 분야 23개 프로그램
○ 3무(無)를 지향하는 축제
    - 의전, 무대, 가수를 지양하고 다양한 특화 
       프로그램으로 가득한 축제</t>
    <phoneticPr fontId="5" type="noConversion"/>
  </si>
  <si>
    <t>여주시 문화관광과
/ 여주세종문화재단
(02-881-9694)</t>
    <phoneticPr fontId="5" type="noConversion"/>
  </si>
  <si>
    <t>1998년도
(20회)</t>
    <phoneticPr fontId="5" type="noConversion"/>
  </si>
  <si>
    <t>오곡, 고구마 및 나루터 등</t>
    <phoneticPr fontId="5" type="noConversion"/>
  </si>
  <si>
    <t>여주 신륵사관광지 및 조포나루터 일원</t>
    <phoneticPr fontId="5" type="noConversion"/>
  </si>
  <si>
    <t>세종대왕문화제</t>
    <phoneticPr fontId="5" type="noConversion"/>
  </si>
  <si>
    <t>9.18. ~ 10.09(22일간)</t>
    <phoneticPr fontId="5" type="noConversion"/>
  </si>
  <si>
    <t>한글디자인 포럼 및 국제학술대회 개최, 재외동포재단 교류사업, 세종문화체험마당 운영 등</t>
    <phoneticPr fontId="5" type="noConversion"/>
  </si>
  <si>
    <t>여주시 전략사업과/여주세종문화재단
(031-887-2836)</t>
    <phoneticPr fontId="5" type="noConversion"/>
  </si>
  <si>
    <t>2018년</t>
    <phoneticPr fontId="5" type="noConversion"/>
  </si>
  <si>
    <t>한국어 전통 기반 조성 및 확산 사업</t>
    <phoneticPr fontId="5" type="noConversion"/>
  </si>
  <si>
    <t>세종대왕</t>
    <phoneticPr fontId="5" type="noConversion"/>
  </si>
  <si>
    <t>공공(시군구), 재단법인</t>
    <phoneticPr fontId="5" type="noConversion"/>
  </si>
  <si>
    <t>광장, 사적지</t>
    <phoneticPr fontId="5" type="noConversion"/>
  </si>
  <si>
    <t>파주시</t>
    <phoneticPr fontId="5" type="noConversion"/>
  </si>
  <si>
    <t>파주개성인삼축제</t>
    <phoneticPr fontId="5" type="noConversion"/>
  </si>
  <si>
    <t>10.20-10.21</t>
    <phoneticPr fontId="5" type="noConversion"/>
  </si>
  <si>
    <t xml:space="preserve"> ○인삼을 테마로한 공연, 전시, 체험프로그램 운영
 ○ 개폐막 공연, 주제공연 및 문화공연
 ○ 기타 특별행사 및 전시 등등 </t>
    <phoneticPr fontId="5" type="noConversion"/>
  </si>
  <si>
    <t>파주시 농업진흥과
/ 파주개성인삼축제추진위원회
(031-940-5281)</t>
    <phoneticPr fontId="5" type="noConversion"/>
  </si>
  <si>
    <t>2005
(14회)</t>
    <phoneticPr fontId="5" type="noConversion"/>
  </si>
  <si>
    <t>관광지
(파주 임진각)</t>
    <phoneticPr fontId="5" type="noConversion"/>
  </si>
  <si>
    <t>파주장단콩축제</t>
    <phoneticPr fontId="5" type="noConversion"/>
  </si>
  <si>
    <t>11월중</t>
    <phoneticPr fontId="5" type="noConversion"/>
  </si>
  <si>
    <t xml:space="preserve"> ○콩을 테마로한 공연, 전시, 체험프로그램 운영
 ○ 개폐막 공연, 주제공연 및 문화공연
 ○ 기타 특별행사 및 전시 등등 </t>
    <phoneticPr fontId="5" type="noConversion"/>
  </si>
  <si>
    <t>파주시 농업진흥과
/ 파주장단콩축제추진위원회
(031-940-5282)</t>
    <phoneticPr fontId="5" type="noConversion"/>
  </si>
  <si>
    <t>1997
(22회)</t>
    <phoneticPr fontId="5" type="noConversion"/>
  </si>
  <si>
    <t>콩</t>
    <phoneticPr fontId="5" type="noConversion"/>
  </si>
  <si>
    <t>관광지
(파주 임진각)</t>
    <phoneticPr fontId="5" type="noConversion"/>
  </si>
  <si>
    <t>파주 출판도시 
어린이 책잔치</t>
    <phoneticPr fontId="5" type="noConversion"/>
  </si>
  <si>
    <t>5.5~5.7</t>
    <phoneticPr fontId="5" type="noConversion"/>
  </si>
  <si>
    <t>○ 개막식 
○ 테마전시
○ 출판사행사
○ 거리 이벤
○ 체험행사 등</t>
    <phoneticPr fontId="5" type="noConversion"/>
  </si>
  <si>
    <t>문화체육관광부·파주시/출판도시문화재단
(031-955-0063)</t>
    <phoneticPr fontId="5" type="noConversion"/>
  </si>
  <si>
    <t>지식축제(책)</t>
    <phoneticPr fontId="5" type="noConversion"/>
  </si>
  <si>
    <t>문화재단</t>
    <phoneticPr fontId="5" type="noConversion"/>
  </si>
  <si>
    <t>문화재단</t>
    <phoneticPr fontId="5" type="noConversion"/>
  </si>
  <si>
    <t>파주출판도시</t>
    <phoneticPr fontId="5" type="noConversion"/>
  </si>
  <si>
    <t>파주 헤이리 예술축제</t>
    <phoneticPr fontId="5" type="noConversion"/>
  </si>
  <si>
    <t>9월중</t>
    <phoneticPr fontId="5" type="noConversion"/>
  </si>
  <si>
    <t xml:space="preserve">○ 헤이리 심포니 오케스트라,  다양한 문화공연
○ 갤러리 연합전, 오픈스튜디오, 아트로드 77
○ 체험 부스 운영 </t>
  </si>
  <si>
    <t>파주시·(사)헤이리/헤이리
문화예술위원회
(031-946-8551)</t>
    <phoneticPr fontId="5" type="noConversion"/>
  </si>
  <si>
    <t>2006년도
(15회)</t>
    <phoneticPr fontId="5" type="noConversion"/>
  </si>
  <si>
    <t>예술축제</t>
    <phoneticPr fontId="5" type="noConversion"/>
  </si>
  <si>
    <t>헤이리 
예술마을</t>
    <phoneticPr fontId="5" type="noConversion"/>
  </si>
  <si>
    <t>파주시</t>
    <phoneticPr fontId="5" type="noConversion"/>
  </si>
  <si>
    <t>파주북소리2017</t>
    <phoneticPr fontId="5" type="noConversion"/>
  </si>
  <si>
    <t>9.14~9.16</t>
    <phoneticPr fontId="5" type="noConversion"/>
  </si>
  <si>
    <t>○ 특별전시
○ 파주북어워드, 평화의책 선정
○ 라디오 소설극장, 심야책방, 북콘서트, 출판사 오픈하우스, 독서치료 등 강연 및 체험
○ 북소리아트마켓, 건축문화제, 재즈와 영화가 만나다, 버스킹 
○ 지식난장: 100개 출판사가 10명의 저자 초청
○ 세계적 석학및문인 강연
○ 파주북어워드, 아시아 작가 포럼, 북마켓 등</t>
    <phoneticPr fontId="5" type="noConversion"/>
  </si>
  <si>
    <t>파주시/출판도시문화재단
(031-940-4723/031-955-0061)</t>
    <phoneticPr fontId="5" type="noConversion"/>
  </si>
  <si>
    <t>공동조직위원회</t>
    <phoneticPr fontId="5" type="noConversion"/>
  </si>
  <si>
    <t>일부위탁</t>
    <phoneticPr fontId="5" type="noConversion"/>
  </si>
  <si>
    <t>DMZ국제다큐영화제</t>
    <phoneticPr fontId="5" type="noConversion"/>
  </si>
  <si>
    <t>9.12~9.19</t>
    <phoneticPr fontId="5" type="noConversion"/>
  </si>
  <si>
    <t>○ 다큐영화 상영, 다큐제작지원
○ 국제세미나, 워크숍, 콘테스트</t>
  </si>
  <si>
    <t>경기도,파주시/(사)DMZ국제다큐영화제
(032-623-8042)</t>
    <phoneticPr fontId="5" type="noConversion"/>
  </si>
  <si>
    <t>영화</t>
    <phoneticPr fontId="5" type="noConversion"/>
  </si>
  <si>
    <t>영화</t>
    <phoneticPr fontId="5" type="noConversion"/>
  </si>
  <si>
    <t>파주,고양일원</t>
    <phoneticPr fontId="5" type="noConversion"/>
  </si>
  <si>
    <t>파주시</t>
    <phoneticPr fontId="5" type="noConversion"/>
  </si>
  <si>
    <t>율곡문화제</t>
    <phoneticPr fontId="5" type="noConversion"/>
  </si>
  <si>
    <t>10.13~10.14</t>
    <phoneticPr fontId="5" type="noConversion"/>
  </si>
  <si>
    <t>○ 유가행렬, 취타대 공연
○ 율곡이이 테마로한 공연, 전시, 체험프로그램 운영
○ 서원음악회, 독서토론회, 역사토크콘서트 등
○ 전국단위 대회 개최
    -율곡바둑대회, 청소년영화제, 사생대회 등</t>
    <phoneticPr fontId="5" type="noConversion"/>
  </si>
  <si>
    <t>파주시 문화예술과/
파주문화원(031-940-4352)</t>
    <phoneticPr fontId="5" type="noConversion"/>
  </si>
  <si>
    <t>1987년도
(31회)</t>
    <phoneticPr fontId="5" type="noConversion"/>
  </si>
  <si>
    <t>전통,역사</t>
    <phoneticPr fontId="5" type="noConversion"/>
  </si>
  <si>
    <t>파주이이유적</t>
    <phoneticPr fontId="5" type="noConversion"/>
  </si>
  <si>
    <t>오산시</t>
    <phoneticPr fontId="5" type="noConversion"/>
  </si>
  <si>
    <t>제9회 독산성문화제</t>
    <phoneticPr fontId="5" type="noConversion"/>
  </si>
  <si>
    <t>○ 시민참여 주제공연, 독산성 폐막공연, 거북놀이 등
○ 독산성을 테마로한 공연.전시,체험프로그램 운영
  -독산성 트레킹, 고유제, 석전대제,산신제등
  - 권율의 무예학교,  옛 생활공방,정조의 배움학당 등</t>
    <phoneticPr fontId="5" type="noConversion"/>
  </si>
  <si>
    <t>오산시 문화체육관광과
/오산문화재단
031-379-9984</t>
    <phoneticPr fontId="5" type="noConversion"/>
  </si>
  <si>
    <t>2010년도
(9회)</t>
    <phoneticPr fontId="5" type="noConversion"/>
  </si>
  <si>
    <t>독산성</t>
    <phoneticPr fontId="5" type="noConversion"/>
  </si>
  <si>
    <t xml:space="preserve">있음
정규직 3명
계약직 1명
총 4명  </t>
    <phoneticPr fontId="5" type="noConversion"/>
  </si>
  <si>
    <t>독산성, 공원</t>
    <phoneticPr fontId="5" type="noConversion"/>
  </si>
  <si>
    <t>광주시</t>
    <phoneticPr fontId="5" type="noConversion"/>
  </si>
  <si>
    <t>광주시</t>
    <phoneticPr fontId="5" type="noConversion"/>
  </si>
  <si>
    <t>제21회 광주왕실도자기축제</t>
    <phoneticPr fontId="5" type="noConversion"/>
  </si>
  <si>
    <t>4.27.∼5.13
(17일간)</t>
    <phoneticPr fontId="5" type="noConversion"/>
  </si>
  <si>
    <t>○  대표프로그램 : 도자체험 스토리텔링
○ 도자박물관 전시, 흙 체험행사, 도자전시판매, 
     전통불가마 불지피기, 다례시연 등</t>
    <phoneticPr fontId="5" type="noConversion"/>
  </si>
  <si>
    <t>광주시 기업지원과/
왕실도자기축제추진위원회
(760-2913)</t>
    <phoneticPr fontId="5" type="noConversion"/>
  </si>
  <si>
    <t>1998년도
(19회)</t>
    <phoneticPr fontId="5" type="noConversion"/>
  </si>
  <si>
    <t>부분위탁
(행사진행:
대행업체)</t>
    <phoneticPr fontId="5" type="noConversion"/>
  </si>
  <si>
    <t>곤지암도자공원</t>
    <phoneticPr fontId="5" type="noConversion"/>
  </si>
  <si>
    <t>제23회 광주 남한산성 문화제</t>
    <phoneticPr fontId="5" type="noConversion"/>
  </si>
  <si>
    <t xml:space="preserve"> ○  대표프로그램 : 취고수악대 퍼레이드
 ○  개막식 : 식전공연(줄타기), 공식행사, 식후공연
     (대북 및 무예 공연 등)
 ○ 무대공연 : 연희한마당(타 시·군 농악), 국악관현악, 
     창작마당극, 대동굿 등
 ○ 체험프로그램 : 민속·농경·전래놀이 체험, 타종, 
     문무과 체험, 역사재현 퍼포먼스 등 
 ○ 기타 부대행사 : 산성음식 시연회, 소원지 태우기, 
     특산물전시 등</t>
    <phoneticPr fontId="5" type="noConversion"/>
  </si>
  <si>
    <t>광주시 문화관광과 / 광주시 
남한산성 문화제 추진위워회
(760-2726)</t>
    <phoneticPr fontId="5" type="noConversion"/>
  </si>
  <si>
    <t>남한산성</t>
    <phoneticPr fontId="5" type="noConversion"/>
  </si>
  <si>
    <t>부분위탁
(행사진행:
대행업체)</t>
    <phoneticPr fontId="5" type="noConversion"/>
  </si>
  <si>
    <t>남한산성도립
공원</t>
    <phoneticPr fontId="5" type="noConversion"/>
  </si>
  <si>
    <t>제16회
퇴촌토마토 축제</t>
    <phoneticPr fontId="5" type="noConversion"/>
  </si>
  <si>
    <t>6월 중
(3일간)</t>
    <phoneticPr fontId="5" type="noConversion"/>
  </si>
  <si>
    <t xml:space="preserve">○  대표프로그램 : 도자체험 및 판매
○ 지역특산물 판매, 홍보, 체험, 전시 
○ 토마토풀장 및 레크리에이션 </t>
    <phoneticPr fontId="5" type="noConversion"/>
  </si>
  <si>
    <t>광주시퇴촌면/
퇴촌 토마토 축제위원회
(760-4959)</t>
    <phoneticPr fontId="5" type="noConversion"/>
  </si>
  <si>
    <t>토마토</t>
    <phoneticPr fontId="5" type="noConversion"/>
  </si>
  <si>
    <t>퇴촌면
공설운동장</t>
    <phoneticPr fontId="5" type="noConversion"/>
  </si>
  <si>
    <t>평택시</t>
    <phoneticPr fontId="5" type="noConversion"/>
  </si>
  <si>
    <t>평택 소리 악 축제</t>
    <phoneticPr fontId="5" type="noConversion"/>
  </si>
  <si>
    <t>10.5~10.7
(3일간)</t>
    <phoneticPr fontId="5" type="noConversion"/>
  </si>
  <si>
    <t>지역문화, 글로벌 문화를 활용한 오브제 퍼레이드및공연</t>
    <phoneticPr fontId="5" type="noConversion"/>
  </si>
  <si>
    <t>평택시 신성장전략과
(031-8024-2071)</t>
    <phoneticPr fontId="5" type="noConversion"/>
  </si>
  <si>
    <t>2018년도
(1회)</t>
    <phoneticPr fontId="5" type="noConversion"/>
  </si>
  <si>
    <t>2018년도
(1회)</t>
    <phoneticPr fontId="5" type="noConversion"/>
  </si>
  <si>
    <t>퍼레이드</t>
    <phoneticPr fontId="5" type="noConversion"/>
  </si>
  <si>
    <t>-</t>
    <phoneticPr fontId="5" type="noConversion"/>
  </si>
  <si>
    <t>-</t>
    <phoneticPr fontId="5" type="noConversion"/>
  </si>
  <si>
    <t>평택시</t>
    <phoneticPr fontId="5" type="noConversion"/>
  </si>
  <si>
    <t>평택호풍어제 및
물빛축제</t>
    <phoneticPr fontId="5" type="noConversion"/>
  </si>
  <si>
    <t>9.15~16</t>
    <phoneticPr fontId="5" type="noConversion"/>
  </si>
  <si>
    <t>○ 전통문화제연(풍어제 제례의식)
○ 물빛 및 불빛 테마 프로그램
○ 체험부스, 거리공연,축하공연</t>
  </si>
  <si>
    <t>평택시/평택예총,평택호풍어제 및 물빛축제 추진위원회
(8024-3221/657-2353)</t>
    <phoneticPr fontId="5" type="noConversion"/>
  </si>
  <si>
    <t>풍어제,불꽃</t>
    <phoneticPr fontId="5" type="noConversion"/>
  </si>
  <si>
    <t>있음
정규직 1명
(평택예총)</t>
    <phoneticPr fontId="5" type="noConversion"/>
  </si>
  <si>
    <t>평택호관광단지내
모래톱공원</t>
    <phoneticPr fontId="5" type="noConversion"/>
  </si>
  <si>
    <t>무형문화재 축제</t>
    <phoneticPr fontId="5" type="noConversion"/>
  </si>
  <si>
    <t>2018.9월
(2일간)</t>
    <phoneticPr fontId="5" type="noConversion"/>
  </si>
  <si>
    <t xml:space="preserve">○ 전국6대농악 및 국가 무형문화재 초청 공연
○ 웃다리농악경연대회 및 각종 체험프로그램 운영 </t>
    <phoneticPr fontId="5" type="noConversion"/>
  </si>
  <si>
    <t>경기도 평택시 문예관광과
/평택농악보존회
(031-8024-3211)</t>
    <phoneticPr fontId="5" type="noConversion"/>
  </si>
  <si>
    <t>2006년
(12회)</t>
    <phoneticPr fontId="5" type="noConversion"/>
  </si>
  <si>
    <t>무형문화재</t>
    <phoneticPr fontId="5" type="noConversion"/>
  </si>
  <si>
    <t>공공(시)
사단법인</t>
    <phoneticPr fontId="5" type="noConversion"/>
  </si>
  <si>
    <t>있음
정규직 3명
(평택농악보존회)</t>
    <phoneticPr fontId="5" type="noConversion"/>
  </si>
  <si>
    <t>평택시청 
분수광장</t>
    <phoneticPr fontId="5" type="noConversion"/>
  </si>
  <si>
    <t>한미친선
한마음축제</t>
    <phoneticPr fontId="5" type="noConversion"/>
  </si>
  <si>
    <t>5월중
(2일간)</t>
    <phoneticPr fontId="5" type="noConversion"/>
  </si>
  <si>
    <t>○ 체험부스, 거리공연, 축하공연</t>
    <phoneticPr fontId="5" type="noConversion"/>
  </si>
  <si>
    <t>경기도 한미협력과
/ 평택시국제교류재단
(031-8024-5324)</t>
    <phoneticPr fontId="5" type="noConversion"/>
  </si>
  <si>
    <t>경기도 한미협력과
/ 평택시국제교류재단
(031-8024-5324)</t>
    <phoneticPr fontId="5" type="noConversion"/>
  </si>
  <si>
    <t>2006년도
(13회)</t>
    <phoneticPr fontId="5" type="noConversion"/>
  </si>
  <si>
    <t>한미친선축제</t>
    <phoneticPr fontId="5" type="noConversion"/>
  </si>
  <si>
    <t>공공(시)
재단법인</t>
    <phoneticPr fontId="5" type="noConversion"/>
  </si>
  <si>
    <t>팽성 안정로 일원</t>
    <phoneticPr fontId="5" type="noConversion"/>
  </si>
  <si>
    <t>한미친선문화
한마당잔치</t>
    <phoneticPr fontId="5" type="noConversion"/>
  </si>
  <si>
    <t>9월중
(2일간)</t>
    <phoneticPr fontId="5" type="noConversion"/>
  </si>
  <si>
    <t>○ 체험부스, 거리공연, 축하공연</t>
  </si>
  <si>
    <t>2004년도
(15회)</t>
    <phoneticPr fontId="5" type="noConversion"/>
  </si>
  <si>
    <t>신장근린공원 일원</t>
    <phoneticPr fontId="5" type="noConversion"/>
  </si>
  <si>
    <t>군포시</t>
    <phoneticPr fontId="5" type="noConversion"/>
  </si>
  <si>
    <t>군포시</t>
    <phoneticPr fontId="5" type="noConversion"/>
  </si>
  <si>
    <t>2018 군포철쭉축제</t>
    <phoneticPr fontId="5" type="noConversion"/>
  </si>
  <si>
    <t>4.27~29
(3일간)</t>
    <phoneticPr fontId="5" type="noConversion"/>
  </si>
  <si>
    <t>○ 철쭉 퍼레이드 난장
○ 철쭉을 테마로 한 공연, 전시, 체험프로그램 운영 
○ 개폐막공연, 철쭉 테마의 마당극 및 문화공연
○ 철쭉동산 주변 차없는거리, 공간별 테마 프로그램 운영</t>
    <phoneticPr fontId="5" type="noConversion"/>
  </si>
  <si>
    <t>군포시/군포문화재단
(390-0063)</t>
    <phoneticPr fontId="5" type="noConversion"/>
  </si>
  <si>
    <t>철쭉, 사랑, 방짜유기, 버스킹 등</t>
    <phoneticPr fontId="5" type="noConversion"/>
  </si>
  <si>
    <t>군포시일원및
철쭉동산</t>
    <phoneticPr fontId="5" type="noConversion"/>
  </si>
  <si>
    <t>2017 책나라군포
독서대전</t>
    <phoneticPr fontId="5" type="noConversion"/>
  </si>
  <si>
    <t>9.14~16
(3일간)</t>
    <phoneticPr fontId="5" type="noConversion"/>
  </si>
  <si>
    <t>○ 공연· 행사/ 학술· 토론/ 전시· 체험/ 
     북마켓 ·아트마켓/독서진흥 평생학습 체험부스등</t>
  </si>
  <si>
    <t>군포시 책읽는 정책과 
(390-0903)</t>
    <phoneticPr fontId="5" type="noConversion"/>
  </si>
  <si>
    <t>군포시 책읽는 정책과 
(390-0903)</t>
    <phoneticPr fontId="5" type="noConversion"/>
  </si>
  <si>
    <t>2011년도
(8회)</t>
    <phoneticPr fontId="5" type="noConversion"/>
  </si>
  <si>
    <t>책</t>
    <phoneticPr fontId="5" type="noConversion"/>
  </si>
  <si>
    <t>공공(시군구)
축제조직위</t>
    <phoneticPr fontId="5" type="noConversion"/>
  </si>
  <si>
    <t>중앙공원 및 
산본로데오거리일원</t>
    <phoneticPr fontId="5" type="noConversion"/>
  </si>
  <si>
    <t>2018 군포철쭉축제</t>
    <phoneticPr fontId="5" type="noConversion"/>
  </si>
  <si>
    <t>4.27~29
(3일간)</t>
    <phoneticPr fontId="5" type="noConversion"/>
  </si>
  <si>
    <t>철쭉, 사랑, 방짜유기, 버스킹 등</t>
    <phoneticPr fontId="5" type="noConversion"/>
  </si>
  <si>
    <t>군포시일원및
철쭉동산</t>
    <phoneticPr fontId="5" type="noConversion"/>
  </si>
  <si>
    <t>9.14~16
(3일간)</t>
    <phoneticPr fontId="5" type="noConversion"/>
  </si>
  <si>
    <t>동두천시</t>
    <phoneticPr fontId="5" type="noConversion"/>
  </si>
  <si>
    <t>제20주년 동두천 K-Rock 페스티벌</t>
    <phoneticPr fontId="5" type="noConversion"/>
  </si>
  <si>
    <t>8.3~8.4</t>
    <phoneticPr fontId="5" type="noConversion"/>
  </si>
  <si>
    <t xml:space="preserve"> ○ 락밴드 경연대회 결선 및 락 페스티벌</t>
    <phoneticPr fontId="5" type="noConversion"/>
  </si>
  <si>
    <t>동두천락페스티벌조직위원회
031-863-0351</t>
    <phoneticPr fontId="5" type="noConversion"/>
  </si>
  <si>
    <t>1999년도
(20회)</t>
    <phoneticPr fontId="5" type="noConversion"/>
  </si>
  <si>
    <t>락(Rock)</t>
    <phoneticPr fontId="5" type="noConversion"/>
  </si>
  <si>
    <t>동두천 K-Rock 거리</t>
    <phoneticPr fontId="5" type="noConversion"/>
  </si>
  <si>
    <t>과천시</t>
    <phoneticPr fontId="5" type="noConversion"/>
  </si>
  <si>
    <t>제22회 과천축제</t>
    <phoneticPr fontId="5" type="noConversion"/>
  </si>
  <si>
    <t>9월말~10월초
(4일간)</t>
    <phoneticPr fontId="5" type="noConversion"/>
  </si>
  <si>
    <t xml:space="preserve"> ○ 거리예술공연</t>
    <phoneticPr fontId="5" type="noConversion"/>
  </si>
  <si>
    <t>과천시 문화체육과 /
(재)과천축제
(02-3677-2472
02-504-0945)</t>
    <phoneticPr fontId="5" type="noConversion"/>
  </si>
  <si>
    <t>1997년도
(22회)</t>
    <phoneticPr fontId="5" type="noConversion"/>
  </si>
  <si>
    <t>과천시민회관옆잔디마당</t>
    <phoneticPr fontId="5" type="noConversion"/>
  </si>
  <si>
    <t>과천시</t>
    <phoneticPr fontId="5" type="noConversion"/>
  </si>
  <si>
    <t>제2회 과천 벚꽃엔딩축제</t>
    <phoneticPr fontId="5" type="noConversion"/>
  </si>
  <si>
    <t>4.7. ~ 4.11.
(예정)</t>
    <phoneticPr fontId="5" type="noConversion"/>
  </si>
  <si>
    <t xml:space="preserve"> ○ 벚꽃을 테마로 한 공연, 체험프로그램 운영</t>
    <phoneticPr fontId="5" type="noConversion"/>
  </si>
  <si>
    <t>과천시 문화체육과 /
이은영
(02-3677-2476)</t>
    <phoneticPr fontId="5" type="noConversion"/>
  </si>
  <si>
    <t>벚꽃</t>
    <phoneticPr fontId="5" type="noConversion"/>
  </si>
  <si>
    <t>공공(과천시)</t>
    <phoneticPr fontId="5" type="noConversion"/>
  </si>
  <si>
    <t>과천 중앙공원,
렛츠런파크,
서울대공원,
서울랜드</t>
    <phoneticPr fontId="5" type="noConversion"/>
  </si>
  <si>
    <t>연천군</t>
    <phoneticPr fontId="5" type="noConversion"/>
  </si>
  <si>
    <t>2018 연천 구석기 
겨울여행</t>
    <phoneticPr fontId="5" type="noConversion"/>
  </si>
  <si>
    <t>1. 13. ~ 2. 4.</t>
    <phoneticPr fontId="5" type="noConversion"/>
  </si>
  <si>
    <t xml:space="preserve">○ 초대형눈썰매장, 눈조각공원, 구석기 바비큐
○ 빙하시대사람들을 테마로한 체험형 축제
○ 겨울놀이체험과 선사체험으로 구성 
○ 선사문화를 테마로 한 눈조각, 얼음조각 등 볼거리 구성  </t>
  </si>
  <si>
    <t>연천군 선사관리사업소
(정세미 031-839-2562)</t>
    <phoneticPr fontId="5" type="noConversion"/>
  </si>
  <si>
    <t>2015년도
(4회)</t>
    <phoneticPr fontId="5" type="noConversion"/>
  </si>
  <si>
    <t>연천전곡리유적</t>
    <phoneticPr fontId="5" type="noConversion"/>
  </si>
  <si>
    <t>공공(군)</t>
    <phoneticPr fontId="5" type="noConversion"/>
  </si>
  <si>
    <t>공공(군)</t>
    <phoneticPr fontId="5" type="noConversion"/>
  </si>
  <si>
    <t>제26회 연천 구석기 축제</t>
    <phoneticPr fontId="5" type="noConversion"/>
  </si>
  <si>
    <t>5. 4. ~ 5. 7.</t>
    <phoneticPr fontId="5" type="noConversion"/>
  </si>
  <si>
    <t>○ 구석기바비큐, 세계구석기체험마을, 구석기퍼포먼스
○ 구석기를 중심으로 한 선사문화 테마형 체험 축제
○ 지역문화, 연계관광 등 연천 관광투어</t>
  </si>
  <si>
    <t>연천군 선사관리사업소
(정세미 031-839-2562)</t>
    <phoneticPr fontId="5" type="noConversion"/>
  </si>
  <si>
    <t>1993년도
(26회)</t>
    <phoneticPr fontId="5" type="noConversion"/>
  </si>
  <si>
    <t>연천전곡리유적</t>
    <phoneticPr fontId="5" type="noConversion"/>
  </si>
  <si>
    <t>안산시</t>
    <phoneticPr fontId="5" type="noConversion"/>
  </si>
  <si>
    <t>안산시</t>
    <phoneticPr fontId="5" type="noConversion"/>
  </si>
  <si>
    <t>2018안산국제거리극축제</t>
    <phoneticPr fontId="5" type="noConversion"/>
  </si>
  <si>
    <t>5.5~5.7
(3일간)</t>
    <phoneticPr fontId="5" type="noConversion"/>
  </si>
  <si>
    <t>○ 공식행사 : 폐막프로그램
○ 공연 프로그램 : 공식참가작, 안산리서치, 거리예술플랫폼, 광대의도시, 청자유구역유스컬쳐
○ 기획행사 : 시민버전3.0, 도시놀이터, 페스티벌센터
○ 특별프로그램 : 아트마켓</t>
    <phoneticPr fontId="5" type="noConversion"/>
  </si>
  <si>
    <t>안산시 문화예술과
/(재)안산문화재단
(031-481-2068)</t>
    <phoneticPr fontId="5" type="noConversion"/>
  </si>
  <si>
    <t>2005년도
(12회)</t>
  </si>
  <si>
    <t>거리극</t>
    <phoneticPr fontId="5" type="noConversion"/>
  </si>
  <si>
    <t xml:space="preserve">있음
정규직 3명
계약직 7명
총 10명  </t>
    <phoneticPr fontId="5" type="noConversion"/>
  </si>
  <si>
    <t>광장, 거리</t>
    <phoneticPr fontId="5" type="noConversion"/>
  </si>
  <si>
    <t>제32회 별망성예술제</t>
    <phoneticPr fontId="5" type="noConversion"/>
  </si>
  <si>
    <t>9.8~9.9
(2일간)</t>
    <phoneticPr fontId="5" type="noConversion"/>
  </si>
  <si>
    <t>○ 공연, 전시, 예술 경연대회 등
○ 부대행사 : 체험부스, 먹거리 부스 운영</t>
  </si>
  <si>
    <t>안산시 문화예술과
/(사)한국예총 안산지회
(031-481-2068)</t>
    <phoneticPr fontId="5" type="noConversion"/>
  </si>
  <si>
    <t>1987년도
(30회)</t>
  </si>
  <si>
    <t>제22회 성호문화제</t>
    <phoneticPr fontId="5" type="noConversion"/>
  </si>
  <si>
    <t>5.26~5.27
(2일간)</t>
    <phoneticPr fontId="5" type="noConversion"/>
  </si>
  <si>
    <t>○ 성호이익선생 숭모제 및 성호학술대회
○ 전통예술공연, 문화체험 등 부대행사</t>
    <phoneticPr fontId="5" type="noConversion"/>
  </si>
  <si>
    <t>안산시 문화예술과
/안산문화원
(031-481-2798)</t>
    <phoneticPr fontId="5" type="noConversion"/>
  </si>
  <si>
    <t>1996년도
(21회)</t>
  </si>
  <si>
    <t>전통문화</t>
    <phoneticPr fontId="5" type="noConversion"/>
  </si>
  <si>
    <t>성호사당,
성호공원</t>
    <phoneticPr fontId="5" type="noConversion"/>
  </si>
  <si>
    <t>2018 안산 김홍도 페스티벌</t>
    <phoneticPr fontId="5" type="noConversion"/>
  </si>
  <si>
    <t>10.12.~10.14
(3일간)</t>
    <phoneticPr fontId="5" type="noConversion"/>
  </si>
  <si>
    <t>○ 개·폐막식
○ 기획프로그램
   - 장터구역 : 조선 후기 장터 구현, 전통의상 대여 등
   - 풍류구역 : 마당극 등 공연 프로그램
   - 균와구역 : 포토존, 체험프로그램, 야간 등불 등
○ 부대행사 : 해학 경연대회, 펀(fun)한 사진전 등</t>
    <phoneticPr fontId="5" type="noConversion"/>
  </si>
  <si>
    <t>안산시 관광과
(031-481-3059)</t>
    <phoneticPr fontId="5" type="noConversion"/>
  </si>
  <si>
    <t>김홍도</t>
    <phoneticPr fontId="5" type="noConversion"/>
  </si>
  <si>
    <t>공공</t>
    <phoneticPr fontId="5" type="noConversion"/>
  </si>
  <si>
    <t>부분위탁</t>
    <phoneticPr fontId="5" type="noConversion"/>
  </si>
  <si>
    <t>광명시</t>
    <phoneticPr fontId="5" type="noConversion"/>
  </si>
  <si>
    <t>광명농악대축제</t>
    <phoneticPr fontId="5" type="noConversion"/>
  </si>
  <si>
    <t>10.21.~10.22.
(2일간)</t>
    <phoneticPr fontId="5" type="noConversion"/>
  </si>
  <si>
    <t>○ 제11회 전국학생농악경연대회
○ 제19회 광명시 각 동 농악경연대회
○ 농악명인전(개막식) 등 공연, 시민참여 체험 등</t>
    <phoneticPr fontId="5" type="noConversion"/>
  </si>
  <si>
    <t>광명시청 문화체육과
(02-2680-2162)/ 
광명농악보존회
(02-899-1664)</t>
    <phoneticPr fontId="5" type="noConversion"/>
  </si>
  <si>
    <t>2007년
(11회)</t>
    <phoneticPr fontId="5" type="noConversion"/>
  </si>
  <si>
    <t>농악,
풍물 등</t>
    <phoneticPr fontId="5" type="noConversion"/>
  </si>
  <si>
    <t>광명시민체육관</t>
    <phoneticPr fontId="5" type="noConversion"/>
  </si>
  <si>
    <t>광명시</t>
  </si>
  <si>
    <t>광명동굴 국제 판타지 페스티벌</t>
  </si>
  <si>
    <t>9월 중</t>
  </si>
  <si>
    <t>○ 광명동굴 판타지 전문 영화제
○ 국제 판타지콘셉트디자인 공모작품 전시회
○ 웨타워크숍 판타지 아카데미(강의)
○ 국제 판타지 공모전 시상식</t>
  </si>
  <si>
    <t>광명시 글로벌관광과
(02-2680-6650)</t>
  </si>
  <si>
    <t>2014년도
(5회)</t>
  </si>
  <si>
    <t>디자인, 영화 등</t>
  </si>
  <si>
    <t>자체추진</t>
  </si>
  <si>
    <t>광명동굴</t>
  </si>
  <si>
    <t>최초개최년도
및 횟수</t>
    <phoneticPr fontId="5" type="noConversion"/>
  </si>
  <si>
    <t>2018년
축제예산</t>
    <phoneticPr fontId="5" type="noConversion"/>
  </si>
  <si>
    <t>문화관광축제 여부</t>
    <phoneticPr fontId="5" type="noConversion"/>
  </si>
  <si>
    <t>내국인</t>
    <phoneticPr fontId="5" type="noConversion"/>
  </si>
  <si>
    <t>외국인</t>
    <phoneticPr fontId="5" type="noConversion"/>
  </si>
  <si>
    <t>춘천시</t>
    <phoneticPr fontId="5" type="noConversion"/>
  </si>
  <si>
    <t>춘천마임축제</t>
    <phoneticPr fontId="5" type="noConversion"/>
  </si>
  <si>
    <t>5.20~5.27
(8일간)</t>
    <phoneticPr fontId="5" type="noConversion"/>
  </si>
  <si>
    <t xml:space="preserve"> ○ 마임공연, 아!水라장, 도깨비난장 등</t>
    <phoneticPr fontId="5" type="noConversion"/>
  </si>
  <si>
    <t>(사)춘천마임축제/
춘천마임축제운영위원회
(242-0585)</t>
    <phoneticPr fontId="5" type="noConversion"/>
  </si>
  <si>
    <t>1989년도
(30회)</t>
    <phoneticPr fontId="5" type="noConversion"/>
  </si>
  <si>
    <t>문화관광축제
(유망)</t>
    <phoneticPr fontId="5" type="noConversion"/>
  </si>
  <si>
    <t>문화관광축제
(유망)</t>
    <phoneticPr fontId="5" type="noConversion"/>
  </si>
  <si>
    <t>마임</t>
    <phoneticPr fontId="5" type="noConversion"/>
  </si>
  <si>
    <t>극장,공원</t>
    <phoneticPr fontId="5" type="noConversion"/>
  </si>
  <si>
    <t>강원도</t>
    <phoneticPr fontId="5" type="noConversion"/>
  </si>
  <si>
    <t>춘천시</t>
    <phoneticPr fontId="5" type="noConversion"/>
  </si>
  <si>
    <t>봄내예술제</t>
    <phoneticPr fontId="5" type="noConversion"/>
  </si>
  <si>
    <t>5. 19~5. 31
(13일간)</t>
    <phoneticPr fontId="5" type="noConversion"/>
  </si>
  <si>
    <t xml:space="preserve"> ○ 춘천예총 산하 8개협회의 문화예술행사(공연,
     전시, 문학 등)
 ○ 시민참여프로그램(가요제, 체험행사, 아트마켓,
     비빔밥나눔 등)
 ○ 8개단체, 450명 예술인스탭참여</t>
    <phoneticPr fontId="5" type="noConversion"/>
  </si>
  <si>
    <t>(사)한국예술문화단체
총연합회춘천지회
(033-243-4360)</t>
    <phoneticPr fontId="5" type="noConversion"/>
  </si>
  <si>
    <t>1994년도
(25회)</t>
    <phoneticPr fontId="5" type="noConversion"/>
  </si>
  <si>
    <t>문화예술,
시민참여</t>
    <phoneticPr fontId="5" type="noConversion"/>
  </si>
  <si>
    <t>있음
계약직 3명(국장,차창,주임)</t>
    <phoneticPr fontId="5" type="noConversion"/>
  </si>
  <si>
    <t>야외공연장, 극장, 갤러리 등</t>
    <phoneticPr fontId="5" type="noConversion"/>
  </si>
  <si>
    <t>춘천시</t>
    <phoneticPr fontId="5" type="noConversion"/>
  </si>
  <si>
    <t>춘천연극제</t>
    <phoneticPr fontId="36" type="noConversion"/>
  </si>
  <si>
    <t>6.15~6.24
(10일간)</t>
    <phoneticPr fontId="36" type="noConversion"/>
  </si>
  <si>
    <t xml:space="preserve"> ○ 전국대상 공모, 연극제
 ○ 개폐막 초청공연, 경연공연 
    - 국내 31개극단, 국외 5개극단, 57회 공연
 ○ 소소연극콘테스트, 연극인나눔터, 시상식 </t>
    <phoneticPr fontId="5" type="noConversion"/>
  </si>
  <si>
    <t xml:space="preserve">(사)춘천연극제
(033-241-4345) </t>
    <phoneticPr fontId="5" type="noConversion"/>
  </si>
  <si>
    <t>극장,광장</t>
    <phoneticPr fontId="5" type="noConversion"/>
  </si>
  <si>
    <t>극장,광장</t>
    <phoneticPr fontId="5" type="noConversion"/>
  </si>
  <si>
    <t>올림픽 세계 불꽃축제</t>
    <phoneticPr fontId="5" type="noConversion"/>
  </si>
  <si>
    <t>8월</t>
    <phoneticPr fontId="5" type="noConversion"/>
  </si>
  <si>
    <t xml:space="preserve"> ○ 문화공연 및 불꽃쇼 등</t>
    <phoneticPr fontId="5" type="noConversion"/>
  </si>
  <si>
    <t>춘천시/춘천시
(033-250-3545)</t>
    <phoneticPr fontId="5" type="noConversion"/>
  </si>
  <si>
    <t>춘천시/춘천시
(033-250-3545)</t>
    <phoneticPr fontId="5" type="noConversion"/>
  </si>
  <si>
    <t>평창문화올림픽 지원
(문화예술관련 프로그램지원)</t>
    <phoneticPr fontId="5" type="noConversion"/>
  </si>
  <si>
    <t>불꽃</t>
    <phoneticPr fontId="5" type="noConversion"/>
  </si>
  <si>
    <t>공공
(춘천시)</t>
    <phoneticPr fontId="5" type="noConversion"/>
  </si>
  <si>
    <t>없음</t>
    <phoneticPr fontId="5" type="noConversion"/>
  </si>
  <si>
    <t>닭갈비막국수 축제</t>
    <phoneticPr fontId="5" type="noConversion"/>
  </si>
  <si>
    <t>8월 ~ 9월</t>
    <phoneticPr fontId="5" type="noConversion"/>
  </si>
  <si>
    <t xml:space="preserve"> ○ 막국수, 닭갈비를 주제로한 시식 및 판매
 ○ 개폐막 공연 및 문화공연
    - 20 여개 프로그램
 ○ 향토음식전국요리대회
 ○ 읍면동주민씨름대회, 소양강배전국장사씨름대회
 ○ 1000인분 막국수닭갈비 만들기 체험 등</t>
    <phoneticPr fontId="5" type="noConversion"/>
  </si>
  <si>
    <t>춘천막국수닭갈비축제조직위원회, KBS춘천방송총국 /
 춘천막국수
닭갈비축제조직위원회
(033-254-4347)</t>
    <phoneticPr fontId="5" type="noConversion"/>
  </si>
  <si>
    <t>2008년도
(10회)</t>
    <phoneticPr fontId="5" type="noConversion"/>
  </si>
  <si>
    <t>닭갈비, 막국수</t>
    <phoneticPr fontId="5" type="noConversion"/>
  </si>
  <si>
    <t>기타
(춘천역 앞)</t>
    <phoneticPr fontId="5" type="noConversion"/>
  </si>
  <si>
    <t>장난감 축제</t>
    <phoneticPr fontId="5" type="noConversion"/>
  </si>
  <si>
    <t>9월중
(3일간)</t>
    <phoneticPr fontId="5" type="noConversion"/>
  </si>
  <si>
    <t xml:space="preserve"> ○ 개막식, 전시존, 체험존, 놀이존, 기타연계행사</t>
    <phoneticPr fontId="5" type="noConversion"/>
  </si>
  <si>
    <t>(재)강원정보문화진흥원
(033-245-6330)</t>
    <phoneticPr fontId="5" type="noConversion"/>
  </si>
  <si>
    <t>장난감</t>
    <phoneticPr fontId="5" type="noConversion"/>
  </si>
  <si>
    <t>재단법인</t>
    <phoneticPr fontId="5" type="noConversion"/>
  </si>
  <si>
    <t>기타
(꿈자람물정원)</t>
    <phoneticPr fontId="5" type="noConversion"/>
  </si>
  <si>
    <t>춘천인형극제</t>
    <phoneticPr fontId="5" type="noConversion"/>
  </si>
  <si>
    <t>9.28~10.3
(6일간)</t>
    <phoneticPr fontId="5" type="noConversion"/>
  </si>
  <si>
    <t xml:space="preserve"> ○ 개막퍼레이드, 극장공연, 장난감음악회
 ○ 체험/놀이프로그램, 인형극 경연대회 
 ○ 어린이벼룩시장</t>
    <phoneticPr fontId="5" type="noConversion"/>
  </si>
  <si>
    <t>(재)춘천인형극제
(033-242-8452)</t>
    <phoneticPr fontId="5" type="noConversion"/>
  </si>
  <si>
    <t>1989년
(30회)</t>
    <phoneticPr fontId="5" type="noConversion"/>
  </si>
  <si>
    <t>인형극</t>
    <phoneticPr fontId="5" type="noConversion"/>
  </si>
  <si>
    <t>로맨틱 춘천 페스티벌</t>
  </si>
  <si>
    <t>12월</t>
    <phoneticPr fontId="5" type="noConversion"/>
  </si>
  <si>
    <t xml:space="preserve"> ○ 아이스링크(스케이트, 썰매), 7080추억공감
 ○ 이벤트(복불복썰매타기, 하이스하키골인)
 ○ 상설 공연(뮤지컬, 연극, 밴드, 댄스 등) 
 ○ 크리스마스 이벤트
 ○ 전통놀이, 춘천관광사진 전시 등
 ○ 제야의 종 타종식 및 불꽃쇼 </t>
    <phoneticPr fontId="5" type="noConversion"/>
  </si>
  <si>
    <t>2016년도
(4회)</t>
    <phoneticPr fontId="5" type="noConversion"/>
  </si>
  <si>
    <t>스케이트, 썰매</t>
    <phoneticPr fontId="5" type="noConversion"/>
  </si>
  <si>
    <t>강원도</t>
  </si>
  <si>
    <t>원주시</t>
    <phoneticPr fontId="5" type="noConversion"/>
  </si>
  <si>
    <t>원주시</t>
    <phoneticPr fontId="5" type="noConversion"/>
  </si>
  <si>
    <t>윈터댄싱카니발</t>
    <phoneticPr fontId="5" type="noConversion"/>
  </si>
  <si>
    <t>2.10.~2.18.
(9일간)</t>
    <phoneticPr fontId="5" type="noConversion"/>
  </si>
  <si>
    <t xml:space="preserve"> ○ 댄싱카니발 
 ○ 지역문화예술공연
 ○ 미니콘서트
 ○ 부대행사 등</t>
    <phoneticPr fontId="5" type="noConversion"/>
  </si>
  <si>
    <t>문체부, 강원도, 원주시
/(재)원주문화재단
(737-5132)</t>
    <phoneticPr fontId="5" type="noConversion"/>
  </si>
  <si>
    <t>2018 평창 문화올림픽 지원</t>
    <phoneticPr fontId="5" type="noConversion"/>
  </si>
  <si>
    <t xml:space="preserve"> 댄싱카니발 </t>
    <phoneticPr fontId="5" type="noConversion"/>
  </si>
  <si>
    <t xml:space="preserve">있음                  정규직 8명
계약직 15명
총 23명 </t>
    <phoneticPr fontId="5" type="noConversion"/>
  </si>
  <si>
    <t>기타</t>
    <phoneticPr fontId="5" type="noConversion"/>
  </si>
  <si>
    <t>윈터한지문화제</t>
    <phoneticPr fontId="5" type="noConversion"/>
  </si>
  <si>
    <t>2.8.~2.28.
(21일간)</t>
    <phoneticPr fontId="5" type="noConversion"/>
  </si>
  <si>
    <t xml:space="preserve"> ○ 한지전시
 ○ 한지체험전 </t>
    <phoneticPr fontId="5" type="noConversion"/>
  </si>
  <si>
    <t>문체부, 강원도, 원주시
/(사)한지개발원
(033-734-4739)</t>
    <phoneticPr fontId="5" type="noConversion"/>
  </si>
  <si>
    <t xml:space="preserve"> 한지</t>
    <phoneticPr fontId="5" type="noConversion"/>
  </si>
  <si>
    <t xml:space="preserve">있음                  정규직 8명
계약직 10명
총 18명 </t>
    <phoneticPr fontId="5" type="noConversion"/>
  </si>
  <si>
    <t>공원</t>
    <phoneticPr fontId="5" type="noConversion"/>
  </si>
  <si>
    <t>한지문화제</t>
    <phoneticPr fontId="5" type="noConversion"/>
  </si>
  <si>
    <t>5월중
(4일간)</t>
    <phoneticPr fontId="5" type="noConversion"/>
  </si>
  <si>
    <t xml:space="preserve"> ○ 한지패션쇼
 ○ 한지전시</t>
    <phoneticPr fontId="5" type="noConversion"/>
  </si>
  <si>
    <t>원주시/ (사)한지개발원
(033-734-4739)</t>
    <phoneticPr fontId="5" type="noConversion"/>
  </si>
  <si>
    <t>한지</t>
    <phoneticPr fontId="5" type="noConversion"/>
  </si>
  <si>
    <t xml:space="preserve">있음                  정규직 8명
계약직 10명
총 18명 </t>
    <phoneticPr fontId="5" type="noConversion"/>
  </si>
  <si>
    <t>장미축제</t>
    <phoneticPr fontId="5" type="noConversion"/>
  </si>
  <si>
    <t xml:space="preserve"> ○ 장미가요제
 ○ 청소년 댄스대회</t>
    <phoneticPr fontId="5" type="noConversion"/>
  </si>
  <si>
    <t>장미축제위원회
(033-737-5518)</t>
  </si>
  <si>
    <t>1999년도
(19회)</t>
    <phoneticPr fontId="5" type="noConversion"/>
  </si>
  <si>
    <t xml:space="preserve">장미   </t>
    <phoneticPr fontId="5" type="noConversion"/>
  </si>
  <si>
    <t>축제조직위</t>
    <phoneticPr fontId="5" type="noConversion"/>
  </si>
  <si>
    <t>있음
임시 5명</t>
  </si>
  <si>
    <t>다이내믹댄싱카니발</t>
    <phoneticPr fontId="5" type="noConversion"/>
  </si>
  <si>
    <t>9월중
(6일간)</t>
    <phoneticPr fontId="5" type="noConversion"/>
  </si>
  <si>
    <t xml:space="preserve"> ○ 댄싱카니발 
 ○ 지역문화예술공연,
 ○ 프린지공연, 군체험 행사
 ○ 부대행사 등</t>
    <phoneticPr fontId="5" type="noConversion"/>
  </si>
  <si>
    <t>원주시, 제36사단/
(재)원주문화재단
(737-5132)</t>
  </si>
  <si>
    <t>문화관광축제 지원</t>
    <phoneticPr fontId="5" type="noConversion"/>
  </si>
  <si>
    <t>문화관광축제
(유망)</t>
    <phoneticPr fontId="5" type="noConversion"/>
  </si>
  <si>
    <t>댄싱카니발</t>
    <phoneticPr fontId="5" type="noConversion"/>
  </si>
  <si>
    <t>재단법인</t>
    <phoneticPr fontId="5" type="noConversion"/>
  </si>
  <si>
    <t>강릉시</t>
    <phoneticPr fontId="5" type="noConversion"/>
  </si>
  <si>
    <t>2018 강릉 문화올림픽
Welcome to Gangneung
(前강릉 겨울퍼포먼스 
페스티벌)</t>
    <phoneticPr fontId="5" type="noConversion"/>
  </si>
  <si>
    <t>2.6~2.25</t>
    <phoneticPr fontId="5" type="noConversion"/>
  </si>
  <si>
    <t xml:space="preserve"> ○ 전통문화공연, 길놀이, 거리공연, 전시체험 등</t>
    <phoneticPr fontId="5" type="noConversion"/>
  </si>
  <si>
    <t>강릉시/강릉시 문화올림픽과
(033-640-5028)</t>
    <phoneticPr fontId="5" type="noConversion"/>
  </si>
  <si>
    <t>문제부</t>
    <phoneticPr fontId="5" type="noConversion"/>
  </si>
  <si>
    <t>지역문화관광 체험프로그램 운영,
한류 K-컬처 이벤트 개최</t>
    <phoneticPr fontId="5" type="noConversion"/>
  </si>
  <si>
    <t>공연, 전시, 체험 등</t>
    <phoneticPr fontId="5" type="noConversion"/>
  </si>
  <si>
    <t>기타(2015~2018)</t>
    <phoneticPr fontId="5" type="noConversion"/>
  </si>
  <si>
    <t>공공, 임의단체</t>
    <phoneticPr fontId="5" type="noConversion"/>
  </si>
  <si>
    <t>자체추진, 사업보조</t>
    <phoneticPr fontId="5" type="noConversion"/>
  </si>
  <si>
    <t>강릉역, 월화거리, 명주예술마당, 대도호부관와, 오죽한옥마을 등</t>
    <phoneticPr fontId="5" type="noConversion"/>
  </si>
  <si>
    <t>강릉푸드페스티벌
(前강릉 음식축제)</t>
    <phoneticPr fontId="5" type="noConversion"/>
  </si>
  <si>
    <t xml:space="preserve"> ○ 맛있는 강릉 쿡 콘서트
 ○ 오픈 쿠킹클래스
 ○ 강릉음식홍보판매, 농부마켓
 ○ 강릉특선음식 홍보 시식 판매
 ○ 강릉향토 솔담상 &amp; 부엌살림 &amp; 특선음식 전시
 ○ 강릉푸드스템프 랠리 </t>
    <phoneticPr fontId="5" type="noConversion"/>
  </si>
  <si>
    <t>문화체육관광부/
강릉시 자원육성과
(033-660-3138)</t>
    <phoneticPr fontId="5" type="noConversion"/>
  </si>
  <si>
    <t>강원전통음식 관광상품화</t>
    <phoneticPr fontId="5" type="noConversion"/>
  </si>
  <si>
    <t>강릉음식</t>
    <phoneticPr fontId="5" type="noConversion"/>
  </si>
  <si>
    <t>올림픽기간</t>
    <phoneticPr fontId="5" type="noConversion"/>
  </si>
  <si>
    <t>없음</t>
    <phoneticPr fontId="5" type="noConversion"/>
  </si>
  <si>
    <t>도심</t>
    <phoneticPr fontId="5" type="noConversion"/>
  </si>
  <si>
    <t>도심</t>
    <phoneticPr fontId="5" type="noConversion"/>
  </si>
  <si>
    <t>경포벚꽃축제</t>
    <phoneticPr fontId="5" type="noConversion"/>
  </si>
  <si>
    <t>4.5~4.11
(7일간)</t>
    <phoneticPr fontId="5" type="noConversion"/>
  </si>
  <si>
    <t xml:space="preserve"> ○ 벚꽃조명등 설치, 문화공연,시민노래자랑, 불꽃
     놀이, 먹거리장터 운영</t>
    <phoneticPr fontId="5" type="noConversion"/>
  </si>
  <si>
    <t>강릉시 / 강릉시(관광과)
(033-640-5807)</t>
    <phoneticPr fontId="5" type="noConversion"/>
  </si>
  <si>
    <t>1993년도
(25회)</t>
    <phoneticPr fontId="5" type="noConversion"/>
  </si>
  <si>
    <t>벚꽃</t>
    <phoneticPr fontId="5" type="noConversion"/>
  </si>
  <si>
    <t>경포</t>
    <phoneticPr fontId="5" type="noConversion"/>
  </si>
  <si>
    <t>해살이마을
개두릅축제</t>
    <phoneticPr fontId="5" type="noConversion"/>
  </si>
  <si>
    <t>4.20~4.22
(3일간)</t>
    <phoneticPr fontId="5" type="noConversion"/>
  </si>
  <si>
    <t xml:space="preserve"> ○ 개두릅새순엮기체험, 문설주만들기, 개두릅떡
     만들기, 전통투호, 새순따기, 공방체험, 널뛰기등</t>
    <phoneticPr fontId="5" type="noConversion"/>
  </si>
  <si>
    <t>개두릅</t>
    <phoneticPr fontId="5" type="noConversion"/>
  </si>
  <si>
    <t>강릉단오제</t>
    <phoneticPr fontId="5" type="noConversion"/>
  </si>
  <si>
    <t>6.14~6.21</t>
    <phoneticPr fontId="5" type="noConversion"/>
  </si>
  <si>
    <t xml:space="preserve"> ○ 지정문화재행사  (제례, 굿, 관노가면극)
 ○ 공연, 전시, 체험 프로그램 및 시민참여행사 등 
     75여개 프로그램 운영
 ○ 경축부대행사 및 난장</t>
    <phoneticPr fontId="5" type="noConversion"/>
  </si>
  <si>
    <t>강릉시 문화예술과/
강릉단오제위원회, 
강릉단오제보존회
(033-641-1593~4)</t>
    <phoneticPr fontId="5" type="noConversion"/>
  </si>
  <si>
    <t>산출불가
(약1천년)</t>
    <phoneticPr fontId="5" type="noConversion"/>
  </si>
  <si>
    <t>공공(시군구) &amp;
사단법인</t>
    <phoneticPr fontId="5" type="noConversion"/>
  </si>
  <si>
    <t xml:space="preserve">있음
정규직 12명
계약직 2명
총 14명  </t>
    <phoneticPr fontId="5" type="noConversion"/>
  </si>
  <si>
    <t>하천, 유적지</t>
    <phoneticPr fontId="5" type="noConversion"/>
  </si>
  <si>
    <t>풍호마을연꽃축제</t>
    <phoneticPr fontId="5" type="noConversion"/>
  </si>
  <si>
    <t>7.26~7.29
(4일간)</t>
    <phoneticPr fontId="5" type="noConversion"/>
  </si>
  <si>
    <t xml:space="preserve"> ○ 연자공예체험, 연심기 체험등 연꽃을 테마로한 전시
     및 체험프로그램 운영
 ○ 달구지체험, 오리배, 갯배체험 등 특별행사 운영</t>
    <phoneticPr fontId="5" type="noConversion"/>
  </si>
  <si>
    <t>강릉시/강동면 하시동3리 풍호마을영농조합법인(033-645-8500)</t>
    <phoneticPr fontId="5" type="noConversion"/>
  </si>
  <si>
    <t>2009년도       (10회)</t>
    <phoneticPr fontId="5" type="noConversion"/>
  </si>
  <si>
    <t>연꽃</t>
    <phoneticPr fontId="5" type="noConversion"/>
  </si>
  <si>
    <t>영농조합법인</t>
    <phoneticPr fontId="5" type="noConversion"/>
  </si>
  <si>
    <t>강원도</t>
    <phoneticPr fontId="5" type="noConversion"/>
  </si>
  <si>
    <t>주문진해수욕장축제</t>
    <phoneticPr fontId="5" type="noConversion"/>
  </si>
  <si>
    <t>7.28~7.29
(2일간)</t>
    <phoneticPr fontId="5" type="noConversion"/>
  </si>
  <si>
    <t xml:space="preserve"> ○ 맨손 오징어 잡기 등 각종 체험행사
 ○ 음악회 및 매직퍼포먼스 등 다양한 공연 운영</t>
    <phoneticPr fontId="5" type="noConversion"/>
  </si>
  <si>
    <t>주문진해변운영위원회
(640-3415)</t>
    <phoneticPr fontId="5" type="noConversion"/>
  </si>
  <si>
    <t>생태자연</t>
    <phoneticPr fontId="5" type="noConversion"/>
  </si>
  <si>
    <t>바다</t>
    <phoneticPr fontId="5" type="noConversion"/>
  </si>
  <si>
    <t>전체위탁</t>
    <phoneticPr fontId="5" type="noConversion"/>
  </si>
  <si>
    <t>경포썸머페스티벌</t>
    <phoneticPr fontId="5" type="noConversion"/>
  </si>
  <si>
    <t>7.30~8.5
(7일간)</t>
    <phoneticPr fontId="5" type="noConversion"/>
  </si>
  <si>
    <t xml:space="preserve"> ○ TV라디오 공개방송, 야간공연, 비치나이트클럽</t>
    <phoneticPr fontId="5" type="noConversion"/>
  </si>
  <si>
    <t>강릉시/ 강릉시(관광과)
(033-640-5807)</t>
    <phoneticPr fontId="5" type="noConversion"/>
  </si>
  <si>
    <t>1998년이전</t>
    <phoneticPr fontId="5" type="noConversion"/>
  </si>
  <si>
    <t>경포해변</t>
    <phoneticPr fontId="5" type="noConversion"/>
  </si>
  <si>
    <t>주문진오징어축제</t>
    <phoneticPr fontId="5" type="noConversion"/>
  </si>
  <si>
    <t>10.4~10.7
(4일간)</t>
    <phoneticPr fontId="5" type="noConversion"/>
  </si>
  <si>
    <t xml:space="preserve"> ○ 오징어를 테마로한 공연,체험 프로그램 운영
 ○ 걔폐막 공연, 주제공연 및 문화공연
    - 20여개 프로그램(특별체험 행사 등)</t>
    <phoneticPr fontId="5" type="noConversion"/>
  </si>
  <si>
    <t>주문진오징어축제위원회
(662-4532)</t>
    <phoneticPr fontId="5" type="noConversion"/>
  </si>
  <si>
    <t>1999년도
(19회)</t>
    <phoneticPr fontId="5" type="noConversion"/>
  </si>
  <si>
    <t>오징어</t>
    <phoneticPr fontId="5" type="noConversion"/>
  </si>
  <si>
    <t>항포구</t>
    <phoneticPr fontId="5" type="noConversion"/>
  </si>
  <si>
    <t>강릉시</t>
  </si>
  <si>
    <t>강릉커피축제</t>
  </si>
  <si>
    <t>10.6~10.9
(미정,4일간)</t>
    <phoneticPr fontId="5" type="noConversion"/>
  </si>
  <si>
    <t xml:space="preserve"> ○ 바리스타경연대회, 로스팅, 추출체험전시, 공연
     행사, 커피기기전시회 등</t>
    <phoneticPr fontId="5" type="noConversion"/>
  </si>
  <si>
    <t>강릉시/강릉문화재단
(640-5115)</t>
  </si>
  <si>
    <t>제13회 복어축제</t>
    <phoneticPr fontId="5" type="noConversion"/>
  </si>
  <si>
    <t>12월 중          (3일간)</t>
    <phoneticPr fontId="5" type="noConversion"/>
  </si>
  <si>
    <t xml:space="preserve"> ○ 이벤트,홍보,무료시식회</t>
    <phoneticPr fontId="5" type="noConversion"/>
  </si>
  <si>
    <t>강릉시 산업경제국 경제진흥과(033-640-5535)</t>
    <phoneticPr fontId="5" type="noConversion"/>
  </si>
  <si>
    <t>2006년도             (13회)</t>
    <phoneticPr fontId="5" type="noConversion"/>
  </si>
  <si>
    <t>공동마케팅 지원</t>
    <phoneticPr fontId="5" type="noConversion"/>
  </si>
  <si>
    <t>복어축제</t>
    <phoneticPr fontId="5" type="noConversion"/>
  </si>
  <si>
    <t>동해시</t>
    <phoneticPr fontId="5" type="noConversion"/>
  </si>
  <si>
    <t>제33회 동해무릉제</t>
    <phoneticPr fontId="5" type="noConversion"/>
  </si>
  <si>
    <t xml:space="preserve"> ○ 제례, 공연행사, 민속경기, 문화예술행사, 전시·
     체험행사, 거리퍼레이드, 청소년커버댄스 등</t>
    <phoneticPr fontId="5" type="noConversion"/>
  </si>
  <si>
    <t>동해시 공보문화담당관
/ 미정
(033-539-8529)</t>
    <phoneticPr fontId="5" type="noConversion"/>
  </si>
  <si>
    <t>1984년도
(33회)</t>
    <phoneticPr fontId="5" type="noConversion"/>
  </si>
  <si>
    <t>향토문화</t>
    <phoneticPr fontId="5" type="noConversion"/>
  </si>
  <si>
    <t>도심</t>
    <phoneticPr fontId="5" type="noConversion"/>
  </si>
  <si>
    <t>동해시</t>
  </si>
  <si>
    <t>2월중
(3일간)</t>
    <phoneticPr fontId="5" type="noConversion"/>
  </si>
  <si>
    <t xml:space="preserve"> ○ 황금을 품은 대게 낚시체험
 ○ 자연산 수산물 경매, 시식, 체험프로그램 운영
 ○ 개막행사 및 공연, 수협 수산물 판매행사 등</t>
    <phoneticPr fontId="5" type="noConversion"/>
  </si>
  <si>
    <t>동해시 해양수산과/동해시수산업협동조합
(033-539-8327)</t>
    <phoneticPr fontId="5" type="noConversion"/>
  </si>
  <si>
    <t>2016년도
(2회)</t>
    <phoneticPr fontId="5" type="noConversion"/>
  </si>
  <si>
    <t>수산물</t>
  </si>
  <si>
    <t>미정</t>
    <phoneticPr fontId="5" type="noConversion"/>
  </si>
  <si>
    <t>항구</t>
    <phoneticPr fontId="5" type="noConversion"/>
  </si>
  <si>
    <t>태백시</t>
    <phoneticPr fontId="5" type="noConversion"/>
  </si>
  <si>
    <t>제25회 태백산눈축제</t>
    <phoneticPr fontId="5" type="noConversion"/>
  </si>
  <si>
    <t>1. 19~2. 11. (24일간)</t>
    <phoneticPr fontId="5" type="noConversion"/>
  </si>
  <si>
    <t xml:space="preserve"> ○ 대형눈조각 전시
 ○ 눈미끄럼틀, 얼음미끄럼틀, 썰매 등 체험프로그램
 ○ 전국대학생눈조각대회, 시민눈조각경연대회,
     눈꽃등반대회
 ○ 황지연못 별빛페스티벌</t>
    <phoneticPr fontId="5" type="noConversion"/>
  </si>
  <si>
    <t>태백시 관광문화과/                          태백시축제위원회                          (033-550-2085)</t>
    <phoneticPr fontId="5" type="noConversion"/>
  </si>
  <si>
    <t>1994년도                 (25회)</t>
    <phoneticPr fontId="5" type="noConversion"/>
  </si>
  <si>
    <t>문화관광축제
(육성)</t>
    <phoneticPr fontId="5" type="noConversion"/>
  </si>
  <si>
    <t>눈</t>
    <phoneticPr fontId="5" type="noConversion"/>
  </si>
  <si>
    <t>· 매년</t>
  </si>
  <si>
    <t xml:space="preserve"> ·공공(시군구)</t>
  </si>
  <si>
    <t>자체추진</t>
    <phoneticPr fontId="5" type="noConversion"/>
  </si>
  <si>
    <t>공원, 시내, 마을 등</t>
    <phoneticPr fontId="5" type="noConversion"/>
  </si>
  <si>
    <t>7월말~8월초</t>
    <phoneticPr fontId="5" type="noConversion"/>
  </si>
  <si>
    <t xml:space="preserve"> ○ 수계도시 공연
 ○ 황지물장수 및 재래식펌프 등 발원지(발원수) 체험
 ○ 도심 속 물놀이난장 및 물총퍼레이드, 야외영화
     상영, 도심 속 워터파크
 ○ 야간먹거리장터, 야생화 트래킹, 발원지꿈나무바둑
     대회, 발원지 잇기 마라톤 대회 등</t>
    <phoneticPr fontId="5" type="noConversion"/>
  </si>
  <si>
    <t>2016년도          (3회)</t>
    <phoneticPr fontId="5" type="noConversion"/>
  </si>
  <si>
    <t>2016년도          (3회)</t>
    <phoneticPr fontId="5" type="noConversion"/>
  </si>
  <si>
    <t>문체부</t>
    <phoneticPr fontId="5" type="noConversion"/>
  </si>
  <si>
    <t>폐광지역관광자원화사업</t>
    <phoneticPr fontId="5" type="noConversion"/>
  </si>
  <si>
    <t>물</t>
    <phoneticPr fontId="5" type="noConversion"/>
  </si>
  <si>
    <t>· 매년</t>
    <phoneticPr fontId="5" type="noConversion"/>
  </si>
  <si>
    <t xml:space="preserve"> ·공공(시군구)</t>
    <phoneticPr fontId="5" type="noConversion"/>
  </si>
  <si>
    <t>공원, 시내, 시장 등</t>
    <phoneticPr fontId="5" type="noConversion"/>
  </si>
  <si>
    <t>속초시</t>
    <phoneticPr fontId="5" type="noConversion"/>
  </si>
  <si>
    <t>속초시</t>
    <phoneticPr fontId="5" type="noConversion"/>
  </si>
  <si>
    <t>2018 붉은대게 속초</t>
    <phoneticPr fontId="5" type="noConversion"/>
  </si>
  <si>
    <t>2. 8.~2. 11.
(4일간)</t>
    <phoneticPr fontId="5" type="noConversion"/>
  </si>
  <si>
    <t xml:space="preserve"> ○ 붉은대게 요리 시식․판매 
 ○가족단위 요리 경연대회
 ○ 탑셰프 음식 시연 및 라이브 음식경연
 ○ 속초 붉은  대게 생산품 시식 및 판매,  홍보․전시
     및 체험프로그램</t>
    <phoneticPr fontId="5" type="noConversion"/>
  </si>
  <si>
    <t>강원도 속초시 경제진흥과
/ 속초축제위원회
(033-639-2376)</t>
    <phoneticPr fontId="5" type="noConversion"/>
  </si>
  <si>
    <t>2017년도
(2회)</t>
    <phoneticPr fontId="5" type="noConversion"/>
  </si>
  <si>
    <t>붉은대게</t>
    <phoneticPr fontId="5" type="noConversion"/>
  </si>
  <si>
    <t>매년</t>
    <phoneticPr fontId="5" type="noConversion"/>
  </si>
  <si>
    <t>사단법인</t>
    <phoneticPr fontId="5" type="noConversion"/>
  </si>
  <si>
    <t>전체위탁</t>
    <phoneticPr fontId="5" type="noConversion"/>
  </si>
  <si>
    <t>항만부지</t>
    <phoneticPr fontId="5" type="noConversion"/>
  </si>
  <si>
    <t>속초시</t>
  </si>
  <si>
    <t>장사항 오징어 
맨손잡기축제</t>
  </si>
  <si>
    <t xml:space="preserve"> ○ 오징어 맨손잡기 체험행사
 ○ 오징어 할복대회, 바다속 줄다리기 등 </t>
  </si>
  <si>
    <t>속초시 관광과 
/ 장사동 청년회
(033-639-2369)</t>
  </si>
  <si>
    <t>2000년도
(19회)</t>
    <phoneticPr fontId="5" type="noConversion"/>
  </si>
  <si>
    <t>오징어</t>
  </si>
  <si>
    <t>Grand Sokcho Festa</t>
    <phoneticPr fontId="5" type="noConversion"/>
  </si>
  <si>
    <t>8월중</t>
    <phoneticPr fontId="5" type="noConversion"/>
  </si>
  <si>
    <t>8월중</t>
    <phoneticPr fontId="5" type="noConversion"/>
  </si>
  <si>
    <t xml:space="preserve"> ○ 메인무대공연, 프린지 페스티벌
 ○ 테마별 거리페스티벌, 빛의 축제, 전시 홍보관 등</t>
    <phoneticPr fontId="5" type="noConversion"/>
  </si>
  <si>
    <t>속초시 관광과
/㈜문화창조집단 MW
(033-639-2545)</t>
    <phoneticPr fontId="5" type="noConversion"/>
  </si>
  <si>
    <t>2018년도
(1회)</t>
    <phoneticPr fontId="5" type="noConversion"/>
  </si>
  <si>
    <t>음악, 빛, 물</t>
    <phoneticPr fontId="5" type="noConversion"/>
  </si>
  <si>
    <t>공공 및 임의단체</t>
    <phoneticPr fontId="5" type="noConversion"/>
  </si>
  <si>
    <t>공원, 광장, 시내, 운동장, 마을 등</t>
    <phoneticPr fontId="5" type="noConversion"/>
  </si>
  <si>
    <t>강원도</t>
    <phoneticPr fontId="5" type="noConversion"/>
  </si>
  <si>
    <t>제53회 설악문화제</t>
    <phoneticPr fontId="5" type="noConversion"/>
  </si>
  <si>
    <t>9.29~30/
10.12~14</t>
    <phoneticPr fontId="5" type="noConversion"/>
  </si>
  <si>
    <t xml:space="preserve"> ○ 거리페스티벌 : 거리퍼레이드, 거리공연
 ○ 산신제, 설악산 최고봉 오르기대회 등
 ○ 속초시민한마당, 개폐막 공연, 전시 및 체험행사
 ○ 교육청 과학싹 잔치, 전통시장 먹거리축제 등</t>
    <phoneticPr fontId="5" type="noConversion"/>
  </si>
  <si>
    <t>(사)속초축제위원회
(033-635-8827)</t>
    <phoneticPr fontId="5" type="noConversion"/>
  </si>
  <si>
    <t>1966년도
(53회)</t>
    <phoneticPr fontId="5" type="noConversion"/>
  </si>
  <si>
    <t>산악,해양</t>
    <phoneticPr fontId="5" type="noConversion"/>
  </si>
  <si>
    <t>있음
정규직  2명</t>
    <phoneticPr fontId="5" type="noConversion"/>
  </si>
  <si>
    <t>삼척시</t>
    <phoneticPr fontId="5" type="noConversion"/>
  </si>
  <si>
    <t>삼척정월대보름제</t>
    <phoneticPr fontId="5" type="noConversion"/>
  </si>
  <si>
    <t>2.21~2.25
,3.2
(6일간)</t>
    <phoneticPr fontId="5" type="noConversion"/>
  </si>
  <si>
    <t xml:space="preserve"> ○ 전통 기줄다리기 행사(1,000명 참여)
 ○ 전국기줄다리기대회, 전국스포츠줄다리기 등 경축
     행사
 ○ 공연행사, 민속놀이, 체험행사,특산품판매장 등
    - 64개분야 85여개 프로그램 운영</t>
    <phoneticPr fontId="5" type="noConversion"/>
  </si>
  <si>
    <t>삼척시 문화공보실
/ 삼척시정월대보름제위원회
(033-570-3225)</t>
    <phoneticPr fontId="5" type="noConversion"/>
  </si>
  <si>
    <t>1973년도
(47회)</t>
    <phoneticPr fontId="5" type="noConversion"/>
  </si>
  <si>
    <t>전통문화</t>
    <phoneticPr fontId="5" type="noConversion"/>
  </si>
  <si>
    <t>삼척시</t>
    <phoneticPr fontId="5" type="noConversion"/>
  </si>
  <si>
    <t>삼척대게축제</t>
    <phoneticPr fontId="5" type="noConversion"/>
  </si>
  <si>
    <t>2.23~2.25
(3일간)</t>
    <phoneticPr fontId="5" type="noConversion"/>
  </si>
  <si>
    <t xml:space="preserve"> ○ 쉐프 대게 요리 시연회, 문화콘서트
 ○ 대게잡기체험, 대게 시식 등 체험행사
 ○ 정라진 옛모습 사진전 및 어업용 기자재 전시 등 </t>
    <phoneticPr fontId="5" type="noConversion"/>
  </si>
  <si>
    <t>삼척시 해안수산과
(033-570-3417)</t>
    <phoneticPr fontId="5" type="noConversion"/>
  </si>
  <si>
    <t>대게</t>
    <phoneticPr fontId="5" type="noConversion"/>
  </si>
  <si>
    <t>공공(삼척시)</t>
    <phoneticPr fontId="5" type="noConversion"/>
  </si>
  <si>
    <t>항구</t>
    <phoneticPr fontId="5" type="noConversion"/>
  </si>
  <si>
    <t>삼척맹방유채꽃축제</t>
    <phoneticPr fontId="5" type="noConversion"/>
  </si>
  <si>
    <t>4.6 ~ 4.30
(25일간)</t>
    <phoneticPr fontId="5" type="noConversion"/>
  </si>
  <si>
    <t xml:space="preserve"> ○ 유채꽃 및 홍보사진 전시
 ○ 유채꽃과 함께 자전거 하이킹, 걷기대회
 ○ 유채꽃 인절미 만들기 체험, 사진촬영대회 등</t>
    <phoneticPr fontId="5" type="noConversion"/>
  </si>
  <si>
    <t>삼척시 농정과
/ 삼척맹방유채꽃축제추진위원회
(033-570-3382)</t>
    <phoneticPr fontId="5" type="noConversion"/>
  </si>
  <si>
    <t>유채꽃</t>
    <phoneticPr fontId="5" type="noConversion"/>
  </si>
  <si>
    <t>축제위원회</t>
    <phoneticPr fontId="5" type="noConversion"/>
  </si>
  <si>
    <t>장미축제</t>
    <phoneticPr fontId="5" type="noConversion"/>
  </si>
  <si>
    <t>5.18~5.22
(5일간)</t>
    <phoneticPr fontId="5" type="noConversion"/>
  </si>
  <si>
    <t xml:space="preserve"> ○ 문화공연, 예술전시, 민속공연
 ○ 체험부스, 특별이벤트, 퍼레이드
 ○ 지역주민 참여행사, 사랑 나눔행사 등</t>
    <phoneticPr fontId="5" type="noConversion"/>
  </si>
  <si>
    <t>삼척시 관광정책과
(033-570-3544)</t>
    <phoneticPr fontId="5" type="noConversion"/>
  </si>
  <si>
    <t>2016년도
(3회)</t>
    <phoneticPr fontId="5" type="noConversion"/>
  </si>
  <si>
    <t>생태자연</t>
    <phoneticPr fontId="5" type="noConversion"/>
  </si>
  <si>
    <t>장미</t>
    <phoneticPr fontId="5" type="noConversion"/>
  </si>
  <si>
    <t>공공(삼척시)</t>
    <phoneticPr fontId="5" type="noConversion"/>
  </si>
  <si>
    <t>삼척시</t>
    <phoneticPr fontId="5" type="noConversion"/>
  </si>
  <si>
    <t>비치 썸 페스티벌</t>
    <phoneticPr fontId="5" type="noConversion"/>
  </si>
  <si>
    <t>7월중</t>
    <phoneticPr fontId="5" type="noConversion"/>
  </si>
  <si>
    <t xml:space="preserve"> ○ 공연 : 가수 및 밴드 뮤지션, DJ파티, 퍼포먼스
 ○ 먹거리 : 수제맥주, 푸드트럭, 식음부스 등
 ○ 체험 및 기타행사</t>
    <phoneticPr fontId="5" type="noConversion"/>
  </si>
  <si>
    <t>삼척시 관광정책과
(033-570-3544)</t>
    <phoneticPr fontId="5" type="noConversion"/>
  </si>
  <si>
    <t>생태자연</t>
    <phoneticPr fontId="5" type="noConversion"/>
  </si>
  <si>
    <t>부분위탁</t>
    <phoneticPr fontId="5" type="noConversion"/>
  </si>
  <si>
    <t>바다</t>
    <phoneticPr fontId="5" type="noConversion"/>
  </si>
  <si>
    <t>삼척 이사부 축제</t>
    <phoneticPr fontId="5" type="noConversion"/>
  </si>
  <si>
    <t>9월중</t>
    <phoneticPr fontId="5" type="noConversion"/>
  </si>
  <si>
    <t xml:space="preserve"> ○ 이사부사자상전함경주대회, 독도 토크콘서트
 ○ 이사부장군을 주요 테마로한 다양한 전시, 체험
     프로그램 운영
 ○ 공식(의식)·공연·전시·대회행사,체험/포토존 등
 ○ 실경 미디어 퍼포먼스 </t>
    <phoneticPr fontId="5" type="noConversion"/>
  </si>
  <si>
    <t>삼척시청 관광정책과/관광기획
033-570-3841</t>
    <phoneticPr fontId="5" type="noConversion"/>
  </si>
  <si>
    <t>2008년도
(11회)</t>
    <phoneticPr fontId="5" type="noConversion"/>
  </si>
  <si>
    <t>문화예술</t>
    <phoneticPr fontId="5" type="noConversion"/>
  </si>
  <si>
    <t>이사부 장군</t>
    <phoneticPr fontId="5" type="noConversion"/>
  </si>
  <si>
    <t>축제조직위</t>
    <phoneticPr fontId="5" type="noConversion"/>
  </si>
  <si>
    <t>시내</t>
    <phoneticPr fontId="5" type="noConversion"/>
  </si>
  <si>
    <t>홍천군</t>
    <phoneticPr fontId="5" type="noConversion"/>
  </si>
  <si>
    <t xml:space="preserve"> 제10회 홍천
무궁화축제</t>
    <phoneticPr fontId="5" type="noConversion"/>
  </si>
  <si>
    <t>10.13~10.15 (3일간)</t>
    <phoneticPr fontId="5" type="noConversion"/>
  </si>
  <si>
    <t xml:space="preserve"> ○ 민속놀이, 노래자랑, 특산품판매, 풍물시장, 불꽃
     놀이, 체험행사, 전시행사등</t>
    <phoneticPr fontId="36" type="noConversion"/>
  </si>
  <si>
    <t>홍천군 문화관광과
/(사)홍천문화재단
033-435-4350</t>
    <phoneticPr fontId="5" type="noConversion"/>
  </si>
  <si>
    <t>2009년도
(10회)</t>
    <phoneticPr fontId="5" type="noConversion"/>
  </si>
  <si>
    <t>무궁화</t>
    <phoneticPr fontId="5" type="noConversion"/>
  </si>
  <si>
    <t>문화재단</t>
    <phoneticPr fontId="5" type="noConversion"/>
  </si>
  <si>
    <t>자체추진</t>
    <phoneticPr fontId="5" type="noConversion"/>
  </si>
  <si>
    <t>공원
종합운동장
시내거리</t>
    <phoneticPr fontId="5" type="noConversion"/>
  </si>
  <si>
    <t>홍천군</t>
    <phoneticPr fontId="5" type="noConversion"/>
  </si>
  <si>
    <t>제6회 홍천강
인삼송어 꽁꽁축제</t>
    <phoneticPr fontId="5" type="noConversion"/>
  </si>
  <si>
    <t xml:space="preserve"> ○ 농특산물전시 및 판매, 홍보관, 실내체험관, 실외
     체험, 송어낚시, 먹거리, 요리경연대회</t>
    <phoneticPr fontId="36" type="noConversion"/>
  </si>
  <si>
    <t>홍천군 문화관광과
/(사)홍천문화재단
033-435-4350</t>
    <phoneticPr fontId="5" type="noConversion"/>
  </si>
  <si>
    <t>2012년도 
(6회)</t>
    <phoneticPr fontId="5" type="noConversion"/>
  </si>
  <si>
    <t>인삼송어</t>
    <phoneticPr fontId="5" type="noConversion"/>
  </si>
  <si>
    <t>문화재단</t>
    <phoneticPr fontId="5" type="noConversion"/>
  </si>
  <si>
    <t>강변</t>
    <phoneticPr fontId="5" type="noConversion"/>
  </si>
  <si>
    <t>제22회 홍천
찰옥수수축제</t>
    <phoneticPr fontId="5" type="noConversion"/>
  </si>
  <si>
    <t>7.28 ~7.30
(3일간)</t>
    <phoneticPr fontId="5" type="noConversion"/>
  </si>
  <si>
    <t xml:space="preserve"> ○  찰옥수수판매, 군민의날 축하공연, 불꽃놀이,
      수상레저 체험
</t>
    <phoneticPr fontId="5" type="noConversion"/>
  </si>
  <si>
    <t>1996년도       
(22회)</t>
    <phoneticPr fontId="5" type="noConversion"/>
  </si>
  <si>
    <t>지역특산물</t>
    <phoneticPr fontId="5" type="noConversion"/>
  </si>
  <si>
    <t>찰옥수수</t>
    <phoneticPr fontId="5" type="noConversion"/>
  </si>
  <si>
    <t>공원</t>
    <phoneticPr fontId="5" type="noConversion"/>
  </si>
  <si>
    <t>강원도</t>
    <phoneticPr fontId="5" type="noConversion"/>
  </si>
  <si>
    <t>제16회 강원홍천 인삼한우 명품축제</t>
    <phoneticPr fontId="5" type="noConversion"/>
  </si>
  <si>
    <t>10.20~10.22
(3일간)</t>
    <phoneticPr fontId="5" type="noConversion"/>
  </si>
  <si>
    <t xml:space="preserve"> ○ 인삼, 한우판매, 인삼경매, 체험행사, 시식행사,
     판매행사등</t>
    <phoneticPr fontId="5" type="noConversion"/>
  </si>
  <si>
    <t>홍천군 문화관광과
/(사)홍천문화재단
033-435-4350</t>
    <phoneticPr fontId="5" type="noConversion"/>
  </si>
  <si>
    <t>2002년도
 (16회)</t>
    <phoneticPr fontId="5" type="noConversion"/>
  </si>
  <si>
    <t>지역특산물</t>
    <phoneticPr fontId="5" type="noConversion"/>
  </si>
  <si>
    <t>인삼, 한우</t>
    <phoneticPr fontId="5" type="noConversion"/>
  </si>
  <si>
    <t>공원</t>
    <phoneticPr fontId="5" type="noConversion"/>
  </si>
  <si>
    <t>홍천군</t>
    <phoneticPr fontId="5" type="noConversion"/>
  </si>
  <si>
    <t>제2회 별빛음악
맥주축제</t>
    <phoneticPr fontId="5" type="noConversion"/>
  </si>
  <si>
    <t>8.4.~8.6
(3일간)</t>
    <phoneticPr fontId="5" type="noConversion"/>
  </si>
  <si>
    <t xml:space="preserve"> ○ 수제맥주,  한우판매, 체험행사, 시음행사,
     판매행사 등</t>
    <phoneticPr fontId="5" type="noConversion"/>
  </si>
  <si>
    <t>홍천군 문화관광과
/(사)홍천문화재단
033-435-4350</t>
    <phoneticPr fontId="5" type="noConversion"/>
  </si>
  <si>
    <t>2017년도            (2회)</t>
    <phoneticPr fontId="5" type="noConversion"/>
  </si>
  <si>
    <t>맥주, 한우</t>
    <phoneticPr fontId="5" type="noConversion"/>
  </si>
  <si>
    <t>횡성군</t>
    <phoneticPr fontId="5" type="noConversion"/>
  </si>
  <si>
    <t>횡성한우축제</t>
    <phoneticPr fontId="5" type="noConversion"/>
  </si>
  <si>
    <t>10월중
(5일간)</t>
    <phoneticPr fontId="5" type="noConversion"/>
  </si>
  <si>
    <t xml:space="preserve"> ○ 횡성한우 이벤트 마당, 한우놀이마당, 한우품평회,
     농경문화체험, 횡성한우판매장, 대형셀프식당 등</t>
    <phoneticPr fontId="5" type="noConversion"/>
  </si>
  <si>
    <t>횡성군청 문화예술과
/횡성문화재단
(033-340-5711,2)</t>
    <phoneticPr fontId="5" type="noConversion"/>
  </si>
  <si>
    <t>2004년도
(14회)</t>
    <phoneticPr fontId="5" type="noConversion"/>
  </si>
  <si>
    <t>문화관광축제 지원</t>
    <phoneticPr fontId="5" type="noConversion"/>
  </si>
  <si>
    <t>문화관광축제
(유망)</t>
    <phoneticPr fontId="5" type="noConversion"/>
  </si>
  <si>
    <t>횡성한우</t>
    <phoneticPr fontId="5" type="noConversion"/>
  </si>
  <si>
    <t>공공(횡성군)/재단법인</t>
    <phoneticPr fontId="5" type="noConversion"/>
  </si>
  <si>
    <t>전체위탁</t>
    <phoneticPr fontId="5" type="noConversion"/>
  </si>
  <si>
    <t>하천광장</t>
    <phoneticPr fontId="5" type="noConversion"/>
  </si>
  <si>
    <t>둔내토마토축제</t>
    <phoneticPr fontId="5" type="noConversion"/>
  </si>
  <si>
    <t>8월중
(5일간)</t>
    <phoneticPr fontId="5" type="noConversion"/>
  </si>
  <si>
    <t xml:space="preserve"> ○ 토마토풀장, 토마토투수, 토마토따기체험, 토마토
     꽃동산, 농특산물판매 및 전시 등</t>
    <phoneticPr fontId="5" type="noConversion"/>
  </si>
  <si>
    <t>횡성군 둔내면
/둔내고랭지토마토축제위원회
(033-340-2704)</t>
    <phoneticPr fontId="5" type="noConversion"/>
  </si>
  <si>
    <t>2012년도
(6회)</t>
    <phoneticPr fontId="5" type="noConversion"/>
  </si>
  <si>
    <t>토마토</t>
    <phoneticPr fontId="5" type="noConversion"/>
  </si>
  <si>
    <t>공공(읍면)/축제위원회</t>
    <phoneticPr fontId="5" type="noConversion"/>
  </si>
  <si>
    <t>운동장</t>
    <phoneticPr fontId="5" type="noConversion"/>
  </si>
  <si>
    <t>횡성군</t>
    <phoneticPr fontId="5" type="noConversion"/>
  </si>
  <si>
    <t>횡성더덕축제</t>
    <phoneticPr fontId="5" type="noConversion"/>
  </si>
  <si>
    <t>9월중
(3일간)</t>
    <phoneticPr fontId="5" type="noConversion"/>
  </si>
  <si>
    <t>9월중
(3일간)</t>
    <phoneticPr fontId="5" type="noConversion"/>
  </si>
  <si>
    <t xml:space="preserve"> ○ 더덕요리경연대회, 더덕캐기체험, 더덕빨리까기
     대회, 향토주막 및 음식점, 횡성더덕한우 셀프타운,
     홍보관</t>
    <phoneticPr fontId="5" type="noConversion"/>
  </si>
  <si>
    <t>횡성군 청일면
/횡성더덕축제위원회
(033-340-2706)</t>
    <phoneticPr fontId="5" type="noConversion"/>
  </si>
  <si>
    <t>더덕</t>
    <phoneticPr fontId="5" type="noConversion"/>
  </si>
  <si>
    <t>공공(읍면)/축제위원회</t>
    <phoneticPr fontId="5" type="noConversion"/>
  </si>
  <si>
    <t>안흥찐빵축제</t>
    <phoneticPr fontId="5" type="noConversion"/>
  </si>
  <si>
    <t>10월중
(3일간)</t>
    <phoneticPr fontId="5" type="noConversion"/>
  </si>
  <si>
    <t xml:space="preserve"> ○ 안흥찐빵테마관 운영, 안흥찐빵 만들기 체험, 주막
     거리, 농촌마을 레저체험 등</t>
    <phoneticPr fontId="5" type="noConversion"/>
  </si>
  <si>
    <t>횡성군 안흥면
/안흥찐빵축제위원회
(033-340-2703)</t>
    <phoneticPr fontId="5" type="noConversion"/>
  </si>
  <si>
    <t>1999년도
(12회)</t>
    <phoneticPr fontId="5" type="noConversion"/>
  </si>
  <si>
    <t>안흥찐빵</t>
    <phoneticPr fontId="5" type="noConversion"/>
  </si>
  <si>
    <t>시내거리</t>
    <phoneticPr fontId="5" type="noConversion"/>
  </si>
  <si>
    <t>영월군</t>
    <phoneticPr fontId="5" type="noConversion"/>
  </si>
  <si>
    <t>제52회 단종문화제</t>
    <phoneticPr fontId="5" type="noConversion"/>
  </si>
  <si>
    <t>4.26~4.29         (4일간)</t>
    <phoneticPr fontId="5" type="noConversion"/>
  </si>
  <si>
    <t xml:space="preserve"> ○ 단종국장 재현
 ○ 단종을 테마로한 공연, 전시, 역사체험프로그램
 ○ 개폐막 공연 및 문화공연
   - 20여개 프로그램
 ○ 기타 백일장행사 및 전시 등</t>
    <phoneticPr fontId="5" type="noConversion"/>
  </si>
  <si>
    <t>영월군청 문화관광과
/ 영월문화재단
(033-375-6353)</t>
    <phoneticPr fontId="5" type="noConversion"/>
  </si>
  <si>
    <t>1967년도
(52회)</t>
    <phoneticPr fontId="5" type="noConversion"/>
  </si>
  <si>
    <t>지역특화문화행사</t>
    <phoneticPr fontId="5" type="noConversion"/>
  </si>
  <si>
    <t>전통역사</t>
    <phoneticPr fontId="5" type="noConversion"/>
  </si>
  <si>
    <t>단종</t>
    <phoneticPr fontId="5" type="noConversion"/>
  </si>
  <si>
    <t>재단법인</t>
    <phoneticPr fontId="5" type="noConversion"/>
  </si>
  <si>
    <t>사적지, 광장</t>
    <phoneticPr fontId="5" type="noConversion"/>
  </si>
  <si>
    <t>영월군</t>
    <phoneticPr fontId="5" type="noConversion"/>
  </si>
  <si>
    <t>2018 동강뗏목축제</t>
    <phoneticPr fontId="5" type="noConversion"/>
  </si>
  <si>
    <t>8.2~8.5
(4일간)</t>
    <phoneticPr fontId="5" type="noConversion"/>
  </si>
  <si>
    <t xml:space="preserve"> ○ 뗏목시연
 ○ 뗏목을 테마로한 대회, 뗏목관 등 운영
 ○ 개막 공연, 문화공연, 레져행사 등 20여개 프로그램
 ○ 기타 물놀이 등등</t>
    <phoneticPr fontId="5" type="noConversion"/>
  </si>
  <si>
    <t>동강, 뗏목</t>
    <phoneticPr fontId="5" type="noConversion"/>
  </si>
  <si>
    <t>하천, 광장</t>
    <phoneticPr fontId="5" type="noConversion"/>
  </si>
  <si>
    <t>영월군</t>
    <phoneticPr fontId="5" type="noConversion"/>
  </si>
  <si>
    <t>동강국제사진제 2018</t>
    <phoneticPr fontId="5" type="noConversion"/>
  </si>
  <si>
    <t>7.13~9.30
(80일간)</t>
    <phoneticPr fontId="5" type="noConversion"/>
  </si>
  <si>
    <t xml:space="preserve"> ○ 국제주제전
 ○ 사진을 테마로 한 사진전시 및 교육행사 등
 ○ 개막 행사</t>
    <phoneticPr fontId="5" type="noConversion"/>
  </si>
  <si>
    <t>2002년도
(17회)</t>
    <phoneticPr fontId="5" type="noConversion"/>
  </si>
  <si>
    <t>문화예술</t>
    <phoneticPr fontId="5" type="noConversion"/>
  </si>
  <si>
    <t>사진</t>
    <phoneticPr fontId="5" type="noConversion"/>
  </si>
  <si>
    <t>박물관, 시내거리, 기타</t>
    <phoneticPr fontId="5" type="noConversion"/>
  </si>
  <si>
    <t>제21회 김삿갓문화제</t>
    <phoneticPr fontId="5" type="noConversion"/>
  </si>
  <si>
    <t>10.5~10.7
(3일간)</t>
    <phoneticPr fontId="5" type="noConversion"/>
  </si>
  <si>
    <t xml:space="preserve"> ○ 김삿갓 문학상 시상
 ○ 김삿갓을 테마로한 영상공모전 등 10여개 이상
     프로그램 운영
 ○ 김삿갓을 주제로한 거리 체험행사 및 전시 등</t>
    <phoneticPr fontId="5" type="noConversion"/>
  </si>
  <si>
    <t>영월군청 문화관광과
/ 영월문화재단
(033-375-6353)</t>
    <phoneticPr fontId="5" type="noConversion"/>
  </si>
  <si>
    <t>1998년도
(20회)</t>
    <phoneticPr fontId="5" type="noConversion"/>
  </si>
  <si>
    <t>김삿갓</t>
    <phoneticPr fontId="5" type="noConversion"/>
  </si>
  <si>
    <t>사적지, 광장</t>
    <phoneticPr fontId="5" type="noConversion"/>
  </si>
  <si>
    <t>평창군</t>
    <phoneticPr fontId="5" type="noConversion"/>
  </si>
  <si>
    <t>평창송어축제</t>
    <phoneticPr fontId="5" type="noConversion"/>
  </si>
  <si>
    <t>17.12.22
~'18.2.25
(66일간)</t>
    <phoneticPr fontId="5" type="noConversion"/>
  </si>
  <si>
    <t>평창송어축제위원회
(033-336-4000)</t>
    <phoneticPr fontId="5" type="noConversion"/>
  </si>
  <si>
    <t>2008년도
(11회)</t>
    <phoneticPr fontId="5" type="noConversion"/>
  </si>
  <si>
    <t>문화관광축제
(육성)</t>
    <phoneticPr fontId="5" type="noConversion"/>
  </si>
  <si>
    <t>송어</t>
    <phoneticPr fontId="5" type="noConversion"/>
  </si>
  <si>
    <t>하천</t>
    <phoneticPr fontId="5" type="noConversion"/>
  </si>
  <si>
    <t>평창군</t>
    <phoneticPr fontId="5" type="noConversion"/>
  </si>
  <si>
    <t>대관령눈꽃축제</t>
    <phoneticPr fontId="5" type="noConversion"/>
  </si>
  <si>
    <t>2.7~2.22
(16일간)</t>
    <phoneticPr fontId="5" type="noConversion"/>
  </si>
  <si>
    <t xml:space="preserve"> ○ 대형 눈조각 전시
 ○ 전시장 전체 공간설계에 의한 눈조각 테마파크 조성
 ○ 알몸 마라톤 대회, 눈마을 올림픽, 대형 눈썰매, 
     참여형 눈조각 등 다양한 체험프로그램 운영
 ○ 생활문화 전시 및 야외 구이 체험 등 각종 특별행사 
     및 전시 진행</t>
    <phoneticPr fontId="5" type="noConversion"/>
  </si>
  <si>
    <t>대관령축제위원회
(033-335-3995)</t>
    <phoneticPr fontId="5" type="noConversion"/>
  </si>
  <si>
    <t>1993년도
(26회)</t>
    <phoneticPr fontId="5" type="noConversion"/>
  </si>
  <si>
    <t>주민화합</t>
    <phoneticPr fontId="5" type="noConversion"/>
  </si>
  <si>
    <t>대형눈조각</t>
    <phoneticPr fontId="5" type="noConversion"/>
  </si>
  <si>
    <t>평창더위사냥축제</t>
    <phoneticPr fontId="5" type="noConversion"/>
  </si>
  <si>
    <t>7.27~8.5.
(10일간)</t>
    <phoneticPr fontId="5" type="noConversion"/>
  </si>
  <si>
    <t xml:space="preserve"> ○ 땀띠물냉천수 체험
 ○ 꿈의대화캠핑장 운영, 땀띠물냉천수 체험, 광천
     선굴 탐험 등 다양한 체험 프로그램 운영
 ○ 다양한 문화공연 및 각종 체험 프로그램 진행
 ○ 야시장,해바라기 포토존 등 다양한 체험거리 제공</t>
    <phoneticPr fontId="5" type="noConversion"/>
  </si>
  <si>
    <t>평창더위사냥축제위원회
(033-334-2277)</t>
    <phoneticPr fontId="5" type="noConversion"/>
  </si>
  <si>
    <t>2013년도
(6회)</t>
    <phoneticPr fontId="5" type="noConversion"/>
  </si>
  <si>
    <t>냉천수</t>
    <phoneticPr fontId="5" type="noConversion"/>
  </si>
  <si>
    <t>공원</t>
    <phoneticPr fontId="5" type="noConversion"/>
  </si>
  <si>
    <t>평창효석문화제</t>
    <phoneticPr fontId="5" type="noConversion"/>
  </si>
  <si>
    <t>9월초~9월중순
(10일간)</t>
    <phoneticPr fontId="5" type="noConversion"/>
  </si>
  <si>
    <t xml:space="preserve"> ○ 메밀꽃밭(테마포토존)
 ○ 이효석과 메밀꽃을 테마로한 공연,전시,체험프로
     그램 운영
 ○ 문학의 밤, 각종 전통마당 프로그램, 다양한 문학
     마당 프로그램 진행</t>
    <phoneticPr fontId="5" type="noConversion"/>
  </si>
  <si>
    <t>이효석문학선양회
(033-335-2323)</t>
    <phoneticPr fontId="5" type="noConversion"/>
  </si>
  <si>
    <t>1999년도
(19회)</t>
    <phoneticPr fontId="5" type="noConversion"/>
  </si>
  <si>
    <t>문체부</t>
    <phoneticPr fontId="5" type="noConversion"/>
  </si>
  <si>
    <t>문화관광축제
(최우수)</t>
    <phoneticPr fontId="5" type="noConversion"/>
  </si>
  <si>
    <t>메밀꽃</t>
    <phoneticPr fontId="5" type="noConversion"/>
  </si>
  <si>
    <t>사단법인</t>
    <phoneticPr fontId="5" type="noConversion"/>
  </si>
  <si>
    <t>마을</t>
    <phoneticPr fontId="5" type="noConversion"/>
  </si>
  <si>
    <t>평창백일홍축제</t>
    <phoneticPr fontId="5" type="noConversion"/>
  </si>
  <si>
    <t>9월중~10월초
(10일간)</t>
    <phoneticPr fontId="5" type="noConversion"/>
  </si>
  <si>
    <t xml:space="preserve"> ○ 백일홍꽃밭(테마포토존)
 ○ 백일홍을 테마로 포토존,다양한 체험 프로그램 진행
 ○ 열기구체험,강원예술제,직장인밴드 경연대회 등
     각종 무대 프로그램 및 깡통열차, 풍등 체험 등</t>
    <phoneticPr fontId="5" type="noConversion"/>
  </si>
  <si>
    <t>백일홍축제위원회
(033-330-6033)</t>
    <phoneticPr fontId="5" type="noConversion"/>
  </si>
  <si>
    <t>2015년도
(3회)</t>
    <phoneticPr fontId="5" type="noConversion"/>
  </si>
  <si>
    <t>백일홍</t>
    <phoneticPr fontId="5" type="noConversion"/>
  </si>
  <si>
    <t>정선군</t>
  </si>
  <si>
    <t>정선고드름축제</t>
  </si>
  <si>
    <t>2.7~2.25
(19일간)</t>
  </si>
  <si>
    <t xml:space="preserve"> ○ 정선아리랑 개폐막공연
 ○ 눈과 고드름 등 조경존
 ○ 눈썰매장, 송어얼음낚시, 썰매놀이터 등 체험존
 ○ 향토먹거리촌 운영 등</t>
    <phoneticPr fontId="5" type="noConversion"/>
  </si>
  <si>
    <t>정선군 문화관광과
/ 정선아리랑문화재단
(033-560-2569)</t>
    <phoneticPr fontId="5" type="noConversion"/>
  </si>
  <si>
    <t>2016년도        (1회)</t>
  </si>
  <si>
    <t>지역문화관광 체험프로그램 운영</t>
    <phoneticPr fontId="5" type="noConversion"/>
  </si>
  <si>
    <t>고드름</t>
    <phoneticPr fontId="5" type="noConversion"/>
  </si>
  <si>
    <t>하천,공원</t>
  </si>
  <si>
    <t>정선아리랑제</t>
  </si>
  <si>
    <t>10월초(예정)</t>
  </si>
  <si>
    <t xml:space="preserve"> ○ 전국아리랑경창대회
 ○ 아리랑을 테마로한 공연, 전시, 체험프로그램 운영
 ○ 개폐막 공연</t>
    <phoneticPr fontId="5" type="noConversion"/>
  </si>
  <si>
    <t>정선군 문화관광과
 / (사)정선아리랑제위원회
(033-560-2138)</t>
  </si>
  <si>
    <t>1976년도
(제43회)</t>
  </si>
  <si>
    <t>아리랑</t>
  </si>
  <si>
    <t>광장</t>
  </si>
  <si>
    <t>철원군</t>
    <phoneticPr fontId="5" type="noConversion"/>
  </si>
  <si>
    <t>화강 다슬기축제</t>
    <phoneticPr fontId="5" type="noConversion"/>
  </si>
  <si>
    <t>8.2~8.5
(4일간)</t>
    <phoneticPr fontId="5" type="noConversion"/>
  </si>
  <si>
    <t>철원군 관광과
/ 철원군축제위원회
(033-450-4804)</t>
    <phoneticPr fontId="5" type="noConversion"/>
  </si>
  <si>
    <t>다슬기</t>
    <phoneticPr fontId="5" type="noConversion"/>
  </si>
  <si>
    <t>있음
계약직 3명</t>
    <phoneticPr fontId="5" type="noConversion"/>
  </si>
  <si>
    <t>철원군</t>
    <phoneticPr fontId="5" type="noConversion"/>
  </si>
  <si>
    <t>태봉제</t>
    <phoneticPr fontId="5" type="noConversion"/>
  </si>
  <si>
    <t>10.4~10.6
(3일간)</t>
    <phoneticPr fontId="5" type="noConversion"/>
  </si>
  <si>
    <t xml:space="preserve"> ○ 궁예왕 어가행렬 및 즉위식
 ○ 태봉국을 테마로 한 주제공연, 문화행사, 개막행사
 ○ 개폐막 공연 등 4개 분야 30여개 프로그램
 ○ 기타 특별행사, 전시 및 체험프로그램 운영</t>
    <phoneticPr fontId="5" type="noConversion"/>
  </si>
  <si>
    <t>철원군 관광과
/ 철원군축제위원회
(033-450-4872)</t>
    <phoneticPr fontId="5" type="noConversion"/>
  </si>
  <si>
    <t>1982년도
(36회)</t>
    <phoneticPr fontId="5" type="noConversion"/>
  </si>
  <si>
    <t>태봉국</t>
    <phoneticPr fontId="5" type="noConversion"/>
  </si>
  <si>
    <t>화천군</t>
    <phoneticPr fontId="5" type="noConversion"/>
  </si>
  <si>
    <t>얼음나라화천
산천어축제</t>
    <phoneticPr fontId="5" type="noConversion"/>
  </si>
  <si>
    <t>1.6~1.28
(23일)</t>
    <phoneticPr fontId="5" type="noConversion"/>
  </si>
  <si>
    <t xml:space="preserve"> ○ 산천어얼음낚시 외 60여개 체험프로그램 운영
 ○ 선등거리, 세계최대실내얼음조각광장, 차없는거리
     등 시가지와 연계한 다양한 문화공연 이벤트 개최
 ○ 창작썰매 콘테스트</t>
    <phoneticPr fontId="5" type="noConversion"/>
  </si>
  <si>
    <t>화천군청 관광정책과 / 
재단법인 나라
(033-440-2558)</t>
    <phoneticPr fontId="5" type="noConversion"/>
  </si>
  <si>
    <t>2003년도
(15회)</t>
    <phoneticPr fontId="5" type="noConversion"/>
  </si>
  <si>
    <t>문화관광축제
(대표)</t>
    <phoneticPr fontId="5" type="noConversion"/>
  </si>
  <si>
    <t>문화관광축제
(대표)</t>
    <phoneticPr fontId="5" type="noConversion"/>
  </si>
  <si>
    <t>산천어</t>
    <phoneticPr fontId="5" type="noConversion"/>
  </si>
  <si>
    <t>물의나라화천
쪽배축제</t>
    <phoneticPr fontId="5" type="noConversion"/>
  </si>
  <si>
    <t>7월말~8월초(16일)</t>
    <phoneticPr fontId="5" type="noConversion"/>
  </si>
  <si>
    <t xml:space="preserve"> ○ 붕어섬 수영장 외 20여개 체험프로그램 운영
 ○ 창작쪽배 콘테스트</t>
    <phoneticPr fontId="5" type="noConversion"/>
  </si>
  <si>
    <t>-</t>
    <phoneticPr fontId="5" type="noConversion"/>
  </si>
  <si>
    <t>쪽배</t>
    <phoneticPr fontId="5" type="noConversion"/>
  </si>
  <si>
    <t>하천</t>
    <phoneticPr fontId="5" type="noConversion"/>
  </si>
  <si>
    <t>화천토마토축제</t>
    <phoneticPr fontId="5" type="noConversion"/>
  </si>
  <si>
    <t>8.4~8.7
(4일간)</t>
    <phoneticPr fontId="5" type="noConversion"/>
  </si>
  <si>
    <t xml:space="preserve"> ○ 토마토황금반지를 찾아라
 ○ 화천화악산 토마토를 테마로한 30가지 공연, 전시, 
     체험프로그램 
 ○ 전야제공연, 한여름밤의 토마토페스티벌,
     이기자 장병의 밤 등</t>
    <phoneticPr fontId="5" type="noConversion"/>
  </si>
  <si>
    <t>화천군청 농촌개발과 /
화천토마토축제추진위원회
(033-440-2912)</t>
    <phoneticPr fontId="5" type="noConversion"/>
  </si>
  <si>
    <t>시내거리</t>
    <phoneticPr fontId="5" type="noConversion"/>
  </si>
  <si>
    <t>양구군</t>
    <phoneticPr fontId="5" type="noConversion"/>
  </si>
  <si>
    <t>양구군</t>
    <phoneticPr fontId="5" type="noConversion"/>
  </si>
  <si>
    <t>청춘양구 곰취축제</t>
    <phoneticPr fontId="5" type="noConversion"/>
  </si>
  <si>
    <t>5.5~5.7
(3일간)</t>
    <phoneticPr fontId="5" type="noConversion"/>
  </si>
  <si>
    <t xml:space="preserve"> ○ 곰취현장채취체험(건강 웰빙프로그램)
 ○ 지역특산물을 소재 및 테마로한 체험, 전시, 공연
     프로그램 운영
 ○ 개막행사 등 6개분야 60여개 프로그램</t>
    <phoneticPr fontId="5" type="noConversion"/>
  </si>
  <si>
    <t>(사)양구군축제위원회/곰취축제집행위원회
(김영일/033-480-2242)</t>
    <phoneticPr fontId="5" type="noConversion"/>
  </si>
  <si>
    <t>2004년도
(14회)</t>
    <phoneticPr fontId="5" type="noConversion"/>
  </si>
  <si>
    <t>곰취나물</t>
    <phoneticPr fontId="5" type="noConversion"/>
  </si>
  <si>
    <t>매년 5월초</t>
    <phoneticPr fontId="5" type="noConversion"/>
  </si>
  <si>
    <t>사단법인
축제위원회</t>
    <phoneticPr fontId="5" type="noConversion"/>
  </si>
  <si>
    <t>청춘양구 배꼽축제</t>
    <phoneticPr fontId="5" type="noConversion"/>
  </si>
  <si>
    <t>7.27~7.29
(3일간)</t>
    <phoneticPr fontId="5" type="noConversion"/>
  </si>
  <si>
    <t xml:space="preserve"> ○ 양구의 지리적 특성(한반도의 배꼽)을 테마로한
     축제
 ○ 배꼽=생명=물을 주제로 '물난리존' 등 다양한
     물놀이 프로그램
 ○ 지역 여름철 대표 농산물 '수박'을 활용한 다양한
     프로그램
 ○ 전국 벨리댄스 경연대회 진행
 ○ 개막행사 등 8개분야 50여개 프로그램</t>
    <phoneticPr fontId="5" type="noConversion"/>
  </si>
  <si>
    <t>(사)양구군축제위원회/배꼽축제집행위원회
(김영일/033-480-2242)</t>
    <phoneticPr fontId="5" type="noConversion"/>
  </si>
  <si>
    <t>2008년도
(11회)</t>
    <phoneticPr fontId="5" type="noConversion"/>
  </si>
  <si>
    <t>물</t>
    <phoneticPr fontId="5" type="noConversion"/>
  </si>
  <si>
    <t>매년 7월말</t>
    <phoneticPr fontId="5" type="noConversion"/>
  </si>
  <si>
    <t>사단법인
축제위원회</t>
    <phoneticPr fontId="5" type="noConversion"/>
  </si>
  <si>
    <t>양록제</t>
    <phoneticPr fontId="5" type="noConversion"/>
  </si>
  <si>
    <t>10.11~10.13
(3일간)</t>
    <phoneticPr fontId="5" type="noConversion"/>
  </si>
  <si>
    <t xml:space="preserve"> ○ 읍면 시가지 가장행렬 및 금강산가는 옛길 걷기대회
     진행
 ○ 군민의 날을 경축하는 행사로 민·관·군
     대화합의 장
 ○ 지역향토문화예술축제로 지역 읍면대항
     민속·체육경기 진행
 ○ 지역문화예술 보급 및 발전을 위한 다양한 공연 및
     전시프로그램 
 ○ 개폐막행사 등 6개분야 30여개 프로그램</t>
    <phoneticPr fontId="5" type="noConversion"/>
  </si>
  <si>
    <t>(사)양구군축제위원회/양록제집행위원회
(김영일/033-480-2242)</t>
    <phoneticPr fontId="5" type="noConversion"/>
  </si>
  <si>
    <t>매년 10월
둘째 주</t>
    <phoneticPr fontId="5" type="noConversion"/>
  </si>
  <si>
    <t>운동장
관광지</t>
    <phoneticPr fontId="5" type="noConversion"/>
  </si>
  <si>
    <t>인제군</t>
    <phoneticPr fontId="36" type="noConversion"/>
  </si>
  <si>
    <t>용대리황태축제</t>
  </si>
  <si>
    <t xml:space="preserve"> ○ 황태체험행사 및 공연행사</t>
    <phoneticPr fontId="36" type="noConversion"/>
  </si>
  <si>
    <t>용대리황태축제추진위원회
(033-462-4808)</t>
    <phoneticPr fontId="36" type="noConversion"/>
  </si>
  <si>
    <t>2005년도
(10회)</t>
    <phoneticPr fontId="5" type="noConversion"/>
  </si>
  <si>
    <t>황태</t>
    <phoneticPr fontId="5" type="noConversion"/>
  </si>
  <si>
    <t>인제바퀴축제</t>
  </si>
  <si>
    <t>7월중
(3일간)</t>
    <phoneticPr fontId="36" type="noConversion"/>
  </si>
  <si>
    <t xml:space="preserve"> ○ 전국앤듀로챌린지대회 등 20개 프로그램</t>
    <phoneticPr fontId="36" type="noConversion"/>
  </si>
  <si>
    <t>인제군문화재단
(033-460-8900)</t>
    <phoneticPr fontId="36" type="noConversion"/>
  </si>
  <si>
    <t>바퀴</t>
    <phoneticPr fontId="5" type="noConversion"/>
  </si>
  <si>
    <t>인제빙어축제</t>
    <phoneticPr fontId="5" type="noConversion"/>
  </si>
  <si>
    <t>1.27~2.4
(9일간)</t>
    <phoneticPr fontId="36" type="noConversion"/>
  </si>
  <si>
    <t xml:space="preserve"> ○ 빙어낚시 및 빙어뜰채체험 ,빙어요리마당 등 
 ○ 전국얼음축구대회, 얼음썰매대회, 눈싸움대회 
 ○ 평생학습체험관 등 각종 체험프로그램</t>
    <phoneticPr fontId="36" type="noConversion"/>
  </si>
  <si>
    <t>1998
(17회)</t>
    <phoneticPr fontId="5" type="noConversion"/>
  </si>
  <si>
    <t>빙어</t>
    <phoneticPr fontId="5" type="noConversion"/>
  </si>
  <si>
    <t>고성군</t>
  </si>
  <si>
    <t>저도어장 대문어축제</t>
  </si>
  <si>
    <t>5. 4~5. 6
(3일간)</t>
  </si>
  <si>
    <t xml:space="preserve"> ○ 각종 체험행사, 노래자랑, 전시행사, 먹거리장터 등</t>
  </si>
  <si>
    <t>고성군수산업협동조합
(033-680-3411)</t>
  </si>
  <si>
    <t>2016년도
(3회)</t>
  </si>
  <si>
    <t>항구</t>
    <phoneticPr fontId="5" type="noConversion"/>
  </si>
  <si>
    <t>고성군민의 날 및 수성문화제</t>
  </si>
  <si>
    <t xml:space="preserve">9. 22~9. 23
(2일간) </t>
  </si>
  <si>
    <t xml:space="preserve"> ○ 수성제례, 군민노래자랑, 민속경기, 체육행사 등</t>
  </si>
  <si>
    <t>수성문화제 위원회
(033-680-3366)</t>
  </si>
  <si>
    <t>1983년도
(36회)</t>
  </si>
  <si>
    <t>민속</t>
  </si>
  <si>
    <t>종합운동장</t>
    <phoneticPr fontId="5" type="noConversion"/>
  </si>
  <si>
    <t>고성통일명태축제</t>
  </si>
  <si>
    <t>10월중
(4일간)</t>
  </si>
  <si>
    <t xml:space="preserve"> ○ 명태체험 프로그램 운영 등</t>
  </si>
  <si>
    <t>고성명태축제위원회
(033-682-8008)</t>
  </si>
  <si>
    <t>명태</t>
  </si>
  <si>
    <t>양양군</t>
    <phoneticPr fontId="5" type="noConversion"/>
  </si>
  <si>
    <t>양양송이축제</t>
    <phoneticPr fontId="5" type="noConversion"/>
  </si>
  <si>
    <t>9.28 ~ 10.01
(4일간)</t>
    <phoneticPr fontId="5" type="noConversion"/>
  </si>
  <si>
    <t xml:space="preserve"> ○ 송이보물찾기 체험
 ○ 외국인 송이채취채험 등 
 ○ 송이를 주제로한 전시 및 체험 프로그램 운영
 ○ 개막행사 및 문화공연
   - 용왕제 및 음악공연 진행
 ○ 기타 특별행사 및 전시 등</t>
    <phoneticPr fontId="5" type="noConversion"/>
  </si>
  <si>
    <t>강원도 양양군 문화관광과 /
양양군축제위원회
(033-670-2207)</t>
    <phoneticPr fontId="5" type="noConversion"/>
  </si>
  <si>
    <t>송이버섯</t>
    <phoneticPr fontId="5" type="noConversion"/>
  </si>
  <si>
    <t>양양연어축제</t>
    <phoneticPr fontId="5" type="noConversion"/>
  </si>
  <si>
    <t>10.18~10.21</t>
    <phoneticPr fontId="5" type="noConversion"/>
  </si>
  <si>
    <t xml:space="preserve"> ○ 연어맨손잡이체험
 ○ 연어주제관 견학, 연어열차 운행,연어구이통 운영
 ○ 용왕제 및 연어맞이행사, 연어자연으로보내기 행사
 ○ 주·야간 공연 및 이벤트
    - 연어OX퀴즈,연어알받기,연어투호,연어탁본뜨기 
 ○ 맛있는 연어요리 퍼포먼스,연어포토존 운영 등</t>
    <phoneticPr fontId="5" type="noConversion"/>
  </si>
  <si>
    <t>강원도 양양군 문화관광과 /
양양군축제위원회
(033-670-2724)</t>
    <phoneticPr fontId="5" type="noConversion"/>
  </si>
  <si>
    <t>연어</t>
    <phoneticPr fontId="5" type="noConversion"/>
  </si>
  <si>
    <t>양양문화제</t>
    <phoneticPr fontId="5" type="noConversion"/>
  </si>
  <si>
    <t>6월중
(3일간)</t>
    <phoneticPr fontId="5" type="noConversion"/>
  </si>
  <si>
    <t xml:space="preserve"> ○ 장군성황제
 ○ 시가행진
 ○ 고치물제
 ○ 전통예술공연, 체육대회
 ○ 군민노래자랑, 경축행사</t>
    <phoneticPr fontId="5" type="noConversion"/>
  </si>
  <si>
    <t>강원도 양양군 문화관광과 /
양양문화제위원회
(033-670-2728)</t>
    <phoneticPr fontId="5" type="noConversion"/>
  </si>
  <si>
    <t>1978년도
(39회)</t>
    <phoneticPr fontId="5" type="noConversion"/>
  </si>
  <si>
    <t>민속</t>
    <phoneticPr fontId="5" type="noConversion"/>
  </si>
  <si>
    <r>
      <t xml:space="preserve"> </t>
    </r>
    <r>
      <rPr>
        <sz val="11"/>
        <rFont val="돋움"/>
        <family val="3"/>
        <charset val="129"/>
      </rPr>
      <t>○</t>
    </r>
    <r>
      <rPr>
        <sz val="11"/>
        <rFont val="HY중고딕"/>
        <family val="1"/>
        <charset val="129"/>
      </rPr>
      <t xml:space="preserve"> 전년대비 축제 증가사유(68개→75개/ 7개)
   - 신설축제 추가(4개) : 춘천 올림픽세계불꽃축제, 원주 윈터댄싱카니발, 윈터한지문화제, 삼척 대게축제
   - 전년 시군 미제출</t>
    </r>
    <r>
      <rPr>
        <sz val="11"/>
        <rFont val="맑은 고딕"/>
        <family val="3"/>
        <charset val="129"/>
      </rPr>
      <t>·</t>
    </r>
    <r>
      <rPr>
        <sz val="11"/>
        <rFont val="HY중고딕"/>
        <family val="1"/>
        <charset val="129"/>
      </rPr>
      <t xml:space="preserve">누락 축제 추가(5개) : 춘천 장난감축제, 강릉푸드페스티벌, 홍천 별빛음악맥주축제, 횡성 안흥찐빵축제, 인제 빙어축제
   - 기준미달 축제 삭제(2개) : 강릉 대기리겨울잔치(마을잔치), 영월동강겨울축제(2018 군의회 예산 미반영)      </t>
    </r>
    <phoneticPr fontId="5" type="noConversion"/>
  </si>
  <si>
    <t>충청북도</t>
  </si>
  <si>
    <t>없음</t>
    <phoneticPr fontId="5" type="noConversion"/>
  </si>
  <si>
    <t>시내거리</t>
    <phoneticPr fontId="5" type="noConversion"/>
  </si>
  <si>
    <t>제천시</t>
  </si>
  <si>
    <t>벚꽃</t>
  </si>
  <si>
    <t>광장, 마을, 시내거리</t>
  </si>
  <si>
    <t>2005년도
(13회)</t>
    <phoneticPr fontId="5" type="noConversion"/>
  </si>
  <si>
    <t>음악영화</t>
  </si>
  <si>
    <t>있음 
정규직 14명
계약직 60명
총74명</t>
  </si>
  <si>
    <t>광장, 시내거리</t>
  </si>
  <si>
    <t>의병</t>
  </si>
  <si>
    <t>시내거리, 운동장, 유적지</t>
  </si>
  <si>
    <t>보은군 / 보은문화원
(043-540-3754)</t>
    <phoneticPr fontId="5" type="noConversion"/>
  </si>
  <si>
    <t>○ 장안취회, 위령제, 동학세미나 
○ 동학백일장, 동학퀴즈, 동학 체험행사 등</t>
    <phoneticPr fontId="5" type="noConversion"/>
  </si>
  <si>
    <t>미정</t>
    <phoneticPr fontId="5" type="noConversion"/>
  </si>
  <si>
    <t>영동군</t>
  </si>
  <si>
    <t>○ 어가행렬, 종묘제례
○ 국악를 테마로한 공연, 전시, 체험프로그램 운영
○ 개폐막 공연, 주제공연 및 문화공연
○ 기타 특별행사 및 전시 등등</t>
  </si>
  <si>
    <t>영동군, 영동군축제추진위원회
/ 영동축제관광재단, 난계기념사업회
043-745-8916~8</t>
  </si>
  <si>
    <t>국악</t>
  </si>
  <si>
    <t>대한민국와인축제</t>
  </si>
  <si>
    <t>○ 와인족욕
○ 영동와이너리 생산 와인전시 및 판매, 공연 등
○ 와인대상 시상식 및 주제공연
○ 개장식</t>
  </si>
  <si>
    <t>재단법입</t>
  </si>
  <si>
    <t>영동포도축제</t>
  </si>
  <si>
    <t>○ 연극형 퍼포먼스 개막식
○ 포도밟기, 포도따기, 포도낚시 등 대표프로램
○ 포도판매장 운영 및 특산물 판매장
○ 포도관련 놀이 및 각종 체험 등</t>
  </si>
  <si>
    <t>영동곶감축제</t>
  </si>
  <si>
    <t>○ 곶감 판매장 운영
○ 곶감따기, 곶감 말기 등 대표 프로그램
○ 곶감과 관련된 무료 음식 시음
○ 공연 및 곶감 관련 놀이 체험 등</t>
  </si>
  <si>
    <t>음성군</t>
  </si>
  <si>
    <t>품바</t>
  </si>
  <si>
    <t>전통민속</t>
  </si>
  <si>
    <t>지역농특산물</t>
  </si>
  <si>
    <t>고추</t>
  </si>
  <si>
    <t>인삼</t>
  </si>
  <si>
    <t>금왕 응천</t>
  </si>
  <si>
    <t xml:space="preserve">○ 쌍둥이 가족 장기자랑
○ 전국 쌍둥이 가족을 대상으로 하는 장기자랑, 체육대회
○ 참가자 및 일반인을 대상으로 하는 다양한 체험프로그램 및 공연 등    </t>
  </si>
  <si>
    <t>온달문화축제추진위원회
/ 단양문화원
(043-420-2562)</t>
  </si>
  <si>
    <t>농특산물</t>
    <phoneticPr fontId="5" type="noConversion"/>
  </si>
  <si>
    <t>2018년 지역축제 개최계획 총괄표 (전라북도)</t>
    <phoneticPr fontId="5" type="noConversion"/>
  </si>
  <si>
    <t>시도명</t>
    <phoneticPr fontId="5" type="noConversion"/>
  </si>
  <si>
    <t>2018년
개최기간</t>
    <phoneticPr fontId="5" type="noConversion"/>
  </si>
  <si>
    <t>구,군비</t>
    <phoneticPr fontId="5" type="noConversion"/>
  </si>
  <si>
    <t>문화관광축제 여부</t>
    <phoneticPr fontId="5" type="noConversion"/>
  </si>
  <si>
    <t>축제소재</t>
    <phoneticPr fontId="5" type="noConversion"/>
  </si>
  <si>
    <t>개최주기</t>
    <phoneticPr fontId="5" type="noConversion"/>
  </si>
  <si>
    <t>전라북도</t>
    <phoneticPr fontId="5" type="noConversion"/>
  </si>
  <si>
    <t>전주시</t>
    <phoneticPr fontId="5" type="noConversion"/>
  </si>
  <si>
    <t>2018 전주비빔밥축제</t>
    <phoneticPr fontId="5" type="noConversion"/>
  </si>
  <si>
    <t>10.18~10.21
(4일간)</t>
    <phoneticPr fontId="5" type="noConversion"/>
  </si>
  <si>
    <t>○비빔퍼포먼스(33동 비빔밥, 모여라 비빔밥)
○비빔밥 및 전주음식 테마로한 체험, 전시, 공연 프로그램
○비빔퍼포먼스, 퍼레이드, 경연, 공연, 체험, 전시
   - 5개 분야 30여개 프로그램 
○유네스코 음식창의도시 교류 및 시연, 식도락 전주여행                등 특별행사 및 전시</t>
    <phoneticPr fontId="5" type="noConversion"/>
  </si>
  <si>
    <t>전주시 관광산업과
/ 비빔밥축제조직위원회
(063-281-2381)</t>
    <phoneticPr fontId="5" type="noConversion"/>
  </si>
  <si>
    <t>2007년도
(12회)</t>
    <phoneticPr fontId="5" type="noConversion"/>
  </si>
  <si>
    <t>전주비빔밥</t>
    <phoneticPr fontId="5" type="noConversion"/>
  </si>
  <si>
    <t>매년</t>
    <phoneticPr fontId="5" type="noConversion"/>
  </si>
  <si>
    <t>문화시설</t>
    <phoneticPr fontId="5" type="noConversion"/>
  </si>
  <si>
    <t>전라북도</t>
  </si>
  <si>
    <t>전주시</t>
    <phoneticPr fontId="5" type="noConversion"/>
  </si>
  <si>
    <t>제22회 전주한지문화축제</t>
    <phoneticPr fontId="5" type="noConversion"/>
  </si>
  <si>
    <t>5.4.~5.6.
(3일간)</t>
    <phoneticPr fontId="5" type="noConversion"/>
  </si>
  <si>
    <t>전주시 관광산업과/전주한지문화축제조직위원회
(063-271-2503)</t>
    <phoneticPr fontId="5" type="noConversion"/>
  </si>
  <si>
    <t>1997
(22회)</t>
    <phoneticPr fontId="5" type="noConversion"/>
  </si>
  <si>
    <t>한지</t>
    <phoneticPr fontId="5" type="noConversion"/>
  </si>
  <si>
    <t>축제조직위</t>
    <phoneticPr fontId="5" type="noConversion"/>
  </si>
  <si>
    <t>한국전통문화전당, 전주한옥마을</t>
    <phoneticPr fontId="5" type="noConversion"/>
  </si>
  <si>
    <t xml:space="preserve"> 2017 전주단오제</t>
    <phoneticPr fontId="5" type="noConversion"/>
  </si>
  <si>
    <t>6.17~6.18
(2일간)</t>
    <phoneticPr fontId="5" type="noConversion"/>
  </si>
  <si>
    <t>○ 기념행사
○ 단오문화체험
○ 단오놀이
○ 시민동아리 한마당</t>
    <phoneticPr fontId="5" type="noConversion"/>
  </si>
  <si>
    <t>전주시 문화정책과
(063-281-2532)</t>
    <phoneticPr fontId="5" type="noConversion"/>
  </si>
  <si>
    <t>1959
(58회)</t>
    <phoneticPr fontId="5" type="noConversion"/>
  </si>
  <si>
    <t>세시풍속</t>
    <phoneticPr fontId="5" type="noConversion"/>
  </si>
  <si>
    <t>덕진공원</t>
    <phoneticPr fontId="5" type="noConversion"/>
  </si>
  <si>
    <t>전주국제영화제</t>
    <phoneticPr fontId="5" type="noConversion"/>
  </si>
  <si>
    <t>5.3~5.12</t>
  </si>
  <si>
    <t>○ 50여개국 230여편 영화상영 
○ 개·폐막식, 시상식 행사
○ 시민참여형 체험 이벤트 및 공연
○ 특별전시 및 포럼</t>
    <phoneticPr fontId="5" type="noConversion"/>
  </si>
  <si>
    <t>(재)전주국제영화제 조직위원회/
(재)전주국제영화제 집행위원회</t>
    <phoneticPr fontId="5" type="noConversion"/>
  </si>
  <si>
    <t>영화발전기금</t>
    <phoneticPr fontId="5" type="noConversion"/>
  </si>
  <si>
    <t>영화의거리</t>
    <phoneticPr fontId="5" type="noConversion"/>
  </si>
  <si>
    <t>전주대사습놀이 전국대회</t>
    <phoneticPr fontId="5" type="noConversion"/>
  </si>
  <si>
    <t>5.25~5.28</t>
    <phoneticPr fontId="5" type="noConversion"/>
  </si>
  <si>
    <t xml:space="preserve"> ○ 전주대사습놀이 전국대회 본선 경연
 ○ 국악를 테마로한 공연, 체험프로그램 운영
 ○ 개막 공연, 기획초청공연 및 부대행사
   - 3개 분야 30여개 프로그램</t>
    <phoneticPr fontId="5" type="noConversion"/>
  </si>
  <si>
    <t xml:space="preserve">전주시 문화정책과 /
 전주대사습놀이조직위원회
(063-281-2680)
</t>
    <phoneticPr fontId="5" type="noConversion"/>
  </si>
  <si>
    <t>1975년도
(44회)</t>
    <phoneticPr fontId="5" type="noConversion"/>
  </si>
  <si>
    <t>국악</t>
    <phoneticPr fontId="5" type="noConversion"/>
  </si>
  <si>
    <t>국립무형유산원 및 한옥마을 일원</t>
    <phoneticPr fontId="5" type="noConversion"/>
  </si>
  <si>
    <t>전라북도</t>
    <phoneticPr fontId="5" type="noConversion"/>
  </si>
  <si>
    <t>한옥마을얼음조각페스타</t>
    <phoneticPr fontId="5" type="noConversion"/>
  </si>
  <si>
    <t>8월중</t>
    <phoneticPr fontId="5" type="noConversion"/>
  </si>
  <si>
    <t xml:space="preserve"> ○ 얼음조각 전문 예술가 참여 및 개인 참여 프로그램
 ○ 테마전시관 운영 및 퍼포먼스 행사</t>
    <phoneticPr fontId="5" type="noConversion"/>
  </si>
  <si>
    <t>전주시 관광산업과
(063-281-2556)</t>
    <phoneticPr fontId="5" type="noConversion"/>
  </si>
  <si>
    <t>문체부</t>
    <phoneticPr fontId="5" type="noConversion"/>
  </si>
  <si>
    <t>역사전통문화도시조성사업</t>
    <phoneticPr fontId="5" type="noConversion"/>
  </si>
  <si>
    <t>얼음</t>
    <phoneticPr fontId="5" type="noConversion"/>
  </si>
  <si>
    <t>한옥마을 일원</t>
    <phoneticPr fontId="5" type="noConversion"/>
  </si>
  <si>
    <t>신규</t>
    <phoneticPr fontId="5" type="noConversion"/>
  </si>
  <si>
    <t>군산시</t>
    <phoneticPr fontId="5" type="noConversion"/>
  </si>
  <si>
    <t>군산시간여행축제</t>
    <phoneticPr fontId="5" type="noConversion"/>
  </si>
  <si>
    <t>9.14~9.16</t>
    <phoneticPr fontId="5" type="noConversion"/>
  </si>
  <si>
    <t>○1930년대 근대문화를 테마로 한  퍼레이드, 체험프로그램 운영</t>
    <phoneticPr fontId="5" type="noConversion"/>
  </si>
  <si>
    <t>군산시/군산시간여행축제추진위원회(063-454-3302)</t>
    <phoneticPr fontId="5" type="noConversion"/>
  </si>
  <si>
    <t>2013년도       (6회)</t>
    <phoneticPr fontId="5" type="noConversion"/>
  </si>
  <si>
    <t>1930년대         근대문화</t>
    <phoneticPr fontId="5" type="noConversion"/>
  </si>
  <si>
    <t>시간여행마을  일원</t>
    <phoneticPr fontId="5" type="noConversion"/>
  </si>
  <si>
    <t>군산시</t>
    <phoneticPr fontId="5" type="noConversion"/>
  </si>
  <si>
    <t>군산-서천
금강철새여행</t>
    <phoneticPr fontId="5" type="noConversion"/>
  </si>
  <si>
    <t>11월중
(3일간)</t>
    <phoneticPr fontId="5" type="noConversion"/>
  </si>
  <si>
    <t>○개막식, 철새그림그리기대회, 탐조투어, 체험프로그램 운영 등</t>
    <phoneticPr fontId="5" type="noConversion"/>
  </si>
  <si>
    <t>군산시/군산세계철새축제위원회(063-454-5682)</t>
    <phoneticPr fontId="5" type="noConversion"/>
  </si>
  <si>
    <t>2004년도
(16회)</t>
    <phoneticPr fontId="5" type="noConversion"/>
  </si>
  <si>
    <t>철새</t>
    <phoneticPr fontId="5" type="noConversion"/>
  </si>
  <si>
    <t>금강철새조망대
금강습지생태공원</t>
    <phoneticPr fontId="5" type="noConversion"/>
  </si>
  <si>
    <t>제13회 군산꽁당보리
축제</t>
    <phoneticPr fontId="5" type="noConversion"/>
  </si>
  <si>
    <t>○ 보리를 테마로한 공연, 전시, 체험프로그램 운영
○ 꽁당보리밭 사잇길 걸으며 추억 향수 테마 운영</t>
    <phoneticPr fontId="5" type="noConversion"/>
  </si>
  <si>
    <t>군산시 농촌지원과
군산시 미성농업발전협의회
(454-5232)</t>
    <phoneticPr fontId="5" type="noConversion"/>
  </si>
  <si>
    <t>보리</t>
    <phoneticPr fontId="5" type="noConversion"/>
  </si>
  <si>
    <t>미성동 서부체
육공원부지</t>
    <phoneticPr fontId="5" type="noConversion"/>
  </si>
  <si>
    <t>익산시</t>
  </si>
  <si>
    <t>2018익산서동축제</t>
    <phoneticPr fontId="5" type="noConversion"/>
  </si>
  <si>
    <t>5.4.~5.7.
(4일간)</t>
    <phoneticPr fontId="5" type="noConversion"/>
  </si>
  <si>
    <t>○ 무왕행차 퍼레이드
○ 서동선발대회
○ 개폐막 공연, 주제공연 및 문화공연</t>
    <phoneticPr fontId="5" type="noConversion"/>
  </si>
  <si>
    <t>익산시 문화관광과
/ (재)익산문화재단
(063-859-3934)</t>
  </si>
  <si>
    <t>2004년도            (14회)</t>
    <phoneticPr fontId="5" type="noConversion"/>
  </si>
  <si>
    <t>서동(무왕)</t>
  </si>
  <si>
    <t>부분위탁(프로그램)</t>
    <phoneticPr fontId="5" type="noConversion"/>
  </si>
  <si>
    <t>익산천만송이국화축제</t>
  </si>
  <si>
    <t>10.25~11.4
(11일간)</t>
  </si>
  <si>
    <t>○ 국화를 이용한 실내, 야외 국화전시 연출 
○ 개폐막 공연, 주제공연 및 문화공연
    - 20여개 프로그램
 ○ 로컬푸드 판매장, 체험프로그램 운영</t>
    <phoneticPr fontId="5" type="noConversion"/>
  </si>
  <si>
    <t>익산시 기술보급과
(063-859-4334)</t>
  </si>
  <si>
    <t>국화</t>
  </si>
  <si>
    <t xml:space="preserve">있음
정규직 3명
계약직 1명
총 4명  </t>
  </si>
  <si>
    <t>익산보석대축제</t>
  </si>
  <si>
    <t>4월, 11월 중
(연2회)</t>
    <phoneticPr fontId="5" type="noConversion"/>
  </si>
  <si>
    <t>○ 특별할인행사
○ 희귀원석 특별전시/보석리세팅
○ 원광대학교 귀금속보석공예과 졸업작품전</t>
  </si>
  <si>
    <t>(사)주얼팰리스협의회
(063-834-5100)</t>
  </si>
  <si>
    <t>2010년도
(18회)</t>
  </si>
  <si>
    <t>보석</t>
  </si>
  <si>
    <t>매년(연2회)</t>
  </si>
  <si>
    <t>박물관</t>
  </si>
  <si>
    <t>정읍시</t>
    <phoneticPr fontId="5" type="noConversion"/>
  </si>
  <si>
    <t>정읍 벚꽃축제</t>
    <phoneticPr fontId="5" type="noConversion"/>
  </si>
  <si>
    <t>4.7~4.12</t>
    <phoneticPr fontId="5" type="noConversion"/>
  </si>
  <si>
    <t>○ 야간 경관조명
○ 기념식, 축하공연, 불꽃쇼
○ 먹거리 부스 및 각종 문화공연 등</t>
    <phoneticPr fontId="5" type="noConversion"/>
  </si>
  <si>
    <t>정읍시
(063-539-5233)</t>
    <phoneticPr fontId="5" type="noConversion"/>
  </si>
  <si>
    <t>2017년
(2회)</t>
    <phoneticPr fontId="5" type="noConversion"/>
  </si>
  <si>
    <t>정읍시</t>
    <phoneticPr fontId="5" type="noConversion"/>
  </si>
  <si>
    <t>황토현동학
농민혁명기념제</t>
    <phoneticPr fontId="5" type="noConversion"/>
  </si>
  <si>
    <t>5.11~5.13</t>
    <phoneticPr fontId="5" type="noConversion"/>
  </si>
  <si>
    <t>○ 기념식, 동학대상
○ 청소년 축전, 신만민공동회 등</t>
  </si>
  <si>
    <t>정읍시/동학농민혁명계승사업회
(063-539-5432)</t>
    <phoneticPr fontId="5" type="noConversion"/>
  </si>
  <si>
    <t>1968년
(51회)</t>
    <phoneticPr fontId="5" type="noConversion"/>
  </si>
  <si>
    <t>역사</t>
  </si>
  <si>
    <t>축제조직위
(계승사업회)</t>
  </si>
  <si>
    <t>유적지</t>
  </si>
  <si>
    <t>정읍 구절초 축제</t>
    <phoneticPr fontId="5" type="noConversion"/>
  </si>
  <si>
    <t>10.5~10.14</t>
    <phoneticPr fontId="5" type="noConversion"/>
  </si>
  <si>
    <t>○ 구절초 꽃길산책, 야외전시공간 탐방
○ 사랑의 방송국, 꽃밭음악회, 버스킹공연 등
○ 자전거타고 시골풍경유람, 구절초 꽃밭 이벤트 등
○ 구절초 테마상품 판매장, 구절초음식장터 등</t>
  </si>
  <si>
    <t>정읍시/구절초축제추진위원회
(063-539-6172)</t>
    <phoneticPr fontId="5" type="noConversion"/>
  </si>
  <si>
    <t>2005년
(13회)</t>
    <phoneticPr fontId="5" type="noConversion"/>
  </si>
  <si>
    <t>구절초</t>
  </si>
  <si>
    <t>전라북도</t>
    <phoneticPr fontId="5" type="noConversion"/>
  </si>
  <si>
    <t>정읍사문화제</t>
    <phoneticPr fontId="5" type="noConversion"/>
  </si>
  <si>
    <t>10.19~10.21</t>
    <phoneticPr fontId="5" type="noConversion"/>
  </si>
  <si>
    <t>○ 정읍사여인추모식
○ 정읍사가요제, 메이플스타오디션, 체험프로그램
○ 거리퍼레이드, 기념식, 축하공연, 불꽃쇼</t>
    <phoneticPr fontId="5" type="noConversion"/>
  </si>
  <si>
    <t>정읍시/정읍사문화제제전위원회
(063-539-5203)</t>
  </si>
  <si>
    <t>1990년
(29회)</t>
    <phoneticPr fontId="5" type="noConversion"/>
  </si>
  <si>
    <t>백제가요
정읍사</t>
  </si>
  <si>
    <t>축제조직위
(제전위원회)</t>
  </si>
  <si>
    <t>정읍전국
민속소싸움대회</t>
    <phoneticPr fontId="5" type="noConversion"/>
  </si>
  <si>
    <t>10.26~10.30</t>
    <phoneticPr fontId="5" type="noConversion"/>
  </si>
  <si>
    <t xml:space="preserve"> ○ 소싸움대회
 ○ 축산물 전시 및 판매 등</t>
    <phoneticPr fontId="5" type="noConversion"/>
  </si>
  <si>
    <t>정읍시
(063-539-6353)</t>
    <phoneticPr fontId="5" type="noConversion"/>
  </si>
  <si>
    <t>1996년
(22회)</t>
    <phoneticPr fontId="5" type="noConversion"/>
  </si>
  <si>
    <t>한우</t>
  </si>
  <si>
    <t>남원시</t>
    <phoneticPr fontId="5" type="noConversion"/>
  </si>
  <si>
    <t>제7회
지리산 바래봉 눈꽃축제</t>
    <phoneticPr fontId="5" type="noConversion"/>
  </si>
  <si>
    <t>17.12.24.~'18.2.11.
(50일간)</t>
    <phoneticPr fontId="5" type="noConversion"/>
  </si>
  <si>
    <t>○ 눈썰매, 얼음썰매, 빙벽체험장,
○ 바래봉 눈꽃등반대회, 눈싸움대회, 
○ 희망의 소원 연날리기, 
○ 허브체험 외 각종체험 등</t>
  </si>
  <si>
    <t>운봉읍/운봉애향회
(오영택/063-620-3818)</t>
  </si>
  <si>
    <t>2011년
(6회)</t>
  </si>
  <si>
    <t>눈</t>
    <phoneticPr fontId="5" type="noConversion"/>
  </si>
  <si>
    <t>공공(읍면동),
시민단체</t>
    <phoneticPr fontId="5" type="noConversion"/>
  </si>
  <si>
    <t>제88회 춘향제</t>
    <phoneticPr fontId="5" type="noConversion"/>
  </si>
  <si>
    <t>5.18~5.22
(5일간)</t>
    <phoneticPr fontId="5" type="noConversion"/>
  </si>
  <si>
    <t>○ 춘향국악대전, 춘향선발대회,
○ 세기의사랑 대표적 예술공연
○ 사랑등불행렬, 지금은 춘향시대, 
○ 신판 춘향길놀이,춘향그네뛰기, 
○ 판 페스티벌,  힐링걷기대회, 
○ 사랑체험마당,궁도대회, 씨름대회 등</t>
  </si>
  <si>
    <t>남원시/춘향제전위원회
(류영목/063-620-5773)</t>
  </si>
  <si>
    <t>1931년
(87회)</t>
  </si>
  <si>
    <t>2018 지역대표공연예술제 지원사업</t>
    <phoneticPr fontId="5" type="noConversion"/>
  </si>
  <si>
    <t>춘향</t>
    <phoneticPr fontId="5" type="noConversion"/>
  </si>
  <si>
    <t>유적지,
시내거리</t>
    <phoneticPr fontId="5" type="noConversion"/>
  </si>
  <si>
    <t>남원시</t>
    <phoneticPr fontId="5" type="noConversion"/>
  </si>
  <si>
    <t>제24회 바래봉 철쭉제</t>
    <phoneticPr fontId="5" type="noConversion"/>
  </si>
  <si>
    <t>4.21.~5.20.
(30일간)</t>
    <phoneticPr fontId="5" type="noConversion"/>
  </si>
  <si>
    <t>○ 철쭉제례, 농악터울림, 
○ 기념식, 철쭉트레킹, 노래자랑 등</t>
  </si>
  <si>
    <t>1995년
(23회)</t>
  </si>
  <si>
    <t>철쭉</t>
    <phoneticPr fontId="5" type="noConversion"/>
  </si>
  <si>
    <t>공공(읍면동),
시민단체</t>
    <phoneticPr fontId="5" type="noConversion"/>
  </si>
  <si>
    <t>제26회 흥부제</t>
    <phoneticPr fontId="5" type="noConversion"/>
  </si>
  <si>
    <t>10.19~10.21
(3일간)</t>
    <phoneticPr fontId="5" type="noConversion"/>
  </si>
  <si>
    <t>○ 고유제, 축하공연, 문화나눔장터, 
○ 흥부놀부 그림그리기대회, 
○ 흥부체험마당, 창극흥부와놀부
○ 흥부놀부 춤판 한마당등</t>
  </si>
  <si>
    <t>남원시/ 흥부제전위원회
(안예림/063-620-6168)</t>
  </si>
  <si>
    <t>1993년
(25회)</t>
  </si>
  <si>
    <t>흥부</t>
    <phoneticPr fontId="5" type="noConversion"/>
  </si>
  <si>
    <t>김제시</t>
    <phoneticPr fontId="5" type="noConversion"/>
  </si>
  <si>
    <t>김제지평선축제</t>
    <phoneticPr fontId="5" type="noConversion"/>
  </si>
  <si>
    <t>10.5 ~ 10.9</t>
    <phoneticPr fontId="5" type="noConversion"/>
  </si>
  <si>
    <t>○ 벽골제전설 쌍룡놀이, 풍년기원 입석줄다리기
○ 농경문화를 테마로한 공연,체험프로그램 운영
     - 5개분야 55여개 프로그램</t>
    <phoneticPr fontId="5" type="noConversion"/>
  </si>
  <si>
    <t>김제시/지평선축제제전위원회
(063-540-3190)</t>
    <phoneticPr fontId="5" type="noConversion"/>
  </si>
  <si>
    <t>문화관광축제
(글로벌)</t>
    <phoneticPr fontId="5" type="noConversion"/>
  </si>
  <si>
    <t>농경문화</t>
    <phoneticPr fontId="5" type="noConversion"/>
  </si>
  <si>
    <t>있음
정규직 2명</t>
    <phoneticPr fontId="5" type="noConversion"/>
  </si>
  <si>
    <t>김제모악산축제</t>
    <phoneticPr fontId="5" type="noConversion"/>
  </si>
  <si>
    <t>4.6 ~ 4.8</t>
    <phoneticPr fontId="5" type="noConversion"/>
  </si>
  <si>
    <t>○ 어머니 가요제등 4개분야 52개 프로그램</t>
    <phoneticPr fontId="5" type="noConversion"/>
  </si>
  <si>
    <t>김제시 문화홍보축제실
(063-540-3035)</t>
    <phoneticPr fontId="5" type="noConversion"/>
  </si>
  <si>
    <t>산</t>
    <phoneticPr fontId="5" type="noConversion"/>
  </si>
  <si>
    <t>도립공원
모악산</t>
    <phoneticPr fontId="5" type="noConversion"/>
  </si>
  <si>
    <t>완주군</t>
  </si>
  <si>
    <t>완주와일드푸드축제</t>
    <phoneticPr fontId="5" type="noConversion"/>
  </si>
  <si>
    <t>○ 와일드 음식&amp;체험( 천렵, 화덕, 벌잡이, 곤충체험 등)
○ 와일드&amp;향수를 주제로한 프로그램(감자삼굿, 개구리
    &amp; 메뚜기튀김, 귀뚜라미, 돼지코꼬치, 대파미꾸라지구
    이, 밀떡구이, 화전, 인절미체험 등)
○ 야생생태체험(메뚜기잡기, 볏짚놀터, 이색동물체험 등)
○ 개.폐막공연, 버스킹, 전국와일드푸드요리대회, 힐링음
    악회, 도전 와일드맨을 찾아라, 수중줄다리기 등)
    - 5개 분야 80여개 프로그램</t>
    <phoneticPr fontId="5" type="noConversion"/>
  </si>
  <si>
    <t>완주군 관광체육과/와일드푸드축제추진위원회
(063-290-2622~3)</t>
  </si>
  <si>
    <t>로컬푸드</t>
    <phoneticPr fontId="5" type="noConversion"/>
  </si>
  <si>
    <t xml:space="preserve"> ·축제조직위</t>
    <phoneticPr fontId="5" type="noConversion"/>
  </si>
  <si>
    <t>제4회 완주곶감축제</t>
  </si>
  <si>
    <t>12월중
(3일간)</t>
    <phoneticPr fontId="5" type="noConversion"/>
  </si>
  <si>
    <t>○ 곶감 판매·홍보 행사
○ 곶감 품평회. 전시관 운영
○ 개폐막 연계공연, 문화공연
   - 2개분야 15개 프로그램</t>
  </si>
  <si>
    <t>완주군 산림축산과 / 운주농협
(063-263-7025)</t>
  </si>
  <si>
    <t>곶감</t>
    <phoneticPr fontId="5" type="noConversion"/>
  </si>
  <si>
    <t>완주 삼례딸기 축제</t>
  </si>
  <si>
    <t>3월중
(3일간)</t>
    <phoneticPr fontId="5" type="noConversion"/>
  </si>
  <si>
    <t>○ 딸기 홍보행사
  - 딸기수확체험, 경락가 판매, 딸기품평회 등
○ 소비자 참여 및 생산자 위안행사
  - 예술공연, 노래 및 장기자랑
○ 지역 농특산물 판매코너 운영</t>
  </si>
  <si>
    <t>완주군 농업기술센터/삼례농협
(063-290-3321)</t>
  </si>
  <si>
    <t>1995년도
(20회)</t>
    <phoneticPr fontId="5" type="noConversion"/>
  </si>
  <si>
    <t>딸기</t>
    <phoneticPr fontId="5" type="noConversion"/>
  </si>
  <si>
    <t xml:space="preserve">기타 </t>
    <phoneticPr fontId="5" type="noConversion"/>
  </si>
  <si>
    <t>진안군</t>
    <phoneticPr fontId="5" type="noConversion"/>
  </si>
  <si>
    <t>제14회 진안고원
운장산고로쇠축제</t>
    <phoneticPr fontId="5" type="noConversion"/>
  </si>
  <si>
    <t>3.10~11
(2일간)</t>
    <phoneticPr fontId="5" type="noConversion"/>
  </si>
  <si>
    <t>○고로쇠 채취체험, 고로쇠 가수왕 선발대회 등
○고로쇠를 테마로한 문화, 전시, 체험프로그램 운영
  - 고로쇠 떡,두부 만들기 등
○청춘다방 등 복고콘셉트의 축제프로그램 진행</t>
    <phoneticPr fontId="5" type="noConversion"/>
  </si>
  <si>
    <t>진안군 문화체육과
/진안고운운장산고로쇠축제위원회
(063-430-2393)</t>
    <phoneticPr fontId="5" type="noConversion"/>
  </si>
  <si>
    <t>2005년도
(13회)</t>
    <phoneticPr fontId="5" type="noConversion"/>
  </si>
  <si>
    <t>진안군</t>
    <phoneticPr fontId="5" type="noConversion"/>
  </si>
  <si>
    <t>제10회 진안고원수박축제</t>
    <phoneticPr fontId="5" type="noConversion"/>
  </si>
  <si>
    <t>8.4~5
(2일간)</t>
    <phoneticPr fontId="5" type="noConversion"/>
  </si>
  <si>
    <t>○ 수박왕선발대회, 수박퀴즈쇼, 수박무게 맞추기 등
○ 수박관련 음식 시식 행사 진행
○ 기타 특별공연 및 각종 체험행사 등등</t>
    <phoneticPr fontId="5" type="noConversion"/>
  </si>
  <si>
    <t>진안군 문화체육과
/진안고원수박축제추진위원회
(063-430-8243)</t>
    <phoneticPr fontId="5" type="noConversion"/>
  </si>
  <si>
    <t>2009년도
(9회)</t>
    <phoneticPr fontId="5" type="noConversion"/>
  </si>
  <si>
    <t>꽃잔디</t>
    <phoneticPr fontId="5" type="noConversion"/>
  </si>
  <si>
    <t>진안홍삼축제</t>
    <phoneticPr fontId="5" type="noConversion"/>
  </si>
  <si>
    <t>10.18~21
(4일간)</t>
    <phoneticPr fontId="5" type="noConversion"/>
  </si>
  <si>
    <t>○ 홍삼명인전통증삼체험, 홍삼대방출, 홍삼칵테일쇼,
    엽기홍삼가래떡뽑기 등
○ 홍삼을 테마로 한 공연, 전시, 체험프로그램 운영
○ 5개의 테마로 61여개의 프로그램 진행
○ 몽금척 퍼레이드, 금척무 등 기타 공연 등등</t>
    <phoneticPr fontId="5" type="noConversion"/>
  </si>
  <si>
    <t>진안군 문화체육과
/진안홍삼축제추진위원회
(063-430-2392)</t>
    <phoneticPr fontId="5" type="noConversion"/>
  </si>
  <si>
    <t>2013년도
(4회)</t>
    <phoneticPr fontId="5" type="noConversion"/>
  </si>
  <si>
    <t>홍삼</t>
    <phoneticPr fontId="5" type="noConversion"/>
  </si>
  <si>
    <t>무주군</t>
    <phoneticPr fontId="5" type="noConversion"/>
  </si>
  <si>
    <t>제22회 무주반딧불축제</t>
    <phoneticPr fontId="5" type="noConversion"/>
  </si>
  <si>
    <t>9. 1~9.9
(9일간)</t>
    <phoneticPr fontId="5" type="noConversion"/>
  </si>
  <si>
    <t>○ 반딧불이 신비탐사
○ 반딧불이를 테마로한 공연, 전시, 체험프로그램 운영
○ 개폐막 공연, 주제공연 및 문화공연
    - 6개 분야 80여개 프로그램
○ 기타 농산물 전시 판매 등</t>
    <phoneticPr fontId="5" type="noConversion"/>
  </si>
  <si>
    <t>무주군 문화관광과/(사)무주반딧불축제제전위원회
(063-320-2537)</t>
    <phoneticPr fontId="5" type="noConversion"/>
  </si>
  <si>
    <t>반딧불이</t>
    <phoneticPr fontId="5" type="noConversion"/>
  </si>
  <si>
    <t>공원, 하천,
운동장, 마을</t>
    <phoneticPr fontId="5" type="noConversion"/>
  </si>
  <si>
    <t>무주군</t>
    <phoneticPr fontId="5" type="noConversion"/>
  </si>
  <si>
    <t>제1회 무주남대천축제</t>
    <phoneticPr fontId="5" type="noConversion"/>
  </si>
  <si>
    <t>7.28~7.30
(3일간)</t>
    <phoneticPr fontId="5" type="noConversion"/>
  </si>
  <si>
    <t>○ 게막 퍼포먼스
○ 워터로전쟁(물총싸움)
○ 반디컵 수중 어린이 축구대회
○ 물놀이체험존 등</t>
    <phoneticPr fontId="5" type="noConversion"/>
  </si>
  <si>
    <t>무주군 무주읍/무주읍발전협의회
(063-320-5702)</t>
    <phoneticPr fontId="5" type="noConversion"/>
  </si>
  <si>
    <t>남대천</t>
    <phoneticPr fontId="5" type="noConversion"/>
  </si>
  <si>
    <t>남대천 하천변</t>
    <phoneticPr fontId="5" type="noConversion"/>
  </si>
  <si>
    <t>제4회 무주반딧불농특산물대축제</t>
    <phoneticPr fontId="5" type="noConversion"/>
  </si>
  <si>
    <t>11.2~11.4
(3일간)</t>
    <phoneticPr fontId="5" type="noConversion"/>
  </si>
  <si>
    <t xml:space="preserve">○ 개막식, 재능기부 공연 : 5개단체                                                                            ○ 반딧불 농특산물판매장 운영                                       ○ 친환경농특산물 품평.전시회                                      ○ 향토음식 및 간식먹거리                                             </t>
    <phoneticPr fontId="5" type="noConversion"/>
  </si>
  <si>
    <t>무주군 농촌지원과
(063-320-2841)</t>
    <phoneticPr fontId="5" type="noConversion"/>
  </si>
  <si>
    <t>예체문화관일원</t>
    <phoneticPr fontId="5" type="noConversion"/>
  </si>
  <si>
    <t>장수군</t>
    <phoneticPr fontId="5" type="noConversion"/>
  </si>
  <si>
    <t>장수 한우랑 사과랑 축제</t>
    <phoneticPr fontId="5" type="noConversion"/>
  </si>
  <si>
    <t>9.14~9.16
(3일간)</t>
    <phoneticPr fontId="5" type="noConversion"/>
  </si>
  <si>
    <t>○ 대표 프로그램(장수한우마당)
○ Red Color를 테마로한 경연, 체험프로그램 운영
○ 문화관광, 상설기획, 레드문화체험 등
    - 7개 분야 64개 프로그램</t>
    <phoneticPr fontId="5" type="noConversion"/>
  </si>
  <si>
    <t>장수군청 농업정책과 
/ 사)장수한우랑사과랑축제
추진위원회
(063-350-5447)</t>
    <phoneticPr fontId="5" type="noConversion"/>
  </si>
  <si>
    <t>레드농특산물
(한우,사과)</t>
    <phoneticPr fontId="5" type="noConversion"/>
  </si>
  <si>
    <t>임실군</t>
    <phoneticPr fontId="5" type="noConversion"/>
  </si>
  <si>
    <t>옥정호 꽃걸음 빛바람 축제</t>
    <phoneticPr fontId="5" type="noConversion"/>
  </si>
  <si>
    <t>4.28~4.30</t>
    <phoneticPr fontId="5" type="noConversion"/>
  </si>
  <si>
    <t>○면민의 날 행사                                                            
○꽃빛가요제 및 각종 장터                                              
○힐링자전거 대회, 꽃마차 체험 및 각종 경연대회</t>
    <phoneticPr fontId="5" type="noConversion"/>
  </si>
  <si>
    <t>옥정호 꽃걸음 빛바람 축제 위원회</t>
    <phoneticPr fontId="5" type="noConversion"/>
  </si>
  <si>
    <t>옥정호</t>
  </si>
  <si>
    <t>17년 미개최</t>
    <phoneticPr fontId="5" type="noConversion"/>
  </si>
  <si>
    <t>임실군</t>
    <phoneticPr fontId="5" type="noConversion"/>
  </si>
  <si>
    <t>의견문화제</t>
    <phoneticPr fontId="5" type="noConversion"/>
  </si>
  <si>
    <t>○ 김개인 탄생지 기념행사
○ 의견의 밤 축하콘서트 등 가요제
○ 관내 동아리 경연대회 등
○ 체험행사 등</t>
    <phoneticPr fontId="5" type="noConversion"/>
  </si>
  <si>
    <t>의견문화제전위원회</t>
    <phoneticPr fontId="5" type="noConversion"/>
  </si>
  <si>
    <t>1984년도
(34회)</t>
    <phoneticPr fontId="5" type="noConversion"/>
  </si>
  <si>
    <t>의견</t>
  </si>
  <si>
    <t>섬진강다슬기축제</t>
    <phoneticPr fontId="5" type="noConversion"/>
  </si>
  <si>
    <t>6월말~7월초</t>
    <phoneticPr fontId="5" type="noConversion"/>
  </si>
  <si>
    <t>○ 주제공연 및 문화공연
○ 다슬기 잡기, 까기 대회
○ 맨손물고기 잡기
○ 농특산물판매 전시 및 체험행사</t>
    <phoneticPr fontId="5" type="noConversion"/>
  </si>
  <si>
    <t>섬진강다슬기축제위원회</t>
    <phoneticPr fontId="5" type="noConversion"/>
  </si>
  <si>
    <t>다슬기</t>
  </si>
  <si>
    <t>필봉마을굿축제</t>
    <phoneticPr fontId="5" type="noConversion"/>
  </si>
  <si>
    <t>○ 국가무형문화재 제11호 초청공연, 한중문화교류공연
○ 경연행사(3개분야 경연)
○ 특별공연
○ 체험행사, 학술행사, 전시행사</t>
    <phoneticPr fontId="5" type="noConversion"/>
  </si>
  <si>
    <t>농악</t>
  </si>
  <si>
    <t>있음
정규직 20명</t>
  </si>
  <si>
    <t>마을</t>
  </si>
  <si>
    <t>사선문화제</t>
    <phoneticPr fontId="5" type="noConversion"/>
  </si>
  <si>
    <t>○ 사선녀 선발 전국대회
○ 호남좌도 농악 전국 경연대회
○ 사선녀 신위제
○ 농특산물 판매전시장및 체험행사 등</t>
    <phoneticPr fontId="5" type="noConversion"/>
  </si>
  <si>
    <t>사선문화제전위원회
(063-643-3988)</t>
    <phoneticPr fontId="5" type="noConversion"/>
  </si>
  <si>
    <t>1962년도
(56회)</t>
    <phoneticPr fontId="5" type="noConversion"/>
  </si>
  <si>
    <t>사선녀</t>
  </si>
  <si>
    <t>있음
정규직 3명</t>
  </si>
  <si>
    <t>임실N치즈축제</t>
    <phoneticPr fontId="5" type="noConversion"/>
  </si>
  <si>
    <t>10.6~10.9
(4일간)</t>
    <phoneticPr fontId="5" type="noConversion"/>
  </si>
  <si>
    <t>○국가대표 왕 치즈피자 만들기, 떡메치기, 떡볶이 나눔행사 등
○치즈를 테마로 한 체험, 전시, 경연행사 등
○개.폐막공연, 주제공연 및 문화공연</t>
    <phoneticPr fontId="5" type="noConversion"/>
  </si>
  <si>
    <t>임실N치즈축제제전위원회
(063-643-3900)</t>
    <phoneticPr fontId="5" type="noConversion"/>
  </si>
  <si>
    <t>치즈, 한우</t>
  </si>
  <si>
    <t>순창군</t>
    <phoneticPr fontId="5" type="noConversion"/>
  </si>
  <si>
    <t>제13회 순창장류축제</t>
    <phoneticPr fontId="5" type="noConversion"/>
  </si>
  <si>
    <t>○ 2018인분 고추장 떡볶이 파티, 임금님 진상행렬 
○ "장류"와 "소스"를 테마로 한 공연, 전시, 체험프로그램
○ 여는마당, 닫는마당, 문화공연
   - 7개분야 60여 프로그램</t>
    <phoneticPr fontId="5" type="noConversion"/>
  </si>
  <si>
    <t>순창군 문화관광과
/순창장류축제추진위원회
(063-650-1624)</t>
    <phoneticPr fontId="5" type="noConversion"/>
  </si>
  <si>
    <t>2006
(13회)</t>
    <phoneticPr fontId="5" type="noConversion"/>
  </si>
  <si>
    <t>장류</t>
    <phoneticPr fontId="5" type="noConversion"/>
  </si>
  <si>
    <t>순창전통고추장민속마을</t>
    <phoneticPr fontId="5" type="noConversion"/>
  </si>
  <si>
    <t>제18회 옥천골벚꽃축제</t>
    <phoneticPr fontId="5" type="noConversion"/>
  </si>
  <si>
    <t>○ 벚꽃길 걷기, 사생대회, 노래자랑 등</t>
    <phoneticPr fontId="5" type="noConversion"/>
  </si>
  <si>
    <t>순창군 문화관광과
/옥천골벚꽃축제제전위원회(063-650-1625)</t>
  </si>
  <si>
    <t>1998년
(18회)</t>
    <phoneticPr fontId="5" type="noConversion"/>
  </si>
  <si>
    <t>천변</t>
    <phoneticPr fontId="5" type="noConversion"/>
  </si>
  <si>
    <t>고창군</t>
  </si>
  <si>
    <t>고창 청보리밭축제</t>
    <phoneticPr fontId="5" type="noConversion"/>
  </si>
  <si>
    <t>4.16~5.8
(23일간)</t>
    <phoneticPr fontId="5" type="noConversion"/>
  </si>
  <si>
    <t>○  청보리밭 테마길 걷기, 보릿골 체험마당 등</t>
  </si>
  <si>
    <t>고창군 농업진흥과
 / 고창청보리밭축제위원회
(063-560-2522)</t>
    <phoneticPr fontId="5" type="noConversion"/>
  </si>
  <si>
    <t>2004년
(15회)</t>
    <phoneticPr fontId="5" type="noConversion"/>
  </si>
  <si>
    <t>청보리</t>
    <phoneticPr fontId="5" type="noConversion"/>
  </si>
  <si>
    <t>공음면 학원농장</t>
    <phoneticPr fontId="5" type="noConversion"/>
  </si>
  <si>
    <t>2018 고창복분자와수박축제</t>
    <phoneticPr fontId="5" type="noConversion"/>
  </si>
  <si>
    <t>6.16~6.18
(3일간)</t>
  </si>
  <si>
    <t>○ 복분자,수박을 테마로한 공연, 전시, 체험프로그램
    운영</t>
  </si>
  <si>
    <t>고창군 농업기술센터 
/ 고창복분자와수박축제위원회
(063-560-8863)</t>
  </si>
  <si>
    <t>복분자,수박</t>
    <phoneticPr fontId="5" type="noConversion"/>
  </si>
  <si>
    <t>부분위탁
(운영,체험)</t>
  </si>
  <si>
    <t>선운산 도립공원일원</t>
  </si>
  <si>
    <t>2018 고창갯벌축제</t>
    <phoneticPr fontId="5" type="noConversion"/>
  </si>
  <si>
    <t>5~6월중</t>
    <phoneticPr fontId="5" type="noConversion"/>
  </si>
  <si>
    <t>○ 풍어제,  갯벌체험, 어망체험, 염전체험 , 풍천장어잡기
    체험, 숭어잡기체험 등</t>
  </si>
  <si>
    <t>고창군 해양수산과 
/ 고창갯벌축제위원회
(063)561-2132</t>
    <phoneticPr fontId="5" type="noConversion"/>
  </si>
  <si>
    <t>1996년
(24회)</t>
    <phoneticPr fontId="5" type="noConversion"/>
  </si>
  <si>
    <t>갯벌체험, 
바지락체험</t>
    <phoneticPr fontId="5" type="noConversion"/>
  </si>
  <si>
    <t>만돌하전갯벌
체험마을
(바다)</t>
  </si>
  <si>
    <t>고창해풍고추축제</t>
  </si>
  <si>
    <t>○ 개폐막공연,주제공연 및 문화공연, 고추품평회 및 판매</t>
  </si>
  <si>
    <t>1997년
(22회)</t>
    <phoneticPr fontId="5" type="noConversion"/>
  </si>
  <si>
    <t>고추</t>
    <phoneticPr fontId="5" type="noConversion"/>
  </si>
  <si>
    <t>부분위탁
(운영)</t>
  </si>
  <si>
    <t>해리면일원</t>
  </si>
  <si>
    <t>고창 모양성제</t>
  </si>
  <si>
    <t>10.17~10.21
(5일간)</t>
    <phoneticPr fontId="5" type="noConversion"/>
  </si>
  <si>
    <t>○ 거리퍼레이드, 답성놀이, 강강술래, 병영문화체험 등</t>
  </si>
  <si>
    <t>고창군 문화관광과 
/ (사)고창모양성보존회
(063-560-2457)</t>
    <phoneticPr fontId="5" type="noConversion"/>
  </si>
  <si>
    <t>1972년
(45회)</t>
    <phoneticPr fontId="5" type="noConversion"/>
  </si>
  <si>
    <t>모양성</t>
    <phoneticPr fontId="5" type="noConversion"/>
  </si>
  <si>
    <t>있음
정규직 2명</t>
  </si>
  <si>
    <t>모양성일원
(사적지)</t>
  </si>
  <si>
    <t>2018 고창국화축제</t>
    <phoneticPr fontId="5" type="noConversion"/>
  </si>
  <si>
    <t>10.26~11.11
(17일간)</t>
    <phoneticPr fontId="5" type="noConversion"/>
  </si>
  <si>
    <t>○ 국화화분전시, 선사문화 및 국화주제체험, 습지탐당 등</t>
  </si>
  <si>
    <t>고창군 농업기술센터 
/ (사)고창국화축제제전위원회
(063-560-8863)</t>
    <phoneticPr fontId="5" type="noConversion"/>
  </si>
  <si>
    <t>2016년
(3회)</t>
    <phoneticPr fontId="5" type="noConversion"/>
  </si>
  <si>
    <t>국화,선사문화</t>
    <phoneticPr fontId="5" type="noConversion"/>
  </si>
  <si>
    <t>고창읍 고인돌공원일원
(공원)</t>
  </si>
  <si>
    <t>부안군</t>
    <phoneticPr fontId="5" type="noConversion"/>
  </si>
  <si>
    <t>제6회 부안오복마실축제</t>
    <phoneticPr fontId="5" type="noConversion"/>
  </si>
  <si>
    <t>5. 5~5. 7
(3일간)</t>
    <phoneticPr fontId="5" type="noConversion"/>
  </si>
  <si>
    <t>○ 복 받는날 퍼레이드(부안읍 거리 퍼레이드)
○ 개폐막 공연, 주제공연, 문화공연 등
  - 옛다! 오복받아라, 위도 띠벳놀이 등 4개
○ 오복을 주제로 오복마당운영
   - 5개 분야 40여개 프로그램
 ○ 연계프로그램 운영
   - 부안전역에서 축제 주제프로그램 진행</t>
    <phoneticPr fontId="5" type="noConversion"/>
  </si>
  <si>
    <t>부안군/ 부안마실축제제전위원회
(063-580-4778)</t>
    <phoneticPr fontId="5" type="noConversion"/>
  </si>
  <si>
    <t>지역대표공연예술제지원사업
(기금)</t>
    <phoneticPr fontId="5" type="noConversion"/>
  </si>
  <si>
    <t>문화관광축제     
(육성)</t>
    <phoneticPr fontId="5" type="noConversion"/>
  </si>
  <si>
    <t>오복</t>
    <phoneticPr fontId="5" type="noConversion"/>
  </si>
  <si>
    <t>시내거리
(부안군일원
(주행사장:부안읍 거리))</t>
    <phoneticPr fontId="5" type="noConversion"/>
  </si>
  <si>
    <t>제12회 곰소젓갈발효축제</t>
    <phoneticPr fontId="5" type="noConversion"/>
  </si>
  <si>
    <t>○ 곰소젓갈비빔밥 만들기
○ 오감,만족 체험행사(젓갈담그기, 천일염체험 등) 
○ 전통문화체험 행사등</t>
    <phoneticPr fontId="5" type="noConversion"/>
  </si>
  <si>
    <t>부안군/곰소젓갈발효축제추진위원회
(063-580-4778)</t>
    <phoneticPr fontId="5" type="noConversion"/>
  </si>
  <si>
    <t>2004년도
(12회)</t>
    <phoneticPr fontId="5" type="noConversion"/>
  </si>
  <si>
    <t>젓갈</t>
    <phoneticPr fontId="5" type="noConversion"/>
  </si>
  <si>
    <t>기타(곰소다용도부지 일원)</t>
    <phoneticPr fontId="5" type="noConversion"/>
  </si>
  <si>
    <t>제8회 설숭어축제</t>
    <phoneticPr fontId="5" type="noConversion"/>
  </si>
  <si>
    <t>12월중
(2일간)</t>
    <phoneticPr fontId="5" type="noConversion"/>
  </si>
  <si>
    <t>○ 와글와글가요제
○ 체험행사및 경연행사
○ 먹거리장터 운영</t>
    <phoneticPr fontId="5" type="noConversion"/>
  </si>
  <si>
    <t>부안군/ 부안상설시장 상인회
(063-584-3070)</t>
    <phoneticPr fontId="5" type="noConversion"/>
  </si>
  <si>
    <t>2008년도
(8회)</t>
    <phoneticPr fontId="5" type="noConversion"/>
  </si>
  <si>
    <t>숭어</t>
    <phoneticPr fontId="5" type="noConversion"/>
  </si>
  <si>
    <t>시장
부안상설시장일원
(주행사장:상설시장 주차장)</t>
    <phoneticPr fontId="5" type="noConversion"/>
  </si>
  <si>
    <t>제3회 개암동 벚꽃축제</t>
    <phoneticPr fontId="5" type="noConversion"/>
  </si>
  <si>
    <t>4월중
(2일간)</t>
    <phoneticPr fontId="5" type="noConversion"/>
  </si>
  <si>
    <t xml:space="preserve">○ 차없는개암사 벚꽃길 걷기
○ 민속놀이 체험 및 만들기 체험
○ 지역농산물 판매 및 전시
</t>
    <phoneticPr fontId="5" type="noConversion"/>
  </si>
  <si>
    <t xml:space="preserve">부안군/개암동 벚꽃축제 추진위원회(063-580-4778)
</t>
    <phoneticPr fontId="5" type="noConversion"/>
  </si>
  <si>
    <t>기타(부안 상서면 개암사 일원)</t>
    <phoneticPr fontId="5" type="noConversion"/>
  </si>
  <si>
    <t>○ 공식행사(상달행렬, 천명오찬, 달빛야시장, 폐막식)
○ 전시판매(시군 농특산물, 주제관 운영)
○ 경연대회(청년부, 일반부 등 음식경연)
○ 문화공연 등</t>
    <phoneticPr fontId="5" type="noConversion"/>
  </si>
  <si>
    <t>전라남도, 강진군 /
 (재)남도음식문화큰잔치
061-286-5251</t>
    <phoneticPr fontId="5" type="noConversion"/>
  </si>
  <si>
    <t>거문도백도 은빛바다축제</t>
  </si>
  <si>
    <t>영취산진달래축제</t>
  </si>
  <si>
    <t>여자만갯벌노을축제</t>
  </si>
  <si>
    <t>문화재</t>
    <phoneticPr fontId="5" type="noConversion"/>
  </si>
  <si>
    <t>문화재청</t>
    <phoneticPr fontId="5" type="noConversion"/>
  </si>
  <si>
    <t>마한문화축제</t>
  </si>
  <si>
    <t>마한문화역사</t>
  </si>
  <si>
    <t>-</t>
  </si>
  <si>
    <t xml:space="preserve">국립나주박물관 </t>
  </si>
  <si>
    <t>영산포홍어축제</t>
  </si>
  <si>
    <t>홍어</t>
  </si>
  <si>
    <t>영산포둔치체육공원</t>
  </si>
  <si>
    <t>시민단체</t>
    <phoneticPr fontId="5" type="noConversion"/>
  </si>
  <si>
    <t>벚꽃</t>
    <phoneticPr fontId="5" type="noConversion"/>
  </si>
  <si>
    <t>구례군</t>
  </si>
  <si>
    <t>산수유꽃</t>
  </si>
  <si>
    <t>축제추진위원회</t>
  </si>
  <si>
    <t>남악제례</t>
  </si>
  <si>
    <t>2009년
(10회)</t>
    <phoneticPr fontId="5" type="noConversion"/>
  </si>
  <si>
    <t>단풍</t>
  </si>
  <si>
    <t>녹차</t>
  </si>
  <si>
    <t>불꽃</t>
  </si>
  <si>
    <t>한국차문화공원  및 율포해수욕장</t>
  </si>
  <si>
    <t>보성군 문화관광과
/서편제보성소리축제추진위원회
(061-850-5202)</t>
  </si>
  <si>
    <t>문화,전통</t>
  </si>
  <si>
    <t>축제추진위</t>
  </si>
  <si>
    <t>다향체육관, 예술회관, 소리전수관</t>
  </si>
  <si>
    <t>보성군</t>
  </si>
  <si>
    <t>보성전어축제</t>
  </si>
  <si>
    <t>○ 전어잡기, 전어구이 체험, 전어요리 시식회 등</t>
  </si>
  <si>
    <t>회천면민협의회/
보성전어축제추진위원회
(061-850-8395)</t>
  </si>
  <si>
    <t>2004년
(13회)</t>
  </si>
  <si>
    <t>회천율포솔밭
해수욕장</t>
  </si>
  <si>
    <t>벌교읍민회
/벌교꼬막축제추진위원회
(061-857-7676)</t>
  </si>
  <si>
    <t>꼬막</t>
  </si>
  <si>
    <t>벌교읍천변
진석어촌체험장</t>
  </si>
  <si>
    <t>북면 백아산</t>
  </si>
  <si>
    <t>운주사</t>
  </si>
  <si>
    <t>장흥군 해양수산과 
/ 키조개축제추진위원회
(061-860-0412)</t>
  </si>
  <si>
    <t>정남진 장흥 물축제</t>
  </si>
  <si>
    <t>장흥군 문화관광과 
/ 정남진물축제추진위원회
(061-860-0380)</t>
  </si>
  <si>
    <t>2008년
(11회)</t>
    <phoneticPr fontId="5" type="noConversion"/>
  </si>
  <si>
    <t>회령포 문화축제</t>
  </si>
  <si>
    <t>○ 대표프로그램 : 삼군수군통제사 입성식, 강강술래
                            12척 해상 퍼레이드
○ 판옥선 노 젓기대회, 회령포 난장, 병영체험 등
○ 선학동 메밀꽃과의 만남, 문학작가와의 만남 등</t>
  </si>
  <si>
    <t>장평귀족호도축제</t>
  </si>
  <si>
    <t>○ 귀족호도 전시, 판매
○ 관광객 노래자랑, 강강수월래 등</t>
  </si>
  <si>
    <t>장흥군 환경산림과
/ 명품귀족호도 추진위원회
(061-860-0426)</t>
  </si>
  <si>
    <t>장흥표고버섯축제</t>
  </si>
  <si>
    <t>○ 표고버섯 음식경연대회
○ 표고버섯운동회 : 표고모형제기차기, 박터트리기 등
○ 표고버섯 따기, 유기농마을 체험관 등</t>
  </si>
  <si>
    <t>장흥군 환경산림과
/ 유치표고버섯작목회
(061-860-0426)</t>
  </si>
  <si>
    <t>2015년
(3회)</t>
  </si>
  <si>
    <t>2007년도
(10회)</t>
    <phoneticPr fontId="5" type="noConversion"/>
  </si>
  <si>
    <t>왕인박사</t>
  </si>
  <si>
    <t>왕인박사유적지
일원</t>
  </si>
  <si>
    <t>월출산국화축제</t>
  </si>
  <si>
    <t>월출산기찬랜드</t>
  </si>
  <si>
    <t>마한축제</t>
  </si>
  <si>
    <t>2015년도
(4회)</t>
    <phoneticPr fontId="5" type="noConversion"/>
  </si>
  <si>
    <t>마한역사</t>
  </si>
  <si>
    <t xml:space="preserve"> 축제조직위</t>
  </si>
  <si>
    <t>마한문화공원</t>
  </si>
  <si>
    <t>1997년도
(17회)</t>
  </si>
  <si>
    <t>국화</t>
    <phoneticPr fontId="5" type="noConversion"/>
  </si>
  <si>
    <t>○  대표프로그램 : 굴비저잣거리재외 3종
○  공연행사 : 굴비경매외 15종
○  체험행사 : 굴비엮기 대회 등
○  부대행사 : 홍보 탈인형운영 등</t>
  </si>
  <si>
    <t>굴비</t>
  </si>
  <si>
    <t>법성면 일원</t>
  </si>
  <si>
    <t>영광찰보리문화축제</t>
  </si>
  <si>
    <t>영광찰보리문화축제 추진위원회 / 영광찰보리문화축제 집행위원회</t>
  </si>
  <si>
    <t>보리</t>
  </si>
  <si>
    <t>영광법성포단오제</t>
  </si>
  <si>
    <t>○  대표프로그램 : 제전행사(용왕제외 5)
○  민속행사 : 선유놀이등 4종
○  경연대회 : 숲쟁이국악경연대회 외 4종
○  체험행사 : 창포머리감기체험 등</t>
  </si>
  <si>
    <t>(사)법성포단오보존회/
(사)법성포단오보전회
(061-356-4331)</t>
  </si>
  <si>
    <t>조선시대 
중종때부터
    (약 500여년)</t>
  </si>
  <si>
    <t>단오 풍습</t>
  </si>
  <si>
    <t>영광천일염갯벌축제</t>
  </si>
  <si>
    <t>○ 대표프로그램 : 장어잡기외 1종
○ 갯벌을 테마로한 공연, 전시 체험프로그램 운영
  - 체험행사 : 갯벌풋살대회 외 2종
  - 문화행사 : 작은음악회 외 4종
  - 특별행사 : 관광객 소금 담아가기
○ 기타 특산품 판매  등</t>
  </si>
  <si>
    <t>영광갯벌축제추진위원회 / 
영광갯벌집행위원회</t>
  </si>
  <si>
    <t>2009년도
(9회)</t>
    <phoneticPr fontId="5" type="noConversion"/>
  </si>
  <si>
    <t>갯벌</t>
  </si>
  <si>
    <t>○ 대표프로그램 : 상사화 참사랑 꽃길걷기, 참사랑 
                          인도공주 야간퍼레이드, 상사화 
                          예술제
○ 상사화를 테마로한 공연, 전시 체험프로그램 운영
  - 체험행사 : 상사화향수체험 외 17종
  - 전시행사 : 상사화전시 외 8종
  - 문화행사 : 다문화모국춤페스티벌 외 2종
○ 기타 특산품 판매  등</t>
  </si>
  <si>
    <t>상사화</t>
  </si>
  <si>
    <t>백수읍 노을축제 추진위원회</t>
  </si>
  <si>
    <t>노을</t>
  </si>
  <si>
    <t>장성군</t>
  </si>
  <si>
    <t xml:space="preserve">○ 가을 노란꽃을 테마로 한 조형물 전시
○ 남녀노소 누구나 즐길 수 있는 체험프로그램 운영
○ 개폐막 공연 등 </t>
  </si>
  <si>
    <t xml:space="preserve"> 장성군 기획감사실
/장성군축제위원회
(061-390-7380)</t>
  </si>
  <si>
    <t>가을 노란꽃</t>
  </si>
  <si>
    <t xml:space="preserve"> ·공공(시군구)
 ·축제조직위</t>
  </si>
  <si>
    <t>황룡강변</t>
  </si>
  <si>
    <t>장성홍길동축제</t>
  </si>
  <si>
    <t>장성군/장성군축제위원회
(061-390-7242)</t>
  </si>
  <si>
    <t>1999년도
(19회)</t>
  </si>
  <si>
    <t>홍길동</t>
  </si>
  <si>
    <t>홍길동테마파크
공설운동장(황룡강변)</t>
  </si>
  <si>
    <t>장성백양단풍축제</t>
  </si>
  <si>
    <t>1996년도
(22회)</t>
  </si>
  <si>
    <t>백양사 단풍</t>
  </si>
  <si>
    <t>백양사</t>
  </si>
  <si>
    <t>장성백양고로쇠축제</t>
  </si>
  <si>
    <t>○ 고로쇠 판매,각종 체험,전시, 공연 등</t>
  </si>
  <si>
    <t>2007년도
(11회)</t>
  </si>
  <si>
    <t>장성 고로쇠</t>
  </si>
  <si>
    <t xml:space="preserve"> ·공공(읍면동)
 ·축제조직위</t>
  </si>
  <si>
    <t>남창계곡</t>
  </si>
  <si>
    <t>축령산산소편백축제</t>
  </si>
  <si>
    <t>○ 전남일보 녹색음악회, 산소음악회, 피톤치드 산림욕 등</t>
  </si>
  <si>
    <t>2008년도
(11회)</t>
  </si>
  <si>
    <t>축령산 편백숲</t>
  </si>
  <si>
    <t>축령산조림지</t>
  </si>
  <si>
    <t>2017 빈센트의 봄</t>
  </si>
  <si>
    <t>○ 봄꽃정원 조성 및 전시</t>
  </si>
  <si>
    <t>봄꽃</t>
  </si>
  <si>
    <t>·공공(시군구)</t>
  </si>
  <si>
    <t>장성역 광장</t>
  </si>
  <si>
    <t>완도군</t>
  </si>
  <si>
    <t xml:space="preserve">슬로길 </t>
  </si>
  <si>
    <t>○ 완도타워일원 국화전시
○ 가을 숲속음악회, 회 썰기, 오감 세일즈 페스티벌 등
○ 공연및 문화행사 : 7개 프로그램
○ 해조류 특산품 판매관 운영</t>
  </si>
  <si>
    <t>해조류 및 특산품</t>
  </si>
  <si>
    <t>2012년
(7회)</t>
    <phoneticPr fontId="5" type="noConversion"/>
  </si>
  <si>
    <t>경상북도</t>
  </si>
  <si>
    <t>유적지</t>
    <phoneticPr fontId="5" type="noConversion"/>
  </si>
  <si>
    <t>고령군</t>
  </si>
  <si>
    <t>대가야체험축제</t>
  </si>
  <si>
    <t>대가야</t>
  </si>
  <si>
    <t>김천시</t>
  </si>
  <si>
    <t>김천자두포도축제</t>
  </si>
  <si>
    <t>○자두포도 수확체험행사
○특산물을 테마로한 전시, 체험프로그램운영
  - 누려라 참여행사 : 6여개 프로그램
  - 즐겨라 김천자두포도축제 : 5개분야 20여개 프로그램
  - 느껴라 김천의 맛 : 8여개 프로그램
○기타 특별행사 및 전시 등</t>
  </si>
  <si>
    <t>김천시 농업개발과
/김천자두포도축제위원회
 (박영운 054-421-2602)</t>
  </si>
  <si>
    <t>2010년도
(8회)</t>
  </si>
  <si>
    <t>자두,포도</t>
  </si>
  <si>
    <t>운동장</t>
  </si>
  <si>
    <t>·부분위탁
 (운영,하드웨어, 
   프로그램)</t>
    <phoneticPr fontId="5" type="noConversion"/>
  </si>
  <si>
    <t>문경시</t>
  </si>
  <si>
    <t>문경사과축제</t>
  </si>
  <si>
    <t>10.14~10.29
(16일간)</t>
  </si>
  <si>
    <t>사과</t>
  </si>
  <si>
    <t>·부분위탁
 (운영,하드웨어, 
   프로그램)</t>
  </si>
  <si>
    <t>2011년
(8회)</t>
    <phoneticPr fontId="5" type="noConversion"/>
  </si>
  <si>
    <t>10월중</t>
    <phoneticPr fontId="5" type="noConversion"/>
  </si>
  <si>
    <t>안동국제탈춤페스티벌</t>
  </si>
  <si>
    <t>안동시 체육관광과
/ 안동축제관광재단
(054-840-5511)</t>
  </si>
  <si>
    <t>탈, 탈춤</t>
  </si>
  <si>
    <t xml:space="preserve">있음
정규직 11명
총 11명  </t>
  </si>
  <si>
    <t>안동시</t>
  </si>
  <si>
    <t>안동봄꽃축제</t>
  </si>
  <si>
    <t>○ 벚꽃감상, 야간 벚꽃 조명쇼
○ 소규모 공연, 전시,체험행사</t>
  </si>
  <si>
    <t>봄꽃(벚꽃)</t>
  </si>
  <si>
    <t>안동 벚꽃거리</t>
  </si>
  <si>
    <t>영덕군</t>
  </si>
  <si>
    <t>영덕축산항물가자미축제</t>
  </si>
  <si>
    <t>○개막행사, 영덕물가자미마스터셰프
○체험 및 홍보관(노젓기체험, 어선승선체험)
○물가자미 잡기 체험, 블루로드 걷기 등</t>
  </si>
  <si>
    <t>물가자미</t>
  </si>
  <si>
    <t>항구</t>
  </si>
  <si>
    <t>영덕군 해양수산과
/영덕황금은어축제추진위원회
(054-730-6586)</t>
  </si>
  <si>
    <t xml:space="preserve"> ○ 산나물채취체험 
 ○ 산나물을 테마로 한 공연,전시, 체험프로그램 운영
 ○ 주제공연 및 문화공연
    - 4개분야 20여개 프로그램
 ○ 산나물판매 부스 운영 등</t>
  </si>
  <si>
    <t>있음
정규직 2명
공무원파견 1명
총3명</t>
  </si>
  <si>
    <t>영양고추 H.O.T Festival 행사</t>
  </si>
  <si>
    <t>미정(8월말`~9월초경)
(3일간)</t>
  </si>
  <si>
    <t>2007년도
(12회)</t>
  </si>
  <si>
    <t>2018 여중군자장계향 문화축전</t>
  </si>
  <si>
    <t>10.28~10.29
(2일간)</t>
  </si>
  <si>
    <t>있음
정규직 8명
총8명</t>
  </si>
  <si>
    <t>유적지
(부석자주차장)</t>
  </si>
  <si>
    <t>영천시</t>
  </si>
  <si>
    <t>미 정</t>
  </si>
  <si>
    <t>○ 한방 힐링캠프 체험관 운영
○ 한방을 테마로 한 판매, 전시, 체험 프로그램 운영
    - 한방제품 특판관, 희귀약초 전시관, 한방족욕체험 
○ 개막행사, 시민노래자랑 및 문화공연</t>
  </si>
  <si>
    <t>영천시 과수한방과
 / 영천한방산업발전협의회
(054-339-7187)</t>
  </si>
  <si>
    <t>2003년도
(15회)</t>
  </si>
  <si>
    <t>한약</t>
  </si>
  <si>
    <t>하천, 광장</t>
  </si>
  <si>
    <t>영천시 공보관광과/
영천보현산별빛축제추진위원회
(054-330-6584)</t>
  </si>
  <si>
    <t>천문,우주,과학</t>
  </si>
  <si>
    <t>2012년
(6회)</t>
    <phoneticPr fontId="5" type="noConversion"/>
  </si>
  <si>
    <t>울진군</t>
  </si>
  <si>
    <t>3.1~3.4
(4일간)</t>
    <phoneticPr fontId="5" type="noConversion"/>
  </si>
  <si>
    <t>울진군 해양수산과 /
울진군축제발전위원회 
(054-789-5485)</t>
  </si>
  <si>
    <t>축제발전위</t>
  </si>
  <si>
    <t xml:space="preserve"> ○ 워터파크 물놀이(조립식수영장 및 워터장애물경기)
 ○ 윈드서핑 체험, 은어잡기체험
 ○ 야간공연 및 야간공포체험 
 ○ 컬러워터, 모래조각만들기 체험 및 대회 
 ○ 금강송조각배 띄우기 등</t>
  </si>
  <si>
    <t>울진군 문화관광과 /
울진군축제발전위원회 
(054-789-5485)</t>
  </si>
  <si>
    <t>염전해변</t>
  </si>
  <si>
    <t xml:space="preserve"> ○금강송 송이 산지 채취체험
 ○ 금강송군락지 탑방
 ○ 금강송 자르기, 나르기 대항 
 ○ 전국 송이 품경회 및 버섯 생태계 전시 등</t>
  </si>
  <si>
    <t>울진군 산림녹지과 /
울진군축제발전위원회 
(054-789-5485)</t>
  </si>
  <si>
    <t>엑스포공원</t>
  </si>
  <si>
    <t>소, 소싸움</t>
  </si>
  <si>
    <t>청도반시</t>
  </si>
  <si>
    <t>코미디, 공연</t>
  </si>
  <si>
    <t>칠포재즈페스티벌</t>
  </si>
  <si>
    <t>창원시</t>
    <phoneticPr fontId="5" type="noConversion"/>
  </si>
  <si>
    <t>경상남도</t>
  </si>
  <si>
    <t>창원진동미더덕축제</t>
    <phoneticPr fontId="5" type="noConversion"/>
  </si>
  <si>
    <t>미더덕, 오만둥이</t>
    <phoneticPr fontId="5" type="noConversion"/>
  </si>
  <si>
    <t>창원시</t>
  </si>
  <si>
    <t>마산만날제</t>
    <phoneticPr fontId="5" type="noConversion"/>
  </si>
  <si>
    <t>9.25~9.27
(3일간)</t>
  </si>
  <si>
    <t>창원시 문화예술과 예술담당
(055-225-3665)
/마산예술문화단체총연합회(주최)
마산만날제운영위원회(주관)
(055-296-2266)</t>
    <phoneticPr fontId="5" type="noConversion"/>
  </si>
  <si>
    <t>설화, 민속, 예술</t>
  </si>
  <si>
    <t>진주시</t>
  </si>
  <si>
    <t>제17회 진주논개제</t>
    <phoneticPr fontId="5" type="noConversion"/>
  </si>
  <si>
    <t xml:space="preserve">5.25~5.27
(3일간) </t>
    <phoneticPr fontId="5" type="noConversion"/>
  </si>
  <si>
    <t>진주시,(재)진주문화예술재단,
(사)진주민속예술보존회
/진주논개제 제전위원회
(055-755-9111)</t>
  </si>
  <si>
    <t>논개</t>
  </si>
  <si>
    <t>사적지</t>
  </si>
  <si>
    <t>진주시,(재)진주문화예술재단
/진주유등축제제전위원회
(055-755-9111)</t>
  </si>
  <si>
    <t>유등</t>
  </si>
  <si>
    <t xml:space="preserve">하천, 사적지 </t>
  </si>
  <si>
    <t>진주시, 한국예총진주지회
/개천예술제제전위원회
(055-752-0111)</t>
  </si>
  <si>
    <t>드라마</t>
  </si>
  <si>
    <t>하천, 기타</t>
  </si>
  <si>
    <t>사천시</t>
  </si>
  <si>
    <t>양산시</t>
  </si>
  <si>
    <t>양산웅상회야제</t>
  </si>
  <si>
    <t>책</t>
  </si>
  <si>
    <t>산, 운동장</t>
  </si>
  <si>
    <t>함안군</t>
  </si>
  <si>
    <t>창녕군</t>
  </si>
  <si>
    <t>창녕낙동강유채축제</t>
  </si>
  <si>
    <t>2006년도
(13회)</t>
  </si>
  <si>
    <t>유채</t>
  </si>
  <si>
    <t>하천</t>
  </si>
  <si>
    <t>1994년도
(25회)</t>
  </si>
  <si>
    <t>온천</t>
  </si>
  <si>
    <t>항만</t>
    <phoneticPr fontId="5" type="noConversion"/>
  </si>
  <si>
    <t>함양군</t>
  </si>
  <si>
    <t>함양물레방아골축제</t>
  </si>
  <si>
    <t>1962년도
(56회)</t>
  </si>
  <si>
    <t>부분위탁
(하드웨어)</t>
  </si>
  <si>
    <t>함양산삼축제</t>
  </si>
  <si>
    <t xml:space="preserve">부분위탁 </t>
  </si>
  <si>
    <t>2013년도
(5회)</t>
    <phoneticPr fontId="5" type="noConversion"/>
  </si>
  <si>
    <t>연번</t>
    <phoneticPr fontId="5" type="noConversion"/>
  </si>
  <si>
    <t>시도명</t>
    <phoneticPr fontId="5" type="noConversion"/>
  </si>
  <si>
    <t>시군구명</t>
    <phoneticPr fontId="5" type="noConversion"/>
  </si>
  <si>
    <t>축제주요내용</t>
    <phoneticPr fontId="5" type="noConversion"/>
  </si>
  <si>
    <t>주최/주관
(담당자 연락처)</t>
    <phoneticPr fontId="5" type="noConversion"/>
  </si>
  <si>
    <t>최초개최년도
및 횟수</t>
    <phoneticPr fontId="5" type="noConversion"/>
  </si>
  <si>
    <t>국비</t>
    <phoneticPr fontId="5" type="noConversion"/>
  </si>
  <si>
    <t>시,도비</t>
    <phoneticPr fontId="5" type="noConversion"/>
  </si>
  <si>
    <t>국비지원
부처명</t>
    <phoneticPr fontId="5" type="noConversion"/>
  </si>
  <si>
    <t>세부사업명</t>
    <phoneticPr fontId="5" type="noConversion"/>
  </si>
  <si>
    <t>개최주기</t>
    <phoneticPr fontId="5" type="noConversion"/>
  </si>
  <si>
    <t>사업위탁
운영여부</t>
    <phoneticPr fontId="5" type="noConversion"/>
  </si>
  <si>
    <t>내국인</t>
    <phoneticPr fontId="5" type="noConversion"/>
  </si>
  <si>
    <t>개최장소</t>
    <phoneticPr fontId="5" type="noConversion"/>
  </si>
  <si>
    <t>제주도</t>
  </si>
  <si>
    <t>도</t>
    <phoneticPr fontId="5" type="noConversion"/>
  </si>
  <si>
    <t>도</t>
    <phoneticPr fontId="5" type="noConversion"/>
  </si>
  <si>
    <t>성산일출축제</t>
    <phoneticPr fontId="5" type="noConversion"/>
  </si>
  <si>
    <t>전년12.30-익년1.1(3일)</t>
    <phoneticPr fontId="5" type="noConversion"/>
  </si>
  <si>
    <t xml:space="preserve"> ㅇ 성산일출을 테마로 하는 프로그램 운영  </t>
    <phoneticPr fontId="5" type="noConversion"/>
  </si>
  <si>
    <t>제주특별자치도/                        성산일출축제위원회
(064-760-4282)</t>
    <phoneticPr fontId="5" type="noConversion"/>
  </si>
  <si>
    <t>1994(25회)</t>
    <phoneticPr fontId="5" type="noConversion"/>
  </si>
  <si>
    <t>새해일출</t>
    <phoneticPr fontId="5" type="noConversion"/>
  </si>
  <si>
    <t>축제조직위</t>
    <phoneticPr fontId="5" type="noConversion"/>
  </si>
  <si>
    <t>성산일출봉 광장</t>
    <phoneticPr fontId="5" type="noConversion"/>
  </si>
  <si>
    <t>제주들불축제</t>
  </si>
  <si>
    <t>ㅇ 핵심프로그램 : 오름불놓기
ㅇ 전통민속과 제주를 테마로 한 체험행사 운영-18종
ㅇ 개막, 불놓기 공연, 문화공연-11종 
ㅇ 기타 특별행사 및 전시 22종</t>
    <phoneticPr fontId="5" type="noConversion"/>
  </si>
  <si>
    <t>제주시 관광진흥과
/ 제주시관광축제추진협의회
(064-728-2757)</t>
  </si>
  <si>
    <t>1997년도
(21회)</t>
    <phoneticPr fontId="5" type="noConversion"/>
  </si>
  <si>
    <t>문화관광축제
(우수)</t>
    <phoneticPr fontId="5" type="noConversion"/>
  </si>
  <si>
    <t>들불놓기 '방애'</t>
  </si>
  <si>
    <t>공공(시군구)
임의단체</t>
  </si>
  <si>
    <t>사무국 없음
(시 전담직원 2명)</t>
  </si>
  <si>
    <t>자체추진, 부분위탁(하드웨어)</t>
  </si>
  <si>
    <t>새별오름 일대</t>
  </si>
  <si>
    <t>탐라문화제</t>
    <phoneticPr fontId="5" type="noConversion"/>
  </si>
  <si>
    <t>10.10~10.14
(5일간) 예정</t>
    <phoneticPr fontId="5" type="noConversion"/>
  </si>
  <si>
    <t>ㅇ 기원축제, 제주문화가장축제, 제주문화축제, 참여문화
    축제 등 4개 분야 16개 테마행사</t>
    <phoneticPr fontId="5" type="noConversion"/>
  </si>
  <si>
    <t>제주특별자치도 문화정책과
(064-710-3417)
 / 한국예총제주특별자치도연합회
(064-753-3287)</t>
    <phoneticPr fontId="5" type="noConversion"/>
  </si>
  <si>
    <t>1962년도
(56회)</t>
    <phoneticPr fontId="5" type="noConversion"/>
  </si>
  <si>
    <t>제주전통문화</t>
    <phoneticPr fontId="5" type="noConversion"/>
  </si>
  <si>
    <t>전체위탁</t>
    <phoneticPr fontId="5" type="noConversion"/>
  </si>
  <si>
    <t>서귀포칠십리축제</t>
  </si>
  <si>
    <t xml:space="preserve"> ○ 칠십리 퍼레이드, 마을 마당놀이
 ○ 전통문화를 소재로 한 각종 홍보, 체험프로그램 운영
 ○ 개막, 주제공연 및 상설 문화예술공연 등</t>
    <phoneticPr fontId="5" type="noConversion"/>
  </si>
  <si>
    <t>서귀포시 
/ 서귀포칠십리축제준비위원회
(064-760-3946)</t>
    <phoneticPr fontId="5" type="noConversion"/>
  </si>
  <si>
    <t>1995년도
(24회)</t>
    <phoneticPr fontId="5" type="noConversion"/>
  </si>
  <si>
    <t>전통, 화합</t>
    <phoneticPr fontId="5" type="noConversion"/>
  </si>
  <si>
    <t>매년</t>
    <phoneticPr fontId="5" type="noConversion"/>
  </si>
  <si>
    <t>공원 및 
시내거리</t>
  </si>
  <si>
    <t>도</t>
    <phoneticPr fontId="5" type="noConversion"/>
  </si>
  <si>
    <t>제주해녀축제</t>
    <phoneticPr fontId="5" type="noConversion"/>
  </si>
  <si>
    <t>제주특별자치도/제주해녀축제추진위원회(064-710-3982)</t>
    <phoneticPr fontId="5" type="noConversion"/>
  </si>
  <si>
    <t>해녀</t>
    <phoneticPr fontId="5" type="noConversion"/>
  </si>
  <si>
    <t>공공(도)</t>
    <phoneticPr fontId="5" type="noConversion"/>
  </si>
  <si>
    <t>일부위탁</t>
    <phoneticPr fontId="5" type="noConversion"/>
  </si>
  <si>
    <t>제주시 구좌읍
해녀박물관 및
주변 일원</t>
    <phoneticPr fontId="5" type="noConversion"/>
  </si>
  <si>
    <t>도</t>
    <phoneticPr fontId="5" type="noConversion"/>
  </si>
  <si>
    <t>제주마축제</t>
    <phoneticPr fontId="5" type="noConversion"/>
  </si>
  <si>
    <t>○ 전통 마문화 공연
    - 제주 신화와 전설을 재현한 말놀이 큰 굿
    - 조선무예도보통지를 재연한 마상 무예 공연
    - 헌마공신 김만일상 시상식 
○ 말산업과 말체험 프로그램 및 승마대회
    - 말 체험프로그램(승마체험, 미니호스 포토존)
○ 기타 행사(말맥 페스트, 제주 플리마켓, 말 제품 EXPO)</t>
    <phoneticPr fontId="5" type="noConversion"/>
  </si>
  <si>
    <t>주최: 한국마사회 제주지역본부
(064-786-8252)</t>
    <phoneticPr fontId="5" type="noConversion"/>
  </si>
  <si>
    <t>2003년도
(15회)</t>
    <phoneticPr fontId="5" type="noConversion"/>
  </si>
  <si>
    <t>제주마</t>
    <phoneticPr fontId="5" type="noConversion"/>
  </si>
  <si>
    <t>매년</t>
    <phoneticPr fontId="5" type="noConversion"/>
  </si>
  <si>
    <t>공기관</t>
    <phoneticPr fontId="5" type="noConversion"/>
  </si>
  <si>
    <t>자체추진</t>
    <phoneticPr fontId="5" type="noConversion"/>
  </si>
  <si>
    <t>한국마사회 
제주경마공원
(렛츠런파크)</t>
    <phoneticPr fontId="5" type="noConversion"/>
  </si>
  <si>
    <t>제주시</t>
    <phoneticPr fontId="5" type="noConversion"/>
  </si>
  <si>
    <t>제주시</t>
    <phoneticPr fontId="5" type="noConversion"/>
  </si>
  <si>
    <t>탐라국입춘굿</t>
    <phoneticPr fontId="5" type="noConversion"/>
  </si>
  <si>
    <t>○ 동ㆍ서미륵제, 세경제, 입춘굿 등
○ 입춘굿을 테마로 한 체험 프로그램 등 운영</t>
    <phoneticPr fontId="5" type="noConversion"/>
  </si>
  <si>
    <t>제주시 / (사)제주민예총
(064-758-0331)</t>
    <phoneticPr fontId="5" type="noConversion"/>
  </si>
  <si>
    <t>입춘굿</t>
    <phoneticPr fontId="5" type="noConversion"/>
  </si>
  <si>
    <t>전체위탁</t>
    <phoneticPr fontId="5" type="noConversion"/>
  </si>
  <si>
    <t>제주목관아일원</t>
    <phoneticPr fontId="5" type="noConversion"/>
  </si>
  <si>
    <t>제주시</t>
  </si>
  <si>
    <t>제주왕벚꽃축제</t>
  </si>
  <si>
    <t>ㅇ 핵심프로그램 : 왕벚꽃감상
ㅇ 왕벚꽃 및 봄을 테마로 한 체험행사 운영-25종
ㅇ 개막, 문화공연-20종 
ㅇ 기타 특별행사 및 전시 30종</t>
    <phoneticPr fontId="5" type="noConversion"/>
  </si>
  <si>
    <t>제주시 관광진흥과
/ 제주시관광축제추진협의회
(064-728-2753)</t>
  </si>
  <si>
    <t>1991년도
(27회)</t>
    <phoneticPr fontId="5" type="noConversion"/>
  </si>
  <si>
    <t>1991년도
(27회)</t>
    <phoneticPr fontId="5" type="noConversion"/>
  </si>
  <si>
    <t>왕벚꽃</t>
  </si>
  <si>
    <t>전농로, 장전리
등 제주시 일원</t>
    <phoneticPr fontId="5" type="noConversion"/>
  </si>
  <si>
    <t>제주시</t>
    <phoneticPr fontId="5" type="noConversion"/>
  </si>
  <si>
    <t>서사라문화거리축제</t>
    <phoneticPr fontId="5" type="noConversion"/>
  </si>
  <si>
    <t>○ 전농로 일대를 차없는 거리운영 벚꽃길 걷기
○ 벚꽃비 맞으며 즐기는 이색 체험 프로그램 운영
○ 각종 길거리 공연, 퍼레이등 전농로 전구간 공연 등
○ 왕벚꽃축제와 연계 공연 및 전시,벚꽃 전등 설치 등</t>
    <phoneticPr fontId="5" type="noConversion"/>
  </si>
  <si>
    <t>서사라문화거리축제추진위원회</t>
    <phoneticPr fontId="5" type="noConversion"/>
  </si>
  <si>
    <t>2005년도
(13회)</t>
    <phoneticPr fontId="5" type="noConversion"/>
  </si>
  <si>
    <t>전농로일대
(시내거리)</t>
    <phoneticPr fontId="5" type="noConversion"/>
  </si>
  <si>
    <t>서귀포시</t>
  </si>
  <si>
    <t>제주유채꽃축제</t>
  </si>
  <si>
    <t>4.7~4.15
(9일간)</t>
    <phoneticPr fontId="5" type="noConversion"/>
  </si>
  <si>
    <t xml:space="preserve"> ○ 유채꽃 퍼레이드, 갑마장길 덕기
 ○ 유채꽃을 테마로한 각종 전시, 체험프로그램 운영
 ○ 개막 공연, 상설 문화공연 등 </t>
    <phoneticPr fontId="5" type="noConversion"/>
  </si>
  <si>
    <t>서귀포시 
/ 제주유채꽃축제조직위원회
(064-760-3942)</t>
    <phoneticPr fontId="5" type="noConversion"/>
  </si>
  <si>
    <t>유채꽃</t>
    <phoneticPr fontId="5" type="noConversion"/>
  </si>
  <si>
    <t>가시리 조랑말체험공원 일대</t>
  </si>
  <si>
    <t>가파도 청보리축제</t>
  </si>
  <si>
    <t>ㅇ 청보리밭 걷기
ㅇ 커플자전거 대회, 보말까기, 소라잡기, 노래자랑 등</t>
  </si>
  <si>
    <t>가파도청보리축제위원회
(064-794-7130)</t>
  </si>
  <si>
    <t>2009년도
(9회)</t>
    <phoneticPr fontId="5" type="noConversion"/>
  </si>
  <si>
    <t>청보리</t>
    <phoneticPr fontId="5" type="noConversion"/>
  </si>
  <si>
    <t>부분위탁</t>
    <phoneticPr fontId="5" type="noConversion"/>
  </si>
  <si>
    <t>가파도(섬)</t>
    <phoneticPr fontId="5" type="noConversion"/>
  </si>
  <si>
    <t>우도소라축제</t>
    <phoneticPr fontId="5" type="noConversion"/>
  </si>
  <si>
    <t>4월 중
(3일간)</t>
    <phoneticPr fontId="5" type="noConversion"/>
  </si>
  <si>
    <t>ㅇ 소라잡기 대회
ㅇ 소라를 테마로한 공연, 전시, 체험프로그램 운영
ㅇ 개폐막 공연, 주제공연 및 문화공연
    - 26여개 프로그램
ㅇ 기타 특별행사 및 전시 등등</t>
    <phoneticPr fontId="5" type="noConversion"/>
  </si>
  <si>
    <t>우도면연합청년회
(064-783-1157)</t>
    <phoneticPr fontId="5" type="noConversion"/>
  </si>
  <si>
    <t>소라</t>
    <phoneticPr fontId="5" type="noConversion"/>
  </si>
  <si>
    <t>시민단체</t>
    <phoneticPr fontId="5" type="noConversion"/>
  </si>
  <si>
    <t>천진항
주변일대</t>
    <phoneticPr fontId="5" type="noConversion"/>
  </si>
  <si>
    <t>서귀포시</t>
    <phoneticPr fontId="5" type="noConversion"/>
  </si>
  <si>
    <t>서귀포시</t>
    <phoneticPr fontId="5" type="noConversion"/>
  </si>
  <si>
    <t>한라산청정고사리축제</t>
    <phoneticPr fontId="5" type="noConversion"/>
  </si>
  <si>
    <t>4월 ~ 5월 중
(2일간)</t>
    <phoneticPr fontId="5" type="noConversion"/>
  </si>
  <si>
    <t>ㅇ 고사리 꺾기체험
ㅇ 고사리를 테마로 한 음식체험, 천연염색, 고사리가요제 등</t>
    <phoneticPr fontId="5" type="noConversion"/>
  </si>
  <si>
    <t>남원읍 / 남원읍축제위원회 
(064-760-4182)</t>
    <phoneticPr fontId="5" type="noConversion"/>
  </si>
  <si>
    <t>1995년도
(22회)</t>
    <phoneticPr fontId="5" type="noConversion"/>
  </si>
  <si>
    <t>고사리</t>
    <phoneticPr fontId="5" type="noConversion"/>
  </si>
  <si>
    <t>축제위원회</t>
    <phoneticPr fontId="5" type="noConversion"/>
  </si>
  <si>
    <t>국가태풍센터 서측일원</t>
    <phoneticPr fontId="5" type="noConversion"/>
  </si>
  <si>
    <t>방선문축제</t>
    <phoneticPr fontId="5" type="noConversion"/>
  </si>
  <si>
    <t>5.12.~5.13.
(2일)</t>
    <phoneticPr fontId="5" type="noConversion"/>
  </si>
  <si>
    <t>o 방선문 문학백일장, 숲속작은 음악회
o 문화재를 테마로 한 공연 및 전시프로그램 운영</t>
    <phoneticPr fontId="5" type="noConversion"/>
  </si>
  <si>
    <t>문화예술</t>
    <phoneticPr fontId="5" type="noConversion"/>
  </si>
  <si>
    <t>문화재 방선문(명승 제92호)</t>
    <phoneticPr fontId="5" type="noConversion"/>
  </si>
  <si>
    <t>매년</t>
    <phoneticPr fontId="5" type="noConversion"/>
  </si>
  <si>
    <t>문화재(명승지)</t>
    <phoneticPr fontId="5" type="noConversion"/>
  </si>
  <si>
    <t>쇠소깍축제</t>
    <phoneticPr fontId="5" type="noConversion"/>
  </si>
  <si>
    <t>7.29~7.30
(2일간)</t>
    <phoneticPr fontId="5" type="noConversion"/>
  </si>
  <si>
    <t>ㅇ 체험프로그램 운영(검은모래 속 모래찾기,무료체험권 획득게임, 쇠소깍가요제) 및 이벤트 공연</t>
    <phoneticPr fontId="5" type="noConversion"/>
  </si>
  <si>
    <t>서귀포시 효돈동/서귀포시 효돈동연합청년회
(064-760-4627)</t>
    <phoneticPr fontId="5" type="noConversion"/>
  </si>
  <si>
    <t>2003년도
(15회)</t>
    <phoneticPr fontId="5" type="noConversion"/>
  </si>
  <si>
    <t>바다</t>
    <phoneticPr fontId="5" type="noConversion"/>
  </si>
  <si>
    <t>자생단체</t>
    <phoneticPr fontId="5" type="noConversion"/>
  </si>
  <si>
    <t>부분위탁</t>
    <phoneticPr fontId="5" type="noConversion"/>
  </si>
  <si>
    <t>쇠소깍해변</t>
    <phoneticPr fontId="5" type="noConversion"/>
  </si>
  <si>
    <t>서귀포시</t>
    <phoneticPr fontId="5" type="noConversion"/>
  </si>
  <si>
    <t>보목자리돔축제</t>
    <phoneticPr fontId="5" type="noConversion"/>
  </si>
  <si>
    <t>5~6월중
(3일간)</t>
    <phoneticPr fontId="5" type="noConversion"/>
  </si>
  <si>
    <t>○ 자리돔맨손잡기, 자리테우사들당기기시연
○ 자리돔가요제, 개막행사 등</t>
    <phoneticPr fontId="5" type="noConversion"/>
  </si>
  <si>
    <t>보목자리돔축제위원회/
보목동어촌계, 보목동청년회(064-760-4501)</t>
    <phoneticPr fontId="5" type="noConversion"/>
  </si>
  <si>
    <t>자리돔</t>
    <phoneticPr fontId="5" type="noConversion"/>
  </si>
  <si>
    <t>축제조직위</t>
    <phoneticPr fontId="5" type="noConversion"/>
  </si>
  <si>
    <t>자제추진</t>
    <phoneticPr fontId="5" type="noConversion"/>
  </si>
  <si>
    <t>보목동소재
보목포구일원</t>
    <phoneticPr fontId="5" type="noConversion"/>
  </si>
  <si>
    <t>삼양검은모래축제</t>
    <phoneticPr fontId="5" type="noConversion"/>
  </si>
  <si>
    <t>7.27~7.28
(2일간)</t>
    <phoneticPr fontId="5" type="noConversion"/>
  </si>
  <si>
    <t xml:space="preserve"> ○검은모래 찜질체험
 ○ 바릇잡이 체험
 ○ 테우, 읜드서핑 체험
 ○ 모래성 쌓기대회 </t>
    <phoneticPr fontId="5" type="noConversion"/>
  </si>
  <si>
    <t>삼양검은모래축제위원회 
/ 삼양동연합청년회
(064-728-4713)</t>
    <phoneticPr fontId="5" type="noConversion"/>
  </si>
  <si>
    <t>2002년도
(16회)</t>
    <phoneticPr fontId="5" type="noConversion"/>
  </si>
  <si>
    <t>검은모래</t>
    <phoneticPr fontId="5" type="noConversion"/>
  </si>
  <si>
    <t>삼양해수욕장일원</t>
    <phoneticPr fontId="5" type="noConversion"/>
  </si>
  <si>
    <t>서귀포시</t>
    <phoneticPr fontId="5" type="noConversion"/>
  </si>
  <si>
    <t>한여름밤 솜반천 청소년 영상문화축제</t>
    <phoneticPr fontId="5" type="noConversion"/>
  </si>
  <si>
    <t>7.21 ~8.4
(15일)</t>
    <phoneticPr fontId="5" type="noConversion"/>
  </si>
  <si>
    <t>2008년도
(총10회)</t>
    <phoneticPr fontId="5" type="noConversion"/>
  </si>
  <si>
    <t>한여름밤 청소년 영상문화축제</t>
    <phoneticPr fontId="5" type="noConversion"/>
  </si>
  <si>
    <t>서귀포시 서홍동 솜반천 일원</t>
    <phoneticPr fontId="5" type="noConversion"/>
  </si>
  <si>
    <t>이호테우축제</t>
    <phoneticPr fontId="5" type="noConversion"/>
  </si>
  <si>
    <t>7.29 ~ 7.31
( 3일)</t>
    <phoneticPr fontId="5" type="noConversion"/>
  </si>
  <si>
    <t>○ 테우진수식, 멸치잡이 재현
○ 원담고기잡이
○ 테우승선체험, 노젓기대회
○ 재활용테우경주대회 등</t>
    <phoneticPr fontId="5" type="noConversion"/>
  </si>
  <si>
    <t>이호테우축제위원회
(064-742-2501)</t>
    <phoneticPr fontId="5" type="noConversion"/>
  </si>
  <si>
    <t>2004년도
(15회)</t>
    <phoneticPr fontId="5" type="noConversion"/>
  </si>
  <si>
    <t>테우</t>
    <phoneticPr fontId="5" type="noConversion"/>
  </si>
  <si>
    <t>자체추진</t>
    <phoneticPr fontId="5" type="noConversion"/>
  </si>
  <si>
    <t>이호해수욕장</t>
    <phoneticPr fontId="5" type="noConversion"/>
  </si>
  <si>
    <t>서귀포시</t>
    <phoneticPr fontId="5" type="noConversion"/>
  </si>
  <si>
    <t>표선해비치해변 
하얀모래축제</t>
  </si>
  <si>
    <t>7월말~8월초
(2일간)</t>
    <phoneticPr fontId="5" type="noConversion"/>
  </si>
  <si>
    <t xml:space="preserve"> ○ 맨손 광어잡기
 ○ 비치사커대회
 ○ 태왁수영대회 등</t>
  </si>
  <si>
    <t>표선리 마을회/표선리청년회</t>
  </si>
  <si>
    <t>1995년
(23회)</t>
    <phoneticPr fontId="5" type="noConversion"/>
  </si>
  <si>
    <t>해변</t>
    <phoneticPr fontId="5" type="noConversion"/>
  </si>
  <si>
    <t>금능원담축제</t>
    <phoneticPr fontId="5" type="noConversion"/>
  </si>
  <si>
    <t>7월말~8월초
(2일)</t>
    <phoneticPr fontId="5" type="noConversion"/>
  </si>
  <si>
    <t>○ 맨손고기잡이 체험, 보말 및 조개잡이 체험, 각종 체험(보말까기), 원담에서 보물 찾기 등</t>
    <phoneticPr fontId="5" type="noConversion"/>
  </si>
  <si>
    <t>금능리 마을회
(064-796-2011)</t>
    <phoneticPr fontId="5" type="noConversion"/>
  </si>
  <si>
    <t>2008
(11회)</t>
    <phoneticPr fontId="5" type="noConversion"/>
  </si>
  <si>
    <t>바다체험</t>
    <phoneticPr fontId="5" type="noConversion"/>
  </si>
  <si>
    <t>금능해수욕장 내</t>
    <phoneticPr fontId="5" type="noConversion"/>
  </si>
  <si>
    <t>예래생태마을체험축제</t>
    <phoneticPr fontId="5" type="noConversion"/>
  </si>
  <si>
    <t>8월중
(2일간)</t>
    <phoneticPr fontId="5" type="noConversion"/>
  </si>
  <si>
    <t>○ 논짓물(담수욕장)과 반딧불이 등 생태환경을 테마로 한 축제</t>
    <phoneticPr fontId="5" type="noConversion"/>
  </si>
  <si>
    <t>예래동주민자치위원회/
예래생태마을체험축제추진위
(064-760-4841)</t>
    <phoneticPr fontId="5" type="noConversion"/>
  </si>
  <si>
    <t>축제조직위</t>
    <phoneticPr fontId="5" type="noConversion"/>
  </si>
  <si>
    <t>자체추진</t>
    <phoneticPr fontId="5" type="noConversion"/>
  </si>
  <si>
    <t>제18회도두오래물축제</t>
    <phoneticPr fontId="5" type="noConversion"/>
  </si>
  <si>
    <t>8월중
(3일간)</t>
    <phoneticPr fontId="5" type="noConversion"/>
  </si>
  <si>
    <t>○ 도두원담수산물잡기 체험
○ 섬머리 마을 둘레길 걷기대회
○ 럭셔리 요트타기 
○ 바다물고기 맨솝잡기 체험 
○ 카약타기
○ 도두원담수산물잡기 체험
○ 섬머리 마을 둘레길 걷기대회
○ 럭셔리 요트타기 
○ 도두봉 추억의 보물찾기  
○ 전국 오래물 노래자랑 등</t>
    <phoneticPr fontId="36" type="noConversion"/>
  </si>
  <si>
    <t>도두1동마을회 및 자생단체/도두오래물축제위원회
( 064-712-4567)</t>
    <phoneticPr fontId="5" type="noConversion"/>
  </si>
  <si>
    <t>물</t>
    <phoneticPr fontId="5" type="noConversion"/>
  </si>
  <si>
    <t>광장 등</t>
    <phoneticPr fontId="5" type="noConversion"/>
  </si>
  <si>
    <t>제주시</t>
    <phoneticPr fontId="5" type="noConversion"/>
  </si>
  <si>
    <t>산지천축제</t>
    <phoneticPr fontId="5" type="noConversion"/>
  </si>
  <si>
    <t>9월중
(3일)</t>
    <phoneticPr fontId="5" type="noConversion"/>
  </si>
  <si>
    <t xml:space="preserve">○ 산지천을 중심으로 의인 김만덕 얼이 깃든 
    역사．문화탐방
○ 산지천 고기잡기체험
○ 산지천의 역사를 한눈에 산지천 사진전
○ 개폐막 공연, 주제공연 및 문화공연
   - 4개분야 30여개 프로그램
○ 산지천을 테마로 한 산지천그리기 등 다양한 
    참여와 체험 및 홍보,  전시 판매 </t>
    <phoneticPr fontId="5" type="noConversion"/>
  </si>
  <si>
    <t>제주시 건입동 산지천축제위원회(064-728-4655)</t>
    <phoneticPr fontId="5" type="noConversion"/>
  </si>
  <si>
    <t>2008년도
(10회)</t>
    <phoneticPr fontId="5" type="noConversion"/>
  </si>
  <si>
    <t>하늘(天)을 담은 산지 천(川)</t>
    <phoneticPr fontId="5" type="noConversion"/>
  </si>
  <si>
    <t>축제위원회</t>
    <phoneticPr fontId="5" type="noConversion"/>
  </si>
  <si>
    <t>산지천 및 광장</t>
    <phoneticPr fontId="5" type="noConversion"/>
  </si>
  <si>
    <t>추자도참굴비축제</t>
    <phoneticPr fontId="5" type="noConversion"/>
  </si>
  <si>
    <t>9.14~9.`16
(3일간)</t>
    <phoneticPr fontId="5" type="noConversion"/>
  </si>
  <si>
    <t>ㅇ 참굴비 엮기경연, 갯바당바릇잡이, 가족낚시대회</t>
    <phoneticPr fontId="5" type="noConversion"/>
  </si>
  <si>
    <t xml:space="preserve"> 
 ·지역특산물
</t>
    <phoneticPr fontId="5" type="noConversion"/>
  </si>
  <si>
    <t>참굴비</t>
    <phoneticPr fontId="5" type="noConversion"/>
  </si>
  <si>
    <t xml:space="preserve">
 ·축제조직위
</t>
    <phoneticPr fontId="5" type="noConversion"/>
  </si>
  <si>
    <t>·자체추진
·부분위탁
 (운영,하드웨어, 
   프로그램)</t>
    <phoneticPr fontId="5" type="noConversion"/>
  </si>
  <si>
    <t xml:space="preserve"> 광장, 기타</t>
    <phoneticPr fontId="5" type="noConversion"/>
  </si>
  <si>
    <t>제27회 덕수리 전통
민속축제</t>
    <phoneticPr fontId="5" type="noConversion"/>
  </si>
  <si>
    <t>ㅇ 방앗돌 굴리는 노래, 불미공예, 집줄놓는 노래재연, 전통민속프로그램 등
ㅇ 체험프로그램 : 민속경기, 집줄놓기, 빙떡만들기 등</t>
    <phoneticPr fontId="5" type="noConversion"/>
  </si>
  <si>
    <t>덕수리민속보존회/덕수리마을회
(064-794-3609)</t>
    <phoneticPr fontId="5" type="noConversion"/>
  </si>
  <si>
    <t>전통민속</t>
    <phoneticPr fontId="5" type="noConversion"/>
  </si>
  <si>
    <t>덕수리민속공연장</t>
    <phoneticPr fontId="5" type="noConversion"/>
  </si>
  <si>
    <t>제주성읍마을전통민속재현축제</t>
  </si>
  <si>
    <t>10월초중순
(2일간)</t>
    <phoneticPr fontId="5" type="noConversion"/>
  </si>
  <si>
    <t>○ 전통문화체험(집줄놓기,갈옷만들기)
○ 전통민속재현(마당질,촐베기,고래골기,방애찧기)
○ 전통음식재현(모물범벅,상외떡,모물죽,오메기떡 등)</t>
  </si>
  <si>
    <t>성읍1리마을회/(사)성읍민속마을보존회</t>
  </si>
  <si>
    <t>1993년
(25회)</t>
    <phoneticPr fontId="5" type="noConversion"/>
  </si>
  <si>
    <t>전통문화</t>
    <phoneticPr fontId="5" type="noConversion"/>
  </si>
  <si>
    <t>도자체</t>
    <phoneticPr fontId="5" type="noConversion"/>
  </si>
  <si>
    <t>최남단 방어축제</t>
    <phoneticPr fontId="5" type="noConversion"/>
  </si>
  <si>
    <t>11월중(4일)</t>
    <phoneticPr fontId="5" type="noConversion"/>
  </si>
  <si>
    <t>풍어제, 방어맨손잡기, 방어무료 시식회, 방어낚시,등</t>
    <phoneticPr fontId="5" type="noConversion"/>
  </si>
  <si>
    <t>제주도 수산정책과/축제위원회</t>
    <phoneticPr fontId="5" type="noConversion"/>
  </si>
  <si>
    <t>2001년
(17회)</t>
    <phoneticPr fontId="5" type="noConversion"/>
  </si>
  <si>
    <t>바다,방어,</t>
    <phoneticPr fontId="5" type="noConversion"/>
  </si>
  <si>
    <t>축제조직위</t>
    <phoneticPr fontId="5" type="noConversion"/>
  </si>
  <si>
    <t>전통역사</t>
    <phoneticPr fontId="5" type="noConversion"/>
  </si>
  <si>
    <t>생태자연</t>
    <phoneticPr fontId="5" type="noConversion"/>
  </si>
  <si>
    <t>지역특산물</t>
    <phoneticPr fontId="5" type="noConversion"/>
  </si>
  <si>
    <t>주민화합</t>
    <phoneticPr fontId="5" type="noConversion"/>
  </si>
  <si>
    <t>기타</t>
    <phoneticPr fontId="5" type="noConversion"/>
  </si>
  <si>
    <t>국비지원부처명</t>
    <phoneticPr fontId="5" type="noConversion"/>
  </si>
  <si>
    <t>해당없음</t>
    <phoneticPr fontId="5" type="noConversion"/>
  </si>
  <si>
    <t>미기재</t>
    <phoneticPr fontId="5" type="noConversion"/>
  </si>
  <si>
    <t>형형색색
달구벌 관등놀이</t>
    <phoneticPr fontId="5" type="noConversion"/>
  </si>
  <si>
    <t>해당없음</t>
    <phoneticPr fontId="5" type="noConversion"/>
  </si>
  <si>
    <t>시자체</t>
    <phoneticPr fontId="5" type="noConversion"/>
  </si>
  <si>
    <t>시자체</t>
    <phoneticPr fontId="5" type="noConversion"/>
  </si>
  <si>
    <t>동구</t>
    <phoneticPr fontId="5" type="noConversion"/>
  </si>
  <si>
    <t>서구</t>
    <phoneticPr fontId="5" type="noConversion"/>
  </si>
  <si>
    <t>남구</t>
    <phoneticPr fontId="5" type="noConversion"/>
  </si>
  <si>
    <t>광산구</t>
    <phoneticPr fontId="5" type="noConversion"/>
  </si>
  <si>
    <t>미기재</t>
    <phoneticPr fontId="5" type="noConversion"/>
  </si>
  <si>
    <t>문화관광축제
(유망)</t>
    <phoneticPr fontId="5" type="noConversion"/>
  </si>
  <si>
    <t>문화관광축제
(육성)</t>
    <phoneticPr fontId="5" type="noConversion"/>
  </si>
  <si>
    <t>문화관광축제
(육성)</t>
    <phoneticPr fontId="5" type="noConversion"/>
  </si>
  <si>
    <t>해당없음</t>
    <phoneticPr fontId="5" type="noConversion"/>
  </si>
  <si>
    <t>문체부
(영화진흥위원회)</t>
    <phoneticPr fontId="5" type="noConversion"/>
  </si>
  <si>
    <t>문화관광축제
(대표)</t>
    <phoneticPr fontId="5" type="noConversion"/>
  </si>
  <si>
    <t>문화관광축제
(최우수)</t>
    <phoneticPr fontId="5" type="noConversion"/>
  </si>
  <si>
    <t>도시관광 및 산업관광 활성화</t>
    <phoneticPr fontId="5" type="noConversion"/>
  </si>
  <si>
    <t>미기재</t>
    <phoneticPr fontId="5" type="noConversion"/>
  </si>
  <si>
    <t>있음
(비상설)</t>
    <phoneticPr fontId="5" type="noConversion"/>
  </si>
  <si>
    <t>있음
정규직 4명
계약직 3명
총 7명</t>
    <phoneticPr fontId="5" type="noConversion"/>
  </si>
  <si>
    <t>있음
정규직2명
계약직3명
총5명</t>
    <phoneticPr fontId="5" type="noConversion"/>
  </si>
  <si>
    <t>있음
계약직 10명</t>
    <phoneticPr fontId="5" type="noConversion"/>
  </si>
  <si>
    <t>있음
정규직 5명</t>
    <phoneticPr fontId="5" type="noConversion"/>
  </si>
  <si>
    <t xml:space="preserve">있음
정규직 5명
총 5명  </t>
    <phoneticPr fontId="5" type="noConversion"/>
  </si>
  <si>
    <t xml:space="preserve">있음
정규직 5명
총 5명  </t>
    <phoneticPr fontId="5" type="noConversion"/>
  </si>
  <si>
    <t>있음
(사)헤이리
정규직4명</t>
    <phoneticPr fontId="5" type="noConversion"/>
  </si>
  <si>
    <t>있음
정규직 3명
전문인력25명
비상근 3명</t>
    <phoneticPr fontId="5" type="noConversion"/>
  </si>
  <si>
    <t>DMZ국제다큐조직위원회</t>
    <phoneticPr fontId="5" type="noConversion"/>
  </si>
  <si>
    <t>있음
정규직 8명</t>
    <phoneticPr fontId="5" type="noConversion"/>
  </si>
  <si>
    <t>있음
정규직 5명</t>
    <phoneticPr fontId="5" type="noConversion"/>
  </si>
  <si>
    <t>있음
정규직2명</t>
    <phoneticPr fontId="5" type="noConversion"/>
  </si>
  <si>
    <t>있음
정규직 1명</t>
    <phoneticPr fontId="5" type="noConversion"/>
  </si>
  <si>
    <t>있음                 정규직 2명</t>
    <phoneticPr fontId="5" type="noConversion"/>
  </si>
  <si>
    <t>중기부</t>
    <phoneticPr fontId="5" type="noConversion"/>
  </si>
  <si>
    <t>있음
(비상설)</t>
    <phoneticPr fontId="5" type="noConversion"/>
  </si>
  <si>
    <t>있음
정규직 5명</t>
    <phoneticPr fontId="5" type="noConversion"/>
  </si>
  <si>
    <t xml:space="preserve">있음
집행위 9명
총 25명
(집행위 포함)
  </t>
    <phoneticPr fontId="5" type="noConversion"/>
  </si>
  <si>
    <t>있음
(사무국 및 집행위원회 구성)</t>
    <phoneticPr fontId="5" type="noConversion"/>
  </si>
  <si>
    <t>있음
정규직 2명</t>
    <phoneticPr fontId="5" type="noConversion"/>
  </si>
  <si>
    <t>있음
공무원 2명
재단 정직원 5명
계약직 1명</t>
    <phoneticPr fontId="5" type="noConversion"/>
  </si>
  <si>
    <t>있음
공무원 2명
재단 정직원 5명
계약직 1명</t>
    <phoneticPr fontId="5" type="noConversion"/>
  </si>
  <si>
    <t>있음
공무원 2명
재단 정직원 5명
계약직 1명</t>
    <phoneticPr fontId="5" type="noConversion"/>
  </si>
  <si>
    <t>있음
공무원 2명
재단 정직원 5명
계약직 2명</t>
    <phoneticPr fontId="5" type="noConversion"/>
  </si>
  <si>
    <t xml:space="preserve">있음
정규직 4명
기타 4명
총 8명  </t>
    <phoneticPr fontId="5" type="noConversion"/>
  </si>
  <si>
    <t xml:space="preserve">있음
정규직 6명
계약직 1명
총 7명  </t>
    <phoneticPr fontId="5" type="noConversion"/>
  </si>
  <si>
    <t xml:space="preserve">있음
정규직 6명
계약직 1명
총 7명  </t>
    <phoneticPr fontId="5" type="noConversion"/>
  </si>
  <si>
    <t xml:space="preserve">있음
정규직 6명
계약직 1명
총 7명  </t>
    <phoneticPr fontId="5" type="noConversion"/>
  </si>
  <si>
    <t xml:space="preserve">있음
정규직 3명
</t>
    <phoneticPr fontId="5" type="noConversion"/>
  </si>
  <si>
    <t>있음
계약직 16명</t>
    <phoneticPr fontId="5" type="noConversion"/>
  </si>
  <si>
    <t xml:space="preserve">있음
정규직 3명
계약직 1명
총 4명  </t>
    <phoneticPr fontId="5" type="noConversion"/>
  </si>
  <si>
    <t>있음
정규직 9명
계약직 15명
총24명</t>
    <phoneticPr fontId="5" type="noConversion"/>
  </si>
  <si>
    <t>있음
정규직 1명
계약직 3명
총 4명</t>
    <phoneticPr fontId="5" type="noConversion"/>
  </si>
  <si>
    <t>미기재</t>
    <phoneticPr fontId="5" type="noConversion"/>
  </si>
  <si>
    <t>('17년 미개최)</t>
    <phoneticPr fontId="5" type="noConversion"/>
  </si>
  <si>
    <t>미기재</t>
    <phoneticPr fontId="5" type="noConversion"/>
  </si>
  <si>
    <t>문체부
(문예위)</t>
    <phoneticPr fontId="5" type="noConversion"/>
  </si>
  <si>
    <t>미기재</t>
    <phoneticPr fontId="5" type="noConversion"/>
  </si>
  <si>
    <t>미기재</t>
    <phoneticPr fontId="5" type="noConversion"/>
  </si>
  <si>
    <t>있음
정규직 1명</t>
    <phoneticPr fontId="5" type="noConversion"/>
  </si>
  <si>
    <t>있음
정규직 3명</t>
    <phoneticPr fontId="5" type="noConversion"/>
  </si>
  <si>
    <t xml:space="preserve">있음
정규직 17명
계약직 2명
총 19명  </t>
    <phoneticPr fontId="5" type="noConversion"/>
  </si>
  <si>
    <t xml:space="preserve">있음
계약직 5명
총 5명  </t>
    <phoneticPr fontId="5" type="noConversion"/>
  </si>
  <si>
    <t xml:space="preserve">부분위탁
 (운영,하드웨어, 
   프로그램)
</t>
    <phoneticPr fontId="5" type="noConversion"/>
  </si>
  <si>
    <t>장성군 기획감사실
(061-390-7380)</t>
  </si>
  <si>
    <t>목포항, 삼학도</t>
  </si>
  <si>
    <r>
      <t xml:space="preserve"> ○제24회 전국한지공예대전 개최
 ○ 한지를 테마로한 공연, 전시, 체험프로그램 운영
 ○ 개폐막 공연, 주제공연 및 문화공연
    - 5개 분야 20여개 프로그램
 ○ 기타 특별행사 및 전시 등등</t>
    </r>
    <r>
      <rPr>
        <sz val="11"/>
        <color theme="1"/>
        <rFont val="맑은 고딕"/>
        <family val="2"/>
        <charset val="129"/>
        <scheme val="minor"/>
      </rPr>
      <t/>
    </r>
    <phoneticPr fontId="5" type="noConversion"/>
  </si>
  <si>
    <t>2018년 지역축제 개최계획 총괄표(강원도 75개축제)</t>
    <phoneticPr fontId="5" type="noConversion"/>
  </si>
  <si>
    <t>한강•낙동강
발원지축제</t>
    <phoneticPr fontId="5" type="noConversion"/>
  </si>
  <si>
    <t xml:space="preserve"> ○ 황금다슬기를 잡아라
 ○ 다슬기를 테마로 한 체험프로그램 운영
 ○ 개막공연 등 3개 분야 40여개 프로그램
 ○ 기타 군문화 체험프로그램, 전시·체험프로그램 운영</t>
    <phoneticPr fontId="5" type="noConversion"/>
  </si>
  <si>
    <t xml:space="preserve">○ 경연대회: 문예대회, 서예대전                                     ○ 주제행사: 다산대상시상식
○ 고유제: 헌화ㆍ헌다례, 서원제사, 시민헌다례                    ○ 조선시대 저잣거리 체험 및 역사인물 퍼포먼스                    ○ 먹거리장터, 전통공연, 전래놀이 등        </t>
    <phoneticPr fontId="5" type="noConversion"/>
  </si>
  <si>
    <t>2003년도
(10회)</t>
    <phoneticPr fontId="5" type="noConversion"/>
  </si>
  <si>
    <t xml:space="preserve">   · 매년</t>
    <phoneticPr fontId="5" type="noConversion"/>
  </si>
  <si>
    <t>있음
(비상설)</t>
    <phoneticPr fontId="5" type="noConversion"/>
  </si>
  <si>
    <t>있음
계약직 2명</t>
    <phoneticPr fontId="5" type="noConversion"/>
  </si>
  <si>
    <t>○ 청소년 및 가족을 위한 문화 공연
○ 한여름밤 솜반천 영상문화
○ 방문객 참여․체험프로그램 운영
○ 영화상영 및 청소년 창작UCC 상영 
○ 청소년팀 공연, 축하 마술공연</t>
    <phoneticPr fontId="5" type="noConversion"/>
  </si>
  <si>
    <t xml:space="preserve">있음
정규직 4명
총 4명  </t>
    <phoneticPr fontId="5" type="noConversion"/>
  </si>
  <si>
    <t>있음
(비상설)</t>
    <phoneticPr fontId="5" type="noConversion"/>
  </si>
  <si>
    <t xml:space="preserve">있음
계약직 5명
총 5명  </t>
    <phoneticPr fontId="5" type="noConversion"/>
  </si>
  <si>
    <t xml:space="preserve">있음
정규직 6명
계약직 10명
총 16명  </t>
    <phoneticPr fontId="5" type="noConversion"/>
  </si>
  <si>
    <t>있음
정규직 3명</t>
    <phoneticPr fontId="5" type="noConversion"/>
  </si>
  <si>
    <t>있음
정규직1명</t>
    <phoneticPr fontId="5" type="noConversion"/>
  </si>
  <si>
    <t xml:space="preserve">있음
정규직 8명
총 8명  </t>
    <phoneticPr fontId="5" type="noConversion"/>
  </si>
  <si>
    <t>있음
(비상설)</t>
    <phoneticPr fontId="5" type="noConversion"/>
  </si>
  <si>
    <t>있음
(비상설,계약직 5명)</t>
    <phoneticPr fontId="5" type="noConversion"/>
  </si>
  <si>
    <t>충청남도</t>
  </si>
  <si>
    <t>천안시</t>
  </si>
  <si>
    <t>천안흥타령춤축제</t>
  </si>
  <si>
    <t>9.12(수) ~ 9.16(일)</t>
  </si>
  <si>
    <t>○ 춤경연
○ 거리댄스퍼레이드, 국제춤대회 등
○ 개폐막공연, 부대,체험행사 등
○ 중소기업제품판매전, 농특산물한마당큰잔치 등</t>
  </si>
  <si>
    <t>천안시 문화관광과/
천안문화재단
(041-900-7020)</t>
  </si>
  <si>
    <t>2003년도
(15회)
*09년 미개최</t>
  </si>
  <si>
    <t>춤</t>
  </si>
  <si>
    <t>있음
정규직4명
계약직2명
총 6명</t>
  </si>
  <si>
    <t>삼거리공원 , 
시내일원</t>
  </si>
  <si>
    <t>청바지페스티벌</t>
  </si>
  <si>
    <t>5.19(토)~ 20(일)</t>
  </si>
  <si>
    <t>○ 청바지경매, 청바지 프리마켓, 세계 각국 청바지 전시판매교역전 등
○ 부대,체험행사 등</t>
  </si>
  <si>
    <t>천안시 문화관광과/
공모예정</t>
  </si>
  <si>
    <t>2017년도
(2회)</t>
  </si>
  <si>
    <t>청바지</t>
  </si>
  <si>
    <t>공모예정</t>
  </si>
  <si>
    <t>신부문화공원</t>
  </si>
  <si>
    <t>천안예술제</t>
  </si>
  <si>
    <t>10월중 (3일간)</t>
  </si>
  <si>
    <t>○ 9개지부별(문인,연극,미술,무용,사진,음악,연예,국악, 영화) 작품발표회 및 전시,공연 등
○ 부대, 체험행사 등</t>
  </si>
  <si>
    <t>천안시 문화관광과/
천안예총
(041-561-1522)</t>
  </si>
  <si>
    <t>2004년도
(15회)</t>
  </si>
  <si>
    <t>있음
계약직 1명</t>
  </si>
  <si>
    <t>도솔광장</t>
  </si>
  <si>
    <t>입장거봉포도축제</t>
  </si>
  <si>
    <t>9월중(2일간)</t>
  </si>
  <si>
    <t>○ 개막식, 폐막식 및     문화공연                                               ○ 거봉가요제, 축하공연                                                            ○부대행사 및 체험행사</t>
  </si>
  <si>
    <t>입장거봉포도축제추진위원회(041-521-6847)</t>
  </si>
  <si>
    <t>1993년도
(18회)</t>
  </si>
  <si>
    <t>포도</t>
  </si>
  <si>
    <t>천안호두축제</t>
  </si>
  <si>
    <t>10월중</t>
  </si>
  <si>
    <t xml:space="preserve"> ○ 광덕산 등반대회, 호두사랑노래경연대회, 개폐막공연 등
     - 3개분야 10여개 프로그램
 ○ 호두 전시 및 농특산물 판매장 운영
 </t>
  </si>
  <si>
    <t>천안시호두축제추진위원회
(041-521-4701)</t>
  </si>
  <si>
    <t>2008년
(10회)</t>
  </si>
  <si>
    <t>호두</t>
  </si>
  <si>
    <t>시민단체</t>
  </si>
  <si>
    <t>천안북면위례벚꽃축제</t>
  </si>
  <si>
    <t>미정(4월중)
(2일간)</t>
  </si>
  <si>
    <t xml:space="preserve"> ○아름다운 벚꽃길(14km)이 펼쳐지는 청정지역 홍보
 ○개.폐막공연, 사생대회, 가요제
 ○아름다운 지역사진 전시회. 솟대마을만들기
 ○지역 농.특산물 판매타 특별행사 및 전시 등등</t>
  </si>
  <si>
    <t xml:space="preserve">북면위례벚꽃축제추진위원회
041-521-4721
</t>
  </si>
  <si>
    <t>2013년
(6회)</t>
  </si>
  <si>
    <t>대한민국 국제농기계자재 박람회</t>
  </si>
  <si>
    <t>10.31~11.3(4일간)</t>
  </si>
  <si>
    <t xml:space="preserve"> ○ 농기계 및 자재 전시
 ○ 학술회의
 ○ 농기계 연시 및 체험
 ○ 시립예술단공연 및 각종 부대 행사 등 </t>
  </si>
  <si>
    <t>주최:농림축산식품부
(044-201-2841)
주관:천안시
(서장원 041-521-5483),
한국농기계공업협동조합
(김대건 041-411-2132)</t>
  </si>
  <si>
    <t>2010년
(5회)</t>
  </si>
  <si>
    <t>농림축산식품부</t>
  </si>
  <si>
    <t>대한민국 국제농기계자재박람회 지원</t>
  </si>
  <si>
    <t xml:space="preserve">농기계 및 농자재 </t>
  </si>
  <si>
    <t>격년</t>
  </si>
  <si>
    <t>국제농기계자재박람회 조직위</t>
  </si>
  <si>
    <t>천안삼거리공원</t>
  </si>
  <si>
    <t>천안영화제</t>
  </si>
  <si>
    <t>미정(9월중)
(3일간)</t>
  </si>
  <si>
    <t>○ 영상공모전
○ 야외상영회
○시민참여형 영화제 운영
○상명 및 부대프로그램(G.V.운영)</t>
  </si>
  <si>
    <t>(재)충남문화산업진흥원
041-415-0096</t>
  </si>
  <si>
    <t>2010
(9회)</t>
  </si>
  <si>
    <t>영화</t>
  </si>
  <si>
    <t>부</t>
  </si>
  <si>
    <t>영화관</t>
  </si>
  <si>
    <t>공주시</t>
  </si>
  <si>
    <t>겨울공주 군밤축제</t>
  </si>
  <si>
    <t>2. 1. ~ 2. 4.</t>
  </si>
  <si>
    <t>ㅇ 모닥불 음악회, 군밤체험, 얼음조각체험 등
ㅇ 알밤홍보관, 알밤판매부스, 농특산물부스 운영 등</t>
  </si>
  <si>
    <t>겨울공주군밤축제조직위원회 
(042-520-5754)</t>
  </si>
  <si>
    <t>2018년
(1회)</t>
  </si>
  <si>
    <t>겨울, 밤</t>
  </si>
  <si>
    <t>시장</t>
  </si>
  <si>
    <t xml:space="preserve"> 백제 어울마당</t>
  </si>
  <si>
    <t>4월~10월
(매주 주말)</t>
  </si>
  <si>
    <t>ㅇ 백제기악공연, 인형극등</t>
  </si>
  <si>
    <t>공모</t>
  </si>
  <si>
    <t>2016년
(3회)</t>
  </si>
  <si>
    <t>세계유산</t>
  </si>
  <si>
    <t>웅진성수문병
근무교대식</t>
  </si>
  <si>
    <t>ㅇ 수문병 근무교대식
ㅇ 백제왕.왕비복 체험,  옥사체험,   활쏘기 체험 등</t>
  </si>
  <si>
    <t>2000년
(19회)</t>
  </si>
  <si>
    <t>상설문화관광프로그램 지원</t>
  </si>
  <si>
    <t>수문병근무교대식 재현</t>
  </si>
  <si>
    <t>석장리 세계구석기축제</t>
  </si>
  <si>
    <t>5. 4. ~ 5. 7.</t>
  </si>
  <si>
    <t>ㅇ 구석기문화 체험 
ㅇ 문화행사프로그램 운영</t>
  </si>
  <si>
    <t>구석기축제조직위원회
(041-840-8090)</t>
  </si>
  <si>
    <t>2014년
(3회)</t>
  </si>
  <si>
    <t xml:space="preserve">구석기 </t>
  </si>
  <si>
    <t>계룡산 벚꽃축제</t>
  </si>
  <si>
    <t>4월중</t>
  </si>
  <si>
    <t>ㅇ 야간조명
ㅇ 체험 및 판매부스 운영</t>
  </si>
  <si>
    <t>계룡산산신제</t>
  </si>
  <si>
    <t>ㅇ 유.불.무가식 산신제
ㅇ 점사체험, 기체험, 다양한 무대공연 등</t>
  </si>
  <si>
    <t>계룡산산신제보존회
(041-855-7084)</t>
  </si>
  <si>
    <t>1998년
(21회)</t>
  </si>
  <si>
    <t>산신제</t>
  </si>
  <si>
    <t>사찰</t>
  </si>
  <si>
    <t>마곡사 신록축제</t>
  </si>
  <si>
    <t>ㅇ 명상길 걷기, 체험 등
ㅇ 템플스테이 등</t>
  </si>
  <si>
    <t>마곡사신록축제
추진위원회
(041-856-8608)</t>
  </si>
  <si>
    <t>2004년
(15회)</t>
  </si>
  <si>
    <t>신록</t>
  </si>
  <si>
    <t>마곡사토요무대</t>
  </si>
  <si>
    <t>7월~8월</t>
  </si>
  <si>
    <t>ㅇ 문화예술공연 산사음악회 운영</t>
  </si>
  <si>
    <t>2008년
(11회)</t>
  </si>
  <si>
    <t>문화예술공연</t>
  </si>
  <si>
    <t>제63회 백제문화제</t>
  </si>
  <si>
    <t>9.14.~9.22.</t>
  </si>
  <si>
    <t>ㅇ 웅진판타지아, 웅진성퍼레이드
ㅇ 체험마당, 무대공연 등
ㅇ 농특산품전시 및 판매</t>
  </si>
  <si>
    <t>백제문화선양위원회
(041-840-8090)</t>
  </si>
  <si>
    <t>1955년
(64회)</t>
  </si>
  <si>
    <t>백제역사</t>
  </si>
  <si>
    <t>보령시</t>
  </si>
  <si>
    <t>무창포 주꾸미·도다리축제</t>
  </si>
  <si>
    <t>3.17~4.8
(22일간)</t>
  </si>
  <si>
    <t>○ 해상가두리낚시체험
○ 맨손고기잡기체험
○ 바지락잡기체험
○ 품바공연등</t>
  </si>
  <si>
    <t xml:space="preserve">보령시 수산과/무창포축제추진위원회
(936-3561) </t>
  </si>
  <si>
    <t>2008
(11회)</t>
  </si>
  <si>
    <t>주꾸미·도다리</t>
  </si>
  <si>
    <t>자제추진</t>
  </si>
  <si>
    <t>무창포해수욕장</t>
  </si>
  <si>
    <t>주산봄꽃축제</t>
  </si>
  <si>
    <t>4월 중</t>
  </si>
  <si>
    <t>○ 축하공연 및 주민화합 노래자랑, 체육(민속)경기 등</t>
  </si>
  <si>
    <t>보령시 주산면/주산면체육회
(936-7389)</t>
  </si>
  <si>
    <t>2005년도
(14회)</t>
  </si>
  <si>
    <t>공공(읍면동)</t>
  </si>
  <si>
    <t>물빛공원</t>
  </si>
  <si>
    <t>대천항 수산물축제</t>
  </si>
  <si>
    <t>4.16~4.29</t>
  </si>
  <si>
    <t>○ 개막식 및 축하공연
○ 수산물 모의경매
○ 즉석노래자랑 및 지역단체공연
○ 수산물 체험행사</t>
  </si>
  <si>
    <t>보령시 수산과/사)한국수산업경영인보령시연합회
(041-933-6535)</t>
  </si>
  <si>
    <t>2011
(6회)</t>
  </si>
  <si>
    <t>대천항</t>
  </si>
  <si>
    <t>대천해수욕장 조개구이축제</t>
  </si>
  <si>
    <t>4.28~5.7
(10일간)</t>
  </si>
  <si>
    <t>○ 축하공연 및 주민화합 노래자랑, 조개요리 시식 등</t>
  </si>
  <si>
    <t>보령시 관광과/(사)대천관광협회(041-933-7051)</t>
  </si>
  <si>
    <t>2018년도
(1회)</t>
  </si>
  <si>
    <t>조개</t>
  </si>
  <si>
    <t>대천해수욕장</t>
  </si>
  <si>
    <t>보령머드축제</t>
  </si>
  <si>
    <t>7.13~7.22
(10일간)</t>
  </si>
  <si>
    <t>○ 머드체험 등 50개 프로그램</t>
  </si>
  <si>
    <t>보령시 관광과/(재)보령머드축제조직위원회(041-930-3882)</t>
  </si>
  <si>
    <t>1998년도
(21회)</t>
  </si>
  <si>
    <t>문화관광축제
(글로벌육성)</t>
  </si>
  <si>
    <t>머드</t>
  </si>
  <si>
    <t xml:space="preserve">있음
계약직 4명 </t>
  </si>
  <si>
    <t>2000년도
(19회)</t>
  </si>
  <si>
    <t>무창포신비의바닷길축제</t>
  </si>
  <si>
    <t>8.11~8.13
(3일간)</t>
  </si>
  <si>
    <t>○횃불어업, 맨손고기잡기 체험, 독살어업 체험
○ 신비의 바닷길 체험</t>
  </si>
  <si>
    <t>보령시 관광과/무창포신비의바닷길축제추진위원회(041-936-3561)</t>
  </si>
  <si>
    <t>1999년도
(20회)</t>
  </si>
  <si>
    <t>신비의바닷길</t>
  </si>
  <si>
    <t>보령예술제</t>
  </si>
  <si>
    <t>9월중
(4일간)</t>
  </si>
  <si>
    <t>○ 국악공연 등 16개 예술행사 및 전시</t>
  </si>
  <si>
    <t>보령시 문화공보실
/한국예총보령지회(041-930-3879)</t>
  </si>
  <si>
    <t>보령문화의전당</t>
  </si>
  <si>
    <t>만세보령문화제</t>
  </si>
  <si>
    <t>9.28.~29.
(2일간)</t>
  </si>
  <si>
    <t>○ 전일행사: 풍년제, 한내돌다리밟기, 경축의 밤 등
○ 본  행 사: 만세보령대상 시상, 개막퍼레이드,
                   민속·체육·참여경기
○ 연계행사: 전통주막, 미술작품전시  등 체험 부스 운영</t>
  </si>
  <si>
    <t>보령시 문화공보실                                       / 만세보령문화제추진위원회
(041-930-3228)</t>
  </si>
  <si>
    <t>1988년도
(20회)</t>
  </si>
  <si>
    <t>민속문화</t>
  </si>
  <si>
    <t>만세보령문화제
추진위원회</t>
  </si>
  <si>
    <t>보령종합경기장 및 관내일원</t>
  </si>
  <si>
    <t>무창포 대하·전어축제</t>
  </si>
  <si>
    <t>9.23~10.15
(23일간)</t>
  </si>
  <si>
    <t>○ 독살어업체험
○ 맨손고기잡기체험(유료)
○ 조개잡기 체험
○ 품바공연등</t>
  </si>
  <si>
    <t>보령시 수산과/무창포축제추진위원회
(936-3510)</t>
  </si>
  <si>
    <t>대하·전어</t>
  </si>
  <si>
    <t>보령 김 축제</t>
  </si>
  <si>
    <t>11.3~11.5</t>
  </si>
  <si>
    <t>○ 아줌마댄스경연대회, 어린이 가요제
○ 보령시민노래자랑
○ 김요리경연대회
○ 전통민속놀이한마당
○ 이색김밥경연대회</t>
  </si>
  <si>
    <t>보령시 수산과/보령시김생산협의회
(930-3937)</t>
  </si>
  <si>
    <t>2015
(4회)</t>
  </si>
  <si>
    <t>김</t>
  </si>
  <si>
    <t>청라은행마을축제</t>
  </si>
  <si>
    <t>11. 4. ~ 5.
(2일간)</t>
  </si>
  <si>
    <t>○은행마을 둘레길 걷기</t>
  </si>
  <si>
    <t>2012년도
(7회)</t>
  </si>
  <si>
    <t>은행</t>
  </si>
  <si>
    <t>부분위탁
(운영, 프로그램)</t>
  </si>
  <si>
    <t>제14회 온새미로축제</t>
  </si>
  <si>
    <t>11월중</t>
  </si>
  <si>
    <t>○ 유용미생물(EM) 관련 체험활동
○ 농산물 전시 및 판매
○ 기타 농촌문화 체험활동 및 공연프로그램 운영</t>
  </si>
  <si>
    <t>농특산물</t>
  </si>
  <si>
    <t>천북굴축제</t>
  </si>
  <si>
    <t>11월말~12월 초</t>
  </si>
  <si>
    <t>○갖가지 굴 음식체험
○초대가수 공연
○관광객 노래자랑</t>
  </si>
  <si>
    <t>2002년도
(17회)</t>
  </si>
  <si>
    <t>굴</t>
  </si>
  <si>
    <t>장은리 굴단지</t>
  </si>
  <si>
    <t>대천겨울바다사랑축제</t>
  </si>
  <si>
    <t>12월중</t>
  </si>
  <si>
    <t>○ 1박2일 로맨틱 투어
○ 야간 경관조명 등</t>
  </si>
  <si>
    <t>미정</t>
  </si>
  <si>
    <t>아산시</t>
  </si>
  <si>
    <t>아산성웅이순신축제</t>
  </si>
  <si>
    <t>4.27~4.29                   (3일간)</t>
  </si>
  <si>
    <t>○ 퍼레이드
○ 개폐막공연,전시체험 및 기타부대행사 등</t>
  </si>
  <si>
    <t>아산시 문화관광과                               / 아산문화재단                              (041-534-2634)</t>
  </si>
  <si>
    <t>1962년도          (57회)</t>
  </si>
  <si>
    <t>이순신장군</t>
  </si>
  <si>
    <t>온양온천역 광장 및 시내일원</t>
  </si>
  <si>
    <t>신정호 별빛축제</t>
  </si>
  <si>
    <t>7~8월중</t>
  </si>
  <si>
    <t>○ 영화상영, 지역예술단체공연, 체험프로그램 운영</t>
  </si>
  <si>
    <t>1998년도            (21회)</t>
  </si>
  <si>
    <t>여름밤</t>
  </si>
  <si>
    <t>신정호관광지 야외무대</t>
  </si>
  <si>
    <t>도고 코미디 핫 페스트 IN 아산(구 대한민국 코미디 핫 페스티벌)</t>
  </si>
  <si>
    <t>9월중</t>
  </si>
  <si>
    <t>○ 개막식(레드카펫 인터뷰, 축하공연)                                                          ○ 토크콘서트, 디제잉쇼 등 주무대공연 및 거리공연                        ○ 체험행사 및 홍보전시, 먹거리 등 부스체험</t>
  </si>
  <si>
    <t>아산시 문화관광과                               / 아산문화재단, 아산코미디홀                              (041-534-2634)</t>
  </si>
  <si>
    <t>2014년도          (5회)</t>
  </si>
  <si>
    <t>코미디</t>
  </si>
  <si>
    <t>도고면 일원</t>
  </si>
  <si>
    <t>은행나무길축제</t>
  </si>
  <si>
    <t>○ 거리공연, 무대공연, 프리마켓 운영</t>
  </si>
  <si>
    <t>2015년도             (4회)</t>
  </si>
  <si>
    <t>은행나무길</t>
  </si>
  <si>
    <t>짚풀문화제</t>
  </si>
  <si>
    <t>○ 전통재연프로그램(전통혼례, 한복패션쇼 등 )                ○ 전통공연프로그램(송악두레논메기, 사물판놀음 등)                 ○ 전통체험프로그램(초가지붕잇기, 분청사기도예체험 등)</t>
  </si>
  <si>
    <t>아산시 외암민속마을관리소          /외암민속마을보존회                     (041-536-8458)</t>
  </si>
  <si>
    <t>2000년도            (19회)</t>
  </si>
  <si>
    <t>짚풀</t>
  </si>
  <si>
    <t>외암마을 및 저잣거리 일원</t>
  </si>
  <si>
    <t>서산시</t>
  </si>
  <si>
    <t>지곡왕산포 서산갯마을축제</t>
  </si>
  <si>
    <t>5월중(미정)</t>
  </si>
  <si>
    <t xml:space="preserve"> ○ 갯벌 바지락캐기 체험 등 체험프로그램
 ○ 수산물을 테마로한 경연행사
 ○ 개폐막 공연, 주제공연 및 문화공연</t>
  </si>
  <si>
    <t>2011년도
(7회)</t>
  </si>
  <si>
    <t>수산물             (바지락외)</t>
  </si>
  <si>
    <t>중왕2리 왕산
포구 일원</t>
  </si>
  <si>
    <t>팔봉산 감자축제</t>
  </si>
  <si>
    <t>6월중(미정)</t>
  </si>
  <si>
    <t>○ 감자캐기체험, 시식, 판매 등</t>
  </si>
  <si>
    <t>팔봉산감자축제추진위원회</t>
  </si>
  <si>
    <t>2002년
(18회)</t>
  </si>
  <si>
    <t>감자</t>
  </si>
  <si>
    <t>팔봉산 일원</t>
  </si>
  <si>
    <t>삼길포 우럭축제</t>
  </si>
  <si>
    <t>8월중(미정)</t>
  </si>
  <si>
    <t>○우럭회 시식행사 등 다양한 체험 및 볼거리 제공
○우럭을 테마로한 공연, 체험 및 전시판매 행사 운영
   -3개 분야 10여개 프로그램</t>
  </si>
  <si>
    <t>2005년도
(13회)</t>
  </si>
  <si>
    <t>우럭</t>
  </si>
  <si>
    <t>있음
(정규직 100명
총 100명)</t>
  </si>
  <si>
    <t>부분위탁
(무대행사)</t>
  </si>
  <si>
    <t>서산어리굴젓축제</t>
  </si>
  <si>
    <t>10월중(미정)</t>
  </si>
  <si>
    <t>○ 각종체험(바지락캐기, 어선체험, 굴까기 체험 및 밑반찬용 굴 무치기 등), 부대행사, 전시행사 등</t>
  </si>
  <si>
    <t>2015년도
(3회)</t>
  </si>
  <si>
    <t>부분위탁         (하드웨어)</t>
  </si>
  <si>
    <t>간월도 일원</t>
  </si>
  <si>
    <t>서산해미읍성축제</t>
  </si>
  <si>
    <t>10.12~10.14</t>
  </si>
  <si>
    <t>○주제체험, 기획프로그램, 전통문화공연 등
○상설프로그램 및 체험프로그램, 연계프로그램 등</t>
  </si>
  <si>
    <t>서산시 / 서산해미읍성축제추진위원회</t>
  </si>
  <si>
    <t>2000년도
(17회)</t>
  </si>
  <si>
    <t>문화체육관광부</t>
  </si>
  <si>
    <t>문화관광축제   (유망)</t>
  </si>
  <si>
    <t>역사체험</t>
  </si>
  <si>
    <t>부분위탁
(하드웨어, 프로그램)</t>
  </si>
  <si>
    <t>서산국화축제</t>
  </si>
  <si>
    <t>10.27~11.4</t>
  </si>
  <si>
    <t>○ 과수원을 배경으로 실내·외 국화전시,  체험프로그램 
    및 문화예술 공연 등</t>
  </si>
  <si>
    <t>서산시농업기술센터
/서산국화축제추진위원회
(041-660-3935)</t>
  </si>
  <si>
    <t>과수원</t>
  </si>
  <si>
    <t>2018 철새기행전</t>
  </si>
  <si>
    <t>철새탐조, 생태프로그램, 전시회 등</t>
  </si>
  <si>
    <t>서산시/버드랜드
(041-661-8043)</t>
  </si>
  <si>
    <t>2000년도
(15회)</t>
  </si>
  <si>
    <t>철새</t>
  </si>
  <si>
    <t>공공(서산시)</t>
  </si>
  <si>
    <t>총 12명
정규직 9명
공무직 3명</t>
  </si>
  <si>
    <t>서산버드랜드</t>
  </si>
  <si>
    <t>논산시</t>
  </si>
  <si>
    <t>논산딸기축제</t>
  </si>
  <si>
    <t>4.4~4.9
(5일간)</t>
  </si>
  <si>
    <t xml:space="preserve">○ 딸기수확체험
○ 딸기를 테마로한 공연, 전시, 체험프로그램 운영
○ 개폐막 공연, 주제공연 및 문화공연
    - 5개 분야 90여개 프로그램
○ 기타 특별행사 및 전시 등 </t>
  </si>
  <si>
    <t>논산시/논산딸기축제추진위원회
(041-746-8387)</t>
  </si>
  <si>
    <t>1997년도
(21회)</t>
  </si>
  <si>
    <t>딸기</t>
  </si>
  <si>
    <t>논산천둔치 및
딸기밭일원</t>
  </si>
  <si>
    <t>상월명품고구마축제</t>
  </si>
  <si>
    <t>9월중
(2일간)</t>
  </si>
  <si>
    <t>○ 개막 축하공연
○ 폐막공연
○ 고구마캐기체험 등 행사</t>
  </si>
  <si>
    <t>논산시/상월명춤고구마축제추진위원회
(041-746-8673)</t>
  </si>
  <si>
    <t>2008년도
(10회)</t>
  </si>
  <si>
    <t>고구마</t>
  </si>
  <si>
    <t>금강대학교
운동장</t>
  </si>
  <si>
    <t>연산대추축제</t>
  </si>
  <si>
    <t>10월 중하순 예정</t>
  </si>
  <si>
    <t>○ 개막식 및 폐막식
○ 각종 축하공연, 문화공연, 체험행사 등
  - 5개 분야, 40개 행사(예정)</t>
  </si>
  <si>
    <t>논산시/연산대추축제추진위원회
(041-746-8744)</t>
  </si>
  <si>
    <t>연산대추</t>
  </si>
  <si>
    <t>논산강경젓갈축제</t>
  </si>
  <si>
    <t>10월 셋째주 예정</t>
  </si>
  <si>
    <t xml:space="preserve">○ 강경포구 만선제, 젓갈김치담그기 퍼포먼스
○ 젓갈을 테마로한 공연, 전시, 체험프로그램 운영
○ 개폐막 공연, 주제공연 및 문화공연
    - 5개 분야 60여개 프로그램
○ 기타 특별행사 및 전시 등 </t>
  </si>
  <si>
    <t>논산시/강경젓갈축제추진위원회
(041-746-5663)</t>
  </si>
  <si>
    <t>1997년도
(22회)</t>
  </si>
  <si>
    <t>문화관광축제
(우수)</t>
  </si>
  <si>
    <t>젓갈</t>
  </si>
  <si>
    <t>강경읍일원</t>
  </si>
  <si>
    <t>양촌곶감축제</t>
  </si>
  <si>
    <t xml:space="preserve">미정(2일간)
(12월둘째주 
주말 예정)
</t>
  </si>
  <si>
    <t xml:space="preserve">  - 공식행사 : 개막식, 초청인사 간담회(다과)
   - 체험행사 : 감깎기 체험, 곶감씨멀리뱉기, 곶감덕장 
      포트존,메추리구워먹기, 떡메치기, 천연감색 감물체험 등
   - 공연행사 : 개막 축하공연, 곶감가요제, 청소년 댄스 
      경연대회,군악대 공연, 주민자치프로그램 공연 등 
   - 상설행사 : 양촌곶감판매장, 농특산물 홍보․판매장
       운영 등
   - 기타행사 : 향토음식점 운영 등</t>
  </si>
  <si>
    <t>논산시 양촌면사무소
동고동락팀
(041-746-8791)</t>
  </si>
  <si>
    <t>2002년
(16회)</t>
  </si>
  <si>
    <t>곶감</t>
  </si>
  <si>
    <t>추진위원회</t>
  </si>
  <si>
    <t>계룡시</t>
  </si>
  <si>
    <t>2018계룡軍문화축제</t>
  </si>
  <si>
    <t>10.5~9
(5일간)</t>
  </si>
  <si>
    <t>ㅇ 공식행사 : 전야제, 개.폐막식
ㅇ 공연행사 : 3軍 군악의장대 공연, 시민공연, 버스킹 등
ㅇ 이벤트체험 : 3軍홍보체험관, 용도령 순환열차,  
                        병영체험, 시가지전투재현 등
ㅇ 부대행사 : 계룡 시민의 날, 전국사진촬영대회, 드론경연대회 등</t>
  </si>
  <si>
    <t>충청남도 계룡시 문화체육과
(042-840-3493)</t>
  </si>
  <si>
    <t>지역특화문화행사지원</t>
  </si>
  <si>
    <t>군(軍)</t>
  </si>
  <si>
    <t>공공(시)</t>
  </si>
  <si>
    <t>시내거리</t>
  </si>
  <si>
    <t>당진시</t>
  </si>
  <si>
    <t>순성매화벚꽃축제</t>
  </si>
  <si>
    <t>4.13~4.14(2일간)</t>
  </si>
  <si>
    <t>벚꽃을 테마로 하는 무대공연 및 체험 행사</t>
  </si>
  <si>
    <t>순성면 축제위원회
(041-360-8405)</t>
  </si>
  <si>
    <t>면천 진달래 민속축제</t>
  </si>
  <si>
    <t>4월중(2일간)</t>
  </si>
  <si>
    <t>○ 진달래 공원 사생대회                                                  ○ 진달래를 테마로 한 전시, 두견주 체험                                  ○ 민속놀이, 시 낭송 등 문화공연, 노래자랑</t>
  </si>
  <si>
    <t>면천면사무소 / 향토발전진달래회(041-360-8352)</t>
  </si>
  <si>
    <t>진달래, 민속놀이, 두견주</t>
  </si>
  <si>
    <t>부분 위탁</t>
  </si>
  <si>
    <t>찾아가는
어린이안전체험교실</t>
  </si>
  <si>
    <t>○ 어린이안전 공연
○ 안전체험 프로그램
○ 기타 전시 등</t>
  </si>
  <si>
    <t>국민안전처·후원기관·당진시
/ 한국어린안전재단
(당진시 : 041-350-3293)
(재단 : 02-400-9526)</t>
  </si>
  <si>
    <t>안전교육</t>
  </si>
  <si>
    <t>·프로그램 : 전체위탁
   (국민안전처→한국어린이안전재단)
·하드웨어 : 부분위탁
   (국민안전처→한국어린이안전재단)
    ※ 지자체 : 부스, 시설 등 지원</t>
  </si>
  <si>
    <t>운동장
(실내체육관 및 광장)</t>
  </si>
  <si>
    <t>기지시줄다리기
민속축제</t>
  </si>
  <si>
    <t>4.12.~4.15.
(4일간)</t>
  </si>
  <si>
    <t xml:space="preserve"> ○ 기지시줄다리기(줄고사, 줄나가기, 줄다리기)
 ○ 전국 스포츠줄다리기대회, 어린이/초등부 줄다리기
 ○ 유네스코 줄다리기 한마당, 풍물경연대회 등
     각종 민속놀이 및 관련행사/전시 등등 </t>
  </si>
  <si>
    <t xml:space="preserve">당진시청 문화관광과
(041-350-3585) /
기지시줄다리기 축제위원회
(041-358-4646) </t>
  </si>
  <si>
    <t>500년 전
(매년 개최
2009년 최초)</t>
  </si>
  <si>
    <t>줄다리기</t>
  </si>
  <si>
    <t>기지시줄다리기
박물관</t>
  </si>
  <si>
    <t>장고항실치축제</t>
  </si>
  <si>
    <t>4.28~4.29(2일간)</t>
  </si>
  <si>
    <t>뱅어포 만들기 체험
바지락 잡기 체험
관광객 노래자랑
농수산물 깜짝 경매</t>
  </si>
  <si>
    <t>2004
(14회)</t>
  </si>
  <si>
    <t>실치</t>
  </si>
  <si>
    <t>농심체험한마당</t>
  </si>
  <si>
    <t>5월중(4일간)</t>
  </si>
  <si>
    <t>○ 제기차기왕 선발대회 등 30여 가지 체험프로그램 운영
○야생화 전시</t>
  </si>
  <si>
    <t>당진시농업기술센터
041-360-6411</t>
  </si>
  <si>
    <t>농업</t>
  </si>
  <si>
    <t>있음 
정규직2명</t>
  </si>
  <si>
    <t>청사내</t>
  </si>
  <si>
    <t>한진바지락축제</t>
  </si>
  <si>
    <t>5.24~5.26(3일간)</t>
  </si>
  <si>
    <t>바지락캐기 체험, 요리경연, 가요제</t>
  </si>
  <si>
    <t>한진포구바지락축제위원회
(356-6098)</t>
  </si>
  <si>
    <t>바지락</t>
  </si>
  <si>
    <t>왕매실 따기체험행사</t>
  </si>
  <si>
    <t>6월중(2일간)</t>
  </si>
  <si>
    <t>매실을 테마로 하는 무대공연 및 체험 행사</t>
  </si>
  <si>
    <t>왕매실 조합법인
(041-352-1446)</t>
  </si>
  <si>
    <t>2010년도
(9회)</t>
  </si>
  <si>
    <t>매실</t>
  </si>
  <si>
    <t>조합법인</t>
  </si>
  <si>
    <t>버그내연호문화축제</t>
  </si>
  <si>
    <t>7.22.~7.23
(2일간)</t>
  </si>
  <si>
    <t xml:space="preserve"> ○ 축하퍼레이드, 앙천제, 합덕 성체거동
 ○ 사생대회, 시민 노래자랑, 연꽃 전시 등등</t>
  </si>
  <si>
    <t xml:space="preserve">당진시청 문화관광과
(041-350-3583) /
버그내연호축제집행위원회 </t>
  </si>
  <si>
    <t>2017년
(2회)</t>
  </si>
  <si>
    <t>연꽃</t>
  </si>
  <si>
    <t>축제집행위원회</t>
  </si>
  <si>
    <t>합덕제</t>
  </si>
  <si>
    <t>삽교호조개구이축제</t>
  </si>
  <si>
    <t>10월중(2일간)</t>
  </si>
  <si>
    <t>조개경매
맨손고기잡기체험</t>
  </si>
  <si>
    <t xml:space="preserve">삽교호조개구이축제추진위원회 
041)363-6680 </t>
  </si>
  <si>
    <t>2004년
(14회)</t>
  </si>
  <si>
    <t>조개구이</t>
  </si>
  <si>
    <t>심훈상록문화제</t>
  </si>
  <si>
    <t>9월중(3일간)</t>
  </si>
  <si>
    <t xml:space="preserve"> ○ 심훈문학상 강연회
 ○ 심훈선생을 테마로한 공연, 전시, 체험프로그램 운영
 ○ 개폐막 공연, 학생문예행사 및 체험행사
 ○ 기타 특별행사 및 전시 등등 </t>
  </si>
  <si>
    <t>충청남도 당진시 시청2로 18
/(사)심훈상록문화제집행위원회
041-357-4151</t>
  </si>
  <si>
    <t>1977년도
(42회)</t>
  </si>
  <si>
    <t>심훈선생</t>
  </si>
  <si>
    <t>국화전시회</t>
  </si>
  <si>
    <t>10월중(10일간)</t>
  </si>
  <si>
    <t>○ 국화전시
○ 희귀 박과류 전시
○ 야생화를 활용한 꽃차 전시
○ 시청사앞 국화 꽃동산 조성</t>
  </si>
  <si>
    <t>금산군</t>
  </si>
  <si>
    <t>제37회 금산인삼축제</t>
  </si>
  <si>
    <t>10.5~10.14
(10일간)</t>
  </si>
  <si>
    <t>ㅇ인삼캐기체험
ㅇ인삼과 건강을 테마로 한  체험,공연,전시 등 운영
ㅇ건강체험관, 어린이힐링놀이터, 추억의 인삼거리 등 체험
ㅇ건강댄스경연,힐링콘서트, 전국창작동요경연대회 등 
   경연,공연
ㅇ국제인삼교역전, 인삼왕수상작 전시 등 전시 및 교역</t>
  </si>
  <si>
    <t>금산군/ 금산군축제추진위원회
(041-750-2411)</t>
  </si>
  <si>
    <t>1981년도
(37회)</t>
  </si>
  <si>
    <t>미개최</t>
  </si>
  <si>
    <t>광장, 시장</t>
  </si>
  <si>
    <t>2018 금강여울축제</t>
  </si>
  <si>
    <t>7월 중
(2일간)</t>
  </si>
  <si>
    <t>ㅇ신나는 물 체험
ㅇ금강 여울을 테마로 강촌 관광프로그램 운영
ㅇ강변슬라이딩, 금강족욕, 민물고기잡기 등 강변문화체험
ㅇ경운기투어, 여치집만들기 등 외갓집체험
ㅇ농바우끄시기, 물페기농요 등 민속공연</t>
  </si>
  <si>
    <t>금산문화원/ 물페기농요보존회, 농바우끄시기보존회
(041-754-2724)</t>
  </si>
  <si>
    <t>1993년도
(제26회)</t>
  </si>
  <si>
    <t>강(여울)</t>
  </si>
  <si>
    <t>기타(강변)</t>
  </si>
  <si>
    <t>2018 비단고을 산꽃축제</t>
  </si>
  <si>
    <t>4월 중
(2일간)</t>
  </si>
  <si>
    <t xml:space="preserve">ㅇ산꽃 술래길 건강걷기
ㅇ자연 산꽃을 테마로 한 건강프로그램 운영
ㅇ숲속 작은 음악회, 산꽃음악회 등 공연프로그램 
ㅇ산골 화덕음식체험, 산꽃손수건만들기 등 참여프로그램 </t>
  </si>
  <si>
    <t>금산문화원/보곡산골마을회
(041-754-2724)</t>
  </si>
  <si>
    <t>2000년도
(제19회)</t>
  </si>
  <si>
    <t>산꽃</t>
  </si>
  <si>
    <t>기타(오토캠핑장)</t>
  </si>
  <si>
    <t>2008년도
(제11회)</t>
  </si>
  <si>
    <t>제11회 남일면홍도화축제</t>
  </si>
  <si>
    <t xml:space="preserve">ㅇ홍도화가요제
ㅇ홍도화를 테마로 한 체험, 공연프로그램 운영
ㅇ홍도화 길 꽃마차, 송어잡기체험, 나무곤충만들기 등 </t>
  </si>
  <si>
    <t>남일면/
남일면홍도촤축제추진위원회
(041-750-8506)</t>
  </si>
  <si>
    <t>홍도화</t>
  </si>
  <si>
    <t>부여군</t>
  </si>
  <si>
    <t>제16회
부여서동연꽃축제</t>
  </si>
  <si>
    <t>7.6~7.15
(10일간)</t>
  </si>
  <si>
    <t>부여군/ 
부여서동연꽃축제추진위원회
(041-830-2212)</t>
  </si>
  <si>
    <t>2003년
(16회)</t>
  </si>
  <si>
    <t>연꽃,서동(무왕)</t>
  </si>
  <si>
    <t>제64회 백제문화제</t>
  </si>
  <si>
    <t>9.14~9.22
(9일간)</t>
  </si>
  <si>
    <t xml:space="preserve"> ○ 백제사비정도고유제
 ○ 10여가지의 제례불전과 사비 백제를 테마의  전시, 체험프로그램 운영 
 ○ 개폐막 공연, 전통문화예술공연 등 30여개 프로그램 운영
 ○ 경연대회, 마당극, 거리공연, 행렬 등</t>
  </si>
  <si>
    <t>부여군/ 
부여군백제문화선양위원회
(041-830-2212)</t>
  </si>
  <si>
    <t>사비백제</t>
  </si>
  <si>
    <t>유적지 시내거리</t>
  </si>
  <si>
    <t>서천군</t>
  </si>
  <si>
    <t xml:space="preserve">서천군산 금강철새여행 </t>
  </si>
  <si>
    <t>11.16~11.18
(3일간)</t>
  </si>
  <si>
    <t>○ 탐조투어 : 조류생태전시관 ⇔ 국립생태원 ⇔ 미곡창고 ⇔ 기벌포영화관 ⇔ 스카이워크 ⇔ 군산철새조망대
○ 체험․학습 프로그램 : 생태 홍보관 운영, 스코프 철새관찰, VR체험, 4D체험, 갯벌목걸이 체험, 생태 학습프로그램 운영, 모시베틀체험 등
○ 부대행사 : 생태 뮤지컬(“우여야놀자”), 인형극(“새와소년”)</t>
  </si>
  <si>
    <t>서천철새여행행사추진위원회
(041-956-4002)</t>
  </si>
  <si>
    <t>2011년도
(8회)</t>
  </si>
  <si>
    <t>서천조류생태전시관</t>
  </si>
  <si>
    <t>꼴갑축제</t>
  </si>
  <si>
    <t>협의중
(5월말~6월초)</t>
  </si>
  <si>
    <t>○ 꼴뚜기, 갑오징어 및 장항 특산물 판매</t>
  </si>
  <si>
    <t>충청남도 서천군 장항읍 총무팀
(041-950-6307)
수산업협동조합
(041-956-6880)
꼴갑축제추진위원회
(041-956-7383)</t>
  </si>
  <si>
    <t>2009년도
(10회)</t>
  </si>
  <si>
    <t>꼴뚜기, 갑오징어</t>
  </si>
  <si>
    <t>협의중</t>
  </si>
  <si>
    <t>해랑들랑어울제축제</t>
  </si>
  <si>
    <t>9~10월중
(3일간)</t>
  </si>
  <si>
    <t>○ 해양존,생태존,문화존 체험프로그램 및 문화공연</t>
  </si>
  <si>
    <t>서천군,국립생태원,국립해양생물자원관/서천군
(041-950-4242)</t>
  </si>
  <si>
    <t>해양생물,
생태계</t>
  </si>
  <si>
    <t>장항읍 일원</t>
  </si>
  <si>
    <t>한산모시문화제</t>
  </si>
  <si>
    <t>6.21~24.
(4일간)</t>
  </si>
  <si>
    <t xml:space="preserve"> ○ 모시패션쇼 운영
 ○ 모시를 테마로한 다양한 공연, 전시, 체험프로그램 운영
 ○ 개폐막 공연, 주제공연 및 문화공연 등</t>
  </si>
  <si>
    <t>서천군 한산모시소곡주사업단/
한산모시문화제추진위원회
(041-950-6884)</t>
  </si>
  <si>
    <t>1989년도
(29회)</t>
  </si>
  <si>
    <t>모시</t>
  </si>
  <si>
    <t>동백꽃주꾸미 축제</t>
  </si>
  <si>
    <t>3월중</t>
  </si>
  <si>
    <t>어린이 주꾸미 낚시 체험, 주꾸미 샤브샤브 체험 
동백나무숲 보물찾기, 어부아저씨의 깜짝경매</t>
  </si>
  <si>
    <t>2000년(19회)</t>
  </si>
  <si>
    <t>주꾸미</t>
  </si>
  <si>
    <t>광어도미 축제</t>
  </si>
  <si>
    <t>5월중</t>
  </si>
  <si>
    <t>맨손으로 광어잡기 체험, 어린이 광어 낚시체험
어부아저씨의 깜짝 경매 등</t>
  </si>
  <si>
    <t>2003년(20회)</t>
  </si>
  <si>
    <t>광어</t>
  </si>
  <si>
    <t>춘장대여름문화예술 축제</t>
  </si>
  <si>
    <t>7월중</t>
  </si>
  <si>
    <t>가요 경연대회</t>
  </si>
  <si>
    <t>2004년(15회)</t>
  </si>
  <si>
    <t>가요제</t>
  </si>
  <si>
    <t>홍원항 전어꽃게 축제</t>
  </si>
  <si>
    <t>맨손으로 전어잡기, 보물찾기 등</t>
  </si>
  <si>
    <t>2001년(18회)</t>
  </si>
  <si>
    <t>전어, 꽃게</t>
  </si>
  <si>
    <t>마량포 해넘이해돋이 축제</t>
  </si>
  <si>
    <t>12.31~1.1</t>
  </si>
  <si>
    <t xml:space="preserve">해넘이 및 해돋이 </t>
  </si>
  <si>
    <t>2000년(16회)</t>
  </si>
  <si>
    <t>해넘이, 해돋이</t>
  </si>
  <si>
    <t>한산소곡주 축제</t>
  </si>
  <si>
    <t>소곡주품평회, 소곡주 경매, 야외소곡주 홀
소곡주 칵테일 만들기</t>
  </si>
  <si>
    <t>서천군/한산소곡주축제추진위원회
(041-950-6884)</t>
  </si>
  <si>
    <t>2015년(4회)</t>
  </si>
  <si>
    <t>소곡주</t>
  </si>
  <si>
    <t>청양군</t>
  </si>
  <si>
    <t>칠갑장승문화축제</t>
  </si>
  <si>
    <t>4.14~15
(2일간)-예정</t>
  </si>
  <si>
    <t>장승대제, 장승깍기등 장승관련 행사 및 
각종 체험행사 추진</t>
  </si>
  <si>
    <t>청양군 문화체육관광과/칠갑산 장승문화축제 추진위원회
(041.943.4744)</t>
  </si>
  <si>
    <t>1999년(20회)</t>
  </si>
  <si>
    <t>장승</t>
  </si>
  <si>
    <t>청양고추 구기자축제</t>
  </si>
  <si>
    <t>9월 중(3일간)</t>
  </si>
  <si>
    <t xml:space="preserve">고추판매, 웃다리농악 시연 
고추.구기자를 테마로 한 전시, 체험프로그램 운영
 개폐막 공연, 주제공연 및 문화공연
  </t>
  </si>
  <si>
    <t>청양군 농업지원과/ 청양고추구기자축제추진위원회
(041-940-2302)</t>
  </si>
  <si>
    <t>2000년 (19회)</t>
  </si>
  <si>
    <t>고추, 구기자</t>
  </si>
  <si>
    <t>백제문화체험축제</t>
  </si>
  <si>
    <t>10.27~28
(2일간)</t>
  </si>
  <si>
    <t>청양의 백제문화를 테마로 한 각종프로그램(백제토기만들기, 복식체험 등)</t>
  </si>
  <si>
    <t>청양군 문화체육관광과/
041.940.2493</t>
  </si>
  <si>
    <t>2016년(3회)</t>
  </si>
  <si>
    <t>백제문화</t>
  </si>
  <si>
    <t>홍성군</t>
  </si>
  <si>
    <t>홍성역사인물축제</t>
  </si>
  <si>
    <t>9. 14.~16.
(3일간)</t>
  </si>
  <si>
    <t>○ 대표프로그램 : 생생한 역사현장 체험
○ 역사인물 퓨전극, 퍼포먼스, 마당극 등
○ 역사인물 캐릭터 체험, 역사인물 미디어 파사드, 홍주읍성
    달밤 보물찾기, 선비 코스튬, 집현전 체험 등
○ 만해 백일장 대회, 홍성농촌체험 등</t>
  </si>
  <si>
    <t>홍성군 문화관광과/홍성역사인물축제 추진위원회
(041-6360-1227)</t>
  </si>
  <si>
    <t>역사인물</t>
  </si>
  <si>
    <t>광천토굴새우젓광천김대축제</t>
  </si>
  <si>
    <t>10월 중
(4일간)</t>
  </si>
  <si>
    <t>○ 대표프로그램 : 토굴새우젓 김치 담그기 체험
○ 토굴체험, 장꾼행렬, 보부상 체험, 김발뜨기 등
○ 주부가요노래자랑, 반값경매 등</t>
  </si>
  <si>
    <t>광천토굴새우젓광천김대축제추진위원회
(041-630-9536)</t>
  </si>
  <si>
    <t>1996년도
(23회)</t>
  </si>
  <si>
    <t>토굴새우젓, 광천김</t>
  </si>
  <si>
    <t>홍성남당항대하축제</t>
  </si>
  <si>
    <t>9월 중
(14일간)</t>
  </si>
  <si>
    <t>○ 대하맨손잡이 체험
○ 관광객 노래자랑, 축하공연, 연날리기 등</t>
  </si>
  <si>
    <t>대하</t>
  </si>
  <si>
    <t>바다(항)</t>
  </si>
  <si>
    <t>홍성남당항새조개축제</t>
  </si>
  <si>
    <t>1.26.~2.11.
(14일간)</t>
  </si>
  <si>
    <t>○ 새조개까기 체험
○ 관광객 노래자랑, 남당항 꽃마차 체험, 축하공연 등</t>
  </si>
  <si>
    <t>2002년도
(제14회)</t>
  </si>
  <si>
    <t>새조개</t>
  </si>
  <si>
    <t>예산군</t>
  </si>
  <si>
    <t>매헌윤봉길평화축제</t>
  </si>
  <si>
    <t>4.28~29
(2일간)</t>
  </si>
  <si>
    <t>○윤봉길의사 상해의거 86주년 기념행사
○매헌음악제
○윤의사 의거 퍼포먼스
○보부상 난전놀이/주민자치발표회</t>
  </si>
  <si>
    <t xml:space="preserve">(사)매한윤봉길월진회
</t>
  </si>
  <si>
    <t>1973년
(제44회)</t>
  </si>
  <si>
    <t>인물</t>
  </si>
  <si>
    <t>사적지(충의사)</t>
  </si>
  <si>
    <t>에산군</t>
  </si>
  <si>
    <t>의좋은형제축제</t>
  </si>
  <si>
    <t>○공연행사(이광수 비나리와 굿판/의좋은형제 뮤지컬)
○예산음악 한마당/의좋은형제 학생댄스, 학생밴드 공연
○농촌문화체험/다문화 세계놀이 마당/볏단나누기 대회
○전시(사진/어린이 그림전시)</t>
  </si>
  <si>
    <t>2005년도
(제14회)</t>
  </si>
  <si>
    <t>공원(의좋은형제공원)</t>
  </si>
  <si>
    <t>예산장터 삼국축제</t>
  </si>
  <si>
    <t>○국화전시
○국밥거리 홍보 및 판매
○국수홍보 및 판매</t>
  </si>
  <si>
    <t>예산군
예산문화원
원도심발전협의회</t>
  </si>
  <si>
    <t>2017년도
(제2회)</t>
  </si>
  <si>
    <t>국화
국밥
국수</t>
  </si>
  <si>
    <t>예산시장</t>
  </si>
  <si>
    <t>태안군</t>
  </si>
  <si>
    <t>몽산포항
주꾸미&amp;수산물 축제</t>
  </si>
  <si>
    <t xml:space="preserve"> ○ 시식회, 물고기잡기, 체험부스 등
 ○ 노래왕선발대회, 불꽃놀이, 무료시식회</t>
  </si>
  <si>
    <t>몽산포항 주꾸미&amp;수산물 축제
추진위원회</t>
  </si>
  <si>
    <t>2009년도
(8회)</t>
  </si>
  <si>
    <t>신진도 꽃게 축제</t>
  </si>
  <si>
    <t>신진도 꽃게 축제 추진위원회</t>
  </si>
  <si>
    <t>2008년도
(5회)</t>
  </si>
  <si>
    <t>꽃게</t>
  </si>
  <si>
    <t>모항항 해삼축제</t>
  </si>
  <si>
    <t>6월중</t>
  </si>
  <si>
    <t xml:space="preserve"> ○ 시식회, 수산물중량맞추기, 수산물이름맞추기,
     해삼요리따라잡기, 해삼잡기 등
 ○ 무료시식회, 포토존, 사진콘테스트, 보물찾기</t>
  </si>
  <si>
    <t>모항항 해삼축제 추진위원회</t>
  </si>
  <si>
    <t>2012년도
(6회)</t>
  </si>
  <si>
    <t>해삼</t>
  </si>
  <si>
    <t>안면도 백사장 대하축제</t>
  </si>
  <si>
    <t xml:space="preserve"> ○ 시식회, 어린이낚시왕선발대회, 맨손고기잡기,
     수산물중량맞추기 등
 ○ 무료시식회, 포토죤, 가운써주기</t>
  </si>
  <si>
    <t>안면도 백사장 대하축제
추진위원회</t>
  </si>
  <si>
    <t>1997년도
(18회)</t>
  </si>
  <si>
    <t>2018 태안거리축제</t>
  </si>
  <si>
    <t>○ 읍,면 노래자랑 및 연예인 초청공연, 지역동아리 공연
○ 특산물 먹거리,각종 체험 등 부스 운영, 길거리 공연 등</t>
  </si>
  <si>
    <t>2002년도
(8회)</t>
  </si>
  <si>
    <t>흥, 화합, 동행 등</t>
  </si>
  <si>
    <t>축제조직위 
자체추진</t>
  </si>
  <si>
    <t>시내 거리</t>
  </si>
  <si>
    <t>솔향기길 축제</t>
  </si>
  <si>
    <t>11.4~11.5.
(2일간)</t>
  </si>
  <si>
    <t xml:space="preserve"> ○ 솔향기길 걷기, 황금솔방울 찾기, 염전체험, 가요제 등</t>
  </si>
  <si>
    <t>자연경광</t>
  </si>
  <si>
    <t>예산현황(단위 : 백만원)</t>
    <phoneticPr fontId="5" type="noConversion"/>
  </si>
  <si>
    <t>2018년 지역축제 개최계획 총괄표</t>
    <phoneticPr fontId="5" type="noConversion"/>
  </si>
  <si>
    <t xml:space="preserve">방문객수(2017년기준, 단위 : 천명) </t>
    <phoneticPr fontId="5" type="noConversion"/>
  </si>
  <si>
    <t>연번</t>
    <phoneticPr fontId="5" type="noConversion"/>
  </si>
  <si>
    <t>시도명</t>
    <phoneticPr fontId="5" type="noConversion"/>
  </si>
  <si>
    <t>시군구명</t>
    <phoneticPr fontId="5" type="noConversion"/>
  </si>
  <si>
    <t>축제명</t>
    <phoneticPr fontId="5" type="noConversion"/>
  </si>
  <si>
    <t>2018년
개최기간</t>
    <phoneticPr fontId="5" type="noConversion"/>
  </si>
  <si>
    <t>축제주요내용</t>
    <phoneticPr fontId="5" type="noConversion"/>
  </si>
  <si>
    <t>주최/주관
(담당자 연락처)</t>
    <phoneticPr fontId="5" type="noConversion"/>
  </si>
  <si>
    <t>최초개최년도
및 횟수</t>
    <phoneticPr fontId="5" type="noConversion"/>
  </si>
  <si>
    <t>2018년
축제예산</t>
    <phoneticPr fontId="5" type="noConversion"/>
  </si>
  <si>
    <t>국비</t>
    <phoneticPr fontId="5" type="noConversion"/>
  </si>
  <si>
    <t>시,도비</t>
    <phoneticPr fontId="5" type="noConversion"/>
  </si>
  <si>
    <t>구,군비</t>
    <phoneticPr fontId="5" type="noConversion"/>
  </si>
  <si>
    <t>기타</t>
    <phoneticPr fontId="5" type="noConversion"/>
  </si>
  <si>
    <t>국비지원
부처명</t>
    <phoneticPr fontId="5" type="noConversion"/>
  </si>
  <si>
    <t>세부사업명</t>
    <phoneticPr fontId="5" type="noConversion"/>
  </si>
  <si>
    <t>문화관광축제 여부</t>
    <phoneticPr fontId="5" type="noConversion"/>
  </si>
  <si>
    <t>축제소재</t>
    <phoneticPr fontId="5" type="noConversion"/>
  </si>
  <si>
    <t>개최주기</t>
    <phoneticPr fontId="5" type="noConversion"/>
  </si>
  <si>
    <t>조직형태</t>
    <phoneticPr fontId="5" type="noConversion"/>
  </si>
  <si>
    <t>사업위탁
운영여부</t>
    <phoneticPr fontId="5" type="noConversion"/>
  </si>
  <si>
    <t>합 계</t>
    <phoneticPr fontId="5" type="noConversion"/>
  </si>
  <si>
    <t>내국인</t>
    <phoneticPr fontId="5" type="noConversion"/>
  </si>
  <si>
    <t>외국인</t>
    <phoneticPr fontId="5" type="noConversion"/>
  </si>
  <si>
    <t>개최장소</t>
    <phoneticPr fontId="5" type="noConversion"/>
  </si>
  <si>
    <t>서울특별시</t>
    <phoneticPr fontId="5" type="noConversion"/>
  </si>
  <si>
    <t>서울특별시</t>
    <phoneticPr fontId="5" type="noConversion"/>
  </si>
  <si>
    <t>시자체</t>
    <phoneticPr fontId="5" type="noConversion"/>
  </si>
  <si>
    <t>서울드럼페스티벌</t>
  </si>
  <si>
    <t>6.2~6.3</t>
    <phoneticPr fontId="5" type="noConversion"/>
  </si>
  <si>
    <t xml:space="preserve"> ○ 국내외 유명 드러머 초청 공연
 ○ 드럼경연대회
 ○ 드럼 및 타악 전시체험프로그램</t>
    <phoneticPr fontId="5" type="noConversion"/>
  </si>
  <si>
    <t>서울시 문화예술과
(02-2133-2574)</t>
    <phoneticPr fontId="5" type="noConversion"/>
  </si>
  <si>
    <t>1999년도
(19회)</t>
    <phoneticPr fontId="5" type="noConversion"/>
  </si>
  <si>
    <t>문화예술</t>
    <phoneticPr fontId="5" type="noConversion"/>
  </si>
  <si>
    <t>드럼, 음악</t>
    <phoneticPr fontId="5" type="noConversion"/>
  </si>
  <si>
    <t>매년</t>
    <phoneticPr fontId="5" type="noConversion"/>
  </si>
  <si>
    <t>공공(시)</t>
    <phoneticPr fontId="5" type="noConversion"/>
  </si>
  <si>
    <t>없음</t>
    <phoneticPr fontId="5" type="noConversion"/>
  </si>
  <si>
    <t>부분위탁(운영)</t>
    <phoneticPr fontId="5" type="noConversion"/>
  </si>
  <si>
    <t>서울광장</t>
    <phoneticPr fontId="5" type="noConversion"/>
  </si>
  <si>
    <t>서울특별시</t>
  </si>
  <si>
    <t>서울거리예술축제</t>
  </si>
  <si>
    <t>10.4~10.7</t>
    <phoneticPr fontId="5" type="noConversion"/>
  </si>
  <si>
    <t>○ 거리예술 공연프로그램(공식초청/자유참가)
○ 기획프로그램(폐막프로그램, 전문가프로그램 등)</t>
    <phoneticPr fontId="5" type="noConversion"/>
  </si>
  <si>
    <t>서울시, 서울문화재단 / 서울문화재단
(02-2133-2573 / 02-3290-7081)</t>
    <phoneticPr fontId="5" type="noConversion"/>
  </si>
  <si>
    <t>2003년도
(16회)</t>
    <phoneticPr fontId="5" type="noConversion"/>
  </si>
  <si>
    <t>예술, 거리</t>
  </si>
  <si>
    <t>광장(서울광장, 청계광장, 광화문광장) /  거리(청계천로, 세종대로, 덕수궁돌담길, 무교로) / 문화비축기지, 서울신문사 앞, 시민청 등</t>
    <phoneticPr fontId="5" type="noConversion"/>
  </si>
  <si>
    <t>서울문화의 밤</t>
    <phoneticPr fontId="43" type="noConversion"/>
  </si>
  <si>
    <t>8.11~8.12</t>
    <phoneticPr fontId="5" type="noConversion"/>
  </si>
  <si>
    <t xml:space="preserve"> ○ "서울, 도심, 밤"을 키워드로 하는 다양한 문화콘텐츠 프로그램</t>
    <phoneticPr fontId="5" type="noConversion"/>
  </si>
  <si>
    <t>서울시 문화예술과
(02-2133-2573)</t>
    <phoneticPr fontId="5" type="noConversion"/>
  </si>
  <si>
    <t>2008년도
(10회)</t>
    <phoneticPr fontId="5" type="noConversion"/>
  </si>
  <si>
    <t>밤, 캠핑</t>
    <phoneticPr fontId="5" type="noConversion"/>
  </si>
  <si>
    <t>부분위탁(운영)</t>
    <phoneticPr fontId="5" type="noConversion"/>
  </si>
  <si>
    <t>서울광장, 광화문광장 등</t>
    <phoneticPr fontId="5" type="noConversion"/>
  </si>
  <si>
    <t>서울김장문화제</t>
  </si>
  <si>
    <t>11.3~11.5</t>
    <phoneticPr fontId="5" type="noConversion"/>
  </si>
  <si>
    <t xml:space="preserve"> ○ 김장나눔 프로그램
 ○ 김장문화 관련 주제전시 및 체험행사, 김치 및 부재료 판매, 문화 프로그램 등</t>
    <phoneticPr fontId="5" type="noConversion"/>
  </si>
  <si>
    <t>서울시 문화예술과
(02-2133-2570)</t>
    <phoneticPr fontId="5" type="noConversion"/>
  </si>
  <si>
    <t>2014년도
(4회)</t>
    <phoneticPr fontId="5" type="noConversion"/>
  </si>
  <si>
    <t>김치, 나눔, 문화</t>
    <phoneticPr fontId="5" type="noConversion"/>
  </si>
  <si>
    <t>공공(시군구)</t>
    <phoneticPr fontId="5" type="noConversion"/>
  </si>
  <si>
    <t>서울광장, 무교로, 세종대로 등</t>
    <phoneticPr fontId="5" type="noConversion"/>
  </si>
  <si>
    <t>서울아리랑페스티벌</t>
  </si>
  <si>
    <t>10.12~10.14</t>
    <phoneticPr fontId="5" type="noConversion"/>
  </si>
  <si>
    <t>○ 개막공연, 아리랑 퍼레이드, 아리랑 경연대회,아리랑 난장 등</t>
    <phoneticPr fontId="5" type="noConversion"/>
  </si>
  <si>
    <t>2013년도
(6회)</t>
    <phoneticPr fontId="5" type="noConversion"/>
  </si>
  <si>
    <t>전통역사</t>
    <phoneticPr fontId="5" type="noConversion"/>
  </si>
  <si>
    <t>국악, 예술</t>
    <phoneticPr fontId="5" type="noConversion"/>
  </si>
  <si>
    <t>사단법인</t>
    <phoneticPr fontId="5" type="noConversion"/>
  </si>
  <si>
    <t>있음</t>
    <phoneticPr fontId="5" type="noConversion"/>
  </si>
  <si>
    <t>자체추진</t>
    <phoneticPr fontId="5" type="noConversion"/>
  </si>
  <si>
    <t>광화문광장, 세종대로</t>
    <phoneticPr fontId="5" type="noConversion"/>
  </si>
  <si>
    <t>2018한양도성문화제</t>
    <phoneticPr fontId="5" type="noConversion"/>
  </si>
  <si>
    <t xml:space="preserve"> ○ 성곽마을잔치, 순성놀이,웰컴투 한양도성 등
 ○ 한양도성을 테마로 한 공연, 전시, 체험 프로그램 운영</t>
    <phoneticPr fontId="5" type="noConversion"/>
  </si>
  <si>
    <t>서울시 한양도성도감
(02-2133-2657)</t>
    <phoneticPr fontId="5" type="noConversion"/>
  </si>
  <si>
    <t>한양도성, 성곽마을, 순성</t>
    <phoneticPr fontId="5" type="noConversion"/>
  </si>
  <si>
    <t>공공(서울시)</t>
    <phoneticPr fontId="5" type="noConversion"/>
  </si>
  <si>
    <t>전체위탁</t>
    <phoneticPr fontId="5" type="noConversion"/>
  </si>
  <si>
    <t>한양도성,성곽마을</t>
    <phoneticPr fontId="5" type="noConversion"/>
  </si>
  <si>
    <t>18 한강몽땅 여름축제</t>
    <phoneticPr fontId="5" type="noConversion"/>
  </si>
  <si>
    <t>7.20~8.19
(31일간)</t>
    <phoneticPr fontId="5" type="noConversion"/>
  </si>
  <si>
    <t>○ 3개테마 80여개 프로그램
  - 종이배경주, 한강나이트워크 42K, 수상레포츠 등</t>
    <phoneticPr fontId="5" type="noConversion"/>
  </si>
  <si>
    <t>한강사업본부 총무과
(02-3780-0710)</t>
    <phoneticPr fontId="5" type="noConversion"/>
  </si>
  <si>
    <t>2013년
(6회)</t>
    <phoneticPr fontId="5" type="noConversion"/>
  </si>
  <si>
    <t>수상레포츠</t>
    <phoneticPr fontId="5" type="noConversion"/>
  </si>
  <si>
    <t>공공</t>
    <phoneticPr fontId="5" type="noConversion"/>
  </si>
  <si>
    <t>공공</t>
    <phoneticPr fontId="5" type="noConversion"/>
  </si>
  <si>
    <t>한강공원</t>
    <phoneticPr fontId="5" type="noConversion"/>
  </si>
  <si>
    <t>한강 서래섬 꽃 축제</t>
    <phoneticPr fontId="5" type="noConversion"/>
  </si>
  <si>
    <t>5월, 10월 중</t>
    <phoneticPr fontId="5" type="noConversion"/>
  </si>
  <si>
    <t>○ 5월 유채꽃, 10월 메밀꽃밭 즐기기, 체험, 공연 등</t>
    <phoneticPr fontId="5" type="noConversion"/>
  </si>
  <si>
    <t>서울특별시 한강사업본부 
(02-3780-0796)</t>
    <phoneticPr fontId="5" type="noConversion"/>
  </si>
  <si>
    <t>2004년도
(13회)</t>
    <phoneticPr fontId="5" type="noConversion"/>
  </si>
  <si>
    <t>꽃</t>
    <phoneticPr fontId="5" type="noConversion"/>
  </si>
  <si>
    <t>운영 용역 대행</t>
    <phoneticPr fontId="5" type="noConversion"/>
  </si>
  <si>
    <t>반포한강공원</t>
    <phoneticPr fontId="5" type="noConversion"/>
  </si>
  <si>
    <t>반포한강공원</t>
    <phoneticPr fontId="5" type="noConversion"/>
  </si>
  <si>
    <t>2017 서울빛초롱축제</t>
    <phoneticPr fontId="5" type="noConversion"/>
  </si>
  <si>
    <t>11.3~11.19</t>
    <phoneticPr fontId="5" type="noConversion"/>
  </si>
  <si>
    <t xml:space="preserve"> ○ 개막 점등식
 ○ 주제등, 해외 및 국내초청 전시
 ○ 체험 및 부대행사</t>
    <phoneticPr fontId="5" type="noConversion"/>
  </si>
  <si>
    <t>(사)서울빛초롱축제조직위원회/서울관광마케팅
(02-2133-0936)</t>
    <phoneticPr fontId="5" type="noConversion"/>
  </si>
  <si>
    <t>2009년도
(9회)</t>
    <phoneticPr fontId="5" type="noConversion"/>
  </si>
  <si>
    <t>빛, 등</t>
    <phoneticPr fontId="5" type="noConversion"/>
  </si>
  <si>
    <t>축제조직위</t>
    <phoneticPr fontId="5" type="noConversion"/>
  </si>
  <si>
    <t>청계천일대</t>
    <phoneticPr fontId="5" type="noConversion"/>
  </si>
  <si>
    <t>서울건축문화제</t>
  </si>
  <si>
    <t>10.5~10.28
(24일간)</t>
  </si>
  <si>
    <t>건축문화축제
 ○ 건축전문: 제36회 서울시 건축상 공모, 시상식, 전시
 ○ 시민참여 : 건축문화투어, 건축아카데미 등 
 ○ 전시운영 : 건축상 수상작 외 다양한 전시</t>
  </si>
  <si>
    <t>서울특별시 건축기획과
(02-2133-7275)</t>
  </si>
  <si>
    <t>건축</t>
  </si>
  <si>
    <t>단체,법인</t>
  </si>
  <si>
    <t>2018 서울자전거축제</t>
    <phoneticPr fontId="5" type="noConversion"/>
  </si>
  <si>
    <t>2017.9.14~16
(2일간/예정)</t>
    <phoneticPr fontId="5" type="noConversion"/>
  </si>
  <si>
    <t>○ 자전거 산업전, 공공자전거 전시 및 따릉이체험
○ 자전거 무상점검 및 수리, 정비교육, 자전거 조립대회
○ 전기자전거 및 이색자전거 전시, 체험
○ 대학생 자전거 공모전, 시민 사진공모전, 자전거콘서트</t>
    <phoneticPr fontId="5" type="noConversion"/>
  </si>
  <si>
    <t>서울특별시 자전거정책과
(2133-2757)</t>
    <phoneticPr fontId="5" type="noConversion"/>
  </si>
  <si>
    <t>2015년
(4회)</t>
    <phoneticPr fontId="5" type="noConversion"/>
  </si>
  <si>
    <t>자전거</t>
    <phoneticPr fontId="5" type="noConversion"/>
  </si>
  <si>
    <t>부분위탁
(운영, 프로그램)</t>
    <phoneticPr fontId="5" type="noConversion"/>
  </si>
  <si>
    <t>서울광장 또는
광화문광장
(장소미정)</t>
    <phoneticPr fontId="5" type="noConversion"/>
  </si>
  <si>
    <t>2017 지구촌나눔한마당</t>
    <phoneticPr fontId="5" type="noConversion"/>
  </si>
  <si>
    <t>9월1주말
(9.1~2)</t>
    <phoneticPr fontId="5" type="noConversion"/>
  </si>
  <si>
    <t xml:space="preserve"> ○ 메인행사 : 퍼레이드 및 개막식,해외도시초청공연
 ○ 부대행사 : 국가별 관광홍보전 및 음식전 부스 운영, 
                    지구촌 나눔전 등</t>
    <phoneticPr fontId="5" type="noConversion"/>
  </si>
  <si>
    <t>서울특별시 국제교류담당관 
(02-2133-5294)</t>
  </si>
  <si>
    <t xml:space="preserve">1996년도
(21회) </t>
    <phoneticPr fontId="5" type="noConversion"/>
  </si>
  <si>
    <t>글로벌문화, 
나눔 등</t>
    <phoneticPr fontId="5" type="noConversion"/>
  </si>
  <si>
    <t xml:space="preserve">서울광장, 무교동거리, 청계광장 일원 등 </t>
    <phoneticPr fontId="5" type="noConversion"/>
  </si>
  <si>
    <t>서울 북 페스티벌</t>
    <phoneticPr fontId="5" type="noConversion"/>
  </si>
  <si>
    <t>9월중</t>
    <phoneticPr fontId="5" type="noConversion"/>
  </si>
  <si>
    <t>ㅇ축제도서관, 맛있는 출판, 서점 달려간다, 독서동아리의 방, 
   물음표 스테이지
ㅇ달빛독서, 왁자지껄 열린도서관
ㅇ저자강연, 한책선포식 등 도서관 독서문화프로그램</t>
    <phoneticPr fontId="5" type="noConversion"/>
  </si>
  <si>
    <t>서울특별시 서울도서관
(02-2133-0228)</t>
    <phoneticPr fontId="5" type="noConversion"/>
  </si>
  <si>
    <t>2008년도
(제11회)</t>
    <phoneticPr fontId="5" type="noConversion"/>
  </si>
  <si>
    <t>책</t>
    <phoneticPr fontId="5" type="noConversion"/>
  </si>
  <si>
    <t>공공/축제추진위</t>
  </si>
  <si>
    <t>서울광장,서울도서관</t>
    <phoneticPr fontId="5" type="noConversion"/>
  </si>
  <si>
    <t>2018년 온동네어울림한마당</t>
    <phoneticPr fontId="5" type="noConversion"/>
  </si>
  <si>
    <t>9.14~9.15
(2일간)</t>
    <phoneticPr fontId="5" type="noConversion"/>
  </si>
  <si>
    <t xml:space="preserve"> ○ 메인행사 : 개막식, 마을장터, 마을체험행사, 마을공연
 ○ 부대행사 : 길놀이(풍물패 공연), 축하공연, 집수리아카데미 등
 ○ 참가현황 : 해외도시공연단(14개도시), 세계음식풍물전(64개국), 지구촌나눔존(9개 NGO 단체)</t>
    <phoneticPr fontId="5" type="noConversion"/>
  </si>
  <si>
    <t>서울특별시 주거환경개선과 / 온동네어울림한마당기획단
(02-2133-7261)</t>
  </si>
  <si>
    <t xml:space="preserve">2016년도
(3회) </t>
    <phoneticPr fontId="5" type="noConversion"/>
  </si>
  <si>
    <t>주민화합</t>
    <phoneticPr fontId="5" type="noConversion"/>
  </si>
  <si>
    <t>청계천 청계광장</t>
    <phoneticPr fontId="5" type="noConversion"/>
  </si>
  <si>
    <t>서부공원녹지사업소</t>
  </si>
  <si>
    <t>서울억새축제</t>
  </si>
  <si>
    <t xml:space="preserve">○ 억새경관조명 , 문화공연 및 체험프로그램 등 </t>
    <phoneticPr fontId="5" type="noConversion"/>
  </si>
  <si>
    <t>서부공원녹지사업소
/공원여가과
(02-300-5571)</t>
  </si>
  <si>
    <t>2002년도
(17회)</t>
    <phoneticPr fontId="5" type="noConversion"/>
  </si>
  <si>
    <t>억새밭</t>
  </si>
  <si>
    <t>월드컵공원 내 
하늘공원 일원</t>
  </si>
  <si>
    <t>친환경노을공원축제</t>
    <phoneticPr fontId="5" type="noConversion"/>
  </si>
  <si>
    <t xml:space="preserve">○ 문화공연 및 체험프로그램, 등 </t>
    <phoneticPr fontId="5" type="noConversion"/>
  </si>
  <si>
    <t>2018년도
(1회)</t>
    <phoneticPr fontId="5" type="noConversion"/>
  </si>
  <si>
    <t>잔디밭, 캠핑장</t>
    <phoneticPr fontId="5" type="noConversion"/>
  </si>
  <si>
    <t>월드컵공원 내 
노을공원 일원</t>
    <phoneticPr fontId="5" type="noConversion"/>
  </si>
  <si>
    <t>서울대공원</t>
    <phoneticPr fontId="5" type="noConversion"/>
  </si>
  <si>
    <t>서울대공원 벚꽃 축제</t>
    <phoneticPr fontId="5" type="noConversion"/>
  </si>
  <si>
    <t>4월 초
벚꽃개화 시기</t>
    <phoneticPr fontId="5" type="noConversion"/>
  </si>
  <si>
    <t>○ 벚꽃 주제 공연 및 전시 등</t>
    <phoneticPr fontId="5" type="noConversion"/>
  </si>
  <si>
    <t>서울대공원 전략기획실
(02-500-7022)</t>
  </si>
  <si>
    <t>2016년도
(3회)</t>
    <phoneticPr fontId="5" type="noConversion"/>
  </si>
  <si>
    <t>벚꽃</t>
    <phoneticPr fontId="5" type="noConversion"/>
  </si>
  <si>
    <t>호수둘레길</t>
    <phoneticPr fontId="5" type="noConversion"/>
  </si>
  <si>
    <t>서울대공원 장미원 축제</t>
    <phoneticPr fontId="5" type="noConversion"/>
  </si>
  <si>
    <t>5월~6월
장미개화 시기</t>
    <phoneticPr fontId="5" type="noConversion"/>
  </si>
  <si>
    <t>○ 장미 주제 사진공모전 및 음악회 등</t>
    <phoneticPr fontId="5" type="noConversion"/>
  </si>
  <si>
    <t>2001년도
(18회)</t>
    <phoneticPr fontId="5" type="noConversion"/>
  </si>
  <si>
    <t>장미</t>
  </si>
  <si>
    <t>테마가든</t>
    <phoneticPr fontId="5" type="noConversion"/>
  </si>
  <si>
    <t>서울대공원 가을축제
동물원 속 미술관</t>
    <phoneticPr fontId="5" type="noConversion"/>
  </si>
  <si>
    <t>10.20.~10.28.</t>
    <phoneticPr fontId="5" type="noConversion"/>
  </si>
  <si>
    <t>○ 동물 주제 창작품 전시, 멸종위기종 보호를 위한 재활용 공예 등</t>
    <phoneticPr fontId="5" type="noConversion"/>
  </si>
  <si>
    <t>동물, 예술</t>
    <phoneticPr fontId="5" type="noConversion"/>
  </si>
  <si>
    <t>동물원</t>
    <phoneticPr fontId="5" type="noConversion"/>
  </si>
  <si>
    <t>종로구</t>
    <phoneticPr fontId="5" type="noConversion"/>
  </si>
  <si>
    <t>2018 종로한복축제</t>
    <phoneticPr fontId="5" type="noConversion"/>
  </si>
  <si>
    <t>○ 한복뽐내기대회, 한복패션쇼, 신명대강강술래
○ 줕타기, 전통민속공연, 한복체험. 한식장터,</t>
    <phoneticPr fontId="5" type="noConversion"/>
  </si>
  <si>
    <t>종로구/ 종로문화재단
(02-2148-1805,
02-6203-1159)</t>
    <phoneticPr fontId="5" type="noConversion"/>
  </si>
  <si>
    <t>2016년
(2회)</t>
    <phoneticPr fontId="5" type="noConversion"/>
  </si>
  <si>
    <t>한복</t>
    <phoneticPr fontId="5" type="noConversion"/>
  </si>
  <si>
    <t>재단법인</t>
    <phoneticPr fontId="5" type="noConversion"/>
  </si>
  <si>
    <t>계약직 5명</t>
    <phoneticPr fontId="5" type="noConversion"/>
  </si>
  <si>
    <t>광화문광장
인사동, 북촌</t>
    <phoneticPr fontId="5" type="noConversion"/>
  </si>
  <si>
    <t>인사전통문화축제</t>
    <phoneticPr fontId="5" type="noConversion"/>
  </si>
  <si>
    <t>10월중</t>
    <phoneticPr fontId="5" type="noConversion"/>
  </si>
  <si>
    <t xml:space="preserve"> ○ 전통국악공연
 ○ 전통를 테마로한 공연, 전시, 체험프로그램 운영
 ○ 개막식 공연, 전통음식축제, 전통명가전 등
    - 3개 분야 14개 프로그램</t>
    <phoneticPr fontId="5" type="noConversion"/>
  </si>
  <si>
    <t>종로구 문화과/
(사)인사전통문화보존회
(02-2148-1806)</t>
    <phoneticPr fontId="5" type="noConversion"/>
  </si>
  <si>
    <t>1988년도
(31회)</t>
    <phoneticPr fontId="5" type="noConversion"/>
  </si>
  <si>
    <t>전통문화</t>
    <phoneticPr fontId="5" type="noConversion"/>
  </si>
  <si>
    <t>인사동일대</t>
    <phoneticPr fontId="5" type="noConversion"/>
  </si>
  <si>
    <t>D.FESTA 
대학로 거리공연축제</t>
    <phoneticPr fontId="5" type="noConversion"/>
  </si>
  <si>
    <t>5월중</t>
    <phoneticPr fontId="5" type="noConversion"/>
  </si>
  <si>
    <t>○ 거리공연프로그램(해외10개팀,국내29개팀, 지역연계 4개팀)
○ 안전체험 프로그램, 및 세미나</t>
    <phoneticPr fontId="5" type="noConversion"/>
  </si>
  <si>
    <t>(사)한국소극장협회 / D.FESTA 
대학로거리공연축제 집행위원회(02-3674-0471)</t>
    <phoneticPr fontId="5" type="noConversion"/>
  </si>
  <si>
    <t>2007년도
(12회)</t>
    <phoneticPr fontId="5" type="noConversion"/>
  </si>
  <si>
    <t>거리공연</t>
    <phoneticPr fontId="5" type="noConversion"/>
  </si>
  <si>
    <t>사단법인
축제조직위원회</t>
    <phoneticPr fontId="5" type="noConversion"/>
  </si>
  <si>
    <t>사단법인
축제조직위원회</t>
    <phoneticPr fontId="5" type="noConversion"/>
  </si>
  <si>
    <t>있음
정규직 1명</t>
    <phoneticPr fontId="5" type="noConversion"/>
  </si>
  <si>
    <t>마로니에공원</t>
    <phoneticPr fontId="5" type="noConversion"/>
  </si>
  <si>
    <t>SUAF 대학로문화축제</t>
    <phoneticPr fontId="5" type="noConversion"/>
  </si>
  <si>
    <t xml:space="preserve">○ 시민참여형 전시(거리전시 등)
○ 공연(어린이재능경연대회, 대학가요제 등) </t>
    <phoneticPr fontId="5" type="noConversion"/>
  </si>
  <si>
    <t>대학로문화축제추진위원회
(02-766-9033)</t>
    <phoneticPr fontId="5" type="noConversion"/>
  </si>
  <si>
    <t>대학축제문화</t>
    <phoneticPr fontId="5" type="noConversion"/>
  </si>
  <si>
    <t>있음
무보수 3명</t>
    <phoneticPr fontId="5" type="noConversion"/>
  </si>
  <si>
    <t>대학로4차선도로 및 마로니에공원</t>
    <phoneticPr fontId="5" type="noConversion"/>
  </si>
  <si>
    <t>종로구</t>
    <phoneticPr fontId="5" type="noConversion"/>
  </si>
  <si>
    <t>단기 4351 어개천절 대제전</t>
    <phoneticPr fontId="5" type="noConversion"/>
  </si>
  <si>
    <t>3.15/ 10.3</t>
    <phoneticPr fontId="5" type="noConversion"/>
  </si>
  <si>
    <t>○ 전통제례봉행 및 부대행사</t>
    <phoneticPr fontId="5" type="noConversion"/>
  </si>
  <si>
    <t>(사)현정회
(02-736-6375)</t>
    <phoneticPr fontId="5" type="noConversion"/>
  </si>
  <si>
    <t>1963년도
(55회)</t>
    <phoneticPr fontId="5" type="noConversion"/>
  </si>
  <si>
    <t>전통제례</t>
    <phoneticPr fontId="5" type="noConversion"/>
  </si>
  <si>
    <t>단군성전</t>
    <phoneticPr fontId="5" type="noConversion"/>
  </si>
  <si>
    <t>2018 
궁중과 사대부가의 
전통음식축제</t>
    <phoneticPr fontId="5" type="noConversion"/>
  </si>
  <si>
    <t>10.19.~10.20.
(예정)</t>
    <phoneticPr fontId="5" type="noConversion"/>
  </si>
  <si>
    <t>○ 궁중과 사대부가 음식 테마 전시
○ 무대 공연, 시식, 체험 등</t>
    <phoneticPr fontId="5" type="noConversion"/>
  </si>
  <si>
    <t>종로구/미정(행사 용역 입찰)</t>
    <phoneticPr fontId="5" type="noConversion"/>
  </si>
  <si>
    <t>2014년도
(11회)</t>
    <phoneticPr fontId="5" type="noConversion"/>
  </si>
  <si>
    <t>궁중음식</t>
    <phoneticPr fontId="5" type="noConversion"/>
  </si>
  <si>
    <t>경복궁 
소주방(미정)</t>
    <phoneticPr fontId="5" type="noConversion"/>
  </si>
  <si>
    <t>제12회 
종로청계천관광특구
육의전 축제</t>
    <phoneticPr fontId="5" type="noConversion"/>
  </si>
  <si>
    <t>9.21. ~ 9.23.
(3일간)</t>
    <phoneticPr fontId="5" type="noConversion"/>
  </si>
  <si>
    <t xml:space="preserve">○ 각종 체험프로그램 및  공연프로그램 운영
    - 5개분야 24개프로그램 운영
    - 전통혼례&lt;회혼례&gt; 진행
    - 인장만들기, 의료기기체험 등
</t>
    <phoneticPr fontId="5" type="noConversion"/>
  </si>
  <si>
    <t>종로구 관광체육과 /
(사)종로청계관광특구 협의회
(02-2133-1863)</t>
    <phoneticPr fontId="5" type="noConversion"/>
  </si>
  <si>
    <t xml:space="preserve">조선시대 육의전 재현 </t>
    <phoneticPr fontId="5" type="noConversion"/>
  </si>
  <si>
    <t>청계관광특구 내</t>
    <phoneticPr fontId="5" type="noConversion"/>
  </si>
  <si>
    <t>정동야행</t>
    <phoneticPr fontId="5" type="noConversion"/>
  </si>
  <si>
    <t>5월/10월중</t>
    <phoneticPr fontId="5" type="noConversion"/>
  </si>
  <si>
    <t xml:space="preserve"> ○ 정동 역사문화시설 야간개방, 덕수궁길 체험존,고궁음악회</t>
    <phoneticPr fontId="5" type="noConversion"/>
  </si>
  <si>
    <t>중구 문화관광과
(02-3396-4612)</t>
    <phoneticPr fontId="5" type="noConversion"/>
  </si>
  <si>
    <t>2015년도
(6회)</t>
    <phoneticPr fontId="5" type="noConversion"/>
  </si>
  <si>
    <t>문화재야행 사업</t>
    <phoneticPr fontId="5" type="noConversion"/>
  </si>
  <si>
    <t>중구정동일대</t>
    <phoneticPr fontId="5" type="noConversion"/>
  </si>
  <si>
    <t>충무로뮤지컬영화제</t>
    <phoneticPr fontId="5" type="noConversion"/>
  </si>
  <si>
    <t>7.9~7.15
(7일간)</t>
    <phoneticPr fontId="5" type="noConversion"/>
  </si>
  <si>
    <t xml:space="preserve"> - 총 10개 이상 섹션 구성, 뮤지컬영화 25편 이상 상영
 - 공식 개·폐막식, 초청작 상영, 야외상영, 심야상영 등</t>
    <phoneticPr fontId="5" type="noConversion"/>
  </si>
  <si>
    <t>중구문화재단
(02-3396-4603)</t>
    <phoneticPr fontId="5" type="noConversion"/>
  </si>
  <si>
    <t>2016년
(2회)</t>
    <phoneticPr fontId="5" type="noConversion"/>
  </si>
  <si>
    <t>영화</t>
    <phoneticPr fontId="5" type="noConversion"/>
  </si>
  <si>
    <t>충무아트센터, DDP 일대</t>
    <phoneticPr fontId="5" type="noConversion"/>
  </si>
  <si>
    <t>용산구</t>
  </si>
  <si>
    <t>드래곤 IT 페스티벌</t>
  </si>
  <si>
    <t>2016.10.
(미정)</t>
    <phoneticPr fontId="5" type="noConversion"/>
  </si>
  <si>
    <t xml:space="preserve">○ 개막 콘서트 개최 
○ 첨단 전자제품 대회, 체험, 전시 판매
○ 상가별 문화공연 및 벼룩시장 등 이벤트개최 </t>
    <phoneticPr fontId="5" type="noConversion"/>
  </si>
  <si>
    <t>용산구상공회
(02-718-7812)</t>
    <phoneticPr fontId="5" type="noConversion"/>
  </si>
  <si>
    <t>2012
(6회)</t>
    <phoneticPr fontId="5" type="noConversion"/>
  </si>
  <si>
    <t>첨단 전자제품</t>
    <phoneticPr fontId="5" type="noConversion"/>
  </si>
  <si>
    <t>용산 전자상가 일대</t>
    <phoneticPr fontId="5" type="noConversion"/>
  </si>
  <si>
    <t>용산구</t>
    <phoneticPr fontId="5" type="noConversion"/>
  </si>
  <si>
    <t>2018 이태원 지구촌
 축제</t>
    <phoneticPr fontId="5" type="noConversion"/>
  </si>
  <si>
    <t>10월 중순</t>
    <phoneticPr fontId="5" type="noConversion"/>
  </si>
  <si>
    <t>○ 개폐막 공연, 주제공연 및 문화공연
    - 세계음식전, 세계풍물전, 거리퍼레이드</t>
    <phoneticPr fontId="5" type="noConversion"/>
  </si>
  <si>
    <t>(사)이태원관광특구연합회
(02-797-7319)</t>
    <phoneticPr fontId="5" type="noConversion"/>
  </si>
  <si>
    <t>관광</t>
    <phoneticPr fontId="5" type="noConversion"/>
  </si>
  <si>
    <t>이태원관광특구</t>
    <phoneticPr fontId="5" type="noConversion"/>
  </si>
  <si>
    <t>성동구</t>
    <phoneticPr fontId="5" type="noConversion"/>
  </si>
  <si>
    <t>응봉산 개나리축제</t>
    <phoneticPr fontId="5" type="noConversion"/>
  </si>
  <si>
    <t>3.31~4.1</t>
    <phoneticPr fontId="5" type="noConversion"/>
  </si>
  <si>
    <t xml:space="preserve"> ○ 청소년및 일반인 대상 그림그리기및 성동 백일장대회
 ○ 응봉산 암벽체험행사 운영
 ○ 응봉산 야경및 개나리사진 스마트폰 공모전
 ○ 개나리음악회및 야간 산상 콘서트
 </t>
    <phoneticPr fontId="5" type="noConversion"/>
  </si>
  <si>
    <t>성동구 문화체육과/ 성동문화재단
(김병조/02-2286-5202)</t>
    <phoneticPr fontId="5" type="noConversion"/>
  </si>
  <si>
    <t>1997년도
(19회)</t>
    <phoneticPr fontId="5" type="noConversion"/>
  </si>
  <si>
    <t>개나리</t>
    <phoneticPr fontId="5" type="noConversion"/>
  </si>
  <si>
    <t>태조 이성계 축제</t>
    <phoneticPr fontId="5" type="noConversion"/>
  </si>
  <si>
    <t>9월 ~ 10월 중</t>
    <phoneticPr fontId="5" type="noConversion"/>
  </si>
  <si>
    <t xml:space="preserve"> ○  태조 이성계 사냥행차 거리 퍼레이드
 ○ 축제한마당(공연, 체험행사, 먹거리 장터등)
 ○ 빛의 축제(살곶이 다리 주변 전통등 설치)
 ○ 인류무형문화유산 매사냥 시연, 뚝제와 검무 축제
 ○ 군대 열무및 조선무예 시범(24반)  </t>
    <phoneticPr fontId="5" type="noConversion"/>
  </si>
  <si>
    <t xml:space="preserve">1999년도
(6회)
</t>
    <phoneticPr fontId="5" type="noConversion"/>
  </si>
  <si>
    <t>사냥행차</t>
    <phoneticPr fontId="5" type="noConversion"/>
  </si>
  <si>
    <t>성동디자인위크</t>
    <phoneticPr fontId="5" type="noConversion"/>
  </si>
  <si>
    <t xml:space="preserve"> ○ 특색있는 성수동 공간 소개, 작품전시, 프로그램 운영
 ○ 젊은 아티스트, 소셜벤처, 디자이너들의 작품 판매, 푸드트럭
     운영</t>
    <phoneticPr fontId="5" type="noConversion"/>
  </si>
  <si>
    <t>서울특별시 성동구 지역경제과
(02-2286-5456)</t>
    <phoneticPr fontId="5" type="noConversion"/>
  </si>
  <si>
    <t>디자인</t>
    <phoneticPr fontId="5" type="noConversion"/>
  </si>
  <si>
    <t>성수동 일대, 언더스탠드 에비뉴</t>
    <phoneticPr fontId="5" type="noConversion"/>
  </si>
  <si>
    <t>광진구</t>
    <phoneticPr fontId="5" type="noConversion"/>
  </si>
  <si>
    <t>서울동화축제</t>
    <phoneticPr fontId="5" type="noConversion"/>
  </si>
  <si>
    <t>5.5. 전후</t>
    <phoneticPr fontId="5" type="noConversion"/>
  </si>
  <si>
    <t xml:space="preserve">해피할머니 및 이웃나라 동화세상, 종이컵인형극, 나루몽도서관, 뚝딱뚝딱그림책, ,페이스페인팅, 상상속 사진전, 별별 아트마켓,동화패밀리가떴다, 후크선장을이겨라, 나루몽별모으기 등 동화를 테마로 전시, 공연, 체험 프로그램 운영
</t>
    <phoneticPr fontId="5" type="noConversion"/>
  </si>
  <si>
    <t>광진구 문화체육과/서울동화축제추진위원회(450-7596)</t>
    <phoneticPr fontId="5" type="noConversion"/>
  </si>
  <si>
    <t>동화</t>
    <phoneticPr fontId="5" type="noConversion"/>
  </si>
  <si>
    <t>어린이대공원 및 대공원 정문 앞 도로</t>
    <phoneticPr fontId="5" type="noConversion"/>
  </si>
  <si>
    <t>광나루어울마당</t>
    <phoneticPr fontId="5" type="noConversion"/>
  </si>
  <si>
    <t>9월 중</t>
    <phoneticPr fontId="5" type="noConversion"/>
  </si>
  <si>
    <t>동별화합경연대회, 구민노래자랑
평생학습동아리 발표
광진아트마켓 등 체험행사</t>
    <phoneticPr fontId="5" type="noConversion"/>
  </si>
  <si>
    <t>광진구 문화체육과(450-7584)</t>
    <phoneticPr fontId="5" type="noConversion"/>
  </si>
  <si>
    <t>어린이대공원 및 능동로 일대</t>
    <phoneticPr fontId="5" type="noConversion"/>
  </si>
  <si>
    <t>동대문구</t>
    <phoneticPr fontId="5" type="noConversion"/>
  </si>
  <si>
    <t>서울약령시 한방축제</t>
    <phoneticPr fontId="5" type="noConversion"/>
  </si>
  <si>
    <t>10월 중</t>
    <phoneticPr fontId="5" type="noConversion"/>
  </si>
  <si>
    <t>○ 보제원 제향 및 거리퍼레이드
○ 한방사랑 시민걷기대회
○ 한방약선 요리대회 등</t>
    <phoneticPr fontId="5" type="noConversion"/>
  </si>
  <si>
    <t>(사)서울약령시협회
(02-969-4793)</t>
    <phoneticPr fontId="5" type="noConversion"/>
  </si>
  <si>
    <t>한약</t>
    <phoneticPr fontId="5" type="noConversion"/>
  </si>
  <si>
    <t>세계거리춤축제</t>
    <phoneticPr fontId="5" type="noConversion"/>
  </si>
  <si>
    <t xml:space="preserve">10월 중 </t>
    <phoneticPr fontId="5" type="noConversion"/>
  </si>
  <si>
    <t>○ 거리퍼레이드
○ 세계의 춤 공연
○ 개폐막 공연, 주제공연 및 문화공연
○ 각종 체험부스, 먹거리부스 운영</t>
    <phoneticPr fontId="5" type="noConversion"/>
  </si>
  <si>
    <t>(사)세계거리춤축제위원회
(02-2242-5151)</t>
    <phoneticPr fontId="5" type="noConversion"/>
  </si>
  <si>
    <t>춤</t>
    <phoneticPr fontId="5" type="noConversion"/>
  </si>
  <si>
    <t>청룡문화제</t>
    <phoneticPr fontId="5" type="noConversion"/>
  </si>
  <si>
    <t>○ 어가행렬
○ 청룡제향
○ 축하콘서트, 전통문화 체험부스 운영</t>
    <phoneticPr fontId="5" type="noConversion"/>
  </si>
  <si>
    <t>동대문문화원
(02-2127-4705)</t>
    <phoneticPr fontId="5" type="noConversion"/>
  </si>
  <si>
    <t>기우제</t>
    <phoneticPr fontId="5" type="noConversion"/>
  </si>
  <si>
    <t>선농대제</t>
    <phoneticPr fontId="5" type="noConversion"/>
  </si>
  <si>
    <t>4월 중</t>
    <phoneticPr fontId="5" type="noConversion"/>
  </si>
  <si>
    <t>○ 제례행렬
○ 선농제향
○ 설렁탕 재현 등</t>
    <phoneticPr fontId="5" type="noConversion"/>
  </si>
  <si>
    <t>선농단보존회</t>
    <phoneticPr fontId="5" type="noConversion"/>
  </si>
  <si>
    <t>1992년
(26회)</t>
    <phoneticPr fontId="5" type="noConversion"/>
  </si>
  <si>
    <t>문화재청
농림식품부</t>
    <phoneticPr fontId="5" type="noConversion"/>
  </si>
  <si>
    <t>자연유산민속행사</t>
    <phoneticPr fontId="5" type="noConversion"/>
  </si>
  <si>
    <t>풍년기원</t>
    <phoneticPr fontId="5" type="noConversion"/>
  </si>
  <si>
    <t>선농단</t>
    <phoneticPr fontId="5" type="noConversion"/>
  </si>
  <si>
    <t>중랑구</t>
    <phoneticPr fontId="5" type="noConversion"/>
  </si>
  <si>
    <t>서울장미축제</t>
    <phoneticPr fontId="5" type="noConversion"/>
  </si>
  <si>
    <t>5월중</t>
    <phoneticPr fontId="5" type="noConversion"/>
  </si>
  <si>
    <t>○ 첫째날 _장미의 날 : 주민참여프로그램(장미가요제, 장미퍼레이드), 오프닝 퍼포먼스(LED장미 소원꽃등 띄우기)
○둘째날_ 연인의 날 : 젊은층과 외국인을 위한 프로그램(로즈&amp;뮤직파티, 뮤지컬 갈라쇼, 로즈&amp;재즈)
○ 셋째날_ 아내의 날 : 아내를 위한 프로그램(아내여 장미처럼 가든디너쇼, 장미꽃길걷기,KBS교향악단 장미음악회, 낙화놀이 등)
○ 상설프로그램 : 로즈마켓, 먹거리부스, 체험부스, 거리공연, 야외전시 등</t>
    <phoneticPr fontId="5" type="noConversion"/>
  </si>
  <si>
    <t>중랑구 문화체육과
(02-2094-1832)</t>
    <phoneticPr fontId="5" type="noConversion"/>
  </si>
  <si>
    <t>158
(미정)</t>
    <phoneticPr fontId="5" type="noConversion"/>
  </si>
  <si>
    <t>장미</t>
    <phoneticPr fontId="5" type="noConversion"/>
  </si>
  <si>
    <t>중랑천장미터널
수림대공원
중화체육공원</t>
    <phoneticPr fontId="5" type="noConversion"/>
  </si>
  <si>
    <t>용마폭포 문화예술축제</t>
    <phoneticPr fontId="5" type="noConversion"/>
  </si>
  <si>
    <t>10월중</t>
    <phoneticPr fontId="36" type="noConversion"/>
  </si>
  <si>
    <t xml:space="preserve">○ 공연예술 : 남경주와 최정원의 뮤지컬 갈라콘서트, 서울팝스오케스트라, 정동하, 박기영 공연, 버스킹페스티벌, 문화예술단체 축하공연
○ 문학 : 북페스티벌, 백일장
○ 미술,전시 : 폭포갤러리전, 국화분재전, 트리허그
○ 문화체험탐방 :  청소년문화탐방, 어린이 인공암벽 무료체험, 용마산 자락길 걷기 천국  
○ 폭포장터 : 중소기업 우수상품전, 상봉공방거리 플리마켓, 면목4동 바리스타마을과 중랑학부모모니터단의 폭포카페   </t>
    <phoneticPr fontId="5" type="noConversion"/>
  </si>
  <si>
    <t>중랑구 문화체육과 
(02-2094-1873)</t>
  </si>
  <si>
    <t>30
(미정)</t>
    <phoneticPr fontId="5" type="noConversion"/>
  </si>
  <si>
    <t>폭포</t>
    <phoneticPr fontId="5" type="noConversion"/>
  </si>
  <si>
    <t>용마폭포공원</t>
    <phoneticPr fontId="5" type="noConversion"/>
  </si>
  <si>
    <t>성북구</t>
    <phoneticPr fontId="5" type="noConversion"/>
  </si>
  <si>
    <t>성북진경축제</t>
    <phoneticPr fontId="5" type="noConversion"/>
  </si>
  <si>
    <t xml:space="preserve"> ○ 성북진경콘서트(이태준, 조지훈, 한용운 등)
 ○ 고택공연 등</t>
    <phoneticPr fontId="5" type="noConversion"/>
  </si>
  <si>
    <t>문화체육과 / 성북문화재단
(02-6906-3103)</t>
    <phoneticPr fontId="5" type="noConversion"/>
  </si>
  <si>
    <t>성북구 역사문화자원</t>
    <phoneticPr fontId="5" type="noConversion"/>
  </si>
  <si>
    <t>성북구 곳곳</t>
    <phoneticPr fontId="5" type="noConversion"/>
  </si>
  <si>
    <t>강북구</t>
    <phoneticPr fontId="5" type="noConversion"/>
  </si>
  <si>
    <t>4.19혁명국민문화제 2018</t>
    <phoneticPr fontId="5" type="noConversion"/>
  </si>
  <si>
    <t>4.13~4.19</t>
    <phoneticPr fontId="5" type="noConversion"/>
  </si>
  <si>
    <t>○ 전야제 공식행사(4.18)
○ 4.19를 주제로한 전국대학생토론대회 개최, 전국학생그림그리기&amp;글짓기 대회 등 추진
○4개 분야 30개 사업
․문화행사 : 전야제, 락페스티벌, 419풍물패, 419연극제 등
․참여행사 : 60년대 거리재현페레이드, 엄홍길 대장과 함께하는 순례길 트래킹 외
․교육행사 : 전국대학생토론대회, 전국학생 그림그리기 및 글짓기 대회, 국제학술회의 등
․전시행사 : 419혁명 주제전시 및 체험, 태극기 변천사 등</t>
    <phoneticPr fontId="5" type="noConversion"/>
  </si>
  <si>
    <t>○ 주최 : 4.19민주혁명회, 4.19혁명희생자유족회,4.19혁명공로자회, 강북구
○ 4.19혁명국민문화제위원회
(02-901-6206)</t>
    <phoneticPr fontId="5" type="noConversion"/>
  </si>
  <si>
    <t>국가보훈처</t>
    <phoneticPr fontId="5" type="noConversion"/>
  </si>
  <si>
    <t>보훈사업지원</t>
    <phoneticPr fontId="5" type="noConversion"/>
  </si>
  <si>
    <t>4.19혁명</t>
  </si>
  <si>
    <t>위원회 사무국</t>
  </si>
  <si>
    <t>국립4.19민주묘지 
및 강북구 일원</t>
    <phoneticPr fontId="5" type="noConversion"/>
  </si>
  <si>
    <t>도봉구</t>
  </si>
  <si>
    <t>도봉구 등축제</t>
  </si>
  <si>
    <t xml:space="preserve"> ○ 개막점등식: 개막식 공연
 ○ 테마가 있는 등 전시
 ○ 부대행사 : 문화공연, 공예 체험, 소원지쓰기, 둘리포토존</t>
  </si>
  <si>
    <t>도봉구 문화체육과
(02-2091-2254)</t>
  </si>
  <si>
    <t>2013
(5회)</t>
    <phoneticPr fontId="5" type="noConversion"/>
  </si>
  <si>
    <t>등(燈)전시</t>
    <phoneticPr fontId="5" type="noConversion"/>
  </si>
  <si>
    <t>공공(구)</t>
  </si>
  <si>
    <t>방학천</t>
    <phoneticPr fontId="5" type="noConversion"/>
  </si>
  <si>
    <t>2018. 도봉산 국제 페스티벌</t>
  </si>
  <si>
    <t>○ 산악행사(자연암벽대회, 익스트림스포츠대회)
○ 공연행사, 사찰행사, 체험행사</t>
  </si>
  <si>
    <t>도봉구, 도봉문화재단 / 추진위원회</t>
  </si>
  <si>
    <t>2017
(1회)</t>
  </si>
  <si>
    <t>도봉산</t>
  </si>
  <si>
    <t>도봉산 서원마을 축제</t>
  </si>
  <si>
    <t>4월, 10월</t>
    <phoneticPr fontId="5" type="noConversion"/>
  </si>
  <si>
    <t>○ 도봉서원 춘향제 및 추향재 봉행
○ 조선시대 과거급제 행렬 재현</t>
    <phoneticPr fontId="5" type="noConversion"/>
  </si>
  <si>
    <t>도봉구 문화체육과/도봉문화원
(02-2091-2265)</t>
    <phoneticPr fontId="5" type="noConversion"/>
  </si>
  <si>
    <t>도봉서원터
도봉산</t>
    <phoneticPr fontId="5" type="noConversion"/>
  </si>
  <si>
    <t>정의공주와 함께하는 도봉한글잔치</t>
  </si>
  <si>
    <t>10.9.</t>
    <phoneticPr fontId="5" type="noConversion"/>
  </si>
  <si>
    <t xml:space="preserve">○ 공연마당 : 창작뮤지컬 “정의공주” (기획:도봉문화원. 제작:극단 민)
               한글로 풀어쓴 시노래 연주, 청소년 국악예술단 공연 등
○ 참여마당 : 구민 백일장 및 사생대회, 나만의 한글티셔츠 만들기
○ 체험마당 : 한글과 연계된 체험프로그램. 한글가훈써주기, 떡메치기 등
○ 전시마당 : 나만의 한글티셔츠 전시. 훈민정음 서문 전시 등
○ 부대행사 : 지역문화예술단체 및 문화학교 개설강좌 참가부스 운영
</t>
    <phoneticPr fontId="5" type="noConversion"/>
  </si>
  <si>
    <t>인물
한글</t>
  </si>
  <si>
    <t>방학동
원담샘공원</t>
    <phoneticPr fontId="5" type="noConversion"/>
  </si>
  <si>
    <t>창2동 에코! 벚꽃축제</t>
  </si>
  <si>
    <t>4.7.(예정)</t>
    <phoneticPr fontId="5" type="noConversion"/>
  </si>
  <si>
    <t xml:space="preserve"> ○ 주요행사 : 노래자랑, 음악회, 체험행사, 먹거리장터, 벼룩시장, 전시회 등</t>
  </si>
  <si>
    <t>창2동 에코벚꽃축제
추진위원회</t>
  </si>
  <si>
    <t>우이천로</t>
  </si>
  <si>
    <t>도봉구책축제</t>
    <phoneticPr fontId="5" type="noConversion"/>
  </si>
  <si>
    <t>9월중
(1일간)</t>
    <phoneticPr fontId="5" type="noConversion"/>
  </si>
  <si>
    <t xml:space="preserve"> ○ 개막식, 기념공연
 ○ 체험부스 운영, 전시, 포토존 운영 등</t>
    <phoneticPr fontId="5" type="noConversion"/>
  </si>
  <si>
    <t>도봉구 문화체육과
(02-2091-2273)</t>
    <phoneticPr fontId="5" type="noConversion"/>
  </si>
  <si>
    <t>책, 독서</t>
    <phoneticPr fontId="5" type="noConversion"/>
  </si>
  <si>
    <t>도봉구 도당로
(발바닥공원 옆)</t>
    <phoneticPr fontId="5" type="noConversion"/>
  </si>
  <si>
    <t>2018년 해맞이 행사</t>
    <phoneticPr fontId="16" type="noConversion"/>
  </si>
  <si>
    <t>1.1.</t>
    <phoneticPr fontId="5" type="noConversion"/>
  </si>
  <si>
    <t>○ 만세삼창, 해맞이 카운트다운, 구청장기원문 낭독 등</t>
    <phoneticPr fontId="5" type="noConversion"/>
  </si>
  <si>
    <t>도봉구 문화체육과
(02-2091-2293)</t>
    <phoneticPr fontId="5" type="noConversion"/>
  </si>
  <si>
    <t>2000(18회)</t>
    <phoneticPr fontId="5" type="noConversion"/>
  </si>
  <si>
    <t>해맞이, 도봉산</t>
    <phoneticPr fontId="5" type="noConversion"/>
  </si>
  <si>
    <t>공공(구)</t>
    <phoneticPr fontId="5" type="noConversion"/>
  </si>
  <si>
    <t>도봉산 천축사</t>
    <phoneticPr fontId="5" type="noConversion"/>
  </si>
  <si>
    <t>제4회 창2동 초안산 매실축제</t>
  </si>
  <si>
    <t>6.19.(예정)</t>
  </si>
  <si>
    <t>○ 매실체험, 매실청담그기, 문화공연 등</t>
  </si>
  <si>
    <t>도봉구 창2동주민센터
(02-2091-5704)</t>
    <phoneticPr fontId="5" type="noConversion"/>
  </si>
  <si>
    <t>2014년도
(4회)</t>
  </si>
  <si>
    <t>매화꽃</t>
  </si>
  <si>
    <t>초안산생태공원</t>
  </si>
  <si>
    <t>제6회 창2동 거리음악회</t>
  </si>
  <si>
    <t>10.6.(예정)</t>
  </si>
  <si>
    <t>○ 버스킹공연,체험마당, 먹거리장터,푸드트럭 등</t>
  </si>
  <si>
    <t>거리공연</t>
  </si>
  <si>
    <t>도봉로104길</t>
  </si>
  <si>
    <t>노원구</t>
    <phoneticPr fontId="5" type="noConversion"/>
  </si>
  <si>
    <t>노원탈축제</t>
    <phoneticPr fontId="5" type="noConversion"/>
  </si>
  <si>
    <t>10.12~10.13
(2일간)</t>
    <phoneticPr fontId="5" type="noConversion"/>
  </si>
  <si>
    <t>○ 탈 퍼레이드
○ 전통탈 등 전시, 만들기 체험등 약 110개소 체험프로그램
○ 전야제, 초청공연 및 주민참여형 공연
    - 3개 분야 약 40여개 프로그램
○ 노원역참 체험, 도심속 추수체험 등</t>
    <phoneticPr fontId="5" type="noConversion"/>
  </si>
  <si>
    <t>노원탈축제추진위원회
(2116-3785)</t>
    <phoneticPr fontId="5" type="noConversion"/>
  </si>
  <si>
    <t xml:space="preserve">전통탈을 기반으로 "일탈"을 주제로 도심형 주민참여형 축제 </t>
    <phoneticPr fontId="5" type="noConversion"/>
  </si>
  <si>
    <t>등나무근린공원, 노해로, 노원문화의 거리 등</t>
    <phoneticPr fontId="5" type="noConversion"/>
  </si>
  <si>
    <t>태강릉·초안산 궁중문화제</t>
    <phoneticPr fontId="16" type="noConversion"/>
  </si>
  <si>
    <t>4.7
(1일간)</t>
    <phoneticPr fontId="5" type="noConversion"/>
  </si>
  <si>
    <t>○ 조선시대 임금의 능행길에서 어가행렬 재현
○ 안골치성제
○ 개막식, 본무대 공연
○ 노원수라간, 전통 포토존, 각종 체험행사, 궁중패션쇼 등</t>
    <phoneticPr fontId="5" type="noConversion"/>
  </si>
  <si>
    <t>노원문화원/태강릉·초안산궁중문화제 추진위원회(2116-3787)</t>
    <phoneticPr fontId="5" type="noConversion"/>
  </si>
  <si>
    <t>초안산 조선시대 분묘군(내시 및 궁녀 등) 및 유네스코 세계등재문화유산 태·강릉, 조선시대 능행길 드을 연계한 궁중문화제</t>
    <phoneticPr fontId="5" type="noConversion"/>
  </si>
  <si>
    <t>태강릉, 비석골근린공원 등</t>
    <phoneticPr fontId="5" type="noConversion"/>
  </si>
  <si>
    <t>노원구</t>
  </si>
  <si>
    <t>노원등축제</t>
  </si>
  <si>
    <t>4.27~5.6
(10일간)</t>
    <phoneticPr fontId="5" type="noConversion"/>
  </si>
  <si>
    <t>○ 작품 등 전시(17개 작품 80점)
○ 개막식, 특별행사, 부대행사(부스 25개)</t>
    <phoneticPr fontId="5" type="noConversion"/>
  </si>
  <si>
    <t>노원문화원</t>
    <phoneticPr fontId="5" type="noConversion"/>
  </si>
  <si>
    <t>2014년
(5회)</t>
    <phoneticPr fontId="5" type="noConversion"/>
  </si>
  <si>
    <t>친환경생태하천 당현천에서 작품 등 전시 및 부대행사 진행</t>
  </si>
  <si>
    <t>당현천</t>
  </si>
  <si>
    <t>제8회 꿈마을꿈축제꿈나르샤</t>
    <phoneticPr fontId="5" type="noConversion"/>
  </si>
  <si>
    <t>9.8.(예정)</t>
    <phoneticPr fontId="5" type="noConversion"/>
  </si>
  <si>
    <t>○ 청소년축제 꿈나르샤 진행
 - 청소년 부스
 - 청소년놀이단 및 놀이부스 운영
 - 청소년 풍물패
 - 청소년동아리, 주민공연
○ 공릉2동 복지협의회
 - 먹거리 부스 운영</t>
    <phoneticPr fontId="5" type="noConversion"/>
  </si>
  <si>
    <t>공릉청소년문화정보센터, 공릉동꿈마을공동체, 공릉2동복지협의회
(02-973-1318)</t>
    <phoneticPr fontId="5" type="noConversion"/>
  </si>
  <si>
    <t>문화와 놀이로 청소년과 주민이 마을의 주인이 되고 화합하는 축제</t>
    <phoneticPr fontId="5" type="noConversion"/>
  </si>
  <si>
    <t>경춘선공원길, 공릉동무지개어린이공원, 공릉청소년문화정보센터, 공릉2동주민센터</t>
  </si>
  <si>
    <t>은평구</t>
    <phoneticPr fontId="5" type="noConversion"/>
  </si>
  <si>
    <t>은평누리축제</t>
    <phoneticPr fontId="5" type="noConversion"/>
  </si>
  <si>
    <t>2018. 9월 또는 10월</t>
    <phoneticPr fontId="5" type="noConversion"/>
  </si>
  <si>
    <t>○ 개막식, 시와 음악이 있는 밤, 광장축제, 
생활문화예술동아리한마당, 폐막제</t>
    <phoneticPr fontId="5" type="noConversion"/>
  </si>
  <si>
    <t>은평구 문화관광과/은평문화재단(02-351-3735)</t>
    <phoneticPr fontId="5" type="noConversion"/>
  </si>
  <si>
    <t>측제조직위</t>
    <phoneticPr fontId="5" type="noConversion"/>
  </si>
  <si>
    <t>은평구 전역</t>
    <phoneticPr fontId="5" type="noConversion"/>
  </si>
  <si>
    <t>불광천벚꽃축제</t>
    <phoneticPr fontId="5" type="noConversion"/>
  </si>
  <si>
    <t>2018. 4월</t>
    <phoneticPr fontId="5" type="noConversion"/>
  </si>
  <si>
    <t>○ 문화공연, 체험부스, 구민걷기대회
○ 생활문화예술동아리 공연 등</t>
    <phoneticPr fontId="5" type="noConversion"/>
  </si>
  <si>
    <t>은평구 문화관광과(20-351-6513)</t>
    <phoneticPr fontId="5" type="noConversion"/>
  </si>
  <si>
    <t>은평구 불광천</t>
    <phoneticPr fontId="5" type="noConversion"/>
  </si>
  <si>
    <t>북한산한문화페스티벌</t>
    <phoneticPr fontId="5" type="noConversion"/>
  </si>
  <si>
    <t>2018. 10월</t>
    <phoneticPr fontId="5" type="noConversion"/>
  </si>
  <si>
    <t>○ 문화공연, 한복패션쇼, 체험부스 등</t>
    <phoneticPr fontId="5" type="noConversion"/>
  </si>
  <si>
    <t>은평구 문화관광과(02-351-6506)</t>
    <phoneticPr fontId="5" type="noConversion"/>
  </si>
  <si>
    <t>북한산성 제2주차장</t>
    <phoneticPr fontId="5" type="noConversion"/>
  </si>
  <si>
    <t>파발제</t>
    <phoneticPr fontId="5" type="noConversion"/>
  </si>
  <si>
    <t>○ 파발제 퍼레이드, 문화공연, 전통문화축제</t>
    <phoneticPr fontId="5" type="noConversion"/>
  </si>
  <si>
    <t>2016년</t>
    <phoneticPr fontId="5" type="noConversion"/>
  </si>
  <si>
    <t>파발</t>
    <phoneticPr fontId="5" type="noConversion"/>
  </si>
  <si>
    <t>서대문구</t>
    <phoneticPr fontId="5" type="noConversion"/>
  </si>
  <si>
    <t>서대문독립민주축제</t>
    <phoneticPr fontId="5" type="noConversion"/>
  </si>
  <si>
    <t>8.14~8.15</t>
    <phoneticPr fontId="5" type="noConversion"/>
  </si>
  <si>
    <t xml:space="preserve"> ○ 생존독립민주지사 풋프린팅
 ○ 독립과 민주를 테마로한 체험, 교육프로그램 운영
     - 4개분야 30여개 프로그램
 ○ 개막공연, 역사콘서트 등 문화공연</t>
    <phoneticPr fontId="5" type="noConversion"/>
  </si>
  <si>
    <t>서대문구 문화체육과
/ 독립민주페스티벌추진위원회
(02-330-8161)</t>
    <phoneticPr fontId="5" type="noConversion"/>
  </si>
  <si>
    <t xml:space="preserve">2011년도
(7회)
</t>
    <phoneticPr fontId="5" type="noConversion"/>
  </si>
  <si>
    <t>독립민주역사
서대문형무소
역사관</t>
    <phoneticPr fontId="5" type="noConversion"/>
  </si>
  <si>
    <t>신촌크리스마스
거리축제</t>
    <phoneticPr fontId="5" type="noConversion"/>
  </si>
  <si>
    <t>12.22~25
(예정)</t>
    <phoneticPr fontId="5" type="noConversion"/>
  </si>
  <si>
    <t>○ 크리스마스 콘서트
○ 크리스마스 거리가게(마켓&amp;체험부스)운영
○ 개막식 및 오프닝 축하공연
○ 키즈존, 포토존 등 이벤트 운영</t>
    <phoneticPr fontId="5" type="noConversion"/>
  </si>
  <si>
    <t>서울특별시 서대문구
/문화체육과
(02-330-1003)</t>
    <phoneticPr fontId="5" type="noConversion"/>
  </si>
  <si>
    <t>2013년
(5회)</t>
    <phoneticPr fontId="5" type="noConversion"/>
  </si>
  <si>
    <t>크리스마스</t>
    <phoneticPr fontId="5" type="noConversion"/>
  </si>
  <si>
    <t>거리</t>
    <phoneticPr fontId="5" type="noConversion"/>
  </si>
  <si>
    <t>제5회 신촌물총축제</t>
    <phoneticPr fontId="5" type="noConversion"/>
  </si>
  <si>
    <t>7.7~7.8</t>
    <phoneticPr fontId="5" type="noConversion"/>
  </si>
  <si>
    <t>○ 물총싸움, 퍼포먼스, 어린이 놀이터 
○ 디제잉 공연, 버블파티, 기타 이벤트</t>
    <phoneticPr fontId="5" type="noConversion"/>
  </si>
  <si>
    <t>무언가
(02-330-1423)</t>
    <phoneticPr fontId="5" type="noConversion"/>
  </si>
  <si>
    <t>물총</t>
    <phoneticPr fontId="5" type="noConversion"/>
  </si>
  <si>
    <t>안산 벚꽃음악회</t>
    <phoneticPr fontId="5" type="noConversion"/>
  </si>
  <si>
    <t>4.7~4.9</t>
    <phoneticPr fontId="5" type="noConversion"/>
  </si>
  <si>
    <t xml:space="preserve">○ 음익회, 지역예술단 공연, 자락길체험, 아트마켓 등 </t>
    <phoneticPr fontId="5" type="noConversion"/>
  </si>
  <si>
    <t>서울특별시 서대문구
/문화체육과
(02-330-8161)</t>
  </si>
  <si>
    <t>연희 벚꽃쉼터
벚꽃마당</t>
    <phoneticPr fontId="5" type="noConversion"/>
  </si>
  <si>
    <t>서대문구</t>
  </si>
  <si>
    <t>프랑스 거리음악축제</t>
  </si>
  <si>
    <t>6.17~6.18
(2일간)</t>
  </si>
  <si>
    <t>○ 프랑스 뮤지션 내한 특별공연
○ 프랑스 문화 홍보부스 운영 등</t>
  </si>
  <si>
    <t>서대문구 지역활성화과 
(02-330-1649)</t>
  </si>
  <si>
    <t>2017년도
(1회)</t>
  </si>
  <si>
    <t>프랑스 문화</t>
  </si>
  <si>
    <t>신촌 연세로</t>
    <phoneticPr fontId="5" type="noConversion"/>
  </si>
  <si>
    <t>마포구</t>
    <phoneticPr fontId="5" type="noConversion"/>
  </si>
  <si>
    <t>제11회 마포나루 새우젓축제</t>
    <phoneticPr fontId="5" type="noConversion"/>
  </si>
  <si>
    <t>○ 핵심프로그램 : 황포돛배 입항재현
○ 개장식, 개막식, 문화·체험·판매행사
  - 8개분야 78개 프로그램</t>
    <phoneticPr fontId="5" type="noConversion"/>
  </si>
  <si>
    <t>마포구 문화진흥과/마포문화원
(02-3153-8352)</t>
    <phoneticPr fontId="5" type="noConversion"/>
  </si>
  <si>
    <t>한강, 마포나루, 새우젓, 황포돛배</t>
    <phoneticPr fontId="5" type="noConversion"/>
  </si>
  <si>
    <t>·공공(마포구)
·사단법인
   (마포문화원)</t>
    <phoneticPr fontId="5" type="noConversion"/>
  </si>
  <si>
    <t>월드컵공원 
평화의광장</t>
    <phoneticPr fontId="5" type="noConversion"/>
  </si>
  <si>
    <t>서울와우북페스티벌</t>
    <phoneticPr fontId="5" type="noConversion"/>
  </si>
  <si>
    <t>○ 복합책문화예술축제
○ 도서 판매, 강연, 공연 등</t>
    <phoneticPr fontId="5" type="noConversion"/>
  </si>
  <si>
    <t>와우책문화예술센터
(02-336-1585)</t>
    <phoneticPr fontId="46" type="noConversion"/>
  </si>
  <si>
    <t>홍대걷고
싶은거리</t>
    <phoneticPr fontId="5" type="noConversion"/>
  </si>
  <si>
    <t>서울프린지페스티벌</t>
    <phoneticPr fontId="5" type="noConversion"/>
  </si>
  <si>
    <t>7월 중</t>
    <phoneticPr fontId="5" type="noConversion"/>
  </si>
  <si>
    <t>○ 독립예술제</t>
    <phoneticPr fontId="5" type="noConversion"/>
  </si>
  <si>
    <t>서울프린지네트워크
(02-325-8150)</t>
    <phoneticPr fontId="46" type="noConversion"/>
  </si>
  <si>
    <t>독립예술</t>
    <phoneticPr fontId="5" type="noConversion"/>
  </si>
  <si>
    <t>월드컵경기장</t>
    <phoneticPr fontId="5" type="noConversion"/>
  </si>
  <si>
    <t>서울국제뉴미디어페스티벌</t>
    <phoneticPr fontId="5" type="noConversion"/>
  </si>
  <si>
    <t>8월 중</t>
    <phoneticPr fontId="5" type="noConversion"/>
  </si>
  <si>
    <t>○ 대안영상미디어축제
○ 서울국제뉴미디어대안영화제, 전시제, 뉴미디어아트페스티벌, 개막식, 폐막식 등</t>
    <phoneticPr fontId="5" type="noConversion"/>
  </si>
  <si>
    <t>(사)대안영상문화발전소 
아이공(02-337-2870)</t>
    <phoneticPr fontId="46" type="noConversion"/>
  </si>
  <si>
    <t>2001년도
(17회)</t>
    <phoneticPr fontId="5" type="noConversion"/>
  </si>
  <si>
    <t>대안영상미디어</t>
    <phoneticPr fontId="5" type="noConversion"/>
  </si>
  <si>
    <t>서교예술실험센터 등</t>
    <phoneticPr fontId="5" type="noConversion"/>
  </si>
  <si>
    <t>2017 판 페스티벌</t>
    <phoneticPr fontId="5" type="noConversion"/>
  </si>
  <si>
    <t>11월 중</t>
    <phoneticPr fontId="5" type="noConversion"/>
  </si>
  <si>
    <t>○ 홍대를 기반으로 활동하고 있는 언플러그드 아티스트들, 미술, 공예작가들, 창작국악공연 등으로 구성되어 있는 복합문화축제</t>
    <phoneticPr fontId="5" type="noConversion"/>
  </si>
  <si>
    <t>극단 산울림
(02-334-5915)</t>
    <phoneticPr fontId="5" type="noConversion"/>
  </si>
  <si>
    <t>복합문화</t>
    <phoneticPr fontId="5" type="noConversion"/>
  </si>
  <si>
    <t>산울림소극장</t>
    <phoneticPr fontId="5" type="noConversion"/>
  </si>
  <si>
    <t>홍대앞 예술시장 프리마켓</t>
    <phoneticPr fontId="5" type="noConversion"/>
  </si>
  <si>
    <t>3.~11.</t>
    <phoneticPr fontId="5" type="noConversion"/>
  </si>
  <si>
    <t>○ 생활창작품 전시·판매, 공연 등</t>
    <phoneticPr fontId="5" type="noConversion"/>
  </si>
  <si>
    <t>일상예술창작센터
(325-8553)</t>
    <phoneticPr fontId="5" type="noConversion"/>
  </si>
  <si>
    <t>생활창작품</t>
    <phoneticPr fontId="5" type="noConversion"/>
  </si>
  <si>
    <t>홍익문화공원</t>
    <phoneticPr fontId="5" type="noConversion"/>
  </si>
  <si>
    <t>성미산 마을축제</t>
    <phoneticPr fontId="5" type="noConversion"/>
  </si>
  <si>
    <t>6월 중</t>
    <phoneticPr fontId="5" type="noConversion"/>
  </si>
  <si>
    <t>○ 공연 및 전시,체험
○ 프리마켓(바자회) 등</t>
    <phoneticPr fontId="5" type="noConversion"/>
  </si>
  <si>
    <t>되살림</t>
    <phoneticPr fontId="5" type="noConversion"/>
  </si>
  <si>
    <t>성미산공원</t>
    <phoneticPr fontId="5" type="noConversion"/>
  </si>
  <si>
    <t>2017 청춘열전 페스티벌</t>
    <phoneticPr fontId="5" type="noConversion"/>
  </si>
  <si>
    <t>○ 체험프로그램, 공연, 퍼레이드 등</t>
    <phoneticPr fontId="5" type="noConversion"/>
  </si>
  <si>
    <t>2017년도
(1회)</t>
    <phoneticPr fontId="5" type="noConversion"/>
  </si>
  <si>
    <t>국악</t>
    <phoneticPr fontId="5" type="noConversion"/>
  </si>
  <si>
    <t>양천구</t>
  </si>
  <si>
    <t>양천예술제</t>
    <phoneticPr fontId="5" type="noConversion"/>
  </si>
  <si>
    <t xml:space="preserve">○ 악기체험, 가훈써주기, 연만들기 체험부스 운영
○ 공동미술프로젝트, 포토존, 그림 전시회
○ 버스킹 공연 등
</t>
    <phoneticPr fontId="5" type="noConversion"/>
  </si>
  <si>
    <t>양천구 문화체육科
(2620-3404)</t>
  </si>
  <si>
    <t>강서구</t>
    <phoneticPr fontId="5" type="noConversion"/>
  </si>
  <si>
    <t>겸재문화예술제</t>
    <phoneticPr fontId="5" type="noConversion"/>
  </si>
  <si>
    <t>5월중(2일간)</t>
    <phoneticPr fontId="5" type="noConversion"/>
  </si>
  <si>
    <t xml:space="preserve"> ○ 전국 사생대회, 진경대전
○ 겸재를 주제로한 전시, 및 어린이날 체험프로그램 운영
○ 특별전, 겸재퍼포먼스 등 개막행사, 궁산에서 펼쳐지는 예술한마당, 산수음악회 등 공연 및 겸재등(청사초롱) 전시
○ 기타 야외전시 및 학술대회 등</t>
    <phoneticPr fontId="5" type="noConversion"/>
  </si>
  <si>
    <t>강서구/강서문화원(겸재정선미술관)
(02-2600-6154)</t>
    <phoneticPr fontId="5" type="noConversion"/>
  </si>
  <si>
    <t>겸재 정선</t>
    <phoneticPr fontId="5" type="noConversion"/>
  </si>
  <si>
    <t>임의단체
(추진위원회)</t>
    <phoneticPr fontId="5" type="noConversion"/>
  </si>
  <si>
    <t>궁산근린공원,
겸재정선미술관 일대</t>
    <phoneticPr fontId="5" type="noConversion"/>
  </si>
  <si>
    <t>강서어린이동화축제</t>
    <phoneticPr fontId="5" type="noConversion"/>
  </si>
  <si>
    <t>10.6.(토)(1일)</t>
    <phoneticPr fontId="5" type="noConversion"/>
  </si>
  <si>
    <t>○ 주제별 퍼레이드 : 800m(강서공고운동장∼방화역∼방화근린공원)
○ 개막식, 각급학교 및 지역동아리(16개팀) 공연
○ 체험부스 및 먹거리 마당 운영</t>
    <phoneticPr fontId="5" type="noConversion"/>
  </si>
  <si>
    <t>강서구/강서구립도서관협의회
(02-2600-6975)</t>
    <phoneticPr fontId="5" type="noConversion"/>
  </si>
  <si>
    <t>동화로 보는 강서마을</t>
    <phoneticPr fontId="5" type="noConversion"/>
  </si>
  <si>
    <t>서울식물원(예정)</t>
    <phoneticPr fontId="5" type="noConversion"/>
  </si>
  <si>
    <t>한여름 밤의 페스티벌</t>
    <phoneticPr fontId="43" type="noConversion"/>
  </si>
  <si>
    <t>8월중(1일)</t>
    <phoneticPr fontId="5" type="noConversion"/>
  </si>
  <si>
    <t>○ 한여름 무더위로 지친 구민을 위한 문화예술공연</t>
    <phoneticPr fontId="5" type="noConversion"/>
  </si>
  <si>
    <t>강서구/강서문화원
(02-2600-6455)</t>
    <phoneticPr fontId="5" type="noConversion"/>
  </si>
  <si>
    <t>2006년도
(10회)</t>
    <phoneticPr fontId="5" type="noConversion"/>
  </si>
  <si>
    <t>여름</t>
    <phoneticPr fontId="5" type="noConversion"/>
  </si>
  <si>
    <t>신정여자상업고등학교(예정)</t>
    <phoneticPr fontId="5" type="noConversion"/>
  </si>
  <si>
    <t>허준축제</t>
    <phoneticPr fontId="5" type="noConversion"/>
  </si>
  <si>
    <t>10.13~10.14
(2일간)</t>
    <phoneticPr fontId="5" type="noConversion"/>
  </si>
  <si>
    <t>○ 사전프로그램 운영 : 유틍 및 허준 테마등 전시 및 각종 문화 프로그램 운영
○ 허준, 동의보감 관련 주제관 운영
○ 허준전국가요제, 허준콘서트, 지역문화공연 등 각종 문화공연 및 지역문화예술단체 전시 행사, 각종 양한방 체험 프로그램 등 운영
○ 개폐막식 공연, 주제공연 및 문화공연</t>
    <phoneticPr fontId="5" type="noConversion"/>
  </si>
  <si>
    <t>강서구/강서문화원
(02-2600-6456)</t>
  </si>
  <si>
    <t>허준, 동의보감,
양한방 건강문화축제</t>
    <phoneticPr fontId="5" type="noConversion"/>
  </si>
  <si>
    <t>서울식물원(예정), 허준근린공원, 허준박물관 일대</t>
    <phoneticPr fontId="5" type="noConversion"/>
  </si>
  <si>
    <t>구로구</t>
    <phoneticPr fontId="5" type="noConversion"/>
  </si>
  <si>
    <t>점프구로2017축제</t>
    <phoneticPr fontId="5" type="noConversion"/>
  </si>
  <si>
    <t>10.5~10.7 예정
(3일간)</t>
    <phoneticPr fontId="5" type="noConversion"/>
  </si>
  <si>
    <t>○ G밸리 넥타이마라톤 대회 외
 ○ 지역주민 참여와 화합을 테마로한 공연, 전시, 체험프로그램 운영
 ○ 개폐막 공연, 주제공연 및 문화공연
    - 4개 분야 20여개 프로그램
 ○ 기타 특별행사 및 전시 등등</t>
    <phoneticPr fontId="5" type="noConversion"/>
  </si>
  <si>
    <t>구로구 문화관광과
(02-860-3414)</t>
    <phoneticPr fontId="5" type="noConversion"/>
  </si>
  <si>
    <t>2003년도
(14회)</t>
    <phoneticPr fontId="5" type="noConversion"/>
  </si>
  <si>
    <t>금천구</t>
    <phoneticPr fontId="5" type="noConversion"/>
  </si>
  <si>
    <t>금천하모니 벚꽃축제</t>
    <phoneticPr fontId="5" type="noConversion"/>
  </si>
  <si>
    <t>4. 7.~4. 8.
(2일간)</t>
    <phoneticPr fontId="5" type="noConversion"/>
  </si>
  <si>
    <t xml:space="preserve"> ○ 메인행사 : 금천하모니 오케스트라 
 ○ 부대행사 : 야외조각전 및 공기팽창(숨고래) 개막식 등
 ○ 연계행사 : 전국사생대회 등</t>
    <phoneticPr fontId="5" type="noConversion"/>
  </si>
  <si>
    <t>금천구/ 축제추진위원회
(02-2627-1447)</t>
    <phoneticPr fontId="5" type="noConversion"/>
  </si>
  <si>
    <t>2003년도
(13회)</t>
    <phoneticPr fontId="5" type="noConversion"/>
  </si>
  <si>
    <t>음악, 벚꽃</t>
    <phoneticPr fontId="5" type="noConversion"/>
  </si>
  <si>
    <t>구청광장 등</t>
    <phoneticPr fontId="5" type="noConversion"/>
  </si>
  <si>
    <t>금천구 사회적경제 한마당</t>
    <phoneticPr fontId="16" type="noConversion"/>
  </si>
  <si>
    <t xml:space="preserve"> ○ 사회적경제 및 마을공동체, G밸리 기업 홍부 부스 운영 
 ○ 참여자간 네트워킹 및 문화예술 공연 추진</t>
    <phoneticPr fontId="5" type="noConversion"/>
  </si>
  <si>
    <t>금천구 사회적경제 지원센터
(070-4432-3793)</t>
    <phoneticPr fontId="5" type="noConversion"/>
  </si>
  <si>
    <t>사회적경제</t>
    <phoneticPr fontId="5" type="noConversion"/>
  </si>
  <si>
    <t>가산동 G밸리</t>
    <phoneticPr fontId="5" type="noConversion"/>
  </si>
  <si>
    <t>동화 속 책축제</t>
    <phoneticPr fontId="36" type="noConversion"/>
  </si>
  <si>
    <t>10.6.
(1일간, 예정)</t>
    <phoneticPr fontId="5" type="noConversion"/>
  </si>
  <si>
    <t xml:space="preserve"> ○ 메인행사 : 마당놀이, 도서관(단체)별 체험부스 운영
 ○ 연계행사 : 페이스페인팅, 축하공연 등</t>
    <phoneticPr fontId="5" type="noConversion"/>
  </si>
  <si>
    <t>금천구 / 금천작은도서관협의회
(02-2627-2853)</t>
    <phoneticPr fontId="5" type="noConversion"/>
  </si>
  <si>
    <t>도서, 어린이, 동화책</t>
    <phoneticPr fontId="5" type="noConversion"/>
  </si>
  <si>
    <t>있음
(협의회 총괄)</t>
    <phoneticPr fontId="5" type="noConversion"/>
  </si>
  <si>
    <t>산기슭공원</t>
    <phoneticPr fontId="5" type="noConversion"/>
  </si>
  <si>
    <t xml:space="preserve">영등포구 </t>
    <phoneticPr fontId="5" type="noConversion"/>
  </si>
  <si>
    <t>제14회 영등포 여의도 봄꽃축제</t>
    <phoneticPr fontId="5" type="noConversion"/>
  </si>
  <si>
    <t>4월중</t>
    <phoneticPr fontId="5" type="noConversion"/>
  </si>
  <si>
    <t xml:space="preserve"> ○ 전문 예술가 및 시민공모 프로그램(무대/거리공연)
 ○ 예술체험 및 홍보존 
 ○ 관광작품 전시, 현대작가야외초대전 등 작품 전시
 ○ 영등포관광정보센터 운영
 ○ 영등포관광그랜드세일 : 숙박/식/음료업체 이용 할인 </t>
    <phoneticPr fontId="5" type="noConversion"/>
  </si>
  <si>
    <t xml:space="preserve">문화체육과(02-2670-3128)/영등문화재단(02-2629-2217)
</t>
    <phoneticPr fontId="5" type="noConversion"/>
  </si>
  <si>
    <t xml:space="preserve">문화관광 </t>
    <phoneticPr fontId="5" type="noConversion"/>
  </si>
  <si>
    <t xml:space="preserve">공공 </t>
    <phoneticPr fontId="5" type="noConversion"/>
  </si>
  <si>
    <t xml:space="preserve">없음 </t>
    <phoneticPr fontId="5" type="noConversion"/>
  </si>
  <si>
    <t xml:space="preserve">여의서로 </t>
    <phoneticPr fontId="5" type="noConversion"/>
  </si>
  <si>
    <t>정월대보름맞이 민속놀이 축제</t>
  </si>
  <si>
    <t>2월중</t>
    <phoneticPr fontId="5" type="noConversion"/>
  </si>
  <si>
    <t xml:space="preserve"> ○ 정월대보름 민속행사
     - 윷놀이, 제기차기, 쥐불놀이 등
     - 달집태우기, 전통문화공연</t>
    <phoneticPr fontId="5" type="noConversion"/>
  </si>
  <si>
    <t>양평1동체육회
/양평1동
(02-2670-1197)</t>
    <phoneticPr fontId="5" type="noConversion"/>
  </si>
  <si>
    <t>민속행사</t>
    <phoneticPr fontId="5" type="noConversion"/>
  </si>
  <si>
    <t>안양천둔치(오목교 아래), 동주민센터 앞마당 등</t>
    <phoneticPr fontId="5" type="noConversion"/>
  </si>
  <si>
    <t>제20회 신길6동 벚꽃축제</t>
    <phoneticPr fontId="5" type="noConversion"/>
  </si>
  <si>
    <t xml:space="preserve"> ○ 청사초롱제등 / 동네방네 노래자랑 / 다문화체험, 
     찾동홍보 / 녹색장터, 야시장 및 5일장연계사업 운영</t>
    <phoneticPr fontId="5" type="noConversion"/>
  </si>
  <si>
    <t>신길6동 새마을지도자협의회
(02-2670-1329)</t>
    <phoneticPr fontId="5" type="noConversion"/>
  </si>
  <si>
    <t>신길6동 벚꽃길 및 영신고등학교</t>
    <phoneticPr fontId="5" type="noConversion"/>
  </si>
  <si>
    <t>제6회 안양천 벚꽃 양평마을축제</t>
    <phoneticPr fontId="5" type="noConversion"/>
  </si>
  <si>
    <t xml:space="preserve"> ○ 문화공연, 주민건강 걷기대회, 어르신 점심대접, 
     사물놀이</t>
    <phoneticPr fontId="5" type="noConversion"/>
  </si>
  <si>
    <t>행복을꽃피우는양평동사람들
(02-2670-1198)</t>
    <phoneticPr fontId="5" type="noConversion"/>
  </si>
  <si>
    <t>오목교 아래 
안양천 둔치</t>
  </si>
  <si>
    <t>제5회 도림동 장미축제</t>
    <phoneticPr fontId="5" type="noConversion"/>
  </si>
  <si>
    <t xml:space="preserve"> ○ 개막식, 주민자치 프로그램 및 동호회 발표회, 노래자랑, 
     지역가수 콘서트</t>
    <phoneticPr fontId="5" type="noConversion"/>
  </si>
  <si>
    <t>도림동장미마을가꾸기사업추진위원회(02-2670-1158)</t>
    <phoneticPr fontId="5" type="noConversion"/>
  </si>
  <si>
    <t>도림유수지 일대</t>
  </si>
  <si>
    <t>제8회 대림1동 조롱박수세미 축제</t>
    <phoneticPr fontId="5" type="noConversion"/>
  </si>
  <si>
    <t xml:space="preserve"> ○ 주민자치 동호회 공연 및 전시 : 사군자 그려주기, 가훈 써주기, 서예 및 사군자 작품 전시, 주민노래자랑
 ○ 조롱박 공예, 수세미 효소 만들기 및 수세미효소 시음</t>
    <phoneticPr fontId="5" type="noConversion"/>
  </si>
  <si>
    <t>대림1동 마을만들기사업단
(02-2670-1392)</t>
    <phoneticPr fontId="5" type="noConversion"/>
  </si>
  <si>
    <t>조롱박,수세미</t>
    <phoneticPr fontId="5" type="noConversion"/>
  </si>
  <si>
    <t>대림어린이공원</t>
  </si>
  <si>
    <t xml:space="preserve">제7회 이야기가 있는 문래목화마을 축제 </t>
    <phoneticPr fontId="5" type="noConversion"/>
  </si>
  <si>
    <t xml:space="preserve"> ○ 목화화분․사진, 유물 전시, 목화체험행사, 목화재배 품평회 등</t>
    <phoneticPr fontId="5" type="noConversion"/>
  </si>
  <si>
    <t>목화마을만들기사업단
(02-2670-1174)</t>
    <phoneticPr fontId="5" type="noConversion"/>
  </si>
  <si>
    <t>2010년
(7회)</t>
    <phoneticPr fontId="5" type="noConversion"/>
  </si>
  <si>
    <t>목화</t>
    <phoneticPr fontId="5" type="noConversion"/>
  </si>
  <si>
    <t>문래동주민센터 앞 도시텃밭</t>
  </si>
  <si>
    <t>제4회 신오철쭉제</t>
    <phoneticPr fontId="5" type="noConversion"/>
  </si>
  <si>
    <t xml:space="preserve"> ○ 철쭉 사진·그림 콘테스트
 ○ 주민자치센터 프로그램 참여(서예, 노래교실 동호회)  </t>
    <phoneticPr fontId="5" type="noConversion"/>
  </si>
  <si>
    <t>신오마을축제주민회
(02-2670-1307)</t>
    <phoneticPr fontId="5" type="noConversion"/>
  </si>
  <si>
    <t>2013년
(4회)</t>
    <phoneticPr fontId="5" type="noConversion"/>
  </si>
  <si>
    <t>신길근린공원</t>
    <phoneticPr fontId="5" type="noConversion"/>
  </si>
  <si>
    <t>제8회 은모래길 어울한마당축제</t>
    <phoneticPr fontId="5" type="noConversion"/>
  </si>
  <si>
    <t xml:space="preserve"> ○ 독거어르신, 경로당 어르신들 건강관리
 ○ 주민자치 프로그램 발표, 관내 중학교, 어린이집, 지역
     예술단체 등의 문화 예술 공연을 주민들에게 제공</t>
    <phoneticPr fontId="5" type="noConversion"/>
  </si>
  <si>
    <t>다모이소 은모래길 추진단
(02-2670-1426)</t>
    <phoneticPr fontId="5" type="noConversion"/>
  </si>
  <si>
    <t>대림3동주민센터 및 원지공원</t>
  </si>
  <si>
    <t>제2회 영등포 동행 페스티벌</t>
    <phoneticPr fontId="5" type="noConversion"/>
  </si>
  <si>
    <t>○ 영등포구민의날 기념한 주민화합 콘서트로 어린이부터 어르신에 이르는 공연단체와 전문연주단체가 한 무대에 오른 화합과 소통의 무대</t>
    <phoneticPr fontId="5" type="noConversion"/>
  </si>
  <si>
    <t>영등포구 문화체육과
(02-2670-3128)</t>
    <phoneticPr fontId="5" type="noConversion"/>
  </si>
  <si>
    <t>구청 앞 마당</t>
  </si>
  <si>
    <t>영등포 단오축제</t>
    <phoneticPr fontId="5" type="noConversion"/>
  </si>
  <si>
    <t xml:space="preserve"> ○ 지역주민의 씨름, 그네, 팔씨름, 민속놀이 한마당
 ○ 유아, 초등부 단오풍속그리기, 단오사진대회 등</t>
    <phoneticPr fontId="5" type="noConversion"/>
  </si>
  <si>
    <t>영등포문화원
(02-846-0155)</t>
    <phoneticPr fontId="5" type="noConversion"/>
  </si>
  <si>
    <t>2002년
(16회)</t>
    <phoneticPr fontId="5" type="noConversion"/>
  </si>
  <si>
    <t>영등포공원</t>
    <phoneticPr fontId="5" type="noConversion"/>
  </si>
  <si>
    <t>동작구</t>
    <phoneticPr fontId="5" type="noConversion"/>
  </si>
  <si>
    <t>도심속 바다축제</t>
    <phoneticPr fontId="5" type="noConversion"/>
  </si>
  <si>
    <t xml:space="preserve"> 9~10월중</t>
    <phoneticPr fontId="5" type="noConversion"/>
  </si>
  <si>
    <t>○ 세계수산물 축제, 동작바다콘서트
○ 활어맨손잡기, 수산물 골든벨, 모의경매 등 
    체험프로그램 운영
○ 개폐막 공연, 주제공연 및 문화공연</t>
    <phoneticPr fontId="5" type="noConversion"/>
  </si>
  <si>
    <t xml:space="preserve">동작구 교육문화과
(02-820-9657) </t>
    <phoneticPr fontId="5" type="noConversion"/>
  </si>
  <si>
    <t>수산물</t>
    <phoneticPr fontId="5" type="noConversion"/>
  </si>
  <si>
    <t>공공(시군구)
축제추진위</t>
    <phoneticPr fontId="5" type="noConversion"/>
  </si>
  <si>
    <t>노량진수산시장</t>
    <phoneticPr fontId="5" type="noConversion"/>
  </si>
  <si>
    <t>관악구</t>
    <phoneticPr fontId="5" type="noConversion"/>
  </si>
  <si>
    <t>제4회 고시촌단편영화제</t>
    <phoneticPr fontId="5" type="noConversion"/>
  </si>
  <si>
    <t>9.15 ~ 9. 16
(2일간)</t>
    <phoneticPr fontId="5" type="noConversion"/>
  </si>
  <si>
    <t>○ 전국단위 단편영화 출품공모
○ 영화상영회(본선진출작 및 비경쟁초청작)
○ 관객과의 만남 및 비경쟁섹션 운영</t>
    <phoneticPr fontId="5" type="noConversion"/>
  </si>
  <si>
    <t>관악구 문화체육과
(879-5608)</t>
    <phoneticPr fontId="5" type="noConversion"/>
  </si>
  <si>
    <t>고시촌, 영화제</t>
    <phoneticPr fontId="5" type="noConversion"/>
  </si>
  <si>
    <t>공공(시군구)
임의단체</t>
    <phoneticPr fontId="5" type="noConversion"/>
  </si>
  <si>
    <t>전체위탁
(민간행사사업보조)</t>
    <phoneticPr fontId="5" type="noConversion"/>
  </si>
  <si>
    <t>관악구 고시촌 일대</t>
    <phoneticPr fontId="5" type="noConversion"/>
  </si>
  <si>
    <t>관악구</t>
  </si>
  <si>
    <t>평생학습축제</t>
  </si>
  <si>
    <t>10월 중</t>
  </si>
  <si>
    <t>○ 여는 마당 : 배움의 길놀이, 개막식
○ 발표의 장 : 학습동아리 발표
○ 체험의 장 : 홍보 및 체험부스 운영
○ 전시의 장 : 학습동아리 작품 전시
○ 배움의 장 : 성인문해 한마당, 독서골든벨, 독서동아리 한마당
○ 강연의 장 : 마을 인문학학당, Everyday 명사초청특강
○ 공연의 장 : 버스킹, 극단 공연 등</t>
  </si>
  <si>
    <t>관악구 교육사업과(02-879-5673)</t>
  </si>
  <si>
    <t>2012년도
(5회)</t>
  </si>
  <si>
    <t>평생학습</t>
  </si>
  <si>
    <t>관악구청 광장 및 관악구 일대</t>
  </si>
  <si>
    <t>마을문화축제</t>
    <phoneticPr fontId="5" type="noConversion"/>
  </si>
  <si>
    <t>3월~11월</t>
    <phoneticPr fontId="5" type="noConversion"/>
  </si>
  <si>
    <t>마을문화축제 (사업공모를 통한 단체 선정 예정)</t>
    <phoneticPr fontId="5" type="noConversion"/>
  </si>
  <si>
    <t>관악구 관내</t>
    <phoneticPr fontId="5" type="noConversion"/>
  </si>
  <si>
    <t>서초구</t>
    <phoneticPr fontId="5" type="noConversion"/>
  </si>
  <si>
    <t>서리풀페스티벌</t>
    <phoneticPr fontId="5" type="noConversion"/>
  </si>
  <si>
    <t>9.8.~9.16</t>
    <phoneticPr fontId="5" type="noConversion"/>
  </si>
  <si>
    <t xml:space="preserve">○서초강산퍼레이드 &amp; 지상최대스케치북 : 서초역~예술의전당구간, 주민참여형퍼레이드, 차없는거리이벤트 
○고품격 공연  : 지역사회협엽 네트워크에 의한 공연
○관내 문화예술협회 전시, 공연 등 </t>
    <phoneticPr fontId="5" type="noConversion"/>
  </si>
  <si>
    <t>서초구, 서초문화재단
 / 서리풀페스티벌 조직위원회
(02-2155-6228)</t>
    <phoneticPr fontId="5" type="noConversion"/>
  </si>
  <si>
    <t>2015년도 
(4회)</t>
    <phoneticPr fontId="5" type="noConversion"/>
  </si>
  <si>
    <t>서초역사
문화예술</t>
    <phoneticPr fontId="5" type="noConversion"/>
  </si>
  <si>
    <t>서초구 전역</t>
    <phoneticPr fontId="5" type="noConversion"/>
  </si>
  <si>
    <t>반포서래 한불음악축제</t>
    <phoneticPr fontId="5" type="noConversion"/>
  </si>
  <si>
    <t>○국내·프랑스 뮤지션 축하공연, 주민참여공연, 불꽃놀이, 먹거리부스(푸드트럭) 운영</t>
    <phoneticPr fontId="5" type="noConversion"/>
  </si>
  <si>
    <t xml:space="preserve"> 반포서래 한불음악축제 추진위원회(반포본·1·2·3·4동 주민자치위원회)
(02-2155-7685)</t>
    <phoneticPr fontId="5" type="noConversion"/>
  </si>
  <si>
    <t>서초골 축제</t>
    <phoneticPr fontId="5" type="noConversion"/>
  </si>
  <si>
    <t>○클래식음악회, 오페라&amp;뮤지컬 갈라콘서트 개최</t>
    <phoneticPr fontId="5" type="noConversion"/>
  </si>
  <si>
    <t>서초1․2․3․4동 주민자치위원회/
서초골축제추진위원회</t>
    <phoneticPr fontId="5" type="noConversion"/>
  </si>
  <si>
    <t>예술의전당</t>
  </si>
  <si>
    <t>정월대보름 달맞이행사</t>
    <phoneticPr fontId="5" type="noConversion"/>
  </si>
  <si>
    <t>3.1.</t>
    <phoneticPr fontId="5" type="noConversion"/>
  </si>
  <si>
    <t>○달집태우기, 지신밟기 등 전통문화행사 재현
○쥐불놀이, 윷놀이, 널뛰기 등 전통 민속놀이 체험장 운영</t>
    <phoneticPr fontId="5" type="noConversion"/>
  </si>
  <si>
    <t>양재1·2·내곡동 주민자치위원회/
(주관동:내곡동, 02-2155-7948)</t>
    <phoneticPr fontId="5" type="noConversion"/>
  </si>
  <si>
    <t>공공(읍면동)</t>
    <phoneticPr fontId="5" type="noConversion"/>
  </si>
  <si>
    <t>양재천</t>
    <phoneticPr fontId="5" type="noConversion"/>
  </si>
  <si>
    <t>잠원나루축제</t>
    <phoneticPr fontId="5" type="noConversion"/>
  </si>
  <si>
    <t>○왕비친잠행사, 주민참여공연, 누에생태체험관, 먹거리장터 운영</t>
    <phoneticPr fontId="5" type="noConversion"/>
  </si>
  <si>
    <t>잠원동 주민자치위원회/
(02-2155-7547)</t>
    <phoneticPr fontId="5" type="noConversion"/>
  </si>
  <si>
    <t>잠원체육공원</t>
    <phoneticPr fontId="5" type="noConversion"/>
  </si>
  <si>
    <t>도구로 벚꽃 축제</t>
    <phoneticPr fontId="5" type="noConversion"/>
  </si>
  <si>
    <t>4월</t>
    <phoneticPr fontId="5" type="noConversion"/>
  </si>
  <si>
    <t>○문화공연, 체험부스, 프리마켓, 먹거리 장터 등</t>
    <phoneticPr fontId="5" type="noConversion"/>
  </si>
  <si>
    <t>방배2동 주민자치위원회/
(02-2155-7773)</t>
    <phoneticPr fontId="5" type="noConversion"/>
  </si>
  <si>
    <t>방배동 도구로 일대</t>
    <phoneticPr fontId="5" type="noConversion"/>
  </si>
  <si>
    <t>서초네이처힐마을축제</t>
    <phoneticPr fontId="5" type="noConversion"/>
  </si>
  <si>
    <t>5~10월</t>
    <phoneticPr fontId="5" type="noConversion"/>
  </si>
  <si>
    <t>○작은음악회, 놀이마당, 그리기마당, 먹거리마당 등</t>
    <phoneticPr fontId="5" type="noConversion"/>
  </si>
  <si>
    <t>네이처힐 도서관 연합회</t>
    <phoneticPr fontId="5" type="noConversion"/>
  </si>
  <si>
    <t>섬들공원</t>
    <phoneticPr fontId="5" type="noConversion"/>
  </si>
  <si>
    <t>행복내곡축제</t>
    <phoneticPr fontId="5" type="noConversion"/>
  </si>
  <si>
    <t>4~12월</t>
    <phoneticPr fontId="5" type="noConversion"/>
  </si>
  <si>
    <t>○내곡가족 청계산 나들이, 행복내곡 마을축제 등</t>
    <phoneticPr fontId="5" type="noConversion"/>
  </si>
  <si>
    <t>내곡지구입주민모임
(행복내곡추진본부)</t>
    <phoneticPr fontId="5" type="noConversion"/>
  </si>
  <si>
    <t>언남초등학교</t>
    <phoneticPr fontId="5" type="noConversion"/>
  </si>
  <si>
    <t>양재마을축제</t>
    <phoneticPr fontId="5" type="noConversion"/>
  </si>
  <si>
    <t>5~11월</t>
    <phoneticPr fontId="5" type="noConversion"/>
  </si>
  <si>
    <t>○음악공연, 다문화체험, 벼룩시장 등</t>
    <phoneticPr fontId="5" type="noConversion"/>
  </si>
  <si>
    <t>양재마을넷</t>
    <phoneticPr fontId="5" type="noConversion"/>
  </si>
  <si>
    <t>양재2동</t>
    <phoneticPr fontId="5" type="noConversion"/>
  </si>
  <si>
    <t>서초교육문화축제</t>
    <phoneticPr fontId="5" type="noConversion"/>
  </si>
  <si>
    <t>○서초마을 문화예술 및 미디어활동, 건강문화예술마을 만들기</t>
    <phoneticPr fontId="5" type="noConversion"/>
  </si>
  <si>
    <t>서초커뮤니티네트워크</t>
    <phoneticPr fontId="5" type="noConversion"/>
  </si>
  <si>
    <t>서초지역</t>
    <phoneticPr fontId="5" type="noConversion"/>
  </si>
  <si>
    <t>말죽거리축제</t>
    <phoneticPr fontId="5" type="noConversion"/>
  </si>
  <si>
    <t>○말퍼레이드 및 승마체험, 특산물 장터, 노래자랑 등</t>
    <phoneticPr fontId="5" type="noConversion"/>
  </si>
  <si>
    <t>말죽거리소상공인연합회</t>
    <phoneticPr fontId="5" type="noConversion"/>
  </si>
  <si>
    <t>양재시장
말죽거리일대</t>
    <phoneticPr fontId="5" type="noConversion"/>
  </si>
  <si>
    <t>우솔마을 축제</t>
    <phoneticPr fontId="5" type="noConversion"/>
  </si>
  <si>
    <t>10월</t>
    <phoneticPr fontId="5" type="noConversion"/>
  </si>
  <si>
    <t>○체육대회 및 장기자랑 등 개최</t>
    <phoneticPr fontId="5" type="noConversion"/>
  </si>
  <si>
    <t>우솔마을발전위원회</t>
    <phoneticPr fontId="5" type="noConversion"/>
  </si>
  <si>
    <t>우솔초등학교</t>
    <phoneticPr fontId="5" type="noConversion"/>
  </si>
  <si>
    <t>청계산단풍축제</t>
    <phoneticPr fontId="5" type="noConversion"/>
  </si>
  <si>
    <t>○전통문화 체험행사(부대행사, 먹거리 장터 등)</t>
    <phoneticPr fontId="5" type="noConversion"/>
  </si>
  <si>
    <t>청계산단풍축제추진위원회</t>
    <phoneticPr fontId="5" type="noConversion"/>
  </si>
  <si>
    <t>청계산 근린공원 주차장</t>
    <phoneticPr fontId="5" type="noConversion"/>
  </si>
  <si>
    <t>악기거리축제</t>
    <phoneticPr fontId="5" type="noConversion"/>
  </si>
  <si>
    <t>○작은음악회, 거리콘서트, 악기거리 마켓, 체험행사 등</t>
    <phoneticPr fontId="5" type="noConversion"/>
  </si>
  <si>
    <t>서울악기거리축제추진위원회</t>
    <phoneticPr fontId="5" type="noConversion"/>
  </si>
  <si>
    <t>서초3동
악기거리 일대</t>
    <phoneticPr fontId="5" type="noConversion"/>
  </si>
  <si>
    <t>강남구</t>
    <phoneticPr fontId="5" type="noConversion"/>
  </si>
  <si>
    <t>강남페스티벌 K-POP공연</t>
    <phoneticPr fontId="5" type="noConversion"/>
  </si>
  <si>
    <t>9.27~10.8</t>
    <phoneticPr fontId="5" type="noConversion"/>
  </si>
  <si>
    <t>○ K-POP 공연 : 대한민국 정상급 K-POP그룹 등 출연
○ 영동대로 무료 공연</t>
    <phoneticPr fontId="5" type="noConversion"/>
  </si>
  <si>
    <t>강남구 관광진흥과
(02-3423-5532)</t>
    <phoneticPr fontId="5" type="noConversion"/>
  </si>
  <si>
    <t>K-POP</t>
    <phoneticPr fontId="5" type="noConversion"/>
  </si>
  <si>
    <t>부분위탁
(무대제작,연출등)</t>
    <phoneticPr fontId="5" type="noConversion"/>
  </si>
  <si>
    <t>강남구 영동대로</t>
    <phoneticPr fontId="5" type="noConversion"/>
  </si>
  <si>
    <t>강남페스티벌 패션쇼</t>
    <phoneticPr fontId="16" type="noConversion"/>
  </si>
  <si>
    <t>10.3~10.5</t>
    <phoneticPr fontId="5" type="noConversion"/>
  </si>
  <si>
    <t>○ 야외 패션쇼 
○ 신진디자이너콘테스트 등</t>
    <phoneticPr fontId="5" type="noConversion"/>
  </si>
  <si>
    <t>강남문화재단
(6712-0512)</t>
    <phoneticPr fontId="5" type="noConversion"/>
  </si>
  <si>
    <t>2007
(12회)</t>
    <phoneticPr fontId="5" type="noConversion"/>
  </si>
  <si>
    <t>패션</t>
    <phoneticPr fontId="5" type="noConversion"/>
  </si>
  <si>
    <t>코엑스 별마당도서관 일대</t>
    <phoneticPr fontId="5" type="noConversion"/>
  </si>
  <si>
    <t>C-Festival</t>
    <phoneticPr fontId="5" type="noConversion"/>
  </si>
  <si>
    <t>5.2~5.6</t>
    <phoneticPr fontId="5" type="noConversion"/>
  </si>
  <si>
    <t>○ 전시․컨벤션, 퍼레이드, 문화․예술 공연 등</t>
    <phoneticPr fontId="5" type="noConversion"/>
  </si>
  <si>
    <t>강남구, CMC(Coex MICE Cluster)</t>
    <phoneticPr fontId="5" type="noConversion"/>
  </si>
  <si>
    <t>종합예술축제</t>
    <phoneticPr fontId="5" type="noConversion"/>
  </si>
  <si>
    <t>민관협업</t>
    <phoneticPr fontId="5" type="noConversion"/>
  </si>
  <si>
    <t>일부위탁
(홍보관 설치운영)</t>
    <phoneticPr fontId="5" type="noConversion"/>
  </si>
  <si>
    <t>코엑스 및 영동대로</t>
    <phoneticPr fontId="5" type="noConversion"/>
  </si>
  <si>
    <t>송파구</t>
    <phoneticPr fontId="5" type="noConversion"/>
  </si>
  <si>
    <t>석촌호수 벚꽃축제</t>
    <phoneticPr fontId="5" type="noConversion"/>
  </si>
  <si>
    <t>4.1~4.9(예정)</t>
    <phoneticPr fontId="5" type="noConversion"/>
  </si>
  <si>
    <t>○ 벚꽃조명, 벚꽃길걷기 등
○ 벚꽃을 테마로한 공연, 전시 프로그램 운영</t>
    <phoneticPr fontId="5" type="noConversion"/>
  </si>
  <si>
    <t>서울특별시 송파구 문화체육과
(02-2147-2814)</t>
    <phoneticPr fontId="5" type="noConversion"/>
  </si>
  <si>
    <t>석촌호수 일원</t>
    <phoneticPr fontId="5" type="noConversion"/>
  </si>
  <si>
    <t>한성백제문화제</t>
    <phoneticPr fontId="5" type="noConversion"/>
  </si>
  <si>
    <t>9.13-9.16</t>
    <phoneticPr fontId="5" type="noConversion"/>
  </si>
  <si>
    <t>○ 역사문화거리행렬
○ 한성백제체험마을
○ 한성백제갈라퍼레이드
○ 혼불채화식
○ 동명제
○ 한성백제 음식재현전
○ 전국청소년동아리경연대회
○ 몽촌해자 수변무대
○ 각종 체험 및 전시 등</t>
    <phoneticPr fontId="5" type="noConversion"/>
  </si>
  <si>
    <t>송파구 문화체육과(02-2147-2815)
/한성백제문화제추진위원회</t>
    <phoneticPr fontId="5" type="noConversion"/>
  </si>
  <si>
    <t>1994년도
(18회)</t>
    <phoneticPr fontId="5" type="noConversion"/>
  </si>
  <si>
    <t>한성백제</t>
    <phoneticPr fontId="5" type="noConversion"/>
  </si>
  <si>
    <t>올림픽공원 등</t>
    <phoneticPr fontId="5" type="noConversion"/>
  </si>
  <si>
    <t>동명제</t>
    <phoneticPr fontId="5" type="noConversion"/>
  </si>
  <si>
    <t>○ 왕가행렬
○ 동명제례
○ 백제건국이야기극</t>
  </si>
  <si>
    <t>서울특별시 송파구 문화체육과
(02-2147-2811)</t>
  </si>
  <si>
    <t>1988년도
(22회)</t>
    <phoneticPr fontId="5" type="noConversion"/>
  </si>
  <si>
    <t>백제초기적석총</t>
    <phoneticPr fontId="5" type="noConversion"/>
  </si>
  <si>
    <t>송파구</t>
    <phoneticPr fontId="5" type="noConversion"/>
  </si>
  <si>
    <t>바람드리골 한마음 축제</t>
    <phoneticPr fontId="5" type="noConversion"/>
  </si>
  <si>
    <t>○ 자치회관 프로그램 발표
○ 주민노래자랑
○ 먹거리장터, 나눔장터
○ 경품추첨</t>
  </si>
  <si>
    <t>송파구 풍납1동주민센터(02-2147-4007)/바람드리골 한마음축제 추진위원회</t>
  </si>
  <si>
    <t>2014년도
(5회)</t>
    <phoneticPr fontId="5" type="noConversion"/>
  </si>
  <si>
    <t>풍차</t>
    <phoneticPr fontId="5" type="noConversion"/>
  </si>
  <si>
    <t>풍납근린공원</t>
    <phoneticPr fontId="5" type="noConversion"/>
  </si>
  <si>
    <t>거여2동 향나무골축제</t>
    <phoneticPr fontId="5" type="noConversion"/>
  </si>
  <si>
    <t>10월 중</t>
    <phoneticPr fontId="5" type="noConversion"/>
  </si>
  <si>
    <t>○ 문화공연, 체험마당, 먹거리장터 등</t>
    <phoneticPr fontId="5" type="noConversion"/>
  </si>
  <si>
    <t>거여2동향나무골축제추진위원회
(02-2147-4090)</t>
    <phoneticPr fontId="5" type="noConversion"/>
  </si>
  <si>
    <t>2015년
(3회)</t>
    <phoneticPr fontId="5" type="noConversion"/>
  </si>
  <si>
    <t>향나무</t>
    <phoneticPr fontId="5" type="noConversion"/>
  </si>
  <si>
    <t>축제추진위</t>
    <phoneticPr fontId="5" type="noConversion"/>
  </si>
  <si>
    <t>없움</t>
    <phoneticPr fontId="5" type="noConversion"/>
  </si>
  <si>
    <t>향나무어린이
공원</t>
    <phoneticPr fontId="5" type="noConversion"/>
  </si>
  <si>
    <t>방이골 조롱박 축제</t>
    <phoneticPr fontId="5" type="noConversion"/>
  </si>
  <si>
    <t xml:space="preserve">○ 자치회관 프로그램 발표 
○ 박공예 전시회
○ 조롱박 등 전시
○ 먹거리 장터
</t>
    <phoneticPr fontId="5" type="noConversion"/>
  </si>
  <si>
    <t>2003년도(15회)</t>
    <phoneticPr fontId="5" type="noConversion"/>
  </si>
  <si>
    <t xml:space="preserve">축제추진위원회 </t>
    <phoneticPr fontId="5" type="noConversion"/>
  </si>
  <si>
    <t>방이1동주민센터</t>
    <phoneticPr fontId="5" type="noConversion"/>
  </si>
  <si>
    <t>오금동 성내천축제</t>
    <phoneticPr fontId="5" type="noConversion"/>
  </si>
  <si>
    <t>날짜 미정
(3일간)</t>
    <phoneticPr fontId="5" type="noConversion"/>
  </si>
  <si>
    <t>○ 청소년 여가문화동아리 페스티벌
○ 성내천 한마음 주민 노래자랑
○ 성내천 물빛 음악회
○ 부대행사
  - 오금동 추억의 사진전 “그땐 그랬지” 
  - 소망등 달기“보름달아 내 소원을 들어줘!”
  - 북 페스티벌, 도서교환 및 할인전
  - 청소년을 위한 체험부스 운영
  - 농수산물직거래 장터 및 먹거리장터 운영</t>
    <phoneticPr fontId="5" type="noConversion"/>
  </si>
  <si>
    <t>오금동성내천축제추진위원회</t>
    <phoneticPr fontId="5" type="noConversion"/>
  </si>
  <si>
    <t>2008년도
(11회)</t>
    <phoneticPr fontId="5" type="noConversion"/>
  </si>
  <si>
    <t>성내천
(지역하천)</t>
    <phoneticPr fontId="5" type="noConversion"/>
  </si>
  <si>
    <t>오금동
성내천 일대</t>
    <phoneticPr fontId="5" type="noConversion"/>
  </si>
  <si>
    <t>송파나루 주민한마당</t>
    <phoneticPr fontId="5" type="noConversion"/>
  </si>
  <si>
    <t>2018.09.14.</t>
    <phoneticPr fontId="5" type="noConversion"/>
  </si>
  <si>
    <t>○ 주민 문화행사
○ 먹거리장터, 직거래 장터
○ 조선문화 체험관
○ 송파나루 소망배 만들기
○ 전통문화체험
○ 페이스 페인팅, 웰니스 코칭 등 체험행사</t>
    <phoneticPr fontId="5" type="noConversion"/>
  </si>
  <si>
    <t>송파1동주민센터(02-2147-4313)/송파나루추진위원회</t>
    <phoneticPr fontId="5" type="noConversion"/>
  </si>
  <si>
    <t>송파나루</t>
    <phoneticPr fontId="5" type="noConversion"/>
  </si>
  <si>
    <t>송파근린공원</t>
    <phoneticPr fontId="5" type="noConversion"/>
  </si>
  <si>
    <t>돌마리 대동제</t>
    <phoneticPr fontId="5" type="noConversion"/>
  </si>
  <si>
    <t>식전공연, 대동제, 경로잔치, 돌마리 옛사진전 등</t>
    <phoneticPr fontId="5" type="noConversion"/>
  </si>
  <si>
    <t>돌마리애향회</t>
    <phoneticPr fontId="5" type="noConversion"/>
  </si>
  <si>
    <t>1988년도
(제31회)</t>
    <phoneticPr fontId="5" type="noConversion"/>
  </si>
  <si>
    <t>제례</t>
    <phoneticPr fontId="5" type="noConversion"/>
  </si>
  <si>
    <t>임의단체</t>
    <phoneticPr fontId="5" type="noConversion"/>
  </si>
  <si>
    <t>석촌동 일원</t>
    <phoneticPr fontId="5" type="noConversion"/>
  </si>
  <si>
    <t>장군거리축제</t>
    <phoneticPr fontId="5" type="noConversion"/>
  </si>
  <si>
    <t>식전행사, 개회식, 초청공연, 폐회, 경품추첨</t>
  </si>
  <si>
    <t>송파구가락2동 장군거리축제추진위원회</t>
  </si>
  <si>
    <t>2011년도
(7회)</t>
    <phoneticPr fontId="5" type="noConversion"/>
  </si>
  <si>
    <t>개롱골 장군거리</t>
  </si>
  <si>
    <t>장지골 실버락 축제</t>
    <phoneticPr fontId="5" type="noConversion"/>
  </si>
  <si>
    <t>○ 어르신 참여형 문화행사
○ 주민자치프로그램 발표회
○ 노인복지서비스 안내 부스운영
○ 어르신체험부스 운영
○ 주민자치프로그램 작품 전시</t>
    <phoneticPr fontId="5" type="noConversion"/>
  </si>
  <si>
    <t>송파구 장지동(02-2147-4570)/장지골실버락축제추진위원회</t>
    <phoneticPr fontId="5" type="noConversion"/>
  </si>
  <si>
    <t>2015년도
(3회)</t>
    <phoneticPr fontId="5" type="noConversion"/>
  </si>
  <si>
    <t>孝, 樂</t>
    <phoneticPr fontId="5" type="noConversion"/>
  </si>
  <si>
    <t>공공(읍면동)</t>
    <phoneticPr fontId="5" type="noConversion"/>
  </si>
  <si>
    <t>천주교문정동성당</t>
    <phoneticPr fontId="5" type="noConversion"/>
  </si>
  <si>
    <t>강동구</t>
    <phoneticPr fontId="5" type="noConversion"/>
  </si>
  <si>
    <t>제23회 강동선사문화축제</t>
    <phoneticPr fontId="5" type="noConversion"/>
  </si>
  <si>
    <t xml:space="preserve"> ○ 대표프로그램 : 원시 대탐험 거리 퍼레이드, 신석기 고고학 체험스쿨
 ○ 국가사적인 서울 암사동 유적의 선사문화를 테마로 하는 공연, 전시, 체험프로그램 운영
 ○ 개폐막 공연, 체험행사, 공연, 전시, 기타행사
    - 6개 분야 80여개 프로그램</t>
    <phoneticPr fontId="5" type="noConversion"/>
  </si>
  <si>
    <t>강동구 문화체육과
(02-3425-5246)</t>
    <phoneticPr fontId="5" type="noConversion"/>
  </si>
  <si>
    <t>1996년도
(23회)</t>
    <phoneticPr fontId="5" type="noConversion"/>
  </si>
  <si>
    <t>미정</t>
    <phoneticPr fontId="5" type="noConversion"/>
  </si>
  <si>
    <t>선사유적</t>
    <phoneticPr fontId="5" type="noConversion"/>
  </si>
  <si>
    <t>서울 암사동
유적</t>
    <phoneticPr fontId="5" type="noConversion"/>
  </si>
  <si>
    <t>문화관광축제
(육성)</t>
    <phoneticPr fontId="5" type="noConversion"/>
  </si>
  <si>
    <t>있음
(비상설)</t>
    <phoneticPr fontId="5" type="noConversion"/>
  </si>
  <si>
    <t>미작성</t>
    <phoneticPr fontId="5" type="noConversion"/>
  </si>
  <si>
    <t>없음</t>
    <phoneticPr fontId="5" type="noConversion"/>
  </si>
  <si>
    <t>있음
정규직 4명
총 4명</t>
    <phoneticPr fontId="5" type="noConversion"/>
  </si>
  <si>
    <t>있음
(비상설, 사무처 있음 /
계약직 4명 내외)</t>
    <phoneticPr fontId="5" type="noConversion"/>
  </si>
  <si>
    <t>있음
(규모 미작성)</t>
    <phoneticPr fontId="5" type="noConversion"/>
  </si>
  <si>
    <t>있음
정규직 1명</t>
    <phoneticPr fontId="5" type="noConversion"/>
  </si>
  <si>
    <t>있음
정규직 2명
계약직 1명
총 3명</t>
    <phoneticPr fontId="5" type="noConversion"/>
  </si>
  <si>
    <t>공공(시).
축제조직위</t>
    <phoneticPr fontId="5" type="noConversion"/>
  </si>
  <si>
    <t>인천광역시</t>
  </si>
  <si>
    <t>2018 애인페스티벌</t>
  </si>
  <si>
    <t>8~10월</t>
  </si>
  <si>
    <t>인천광역시/ 인천관광공사
(032-440-4068)</t>
  </si>
  <si>
    <t>음악, 군구특색</t>
  </si>
  <si>
    <t>공공(시,관광공사)</t>
  </si>
  <si>
    <t>인천 전역</t>
  </si>
  <si>
    <t>8월말~9월초</t>
  </si>
  <si>
    <t xml:space="preserve"> ·문화예술 </t>
  </si>
  <si>
    <t>대중음악공연,먹거리,EDM</t>
  </si>
  <si>
    <t>·공공(시, 공사)
·민간기업(방송사)</t>
  </si>
  <si>
    <t>인천개항장 야행(밤마실)</t>
  </si>
  <si>
    <t>인천광역시 중구청/인천관광공사
(032-899-7425)</t>
  </si>
  <si>
    <t>2018년도
(2회)</t>
  </si>
  <si>
    <t>문화재 야행 사업</t>
  </si>
  <si>
    <t>문화재</t>
  </si>
  <si>
    <t>개항장 문화재지구</t>
  </si>
  <si>
    <t>강화군</t>
  </si>
  <si>
    <t>강화 문화재 야행(찬란한 고려왕도에 흠뻑 젖다!)</t>
  </si>
  <si>
    <t>○ 고려 문화재를 중심으로 한 테마별, 인물별, 
    시대별 이야기를 야행사업에 담아 방문객의 
    재미와 감동을 이끌어 내는 야간 문화재 
    관람 및 체험,음악공연 등</t>
  </si>
  <si>
    <t>고려문화재
지구</t>
  </si>
  <si>
    <t xml:space="preserve">인천음식문화박람회 </t>
  </si>
  <si>
    <t>9.7~9.9
(3일간)</t>
  </si>
  <si>
    <t>인천광역시 위생안전과
/ 한국외식업중앙회인천광역시지회
(032-440-2762)</t>
  </si>
  <si>
    <t>음식문화</t>
  </si>
  <si>
    <t>인천경제자유구역청</t>
  </si>
  <si>
    <t xml:space="preserve">인천송도불빛축제 </t>
  </si>
  <si>
    <t>○ 야간경관조명 테마별 구조물 조성
○ 야경과 어우러진 개막 공연 및 버스킹
○ 전통등 만들기, 소원등 소원쓰기, 사랑의 메시지 작성 등 체험 프로그램
○</t>
  </si>
  <si>
    <t>인천경제자유구역청
(032-453-7094)</t>
  </si>
  <si>
    <t>조명예술</t>
  </si>
  <si>
    <t xml:space="preserve">자유공원 문화관광축제 </t>
  </si>
  <si>
    <t>중구 문화예술과/인천중구문화원
(032-760-6443)</t>
  </si>
  <si>
    <t>9.15인천상륙작전축제</t>
  </si>
  <si>
    <t>인천상륙작전</t>
  </si>
  <si>
    <t>연안부두축제</t>
  </si>
  <si>
    <t>중구 문화예술과/인천종합어시장협동조합
(032-760-6443)</t>
  </si>
  <si>
    <t>2001년도
(18회)</t>
  </si>
  <si>
    <t>무의도 춤축제</t>
  </si>
  <si>
    <t>8월중</t>
  </si>
  <si>
    <t>○ 각종 창작 춤 공연
○ 셋째 공주 선발대회 등</t>
  </si>
  <si>
    <t>중구 문화예술과/무의도아트센터
(032-760-6443)</t>
  </si>
  <si>
    <t>무의도</t>
  </si>
  <si>
    <t>기타(섬)</t>
  </si>
  <si>
    <t>화도진축제</t>
  </si>
  <si>
    <t>5.18~5.19
(2일간)</t>
  </si>
  <si>
    <t>○ 어영대장축성행렬(핵심 프로그램)
○ 교지하사식, 구민의 날 기념식
○ 특집공개방송, 전통·현대 문화공연
○ 구민노래자랑, 청소년프린지페스티벌 등 주민참여행사
○ 동구관광콘텐츠체험관, 동구관광투어, 전통현대공예체험, 먹거리장터 등</t>
  </si>
  <si>
    <t>인천광역시 동구 관광개발과
(032-770-6922)</t>
  </si>
  <si>
    <t>1990년도
(29회)</t>
  </si>
  <si>
    <t>문화재(화도진)</t>
  </si>
  <si>
    <t>공원, 광장</t>
  </si>
  <si>
    <t>남구</t>
  </si>
  <si>
    <t>주안미디어문화축제</t>
  </si>
  <si>
    <t>인천 남구 문화예술과
(032-880-7978)</t>
  </si>
  <si>
    <t>미디어</t>
  </si>
  <si>
    <t>공원, 시내거리, 문화시설 등</t>
  </si>
  <si>
    <t>연수구</t>
  </si>
  <si>
    <t>인천송도해변
여름대축제</t>
  </si>
  <si>
    <t>7~8월 중</t>
  </si>
  <si>
    <t xml:space="preserve">○ 섬과 해변을 주제로한 휴식 및 놀이, 공연,  체험마당
    프로그램  운영
   -  3개 분야 15여개  프로그램 </t>
  </si>
  <si>
    <t>인천광역시연수구축제추진위원회
(032-749-7303)</t>
  </si>
  <si>
    <t>2016년도
(제3회)</t>
  </si>
  <si>
    <t>섬과 해변</t>
  </si>
  <si>
    <t>연수 능허대문화축제</t>
  </si>
  <si>
    <t>인천광역시연수구축제추진위원회
(032-749-7302)</t>
  </si>
  <si>
    <t>2004년도
(제9회)
※ 09~14년 중단</t>
  </si>
  <si>
    <t>능허대</t>
  </si>
  <si>
    <t>남동구</t>
  </si>
  <si>
    <t>소래포구축제</t>
  </si>
  <si>
    <t>2018.10월
(3일간)</t>
  </si>
  <si>
    <t>○ 남동구 문화와 특산물을 주제로 한 공연과 체험행사</t>
  </si>
  <si>
    <t>인천광역시 남동구 / 남동구도시관리공단(032-460-0513)</t>
  </si>
  <si>
    <t>2001년
(17회)</t>
  </si>
  <si>
    <t>지역문화와
특산물</t>
  </si>
  <si>
    <t xml:space="preserve"> 공원</t>
  </si>
  <si>
    <t>부평구</t>
  </si>
  <si>
    <t>부평풍물대축제</t>
  </si>
  <si>
    <t>인천광역시 부평구 문화체육과 / 부평구축제위원회
032-509-6423</t>
  </si>
  <si>
    <t>풍물</t>
  </si>
  <si>
    <t>축제위원회</t>
  </si>
  <si>
    <t>서구</t>
  </si>
  <si>
    <t>서곶문화예술제</t>
  </si>
  <si>
    <t>(재)인천광역시 서구문화재단</t>
  </si>
  <si>
    <t>1996년
(제23회)</t>
  </si>
  <si>
    <t>지역문화예술인</t>
  </si>
  <si>
    <t>정서진피크닉클래식</t>
  </si>
  <si>
    <t>인천광역시 서구/ 서구문화재단
(032-560-4343)</t>
  </si>
  <si>
    <t>클래식</t>
  </si>
  <si>
    <t>정서진등</t>
  </si>
  <si>
    <t>고려산진달래축제</t>
  </si>
  <si>
    <t>강화군/㈜강화플랫폼21
(032-933-8100)</t>
  </si>
  <si>
    <t>2005년도
(11회)</t>
  </si>
  <si>
    <t>진달래</t>
  </si>
  <si>
    <t>산, 공원</t>
  </si>
  <si>
    <t>개천대축제</t>
  </si>
  <si>
    <t>단군, 개천</t>
  </si>
  <si>
    <t>사적지,
주차장</t>
  </si>
  <si>
    <t>삼랑성역사문화축제</t>
  </si>
  <si>
    <t>○ 가을음악회 개최
○ 성찰(省察)을 주제로 전시 및 체험행사 운영
○ 다례재 및 영산대제 등 문화공연
  -  4개분야  5개 프로그램
○  강화국악한마당 및 남사당놀이 개최 등</t>
  </si>
  <si>
    <t>삼랑성역사문화축제조직위원회/
삼랑성역사문화축제추진위원회
(032-937-0025)</t>
  </si>
  <si>
    <t xml:space="preserve">불교산사예술제 </t>
  </si>
  <si>
    <t>통찰</t>
  </si>
  <si>
    <t>강화도새우젓축제</t>
  </si>
  <si>
    <t>강화도새우젓축제영어조합법인
/새우젓축제추진위원회
(032-932-9337)</t>
  </si>
  <si>
    <t>새우젓</t>
  </si>
  <si>
    <t>부분위탁
(운영,프로그램)</t>
  </si>
  <si>
    <t>강화고려인삼축제</t>
  </si>
  <si>
    <t>강화군/ 강화고려인삼축제
추진위원회
(032-930-3388)</t>
  </si>
  <si>
    <t>부분위탁
(운영,프로그램
등)</t>
  </si>
  <si>
    <t xml:space="preserve">사적지
</t>
  </si>
  <si>
    <r>
      <t xml:space="preserve">축제종류
</t>
    </r>
    <r>
      <rPr>
        <b/>
        <sz val="10"/>
        <color rgb="FFC00000"/>
        <rFont val="굴림"/>
        <family val="3"/>
        <charset val="129"/>
      </rPr>
      <t>(택1)</t>
    </r>
    <phoneticPr fontId="5" type="noConversion"/>
  </si>
  <si>
    <r>
      <t xml:space="preserve"> ○ </t>
    </r>
    <r>
      <rPr>
        <u/>
        <sz val="10"/>
        <rFont val="굴림"/>
        <family val="3"/>
        <charset val="129"/>
      </rPr>
      <t>진동불꽃낙화</t>
    </r>
    <r>
      <rPr>
        <sz val="10"/>
        <rFont val="굴림"/>
        <family val="3"/>
        <charset val="129"/>
      </rPr>
      <t xml:space="preserve">
 ○ 창원 진동미더덕 가요제 및 축하공연
 ○ 미더덕 나눔행사 및 체험프로그램 운영
 ○ 음식관 운영 등</t>
    </r>
    <phoneticPr fontId="5" type="noConversion"/>
  </si>
  <si>
    <r>
      <t xml:space="preserve"> ○ </t>
    </r>
    <r>
      <rPr>
        <u/>
        <sz val="10"/>
        <rFont val="굴림"/>
        <family val="3"/>
        <charset val="129"/>
      </rPr>
      <t>지역대표 민속문화예술 축제-연극(모녀상봉지곡)</t>
    </r>
    <r>
      <rPr>
        <sz val="10"/>
        <rFont val="굴림"/>
        <family val="3"/>
        <charset val="129"/>
      </rPr>
      <t xml:space="preserve">
 ○ 전야제, 개막식, 본행사, 부대행사, 폐막식
 ○ 한가위음악회, 가무극, 강강술래, 당산제, 고유제, 
     축고제, 민속놀이 체험행사, 만남 및 달 조형전 등
 ○ 민속씨름대회, 오광대, 민속줄타기, 팔도소리, 
     명창대회, 우리굿 한마당, 살구정농악재현, 만남의벽,
     다문화한마당, 만남스튜디오 등</t>
    </r>
    <phoneticPr fontId="5" type="noConversion"/>
  </si>
  <si>
    <r>
      <t xml:space="preserve"> ○ </t>
    </r>
    <r>
      <rPr>
        <u/>
        <sz val="10"/>
        <rFont val="굴림"/>
        <family val="3"/>
        <charset val="129"/>
      </rPr>
      <t>헌다례 및 신위순행</t>
    </r>
    <r>
      <rPr>
        <sz val="10"/>
        <rFont val="굴림"/>
        <family val="3"/>
        <charset val="129"/>
      </rPr>
      <t xml:space="preserve">
 ○ 여성,교방문화를 테마로 한 전통문화예술축제
 ○ 의암별제, 논개순국재현극, 교방문화체험 등 
   - 본행사 18개 종목, 체험 및 부대행사31 개 </t>
    </r>
    <phoneticPr fontId="5" type="noConversion"/>
  </si>
  <si>
    <r>
      <t xml:space="preserve"> ㅇ(전 야 제) 해녀어업 보전․발전 포럼, 전국 해녀 교류의 밤 행사 
 ㅇ(첫 째 날) 해녀의 날 기념식, 거리퍼레이드, 개막식, 유네스코 문화공연, 해녀물질재연, 해녀생애구술사 등 
 ㅇ(둘 째 날) 바릇</t>
    </r>
    <r>
      <rPr>
        <sz val="10"/>
        <rFont val="MS PMincho"/>
        <family val="1"/>
        <charset val="128"/>
      </rPr>
      <t>･</t>
    </r>
    <r>
      <rPr>
        <sz val="10"/>
        <rFont val="굴림"/>
        <family val="3"/>
        <charset val="129"/>
      </rPr>
      <t>광어잡이</t>
    </r>
    <r>
      <rPr>
        <sz val="10"/>
        <rFont val="MS PMincho"/>
        <family val="1"/>
        <charset val="128"/>
      </rPr>
      <t>･</t>
    </r>
    <r>
      <rPr>
        <sz val="10"/>
        <rFont val="굴림"/>
        <family val="3"/>
        <charset val="129"/>
      </rPr>
      <t>물질체험, 해녀가족노래자랑, 지역문화공연 등
ㅇ(부대행사) 향토음식점, 수산물시식회, 홍보관, 체험관, 포토죤 운영 등</t>
    </r>
    <phoneticPr fontId="5" type="noConversion"/>
  </si>
  <si>
    <r>
      <t xml:space="preserve"> 
 ○ 주제공연 : 서동의 노래(서동과 선화공주의 사랑이야기)
 ○ 연꽃과 서동(무왕)을 테마로한 공연, 전시, 체험프로그램 
 ○ 개폐막 공연, 주제공연 및 지역예술단체공연 등
     (40여개 프로그램)
 ○ 경연대회, 지역 문화</t>
    </r>
    <r>
      <rPr>
        <sz val="10"/>
        <rFont val="HY중고딕"/>
        <family val="1"/>
        <charset val="129"/>
      </rPr>
      <t>‧</t>
    </r>
    <r>
      <rPr>
        <sz val="10"/>
        <rFont val="굴림"/>
        <family val="3"/>
        <charset val="129"/>
      </rPr>
      <t xml:space="preserve">관광자원과의 연계된 프로그램 등
</t>
    </r>
  </si>
  <si>
    <t>동해 싱싱 수산물 축제
(前 대게랑 문어랑 축제)</t>
    <phoneticPr fontId="5" type="noConversion"/>
  </si>
  <si>
    <t>1.5~1.21
(17일간)</t>
    <phoneticPr fontId="5" type="noConversion"/>
  </si>
  <si>
    <t xml:space="preserve"> ○ 송어얼음낚시
 ○ 얼음·텐트·어린이낚시와 맨손잡기 등 각종 송어낚시 
     프로그램 운영
 ○ 눈썰매, 전통썰매, 스노우래프팅, 얼음카트 등 다양
     한 놀이시설과 퍼레이드 및 이벤트를 통한 여러가지
     체험행사 진행
 ○ 축제장 내 식당과 연계한 회센터 및 다양한 먹거리 
     제공</t>
    <phoneticPr fontId="5" type="noConversion"/>
  </si>
  <si>
    <t>Ye's Park
(이천도자예술마을)</t>
    <phoneticPr fontId="5" type="noConversion"/>
  </si>
  <si>
    <t>○ 축제 개막식 및 축제전시 등
○ 경기생활예술클럽한마당
○ 사랑방거리축제 등
○ 사랑방퍼레이드 및 폐막행사 등</t>
    <phoneticPr fontId="5" type="noConversion"/>
  </si>
  <si>
    <r>
      <t xml:space="preserve">축제종류
</t>
    </r>
    <r>
      <rPr>
        <b/>
        <sz val="10"/>
        <color indexed="60"/>
        <rFont val="굴림"/>
        <family val="3"/>
        <charset val="129"/>
      </rPr>
      <t>(택1)</t>
    </r>
    <phoneticPr fontId="5" type="noConversion"/>
  </si>
  <si>
    <r>
      <t xml:space="preserve">축제종류
</t>
    </r>
    <r>
      <rPr>
        <b/>
        <sz val="10"/>
        <color rgb="FFC00000"/>
        <rFont val="굴림"/>
        <family val="3"/>
        <charset val="129"/>
      </rPr>
      <t>(택1)</t>
    </r>
    <phoneticPr fontId="5" type="noConversion"/>
  </si>
  <si>
    <r>
      <t xml:space="preserve">○ 시연마당 : </t>
    </r>
    <r>
      <rPr>
        <b/>
        <sz val="10"/>
        <rFont val="굴림"/>
        <family val="3"/>
        <charset val="129"/>
      </rPr>
      <t>고싸움놀이</t>
    </r>
    <r>
      <rPr>
        <sz val="10"/>
        <rFont val="굴림"/>
        <family val="3"/>
        <charset val="129"/>
      </rPr>
      <t>/고퍼레이드/대동 큰줄다리기
○ 전통공연 : 국내 주요 민속놀이 공연 등
○ 문화공연 : 대중가수, 민요, 통기타 공연 등
○ 상설마당 : 공예체험/인형극장/신춘휘호 등
○ 체험마당 : 영상체험관/고ㆍ복주머니 포토존/민속놀이 
                     풍등날리기, 달집태우기 등</t>
    </r>
    <phoneticPr fontId="5" type="noConversion"/>
  </si>
  <si>
    <r>
      <t xml:space="preserve">○ 전시프로그램 : 양림동 화가들, </t>
    </r>
    <r>
      <rPr>
        <b/>
        <sz val="10"/>
        <rFont val="굴림"/>
        <family val="3"/>
        <charset val="129"/>
      </rPr>
      <t>양림동 출신 화가 
   특별전</t>
    </r>
    <r>
      <rPr>
        <sz val="10"/>
        <rFont val="굴림"/>
        <family val="3"/>
        <charset val="129"/>
      </rPr>
      <t xml:space="preserve"> 등
○ 공연프로그램 : </t>
    </r>
    <r>
      <rPr>
        <b/>
        <sz val="10"/>
        <rFont val="굴림"/>
        <family val="3"/>
        <charset val="129"/>
      </rPr>
      <t>가을 숲속 음악회</t>
    </r>
    <r>
      <rPr>
        <sz val="10"/>
        <rFont val="굴림"/>
        <family val="3"/>
        <charset val="129"/>
      </rPr>
      <t>, 제창주의 추억찾기 
○ 특별프로그램 :</t>
    </r>
    <r>
      <rPr>
        <b/>
        <sz val="10"/>
        <rFont val="굴림"/>
        <family val="3"/>
        <charset val="129"/>
      </rPr>
      <t xml:space="preserve"> 명사 인문학 강의</t>
    </r>
    <r>
      <rPr>
        <sz val="10"/>
        <rFont val="굴림"/>
        <family val="3"/>
        <charset val="129"/>
      </rPr>
      <t>, 가을詩낭송대회 등
○ 참여프로그램 : 어린이가 그린 양림, 양림의 시낭송가</t>
    </r>
    <phoneticPr fontId="5" type="noConversion"/>
  </si>
  <si>
    <r>
      <t>○ 개막식, 승시재연
○사찰문화</t>
    </r>
    <r>
      <rPr>
        <sz val="10"/>
        <rFont val="MS PMincho"/>
        <family val="1"/>
        <charset val="128"/>
      </rPr>
      <t>・</t>
    </r>
    <r>
      <rPr>
        <sz val="10"/>
        <rFont val="굴림"/>
        <family val="3"/>
        <charset val="129"/>
      </rPr>
      <t>음식 체험, 불교</t>
    </r>
    <r>
      <rPr>
        <sz val="10"/>
        <rFont val="MS PMincho"/>
        <family val="1"/>
        <charset val="128"/>
      </rPr>
      <t>・</t>
    </r>
    <r>
      <rPr>
        <sz val="10"/>
        <rFont val="굴림"/>
        <family val="3"/>
        <charset val="129"/>
      </rPr>
      <t>전통예술 공연 등</t>
    </r>
    <phoneticPr fontId="5" type="noConversion"/>
  </si>
  <si>
    <t>(서울특별시 지역축제 담당 : 문화예술과 02-2133-2571)</t>
    <phoneticPr fontId="5" type="noConversion"/>
  </si>
  <si>
    <t>(울산광역시 지역축제 담당 : 관광진흥과 052-229-3854)</t>
    <phoneticPr fontId="5" type="noConversion"/>
  </si>
  <si>
    <t>(부산광역시 지역축제 담당 : 관광진흥과 051-888-5051)</t>
    <phoneticPr fontId="5" type="noConversion"/>
  </si>
  <si>
    <t>(강원도 지역축제 담당 : 관광마케팅과 033-249-3343)</t>
    <phoneticPr fontId="5" type="noConversion"/>
  </si>
  <si>
    <t>(경기도 지역축제 담당 : 관광과 031-8008-3336)</t>
    <phoneticPr fontId="5" type="noConversion"/>
  </si>
  <si>
    <t>(제주특별자치도 지역축제 담당 : 관광정책과 064-710-3032)</t>
    <phoneticPr fontId="5" type="noConversion"/>
  </si>
  <si>
    <t>(전라북도 지역축제 담당 : 관광총괄과 063-280-2709)</t>
    <phoneticPr fontId="5" type="noConversion"/>
  </si>
  <si>
    <t>(대구광역시 지역축제 담당 : 문화예술정책과 053-803-6221)</t>
    <phoneticPr fontId="5" type="noConversion"/>
  </si>
  <si>
    <t>(대전광역시 지역축제 담당 : 관광진흥과 042-270-3976)</t>
    <phoneticPr fontId="5" type="noConversion"/>
  </si>
  <si>
    <t>(세종특별자치시 지역축제 담당 : 문화체육관광과 044-300-3443)</t>
    <phoneticPr fontId="5" type="noConversion"/>
  </si>
  <si>
    <t>(광주광역시 지역축제 담당 : 관광진흥과 062-613-3641)</t>
    <phoneticPr fontId="5" type="noConversion"/>
  </si>
  <si>
    <t>(충청북도 지역축제 담당 : 관광항공과 043-220-3964)</t>
    <phoneticPr fontId="5" type="noConversion"/>
  </si>
  <si>
    <t>2018년 지역축제 개최 계획</t>
    <phoneticPr fontId="16" type="noConversion"/>
  </si>
  <si>
    <t xml:space="preserve">방문객수(2017년기준, 단위 : 천명) </t>
    <phoneticPr fontId="5" type="noConversion"/>
  </si>
  <si>
    <t>연번</t>
    <phoneticPr fontId="5" type="noConversion"/>
  </si>
  <si>
    <t>시도명</t>
    <phoneticPr fontId="5" type="noConversion"/>
  </si>
  <si>
    <t>시군구명</t>
    <phoneticPr fontId="5" type="noConversion"/>
  </si>
  <si>
    <t>축제명</t>
    <phoneticPr fontId="5" type="noConversion"/>
  </si>
  <si>
    <t>2018년
개최기간</t>
    <phoneticPr fontId="5" type="noConversion"/>
  </si>
  <si>
    <t>축제주요내용</t>
    <phoneticPr fontId="5" type="noConversion"/>
  </si>
  <si>
    <t>주최/주관
(담당자 연락처)</t>
    <phoneticPr fontId="5" type="noConversion"/>
  </si>
  <si>
    <t>최초개최년도
및 횟수</t>
    <phoneticPr fontId="5" type="noConversion"/>
  </si>
  <si>
    <t>2018년
축제예산</t>
    <phoneticPr fontId="5" type="noConversion"/>
  </si>
  <si>
    <t>국비</t>
    <phoneticPr fontId="5" type="noConversion"/>
  </si>
  <si>
    <t>시,도비</t>
    <phoneticPr fontId="5" type="noConversion"/>
  </si>
  <si>
    <t>구,군비</t>
    <phoneticPr fontId="5" type="noConversion"/>
  </si>
  <si>
    <t>기타</t>
    <phoneticPr fontId="5" type="noConversion"/>
  </si>
  <si>
    <t>국비지원
부처명</t>
    <phoneticPr fontId="5" type="noConversion"/>
  </si>
  <si>
    <t>세부사업명</t>
    <phoneticPr fontId="5" type="noConversion"/>
  </si>
  <si>
    <r>
      <t xml:space="preserve">축제종류
</t>
    </r>
    <r>
      <rPr>
        <b/>
        <sz val="10"/>
        <color indexed="60"/>
        <rFont val="굴림"/>
        <family val="3"/>
        <charset val="129"/>
      </rPr>
      <t>(택1)</t>
    </r>
    <phoneticPr fontId="5" type="noConversion"/>
  </si>
  <si>
    <t>문화관광축제 여부</t>
    <phoneticPr fontId="5" type="noConversion"/>
  </si>
  <si>
    <t>축제소재</t>
    <phoneticPr fontId="5" type="noConversion"/>
  </si>
  <si>
    <t>개최주기</t>
    <phoneticPr fontId="5" type="noConversion"/>
  </si>
  <si>
    <t>조직형태</t>
    <phoneticPr fontId="5" type="noConversion"/>
  </si>
  <si>
    <t>사업위탁
운영여부</t>
    <phoneticPr fontId="5" type="noConversion"/>
  </si>
  <si>
    <t>합 계</t>
    <phoneticPr fontId="5" type="noConversion"/>
  </si>
  <si>
    <t>내국인</t>
    <phoneticPr fontId="5" type="noConversion"/>
  </si>
  <si>
    <t>외국인</t>
    <phoneticPr fontId="5" type="noConversion"/>
  </si>
  <si>
    <t>개최장소</t>
    <phoneticPr fontId="5" type="noConversion"/>
  </si>
  <si>
    <t>청주시</t>
    <phoneticPr fontId="5" type="noConversion"/>
  </si>
  <si>
    <t>2018 청주야행
밤드리 노니다가</t>
    <phoneticPr fontId="5" type="noConversion"/>
  </si>
  <si>
    <t>8월말
(3일간)</t>
    <phoneticPr fontId="5" type="noConversion"/>
  </si>
  <si>
    <t>○문화재 야행 및 시민체험행사</t>
    <phoneticPr fontId="5" type="noConversion"/>
  </si>
  <si>
    <t>청주시 문화예술과
(043-201-2025)</t>
    <phoneticPr fontId="5" type="noConversion"/>
  </si>
  <si>
    <t>2016년도
(3회)</t>
    <phoneticPr fontId="5" type="noConversion"/>
  </si>
  <si>
    <t>문화재청</t>
    <phoneticPr fontId="5" type="noConversion"/>
  </si>
  <si>
    <t>문화재야행 지원</t>
    <phoneticPr fontId="5" type="noConversion"/>
  </si>
  <si>
    <t>문화재</t>
    <phoneticPr fontId="5" type="noConversion"/>
  </si>
  <si>
    <t>매년</t>
    <phoneticPr fontId="5" type="noConversion"/>
  </si>
  <si>
    <t>공공</t>
    <phoneticPr fontId="5" type="noConversion"/>
  </si>
  <si>
    <t>없음</t>
    <phoneticPr fontId="5" type="noConversion"/>
  </si>
  <si>
    <t>자체추진</t>
    <phoneticPr fontId="5" type="noConversion"/>
  </si>
  <si>
    <t>시내거리</t>
    <phoneticPr fontId="5" type="noConversion"/>
  </si>
  <si>
    <t>청주시</t>
    <phoneticPr fontId="5" type="noConversion"/>
  </si>
  <si>
    <t>청주성탈환 426주념기념, 청주읍성큰잔치</t>
    <phoneticPr fontId="5" type="noConversion"/>
  </si>
  <si>
    <t>9월초
(3일간)</t>
    <phoneticPr fontId="5" type="noConversion"/>
  </si>
  <si>
    <t>○시민퍼레이드, 큰줄댕기기, 의승병 추모제</t>
    <phoneticPr fontId="5" type="noConversion"/>
  </si>
  <si>
    <t>청주시 문화예술과
(043-201-2017)</t>
    <phoneticPr fontId="5" type="noConversion"/>
  </si>
  <si>
    <t>2010년도
(10회)</t>
    <phoneticPr fontId="5" type="noConversion"/>
  </si>
  <si>
    <t>청주읍성</t>
    <phoneticPr fontId="5" type="noConversion"/>
  </si>
  <si>
    <t>매년</t>
    <phoneticPr fontId="5" type="noConversion"/>
  </si>
  <si>
    <t>공공</t>
    <phoneticPr fontId="5" type="noConversion"/>
  </si>
  <si>
    <t>없음</t>
    <phoneticPr fontId="5" type="noConversion"/>
  </si>
  <si>
    <t>부분위탁</t>
    <phoneticPr fontId="5" type="noConversion"/>
  </si>
  <si>
    <t>시내겨리</t>
    <phoneticPr fontId="5" type="noConversion"/>
  </si>
  <si>
    <t>충청북도</t>
    <phoneticPr fontId="5" type="noConversion"/>
  </si>
  <si>
    <t>청주시</t>
    <phoneticPr fontId="5" type="noConversion"/>
  </si>
  <si>
    <t>2018 청주공예페어</t>
    <phoneticPr fontId="5" type="noConversion"/>
  </si>
  <si>
    <t>10월중
(5일간)</t>
    <phoneticPr fontId="5" type="noConversion"/>
  </si>
  <si>
    <t>○공예페어 및 교육체험 이벤트</t>
    <phoneticPr fontId="5" type="noConversion"/>
  </si>
  <si>
    <t>청주시 문화예술과
(043-201-2032)</t>
    <phoneticPr fontId="5" type="noConversion"/>
  </si>
  <si>
    <t>2010년도
(4회)</t>
    <phoneticPr fontId="5" type="noConversion"/>
  </si>
  <si>
    <t>문화예술</t>
    <phoneticPr fontId="5" type="noConversion"/>
  </si>
  <si>
    <t>공예</t>
    <phoneticPr fontId="5" type="noConversion"/>
  </si>
  <si>
    <t>격년</t>
    <phoneticPr fontId="5" type="noConversion"/>
  </si>
  <si>
    <t>재단법인</t>
    <phoneticPr fontId="5" type="noConversion"/>
  </si>
  <si>
    <t>있음
(비상설)</t>
    <phoneticPr fontId="5" type="noConversion"/>
  </si>
  <si>
    <t>전체위탁</t>
    <phoneticPr fontId="5" type="noConversion"/>
  </si>
  <si>
    <t>미기재</t>
    <phoneticPr fontId="5" type="noConversion"/>
  </si>
  <si>
    <t>문화산업진흥재단</t>
    <phoneticPr fontId="5" type="noConversion"/>
  </si>
  <si>
    <t>충청북도</t>
    <phoneticPr fontId="5" type="noConversion"/>
  </si>
  <si>
    <t>청주시</t>
    <phoneticPr fontId="5" type="noConversion"/>
  </si>
  <si>
    <t>젓가락페스티벌</t>
    <phoneticPr fontId="5" type="noConversion"/>
  </si>
  <si>
    <t>11월중
(5일간)</t>
    <phoneticPr fontId="5" type="noConversion"/>
  </si>
  <si>
    <t>○젓가락특별전, 젓가락의날 행사</t>
    <phoneticPr fontId="5" type="noConversion"/>
  </si>
  <si>
    <t>청주시 문화예술과
(043-201-2012)</t>
    <phoneticPr fontId="5" type="noConversion"/>
  </si>
  <si>
    <t>2015년도
(4회)</t>
    <phoneticPr fontId="5" type="noConversion"/>
  </si>
  <si>
    <t>문화예술</t>
    <phoneticPr fontId="5" type="noConversion"/>
  </si>
  <si>
    <t>젓가락</t>
    <phoneticPr fontId="5" type="noConversion"/>
  </si>
  <si>
    <t>재단법인</t>
    <phoneticPr fontId="5" type="noConversion"/>
  </si>
  <si>
    <t>있음
(비상설)</t>
    <phoneticPr fontId="5" type="noConversion"/>
  </si>
  <si>
    <t>전체위탁</t>
    <phoneticPr fontId="5" type="noConversion"/>
  </si>
  <si>
    <t>문화산업진흥재단</t>
    <phoneticPr fontId="5" type="noConversion"/>
  </si>
  <si>
    <t>제12회 
세종대왕과 초정약수축제</t>
    <phoneticPr fontId="5" type="noConversion"/>
  </si>
  <si>
    <t>5.25~5.27
(3일간)</t>
    <phoneticPr fontId="5" type="noConversion"/>
  </si>
  <si>
    <t>○어가행차 재현</t>
    <phoneticPr fontId="5" type="noConversion"/>
  </si>
  <si>
    <t>청주시 관광과
(043-201-2042)</t>
    <phoneticPr fontId="5" type="noConversion"/>
  </si>
  <si>
    <t>2003년도
(12회)</t>
    <phoneticPr fontId="5" type="noConversion"/>
  </si>
  <si>
    <t>기타</t>
    <phoneticPr fontId="5" type="noConversion"/>
  </si>
  <si>
    <t>세종대왕과 초정약수</t>
    <phoneticPr fontId="5" type="noConversion"/>
  </si>
  <si>
    <t xml:space="preserve">공원 </t>
    <phoneticPr fontId="5" type="noConversion"/>
  </si>
  <si>
    <t xml:space="preserve">2018 청원생명축제 </t>
    <phoneticPr fontId="5" type="noConversion"/>
  </si>
  <si>
    <t>10.5~10.14
(10일간)</t>
    <phoneticPr fontId="5" type="noConversion"/>
  </si>
  <si>
    <t>○농축산물 판매, 주요공연 등</t>
    <phoneticPr fontId="5" type="noConversion"/>
  </si>
  <si>
    <t>청주시 관광과
(043-201-2092)</t>
    <phoneticPr fontId="5" type="noConversion"/>
  </si>
  <si>
    <t>2008년도
(10회)</t>
    <phoneticPr fontId="5" type="noConversion"/>
  </si>
  <si>
    <t>지역특산물</t>
    <phoneticPr fontId="5" type="noConversion"/>
  </si>
  <si>
    <t>청원생명브랜드</t>
    <phoneticPr fontId="5" type="noConversion"/>
  </si>
  <si>
    <t>축제조직위</t>
    <phoneticPr fontId="5" type="noConversion"/>
  </si>
  <si>
    <t>충주시</t>
    <phoneticPr fontId="5" type="noConversion"/>
  </si>
  <si>
    <t>2018 충주호수축제</t>
    <phoneticPr fontId="5" type="noConversion"/>
  </si>
  <si>
    <t>8.1~8.5
(5일간)</t>
    <phoneticPr fontId="5" type="noConversion"/>
  </si>
  <si>
    <t>○ 개폐막 공연, 문화공연, 밴드경연대회 등
○ 수상워터파크, 뮤직페스티벌, 맥주페스티벌,</t>
    <phoneticPr fontId="5" type="noConversion"/>
  </si>
  <si>
    <t>충주시 관광과
충주중원문화재단
(043-850-6721)</t>
    <phoneticPr fontId="5" type="noConversion"/>
  </si>
  <si>
    <t>2002년도
(15회)</t>
    <phoneticPr fontId="5" type="noConversion"/>
  </si>
  <si>
    <t>호수</t>
    <phoneticPr fontId="5" type="noConversion"/>
  </si>
  <si>
    <t>격년</t>
    <phoneticPr fontId="5" type="noConversion"/>
  </si>
  <si>
    <t>탄금호 국제조정경기장 일원</t>
    <phoneticPr fontId="5" type="noConversion"/>
  </si>
  <si>
    <t>충주시</t>
    <phoneticPr fontId="5" type="noConversion"/>
  </si>
  <si>
    <t>충주호벚꽃축제</t>
    <phoneticPr fontId="5" type="noConversion"/>
  </si>
  <si>
    <t>4.6~4.8
(3일간)</t>
    <phoneticPr fontId="5" type="noConversion"/>
  </si>
  <si>
    <t>○벚꽃길 걷기대회, 사생대회, 노래자랑 등
○마술동연 및 가수초청 공연, 충주호 사계절 사 전시 등</t>
    <phoneticPr fontId="5" type="noConversion"/>
  </si>
  <si>
    <t>(사)충주사회단체연합회
(043-847-4001)</t>
    <phoneticPr fontId="5" type="noConversion"/>
  </si>
  <si>
    <t>2011년도
(8회)</t>
    <phoneticPr fontId="5" type="noConversion"/>
  </si>
  <si>
    <t>벚꽃, 충주호</t>
    <phoneticPr fontId="5" type="noConversion"/>
  </si>
  <si>
    <t>사단법인</t>
    <phoneticPr fontId="5" type="noConversion"/>
  </si>
  <si>
    <t>충주호 물문화관일원</t>
    <phoneticPr fontId="5" type="noConversion"/>
  </si>
  <si>
    <t>수안보 온천제</t>
    <phoneticPr fontId="5" type="noConversion"/>
  </si>
  <si>
    <t>4월중
(3일간)</t>
    <phoneticPr fontId="5" type="noConversion"/>
  </si>
  <si>
    <t>○온정수신제, 길놀이, 농특산품판매
○온천수 계란삶기, 온천할인이벤트 등</t>
    <phoneticPr fontId="5" type="noConversion"/>
  </si>
  <si>
    <t>(사)수안보온천관광협의회
(043-846-3605)</t>
    <phoneticPr fontId="5" type="noConversion"/>
  </si>
  <si>
    <t>1985년도
(34회)</t>
    <phoneticPr fontId="5" type="noConversion"/>
  </si>
  <si>
    <t>온천</t>
    <phoneticPr fontId="5" type="noConversion"/>
  </si>
  <si>
    <t>수안보온천광장</t>
    <phoneticPr fontId="5" type="noConversion"/>
  </si>
  <si>
    <t>앙성탄산온천 휴양축제</t>
    <phoneticPr fontId="5" type="noConversion"/>
  </si>
  <si>
    <t>10월중
(3일간)</t>
    <phoneticPr fontId="5" type="noConversion"/>
  </si>
  <si>
    <t>○캠핑페스티벌, 탄산온천물놀이장운영
○캄보밴드공연, 지역노래자랑, 비내길 걷기 등</t>
    <phoneticPr fontId="5" type="noConversion"/>
  </si>
  <si>
    <t>(사)앙성온천관광협의회
(043-852-1068)</t>
    <phoneticPr fontId="5" type="noConversion"/>
  </si>
  <si>
    <t>1998년도
(20회)</t>
    <phoneticPr fontId="5" type="noConversion"/>
  </si>
  <si>
    <t>온천</t>
    <phoneticPr fontId="5" type="noConversion"/>
  </si>
  <si>
    <t>사단법인</t>
    <phoneticPr fontId="5" type="noConversion"/>
  </si>
  <si>
    <t>있음
(비상설)</t>
    <phoneticPr fontId="5" type="noConversion"/>
  </si>
  <si>
    <t>전체위탁</t>
    <phoneticPr fontId="5" type="noConversion"/>
  </si>
  <si>
    <t>앙성온천광장</t>
    <phoneticPr fontId="5" type="noConversion"/>
  </si>
  <si>
    <t>충주시</t>
    <phoneticPr fontId="5" type="noConversion"/>
  </si>
  <si>
    <t>충주 농산물 한마당 축제</t>
    <phoneticPr fontId="5" type="noConversion"/>
  </si>
  <si>
    <t>10월중
(2일간)</t>
    <phoneticPr fontId="5" type="noConversion"/>
  </si>
  <si>
    <t>○ 직거래장터, 공연행사 및 부대행사</t>
    <phoneticPr fontId="5" type="noConversion"/>
  </si>
  <si>
    <t>충주시 농정과 /
충주농산물한마당축제추진위원회
(043-850-5721)</t>
    <phoneticPr fontId="5" type="noConversion"/>
  </si>
  <si>
    <t>2015년도
(4회)</t>
    <phoneticPr fontId="5" type="noConversion"/>
  </si>
  <si>
    <t>지역농특산품</t>
    <phoneticPr fontId="5" type="noConversion"/>
  </si>
  <si>
    <t>축제조직위</t>
    <phoneticPr fontId="5" type="noConversion"/>
  </si>
  <si>
    <t>세계무술공원</t>
    <phoneticPr fontId="5" type="noConversion"/>
  </si>
  <si>
    <t>우륵문화제</t>
    <phoneticPr fontId="5" type="noConversion"/>
  </si>
  <si>
    <t>9월중
(4일간)</t>
    <phoneticPr fontId="5" type="noConversion"/>
  </si>
  <si>
    <t>○ 우륵국악단, 충주천 거리조성, 충주를 소재로한 문화콘텐츠 등</t>
    <phoneticPr fontId="5" type="noConversion"/>
  </si>
  <si>
    <t>충주시 문화예술과/
한국예총충주지회
(043-850-5961)</t>
    <phoneticPr fontId="5" type="noConversion"/>
  </si>
  <si>
    <t>1971년도
(48회)</t>
    <phoneticPr fontId="5" type="noConversion"/>
  </si>
  <si>
    <t>문화</t>
    <phoneticPr fontId="5" type="noConversion"/>
  </si>
  <si>
    <t>있음
정규직 3명</t>
    <phoneticPr fontId="5" type="noConversion"/>
  </si>
  <si>
    <t>충주시 일원</t>
    <phoneticPr fontId="5" type="noConversion"/>
  </si>
  <si>
    <t>제22회 
청풍호 벚꽃축제</t>
    <phoneticPr fontId="5" type="noConversion"/>
  </si>
  <si>
    <t>4.13~4.15
(3일간)</t>
    <phoneticPr fontId="5" type="noConversion"/>
  </si>
  <si>
    <t>○ 핵심프로그램 : 개막식, 벚꽃축제 기념콘서트 등
○ 상설 공연행사 : 지역문화예술단체 공연
○ 전시 및 체험프로그램 운영 : 30여개 전시 및 체험프로그램
○ 특별프로그램 : 청풍호 벚꽃쉼터, 시민 벚꽃길 걷기행사 등</t>
    <phoneticPr fontId="5" type="noConversion"/>
  </si>
  <si>
    <t>제천시(문화예술과)
/(사)제천시문화예술위원회(043-641-4870)</t>
    <phoneticPr fontId="5" type="noConversion"/>
  </si>
  <si>
    <t>1997년도
(21회)</t>
    <phoneticPr fontId="5" type="noConversion"/>
  </si>
  <si>
    <t>있음 
계약직 2명</t>
    <phoneticPr fontId="5" type="noConversion"/>
  </si>
  <si>
    <t>제14회 
제천국제음악영화제</t>
    <phoneticPr fontId="5" type="noConversion"/>
  </si>
  <si>
    <t>8.9~8.14
(6일간)</t>
    <phoneticPr fontId="5" type="noConversion"/>
  </si>
  <si>
    <t>○ 핵심프로그램 : 개폐막식, 원썸머나잇, 의림썸머나잇
○ 영화프로그램 : 음악을 주제로 한 영화상영(100여편)
○ 음악프로그램 : 30여개 팀 공연 
○ 특별프로그램 : 거리의 악사 페스티벌, 제천영화음악제 아카데미, 제천영화음악상, JIMFF포럼,  JIMFF동네극장 등</t>
    <phoneticPr fontId="5" type="noConversion"/>
  </si>
  <si>
    <t>제천시(문화예술과)
/(사)제천국제음악영화제
(02-925-2243)</t>
    <phoneticPr fontId="5" type="noConversion"/>
  </si>
  <si>
    <t>2005년도
(13회)</t>
    <phoneticPr fontId="5" type="noConversion"/>
  </si>
  <si>
    <t>창의123주년 
제천의병제</t>
    <phoneticPr fontId="5" type="noConversion"/>
  </si>
  <si>
    <t>10월중
(3일간)</t>
    <phoneticPr fontId="5" type="noConversion"/>
  </si>
  <si>
    <t>○ 핵심프로그램 : 혼불채화, 거리퍼레이드,개막식
○ 제례행사 : 고유제, 순국의병위령묘제
○ 학술행사 : 제천의병학술세미나
○ 전시 및 체험행사 : 의병관련 전시 및 체험 프로그램 
○ 특별프로그램 : 의병유적지순례, 의병영화상영 등</t>
    <phoneticPr fontId="5" type="noConversion"/>
  </si>
  <si>
    <t>제천시(문화예술과)
/(사)제천시문화예술위원회(043-641-4870)</t>
    <phoneticPr fontId="5" type="noConversion"/>
  </si>
  <si>
    <t>1996년도
(22회)</t>
    <phoneticPr fontId="5" type="noConversion"/>
  </si>
  <si>
    <t>보은군</t>
    <phoneticPr fontId="5" type="noConversion"/>
  </si>
  <si>
    <t>2018 보은대추축제</t>
    <phoneticPr fontId="5" type="noConversion"/>
  </si>
  <si>
    <t>10.12~10.21
(10일간)</t>
    <phoneticPr fontId="5" type="noConversion"/>
  </si>
  <si>
    <t>○ 전국 제일의 맛을 자랑하는 보은 대추·청정농특산물
    실비판매, 다채로운 문화행사 체험
○ 개폐막 공연, 주제공연 및 문화공연
○ 기타 특별행사 및 전시 등</t>
    <phoneticPr fontId="5" type="noConversion"/>
  </si>
  <si>
    <t>보은군 
/ 보은군축제추진위원회
(043-540-3392)</t>
    <phoneticPr fontId="5" type="noConversion"/>
  </si>
  <si>
    <t>2007년도
(12회)</t>
    <phoneticPr fontId="5" type="noConversion"/>
  </si>
  <si>
    <t>지역특산물</t>
    <phoneticPr fontId="5" type="noConversion"/>
  </si>
  <si>
    <t>대추</t>
    <phoneticPr fontId="5" type="noConversion"/>
  </si>
  <si>
    <t>매년</t>
    <phoneticPr fontId="5" type="noConversion"/>
  </si>
  <si>
    <t>축제조직위</t>
    <phoneticPr fontId="5" type="noConversion"/>
  </si>
  <si>
    <t>있음
(비상설)</t>
    <phoneticPr fontId="5" type="noConversion"/>
  </si>
  <si>
    <t>전체위탁</t>
    <phoneticPr fontId="5" type="noConversion"/>
  </si>
  <si>
    <t>공원</t>
    <phoneticPr fontId="5" type="noConversion"/>
  </si>
  <si>
    <t>보은군</t>
    <phoneticPr fontId="5" type="noConversion"/>
  </si>
  <si>
    <t>2018 속리축전</t>
    <phoneticPr fontId="5" type="noConversion"/>
  </si>
  <si>
    <t>10월중
(3일간)</t>
    <phoneticPr fontId="5" type="noConversion"/>
  </si>
  <si>
    <t>○ 충북 알프스 등반대회 및 천왕봉 산신제
○ 체험행사(무형문화재체험, 전통놀이 등)
○ 풍물경연대회, 송이놀이 시연, 템플스테이 등</t>
    <phoneticPr fontId="5" type="noConversion"/>
  </si>
  <si>
    <t>보은군 
/ 보은군축제추진위원회
(043-540-3372)</t>
    <phoneticPr fontId="5" type="noConversion"/>
  </si>
  <si>
    <t>1978년도
(41회)</t>
    <phoneticPr fontId="5" type="noConversion"/>
  </si>
  <si>
    <t>문화재청</t>
    <phoneticPr fontId="5" type="noConversion"/>
  </si>
  <si>
    <t>보은 속리산 천왕봉 산신제</t>
    <phoneticPr fontId="5" type="noConversion"/>
  </si>
  <si>
    <t>전통문화</t>
    <phoneticPr fontId="5" type="noConversion"/>
  </si>
  <si>
    <t>사찰, 광장</t>
    <phoneticPr fontId="5" type="noConversion"/>
  </si>
  <si>
    <t>보은군</t>
    <phoneticPr fontId="5" type="noConversion"/>
  </si>
  <si>
    <t>제23회 오장환문학제</t>
    <phoneticPr fontId="5" type="noConversion"/>
  </si>
  <si>
    <t>10월중
(2일간)</t>
    <phoneticPr fontId="5" type="noConversion"/>
  </si>
  <si>
    <t>○ 오장환문학상 및 오장환신인문학상 시상
○ 문학강연, 문학기행, 저명 작가와의 만남의 장
○ 충북 초중학생 백일장 및 체험부스 운영 등</t>
    <phoneticPr fontId="5" type="noConversion"/>
  </si>
  <si>
    <t>보은군 / 보은문화원
(043-540-3754)</t>
    <phoneticPr fontId="5" type="noConversion"/>
  </si>
  <si>
    <t>1996년도
(22회)</t>
    <phoneticPr fontId="5" type="noConversion"/>
  </si>
  <si>
    <t>인물
(오장환 시인)</t>
    <phoneticPr fontId="5" type="noConversion"/>
  </si>
  <si>
    <t>오장환문학제
추진위원회</t>
    <phoneticPr fontId="5" type="noConversion"/>
  </si>
  <si>
    <t>박물관, 공원</t>
    <phoneticPr fontId="5" type="noConversion"/>
  </si>
  <si>
    <t>제16회 보은동학제</t>
    <phoneticPr fontId="5" type="noConversion"/>
  </si>
  <si>
    <t>보은동학</t>
    <phoneticPr fontId="5" type="noConversion"/>
  </si>
  <si>
    <t>보은동학제
추진위원회</t>
    <phoneticPr fontId="5" type="noConversion"/>
  </si>
  <si>
    <t>공원</t>
    <phoneticPr fontId="5" type="noConversion"/>
  </si>
  <si>
    <t>옥천군</t>
    <phoneticPr fontId="5" type="noConversion"/>
  </si>
  <si>
    <t>제19회 옥천묘목축제</t>
    <phoneticPr fontId="5" type="noConversion"/>
  </si>
  <si>
    <t>3.30~4.3
(5일간)</t>
    <phoneticPr fontId="5" type="noConversion"/>
  </si>
  <si>
    <t xml:space="preserve">○ 묘목나누어주기
○ 기타 특별행사 및 전시 등등 </t>
    <phoneticPr fontId="5" type="noConversion"/>
  </si>
  <si>
    <t>옥천군
(043-730-3593)</t>
    <phoneticPr fontId="5" type="noConversion"/>
  </si>
  <si>
    <t>1999년도
(19회)</t>
    <phoneticPr fontId="5" type="noConversion"/>
  </si>
  <si>
    <t>옥천묘목</t>
    <phoneticPr fontId="5" type="noConversion"/>
  </si>
  <si>
    <t xml:space="preserve">·부분위탁
 (운영,하드웨어, 
   프로그램)
</t>
    <phoneticPr fontId="5" type="noConversion"/>
  </si>
  <si>
    <t>공원</t>
    <phoneticPr fontId="5" type="noConversion"/>
  </si>
  <si>
    <t>충청북도</t>
    <phoneticPr fontId="5" type="noConversion"/>
  </si>
  <si>
    <t>옥천군</t>
    <phoneticPr fontId="5" type="noConversion"/>
  </si>
  <si>
    <t>제31회 지용제</t>
    <phoneticPr fontId="5" type="noConversion"/>
  </si>
  <si>
    <t>5.10~5.13
(4일간)</t>
    <phoneticPr fontId="5" type="noConversion"/>
  </si>
  <si>
    <t xml:space="preserve">○ 정지용문학상시상, 지용시창작가요제, 시 낭송대회
○ 시인과함께하는 시노래공연, 향수민속촌, 달빛야행
○ 개폐막 공연 및 각종 문화공연
○ 전시 및 체험행사 </t>
    <phoneticPr fontId="5" type="noConversion"/>
  </si>
  <si>
    <t>옥천군/
지용제추진위원회,지용회,
옥천문인협회, 각문화예술단체
(043-730-3402)</t>
    <phoneticPr fontId="5" type="noConversion"/>
  </si>
  <si>
    <t>1988년도
(31회)</t>
    <phoneticPr fontId="5" type="noConversion"/>
  </si>
  <si>
    <t>문화관광축제
(육성)</t>
    <phoneticPr fontId="5" type="noConversion"/>
  </si>
  <si>
    <t>인물
(정지용시인)</t>
    <phoneticPr fontId="5" type="noConversion"/>
  </si>
  <si>
    <t>매년</t>
    <phoneticPr fontId="5" type="noConversion"/>
  </si>
  <si>
    <t>사단법인</t>
    <phoneticPr fontId="5" type="noConversion"/>
  </si>
  <si>
    <t>공원, 마을</t>
    <phoneticPr fontId="5" type="noConversion"/>
  </si>
  <si>
    <t>충청북도</t>
    <phoneticPr fontId="5" type="noConversion"/>
  </si>
  <si>
    <t>옥천군</t>
    <phoneticPr fontId="5" type="noConversion"/>
  </si>
  <si>
    <t>제12회 
향수옥천포도복숭아축제</t>
    <phoneticPr fontId="5" type="noConversion"/>
  </si>
  <si>
    <t>7.20~7.22
(3일간)</t>
    <phoneticPr fontId="5" type="noConversion"/>
  </si>
  <si>
    <t>○ 농특산물체험행사(포도,복숭아,옥수수등)
○ 옥천포도복숭아가요제 
○ 개폐막 공연 및 각종 문화공연
○ 전시 및 체험행사</t>
    <phoneticPr fontId="5" type="noConversion"/>
  </si>
  <si>
    <t>옥천군/
옥천군포도복숭아연합회
(043-730-3284)</t>
    <phoneticPr fontId="5" type="noConversion"/>
  </si>
  <si>
    <t>포도, 복숭아</t>
    <phoneticPr fontId="5" type="noConversion"/>
  </si>
  <si>
    <t>공공(시군구)</t>
    <phoneticPr fontId="5" type="noConversion"/>
  </si>
  <si>
    <t>없음</t>
    <phoneticPr fontId="5" type="noConversion"/>
  </si>
  <si>
    <t>부분위탁
(하드웨어, 프로그램)</t>
    <phoneticPr fontId="5" type="noConversion"/>
  </si>
  <si>
    <t>운동장</t>
    <phoneticPr fontId="5" type="noConversion"/>
  </si>
  <si>
    <t>제43회 중봉충렬제</t>
    <phoneticPr fontId="5" type="noConversion"/>
  </si>
  <si>
    <t>10월중
(3일간)</t>
    <phoneticPr fontId="5" type="noConversion"/>
  </si>
  <si>
    <t>○ 중봉조헌추모제향 및 영규대사 추모제
○ 전시행사</t>
    <phoneticPr fontId="5" type="noConversion"/>
  </si>
  <si>
    <t>옥천군,옥천문화원/옥천청년회의소,각 문화예술단체
(043-730-3402)</t>
    <phoneticPr fontId="5" type="noConversion"/>
  </si>
  <si>
    <t>1976년도
(43회)</t>
    <phoneticPr fontId="5" type="noConversion"/>
  </si>
  <si>
    <t>인물
(의병장 조헌)</t>
    <phoneticPr fontId="5" type="noConversion"/>
  </si>
  <si>
    <t>공원, 유적지</t>
    <phoneticPr fontId="5" type="noConversion"/>
  </si>
  <si>
    <t>영동난계국악축제</t>
    <phoneticPr fontId="5" type="noConversion"/>
  </si>
  <si>
    <t>9월~10월중
(4일간)</t>
    <phoneticPr fontId="5" type="noConversion"/>
  </si>
  <si>
    <t>1965년도
(51회)</t>
    <phoneticPr fontId="5" type="noConversion"/>
  </si>
  <si>
    <t>있음
파견직공무원 2명
계약직 4명
총 6명</t>
    <phoneticPr fontId="5" type="noConversion"/>
  </si>
  <si>
    <t>하천변</t>
    <phoneticPr fontId="5" type="noConversion"/>
  </si>
  <si>
    <t>9월~10월중
(4일간)</t>
    <phoneticPr fontId="5" type="noConversion"/>
  </si>
  <si>
    <t>영동군, 영동군축제추진위원회
/ 영동축제관광재단, 와인연구회
043-745-8916~8</t>
    <phoneticPr fontId="5" type="noConversion"/>
  </si>
  <si>
    <t>2010년도
(9회)</t>
    <phoneticPr fontId="5" type="noConversion"/>
  </si>
  <si>
    <t>와인</t>
    <phoneticPr fontId="5" type="noConversion"/>
  </si>
  <si>
    <t>있음
파견직공무원 2명
계약직 4명
총 6명</t>
    <phoneticPr fontId="5" type="noConversion"/>
  </si>
  <si>
    <t>8.23~8.26
(4일간)</t>
    <phoneticPr fontId="5" type="noConversion"/>
  </si>
  <si>
    <t>영동군, 영동군축제추진위원회
/ 영동축제관광재단, 포도연합회
043-745-8916~8</t>
    <phoneticPr fontId="5" type="noConversion"/>
  </si>
  <si>
    <t>2004년도
(14회)</t>
    <phoneticPr fontId="5" type="noConversion"/>
  </si>
  <si>
    <t>체육관</t>
    <phoneticPr fontId="5" type="noConversion"/>
  </si>
  <si>
    <t>12.14~12.16
(3일간)</t>
    <phoneticPr fontId="5" type="noConversion"/>
  </si>
  <si>
    <t>영동군, 영동군축제추진위원회
/ 영동축제관광재단, 곶감연합회043-745-8916~8</t>
    <phoneticPr fontId="5" type="noConversion"/>
  </si>
  <si>
    <t>2003년도
(15회)</t>
    <phoneticPr fontId="5" type="noConversion"/>
  </si>
  <si>
    <t>곶감</t>
    <phoneticPr fontId="5" type="noConversion"/>
  </si>
  <si>
    <t>있음
파견직공무원 2명
계약직 4명
총 6명</t>
    <phoneticPr fontId="5" type="noConversion"/>
  </si>
  <si>
    <t>하천변</t>
    <phoneticPr fontId="5" type="noConversion"/>
  </si>
  <si>
    <t>증평군</t>
    <phoneticPr fontId="5" type="noConversion"/>
  </si>
  <si>
    <t>증평들노래축제</t>
    <phoneticPr fontId="5" type="noConversion"/>
  </si>
  <si>
    <t>6.16~6.17
(2일간)</t>
    <phoneticPr fontId="5" type="noConversion"/>
  </si>
  <si>
    <t xml:space="preserve"> ○ 핵심프로그램(장뜰두레놀이 시연)
 ○ 전통 농경문화 공연, 전시, 체험프로그램 운영
 ○ 개막 공연 및 각종 문화공연
 ○체험행사(물고기·우렁이잡기, 감자캐기, 논놀이·농경체험, 오감체험 등)
 ○ 경연행사(전국국악경연대회, 전국시조경창대회, 전국사진촬영대회 등)
 ○ 전시행사(사진전시, 시화전시 등)</t>
    <phoneticPr fontId="5" type="noConversion"/>
  </si>
  <si>
    <t>증평군 문화체육과
/ 증평예총
(043-835-3970)</t>
    <phoneticPr fontId="5" type="noConversion"/>
  </si>
  <si>
    <t>2004년도
(14회)</t>
    <phoneticPr fontId="5" type="noConversion"/>
  </si>
  <si>
    <t>전통역사</t>
    <phoneticPr fontId="5" type="noConversion"/>
  </si>
  <si>
    <t>두레농요
전통문화예술
(국악, 시조 등)</t>
    <phoneticPr fontId="5" type="noConversion"/>
  </si>
  <si>
    <t>사단법인
(증평예총)</t>
    <phoneticPr fontId="5" type="noConversion"/>
  </si>
  <si>
    <t>있음
정규직 1명</t>
    <phoneticPr fontId="5" type="noConversion"/>
  </si>
  <si>
    <t>부분위탁</t>
    <phoneticPr fontId="5" type="noConversion"/>
  </si>
  <si>
    <t>박물관</t>
    <phoneticPr fontId="5" type="noConversion"/>
  </si>
  <si>
    <t>증평군</t>
    <phoneticPr fontId="5" type="noConversion"/>
  </si>
  <si>
    <t>증평인삼골축제</t>
    <phoneticPr fontId="5" type="noConversion"/>
  </si>
  <si>
    <t>10.4~10.7
(4일간)</t>
    <phoneticPr fontId="5" type="noConversion"/>
  </si>
  <si>
    <t xml:space="preserve"> ○ 핵심프로그램(인삼캐기체험, 홍삼포크 대잔치)
 ○ 인삼, 홍삼포크를 테마로한 공연, 전시, 체험프로그램 운영
 ○ 개막 공연 및 문화공연(열린콘서트, 인삼골합창제, 인삼골군악콘서트, 인삼골영화제)
 ○ 경연행사(국제청소년페스티벌, 인삼장사씨름대회, 인삼골가요제, 증평인삼어린이사생대회, 백곡김득신백일장)
 ○ 기타 전시·체험행사, 참여행사 등 </t>
    <phoneticPr fontId="5" type="noConversion"/>
  </si>
  <si>
    <t>증평군 문화체육과 
/ 증평문화원
(043-835-3977)</t>
    <phoneticPr fontId="5" type="noConversion"/>
  </si>
  <si>
    <t>1992년도
(26회)</t>
    <phoneticPr fontId="5" type="noConversion"/>
  </si>
  <si>
    <t>지역특산물</t>
    <phoneticPr fontId="5" type="noConversion"/>
  </si>
  <si>
    <t>인삼, 홍삼포크</t>
    <phoneticPr fontId="5" type="noConversion"/>
  </si>
  <si>
    <t>사단법인
(증평문화원)</t>
    <phoneticPr fontId="5" type="noConversion"/>
  </si>
  <si>
    <t xml:space="preserve">있음
정규직 3명
 </t>
    <phoneticPr fontId="5" type="noConversion"/>
  </si>
  <si>
    <t>진천군</t>
    <phoneticPr fontId="5" type="noConversion"/>
  </si>
  <si>
    <t>생거진천 농다리축제</t>
    <phoneticPr fontId="5" type="noConversion"/>
  </si>
  <si>
    <t>5.25~5.27
(3일간)</t>
    <phoneticPr fontId="5" type="noConversion"/>
  </si>
  <si>
    <t>○상여다리건너기, 농사철다리건너기, 농다리 전국가요제
○견지낚시대회, 백일장 및 사생대회, 농다리 씨름대회
○등용문 축제, 공신들의 비법전수, 입시전략 특강
○각종 전시,체험 부스 등</t>
    <phoneticPr fontId="5" type="noConversion"/>
  </si>
  <si>
    <t>농다리축제추진위원회
/ 진천문화원
(043-533-2744)</t>
    <phoneticPr fontId="5" type="noConversion"/>
  </si>
  <si>
    <t>2000년도
(18회)</t>
    <phoneticPr fontId="5" type="noConversion"/>
  </si>
  <si>
    <t>전통역사</t>
    <phoneticPr fontId="5" type="noConversion"/>
  </si>
  <si>
    <t>농다리</t>
    <phoneticPr fontId="5" type="noConversion"/>
  </si>
  <si>
    <t>사단법인</t>
    <phoneticPr fontId="5" type="noConversion"/>
  </si>
  <si>
    <t>사적지</t>
    <phoneticPr fontId="5" type="noConversion"/>
  </si>
  <si>
    <t>진천군</t>
    <phoneticPr fontId="5" type="noConversion"/>
  </si>
  <si>
    <t>생거진천 문화축제</t>
    <phoneticPr fontId="5" type="noConversion"/>
  </si>
  <si>
    <t>○문화예술공연, 민속경기, 길놀이, 군민 가요제
○건강박람회, 기업체 우수제품 홍보판매관
○평생학습축제, 향토음식 경연대회
○농특산물전시판매행사, 향토 먹거리장터 등</t>
    <phoneticPr fontId="5" type="noConversion"/>
  </si>
  <si>
    <t>문화축제추진위원회
/ 진천문화원
(043-533-2744)</t>
    <phoneticPr fontId="5" type="noConversion"/>
  </si>
  <si>
    <t>1979년도
(39회)</t>
    <phoneticPr fontId="5" type="noConversion"/>
  </si>
  <si>
    <t>주민화합</t>
    <phoneticPr fontId="5" type="noConversion"/>
  </si>
  <si>
    <t>문화</t>
    <phoneticPr fontId="5" type="noConversion"/>
  </si>
  <si>
    <t>기타</t>
    <phoneticPr fontId="5" type="noConversion"/>
  </si>
  <si>
    <t>괴산군</t>
    <phoneticPr fontId="5" type="noConversion"/>
  </si>
  <si>
    <t>괴산고추축제</t>
    <phoneticPr fontId="5" type="noConversion"/>
  </si>
  <si>
    <t>8.30~9.2
(4일간)</t>
    <phoneticPr fontId="5" type="noConversion"/>
  </si>
  <si>
    <t>○황금고추를 찾아라(킬러콘텐츠), 속풀이고추난타
○고추를 테마로 한 공연, 전시 체험프로그램(100여종)
○지역농특산물직판장운영(고추,옥수수 등)</t>
    <phoneticPr fontId="5" type="noConversion"/>
  </si>
  <si>
    <t>괴산군 문화관광과
/ 괴산축제위원회
(043-830-3462)</t>
    <phoneticPr fontId="5" type="noConversion"/>
  </si>
  <si>
    <t>2001년도
(18회)</t>
    <phoneticPr fontId="5" type="noConversion"/>
  </si>
  <si>
    <t>문체부</t>
    <phoneticPr fontId="5" type="noConversion"/>
  </si>
  <si>
    <t>문화관광축제 지원</t>
    <phoneticPr fontId="5" type="noConversion"/>
  </si>
  <si>
    <t>문화관광축제
(유망)</t>
    <phoneticPr fontId="5" type="noConversion"/>
  </si>
  <si>
    <t>고추, 대학찰옥수수, 절임배추</t>
    <phoneticPr fontId="5" type="noConversion"/>
  </si>
  <si>
    <t>있음
정규직4명</t>
    <phoneticPr fontId="5" type="noConversion"/>
  </si>
  <si>
    <t>광장</t>
    <phoneticPr fontId="5" type="noConversion"/>
  </si>
  <si>
    <t>괴산군</t>
    <phoneticPr fontId="5" type="noConversion"/>
  </si>
  <si>
    <t>괴산 미선나무꽃축제</t>
    <phoneticPr fontId="5" type="noConversion"/>
  </si>
  <si>
    <t>3.30~4.1
(2일간)</t>
    <phoneticPr fontId="5" type="noConversion"/>
  </si>
  <si>
    <t>○미선나무분재전시회
○미선나무마을주민합창단 공연
○꽂꽃이 경연대회  
○미선나무묘목나눔행사</t>
    <phoneticPr fontId="5" type="noConversion"/>
  </si>
  <si>
    <t>2009년도
(10회)</t>
    <phoneticPr fontId="5" type="noConversion"/>
  </si>
  <si>
    <t>미선나무(꽃)</t>
    <phoneticPr fontId="5" type="noConversion"/>
  </si>
  <si>
    <t>계곡 입구</t>
    <phoneticPr fontId="5" type="noConversion"/>
  </si>
  <si>
    <t>괴산 사리면 
백마권역겨울놀이축제</t>
    <phoneticPr fontId="5" type="noConversion"/>
  </si>
  <si>
    <t>1.12~1.21
(10일)</t>
    <phoneticPr fontId="5" type="noConversion"/>
  </si>
  <si>
    <t>○눈썰매, 얼음썰매 등 겨울민속놀이
○쥐불놀이, 연놀이, 빙어뜰채 잡기 등 체험행사
○지역주민화합한마당행사</t>
    <phoneticPr fontId="5" type="noConversion"/>
  </si>
  <si>
    <t>백마권역영농조합법인
(043-836-9911)</t>
    <phoneticPr fontId="5" type="noConversion"/>
  </si>
  <si>
    <t>2013년도
(5회)</t>
    <phoneticPr fontId="5" type="noConversion"/>
  </si>
  <si>
    <t>생태자연</t>
    <phoneticPr fontId="5" type="noConversion"/>
  </si>
  <si>
    <t>겨울민속놀이</t>
    <phoneticPr fontId="5" type="noConversion"/>
  </si>
  <si>
    <t>매년</t>
    <phoneticPr fontId="5" type="noConversion"/>
  </si>
  <si>
    <t>축제조직위</t>
    <phoneticPr fontId="5" type="noConversion"/>
  </si>
  <si>
    <t>있음
정규직1명</t>
    <phoneticPr fontId="5" type="noConversion"/>
  </si>
  <si>
    <t>자체추진</t>
    <phoneticPr fontId="5" type="noConversion"/>
  </si>
  <si>
    <t>저수지변</t>
    <phoneticPr fontId="5" type="noConversion"/>
  </si>
  <si>
    <t>괴산군</t>
    <phoneticPr fontId="5" type="noConversion"/>
  </si>
  <si>
    <t>감물감자축제</t>
    <phoneticPr fontId="5" type="noConversion"/>
  </si>
  <si>
    <t>6.22~6.23
(2일간)</t>
    <phoneticPr fontId="5" type="noConversion"/>
  </si>
  <si>
    <t>○ 감자캐기 등 농산물체험, 농특산물경매
○ 공연 및 먹거리장터 운영</t>
    <phoneticPr fontId="5" type="noConversion"/>
  </si>
  <si>
    <t>2008년도
(8회)</t>
    <phoneticPr fontId="5" type="noConversion"/>
  </si>
  <si>
    <t>감자 등 농특산물</t>
    <phoneticPr fontId="5" type="noConversion"/>
  </si>
  <si>
    <t>괴산둔율올갱이축제</t>
    <phoneticPr fontId="5" type="noConversion"/>
  </si>
  <si>
    <t>8.24~8.26
(2일간)</t>
    <phoneticPr fontId="5" type="noConversion"/>
  </si>
  <si>
    <t>○황금올갱이를찾아라 등 올갱이 체험
○먹거리체험 등</t>
    <phoneticPr fontId="5" type="noConversion"/>
  </si>
  <si>
    <t>2008년도
(10회)</t>
    <phoneticPr fontId="5" type="noConversion"/>
  </si>
  <si>
    <t>올갱이</t>
    <phoneticPr fontId="5" type="noConversion"/>
  </si>
  <si>
    <t>있음
정규직2명</t>
    <phoneticPr fontId="5" type="noConversion"/>
  </si>
  <si>
    <t>마을</t>
    <phoneticPr fontId="5" type="noConversion"/>
  </si>
  <si>
    <t>청천환경문화축제</t>
    <phoneticPr fontId="5" type="noConversion"/>
  </si>
  <si>
    <t>8월초
(2일간)</t>
    <phoneticPr fontId="5" type="noConversion"/>
  </si>
  <si>
    <t xml:space="preserve">○환경관련문화행사
○물놀이 등 생태체험 </t>
    <phoneticPr fontId="5" type="noConversion"/>
  </si>
  <si>
    <t>생태자연</t>
    <phoneticPr fontId="5" type="noConversion"/>
  </si>
  <si>
    <t>환경보호</t>
    <phoneticPr fontId="5" type="noConversion"/>
  </si>
  <si>
    <t>전시장</t>
    <phoneticPr fontId="5" type="noConversion"/>
  </si>
  <si>
    <t>연풍조령제 및 
자전거문화축제</t>
    <phoneticPr fontId="5" type="noConversion"/>
  </si>
  <si>
    <t>10.13~10.14
(2일간)</t>
    <phoneticPr fontId="5" type="noConversion"/>
  </si>
  <si>
    <t>○조령제 및 전통문화 시연
○한지체험 등 체험행사
○이화령산악자전거대회</t>
    <phoneticPr fontId="5" type="noConversion"/>
  </si>
  <si>
    <t>1982년도
(37회)</t>
    <phoneticPr fontId="5" type="noConversion"/>
  </si>
  <si>
    <t>조령제 및 장원급제행렬</t>
    <phoneticPr fontId="5" type="noConversion"/>
  </si>
  <si>
    <t>학교</t>
    <phoneticPr fontId="5" type="noConversion"/>
  </si>
  <si>
    <t>제19회
음성품바축제</t>
    <phoneticPr fontId="5" type="noConversion"/>
  </si>
  <si>
    <t>5.23~5.27
(5일간)</t>
    <phoneticPr fontId="5" type="noConversion"/>
  </si>
  <si>
    <t>○품바래퍼경연대회
○품바왕 선발대회
○열림식(덕담한마디, 퓨전마당놀이)
○품바 길놀이 퍼레이드, 2판4판 난장판
○관광객과 함께하는 품바공연
○천인의 품바비빔밥나누기, 천인의 엿치기
○품바움막짓기대회, 성인전용 품바유료공연
○품바촌운영(품바가락배우기 등)
○60-70추억의 거리조성
  (품바주점,짚공예,추억교복체험,전파사,극장 등)</t>
    <phoneticPr fontId="5" type="noConversion"/>
  </si>
  <si>
    <t>음성군 축제추진위원회/
품바축제기획실무위원회
(043-873-2241)</t>
    <phoneticPr fontId="5" type="noConversion"/>
  </si>
  <si>
    <t>2000년도
(19회)</t>
    <phoneticPr fontId="5" type="noConversion"/>
  </si>
  <si>
    <t>있음
계약직1명</t>
    <phoneticPr fontId="5" type="noConversion"/>
  </si>
  <si>
    <t>공원, 꽃동네</t>
    <phoneticPr fontId="5" type="noConversion"/>
  </si>
  <si>
    <t>제37회
설성문화제</t>
    <phoneticPr fontId="5" type="noConversion"/>
  </si>
  <si>
    <t>9.12~9.15
(4일간)</t>
    <phoneticPr fontId="5" type="noConversion"/>
  </si>
  <si>
    <t>○전통민속놀이 재현
○군민 노래자랑 및 군민 위안의 밤 
○각종 전시․체험 행사</t>
    <phoneticPr fontId="5" type="noConversion"/>
  </si>
  <si>
    <t>음성군축제추진위원회/
설성문화제기획실무위원회
(043-872-4084)</t>
    <phoneticPr fontId="5" type="noConversion"/>
  </si>
  <si>
    <t>제23회
음성청결고추축제</t>
    <phoneticPr fontId="5" type="noConversion"/>
  </si>
  <si>
    <t>○고추 및 일반농산물 직거래장터
○미스터고추 및 고추아줌마 선발
○소비자 초청 어울마당
○과수품평회 및 고추왕 전시
○각종 체험행사 및 시식판매 행사 등</t>
    <phoneticPr fontId="5" type="noConversion"/>
  </si>
  <si>
    <t>음성청결고추축제
추진위원회
(043-872-4084)</t>
    <phoneticPr fontId="5" type="noConversion"/>
  </si>
  <si>
    <t>1996년도
(23회)</t>
    <phoneticPr fontId="5" type="noConversion"/>
  </si>
  <si>
    <t>제6회
음성인삼축제</t>
    <phoneticPr fontId="5" type="noConversion"/>
  </si>
  <si>
    <t>10월중</t>
    <phoneticPr fontId="5" type="noConversion"/>
  </si>
  <si>
    <t>○음성인삼류 및 일반농산물 직거래장터
○축하공연 및 기념식
○음성인삼 명인왕 선발 등
○음성인삼 가요제 등
○홍삼비누 만들기 등 체험 및 시식판매 행사</t>
    <phoneticPr fontId="5" type="noConversion"/>
  </si>
  <si>
    <t>2013년도
(6회)</t>
    <phoneticPr fontId="5" type="noConversion"/>
  </si>
  <si>
    <t>단양군</t>
    <phoneticPr fontId="5" type="noConversion"/>
  </si>
  <si>
    <t>제3회 
쌍둥이 힐링 페스티벌</t>
    <phoneticPr fontId="5" type="noConversion"/>
  </si>
  <si>
    <t>5.5~5.6
(2일간)</t>
    <phoneticPr fontId="5" type="noConversion"/>
  </si>
  <si>
    <t>단양군 문화관광과 
/ 단양문화원
(043-420-2562)</t>
    <phoneticPr fontId="5" type="noConversion"/>
  </si>
  <si>
    <t>2016년도
(3회)</t>
    <phoneticPr fontId="5" type="noConversion"/>
  </si>
  <si>
    <t>쌍둥이 가족</t>
    <phoneticPr fontId="5" type="noConversion"/>
  </si>
  <si>
    <t>제36회 
단양 소백산 철쭉제</t>
    <phoneticPr fontId="5" type="noConversion"/>
  </si>
  <si>
    <t>5.24~5.27
(4일간)</t>
    <phoneticPr fontId="5" type="noConversion"/>
  </si>
  <si>
    <t>○ 가족과 함께하는 소백산행
○ 소백산 철쭉을 주제로 하는 다양한 전시, 공연, 체험프로그램 운영</t>
    <phoneticPr fontId="5" type="noConversion"/>
  </si>
  <si>
    <t>소백산철쭉제추진위원회
/ 단양문화원
(043-420-2562)</t>
    <phoneticPr fontId="5" type="noConversion"/>
  </si>
  <si>
    <t>1983년도
(36회)</t>
    <phoneticPr fontId="5" type="noConversion"/>
  </si>
  <si>
    <t>소백산 철쭉</t>
    <phoneticPr fontId="5" type="noConversion"/>
  </si>
  <si>
    <t>제22회 
단양 온달문화축제</t>
    <phoneticPr fontId="5" type="noConversion"/>
  </si>
  <si>
    <t>10.19~10.21
(3일간)</t>
    <phoneticPr fontId="5" type="noConversion"/>
  </si>
  <si>
    <t>○ 고구려테마존
○ 고구려문화 및 온달과 평강을 주제로 하는 공연, 전시, 체험프로그램 운영</t>
    <phoneticPr fontId="5" type="noConversion"/>
  </si>
  <si>
    <t>문화관광축제
(육성)</t>
    <phoneticPr fontId="5" type="noConversion"/>
  </si>
  <si>
    <t>고구려 문화
(온달평강)</t>
    <phoneticPr fontId="5" type="noConversion"/>
  </si>
  <si>
    <t>온달관광지</t>
    <phoneticPr fontId="5" type="noConversion"/>
  </si>
  <si>
    <t>농산물 한마당 대축제</t>
    <phoneticPr fontId="5" type="noConversion"/>
  </si>
  <si>
    <t>9월~10월
(미정)</t>
    <phoneticPr fontId="5" type="noConversion"/>
  </si>
  <si>
    <t>○ 단양농특산물 홍보관
○ 단양 농산물 등을 주제로 하는 공연, 전시, 체험프로그램 등  프로그램 운영</t>
    <phoneticPr fontId="5" type="noConversion"/>
  </si>
  <si>
    <t>농산물 한마당 축제추진위원회</t>
    <phoneticPr fontId="5" type="noConversion"/>
  </si>
  <si>
    <t>2018년도
(1회)</t>
    <phoneticPr fontId="5" type="noConversion"/>
  </si>
  <si>
    <t>농특산물</t>
    <phoneticPr fontId="5" type="noConversion"/>
  </si>
  <si>
    <t>2018년 지역축제 개최계획 총괄표</t>
    <phoneticPr fontId="5" type="noConversion"/>
  </si>
  <si>
    <t>(경상북도 지역축제 담당 : 관광진흥과 054-880-3182)</t>
    <phoneticPr fontId="5" type="noConversion"/>
  </si>
  <si>
    <t>예산현황(단위 : 백만원)</t>
    <phoneticPr fontId="5" type="noConversion"/>
  </si>
  <si>
    <t xml:space="preserve">방문객수(2017년기준, 단위 : 천명) </t>
    <phoneticPr fontId="5" type="noConversion"/>
  </si>
  <si>
    <t>연번</t>
    <phoneticPr fontId="5" type="noConversion"/>
  </si>
  <si>
    <t>시도명</t>
    <phoneticPr fontId="5" type="noConversion"/>
  </si>
  <si>
    <t>시군구명</t>
    <phoneticPr fontId="5" type="noConversion"/>
  </si>
  <si>
    <t>축제명</t>
    <phoneticPr fontId="5" type="noConversion"/>
  </si>
  <si>
    <t>2018년
개최기간</t>
    <phoneticPr fontId="5" type="noConversion"/>
  </si>
  <si>
    <t>축제주요내용</t>
    <phoneticPr fontId="5" type="noConversion"/>
  </si>
  <si>
    <t>주최/주관
(담당자 연락처)</t>
    <phoneticPr fontId="5" type="noConversion"/>
  </si>
  <si>
    <t>최초개최년도
및 횟수</t>
    <phoneticPr fontId="5" type="noConversion"/>
  </si>
  <si>
    <t>2018년
축제예산</t>
    <phoneticPr fontId="5" type="noConversion"/>
  </si>
  <si>
    <t>국비</t>
    <phoneticPr fontId="5" type="noConversion"/>
  </si>
  <si>
    <t>시,도비</t>
    <phoneticPr fontId="5" type="noConversion"/>
  </si>
  <si>
    <t>구,군비</t>
    <phoneticPr fontId="5" type="noConversion"/>
  </si>
  <si>
    <t>기타</t>
    <phoneticPr fontId="5" type="noConversion"/>
  </si>
  <si>
    <t>국비지원
부처명</t>
    <phoneticPr fontId="5" type="noConversion"/>
  </si>
  <si>
    <t>세부사업명</t>
    <phoneticPr fontId="5" type="noConversion"/>
  </si>
  <si>
    <r>
      <t xml:space="preserve">축제종류
</t>
    </r>
    <r>
      <rPr>
        <b/>
        <sz val="10"/>
        <color rgb="FFC00000"/>
        <rFont val="굴림"/>
        <family val="3"/>
        <charset val="129"/>
      </rPr>
      <t>(택1)</t>
    </r>
    <phoneticPr fontId="5" type="noConversion"/>
  </si>
  <si>
    <t>문화관광축제 여부</t>
    <phoneticPr fontId="5" type="noConversion"/>
  </si>
  <si>
    <t>축제소재</t>
    <phoneticPr fontId="5" type="noConversion"/>
  </si>
  <si>
    <t>개최주기</t>
    <phoneticPr fontId="5" type="noConversion"/>
  </si>
  <si>
    <t>조직형태</t>
    <phoneticPr fontId="5" type="noConversion"/>
  </si>
  <si>
    <t>사업위탁
운영여부</t>
    <phoneticPr fontId="5" type="noConversion"/>
  </si>
  <si>
    <t>합 계</t>
    <phoneticPr fontId="5" type="noConversion"/>
  </si>
  <si>
    <t>내국인</t>
    <phoneticPr fontId="5" type="noConversion"/>
  </si>
  <si>
    <t>외국인</t>
    <phoneticPr fontId="5" type="noConversion"/>
  </si>
  <si>
    <t>개최장소</t>
    <phoneticPr fontId="5" type="noConversion"/>
  </si>
  <si>
    <t>경산시</t>
    <phoneticPr fontId="5" type="noConversion"/>
  </si>
  <si>
    <t>경산자인단오제</t>
    <phoneticPr fontId="5" type="noConversion"/>
  </si>
  <si>
    <t>6.16~6.18
(3일간)</t>
    <phoneticPr fontId="5" type="noConversion"/>
  </si>
  <si>
    <t xml:space="preserve">○ 핵심프로그램 : 여원무(국가무형문화재 제44호 공연)
○ 자인단오를 테마로한 공연, 전시, 체험프로그램 운영
○ 개폐막 공연, 문화재공연, 주제공연 및 문화공연
   - 3개 분야 60여개 프로그램
○ 기타 특별행사 및 전시 등등 </t>
    <phoneticPr fontId="5" type="noConversion"/>
  </si>
  <si>
    <t>경산시 문화관광과
/ 자인단오보존회
(053-810-5359)</t>
    <phoneticPr fontId="5" type="noConversion"/>
  </si>
  <si>
    <t>1946년도
(41회)</t>
    <phoneticPr fontId="5" type="noConversion"/>
  </si>
  <si>
    <t>단오</t>
    <phoneticPr fontId="5" type="noConversion"/>
  </si>
  <si>
    <t>매년</t>
    <phoneticPr fontId="5" type="noConversion"/>
  </si>
  <si>
    <t>사단법인</t>
    <phoneticPr fontId="5" type="noConversion"/>
  </si>
  <si>
    <t>있음
정규직 1명</t>
    <phoneticPr fontId="5" type="noConversion"/>
  </si>
  <si>
    <t>전체위탁</t>
    <phoneticPr fontId="5" type="noConversion"/>
  </si>
  <si>
    <t>유적지</t>
    <phoneticPr fontId="5" type="noConversion"/>
  </si>
  <si>
    <t>경산갓바위소원성취축제</t>
    <phoneticPr fontId="5" type="noConversion"/>
  </si>
  <si>
    <t>9월중
(3일간)</t>
    <phoneticPr fontId="5" type="noConversion"/>
  </si>
  <si>
    <t xml:space="preserve">○ 핵심프로그램 : 국태민안소원기원행사
○ 소원성취를 테마로한 공연, 전시, 체험프로그램 운영
○ 다례봉행, 갓바위 음악회 등 주제및 문화공연
   - 2개 분야 40여개 프로그램
○ 기타 특별행사 및 전시 등등 </t>
    <phoneticPr fontId="5" type="noConversion"/>
  </si>
  <si>
    <t>경산시 문화관광과
/ 갓바위축제추진위원회
(053-810-5359)</t>
    <phoneticPr fontId="5" type="noConversion"/>
  </si>
  <si>
    <t>1998년도
(18회)</t>
    <phoneticPr fontId="5" type="noConversion"/>
  </si>
  <si>
    <t>갓바위
(소원성취)</t>
    <phoneticPr fontId="5" type="noConversion"/>
  </si>
  <si>
    <t>기타
(주차장)</t>
    <phoneticPr fontId="5" type="noConversion"/>
  </si>
  <si>
    <t>경산시</t>
    <phoneticPr fontId="5" type="noConversion"/>
  </si>
  <si>
    <t>경산대추축제</t>
    <phoneticPr fontId="5" type="noConversion"/>
  </si>
  <si>
    <t xml:space="preserve">○ 핵심프로그램 : 대추알리미선발대회
○ 대추를 테마로한 공연, 전시, 체험프로그램 운영
○ 대추가요제, 한복패션쇼 등 주제 및 문화공연
   - 3개 분야 50여개 프로그램
○ 기타 특별행사 및 전시 등등 </t>
    <phoneticPr fontId="5" type="noConversion"/>
  </si>
  <si>
    <t>경산시 농정유통과
/ 한국농업경영인 경산시연합회
(053-810-6698)</t>
    <phoneticPr fontId="5" type="noConversion"/>
  </si>
  <si>
    <t>2006년
(7회)</t>
    <phoneticPr fontId="5" type="noConversion"/>
  </si>
  <si>
    <t>대추</t>
    <phoneticPr fontId="5" type="noConversion"/>
  </si>
  <si>
    <t>있음
정규직 2명</t>
    <phoneticPr fontId="5" type="noConversion"/>
  </si>
  <si>
    <t>경산예술제</t>
    <phoneticPr fontId="5" type="noConversion"/>
  </si>
  <si>
    <t xml:space="preserve">○ 핵심프로그램 : 전시회 및 음악회
○ 경산예총 각 지부의 공연, 전시프로그램 운영
○ 시화전, 미술전, 사진전, 음악회, 무용 등 문화공연
   - 2개 분야 10여개 프로그램
○ 기타 특별행사 및 전시 등등 </t>
    <phoneticPr fontId="5" type="noConversion"/>
  </si>
  <si>
    <t>경산시 문화관광과
/ 한국예총경산지회
(053-810-5358)</t>
    <phoneticPr fontId="5" type="noConversion"/>
  </si>
  <si>
    <t>2002년도
(17회)</t>
    <phoneticPr fontId="5" type="noConversion"/>
  </si>
  <si>
    <t>예술</t>
    <phoneticPr fontId="5" type="noConversion"/>
  </si>
  <si>
    <t>하천</t>
    <phoneticPr fontId="5" type="noConversion"/>
  </si>
  <si>
    <t>4.12~4.15
(4일간)</t>
    <phoneticPr fontId="5" type="noConversion"/>
  </si>
  <si>
    <t>○ 핵심프로그램 : "도전 가야최고의 레전드"
○ '가야'를 테마로한 공연, 전시, 체험프로그램 운영
○ 가야문화권 홍보 부스 운영, 합동 퍼레이드 등
    -28개 분야 17여개 프로그램
○ 기타 특별행사
    ㅇ국제학술회의 개최 
    ㅇ관광도시 시장회의유치
    ㅇ가야문화권국제학술세미나
    ㅇ세계현페스티벌</t>
    <phoneticPr fontId="5" type="noConversion"/>
  </si>
  <si>
    <t>고령군청 관광진흥과 
/ 사)고령군관광협의회
(054-950-6652)</t>
    <phoneticPr fontId="5" type="noConversion"/>
  </si>
  <si>
    <t>2005년도
(14회)</t>
    <phoneticPr fontId="5" type="noConversion"/>
  </si>
  <si>
    <t>문화관광축제
(우수)</t>
    <phoneticPr fontId="5" type="noConversion"/>
  </si>
  <si>
    <t>있음
공무원(파견) 1명
계약직 4명
기간제 2명
총 7명</t>
    <phoneticPr fontId="5" type="noConversion"/>
  </si>
  <si>
    <t>대가야읍 일원</t>
    <phoneticPr fontId="5" type="noConversion"/>
  </si>
  <si>
    <t>콫페스티벌</t>
    <phoneticPr fontId="5" type="noConversion"/>
  </si>
  <si>
    <t>9월 중 
(2일간)</t>
    <phoneticPr fontId="5" type="noConversion"/>
  </si>
  <si>
    <t>○ 코스모스 경관 축제
○ 락공연, 스트릿뮤지컬, 버스킹 공연 등</t>
    <phoneticPr fontId="5" type="noConversion"/>
  </si>
  <si>
    <t>코스모스</t>
    <phoneticPr fontId="5" type="noConversion"/>
  </si>
  <si>
    <t>대가야읍
회천변 일원</t>
    <phoneticPr fontId="5" type="noConversion"/>
  </si>
  <si>
    <t>고령군</t>
    <phoneticPr fontId="5" type="noConversion"/>
  </si>
  <si>
    <t>대가야문화예술제</t>
    <phoneticPr fontId="5" type="noConversion"/>
  </si>
  <si>
    <t>10.11~10.14
(4일간)</t>
    <phoneticPr fontId="5" type="noConversion"/>
  </si>
  <si>
    <t xml:space="preserve">○ 문화예술 공연
○ 공연, 악극, 전시회 개최 </t>
    <phoneticPr fontId="5" type="noConversion"/>
  </si>
  <si>
    <t>고령군/고령문화원,문화단체
(054-950-6314)</t>
    <phoneticPr fontId="5" type="noConversion"/>
  </si>
  <si>
    <t>1974년도
(45회)</t>
    <phoneticPr fontId="5" type="noConversion"/>
  </si>
  <si>
    <t>문화예술</t>
    <phoneticPr fontId="5" type="noConversion"/>
  </si>
  <si>
    <t>미기재</t>
    <phoneticPr fontId="5" type="noConversion"/>
  </si>
  <si>
    <t>공연장</t>
    <phoneticPr fontId="5" type="noConversion"/>
  </si>
  <si>
    <t>경상북도</t>
    <phoneticPr fontId="5" type="noConversion"/>
  </si>
  <si>
    <t>구미시</t>
    <phoneticPr fontId="5" type="noConversion"/>
  </si>
  <si>
    <t>구미낙동강수상불꽃축제</t>
    <phoneticPr fontId="5" type="noConversion"/>
  </si>
  <si>
    <t>9월 중
(미정)</t>
    <phoneticPr fontId="5" type="noConversion"/>
  </si>
  <si>
    <t xml:space="preserve"> ○ 수상불꽃쇼 및 문화공연</t>
    <phoneticPr fontId="5" type="noConversion"/>
  </si>
  <si>
    <t>구미시 문화관광담당관실
(054-480-6643)</t>
    <phoneticPr fontId="5" type="noConversion"/>
  </si>
  <si>
    <t>2016년도
(2회)</t>
    <phoneticPr fontId="5" type="noConversion"/>
  </si>
  <si>
    <t>강, 불꽃</t>
    <phoneticPr fontId="5" type="noConversion"/>
  </si>
  <si>
    <t>강변 공원일대</t>
    <phoneticPr fontId="5" type="noConversion"/>
  </si>
  <si>
    <t>구미아시아연극제</t>
    <phoneticPr fontId="5" type="noConversion"/>
  </si>
  <si>
    <t>○ 아시아극단 초청공연, 찾아가는 공연, 영호남교류 등</t>
    <phoneticPr fontId="5" type="noConversion"/>
  </si>
  <si>
    <t>구미시 문화관광담당관실
(054-480-6642)</t>
    <phoneticPr fontId="5" type="noConversion"/>
  </si>
  <si>
    <t>2012년도
(6회)</t>
    <phoneticPr fontId="5" type="noConversion"/>
  </si>
  <si>
    <t>연극</t>
    <phoneticPr fontId="5" type="noConversion"/>
  </si>
  <si>
    <t>예술회관 외
도심 일대</t>
    <phoneticPr fontId="5" type="noConversion"/>
  </si>
  <si>
    <t>구미전국풍물경연대축제</t>
    <phoneticPr fontId="5" type="noConversion"/>
  </si>
  <si>
    <t>10월 중
(미정)</t>
    <phoneticPr fontId="5" type="noConversion"/>
  </si>
  <si>
    <t>○ 풍물 경연, 체험, 공연 등</t>
    <phoneticPr fontId="5" type="noConversion"/>
  </si>
  <si>
    <t>풍물</t>
    <phoneticPr fontId="5" type="noConversion"/>
  </si>
  <si>
    <t>군위군</t>
    <phoneticPr fontId="5" type="noConversion"/>
  </si>
  <si>
    <t>삼국유사 화본마을 축제
(화본아, 가을 놀자)</t>
    <phoneticPr fontId="5" type="noConversion"/>
  </si>
  <si>
    <t xml:space="preserve"> ○ 폐교를 활용하여 새롭게 탄생한 "엄마아빠 어렸을 적에" 
     운동장에서 산성면 주민들이 70년대 놀이 문화를 재현한
     문화축제
 ○ 주민화합한마당(마을대항경기), 문화공연 및 연극공연</t>
    <phoneticPr fontId="5" type="noConversion"/>
  </si>
  <si>
    <t>군위군청 농정과
(054-380-6265)
/ 삼국유사화본마을운영위원회
(054-382-3361)</t>
    <phoneticPr fontId="5" type="noConversion"/>
  </si>
  <si>
    <t>2011년도
(8회)</t>
    <phoneticPr fontId="5" type="noConversion"/>
  </si>
  <si>
    <t>농림부</t>
    <phoneticPr fontId="5" type="noConversion"/>
  </si>
  <si>
    <t>농촌축제 지원</t>
    <phoneticPr fontId="5" type="noConversion"/>
  </si>
  <si>
    <t>주민화합</t>
    <phoneticPr fontId="5" type="noConversion"/>
  </si>
  <si>
    <t>70년대 가을운동회 재현</t>
    <phoneticPr fontId="5" type="noConversion"/>
  </si>
  <si>
    <t>영농조합법인</t>
    <phoneticPr fontId="5" type="noConversion"/>
  </si>
  <si>
    <t>부분위탁
(무대 및 음향설치, 공연)</t>
    <phoneticPr fontId="5" type="noConversion"/>
  </si>
  <si>
    <t>엄마아빠어렸을적에 운동장
(산성면 산성가음로 722)</t>
    <phoneticPr fontId="5" type="noConversion"/>
  </si>
  <si>
    <t>7월중순
(미정)</t>
    <phoneticPr fontId="5" type="noConversion"/>
  </si>
  <si>
    <t>김친시</t>
    <phoneticPr fontId="5" type="noConversion"/>
  </si>
  <si>
    <t>농촌체험페스티벌</t>
    <phoneticPr fontId="5" type="noConversion"/>
  </si>
  <si>
    <t>10. 20~10. 21 
(2일간 / 예정)</t>
    <phoneticPr fontId="5" type="noConversion"/>
  </si>
  <si>
    <t xml:space="preserve"> ○ 농경, 전통문화 체험
 ○ 농촌관련 공연, 전시, 체험프로그램 운영
 ○ 농산물 직거래장터 운영</t>
    <phoneticPr fontId="5" type="noConversion"/>
  </si>
  <si>
    <t>김천시청
(서경연  054-421-2552)</t>
    <phoneticPr fontId="5" type="noConversion"/>
  </si>
  <si>
    <t>2009년도
(9회)</t>
    <phoneticPr fontId="5" type="noConversion"/>
  </si>
  <si>
    <t>농경전통문화</t>
    <phoneticPr fontId="5" type="noConversion"/>
  </si>
  <si>
    <t>공공(시군구)</t>
    <phoneticPr fontId="5" type="noConversion"/>
  </si>
  <si>
    <t>문경시</t>
    <phoneticPr fontId="5" type="noConversion"/>
  </si>
  <si>
    <t>문경전통찻사발축제</t>
    <phoneticPr fontId="5" type="noConversion"/>
  </si>
  <si>
    <t>4.28~5.7
(10일간)</t>
    <phoneticPr fontId="5" type="noConversion"/>
  </si>
  <si>
    <t>○ 전국찻사발공모대전
○ 도자국제교류전
○ 도예명장특별전,문경전통도자기명품전
○ 어린이 사기장전
○ 찻사발빚기, 찻사발그림그리기
○ 망댕이가마 불지피기 체험</t>
    <phoneticPr fontId="5" type="noConversion"/>
  </si>
  <si>
    <t>문경시 관광진흥과
/ 문경축제관광조직위원회
문경전통찻사발축제추진위원회
(054-550-6395)</t>
    <phoneticPr fontId="5" type="noConversion"/>
  </si>
  <si>
    <t>1999년
(20회)</t>
    <phoneticPr fontId="5" type="noConversion"/>
  </si>
  <si>
    <t>문화관광축제
(최우수)</t>
    <phoneticPr fontId="5" type="noConversion"/>
  </si>
  <si>
    <t>찻사발</t>
    <phoneticPr fontId="5" type="noConversion"/>
  </si>
  <si>
    <t xml:space="preserve"> ·공공(시군구)
 ·축제추진위
 ·재단법인</t>
    <phoneticPr fontId="5" type="noConversion"/>
  </si>
  <si>
    <t>있음
(정규직 3명)</t>
    <phoneticPr fontId="5" type="noConversion"/>
  </si>
  <si>
    <t>·부분위탁
 (운영,하드웨어, 
   프로그램)</t>
    <phoneticPr fontId="5" type="noConversion"/>
  </si>
  <si>
    <t>문경새재도립공원</t>
    <phoneticPr fontId="5" type="noConversion"/>
  </si>
  <si>
    <t>문경오미자축제</t>
    <phoneticPr fontId="5" type="noConversion"/>
  </si>
  <si>
    <t>9월중
(미정)</t>
    <phoneticPr fontId="5" type="noConversion"/>
  </si>
  <si>
    <t>○ 오미자 농가 직판 행사
○ 오미자를 테마로한 공연, 전시
○ 오미자체험프로그램 운영
○ 개막 공연, 주제공연 및 문화공연
○ 기타 특별행사 및 전시 등</t>
    <phoneticPr fontId="5" type="noConversion"/>
  </si>
  <si>
    <t>문경시 친환경농업과 
/ 문경축제관광조직위원회
문경오미자축제추진위원회
(054-550-6889)</t>
    <phoneticPr fontId="5" type="noConversion"/>
  </si>
  <si>
    <t>2005년
(14회)</t>
    <phoneticPr fontId="5" type="noConversion"/>
  </si>
  <si>
    <t>오미자</t>
    <phoneticPr fontId="5" type="noConversion"/>
  </si>
  <si>
    <t>동로면 일원</t>
    <phoneticPr fontId="5" type="noConversion"/>
  </si>
  <si>
    <t>○ 조인나우 모바일 이벤트 행사
○ 사과나눔행사, 사과경매
○ 사과판매행사부스운영
○ 사과홍보관, 사과발전세미나
○ 사과낚시, 사과활쏘기, 사과스쿨
○ 사과따기체험농장</t>
    <phoneticPr fontId="5" type="noConversion"/>
  </si>
  <si>
    <t>문경시 친환경농업과
/ 문경축제관광조직위원회
문경사과축제추진위원회
(054-550-6885)</t>
    <phoneticPr fontId="5" type="noConversion"/>
  </si>
  <si>
    <t>2006년
(13회)</t>
    <phoneticPr fontId="5" type="noConversion"/>
  </si>
  <si>
    <t>문경약돌한우축제</t>
    <phoneticPr fontId="5" type="noConversion"/>
  </si>
  <si>
    <t>○ 문경약돌한우 직판 행사
○ 약돌한우를 테마로한 공연, 전시, 체험프로그램 운영
○ 개막 공연, 주제공연 및 문화공연
    - 5개 분야 10여개 프로그램
○ 문경약돌한우관련 특판행사 및 전시</t>
    <phoneticPr fontId="5" type="noConversion"/>
  </si>
  <si>
    <t>문경시 유통축산과
/ 문경축제관광조직위원회
문경약돌한우축제추진위원회
(054-550-6282)</t>
    <phoneticPr fontId="5" type="noConversion"/>
  </si>
  <si>
    <t>2010년
(9회)</t>
    <phoneticPr fontId="5" type="noConversion"/>
  </si>
  <si>
    <t>한우</t>
    <phoneticPr fontId="5" type="noConversion"/>
  </si>
  <si>
    <t>봉화군</t>
    <phoneticPr fontId="5" type="noConversion"/>
  </si>
  <si>
    <t>제22회 봉화송이축제</t>
    <phoneticPr fontId="5" type="noConversion"/>
  </si>
  <si>
    <t>9.29.~10.2.
(4일간)</t>
    <phoneticPr fontId="5" type="noConversion"/>
  </si>
  <si>
    <t>○ 송이채취체험
○ 송이를 테마로한 공연, 전시, 체험프로그램 운영
○ 개폐막 공연, 송이경매, 계서 성이성 문화제
○ 청량문화제 개최, 계서성이성문화제 개최, 전국 아마
    추어 색소폰 경연대회 개최 등</t>
    <phoneticPr fontId="5" type="noConversion"/>
  </si>
  <si>
    <t>봉화군청 문화관광과
/(사)봉화군축제위원회
(054-679-6314)</t>
    <phoneticPr fontId="5" type="noConversion"/>
  </si>
  <si>
    <t>1997년
(22회)</t>
    <phoneticPr fontId="5" type="noConversion"/>
  </si>
  <si>
    <t>송이</t>
    <phoneticPr fontId="5" type="noConversion"/>
  </si>
  <si>
    <t>하천변(공원)</t>
    <phoneticPr fontId="5" type="noConversion"/>
  </si>
  <si>
    <t>제20회 봉화은어축제</t>
    <phoneticPr fontId="5" type="noConversion"/>
  </si>
  <si>
    <t>7.28.~8.4.
(8일간)</t>
    <phoneticPr fontId="5" type="noConversion"/>
  </si>
  <si>
    <t>○체험행사 : 은어잡이(반두·맨손), 아르고 및 ATV체험, 숯불구이 등
○대표행사 : 전국반두잡이 어신선발대회, 봉화군민 맨손잡이 팀대항전
○전시행사 : 은어주제관, 포토존(토피어리, 수상조명), 물분수 등
○공연행사 : 개·폐막공연, 문화예술공연, 청소년 클래식음악회 예정
○부대행사 : 은어생태체험, 가재마을체험, 수박서리체험, 다슬기잡기, 천체관측 등</t>
    <phoneticPr fontId="5" type="noConversion"/>
  </si>
  <si>
    <t>봉화군청 문화관광과
/(사)봉화군축제위원회
(054-679-6313)</t>
    <phoneticPr fontId="5" type="noConversion"/>
  </si>
  <si>
    <t>은어</t>
    <phoneticPr fontId="5" type="noConversion"/>
  </si>
  <si>
    <t>제8회 한국과자축제</t>
    <phoneticPr fontId="5" type="noConversion"/>
  </si>
  <si>
    <t xml:space="preserve">○ 전통 과자를 주제로한 체험, 전시, 판매 부스 운영
○ 공연행사 : 마술공연, 댄스공연, 저글링공연, 인형극 등
○ 어린이 놀이기구, 프리마켓 운영 등 </t>
    <phoneticPr fontId="5" type="noConversion"/>
  </si>
  <si>
    <t>봉화군청 문화관광과
/(사)봉화군축제위원회
(054-679-6315)</t>
    <phoneticPr fontId="5" type="noConversion"/>
  </si>
  <si>
    <t>2011년
(8회)</t>
    <phoneticPr fontId="5" type="noConversion"/>
  </si>
  <si>
    <t>전통과자</t>
    <phoneticPr fontId="5" type="noConversion"/>
  </si>
  <si>
    <t>상주시</t>
    <phoneticPr fontId="5" type="noConversion"/>
  </si>
  <si>
    <t>2018상주이야기축제</t>
    <phoneticPr fontId="5" type="noConversion"/>
  </si>
  <si>
    <t>10.12~10.14
(3일간)</t>
    <phoneticPr fontId="5" type="noConversion"/>
  </si>
  <si>
    <t xml:space="preserve"> ○ 주제관 운영
 ○ 주제와 관련된 전시, 체험프로그램 운영
 ○ 주제와 관련된 공연, 경연  10여개 프로그램</t>
    <phoneticPr fontId="5" type="noConversion"/>
  </si>
  <si>
    <t>상주시/상주시축제추진위원회
(054-537-7108)</t>
    <phoneticPr fontId="5" type="noConversion"/>
  </si>
  <si>
    <t>스토리텔링</t>
    <phoneticPr fontId="5" type="noConversion"/>
  </si>
  <si>
    <t>임의단체</t>
    <phoneticPr fontId="5" type="noConversion"/>
  </si>
  <si>
    <t>함창명주 페스티벌</t>
    <phoneticPr fontId="5" type="noConversion"/>
  </si>
  <si>
    <t>9.8 ~9.9
(2일간)</t>
    <phoneticPr fontId="5" type="noConversion"/>
  </si>
  <si>
    <t xml:space="preserve"> ○ 우리마실 한복 패션쇼
 ○ 명주(비단)을 테마로한 공연, 전시, 체험프로그램 운영
 ○ 명주길쌈놀이, 누에고치 보물찾기 등 10여개 프로그램</t>
    <phoneticPr fontId="5" type="noConversion"/>
  </si>
  <si>
    <t xml:space="preserve">상주 슬로시티 주민협의회
/명주잠업영농조합법인
(054-537-7104)
</t>
    <phoneticPr fontId="5" type="noConversion"/>
  </si>
  <si>
    <t>명주(비단)</t>
    <phoneticPr fontId="5" type="noConversion"/>
  </si>
  <si>
    <t>대한민국 곶감축제</t>
    <phoneticPr fontId="5" type="noConversion"/>
  </si>
  <si>
    <t>12.22.~26.
(5일간)</t>
    <phoneticPr fontId="5" type="noConversion"/>
  </si>
  <si>
    <t xml:space="preserve"> ○ 상주곶감 임금님진상재현 퍼레이드
 ○ 곶감 뮤지컬, 인형극 등 문화공연 
 ○ 곶감 및 지역농특산물 판매부스 운영</t>
    <phoneticPr fontId="5" type="noConversion"/>
  </si>
  <si>
    <t>상주외남고을곶감축제추진위원회
(054-537-8202)</t>
    <phoneticPr fontId="5" type="noConversion"/>
  </si>
  <si>
    <t>안동시</t>
    <phoneticPr fontId="5" type="noConversion"/>
  </si>
  <si>
    <t>9.28~10.7
(10일간)</t>
    <phoneticPr fontId="5" type="noConversion"/>
  </si>
  <si>
    <t>○ 국내외 공연단의 탈춤공연
○ 세계탈놀이 경연대회, 세계창작탈 공모전
○ 세계탈 전시회, 탈 만들기 체험
○ 탈놀이 대동난장 등</t>
    <phoneticPr fontId="5" type="noConversion"/>
  </si>
  <si>
    <t>1997년도
(21회)</t>
    <phoneticPr fontId="5" type="noConversion"/>
  </si>
  <si>
    <t>문화관광축제(글로벌육성축제)</t>
    <phoneticPr fontId="5" type="noConversion"/>
  </si>
  <si>
    <t>탈춤공원, 하회마을, 안동시내</t>
    <phoneticPr fontId="5" type="noConversion"/>
  </si>
  <si>
    <t>제47회 안동민속축제</t>
    <phoneticPr fontId="5" type="noConversion"/>
  </si>
  <si>
    <t>○ 무형문화재 : 차전놀이,놋다리밟기,저전농요
○ 풍속 : 성황제, 서제, 양로연,향사례
○ 시연 : 헌다례, 전통탈곡, 향음주례
○ 대회 : 짚풀공예, 궁도, 내방가사, 씨름 등
○ 기타: 민속놀이한마당, 자연염색패션쇼 등</t>
    <phoneticPr fontId="5" type="noConversion"/>
  </si>
  <si>
    <t>안동시 문화에술과
/ 안동문화원
(054-859-0825)</t>
    <phoneticPr fontId="5" type="noConversion"/>
  </si>
  <si>
    <t>1968년도
(제47회)</t>
    <phoneticPr fontId="5" type="noConversion"/>
  </si>
  <si>
    <t>전통문화,민속</t>
    <phoneticPr fontId="5" type="noConversion"/>
  </si>
  <si>
    <t>있음
정규직 5명
총 5명</t>
    <phoneticPr fontId="5" type="noConversion"/>
  </si>
  <si>
    <t>4월중
(10일간)</t>
    <phoneticPr fontId="5" type="noConversion"/>
  </si>
  <si>
    <t>2012년도
(7회)</t>
    <phoneticPr fontId="5" type="noConversion"/>
  </si>
  <si>
    <t xml:space="preserve">있음
정규직 11명
총 11명  </t>
    <phoneticPr fontId="5" type="noConversion"/>
  </si>
  <si>
    <t>안동암산얼음축제</t>
    <phoneticPr fontId="5" type="noConversion"/>
  </si>
  <si>
    <t>1.20~1.28
(9일간)</t>
    <phoneticPr fontId="5" type="noConversion"/>
  </si>
  <si>
    <t>○ 빙어낚시, 송어낚시, 스케이팅, 썰매타기
○ 얼음빙역, 얼음조각전시 등</t>
    <phoneticPr fontId="5" type="noConversion"/>
  </si>
  <si>
    <t>2009년도
(6회)</t>
    <phoneticPr fontId="5" type="noConversion"/>
  </si>
  <si>
    <t>얼음</t>
    <phoneticPr fontId="5" type="noConversion"/>
  </si>
  <si>
    <t>2017년 미개최</t>
    <phoneticPr fontId="5" type="noConversion"/>
  </si>
  <si>
    <t>안동 암산유원지</t>
    <phoneticPr fontId="5" type="noConversion"/>
  </si>
  <si>
    <t>안동물문화축제</t>
    <phoneticPr fontId="5" type="noConversion"/>
  </si>
  <si>
    <t>8월중
(9일간)</t>
    <phoneticPr fontId="5" type="noConversion"/>
  </si>
  <si>
    <t>○ 문화체험형 수변축제
○ 레저스포츠 행사 등</t>
    <phoneticPr fontId="5" type="noConversion"/>
  </si>
  <si>
    <t>물</t>
    <phoneticPr fontId="5" type="noConversion"/>
  </si>
  <si>
    <t>안동 낙동강둔치</t>
    <phoneticPr fontId="5" type="noConversion"/>
  </si>
  <si>
    <t>안동예술제</t>
    <phoneticPr fontId="5" type="noConversion"/>
  </si>
  <si>
    <t>9~10월 중
(10일간)</t>
    <phoneticPr fontId="5" type="noConversion"/>
  </si>
  <si>
    <t>○ 문인,미술,무용,음악,사진작가,국악,연예예술인, 연극협회 등 8개단체별 행사
○ 개막식 등</t>
    <phoneticPr fontId="5" type="noConversion"/>
  </si>
  <si>
    <t>안동시 전통문화예술과
/(사)한국예술문화단체총연합회안동지회
(054-840-5233)</t>
    <phoneticPr fontId="5" type="noConversion"/>
  </si>
  <si>
    <t>1989년도
(30회)</t>
    <phoneticPr fontId="5" type="noConversion"/>
  </si>
  <si>
    <t>안동시내
(문화예술의전당)</t>
    <phoneticPr fontId="5" type="noConversion"/>
  </si>
  <si>
    <t>영덕대게축제</t>
  </si>
  <si>
    <t>3.22~3.25
(4일간)</t>
  </si>
  <si>
    <t xml:space="preserve"> ○황금대게낚시, 대게달리기등
 ○왕의대게를 테마로한 공연 및 체험프로그램 운영</t>
  </si>
  <si>
    <t>영덕군 문화관광과/영덕대게축제추진위원회
(054-730-6393)</t>
  </si>
  <si>
    <t>문화관광축제
(육성)</t>
  </si>
  <si>
    <t>대게</t>
  </si>
  <si>
    <t>있음
(비상설)</t>
  </si>
  <si>
    <t>5.4~5.6
(3일간)</t>
  </si>
  <si>
    <t>영덕군 새마을경제과/물가자미축제추진위원회
(054-730-6233)</t>
  </si>
  <si>
    <t>영덕황금은어축제</t>
  </si>
  <si>
    <t>○ 황금은어반두잡이체험
○ 어린이맨손잡기체험
○ 인기 연예인 축하공연 등 
    - 3개분야 10여개 프로그램</t>
  </si>
  <si>
    <t>은어</t>
  </si>
  <si>
    <t>경북대종타종식 및
영덕해맞이축제</t>
  </si>
  <si>
    <t>12.31~1.1
(2일간)</t>
  </si>
  <si>
    <t>○ 제야의 종 타종, 해맞이 행사
○ 송년음악회, 도민화합 이벤트 외</t>
  </si>
  <si>
    <t>영덕군청 문화관광과
/영덕군관광진흥협의회
(054-730-6393)</t>
  </si>
  <si>
    <t>해맞이</t>
  </si>
  <si>
    <t>영양군</t>
    <phoneticPr fontId="5" type="noConversion"/>
  </si>
  <si>
    <t>제14회영양산나물축제</t>
    <phoneticPr fontId="5" type="noConversion"/>
  </si>
  <si>
    <t>5.10~5.13
(4일간)</t>
    <phoneticPr fontId="5" type="noConversion"/>
  </si>
  <si>
    <t>영양군 문화관광과
/(재)영양축제관광재단
(054-680-6412)</t>
    <phoneticPr fontId="5" type="noConversion"/>
  </si>
  <si>
    <t>산나물</t>
    <phoneticPr fontId="5" type="noConversion"/>
  </si>
  <si>
    <t>재단법인</t>
    <phoneticPr fontId="5" type="noConversion"/>
  </si>
  <si>
    <t>운동장, 산</t>
    <phoneticPr fontId="5" type="noConversion"/>
  </si>
  <si>
    <t>2018 빛깔찬 영양김장축제</t>
    <phoneticPr fontId="5" type="noConversion"/>
  </si>
  <si>
    <t>11.13~11.18
(6일간)</t>
    <phoneticPr fontId="5" type="noConversion"/>
  </si>
  <si>
    <t xml:space="preserve"> ○ 김장담그기체험
 ○ 김치를 테마로한 공연, 전시, 체험프로그램 운영
 ○ 주제공연 및 문화공연
    - 4개분야 10여개 프로그램
 ○ 영양 특산물 장터 운영 등</t>
    <phoneticPr fontId="5" type="noConversion"/>
  </si>
  <si>
    <t>김치</t>
    <phoneticPr fontId="5" type="noConversion"/>
  </si>
  <si>
    <t>기타</t>
    <phoneticPr fontId="5" type="noConversion"/>
  </si>
  <si>
    <t xml:space="preserve"> ○ 무대행사
 ○ 도․농상생 한마당
 ○ 농특산물 전시․판매 등</t>
    <phoneticPr fontId="5" type="noConversion"/>
  </si>
  <si>
    <t>영양군 농정과
(054-680-6381)</t>
    <phoneticPr fontId="5" type="noConversion"/>
  </si>
  <si>
    <t>고추</t>
    <phoneticPr fontId="5" type="noConversion"/>
  </si>
  <si>
    <t xml:space="preserve"> ○ 음식디미방 청소년 요리 경연대회
 ○ 음식디미방을 테마로한 전시, 체험프로그램 운영
 ○ 주제공연 및 문화공연
     - 4개분야 10여개 프로그램 
 ○ 학술프로그램 운영 등</t>
    <phoneticPr fontId="5" type="noConversion"/>
  </si>
  <si>
    <t>영양군 문화관광과
/(재)세계유교문화재단
(054-680-6412)</t>
    <phoneticPr fontId="5" type="noConversion"/>
  </si>
  <si>
    <t>2010년도
(9회)</t>
    <phoneticPr fontId="5" type="noConversion"/>
  </si>
  <si>
    <t>장계향(인물)</t>
    <phoneticPr fontId="5" type="noConversion"/>
  </si>
  <si>
    <t>제12회 지훈예술제</t>
    <phoneticPr fontId="5" type="noConversion"/>
  </si>
  <si>
    <t>미정(9월~10월)
(2일간)</t>
    <phoneticPr fontId="5" type="noConversion"/>
  </si>
  <si>
    <t xml:space="preserve"> ○ 지훈백일장 및 사생대회 
○ 지훈 문학 특강 및 지훈시 퍼포먼스대회
 ○ 체험프로그램 운영
 ○ 승무, 길놀이 공연, 원놀음 및 시낭송 등</t>
    <phoneticPr fontId="5" type="noConversion"/>
  </si>
  <si>
    <t>영양군 문화관광과
/영양문인협회
(054-680-6432)</t>
    <phoneticPr fontId="5" type="noConversion"/>
  </si>
  <si>
    <t>2007년도
(12회)</t>
    <phoneticPr fontId="5" type="noConversion"/>
  </si>
  <si>
    <t>조지훈</t>
    <phoneticPr fontId="5" type="noConversion"/>
  </si>
  <si>
    <t>영주시</t>
    <phoneticPr fontId="5" type="noConversion"/>
  </si>
  <si>
    <t>영주한국선비문화축제</t>
    <phoneticPr fontId="5" type="noConversion"/>
  </si>
  <si>
    <t>5.4-5.7
(4일간)</t>
    <phoneticPr fontId="5" type="noConversion"/>
  </si>
  <si>
    <t>○ 선비문화골든벨, 인문학콘서트, 뮤지컬 정도전 등
○ 선비를 테마로한 공연, 전시, 체험프로그램 운영
○ 개폐막 공연, 주제공연 및 문화공연
○ 선비주제관 운영 등</t>
    <phoneticPr fontId="5" type="noConversion"/>
  </si>
  <si>
    <t>영주시/(재)영주문화관광재단
(054-639-3793)</t>
    <phoneticPr fontId="5" type="noConversion"/>
  </si>
  <si>
    <t>2008년
(11회)</t>
    <phoneticPr fontId="5" type="noConversion"/>
  </si>
  <si>
    <t>전통(선비문화)</t>
    <phoneticPr fontId="5" type="noConversion"/>
  </si>
  <si>
    <t>있음
계약직 5명
총 5명</t>
    <phoneticPr fontId="5" type="noConversion"/>
  </si>
  <si>
    <t>유적지
(선비촌)</t>
    <phoneticPr fontId="5" type="noConversion"/>
  </si>
  <si>
    <t>경북영주풍기인삼축제</t>
    <phoneticPr fontId="5" type="noConversion"/>
  </si>
  <si>
    <t>10.13-10.21
(9일간)</t>
    <phoneticPr fontId="5" type="noConversion"/>
  </si>
  <si>
    <t>○ 전시체험관, 주세붕행차 재연
○ 인삼을 테마로 한 공연, 전시,체험프로그램운영
○ 개․폐막 공연, 소백산풍기인삼가요제 등
○ 기타농특산물, 다문화 전시체험 등</t>
    <phoneticPr fontId="5" type="noConversion"/>
  </si>
  <si>
    <t>1998년
(21회)</t>
    <phoneticPr fontId="5" type="noConversion"/>
  </si>
  <si>
    <t>인삼</t>
    <phoneticPr fontId="5" type="noConversion"/>
  </si>
  <si>
    <t>하천(광장)</t>
    <phoneticPr fontId="5" type="noConversion"/>
  </si>
  <si>
    <t>영주무섬외나무다리
축제</t>
    <phoneticPr fontId="5" type="noConversion"/>
  </si>
  <si>
    <t>9.23
(1일간)</t>
    <phoneticPr fontId="5" type="noConversion"/>
  </si>
  <si>
    <t>○ 외나무다리 걷기
○ 상여행렬 재현
○ 전통혼례 재현 등</t>
    <phoneticPr fontId="5" type="noConversion"/>
  </si>
  <si>
    <t>2005년
(18회)</t>
    <phoneticPr fontId="5" type="noConversion"/>
  </si>
  <si>
    <t>외나무다리</t>
    <phoneticPr fontId="5" type="noConversion"/>
  </si>
  <si>
    <t>유적지
(무섬마을)</t>
    <phoneticPr fontId="5" type="noConversion"/>
  </si>
  <si>
    <t>영주소백산철쭉제</t>
    <phoneticPr fontId="5" type="noConversion"/>
  </si>
  <si>
    <t>5.26-5.27
(2일간)</t>
    <phoneticPr fontId="5" type="noConversion"/>
  </si>
  <si>
    <t xml:space="preserve">○ 소백산 숲속 작은음악회
○ 소백산 출쭉제 기념엽서 보내기
○ 소백산 및 붉은여우 전시체험
○ 농특산품 홍보 마케팅 행사 등 </t>
    <phoneticPr fontId="5" type="noConversion"/>
  </si>
  <si>
    <t>1997년
(21회)</t>
    <phoneticPr fontId="5" type="noConversion"/>
  </si>
  <si>
    <t>철쭉</t>
    <phoneticPr fontId="5" type="noConversion"/>
  </si>
  <si>
    <t>소백산</t>
    <phoneticPr fontId="5" type="noConversion"/>
  </si>
  <si>
    <t>영주사과축제</t>
    <phoneticPr fontId="5" type="noConversion"/>
  </si>
  <si>
    <t>10.26~10.28
(3일간)</t>
    <phoneticPr fontId="5" type="noConversion"/>
  </si>
  <si>
    <t>○ 사과 전시 및 체험 행사 
○ 사과 시식 및 홍보행사 
○ 개막공연, 지역예술인 초청 공연 등</t>
    <phoneticPr fontId="5" type="noConversion"/>
  </si>
  <si>
    <t>2015년
(4회)</t>
    <phoneticPr fontId="5" type="noConversion"/>
  </si>
  <si>
    <t>사과</t>
    <phoneticPr fontId="5" type="noConversion"/>
  </si>
  <si>
    <t>제16회 영천한약축제</t>
    <phoneticPr fontId="5" type="noConversion"/>
  </si>
  <si>
    <t>제15회 영천보현산별빛축제</t>
    <phoneticPr fontId="5" type="noConversion"/>
  </si>
  <si>
    <t>미정</t>
    <phoneticPr fontId="5" type="noConversion"/>
  </si>
  <si>
    <t>○ 천문과학관 체험, 천문과학전시관 체험
○ 천문·우주를 테마로한 공연, 전시. 체험프로그램 운영
○ 주제관(천문·우주·과학 전시, 체험프로그램) 운영
○ 주무대 운영(별빛테마강좌, 별별어울마당, 별자리 강좌등
○ 스타파티, 별빛공예체험, 별마차체험, 삼굿구이 체험,
    태양광자동차 경진대회, 청소년미술실기대회, 별빛
   문학제, 별빛카카오톡 홍보왕선발대회 등</t>
    <phoneticPr fontId="5" type="noConversion"/>
  </si>
  <si>
    <t>2004년
(14회)</t>
    <phoneticPr fontId="5" type="noConversion"/>
  </si>
  <si>
    <t>과학관</t>
    <phoneticPr fontId="5" type="noConversion"/>
  </si>
  <si>
    <t>영천시</t>
    <phoneticPr fontId="5" type="noConversion"/>
  </si>
  <si>
    <t>제45회 영천문화예술제</t>
    <phoneticPr fontId="5" type="noConversion"/>
  </si>
  <si>
    <t xml:space="preserve"> ○ 조선통신사 행렬 재현 및 마상재 시연
 ○ 지역 문화예술단체 공연, 전시, 체험프로그램
     운영
  - 체험: 공예체험, 다도체험, 일본문화체험                        
  - 경연: 읍면동줄다리기대회, 백일장, 전국미술실기대회 등           
  - 전시: 사진전, 야생화전, 서예전, 수석전 등                                      
  - 공연: 상여시연, 풍물, 마칭밴드, 서예퍼포먼스, 왕평가요제 등                                                            </t>
    <phoneticPr fontId="5" type="noConversion"/>
  </si>
  <si>
    <t>영천시 문화체육과/
영천문화예술제추진위원회(054-330-6067)</t>
    <phoneticPr fontId="5" type="noConversion"/>
  </si>
  <si>
    <t>1974(44회)</t>
    <phoneticPr fontId="5" type="noConversion"/>
  </si>
  <si>
    <t>예천군</t>
    <phoneticPr fontId="5" type="noConversion"/>
  </si>
  <si>
    <t>삼강주막 막걸리축제</t>
    <phoneticPr fontId="5" type="noConversion"/>
  </si>
  <si>
    <t xml:space="preserve"> ○ 막걸리 전시 및 판매
 ○ 개·폐막공연, 주제공연 </t>
    <phoneticPr fontId="5" type="noConversion"/>
  </si>
  <si>
    <t>예천군/세계유교문화재단
(054-650-6902)</t>
    <phoneticPr fontId="5" type="noConversion"/>
  </si>
  <si>
    <t>2000년
(8회)</t>
    <phoneticPr fontId="5" type="noConversion"/>
  </si>
  <si>
    <t>전통주막, 막걸리</t>
    <phoneticPr fontId="5" type="noConversion"/>
  </si>
  <si>
    <t>있음
정규직 9명
총 9명</t>
    <phoneticPr fontId="5" type="noConversion"/>
  </si>
  <si>
    <t>사적지</t>
    <phoneticPr fontId="5" type="noConversion"/>
  </si>
  <si>
    <t>곤충나라 Clean예천
농산물대축제</t>
    <phoneticPr fontId="5" type="noConversion"/>
  </si>
  <si>
    <t xml:space="preserve"> ○ 우수 농특산물 전시 및 판매, 추수감사제
 ○ 축하공연, 군민화합퍼포먼스 등</t>
    <phoneticPr fontId="5" type="noConversion"/>
  </si>
  <si>
    <t>예천군/농산물축제추진위원회
(054-650-6271)</t>
    <phoneticPr fontId="5" type="noConversion"/>
  </si>
  <si>
    <t>1999년
(19회)</t>
    <phoneticPr fontId="5" type="noConversion"/>
  </si>
  <si>
    <t>농산물</t>
    <phoneticPr fontId="5" type="noConversion"/>
  </si>
  <si>
    <t>체육공원</t>
    <phoneticPr fontId="5" type="noConversion"/>
  </si>
  <si>
    <t>예천용궁순대축제</t>
    <phoneticPr fontId="5" type="noConversion"/>
  </si>
  <si>
    <t xml:space="preserve"> ○ 용궁순대 시식 및 판매
 ○ 개·폐막공연, 부대행사 등</t>
    <phoneticPr fontId="5" type="noConversion"/>
  </si>
  <si>
    <t>예천군/예천용궁순대축제추진위원회
(054-650-6276)</t>
    <phoneticPr fontId="5" type="noConversion"/>
  </si>
  <si>
    <t>2012년
(6회)</t>
    <phoneticPr fontId="5" type="noConversion"/>
  </si>
  <si>
    <t>순대</t>
    <phoneticPr fontId="5" type="noConversion"/>
  </si>
  <si>
    <t>시장 일원</t>
    <phoneticPr fontId="5" type="noConversion"/>
  </si>
  <si>
    <t>울릉군</t>
    <phoneticPr fontId="5" type="noConversion"/>
  </si>
  <si>
    <t>제18회 울릉도 오징어축제</t>
    <phoneticPr fontId="5" type="noConversion"/>
  </si>
  <si>
    <t>8월중</t>
    <phoneticPr fontId="5" type="noConversion"/>
  </si>
  <si>
    <t xml:space="preserve"> ○오징어 맨손잡기
 ○아쿠아 페스티벌
 ○오징어요리 경연대회
 ○바다미꾸라지 잡기 대회
 ○분재 전시회
 ○전통 뗏목 경주
 ○울릉도, 독도 사진전
 ○울릉둘레길 탐방</t>
    <phoneticPr fontId="5" type="noConversion"/>
  </si>
  <si>
    <t>울릉군 문화관광체육과
/울릉군 축제위원회
054-790-6425</t>
    <phoneticPr fontId="5" type="noConversion"/>
  </si>
  <si>
    <t>오징어, 바다</t>
    <phoneticPr fontId="5" type="noConversion"/>
  </si>
  <si>
    <t>있음</t>
    <phoneticPr fontId="5" type="noConversion"/>
  </si>
  <si>
    <t>부분위탁
(프로그램)</t>
    <phoneticPr fontId="5" type="noConversion"/>
  </si>
  <si>
    <t>바다항구, 마을</t>
    <phoneticPr fontId="5" type="noConversion"/>
  </si>
  <si>
    <t>2018 회당문화제</t>
    <phoneticPr fontId="5" type="noConversion"/>
  </si>
  <si>
    <t>7월중</t>
    <phoneticPr fontId="5" type="noConversion"/>
  </si>
  <si>
    <t xml:space="preserve"> ○ 독도아리랑 콘서트
 ○ 독도사진전
 ○개 폐막공연
-4개분야 12개 프로그램</t>
    <phoneticPr fontId="5" type="noConversion"/>
  </si>
  <si>
    <t>대한불교진각종/
회당문화축제축제위원회</t>
    <phoneticPr fontId="5" type="noConversion"/>
  </si>
  <si>
    <t>2001년도
(16회)</t>
    <phoneticPr fontId="5" type="noConversion"/>
  </si>
  <si>
    <t>불교, 바다</t>
    <phoneticPr fontId="5" type="noConversion"/>
  </si>
  <si>
    <t>공원,마을,광장</t>
    <phoneticPr fontId="5" type="noConversion"/>
  </si>
  <si>
    <t>제15회 우산문화제</t>
    <phoneticPr fontId="5" type="noConversion"/>
  </si>
  <si>
    <t xml:space="preserve">○동남동녀 선발대회
○산채비빔밥 만들기
○전통놀이 </t>
    <phoneticPr fontId="5" type="noConversion"/>
  </si>
  <si>
    <t>1965
(13회)</t>
    <phoneticPr fontId="5" type="noConversion"/>
  </si>
  <si>
    <t>우산국, 역사</t>
    <phoneticPr fontId="5" type="noConversion"/>
  </si>
  <si>
    <t>격년</t>
    <phoneticPr fontId="5" type="noConversion"/>
  </si>
  <si>
    <t>공원,마을,사적지</t>
    <phoneticPr fontId="5" type="noConversion"/>
  </si>
  <si>
    <t>2018 울진대게와 붉은대게축제</t>
    <phoneticPr fontId="5" type="noConversion"/>
  </si>
  <si>
    <t>3.1~3.4
(4일간)</t>
    <phoneticPr fontId="5" type="noConversion"/>
  </si>
  <si>
    <t>2001년도 
(18회)</t>
    <phoneticPr fontId="5" type="noConversion"/>
  </si>
  <si>
    <t>대게</t>
    <phoneticPr fontId="5" type="noConversion"/>
  </si>
  <si>
    <t xml:space="preserve">있음
계약직 2명
총2명  </t>
    <phoneticPr fontId="5" type="noConversion"/>
  </si>
  <si>
    <t>후포항왕돌초∙부두광장</t>
    <phoneticPr fontId="5" type="noConversion"/>
  </si>
  <si>
    <t xml:space="preserve">제8회울진워터피아페스티벌 </t>
    <phoneticPr fontId="5" type="noConversion"/>
  </si>
  <si>
    <t>7.28~8.5
(9일간)</t>
    <phoneticPr fontId="5" type="noConversion"/>
  </si>
  <si>
    <t>강과 바다</t>
    <phoneticPr fontId="5" type="noConversion"/>
  </si>
  <si>
    <t>2018 울진금강송송이축제</t>
    <phoneticPr fontId="5" type="noConversion"/>
  </si>
  <si>
    <t>9월말~10월초
(예정)</t>
    <phoneticPr fontId="5" type="noConversion"/>
  </si>
  <si>
    <t>2003년도
(16회)</t>
    <phoneticPr fontId="5" type="noConversion"/>
  </si>
  <si>
    <t>의성군</t>
    <phoneticPr fontId="5" type="noConversion"/>
  </si>
  <si>
    <t>의성세계연축제</t>
    <phoneticPr fontId="5" type="noConversion"/>
  </si>
  <si>
    <t>5.5 ~5.7
(3일간)
※ 잠정일자</t>
    <phoneticPr fontId="5" type="noConversion"/>
  </si>
  <si>
    <t xml:space="preserve"> ○ 스포츠카이트월드챔피언십, 세계창작연 시연 등 
     세계연(鳶) 관련 전시, 체험프로그램 운영</t>
    <phoneticPr fontId="5" type="noConversion"/>
  </si>
  <si>
    <t>의성군축제추진위원회
/의성세계연축제집행위원회
(054-830-6359)</t>
    <phoneticPr fontId="5" type="noConversion"/>
  </si>
  <si>
    <t>연날리기</t>
    <phoneticPr fontId="5" type="noConversion"/>
  </si>
  <si>
    <t>위천생태하천</t>
    <phoneticPr fontId="5" type="noConversion"/>
  </si>
  <si>
    <t>청도군</t>
    <phoneticPr fontId="5" type="noConversion"/>
  </si>
  <si>
    <t>청도소싸움축제</t>
    <phoneticPr fontId="5" type="noConversion"/>
  </si>
  <si>
    <t>4.5~4.8
(4일간)</t>
    <phoneticPr fontId="5" type="noConversion"/>
  </si>
  <si>
    <t xml:space="preserve"> ○ 전통민속소싸움경기, 소싸움갬블경기
 ○ 소싸움를 테마로한 공연, 전시, 체험프로그램 운영
 ○ 개막공연, 기타 특별행사 및 전시 등</t>
    <phoneticPr fontId="5" type="noConversion"/>
  </si>
  <si>
    <t>청도군 문화관광과
/청도소싸움축제추진위원회
(054-370-6376)</t>
    <phoneticPr fontId="5" type="noConversion"/>
  </si>
  <si>
    <t>1999년도
(19회)</t>
    <phoneticPr fontId="5" type="noConversion"/>
  </si>
  <si>
    <t>경기장, 광장</t>
    <phoneticPr fontId="5" type="noConversion"/>
  </si>
  <si>
    <t>청도반시축제</t>
    <phoneticPr fontId="5" type="noConversion"/>
  </si>
  <si>
    <t xml:space="preserve"> ○ 반시마켓, 감물염색패션쇼 
 ○ 반시를 테마로한 공연, 전시, 체험프로그램 운영
     - 반시플레이죤, 반시주제관, 반시시식회 등</t>
    <phoneticPr fontId="5" type="noConversion"/>
  </si>
  <si>
    <t>청도군 문화관광과
/청도반시축제추진위원회
(054-370-6376)</t>
    <phoneticPr fontId="5" type="noConversion"/>
  </si>
  <si>
    <t>2006년도
(13회)</t>
    <phoneticPr fontId="5" type="noConversion"/>
  </si>
  <si>
    <t>공연장, 광장, 체육관</t>
    <phoneticPr fontId="5" type="noConversion"/>
  </si>
  <si>
    <t>청도세계코미디아트
페스티벌</t>
    <phoneticPr fontId="5" type="noConversion"/>
  </si>
  <si>
    <t xml:space="preserve"> ○ 국내외 초청 코미디공연
 ○ 코미디를 테마로한 공연, 전시, 체험프로그램 운영
 ○ 개폐막 공연, 코믹 주제공연   
 ○ 코믹 버스킹, 코믹분장체험 등 기타 부대행사 </t>
    <phoneticPr fontId="5" type="noConversion"/>
  </si>
  <si>
    <t>청도군 문화관광과
/청도세계코미디예술제추진위원회
(054-370-6376)</t>
    <phoneticPr fontId="5" type="noConversion"/>
  </si>
  <si>
    <t>청도세계코미디예술제개최 지원</t>
    <phoneticPr fontId="5" type="noConversion"/>
  </si>
  <si>
    <t>청송군</t>
    <phoneticPr fontId="5" type="noConversion"/>
  </si>
  <si>
    <t>청송도깨비 축제</t>
    <phoneticPr fontId="5" type="noConversion"/>
  </si>
  <si>
    <t>10.12~10.15
(4일간)</t>
    <phoneticPr fontId="5" type="noConversion"/>
  </si>
  <si>
    <t xml:space="preserve"> ○사과도깨비 퍼레이드 및 춤경연대회, 도깨비불놀이, 도깨비등 퍼레이드, 도깨비가면무도회등
 ○ 청송사과와 도깨비를 테마로한 공연, 전시, 체험프로그램 운영
 ○ 개폐막 공연, 주제공연 및 문화공연
    - 16개 주요공연, 43개 프로그램 </t>
    <phoneticPr fontId="5" type="noConversion"/>
  </si>
  <si>
    <t>청송군청 문화관광과/ 청송군축제추진위원회
(054-873-3686)</t>
    <phoneticPr fontId="5" type="noConversion"/>
  </si>
  <si>
    <t>도깨비, 청송사과</t>
    <phoneticPr fontId="5" type="noConversion"/>
  </si>
  <si>
    <t>있음
계약직1명
총1명</t>
    <phoneticPr fontId="5" type="noConversion"/>
  </si>
  <si>
    <t>수달래축제</t>
    <phoneticPr fontId="5" type="noConversion"/>
  </si>
  <si>
    <t>4.28~4.29
(2일간)</t>
    <phoneticPr fontId="5" type="noConversion"/>
  </si>
  <si>
    <t xml:space="preserve"> ○수달래제례, 수달래꽃줄엮기 등
 ○ 수달래를 테마로한 공연, 전시, 체험프로그램 운영
 ○ 개폐막 공연, 주제공연 및 문화공연
    - 6개 분야, 27개 프로그램 </t>
    <phoneticPr fontId="5" type="noConversion"/>
  </si>
  <si>
    <t>1986년
(32회)</t>
    <phoneticPr fontId="5" type="noConversion"/>
  </si>
  <si>
    <t>수달래꽃</t>
    <phoneticPr fontId="5" type="noConversion"/>
  </si>
  <si>
    <t>칠곡군</t>
    <phoneticPr fontId="5" type="noConversion"/>
  </si>
  <si>
    <t>낙동강세계평화 문화
대축전</t>
    <phoneticPr fontId="5" type="noConversion"/>
  </si>
  <si>
    <t>10.12.~10.14.
(3일간)(예정)</t>
    <phoneticPr fontId="5" type="noConversion"/>
  </si>
  <si>
    <t xml:space="preserve"> ○ 호국과 평화를 주제로 대규모 무기전시
 ○ 4,000㎡ 대규모 낙동강 방어선 체험 프로그램
     (55일간의 전투) 
 ○ 개막식 포함 다양한 문화 행사 등
 ○ 인문학 체험관 등 특화 및 이벤트 프로그램 및 
     기타 행사 등</t>
    <phoneticPr fontId="5" type="noConversion"/>
  </si>
  <si>
    <t>칠곡군 미래전략과/
낙동강세계평화 문화 대축전
(054-979-6100)</t>
    <phoneticPr fontId="5" type="noConversion"/>
  </si>
  <si>
    <t>2013년
(6회)</t>
    <phoneticPr fontId="5" type="noConversion"/>
  </si>
  <si>
    <t>지역특화문화행사지원</t>
    <phoneticPr fontId="5" type="noConversion"/>
  </si>
  <si>
    <t>호국과 평화
(6.25전쟁 
다부동전투)</t>
    <phoneticPr fontId="5" type="noConversion"/>
  </si>
  <si>
    <t>축제추진위</t>
    <phoneticPr fontId="5" type="noConversion"/>
  </si>
  <si>
    <t>업무위탁</t>
    <phoneticPr fontId="5" type="noConversion"/>
  </si>
  <si>
    <t>칠곡보 생태공원
(칠곡군 석적읍 중지리)</t>
    <phoneticPr fontId="5" type="noConversion"/>
  </si>
  <si>
    <t>칠곡세계인형음악극축제</t>
    <phoneticPr fontId="5" type="noConversion"/>
  </si>
  <si>
    <t>8.23.~8.26.</t>
    <phoneticPr fontId="5" type="noConversion"/>
  </si>
  <si>
    <t>세계적인 외국인형극단 및 국내인형극단의 인형음악극
8개국 13개팀(해외 7, 국내 6)
개막공연, 부대 체험행사 등</t>
    <phoneticPr fontId="5" type="noConversion"/>
  </si>
  <si>
    <t>칠곡군 문화예술담당/대구예술대학교
054-979-6433</t>
    <phoneticPr fontId="5" type="noConversion"/>
  </si>
  <si>
    <t>2012
(7회)</t>
    <phoneticPr fontId="5" type="noConversion"/>
  </si>
  <si>
    <t>인형 음악극</t>
    <phoneticPr fontId="5" type="noConversion"/>
  </si>
  <si>
    <t>칠곡
교육문화회관</t>
    <phoneticPr fontId="5" type="noConversion"/>
  </si>
  <si>
    <t>지천면</t>
    <phoneticPr fontId="5" type="noConversion"/>
  </si>
  <si>
    <t>지천면 아카시아 꽃 축제</t>
    <phoneticPr fontId="5" type="noConversion"/>
  </si>
  <si>
    <t>5. 5~5.6
(2일간)</t>
    <phoneticPr fontId="5" type="noConversion"/>
  </si>
  <si>
    <t xml:space="preserve"> ○ 아카시아 꽃을 테마로 한 공연, 체험 프로그램
 ○ 농산물 판매 및 먹거리 장터 등</t>
    <phoneticPr fontId="5" type="noConversion"/>
  </si>
  <si>
    <t>칠곡군 지천면 총무담당
(054-979-5354)</t>
    <phoneticPr fontId="5" type="noConversion"/>
  </si>
  <si>
    <t>1999년도
(15회)</t>
    <phoneticPr fontId="5" type="noConversion"/>
  </si>
  <si>
    <t>아카시아꽃</t>
    <phoneticPr fontId="5" type="noConversion"/>
  </si>
  <si>
    <t>부</t>
    <phoneticPr fontId="5" type="noConversion"/>
  </si>
  <si>
    <t>산</t>
    <phoneticPr fontId="5" type="noConversion"/>
  </si>
  <si>
    <t>포항시</t>
    <phoneticPr fontId="5" type="noConversion"/>
  </si>
  <si>
    <t>구룡포수산물
한마당잔치</t>
    <phoneticPr fontId="5" type="noConversion"/>
  </si>
  <si>
    <t>○특산품(대게, 오징어, 과메기 등) 시식, 공연행사</t>
    <phoneticPr fontId="5" type="noConversion"/>
  </si>
  <si>
    <t>포항시 수산진흥과
/구룡포수협, 대경일보
(054-270-2853)</t>
    <phoneticPr fontId="5" type="noConversion"/>
  </si>
  <si>
    <t>2012년도
(제7회)</t>
    <phoneticPr fontId="5" type="noConversion"/>
  </si>
  <si>
    <t>대게,오징어 등</t>
    <phoneticPr fontId="5" type="noConversion"/>
  </si>
  <si>
    <t>언론사</t>
    <phoneticPr fontId="5" type="noConversion"/>
  </si>
  <si>
    <t>바다</t>
    <phoneticPr fontId="5" type="noConversion"/>
  </si>
  <si>
    <t>영일만 검은돌장어 축제</t>
    <phoneticPr fontId="5" type="noConversion"/>
  </si>
  <si>
    <t>○영일만 검은돌장어 홍보 및 음식홍보</t>
    <phoneticPr fontId="5" type="noConversion"/>
  </si>
  <si>
    <t>포항시 수산진흥과
/영일만검은 돌장어법인, 
경북매일
(054-270-2853)</t>
    <phoneticPr fontId="5" type="noConversion"/>
  </si>
  <si>
    <t>2014년도
(제5회)</t>
    <phoneticPr fontId="5" type="noConversion"/>
  </si>
  <si>
    <t>검은돌장어</t>
    <phoneticPr fontId="5" type="noConversion"/>
  </si>
  <si>
    <t>포항해병대문화축제</t>
    <phoneticPr fontId="5" type="noConversion"/>
  </si>
  <si>
    <t>6.23~6.25
(3일간)</t>
    <phoneticPr fontId="5" type="noConversion"/>
  </si>
  <si>
    <t xml:space="preserve">○해상퍼레이드, 의장대.군악대.무적도 시범,
   KAAV/IBS탑승체험, 헬기레펠.고공강하시범,
   해병대 병영체험 및 방문행사, 축구.야구대회, 심포지엄 </t>
    <phoneticPr fontId="5" type="noConversion"/>
  </si>
  <si>
    <t>포항시 국제협력관광과
/ 포항시 
(054-270-2246)</t>
    <phoneticPr fontId="5" type="noConversion"/>
  </si>
  <si>
    <t>2017년도
(제2회)</t>
    <phoneticPr fontId="5" type="noConversion"/>
  </si>
  <si>
    <t>해병대 문화</t>
    <phoneticPr fontId="5" type="noConversion"/>
  </si>
  <si>
    <t>공원,하천,
군부대</t>
    <phoneticPr fontId="5" type="noConversion"/>
  </si>
  <si>
    <t>연일부조장터문화축제</t>
    <phoneticPr fontId="5" type="noConversion"/>
  </si>
  <si>
    <t>○퍼레이드, 풍물장터 운영, 전통체험, 씨름, 가요제
○뗏목타기, 장터문화 체험, 전통놀이 체험 등
○지역 농특산품 판매부스, 푸드트럭 운영</t>
    <phoneticPr fontId="5" type="noConversion"/>
  </si>
  <si>
    <t>포항시
/(사)연일향토청년회
(054-270-6586)</t>
    <phoneticPr fontId="5" type="noConversion"/>
  </si>
  <si>
    <t>2009년도
(제11회)</t>
    <phoneticPr fontId="5" type="noConversion"/>
  </si>
  <si>
    <t>장터문화</t>
    <phoneticPr fontId="5" type="noConversion"/>
  </si>
  <si>
    <t>포항국제불빛축제</t>
    <phoneticPr fontId="5" type="noConversion"/>
  </si>
  <si>
    <t>7.25~7.29
(5일간)</t>
    <phoneticPr fontId="5" type="noConversion"/>
  </si>
  <si>
    <t>○국제불꽃쇼, Daily뮤직불꽃쇼, 불빛퍼레이드, 
   버스킹페스티벌, 주제공연, 체험행사</t>
    <phoneticPr fontId="5" type="noConversion"/>
  </si>
  <si>
    <t>포항시 국제협력관광과
/ 포항문화재단
(054-270-2246)</t>
    <phoneticPr fontId="5" type="noConversion"/>
  </si>
  <si>
    <t>2004년도
(제15회)</t>
    <phoneticPr fontId="5" type="noConversion"/>
  </si>
  <si>
    <t>불꽃, 불빛</t>
    <phoneticPr fontId="5" type="noConversion"/>
  </si>
  <si>
    <t>바다,하천</t>
    <phoneticPr fontId="5" type="noConversion"/>
  </si>
  <si>
    <t>포항스틸아트페스티벌</t>
    <phoneticPr fontId="5" type="noConversion"/>
  </si>
  <si>
    <t>9.15~10.13
(28일간)</t>
    <phoneticPr fontId="5" type="noConversion"/>
  </si>
  <si>
    <t>○ 스틸아트웨이 조성, 스틸상품디자인 공모전,
     아트투어, 체험프로그램 및 문화공연 등</t>
    <phoneticPr fontId="5" type="noConversion"/>
  </si>
  <si>
    <t>포항시립미술관
/ 포항문화재단
(054-250-6023)</t>
    <phoneticPr fontId="5" type="noConversion"/>
  </si>
  <si>
    <t>철(스틸)</t>
    <phoneticPr fontId="5" type="noConversion"/>
  </si>
  <si>
    <t>9.6~9.8
(3일간)</t>
    <phoneticPr fontId="5" type="noConversion"/>
  </si>
  <si>
    <t xml:space="preserve"> ○ 국내외 유명뮤지션 17개 팀이 펼치는 재즈향연</t>
    <phoneticPr fontId="5" type="noConversion"/>
  </si>
  <si>
    <t>포항시 문화예술과
/(사)칠포재즈축제위원회
(054-270-2873)</t>
    <phoneticPr fontId="5" type="noConversion"/>
  </si>
  <si>
    <t>2007년도
(제12회)</t>
    <phoneticPr fontId="5" type="noConversion"/>
  </si>
  <si>
    <t>음악(재즈)</t>
    <phoneticPr fontId="5" type="noConversion"/>
  </si>
  <si>
    <t>포항운하축제</t>
    <phoneticPr fontId="5" type="noConversion"/>
  </si>
  <si>
    <t>9.15~9.16
(2일간)</t>
    <phoneticPr fontId="5" type="noConversion"/>
  </si>
  <si>
    <t xml:space="preserve"> ○ 방티타기대회, 방티마라톤대회, 
     수상레저스포츠시연, 에코보트 콘테스트, 
     축하공연 등</t>
    <phoneticPr fontId="5" type="noConversion"/>
  </si>
  <si>
    <t>포항시 국제협력관광과
/포항MBC
(054-270-2243)</t>
    <phoneticPr fontId="5" type="noConversion"/>
  </si>
  <si>
    <t>운하, 방티</t>
    <phoneticPr fontId="5" type="noConversion"/>
  </si>
  <si>
    <t>운하</t>
    <phoneticPr fontId="5" type="noConversion"/>
  </si>
  <si>
    <t>호미곶한민족
해맞이축전</t>
    <phoneticPr fontId="5" type="noConversion"/>
  </si>
  <si>
    <t>12.31~1.1
(2일간)</t>
    <phoneticPr fontId="5" type="noConversion"/>
  </si>
  <si>
    <t xml:space="preserve"> ○ 전야.해넘이.해맞이 행사, 사자성어, 신년축하인사
     헬기축하비행, 1만명 떡국나눔 등</t>
    <phoneticPr fontId="5" type="noConversion"/>
  </si>
  <si>
    <t>포항시 국제협력관광과
/ 포항문화재단
(054-270-2243)</t>
    <phoneticPr fontId="5" type="noConversion"/>
  </si>
  <si>
    <t>1999년도
(제21회)</t>
    <phoneticPr fontId="5" type="noConversion"/>
  </si>
  <si>
    <t>해맞이</t>
    <phoneticPr fontId="5" type="noConversion"/>
  </si>
  <si>
    <t>바다,광장</t>
    <phoneticPr fontId="5" type="noConversion"/>
  </si>
  <si>
    <t>성주군</t>
    <phoneticPr fontId="5" type="noConversion"/>
  </si>
  <si>
    <t>성주생명문화축제</t>
    <phoneticPr fontId="5" type="noConversion"/>
  </si>
  <si>
    <t>5.17~5.20(4일간)</t>
    <phoneticPr fontId="5" type="noConversion"/>
  </si>
  <si>
    <t>○ 핵심프로그램 : 생명문화주제관, 베이비올림픽&amp;베이비페어
○ 생명문화를 주제로 한 공연, 전시, 체험프로그램 운영
○ 개폐막식, 주제뮤지컬 공연, 별빛기행, 생명문화RPG게임
○ 기타 특별행사
  - 생명선포식
  - 세종대왕자태실 태봉안의식 재현
  - 태교음악회
  - 세계장태문화와의 만남
  - 키자니아 GO
  - 신과함께 '귀인의 길' RPG게임
  - 생명문화 골든벨&amp;삼일유가체험
  - 생명의 열매 '참외' 이벤트
  - 기타 문화예술체험 등</t>
    <phoneticPr fontId="5" type="noConversion"/>
  </si>
  <si>
    <t>성주군 문화관광과
/ 성주군축제추진위원회
(054-930-6763)</t>
    <phoneticPr fontId="5" type="noConversion"/>
  </si>
  <si>
    <t>2011
(7회)</t>
    <phoneticPr fontId="5" type="noConversion"/>
  </si>
  <si>
    <t>생명문화</t>
    <phoneticPr fontId="5" type="noConversion"/>
  </si>
  <si>
    <t>있음
비상설
공무원1명파견</t>
    <phoneticPr fontId="5" type="noConversion"/>
  </si>
  <si>
    <t>성밖숲, 세종대왕자태실</t>
    <phoneticPr fontId="5" type="noConversion"/>
  </si>
  <si>
    <t>경주시</t>
    <phoneticPr fontId="5" type="noConversion"/>
  </si>
  <si>
    <t>2018경주벚꽃축제</t>
    <phoneticPr fontId="5" type="noConversion"/>
  </si>
  <si>
    <t>4.6~4.15
(10일간)</t>
  </si>
  <si>
    <t xml:space="preserve"> ○ 개막공연
 ○ 벚꽃버스킹, 벚꽃운동회
 ○ 신라복 체험 등 체험행사
 ○ 보문호반달빛걷기대회, 벚꽃마라톤 등 연계행사</t>
  </si>
  <si>
    <t>경주시 관광컨벤션과
/경주문화재단
(054-779-6982)</t>
  </si>
  <si>
    <t>2017년</t>
  </si>
  <si>
    <t>보문단지
동부사적지</t>
  </si>
  <si>
    <t>신라도자기축제</t>
    <phoneticPr fontId="5" type="noConversion"/>
  </si>
  <si>
    <t>4.20~4.29
(10일간)</t>
    <phoneticPr fontId="5" type="noConversion"/>
  </si>
  <si>
    <t>○ 라꾸가마시연
○ 도자기, 물레 체험
○ 도자기 퍼포먼스
○ 가족도자기만들기 대회</t>
    <phoneticPr fontId="5" type="noConversion"/>
  </si>
  <si>
    <t>경주시 경제정책과
/경주도예가협회
(054-779-6232)</t>
    <phoneticPr fontId="5" type="noConversion"/>
  </si>
  <si>
    <t>2000년도
(18회)</t>
    <phoneticPr fontId="5" type="noConversion"/>
  </si>
  <si>
    <t>도자기</t>
    <phoneticPr fontId="5" type="noConversion"/>
  </si>
  <si>
    <t>황성공원</t>
    <phoneticPr fontId="5" type="noConversion"/>
  </si>
  <si>
    <t>제46회 신라문화제</t>
    <phoneticPr fontId="5" type="noConversion"/>
  </si>
  <si>
    <t>10.3~10.9
(7일간)</t>
    <phoneticPr fontId="5" type="noConversion"/>
  </si>
  <si>
    <t>○ 서제
○ 주제공연 개최(창작뮤지컬)
○ 핵심프로그램 : 첨성대 재현 행사
○ 모두가 참여하는 줄다리기 행사
○ 전국시조 경창대회 등 문화공연 및 대회
   4개부야 17개 단위행사
※ 현재 전국대상 콘텐츠 공모 중(2.5~3.20)</t>
    <phoneticPr fontId="5" type="noConversion"/>
  </si>
  <si>
    <t>경주시 문화예술과
(054-779-6072)</t>
    <phoneticPr fontId="5" type="noConversion"/>
  </si>
  <si>
    <t>1962년
(46회)</t>
    <phoneticPr fontId="5" type="noConversion"/>
  </si>
  <si>
    <t>신라</t>
    <phoneticPr fontId="5" type="noConversion"/>
  </si>
  <si>
    <t>경주역사유적지구
월정교</t>
    <phoneticPr fontId="5" type="noConversion"/>
  </si>
  <si>
    <t xml:space="preserve"> ○ 개막 퍼포먼스, 대게주제 공연 및 행사 등
 ○ 등기산대게길 및 스카이워크걷기
 ○ 대게∙해산물 경매,  해경고속단정및 요트 승선체험 등 </t>
    <phoneticPr fontId="5" type="noConversion"/>
  </si>
  <si>
    <t>(경상남도 지역축제 담당 : 관광진흥과 055-211-4643)</t>
    <phoneticPr fontId="5" type="noConversion"/>
  </si>
  <si>
    <t>최초개최
년도
및 횟수</t>
    <phoneticPr fontId="5" type="noConversion"/>
  </si>
  <si>
    <t>2018년
축제예산
(백만원)</t>
    <phoneticPr fontId="5" type="noConversion"/>
  </si>
  <si>
    <t>경상남도</t>
    <phoneticPr fontId="5" type="noConversion"/>
  </si>
  <si>
    <t>창원시</t>
    <phoneticPr fontId="5" type="noConversion"/>
  </si>
  <si>
    <t>제56회 진해군항제</t>
    <phoneticPr fontId="5" type="noConversion"/>
  </si>
  <si>
    <t>4.1 ~ 4.10
(10일간)</t>
    <phoneticPr fontId="5" type="noConversion"/>
  </si>
  <si>
    <r>
      <t xml:space="preserve"> ○ </t>
    </r>
    <r>
      <rPr>
        <u/>
        <sz val="10"/>
        <rFont val="굴림"/>
        <family val="3"/>
        <charset val="129"/>
      </rPr>
      <t>속천항 멀티미디어 해상 불꽃쇼</t>
    </r>
    <r>
      <rPr>
        <sz val="10"/>
        <rFont val="굴림"/>
        <family val="3"/>
        <charset val="129"/>
      </rPr>
      <t xml:space="preserve">
 ○ 문화행사, 군부대 개방행사
 ○ 개막공연, 여좌천 별빛축제, 공군 블랙이글에어쇼 </t>
    </r>
    <phoneticPr fontId="5" type="noConversion"/>
  </si>
  <si>
    <t>창원시 문화예술과 축제담당
(055-225-2341)
/ 진해군항제축제위원회
(055-225-4086)</t>
    <phoneticPr fontId="5" type="noConversion"/>
  </si>
  <si>
    <t>1962년도
(55회)</t>
    <phoneticPr fontId="5" type="noConversion"/>
  </si>
  <si>
    <t>문화예술</t>
    <phoneticPr fontId="5" type="noConversion"/>
  </si>
  <si>
    <t>벚꽃</t>
    <phoneticPr fontId="5" type="noConversion"/>
  </si>
  <si>
    <t>축제조직위</t>
    <phoneticPr fontId="5" type="noConversion"/>
  </si>
  <si>
    <t>있음
정규직 2명</t>
    <phoneticPr fontId="5" type="noConversion"/>
  </si>
  <si>
    <t>자체추진</t>
    <phoneticPr fontId="5" type="noConversion"/>
  </si>
  <si>
    <t>시내거리, 
운동장 등</t>
    <phoneticPr fontId="5" type="noConversion"/>
  </si>
  <si>
    <t>창원시</t>
    <phoneticPr fontId="5" type="noConversion"/>
  </si>
  <si>
    <t>2018  진해군악의장
페스티벌</t>
    <phoneticPr fontId="5" type="noConversion"/>
  </si>
  <si>
    <t>4. 6 `~ 4. 8
(3일간)</t>
    <phoneticPr fontId="5" type="noConversion"/>
  </si>
  <si>
    <r>
      <t xml:space="preserve"> ○</t>
    </r>
    <r>
      <rPr>
        <u/>
        <sz val="10"/>
        <rFont val="굴림"/>
        <family val="3"/>
        <charset val="129"/>
      </rPr>
      <t xml:space="preserve"> 주 공연장 마칭공연</t>
    </r>
    <r>
      <rPr>
        <sz val="10"/>
        <rFont val="굴림"/>
        <family val="3"/>
        <charset val="129"/>
      </rPr>
      <t xml:space="preserve">
 ○ 개막행사, 프린지 공연 등</t>
    </r>
    <phoneticPr fontId="5" type="noConversion"/>
  </si>
  <si>
    <t>창원시 문화예술과 축제담당
(055-225-2341)
/(사)진해세계군악의장페스티벌
추진위원회
(055-548-2845)</t>
    <phoneticPr fontId="5" type="noConversion"/>
  </si>
  <si>
    <t>2007년도
(10회)</t>
    <phoneticPr fontId="5" type="noConversion"/>
  </si>
  <si>
    <t>군악, 의장</t>
    <phoneticPr fontId="5" type="noConversion"/>
  </si>
  <si>
    <t>제18회 마산가고파
국화축제</t>
    <phoneticPr fontId="5" type="noConversion"/>
  </si>
  <si>
    <t>10월~11월
(15일간)</t>
    <phoneticPr fontId="5" type="noConversion"/>
  </si>
  <si>
    <r>
      <t xml:space="preserve"> ○</t>
    </r>
    <r>
      <rPr>
        <u/>
        <sz val="10"/>
        <rFont val="굴림"/>
        <family val="3"/>
        <charset val="129"/>
      </rPr>
      <t xml:space="preserve"> 해상 멀티미디어 불꽃쇼</t>
    </r>
    <r>
      <rPr>
        <sz val="10"/>
        <rFont val="굴림"/>
        <family val="3"/>
        <charset val="129"/>
      </rPr>
      <t xml:space="preserve">
 ○ 개막행사, 국향대전, 문화행사, 체험행사, 판매행사</t>
    </r>
    <phoneticPr fontId="5" type="noConversion"/>
  </si>
  <si>
    <t>창원시 문화예술과 축제담당
(055-225-2341)
/ 마산가고파국화축제위원회
(055-225-2341)</t>
    <phoneticPr fontId="5" type="noConversion"/>
  </si>
  <si>
    <t>2000년도
(17회)</t>
    <phoneticPr fontId="5" type="noConversion"/>
  </si>
  <si>
    <t>4.13~4.15
(3일간)</t>
    <phoneticPr fontId="5" type="noConversion"/>
  </si>
  <si>
    <t>창원시 문화예술과 문화담당
(055-225-3658)/
창원시 수산과 수산유통담당
(055-225-3433) 
/진동면축제위원회
(055-220-5093)</t>
    <phoneticPr fontId="5" type="noConversion"/>
  </si>
  <si>
    <t>있음
정규직 7명</t>
    <phoneticPr fontId="5" type="noConversion"/>
  </si>
  <si>
    <t>2018
진주남강유등축제</t>
    <phoneticPr fontId="5" type="noConversion"/>
  </si>
  <si>
    <t>10.1~10.14
(14일간)</t>
    <phoneticPr fontId="5" type="noConversion"/>
  </si>
  <si>
    <r>
      <t xml:space="preserve"> </t>
    </r>
    <r>
      <rPr>
        <u/>
        <sz val="10"/>
        <rFont val="굴림"/>
        <family val="3"/>
        <charset val="129"/>
      </rPr>
      <t>○ 초혼점등식</t>
    </r>
    <r>
      <rPr>
        <sz val="10"/>
        <rFont val="굴림"/>
        <family val="3"/>
        <charset val="129"/>
      </rPr>
      <t xml:space="preserve">
 ○ 유등을 테마로 한 공연, 전시, 체험프로그램 운영
 ○ 소망등달기, 추억의 유등띄우기, 읍면동상징등, 
     한국등 및 세계풍물등 전시 등
   - 본행사 16개 종목, 체험참여행사 12개종목, 
       부대행사 9개 종목</t>
    </r>
    <phoneticPr fontId="5" type="noConversion"/>
  </si>
  <si>
    <t>문화관광축제
(글로벌)</t>
    <phoneticPr fontId="5" type="noConversion"/>
  </si>
  <si>
    <t>제68회 개천예술제</t>
    <phoneticPr fontId="5" type="noConversion"/>
  </si>
  <si>
    <t>10.3~10.10
(8일간)</t>
    <phoneticPr fontId="5" type="noConversion"/>
  </si>
  <si>
    <r>
      <t xml:space="preserve"> ○ </t>
    </r>
    <r>
      <rPr>
        <u/>
        <sz val="10"/>
        <rFont val="굴림"/>
        <family val="3"/>
        <charset val="129"/>
      </rPr>
      <t>서제 및 개제식</t>
    </r>
    <r>
      <rPr>
        <sz val="10"/>
        <rFont val="굴림"/>
        <family val="3"/>
        <charset val="129"/>
      </rPr>
      <t xml:space="preserve">
 ○ 지방종합예술제의 효시로써 진주대첩을 테마로한 
     공연, 전시, 체험프로그램 운영
 ○ 가장행렬, 촉석산성아리아, 예술경연, 체험행사, 
     각종전시, 종야축제 
   - 10개 부문 61개 행사</t>
    </r>
    <phoneticPr fontId="5" type="noConversion"/>
  </si>
  <si>
    <t>1949년도
(68회)</t>
    <phoneticPr fontId="5" type="noConversion"/>
  </si>
  <si>
    <t>진주대첩과
예술경연</t>
    <phoneticPr fontId="5" type="noConversion"/>
  </si>
  <si>
    <t>있음
정규직 4명</t>
    <phoneticPr fontId="5" type="noConversion"/>
  </si>
  <si>
    <t>2018
코리아드라마페스티벌</t>
    <phoneticPr fontId="5" type="noConversion"/>
  </si>
  <si>
    <r>
      <t xml:space="preserve"> ○ </t>
    </r>
    <r>
      <rPr>
        <u/>
        <sz val="10"/>
        <rFont val="굴림"/>
        <family val="3"/>
        <charset val="129"/>
      </rPr>
      <t>코리아드라마어워즈</t>
    </r>
    <r>
      <rPr>
        <sz val="10"/>
        <rFont val="굴림"/>
        <family val="3"/>
        <charset val="129"/>
      </rPr>
      <t xml:space="preserve">
 ○ 드라마를 테마로 한 공연, 전시, 체험프로그램 운영
 ○ 한류K-POP콘서트, 드라마OST콘서트, 국제학술
     포럼, 축제프로그램 등 
    - 3개부문 24개 행사</t>
    </r>
    <phoneticPr fontId="5" type="noConversion"/>
  </si>
  <si>
    <t>(사)코리아드라마페스티벌
조직위원회
(055-755-2363)</t>
    <phoneticPr fontId="5" type="noConversion"/>
  </si>
  <si>
    <t>2006년도
(12회)</t>
    <phoneticPr fontId="5" type="noConversion"/>
  </si>
  <si>
    <t>코리아드라마페스티벌</t>
    <phoneticPr fontId="5" type="noConversion"/>
  </si>
  <si>
    <t>있음
정규직 5명</t>
    <phoneticPr fontId="5" type="noConversion"/>
  </si>
  <si>
    <t>경상남도</t>
    <phoneticPr fontId="5" type="noConversion"/>
  </si>
  <si>
    <t>통영시</t>
    <phoneticPr fontId="5" type="noConversion"/>
  </si>
  <si>
    <t>제57회
통영한산대첩축제</t>
    <phoneticPr fontId="5" type="noConversion"/>
  </si>
  <si>
    <t>8.10~8.14
(5일간)</t>
    <phoneticPr fontId="5" type="noConversion"/>
  </si>
  <si>
    <r>
      <t xml:space="preserve"> ○ </t>
    </r>
    <r>
      <rPr>
        <u/>
        <sz val="10"/>
        <rFont val="굴림"/>
        <family val="3"/>
        <charset val="129"/>
      </rPr>
      <t>한산대첩 재현</t>
    </r>
    <r>
      <rPr>
        <sz val="10"/>
        <rFont val="굴림"/>
        <family val="3"/>
        <charset val="129"/>
      </rPr>
      <t xml:space="preserve">
 ○ 이충무공 행렬 및 군점 등 
 ○ 각종 공연,전시,체험프로그램 진행</t>
    </r>
    <phoneticPr fontId="5" type="noConversion"/>
  </si>
  <si>
    <t>통영시 문화예술과
/ (재)통영한산대첩기념사업회
(055-644-5222)</t>
    <phoneticPr fontId="5" type="noConversion"/>
  </si>
  <si>
    <t>1954년도
(57회)</t>
    <phoneticPr fontId="5" type="noConversion"/>
  </si>
  <si>
    <t>한산대첩 승리   기념, 이순신장군호국정신계승</t>
    <phoneticPr fontId="5" type="noConversion"/>
  </si>
  <si>
    <t>있음
정규직 4명</t>
    <phoneticPr fontId="5" type="noConversion"/>
  </si>
  <si>
    <t>제16회
봉숫골 꽃나들이 축제</t>
    <phoneticPr fontId="5" type="noConversion"/>
  </si>
  <si>
    <t>4.7~4.8
(2일간)</t>
    <phoneticPr fontId="5" type="noConversion"/>
  </si>
  <si>
    <r>
      <t xml:space="preserve"> ○ </t>
    </r>
    <r>
      <rPr>
        <u/>
        <sz val="10"/>
        <rFont val="굴림"/>
        <family val="3"/>
        <charset val="129"/>
      </rPr>
      <t>통제사 꽃나들이 행렬</t>
    </r>
    <r>
      <rPr>
        <sz val="10"/>
        <rFont val="굴림"/>
        <family val="3"/>
        <charset val="129"/>
      </rPr>
      <t xml:space="preserve">
 ○ 벚꽃을 테마로 한 개막식, 프린지 등 문화공연
 ○ 아동사생대회 등 참여 행사
 ○ 전혁림미술관, 김춘수유품전시관 등 전시 및 관람행사
 ○ 기타 특별행사 및 전시 등</t>
    </r>
    <phoneticPr fontId="5" type="noConversion"/>
  </si>
  <si>
    <t>봉숫골벚꽃축제위원회
(055-650-3840)</t>
    <phoneticPr fontId="5" type="noConversion"/>
  </si>
  <si>
    <t>벚꽃</t>
    <phoneticPr fontId="5" type="noConversion"/>
  </si>
  <si>
    <t>사천시</t>
    <phoneticPr fontId="5" type="noConversion"/>
  </si>
  <si>
    <t>와룡문화제</t>
    <phoneticPr fontId="5" type="noConversion"/>
  </si>
  <si>
    <t>4.27~4.29
(3일간)</t>
    <phoneticPr fontId="5" type="noConversion"/>
  </si>
  <si>
    <r>
      <t xml:space="preserve"> ○ </t>
    </r>
    <r>
      <rPr>
        <u/>
        <sz val="10"/>
        <rFont val="굴림"/>
        <family val="3"/>
        <charset val="129"/>
      </rPr>
      <t>와룡퍼레이드, 용 놀이, 주제관 운영</t>
    </r>
    <r>
      <rPr>
        <sz val="10"/>
        <rFont val="굴림"/>
        <family val="3"/>
        <charset val="129"/>
      </rPr>
      <t xml:space="preserve">
 ○ 용을 테마로 한 시민 화합 및 참여형 주제공연, 
     체험 프로그램 운영(전시행사, 공연행사, 경연행사,
     체험행사 등)</t>
    </r>
    <phoneticPr fontId="5" type="noConversion"/>
  </si>
  <si>
    <t>사천시 문화관광과
/사천문화재단
(055-835-6493)</t>
    <phoneticPr fontId="5" type="noConversion"/>
  </si>
  <si>
    <t>1995년도
(23회)</t>
    <phoneticPr fontId="5" type="noConversion"/>
  </si>
  <si>
    <t>용(龍)</t>
    <phoneticPr fontId="5" type="noConversion"/>
  </si>
  <si>
    <t xml:space="preserve">있음
정규직 6명  </t>
    <phoneticPr fontId="5" type="noConversion"/>
  </si>
  <si>
    <t>2018 사천시 삼천포항
수산물축제</t>
    <phoneticPr fontId="5" type="noConversion"/>
  </si>
  <si>
    <t>4.13~4.15
(3일간)</t>
    <phoneticPr fontId="5" type="noConversion"/>
  </si>
  <si>
    <r>
      <t xml:space="preserve"> ○ </t>
    </r>
    <r>
      <rPr>
        <u/>
        <sz val="10"/>
        <rFont val="굴림"/>
        <family val="3"/>
        <charset val="129"/>
      </rPr>
      <t>맨손 붕장어 잡기, 어린이주꾸미낚시</t>
    </r>
    <r>
      <rPr>
        <sz val="10"/>
        <rFont val="굴림"/>
        <family val="3"/>
        <charset val="129"/>
      </rPr>
      <t xml:space="preserve">
 ○ 죽방렴모형만들기, 생선회무료시식, 바다낚시, 
     수산물깜짝경매, 요트승선, 축하공연, 전시행사 등
</t>
    </r>
    <phoneticPr fontId="5" type="noConversion"/>
  </si>
  <si>
    <t>(사)한국수산업경영인
사천시연합회
/사천시삼천포항수산물축제
추진위원회
(833-2747)</t>
    <phoneticPr fontId="5" type="noConversion"/>
  </si>
  <si>
    <t>2006년도
(11회)</t>
    <phoneticPr fontId="5" type="noConversion"/>
  </si>
  <si>
    <t>수산물
(어패류 등)</t>
    <phoneticPr fontId="5" type="noConversion"/>
  </si>
  <si>
    <t>있음
(비상설)</t>
    <phoneticPr fontId="5" type="noConversion"/>
  </si>
  <si>
    <t>부분위탁
(이벤트행사
대행)</t>
    <phoneticPr fontId="5" type="noConversion"/>
  </si>
  <si>
    <t>기타</t>
    <phoneticPr fontId="5" type="noConversion"/>
  </si>
  <si>
    <t>제17회 사천시 삼천포항
자연산 전어축제</t>
    <phoneticPr fontId="5" type="noConversion"/>
  </si>
  <si>
    <t>7월말
(5일간)</t>
    <phoneticPr fontId="5" type="noConversion"/>
  </si>
  <si>
    <r>
      <t xml:space="preserve"> ○ </t>
    </r>
    <r>
      <rPr>
        <u/>
        <sz val="10"/>
        <rFont val="굴림"/>
        <family val="3"/>
        <charset val="129"/>
      </rPr>
      <t>맨손전어잡기</t>
    </r>
    <r>
      <rPr>
        <sz val="10"/>
        <rFont val="굴림"/>
        <family val="3"/>
        <charset val="129"/>
      </rPr>
      <t xml:space="preserve">
 ○ 전어OX퀴즈대회, 깜짝경매, 축하공연, 
     체험, 전시행사 등</t>
    </r>
    <phoneticPr fontId="5" type="noConversion"/>
  </si>
  <si>
    <t>사천시삼천포항자연산전어
축제추진위원회
(832-8568)</t>
    <phoneticPr fontId="5" type="noConversion"/>
  </si>
  <si>
    <t>2002년도
(16회)</t>
    <phoneticPr fontId="5" type="noConversion"/>
  </si>
  <si>
    <t>수산물(전어)</t>
    <phoneticPr fontId="5" type="noConversion"/>
  </si>
  <si>
    <t>시내거리</t>
    <phoneticPr fontId="5" type="noConversion"/>
  </si>
  <si>
    <t>경상남도</t>
    <phoneticPr fontId="5" type="noConversion"/>
  </si>
  <si>
    <t>사천시</t>
    <phoneticPr fontId="5" type="noConversion"/>
  </si>
  <si>
    <t>2018사천시농업한마당축제</t>
    <phoneticPr fontId="5" type="noConversion"/>
  </si>
  <si>
    <t>10.27~10.29
(3일간)</t>
    <phoneticPr fontId="5" type="noConversion"/>
  </si>
  <si>
    <r>
      <t xml:space="preserve"> ○ </t>
    </r>
    <r>
      <rPr>
        <u/>
        <sz val="10"/>
        <rFont val="굴림"/>
        <family val="3"/>
        <charset val="129"/>
      </rPr>
      <t>사천 단감한마당</t>
    </r>
    <r>
      <rPr>
        <sz val="10"/>
        <rFont val="굴림"/>
        <family val="3"/>
        <charset val="129"/>
      </rPr>
      <t xml:space="preserve">
 ○ 우리 농업을 테마로한 공연, 전시, 체험프로그램 운영
 ○ 개폐막 공연, 주제공연 및 문화공연
    - 7개 분야 43여개 프로그램
 ○ 추억의 DJ 박스와 소망카페 운영
 ○ 농업 기자재 전시 및 농축특산물 시음·시식</t>
    </r>
    <phoneticPr fontId="5" type="noConversion"/>
  </si>
  <si>
    <t>사천시농업한마당축제 추진위원회
(055-831-3764)</t>
    <phoneticPr fontId="5" type="noConversion"/>
  </si>
  <si>
    <t>2007년도
(11회)</t>
    <phoneticPr fontId="5" type="noConversion"/>
  </si>
  <si>
    <t>단감,참다래,
한우,한돈 등</t>
    <phoneticPr fontId="5" type="noConversion"/>
  </si>
  <si>
    <t>· 매년</t>
    <phoneticPr fontId="5" type="noConversion"/>
  </si>
  <si>
    <t>광장</t>
    <phoneticPr fontId="5" type="noConversion"/>
  </si>
  <si>
    <t>김해시</t>
    <phoneticPr fontId="5" type="noConversion"/>
  </si>
  <si>
    <t>김해분청도자기축제</t>
    <phoneticPr fontId="5" type="noConversion"/>
  </si>
  <si>
    <t>10.26~11.4
(10일간)</t>
    <phoneticPr fontId="5" type="noConversion"/>
  </si>
  <si>
    <r>
      <t xml:space="preserve"> ○ 대한민국분청도자대전 입상작展, 나도 도예가다展, 
     김해도자신작展 등 </t>
    </r>
    <r>
      <rPr>
        <u/>
        <sz val="10"/>
        <rFont val="굴림"/>
        <family val="3"/>
        <charset val="129"/>
      </rPr>
      <t>도자 전시 프로그램</t>
    </r>
    <r>
      <rPr>
        <sz val="10"/>
        <rFont val="굴림"/>
        <family val="3"/>
        <charset val="129"/>
      </rPr>
      <t xml:space="preserve">
 ○ 분청도자기를 테마로한 공연, 전시, 판매, 
     체험프로그램 운영
 ○ 개폐막 공연, 기원제, 원류도공추모제, 학술 세미나
    - 7개 분야 69개 프로그램
 ○ 분청도자기 역사관 등</t>
    </r>
    <phoneticPr fontId="5" type="noConversion"/>
  </si>
  <si>
    <t>김해시 관광과(055-330-3244)
 /(사)김해도예협회
(055-345-6035)</t>
    <phoneticPr fontId="5" type="noConversion"/>
  </si>
  <si>
    <t>분청도자기</t>
    <phoneticPr fontId="5" type="noConversion"/>
  </si>
  <si>
    <t>김해시</t>
    <phoneticPr fontId="5" type="noConversion"/>
  </si>
  <si>
    <t>가야문화축제</t>
    <phoneticPr fontId="5" type="noConversion"/>
  </si>
  <si>
    <t>4.27~5.1
(5일간)</t>
    <phoneticPr fontId="5" type="noConversion"/>
  </si>
  <si>
    <r>
      <t xml:space="preserve"> ○</t>
    </r>
    <r>
      <rPr>
        <u/>
        <sz val="10"/>
        <rFont val="굴림"/>
        <family val="3"/>
        <charset val="129"/>
      </rPr>
      <t xml:space="preserve"> 가야역사문화 홍보.체험관 구성 - 갸야문화권 교류 </t>
    </r>
    <r>
      <rPr>
        <sz val="10"/>
        <rFont val="굴림"/>
        <family val="3"/>
        <charset val="129"/>
      </rPr>
      <t xml:space="preserve">
 ○ 철기문화를 테마로 한 공연, 전시 체험프로그램 운영
 ○ 개폐막 공연, 주제공연 및 문화공연
    - 6개 분야 40여개 프로그램
 ○ 세계화합줄땡기기, 가야차문화한마당,
     가야문화권 통합 염원 기념콘서트  등 </t>
    </r>
    <phoneticPr fontId="5" type="noConversion"/>
  </si>
  <si>
    <t>김해시 문화예술과
/(사)가야문화축제제전위원회
(055-330-3943)</t>
    <phoneticPr fontId="5" type="noConversion"/>
  </si>
  <si>
    <t>1962년도
(42회)</t>
    <phoneticPr fontId="5" type="noConversion"/>
  </si>
  <si>
    <t>가야문화</t>
    <phoneticPr fontId="5" type="noConversion"/>
  </si>
  <si>
    <t xml:space="preserve">있음
계약직 4명  </t>
    <phoneticPr fontId="5" type="noConversion"/>
  </si>
  <si>
    <t>사적지 등</t>
    <phoneticPr fontId="5" type="noConversion"/>
  </si>
  <si>
    <t>제34회 김해진영단감
축제</t>
    <phoneticPr fontId="5" type="noConversion"/>
  </si>
  <si>
    <t>11.2~11.4
(3일간)</t>
    <phoneticPr fontId="5" type="noConversion"/>
  </si>
  <si>
    <r>
      <t xml:space="preserve"> ○ </t>
    </r>
    <r>
      <rPr>
        <u/>
        <sz val="10"/>
        <rFont val="굴림"/>
        <family val="3"/>
        <charset val="129"/>
      </rPr>
      <t>단감시식, 체험행사</t>
    </r>
    <r>
      <rPr>
        <sz val="10"/>
        <rFont val="굴림"/>
        <family val="3"/>
        <charset val="129"/>
      </rPr>
      <t xml:space="preserve">
 ○ 고유제
 ○ 김해진영단감가요제
 ○ 청소년 예능대회 등</t>
    </r>
    <phoneticPr fontId="5" type="noConversion"/>
  </si>
  <si>
    <t>김해 진영단감축제 제전위원회
(055-343-2242)</t>
    <phoneticPr fontId="5" type="noConversion"/>
  </si>
  <si>
    <t>1985년도
(34회)</t>
    <phoneticPr fontId="5" type="noConversion"/>
  </si>
  <si>
    <t>단감</t>
    <phoneticPr fontId="5" type="noConversion"/>
  </si>
  <si>
    <t>운동장</t>
    <phoneticPr fontId="5" type="noConversion"/>
  </si>
  <si>
    <t>허왕후신행길축제</t>
    <phoneticPr fontId="5" type="noConversion"/>
  </si>
  <si>
    <t>7.26~7.27 
(2일간)</t>
    <phoneticPr fontId="5" type="noConversion"/>
  </si>
  <si>
    <r>
      <t xml:space="preserve"> ○ </t>
    </r>
    <r>
      <rPr>
        <u/>
        <sz val="10"/>
        <rFont val="굴림"/>
        <family val="3"/>
        <charset val="129"/>
      </rPr>
      <t xml:space="preserve">허왕후신행길 퍼레이드 중심의 카니발 </t>
    </r>
    <r>
      <rPr>
        <sz val="10"/>
        <rFont val="굴림"/>
        <family val="3"/>
        <charset val="129"/>
      </rPr>
      <t xml:space="preserve">
 ○ 개폐막 공연, 축하행사 공연
 ○ 인도문화체험 부스 운영
 ○ 인도영화제 등</t>
    </r>
    <phoneticPr fontId="5" type="noConversion"/>
  </si>
  <si>
    <t>김해시 관광과(055-330-3243)
주한인도대사관(02-798-4257)
 /(재)김해문화의전당
(055-320-1234)</t>
    <phoneticPr fontId="5" type="noConversion"/>
  </si>
  <si>
    <t>2014년도
(5회)</t>
    <phoneticPr fontId="5" type="noConversion"/>
  </si>
  <si>
    <t>허왕후</t>
    <phoneticPr fontId="5" type="noConversion"/>
  </si>
  <si>
    <t>하천 등</t>
    <phoneticPr fontId="5" type="noConversion"/>
  </si>
  <si>
    <t>장어와함께하는 
불암동 문화축제</t>
    <phoneticPr fontId="5" type="noConversion"/>
  </si>
  <si>
    <t>6.30~7.1
(2일간)</t>
    <phoneticPr fontId="5" type="noConversion"/>
  </si>
  <si>
    <r>
      <t xml:space="preserve"> ○ </t>
    </r>
    <r>
      <rPr>
        <u/>
        <sz val="10"/>
        <rFont val="굴림"/>
        <family val="3"/>
        <charset val="129"/>
      </rPr>
      <t>장어잡기, 장어 음식 만들기 체험장 운영</t>
    </r>
    <r>
      <rPr>
        <sz val="10"/>
        <rFont val="굴림"/>
        <family val="3"/>
        <charset val="129"/>
      </rPr>
      <t xml:space="preserve">
 ○ 개폐막 공연, 문화예술 행사
   - 2개 분야 10여개 프로그램
 ○ 카누경기장에서 보트 타기, 카누체험 운영 
 ○ 꽃, 농산물 전시 매장 운영 등</t>
    </r>
    <phoneticPr fontId="5" type="noConversion"/>
  </si>
  <si>
    <t>불암동 문화축제 제전위원회
/불암동 문화축제 제전위원회
(055-330-8515)</t>
    <phoneticPr fontId="5" type="noConversion"/>
  </si>
  <si>
    <t>장어</t>
    <phoneticPr fontId="5" type="noConversion"/>
  </si>
  <si>
    <t>밀양시</t>
    <phoneticPr fontId="5" type="noConversion"/>
  </si>
  <si>
    <t>밀양아리랑대축제</t>
    <phoneticPr fontId="5" type="noConversion"/>
  </si>
  <si>
    <t>5.17.~5.20.
(4일간)</t>
    <phoneticPr fontId="5" type="noConversion"/>
  </si>
  <si>
    <r>
      <t xml:space="preserve"> ○ </t>
    </r>
    <r>
      <rPr>
        <u/>
        <sz val="10"/>
        <rFont val="굴림"/>
        <family val="3"/>
        <charset val="129"/>
      </rPr>
      <t>실경멀티미디어쇼 '밀양강 오딧세이'</t>
    </r>
    <r>
      <rPr>
        <sz val="10"/>
        <rFont val="굴림"/>
        <family val="3"/>
        <charset val="129"/>
      </rPr>
      <t xml:space="preserve">
    - 밀양의 역사와 영웅을 소재로 실경을 배경으로 한
       복합멀티미디어쇼
 ○ 아리랑을 테마로한 공연, 체험프로그램 등
    - 대통합아리랑, 주제공연, 아리랑체험행사 등
 ○ 민속/예술/특별/전시/체험행사 등 47개 행사</t>
    </r>
    <phoneticPr fontId="5" type="noConversion"/>
  </si>
  <si>
    <t>밀양시
 /(재)밀양문화재단
(055-359-4523)</t>
    <phoneticPr fontId="5" type="noConversion"/>
  </si>
  <si>
    <t>1957년도
(60회)</t>
    <phoneticPr fontId="5" type="noConversion"/>
  </si>
  <si>
    <t>밀양아리랑 및
밀양전통문화</t>
    <phoneticPr fontId="5" type="noConversion"/>
  </si>
  <si>
    <t xml:space="preserve">있음
정규직 13명
파견공무원 5명
총 18명  </t>
    <phoneticPr fontId="5" type="noConversion"/>
  </si>
  <si>
    <t>거제시</t>
    <phoneticPr fontId="5" type="noConversion"/>
  </si>
  <si>
    <t>제25회 바다로세계로</t>
    <phoneticPr fontId="5" type="noConversion"/>
  </si>
  <si>
    <t>7월 말
(4일간)</t>
    <phoneticPr fontId="5" type="noConversion"/>
  </si>
  <si>
    <r>
      <t xml:space="preserve"> ○ </t>
    </r>
    <r>
      <rPr>
        <u/>
        <sz val="10"/>
        <rFont val="굴림"/>
        <family val="3"/>
        <charset val="129"/>
      </rPr>
      <t>개막식 및 더블루콘서트</t>
    </r>
    <r>
      <rPr>
        <sz val="10"/>
        <rFont val="굴림"/>
        <family val="3"/>
        <charset val="129"/>
      </rPr>
      <t xml:space="preserve">
 ○ 해양스포츠 : 비치풋살 등
 ○ 공연행사 : 정오의희망곡 등
 ○ 체험행사 : 맨손고기잡기 등</t>
    </r>
    <phoneticPr fontId="5" type="noConversion"/>
  </si>
  <si>
    <t>관광과(055-639-4173)
 / 엠비씨경남
(055-250-5079)</t>
    <phoneticPr fontId="5" type="noConversion"/>
  </si>
  <si>
    <t>1994년도
(25회)</t>
    <phoneticPr fontId="5" type="noConversion"/>
  </si>
  <si>
    <t>방송사</t>
    <phoneticPr fontId="5" type="noConversion"/>
  </si>
  <si>
    <t>보조사업</t>
    <phoneticPr fontId="5" type="noConversion"/>
  </si>
  <si>
    <t>운동자, 바다, 해수욕장</t>
    <phoneticPr fontId="5" type="noConversion"/>
  </si>
  <si>
    <t>제13회 거제섬꽃축제</t>
    <phoneticPr fontId="5" type="noConversion"/>
  </si>
  <si>
    <t>10.27~11.4
(9일간)</t>
    <phoneticPr fontId="5" type="noConversion"/>
  </si>
  <si>
    <r>
      <t xml:space="preserve"> ○ 거제농업전시, </t>
    </r>
    <r>
      <rPr>
        <u/>
        <sz val="10"/>
        <rFont val="굴림"/>
        <family val="3"/>
        <charset val="129"/>
      </rPr>
      <t>국화, 가을꽃 전시</t>
    </r>
    <r>
      <rPr>
        <sz val="10"/>
        <rFont val="굴림"/>
        <family val="3"/>
        <charset val="129"/>
      </rPr>
      <t xml:space="preserve">
 ○ 문화공연 : 국악, 민요, 마당놀이, 마술 등
 ○ 체험행사 : 곤충체험, 공예품만들기, 캐리커쳐 등
 ○ 전시판매 : 국화분재, 사진, 시화, 수석, 수목분재 등
 ○ 경연대회 : 국화부재 작품전, 청소년 밴드페스티벌</t>
    </r>
    <phoneticPr fontId="5" type="noConversion"/>
  </si>
  <si>
    <t>농업개발과
(055-639-6443)</t>
    <phoneticPr fontId="5" type="noConversion"/>
  </si>
  <si>
    <t>2006년도
(13회)</t>
    <phoneticPr fontId="5" type="noConversion"/>
  </si>
  <si>
    <t>화훼, 농업</t>
    <phoneticPr fontId="5" type="noConversion"/>
  </si>
  <si>
    <t>공공(시)</t>
    <phoneticPr fontId="5" type="noConversion"/>
  </si>
  <si>
    <t>자체추진</t>
    <phoneticPr fontId="5" type="noConversion"/>
  </si>
  <si>
    <t>농업개발원</t>
    <phoneticPr fontId="5" type="noConversion"/>
  </si>
  <si>
    <t>거제시</t>
    <phoneticPr fontId="5" type="noConversion"/>
  </si>
  <si>
    <t>제56회 옥포대첩기념
제전행사</t>
    <phoneticPr fontId="5" type="noConversion"/>
  </si>
  <si>
    <t>6.15~6.16
(2일간)(예정)</t>
    <phoneticPr fontId="5" type="noConversion"/>
  </si>
  <si>
    <r>
      <t xml:space="preserve"> ○ </t>
    </r>
    <r>
      <rPr>
        <u/>
        <sz val="10"/>
        <rFont val="굴림"/>
        <family val="3"/>
        <charset val="129"/>
      </rPr>
      <t>승전행차 가장행렬</t>
    </r>
    <r>
      <rPr>
        <sz val="10"/>
        <rFont val="굴림"/>
        <family val="3"/>
        <charset val="129"/>
      </rPr>
      <t xml:space="preserve">
 ○ 임진왜란 첫승첩을 기념하며
     5개분야 24개 단위행사 개최
  - 제례봉행, 기념식 외 지역의 문화예술행사</t>
    </r>
    <phoneticPr fontId="5" type="noConversion"/>
  </si>
  <si>
    <t>옥포대첩기념제전위원회
/거제문화원
(055-681-2603)</t>
    <phoneticPr fontId="5" type="noConversion"/>
  </si>
  <si>
    <t>1962년도
(56회)</t>
    <phoneticPr fontId="5" type="noConversion"/>
  </si>
  <si>
    <t>역사</t>
    <phoneticPr fontId="5" type="noConversion"/>
  </si>
  <si>
    <t>임의단체</t>
    <phoneticPr fontId="5" type="noConversion"/>
  </si>
  <si>
    <t>있음
정규직 3명</t>
    <phoneticPr fontId="5" type="noConversion"/>
  </si>
  <si>
    <t>보조사업</t>
    <phoneticPr fontId="5" type="noConversion"/>
  </si>
  <si>
    <t>공원
시내거리</t>
    <phoneticPr fontId="5" type="noConversion"/>
  </si>
  <si>
    <t>경상남도</t>
    <phoneticPr fontId="5" type="noConversion"/>
  </si>
  <si>
    <t>제12회 거제대구수산물축제</t>
    <phoneticPr fontId="5" type="noConversion"/>
  </si>
  <si>
    <t>12월중순
(2일간)</t>
    <phoneticPr fontId="5" type="noConversion"/>
  </si>
  <si>
    <r>
      <t xml:space="preserve"> ○</t>
    </r>
    <r>
      <rPr>
        <u/>
        <sz val="10"/>
        <rFont val="굴림"/>
        <family val="3"/>
        <charset val="129"/>
      </rPr>
      <t xml:space="preserve"> 개막식과 함께 불꽃쇼 진행</t>
    </r>
    <r>
      <rPr>
        <sz val="10"/>
        <rFont val="굴림"/>
        <family val="3"/>
        <charset val="129"/>
      </rPr>
      <t xml:space="preserve">
 ○ 대구직거래장터, 대구떡국나누기, 
     맨손으로활어잡기 등 대구관련 프로그램 운영</t>
    </r>
    <phoneticPr fontId="5" type="noConversion"/>
  </si>
  <si>
    <t>거제대구수산물축제추진위원회
/거제대구호망협의회,외포청년회
(055-639-4273)</t>
    <phoneticPr fontId="5" type="noConversion"/>
  </si>
  <si>
    <t>2005년도
(12회)</t>
    <phoneticPr fontId="5" type="noConversion"/>
  </si>
  <si>
    <t>대구</t>
    <phoneticPr fontId="5" type="noConversion"/>
  </si>
  <si>
    <t>어항</t>
    <phoneticPr fontId="5" type="noConversion"/>
  </si>
  <si>
    <t>거제시</t>
    <phoneticPr fontId="5" type="noConversion"/>
  </si>
  <si>
    <t>청마꽃들축제</t>
    <phoneticPr fontId="5" type="noConversion"/>
  </si>
  <si>
    <t>9월 중
(7일간)</t>
    <phoneticPr fontId="5" type="noConversion"/>
  </si>
  <si>
    <r>
      <t xml:space="preserve"> ○ </t>
    </r>
    <r>
      <rPr>
        <u/>
        <sz val="10"/>
        <rFont val="굴림"/>
        <family val="3"/>
        <charset val="129"/>
      </rPr>
      <t>코스모스 등 경관작물 전시</t>
    </r>
    <r>
      <rPr>
        <sz val="10"/>
        <rFont val="굴림"/>
        <family val="3"/>
        <charset val="129"/>
      </rPr>
      <t>(15ha)</t>
    </r>
    <phoneticPr fontId="5" type="noConversion"/>
  </si>
  <si>
    <t>거제시 농업지원과
 / 청마꽃들추진위원회
(055-639-6384)</t>
    <phoneticPr fontId="5" type="noConversion"/>
  </si>
  <si>
    <t>2011년도
(7회)</t>
    <phoneticPr fontId="5" type="noConversion"/>
  </si>
  <si>
    <t>코스모스 등 
경관작물</t>
    <phoneticPr fontId="5" type="noConversion"/>
  </si>
  <si>
    <t>기타
(마을 들녘)</t>
    <phoneticPr fontId="5" type="noConversion"/>
  </si>
  <si>
    <t>원동매화축제</t>
    <phoneticPr fontId="5" type="noConversion"/>
  </si>
  <si>
    <t>3.17 ~3.18
(2일간)</t>
    <phoneticPr fontId="5" type="noConversion"/>
  </si>
  <si>
    <r>
      <t xml:space="preserve"> ○ </t>
    </r>
    <r>
      <rPr>
        <u/>
        <sz val="10"/>
        <rFont val="굴림"/>
        <family val="3"/>
        <charset val="129"/>
      </rPr>
      <t>매화마을 언덕길 걷기</t>
    </r>
    <r>
      <rPr>
        <sz val="10"/>
        <rFont val="굴림"/>
        <family val="3"/>
        <charset val="129"/>
      </rPr>
      <t xml:space="preserve">
 ○ 개막공연, 주제공연 및 문화공연
 ○ 매화산책로 공연, 전시회 등</t>
    </r>
    <phoneticPr fontId="5" type="noConversion"/>
  </si>
  <si>
    <t>원동매화축제추진위원회
/원동매화축제추진위원회
(055-392-2547)</t>
    <phoneticPr fontId="5" type="noConversion"/>
  </si>
  <si>
    <t>지역특산물</t>
    <phoneticPr fontId="5" type="noConversion"/>
  </si>
  <si>
    <t>매화</t>
    <phoneticPr fontId="5" type="noConversion"/>
  </si>
  <si>
    <t>있음
계약직 2명</t>
    <phoneticPr fontId="5" type="noConversion"/>
  </si>
  <si>
    <t>광장</t>
    <phoneticPr fontId="5" type="noConversion"/>
  </si>
  <si>
    <t>5.5~5.6
(2일간)</t>
    <phoneticPr fontId="5" type="noConversion"/>
  </si>
  <si>
    <r>
      <t xml:space="preserve"> ○ </t>
    </r>
    <r>
      <rPr>
        <u/>
        <sz val="10"/>
        <rFont val="굴림"/>
        <family val="3"/>
        <charset val="129"/>
      </rPr>
      <t>책(Book)을 테마로 한 "북페스티벌</t>
    </r>
    <r>
      <rPr>
        <sz val="10"/>
        <rFont val="굴림"/>
        <family val="3"/>
        <charset val="129"/>
      </rPr>
      <t>""북콘서트"(2018컨셉:로봇나라)
 ○ 전국가요제
 ○ 개폐막식공연, 시민참여문화공연
 ○ 천성산철쭉제, 양산다문화축제, 웅상농청장원놀이
 ○ 양산시민씨름대회, 양산풍물한마당</t>
    </r>
    <phoneticPr fontId="5" type="noConversion"/>
  </si>
  <si>
    <t>양산웅상회야제추진위원회
/양산웅상회야제추진위원회
(055-392-2547)</t>
    <phoneticPr fontId="5" type="noConversion"/>
  </si>
  <si>
    <t>2015년도
(3회)</t>
    <phoneticPr fontId="5" type="noConversion"/>
  </si>
  <si>
    <t>있음
계약직 2명</t>
    <phoneticPr fontId="5" type="noConversion"/>
  </si>
  <si>
    <t>양산시</t>
    <phoneticPr fontId="5" type="noConversion"/>
  </si>
  <si>
    <t>양산삽량문화축전</t>
    <phoneticPr fontId="5" type="noConversion"/>
  </si>
  <si>
    <t>10.5~10.7
(예정, 3일간)</t>
    <phoneticPr fontId="5" type="noConversion"/>
  </si>
  <si>
    <r>
      <t xml:space="preserve"> ○ </t>
    </r>
    <r>
      <rPr>
        <u/>
        <sz val="10"/>
        <rFont val="굴림"/>
        <family val="3"/>
        <charset val="129"/>
      </rPr>
      <t>삼장수기상춤 경연대회</t>
    </r>
    <r>
      <rPr>
        <sz val="10"/>
        <rFont val="굴림"/>
        <family val="3"/>
        <charset val="129"/>
      </rPr>
      <t>, 소망등달기
 ○ 개회식, 축하공연, 50여개 참여프로그램
 ○ 끼 자랑페스티벌, 빛의 대향연 등</t>
    </r>
    <phoneticPr fontId="5" type="noConversion"/>
  </si>
  <si>
    <t>양산삽량문화축전추진위원회
/양산삽량문화축전추진위원회
(055-392-2547)</t>
    <phoneticPr fontId="5" type="noConversion"/>
  </si>
  <si>
    <t>1986년도
(30회)</t>
    <phoneticPr fontId="5" type="noConversion"/>
  </si>
  <si>
    <t>전통문화</t>
    <phoneticPr fontId="5" type="noConversion"/>
  </si>
  <si>
    <t>있음
계약직 2명</t>
    <phoneticPr fontId="5" type="noConversion"/>
  </si>
  <si>
    <t>공원, 하천</t>
    <phoneticPr fontId="5" type="noConversion"/>
  </si>
  <si>
    <t>의령군</t>
    <phoneticPr fontId="5" type="noConversion"/>
  </si>
  <si>
    <t>제46회 의병제전</t>
    <phoneticPr fontId="5" type="noConversion"/>
  </si>
  <si>
    <t>4.19~4.22
(4일간)</t>
    <phoneticPr fontId="5" type="noConversion"/>
  </si>
  <si>
    <r>
      <t xml:space="preserve"> ○ </t>
    </r>
    <r>
      <rPr>
        <u/>
        <sz val="10"/>
        <rFont val="굴림"/>
        <family val="3"/>
        <charset val="129"/>
      </rPr>
      <t>의병승리의 함성</t>
    </r>
    <r>
      <rPr>
        <sz val="10"/>
        <rFont val="굴림"/>
        <family val="3"/>
        <charset val="129"/>
      </rPr>
      <t xml:space="preserve">
 ○ 의병을 테마로한 공연, 체험프로그램 운영
 ○ 전야제, 기념식, 주제공연 및 문화공연
    - 5개 분야 30여개 프로그램</t>
    </r>
    <phoneticPr fontId="5" type="noConversion"/>
  </si>
  <si>
    <t>의령군 의병문화관광과
/(사)의병기념사업회
(055-570-2404)</t>
    <phoneticPr fontId="5" type="noConversion"/>
  </si>
  <si>
    <t>1973년도
(46회</t>
    <phoneticPr fontId="5" type="noConversion"/>
  </si>
  <si>
    <t>의병</t>
    <phoneticPr fontId="5" type="noConversion"/>
  </si>
  <si>
    <t>운동장, 박물관</t>
    <phoneticPr fontId="5" type="noConversion"/>
  </si>
  <si>
    <t>제11회 의령한지축제</t>
    <phoneticPr fontId="5" type="noConversion"/>
  </si>
  <si>
    <r>
      <t xml:space="preserve"> ○ </t>
    </r>
    <r>
      <rPr>
        <u/>
        <sz val="10"/>
        <rFont val="굴림"/>
        <family val="3"/>
        <charset val="129"/>
      </rPr>
      <t>한지뜨기 체험</t>
    </r>
    <r>
      <rPr>
        <sz val="10"/>
        <rFont val="굴림"/>
        <family val="3"/>
        <charset val="129"/>
      </rPr>
      <t xml:space="preserve">
 ○ 의령 전통한지, 공예품 전시 및 체험 프로그램 운영  
 ○ 전야제 공연, 한지패션쇼 등 문화공연</t>
    </r>
    <phoneticPr fontId="5" type="noConversion"/>
  </si>
  <si>
    <t>의령한지축제위원회
(055-572-1113)</t>
    <phoneticPr fontId="5" type="noConversion"/>
  </si>
  <si>
    <t>2006년도
(11회)</t>
    <phoneticPr fontId="5" type="noConversion"/>
  </si>
  <si>
    <t>전통한지</t>
    <phoneticPr fontId="5" type="noConversion"/>
  </si>
  <si>
    <t>기타(주차장)</t>
    <phoneticPr fontId="5" type="noConversion"/>
  </si>
  <si>
    <t>제31회 함안아라문화제</t>
    <phoneticPr fontId="5" type="noConversion"/>
  </si>
  <si>
    <t>4.20~4.22
(3일간)</t>
    <phoneticPr fontId="5" type="noConversion"/>
  </si>
  <si>
    <r>
      <t xml:space="preserve"> ○ </t>
    </r>
    <r>
      <rPr>
        <u/>
        <sz val="10"/>
        <rFont val="굴림"/>
        <family val="3"/>
        <charset val="129"/>
      </rPr>
      <t>아라대왕 행차 체험</t>
    </r>
    <r>
      <rPr>
        <sz val="10"/>
        <rFont val="굴림"/>
        <family val="3"/>
        <charset val="129"/>
      </rPr>
      <t xml:space="preserve">
 ○ 아라가야를 테마로한 체험 프로그램 등 운영
 ○ 개막식, 식후행사, 함안처녀뱃사공 전국가요제
    - 7~8개분야 민속문화체험 및 관람, 시연 프로그램</t>
    </r>
    <phoneticPr fontId="5" type="noConversion"/>
  </si>
  <si>
    <t>함안군 문화체육관광실
/ 아라제위원회
(055-585-9400)</t>
    <phoneticPr fontId="5" type="noConversion"/>
  </si>
  <si>
    <t>1988년도
(31회)</t>
    <phoneticPr fontId="5" type="noConversion"/>
  </si>
  <si>
    <t>아라가야 테마,
가요제</t>
    <phoneticPr fontId="5" type="noConversion"/>
  </si>
  <si>
    <t xml:space="preserve"> 축제조직위</t>
    <phoneticPr fontId="5" type="noConversion"/>
  </si>
  <si>
    <t xml:space="preserve">부분위탁
 (운영, 하드
웨어, 프로그램)
</t>
    <phoneticPr fontId="5" type="noConversion"/>
  </si>
  <si>
    <t>공원, 운동장, 문화예술시설 외</t>
    <phoneticPr fontId="5" type="noConversion"/>
  </si>
  <si>
    <t>제25회 함안수박축제</t>
    <phoneticPr fontId="5" type="noConversion"/>
  </si>
  <si>
    <t>4.20~4.22
(3일간)</t>
    <phoneticPr fontId="5" type="noConversion"/>
  </si>
  <si>
    <r>
      <t xml:space="preserve"> ○ </t>
    </r>
    <r>
      <rPr>
        <u/>
        <sz val="10"/>
        <rFont val="굴림"/>
        <family val="3"/>
        <charset val="129"/>
      </rPr>
      <t>수박시식회 및 체험</t>
    </r>
    <r>
      <rPr>
        <sz val="10"/>
        <rFont val="굴림"/>
        <family val="3"/>
        <charset val="129"/>
      </rPr>
      <t xml:space="preserve">
 ○ 지역특산품인 함안수박을 테마로한 다양한 프로그램 운영
    - 6개분야 체험 및 전시·홍보· 체험 프로그램</t>
    </r>
    <phoneticPr fontId="5" type="noConversion"/>
  </si>
  <si>
    <t>함안군 원예유통과
/함안수박축제위원회
(055-583-1011)</t>
    <phoneticPr fontId="5" type="noConversion"/>
  </si>
  <si>
    <t>1993년도
(25회)</t>
    <phoneticPr fontId="5" type="noConversion"/>
  </si>
  <si>
    <t>수박</t>
    <phoneticPr fontId="5" type="noConversion"/>
  </si>
  <si>
    <t>전체위탁</t>
    <phoneticPr fontId="5" type="noConversion"/>
  </si>
  <si>
    <t>공원, 운동장</t>
    <phoneticPr fontId="5" type="noConversion"/>
  </si>
  <si>
    <t>4.13~4.17
(5일간)</t>
    <phoneticPr fontId="5" type="noConversion"/>
  </si>
  <si>
    <r>
      <t xml:space="preserve"> ○ </t>
    </r>
    <r>
      <rPr>
        <u/>
        <sz val="10"/>
        <rFont val="굴림"/>
        <family val="3"/>
        <charset val="129"/>
      </rPr>
      <t>낙동강용왕대제,유채꽃길따라 건강걷기</t>
    </r>
    <r>
      <rPr>
        <sz val="10"/>
        <rFont val="굴림"/>
        <family val="3"/>
        <charset val="129"/>
      </rPr>
      <t xml:space="preserve">
 ○ 유채를 테마로한 공연, 전시, 체험프로그램 운영
 ○ 개막 공연, 주제공연 및 문화공연</t>
    </r>
    <phoneticPr fontId="5" type="noConversion"/>
  </si>
  <si>
    <t>창녕군
/(사)창녕낙동강유채축제위원회
(055-530-1533)</t>
    <phoneticPr fontId="5" type="noConversion"/>
  </si>
  <si>
    <t>사단법인</t>
    <phoneticPr fontId="5" type="noConversion"/>
  </si>
  <si>
    <t xml:space="preserve">있음
정규직 1명
계약직 1명
총 2명  </t>
    <phoneticPr fontId="5" type="noConversion"/>
  </si>
  <si>
    <t>부곡온천축제</t>
    <phoneticPr fontId="5" type="noConversion"/>
  </si>
  <si>
    <t>4. 6~4. 8
(3일간)</t>
    <phoneticPr fontId="5" type="noConversion"/>
  </si>
  <si>
    <r>
      <t xml:space="preserve"> ○ </t>
    </r>
    <r>
      <rPr>
        <u/>
        <sz val="10"/>
        <rFont val="굴림"/>
        <family val="3"/>
        <charset val="129"/>
      </rPr>
      <t>황토노천탕 속 보물찾기</t>
    </r>
    <r>
      <rPr>
        <sz val="10"/>
        <rFont val="굴림"/>
        <family val="3"/>
        <charset val="129"/>
      </rPr>
      <t xml:space="preserve">
 ○ 온천을 테마로한 공연, 참여, 체험프로그램 운영
 ○ 개막 공연, 산신제, 온정제
   - 4개 분야 17여개 프로그램</t>
    </r>
    <phoneticPr fontId="5" type="noConversion"/>
  </si>
  <si>
    <t>창녕군
/(사)부곡온천관광협의회
(055-530-1593)</t>
    <phoneticPr fontId="5" type="noConversion"/>
  </si>
  <si>
    <t xml:space="preserve">있음
정규직 1명
계약직 1명
총 2명  </t>
    <phoneticPr fontId="5" type="noConversion"/>
  </si>
  <si>
    <t>창녕군</t>
    <phoneticPr fontId="5" type="noConversion"/>
  </si>
  <si>
    <t>비사벌문화제</t>
    <phoneticPr fontId="5" type="noConversion"/>
  </si>
  <si>
    <t>10월중
(3일간)</t>
    <phoneticPr fontId="5" type="noConversion"/>
  </si>
  <si>
    <r>
      <t xml:space="preserve"> ○ </t>
    </r>
    <r>
      <rPr>
        <u/>
        <sz val="10"/>
        <rFont val="굴림"/>
        <family val="3"/>
        <charset val="129"/>
      </rPr>
      <t>보부상 존 운영</t>
    </r>
    <r>
      <rPr>
        <sz val="10"/>
        <rFont val="굴림"/>
        <family val="3"/>
        <charset val="129"/>
      </rPr>
      <t xml:space="preserve">
 ○ 향토기양제, 경연대회, 전시회 등</t>
    </r>
    <phoneticPr fontId="5" type="noConversion"/>
  </si>
  <si>
    <t>창녕군
/(사)비사벌제전회                           (055-530-1463)</t>
    <phoneticPr fontId="5" type="noConversion"/>
  </si>
  <si>
    <t>1986년도
(32회)</t>
    <phoneticPr fontId="5" type="noConversion"/>
  </si>
  <si>
    <t>전통역사</t>
    <phoneticPr fontId="5" type="noConversion"/>
  </si>
  <si>
    <t>보부상 존</t>
    <phoneticPr fontId="5" type="noConversion"/>
  </si>
  <si>
    <t>매년</t>
    <phoneticPr fontId="5" type="noConversion"/>
  </si>
  <si>
    <t>사단법인</t>
    <phoneticPr fontId="5" type="noConversion"/>
  </si>
  <si>
    <t>있음
정규직 1명
임원진 10명
총 11명</t>
    <phoneticPr fontId="5" type="noConversion"/>
  </si>
  <si>
    <t>전체위탁</t>
    <phoneticPr fontId="5" type="noConversion"/>
  </si>
  <si>
    <t>광장</t>
    <phoneticPr fontId="5" type="noConversion"/>
  </si>
  <si>
    <t>고성군</t>
    <phoneticPr fontId="5" type="noConversion"/>
  </si>
  <si>
    <t>고성 가리비 수산물축제</t>
    <phoneticPr fontId="5" type="noConversion"/>
  </si>
  <si>
    <t>10.26~10.28
(3일간)</t>
    <phoneticPr fontId="5" type="noConversion"/>
  </si>
  <si>
    <r>
      <t>○ 푸짐한 먹거리 축제(</t>
    </r>
    <r>
      <rPr>
        <u/>
        <sz val="10"/>
        <rFont val="굴림"/>
        <family val="3"/>
        <charset val="129"/>
      </rPr>
      <t>가리비, 굴 등 시식회</t>
    </r>
    <r>
      <rPr>
        <sz val="10"/>
        <rFont val="굴림"/>
        <family val="3"/>
        <charset val="129"/>
      </rPr>
      <t>)
○ 군민과 함께하는 축제
○ 수익창출 축제</t>
    </r>
    <phoneticPr fontId="5" type="noConversion"/>
  </si>
  <si>
    <t>고성군 수산물축제 추진위원회
/경상남도 고성군
(055-670-2454)</t>
    <phoneticPr fontId="5" type="noConversion"/>
  </si>
  <si>
    <t>2017년도
(2회)</t>
    <phoneticPr fontId="5" type="noConversion"/>
  </si>
  <si>
    <t xml:space="preserve">가리비, 굴 등 수산물 </t>
    <phoneticPr fontId="5" type="noConversion"/>
  </si>
  <si>
    <t>항만</t>
    <phoneticPr fontId="5" type="noConversion"/>
  </si>
  <si>
    <t>고성군</t>
    <phoneticPr fontId="5" type="noConversion"/>
  </si>
  <si>
    <t>촌스런축제</t>
    <phoneticPr fontId="5" type="noConversion"/>
  </si>
  <si>
    <t>8. 3~8. 5
(3일간)</t>
    <phoneticPr fontId="5" type="noConversion"/>
  </si>
  <si>
    <r>
      <t>○</t>
    </r>
    <r>
      <rPr>
        <u/>
        <sz val="10"/>
        <rFont val="굴림"/>
        <family val="3"/>
        <charset val="129"/>
      </rPr>
      <t xml:space="preserve"> 다슬기잡기, 봉숭아꽃물들이기 체험행사</t>
    </r>
    <r>
      <rPr>
        <sz val="10"/>
        <rFont val="굴림"/>
        <family val="3"/>
        <charset val="129"/>
      </rPr>
      <t xml:space="preserve">
○ 체험프로그램 운영
○ 촌스럽게 함께즐기기</t>
    </r>
    <phoneticPr fontId="5" type="noConversion"/>
  </si>
  <si>
    <t>고성군/영현면발전위원회
(055-670-5302)</t>
    <phoneticPr fontId="5" type="noConversion"/>
  </si>
  <si>
    <t>2013년도
(6회)</t>
    <phoneticPr fontId="5" type="noConversion"/>
  </si>
  <si>
    <t>자연체험</t>
    <phoneticPr fontId="5" type="noConversion"/>
  </si>
  <si>
    <t>단체</t>
    <phoneticPr fontId="5" type="noConversion"/>
  </si>
  <si>
    <t>고성군</t>
    <phoneticPr fontId="5" type="noConversion"/>
  </si>
  <si>
    <t>당항포대첩축제</t>
    <phoneticPr fontId="5" type="noConversion"/>
  </si>
  <si>
    <t>7월말</t>
    <phoneticPr fontId="5" type="noConversion"/>
  </si>
  <si>
    <r>
      <t xml:space="preserve">○ </t>
    </r>
    <r>
      <rPr>
        <u/>
        <sz val="10"/>
        <rFont val="굴림"/>
        <family val="3"/>
        <charset val="129"/>
      </rPr>
      <t>당항포해전 전승 재현행사</t>
    </r>
    <r>
      <rPr>
        <sz val="10"/>
        <rFont val="굴림"/>
        <family val="3"/>
        <charset val="129"/>
      </rPr>
      <t xml:space="preserve">
○ 전시, 체험행사</t>
    </r>
    <phoneticPr fontId="5" type="noConversion"/>
  </si>
  <si>
    <t>고성군
/당항포대첩축제위원회
(055-670-4507)</t>
    <phoneticPr fontId="5" type="noConversion"/>
  </si>
  <si>
    <t>1998년도
(16회)</t>
    <phoneticPr fontId="5" type="noConversion"/>
  </si>
  <si>
    <t>당항포대첩
(이순신 해전지)</t>
    <phoneticPr fontId="5" type="noConversion"/>
  </si>
  <si>
    <t>단체</t>
    <phoneticPr fontId="5" type="noConversion"/>
  </si>
  <si>
    <t>유적지</t>
    <phoneticPr fontId="5" type="noConversion"/>
  </si>
  <si>
    <t>남해군</t>
    <phoneticPr fontId="5" type="noConversion"/>
  </si>
  <si>
    <t>제15회 보물섬 미조항 
멸치 &amp; 바다축제</t>
    <phoneticPr fontId="5" type="noConversion"/>
  </si>
  <si>
    <t>5.4~5.6
(3일간)</t>
    <phoneticPr fontId="5" type="noConversion"/>
  </si>
  <si>
    <r>
      <t xml:space="preserve"> ○ </t>
    </r>
    <r>
      <rPr>
        <u/>
        <sz val="10"/>
        <rFont val="굴림"/>
        <family val="3"/>
        <charset val="129"/>
      </rPr>
      <t>멸치회·멸치구이 시식</t>
    </r>
    <r>
      <rPr>
        <sz val="10"/>
        <rFont val="굴림"/>
        <family val="3"/>
        <charset val="129"/>
      </rPr>
      <t xml:space="preserve">
 ○ 멸치털이 시연 등
 ○ 전통해양민속공연 등</t>
    </r>
    <phoneticPr fontId="5" type="noConversion"/>
  </si>
  <si>
    <t>남해군 문화관광과
(055-860-8603)</t>
    <phoneticPr fontId="5" type="noConversion"/>
  </si>
  <si>
    <t>2001년도
(15회)</t>
    <phoneticPr fontId="5" type="noConversion"/>
  </si>
  <si>
    <t>멸치, 수산물</t>
    <phoneticPr fontId="5" type="noConversion"/>
  </si>
  <si>
    <t>공공(시군구)</t>
    <phoneticPr fontId="5" type="noConversion"/>
  </si>
  <si>
    <t>바다</t>
    <phoneticPr fontId="5" type="noConversion"/>
  </si>
  <si>
    <t>남해군</t>
    <phoneticPr fontId="5" type="noConversion"/>
  </si>
  <si>
    <t>제13회 보물섬 마늘축제 &amp; 한우잔치</t>
    <phoneticPr fontId="5" type="noConversion"/>
  </si>
  <si>
    <t>6.1~6.3
(3일간)</t>
    <phoneticPr fontId="5" type="noConversion"/>
  </si>
  <si>
    <r>
      <t xml:space="preserve"> ○ </t>
    </r>
    <r>
      <rPr>
        <u/>
        <sz val="10"/>
        <rFont val="굴림"/>
        <family val="3"/>
        <charset val="129"/>
      </rPr>
      <t>마늘주제관 운영, 마늘 산지 판매장</t>
    </r>
    <r>
      <rPr>
        <sz val="10"/>
        <rFont val="굴림"/>
        <family val="3"/>
        <charset val="129"/>
      </rPr>
      <t xml:space="preserve">
 ○ 남해한우 판매 및 시식
 ○ 각종 공연 및 체험프로그램 4개분야 56여종</t>
    </r>
    <phoneticPr fontId="5" type="noConversion"/>
  </si>
  <si>
    <t>2005년도
(13회)</t>
    <phoneticPr fontId="5" type="noConversion"/>
  </si>
  <si>
    <t>마늘, 한우</t>
    <phoneticPr fontId="5" type="noConversion"/>
  </si>
  <si>
    <t>축제추진위</t>
    <phoneticPr fontId="5" type="noConversion"/>
  </si>
  <si>
    <t xml:space="preserve">공원
</t>
    <phoneticPr fontId="5" type="noConversion"/>
  </si>
  <si>
    <t>제9회 독일마을 
맥주축제</t>
    <phoneticPr fontId="5" type="noConversion"/>
  </si>
  <si>
    <t>10.6~10.8
(3일간)</t>
    <phoneticPr fontId="5" type="noConversion"/>
  </si>
  <si>
    <r>
      <t xml:space="preserve"> ○</t>
    </r>
    <r>
      <rPr>
        <u/>
        <sz val="10"/>
        <rFont val="굴림"/>
        <family val="3"/>
        <charset val="129"/>
      </rPr>
      <t xml:space="preserve"> 환영퍼레이드 및 환영식</t>
    </r>
    <r>
      <rPr>
        <sz val="10"/>
        <rFont val="굴림"/>
        <family val="3"/>
        <charset val="129"/>
      </rPr>
      <t xml:space="preserve">
 ○ 독일마을과 맥주를 테마로 한 26종 프로그램
 ○ 독일전통민속 공연 등</t>
    </r>
    <phoneticPr fontId="5" type="noConversion"/>
  </si>
  <si>
    <t>2010년도
(9회)</t>
    <phoneticPr fontId="5" type="noConversion"/>
  </si>
  <si>
    <t>문화관광축제
(육성)</t>
    <phoneticPr fontId="5" type="noConversion"/>
  </si>
  <si>
    <t>독일마을</t>
    <phoneticPr fontId="5" type="noConversion"/>
  </si>
  <si>
    <t>기타(광장)</t>
    <phoneticPr fontId="5" type="noConversion"/>
  </si>
  <si>
    <t>하동군</t>
    <phoneticPr fontId="5" type="noConversion"/>
  </si>
  <si>
    <t>제22회 
하동야생차문화축제</t>
    <phoneticPr fontId="5" type="noConversion"/>
  </si>
  <si>
    <t>5.19~5.22
(4일간)</t>
    <phoneticPr fontId="5" type="noConversion"/>
  </si>
  <si>
    <r>
      <t xml:space="preserve"> ○ </t>
    </r>
    <r>
      <rPr>
        <u/>
        <sz val="10"/>
        <rFont val="굴림"/>
        <family val="3"/>
        <charset val="129"/>
      </rPr>
      <t xml:space="preserve">헌다례, 대한민국 차인한마당 최고대회, </t>
    </r>
    <r>
      <rPr>
        <sz val="10"/>
        <rFont val="굴림"/>
        <family val="3"/>
        <charset val="129"/>
      </rPr>
      <t xml:space="preserve">
     대한민국 청소년 차예절대전
 ○ 녹차찜질방, 녹차 참숭어를 잡아라, 
     야생찻잎따기 체험, 차 예술체험
 ○ 올해의 좋은차 품평회, 차명인과 명품찻자리, 
     대렴공 씨앗을 찾아라</t>
    </r>
    <phoneticPr fontId="5" type="noConversion"/>
  </si>
  <si>
    <t>사)하동야생차문화축제 
조직위원회
(055-880-2053)</t>
    <phoneticPr fontId="5" type="noConversion"/>
  </si>
  <si>
    <t>1996년도
(22회)</t>
    <phoneticPr fontId="5" type="noConversion"/>
  </si>
  <si>
    <t>녹차</t>
    <phoneticPr fontId="5" type="noConversion"/>
  </si>
  <si>
    <t>있음</t>
    <phoneticPr fontId="5" type="noConversion"/>
  </si>
  <si>
    <t>화개면 일원</t>
    <phoneticPr fontId="5" type="noConversion"/>
  </si>
  <si>
    <t>제4회 꽃 양귀비 축제</t>
    <phoneticPr fontId="5" type="noConversion"/>
  </si>
  <si>
    <t>5.18~5.27
(10일간)</t>
    <phoneticPr fontId="5" type="noConversion"/>
  </si>
  <si>
    <r>
      <t xml:space="preserve"> ○ 꽃 양귀비를 주제로한</t>
    </r>
    <r>
      <rPr>
        <u/>
        <sz val="10"/>
        <rFont val="굴림"/>
        <family val="3"/>
        <charset val="129"/>
      </rPr>
      <t xml:space="preserve"> 현장투어 및 떡메치기</t>
    </r>
    <r>
      <rPr>
        <sz val="10"/>
        <rFont val="굴림"/>
        <family val="3"/>
        <charset val="129"/>
      </rPr>
      <t xml:space="preserve">
 ○ 꽃 양귀비를 테마로한 공연, 전시, 체험프로그램 운영
 ○ 개폐막 공연, 주제공연 및 문화공연
   - 4개 분야(공연,전시,체험,판매) 8여개 프로그램
 ○ 꽃 양귀비 현장투어 및 농특산물판매 행사
    * 경관작물(꽃양귀비)을 이용한 농촌축제임</t>
    </r>
    <phoneticPr fontId="5" type="noConversion"/>
  </si>
  <si>
    <t>북천 코스모스메밀꽃 영농법인
/북천면사무소 및 
북천 코스모스메밀꽃 영농법인
(055-880-6331)</t>
    <phoneticPr fontId="5" type="noConversion"/>
  </si>
  <si>
    <t>2015년도
(3회)</t>
    <phoneticPr fontId="5" type="noConversion"/>
  </si>
  <si>
    <t>꽃양귀비</t>
    <phoneticPr fontId="5" type="noConversion"/>
  </si>
  <si>
    <t>북천역 일원</t>
    <phoneticPr fontId="5" type="noConversion"/>
  </si>
  <si>
    <t>하동군</t>
    <phoneticPr fontId="5" type="noConversion"/>
  </si>
  <si>
    <t>하동섬진강재첩문화축제</t>
    <phoneticPr fontId="5" type="noConversion"/>
  </si>
  <si>
    <t>7.20~7.22
(3일간)</t>
    <phoneticPr fontId="5" type="noConversion"/>
  </si>
  <si>
    <r>
      <t xml:space="preserve"> ○ </t>
    </r>
    <r>
      <rPr>
        <u/>
        <sz val="10"/>
        <rFont val="굴림"/>
        <family val="3"/>
        <charset val="129"/>
      </rPr>
      <t xml:space="preserve">영호남 화합 행사 </t>
    </r>
    <r>
      <rPr>
        <sz val="10"/>
        <rFont val="굴림"/>
        <family val="3"/>
        <charset val="129"/>
      </rPr>
      <t xml:space="preserve">
 ○ 황금재첩을 찾아라 
 ○ 체험 및 재첩국 시식
 ○ 섬진강, 송림을 테마로한 육상.물놀이 체험, 문화행사</t>
    </r>
    <phoneticPr fontId="5" type="noConversion"/>
  </si>
  <si>
    <t>알프스하동 섬진강
재첩축제위원회
(055-880-2053)</t>
    <phoneticPr fontId="5" type="noConversion"/>
  </si>
  <si>
    <t>섬진강</t>
    <phoneticPr fontId="5" type="noConversion"/>
  </si>
  <si>
    <t>하동송림 일원</t>
    <phoneticPr fontId="5" type="noConversion"/>
  </si>
  <si>
    <t>코스모스메밀꽃
축제</t>
    <phoneticPr fontId="5" type="noConversion"/>
  </si>
  <si>
    <t>10월초
(15일간)</t>
    <phoneticPr fontId="5" type="noConversion"/>
  </si>
  <si>
    <r>
      <t xml:space="preserve"> ○ </t>
    </r>
    <r>
      <rPr>
        <u/>
        <sz val="10"/>
        <rFont val="굴림"/>
        <family val="3"/>
        <charset val="129"/>
      </rPr>
      <t>코스모스메밀꽃 톱밥길걷기</t>
    </r>
    <r>
      <rPr>
        <sz val="10"/>
        <rFont val="굴림"/>
        <family val="3"/>
        <charset val="129"/>
      </rPr>
      <t xml:space="preserve">
 ○ 메밀묵 만들기 체험, 코스모스,메밀을 테마로한 공연,
     전시, 체험프로그램 운영
 ○ 개폐막 공연, 주제공연 및 문화공연
    - 4개 분야(공연,전시,체험,판매) 40여개 프로그램
 ○ 농특산물판매 행사
    * 경관작물(코스모스,메밀)을 이용한 농촌축제임</t>
    </r>
    <phoneticPr fontId="5" type="noConversion"/>
  </si>
  <si>
    <t>코스모스
메밀꽃</t>
    <phoneticPr fontId="5" type="noConversion"/>
  </si>
  <si>
    <t>영농법인</t>
    <phoneticPr fontId="5" type="noConversion"/>
  </si>
  <si>
    <t>산청군</t>
    <phoneticPr fontId="5" type="noConversion"/>
  </si>
  <si>
    <t>제11회 지리산산청곶감축제</t>
    <phoneticPr fontId="5" type="noConversion"/>
  </si>
  <si>
    <t>1.13~1.14
(2일간)</t>
    <phoneticPr fontId="5" type="noConversion"/>
  </si>
  <si>
    <r>
      <t xml:space="preserve"> ○</t>
    </r>
    <r>
      <rPr>
        <u/>
        <sz val="10"/>
        <rFont val="굴림"/>
        <family val="3"/>
        <charset val="129"/>
      </rPr>
      <t xml:space="preserve"> 전국연날리기대회</t>
    </r>
    <r>
      <rPr>
        <sz val="10"/>
        <rFont val="굴림"/>
        <family val="3"/>
        <charset val="129"/>
      </rPr>
      <t>, 곶감품평회, 감잎차 족욕체험 등
 ○ 전통민속놀이, 곶감오리기 등 체험행사 운영</t>
    </r>
    <phoneticPr fontId="5" type="noConversion"/>
  </si>
  <si>
    <t>지리산산청곶감작목연합회
/
지리산산청곶감축제위원회
(055-973-0082)</t>
    <phoneticPr fontId="5" type="noConversion"/>
  </si>
  <si>
    <t>2008년도
(제11회)</t>
    <phoneticPr fontId="5" type="noConversion"/>
  </si>
  <si>
    <t>있음 
정규직 2명</t>
    <phoneticPr fontId="5" type="noConversion"/>
  </si>
  <si>
    <t>곶감유통센터</t>
    <phoneticPr fontId="5" type="noConversion"/>
  </si>
  <si>
    <t>2018 산청황매산철쭉제</t>
    <phoneticPr fontId="5" type="noConversion"/>
  </si>
  <si>
    <t>4.28~5.13
(16일간)</t>
    <phoneticPr fontId="5" type="noConversion"/>
  </si>
  <si>
    <r>
      <t xml:space="preserve"> ○ </t>
    </r>
    <r>
      <rPr>
        <u/>
        <sz val="10"/>
        <rFont val="굴림"/>
        <family val="3"/>
        <charset val="129"/>
      </rPr>
      <t>철쭉제례</t>
    </r>
    <r>
      <rPr>
        <sz val="10"/>
        <rFont val="굴림"/>
        <family val="3"/>
        <charset val="129"/>
      </rPr>
      <t>, 야생화박람회
 ○ 국립공원 사진전시회
 ○ 목공, 목재체험, 산삼음악회
 ○ 농특산물 판매장</t>
    </r>
    <phoneticPr fontId="5" type="noConversion"/>
  </si>
  <si>
    <t>황매산철쭉제위원회
(055-970-6901)</t>
    <phoneticPr fontId="5" type="noConversion"/>
  </si>
  <si>
    <t>2018년도
(3회)</t>
    <phoneticPr fontId="5" type="noConversion"/>
  </si>
  <si>
    <t>2018 산청 경호강
물페스티벌</t>
    <phoneticPr fontId="5" type="noConversion"/>
  </si>
  <si>
    <t xml:space="preserve">7.21~7.22
(2일간) </t>
    <phoneticPr fontId="5" type="noConversion"/>
  </si>
  <si>
    <r>
      <t xml:space="preserve"> ○ </t>
    </r>
    <r>
      <rPr>
        <u/>
        <sz val="10"/>
        <rFont val="굴림"/>
        <family val="3"/>
        <charset val="129"/>
      </rPr>
      <t xml:space="preserve">가족낚시체험, 은어낚시대회 </t>
    </r>
    <r>
      <rPr>
        <sz val="10"/>
        <rFont val="굴림"/>
        <family val="3"/>
        <charset val="129"/>
      </rPr>
      <t xml:space="preserve">
 ○ 전야제(축하공연, 농악경연대회 등)
 ○ 레프팅체험 및 대회
 ○ 치맥 등 체험부스 운영 </t>
    </r>
    <phoneticPr fontId="5" type="noConversion"/>
  </si>
  <si>
    <t>산청군 문화관광과
/㈜서경방송
(055-970-6401)</t>
    <phoneticPr fontId="5" type="noConversion"/>
  </si>
  <si>
    <t>물
래프팅
낚시</t>
    <phoneticPr fontId="5" type="noConversion"/>
  </si>
  <si>
    <t>제18회 산청한방약초
축제</t>
    <phoneticPr fontId="5" type="noConversion"/>
  </si>
  <si>
    <t>9.29~10.9
(11일간)</t>
    <phoneticPr fontId="5" type="noConversion"/>
  </si>
  <si>
    <r>
      <t xml:space="preserve"> ○ </t>
    </r>
    <r>
      <rPr>
        <u/>
        <sz val="10"/>
        <rFont val="굴림"/>
        <family val="3"/>
        <charset val="129"/>
      </rPr>
      <t>산청혜민서, 한방다이어트체헙관</t>
    </r>
    <r>
      <rPr>
        <sz val="10"/>
        <rFont val="굴림"/>
        <family val="3"/>
        <charset val="129"/>
      </rPr>
      <t xml:space="preserve">
 ○ 한방·약초를 테마로한 공연, 전시, 체험프로그램 운영
 ○ 개·폐막식, 공연, 학술, 전시, 체험, 경연, 판매 등
    - 100여개 프로그램 운영
 ○ 기타 청정골장터 및 산청한의학박물관 특별전시전 등 </t>
    </r>
    <phoneticPr fontId="5" type="noConversion"/>
  </si>
  <si>
    <t>산청군 한방항노화실 
/산청한방약초축제위원회
(055-970-6602)</t>
    <phoneticPr fontId="5" type="noConversion"/>
  </si>
  <si>
    <t>한방·약초</t>
    <phoneticPr fontId="5" type="noConversion"/>
  </si>
  <si>
    <t>있음
(비상설, 사무국장 1명)</t>
    <phoneticPr fontId="5" type="noConversion"/>
  </si>
  <si>
    <t>관광지
(동의보감촌)</t>
    <phoneticPr fontId="5" type="noConversion"/>
  </si>
  <si>
    <t>산청군</t>
    <phoneticPr fontId="5" type="noConversion"/>
  </si>
  <si>
    <t>제42회 
남명선비문화축제</t>
    <phoneticPr fontId="5" type="noConversion"/>
  </si>
  <si>
    <t>10.19~10.20
(2일간)</t>
    <phoneticPr fontId="5" type="noConversion"/>
  </si>
  <si>
    <r>
      <t xml:space="preserve"> ○ 남명제례 및 개막식, </t>
    </r>
    <r>
      <rPr>
        <u/>
        <sz val="10"/>
        <rFont val="굴림"/>
        <family val="3"/>
        <charset val="129"/>
      </rPr>
      <t>의병출정극(주제공연)</t>
    </r>
    <r>
      <rPr>
        <sz val="10"/>
        <rFont val="굴림"/>
        <family val="3"/>
        <charset val="129"/>
      </rPr>
      <t xml:space="preserve">
 ○ 학술, 체험, 전시, 경연, 문화공연행사 등 </t>
    </r>
    <phoneticPr fontId="5" type="noConversion"/>
  </si>
  <si>
    <t>산청군 문화관광과
/남명선비문화축제집행위원회
(055-970-6401)</t>
    <phoneticPr fontId="5" type="noConversion"/>
  </si>
  <si>
    <t>2001년도
(42회)
*남명제 통합</t>
    <phoneticPr fontId="5" type="noConversion"/>
  </si>
  <si>
    <t>인물(남명조식)
선비문화</t>
    <phoneticPr fontId="5" type="noConversion"/>
  </si>
  <si>
    <t>9. 7~9.16
(10일간)</t>
    <phoneticPr fontId="5" type="noConversion"/>
  </si>
  <si>
    <r>
      <t xml:space="preserve"> ○ </t>
    </r>
    <r>
      <rPr>
        <u/>
        <sz val="10"/>
        <rFont val="굴림"/>
        <family val="3"/>
        <charset val="129"/>
      </rPr>
      <t>함양의 들소리</t>
    </r>
    <r>
      <rPr>
        <sz val="10"/>
        <rFont val="굴림"/>
        <family val="3"/>
        <charset val="129"/>
      </rPr>
      <t xml:space="preserve">
 ○ 연뿌리캐기, 승마 체험프로그램
 ○ 전국노래교실경연대회
 ○ 7종 문화예술행사 및 축하공연
 ○ 기타 특별행사 및 전시 등 </t>
    </r>
    <phoneticPr fontId="5" type="noConversion"/>
  </si>
  <si>
    <t>경상남도 함양군 문화관광과
/함양물레방아골축제위원회
(055-960-5161)</t>
    <phoneticPr fontId="5" type="noConversion"/>
  </si>
  <si>
    <t>물레방아</t>
    <phoneticPr fontId="5" type="noConversion"/>
  </si>
  <si>
    <t>있음
사무국장 1명
사무차장 1명
총 2명</t>
    <phoneticPr fontId="5" type="noConversion"/>
  </si>
  <si>
    <r>
      <t xml:space="preserve"> ○ </t>
    </r>
    <r>
      <rPr>
        <u/>
        <sz val="10"/>
        <color theme="1"/>
        <rFont val="굴림"/>
        <family val="3"/>
        <charset val="129"/>
      </rPr>
      <t xml:space="preserve">산양삼캐기체험 및 황금산삼을 찾아라! 심마니 여정,
</t>
    </r>
    <r>
      <rPr>
        <sz val="10"/>
        <color theme="1"/>
        <rFont val="굴림"/>
        <family val="3"/>
        <charset val="129"/>
      </rPr>
      <t xml:space="preserve">     </t>
    </r>
    <r>
      <rPr>
        <u/>
        <sz val="10"/>
        <color theme="1"/>
        <rFont val="굴림"/>
        <family val="3"/>
        <charset val="129"/>
      </rPr>
      <t>삼산주제관, 심마니 역사문화 체험장</t>
    </r>
    <r>
      <rPr>
        <sz val="10"/>
        <color theme="1"/>
        <rFont val="굴림"/>
        <family val="3"/>
        <charset val="129"/>
      </rPr>
      <t xml:space="preserve">
 ○ 산삼항노화 국제교역전(B2B) 및 농특산물 수출 
     상담회, 농산물엑스포, 국제교류행사
 ○ 산양삼  전시, 판매, 공연, 각종 경연대회 등</t>
    </r>
    <phoneticPr fontId="5" type="noConversion"/>
  </si>
  <si>
    <t>경상남도 함양군 
산삼항노화엑스포과
/함양산삼축제위원회
(055-960-5193)</t>
    <phoneticPr fontId="5" type="noConversion"/>
  </si>
  <si>
    <t>산삼</t>
    <phoneticPr fontId="5" type="noConversion"/>
  </si>
  <si>
    <t>거창군</t>
    <phoneticPr fontId="5" type="noConversion"/>
  </si>
  <si>
    <t>거창한마당대축제</t>
    <phoneticPr fontId="5" type="noConversion"/>
  </si>
  <si>
    <t>9.6~9.9
(4일간)</t>
    <phoneticPr fontId="5" type="noConversion"/>
  </si>
  <si>
    <r>
      <t xml:space="preserve"> ○ </t>
    </r>
    <r>
      <rPr>
        <u/>
        <sz val="10"/>
        <rFont val="굴림"/>
        <family val="3"/>
        <charset val="129"/>
      </rPr>
      <t>거리퍼레이드 및 전야제</t>
    </r>
    <r>
      <rPr>
        <sz val="10"/>
        <rFont val="굴림"/>
        <family val="3"/>
        <charset val="129"/>
      </rPr>
      <t xml:space="preserve">
 ○ 군민체육대회
 ○ 평생학습축제
 ○ 녹색곳간 농산물대축제 
 ○ 사과마라톤대회
 ○ 아림예술제
 ○ 군민의날 기념식
 ○ 전국 거창 향우연합회 체육대회</t>
    </r>
    <phoneticPr fontId="5" type="noConversion"/>
  </si>
  <si>
    <t>거창군 문화관광과
 / 거창문화재단
(055-940-8491)</t>
    <phoneticPr fontId="5" type="noConversion"/>
  </si>
  <si>
    <t>문화, 관광, 
체육, 교육 ,
예술, 농특산품</t>
    <phoneticPr fontId="5" type="noConversion"/>
  </si>
  <si>
    <t xml:space="preserve">있음
정규직 3명 </t>
    <phoneticPr fontId="5" type="noConversion"/>
  </si>
  <si>
    <t>운동장,
시내거리</t>
    <phoneticPr fontId="5" type="noConversion"/>
  </si>
  <si>
    <t>거창 크리스마스
트리문화축제</t>
    <phoneticPr fontId="5" type="noConversion"/>
  </si>
  <si>
    <t>12.2~'19.1.6
(36일간)</t>
    <phoneticPr fontId="5" type="noConversion"/>
  </si>
  <si>
    <r>
      <t xml:space="preserve"> ○ </t>
    </r>
    <r>
      <rPr>
        <u/>
        <sz val="10"/>
        <rFont val="굴림"/>
        <family val="3"/>
        <charset val="129"/>
      </rPr>
      <t>거창크리스마스 갓 탤런트</t>
    </r>
    <r>
      <rPr>
        <sz val="10"/>
        <rFont val="굴림"/>
        <family val="3"/>
        <charset val="129"/>
      </rPr>
      <t xml:space="preserve">
 ○ 개막식, 문화축제 콘서트 등</t>
    </r>
    <phoneticPr fontId="5" type="noConversion"/>
  </si>
  <si>
    <t>(사)거창트리문화축제위원회
(055-940-3412)</t>
    <phoneticPr fontId="5" type="noConversion"/>
  </si>
  <si>
    <t>2013년도
(5회)</t>
    <phoneticPr fontId="5" type="noConversion"/>
  </si>
  <si>
    <t>트리</t>
    <phoneticPr fontId="5" type="noConversion"/>
  </si>
  <si>
    <t>합천군</t>
    <phoneticPr fontId="5" type="noConversion"/>
  </si>
  <si>
    <t>고스트파크 2018</t>
    <phoneticPr fontId="5" type="noConversion"/>
  </si>
  <si>
    <t>7월~8월중</t>
    <phoneticPr fontId="5" type="noConversion"/>
  </si>
  <si>
    <r>
      <t xml:space="preserve"> ○ </t>
    </r>
    <r>
      <rPr>
        <u/>
        <sz val="10"/>
        <rFont val="굴림"/>
        <family val="3"/>
        <charset val="129"/>
      </rPr>
      <t>호러어트랙션</t>
    </r>
    <r>
      <rPr>
        <sz val="10"/>
        <rFont val="굴림"/>
        <family val="3"/>
        <charset val="129"/>
      </rPr>
      <t xml:space="preserve"> : 악몽교실, 비명도시, 좀비감옥, 
     감금병동, 블러드맨션, 다크메이즈
 ○ 공연이벤트 : 쇼미더 고스트, 매직쇼, 고스트나이트 등
 ○ 참여이벤트 : 미니 어트랙션, 고스트 올림픽, 
     고스트 의상실&amp;분장실 등</t>
    </r>
    <phoneticPr fontId="5" type="noConversion"/>
  </si>
  <si>
    <t>합천군, SBS A&amp;T
/SBS A&amp;T
(055-930-3752)</t>
    <phoneticPr fontId="5" type="noConversion"/>
  </si>
  <si>
    <t>호러물
(공포)</t>
    <phoneticPr fontId="5" type="noConversion"/>
  </si>
  <si>
    <t>독립법인</t>
    <phoneticPr fontId="5" type="noConversion"/>
  </si>
  <si>
    <t>합천영상
테마파크</t>
    <phoneticPr fontId="5" type="noConversion"/>
  </si>
  <si>
    <t>합천바캉스축제</t>
    <phoneticPr fontId="5" type="noConversion"/>
  </si>
  <si>
    <t>7.27~7.31
(5일간)</t>
    <phoneticPr fontId="5" type="noConversion"/>
  </si>
  <si>
    <r>
      <t xml:space="preserve"> ○ </t>
    </r>
    <r>
      <rPr>
        <u/>
        <sz val="10"/>
        <rFont val="굴림"/>
        <family val="3"/>
        <charset val="129"/>
      </rPr>
      <t>맨손은어잡기</t>
    </r>
    <r>
      <rPr>
        <sz val="10"/>
        <rFont val="굴림"/>
        <family val="3"/>
        <charset val="129"/>
      </rPr>
      <t xml:space="preserve">
 ○ 물싸움,EDM파티,공연 등</t>
    </r>
    <phoneticPr fontId="5" type="noConversion"/>
  </si>
  <si>
    <t>합천군
/합천청년회의소
(055-930-4666)</t>
    <phoneticPr fontId="5" type="noConversion"/>
  </si>
  <si>
    <t>1994년도
(23회)</t>
    <phoneticPr fontId="5" type="noConversion"/>
  </si>
  <si>
    <t>은어, 물, 모래</t>
    <phoneticPr fontId="5" type="noConversion"/>
  </si>
  <si>
    <t>시민단체</t>
    <phoneticPr fontId="5" type="noConversion"/>
  </si>
  <si>
    <t>황매산철쭉제</t>
    <phoneticPr fontId="5" type="noConversion"/>
  </si>
  <si>
    <t>4.28~5.13
(16일간)</t>
    <phoneticPr fontId="5" type="noConversion"/>
  </si>
  <si>
    <r>
      <t xml:space="preserve"> ○ </t>
    </r>
    <r>
      <rPr>
        <u/>
        <sz val="10"/>
        <rFont val="굴림"/>
        <family val="3"/>
        <charset val="129"/>
      </rPr>
      <t xml:space="preserve">철쭉제례, 철쭉길걷기체험, </t>
    </r>
    <r>
      <rPr>
        <sz val="10"/>
        <rFont val="굴림"/>
        <family val="3"/>
        <charset val="129"/>
      </rPr>
      <t xml:space="preserve">
     야생화탐방, 산상음악회 등
 ○ 체험프로그램 : 스마트폰 사진인화, 
     철쭉 머그컵만들기, 밤제품 만들기, 
     합천관광 함께 놀자, 합천 황토한우를 찾아라 등
 ○ 지역문화 연계프로그램 : 밤마리오광대 공연</t>
    </r>
    <phoneticPr fontId="5" type="noConversion"/>
  </si>
  <si>
    <t>합천군 산림과
/황매산철쭉제전위원회
(055-930-4753)</t>
    <phoneticPr fontId="5" type="noConversion"/>
  </si>
  <si>
    <t>1997년도
(22회)</t>
    <phoneticPr fontId="5" type="noConversion"/>
  </si>
  <si>
    <t>철쭉</t>
    <phoneticPr fontId="5" type="noConversion"/>
  </si>
  <si>
    <t xml:space="preserve">있음
제전위원회
임원 23명
</t>
    <phoneticPr fontId="5" type="noConversion"/>
  </si>
  <si>
    <t>군립공원</t>
    <phoneticPr fontId="5" type="noConversion"/>
  </si>
  <si>
    <t>(인천광역시 지역축제 담당 : 문화예술과 033-440-4022)</t>
    <phoneticPr fontId="5" type="noConversion"/>
  </si>
  <si>
    <t>축제종류
(택1)</t>
    <phoneticPr fontId="5" type="noConversion"/>
  </si>
  <si>
    <t>시자체</t>
    <phoneticPr fontId="5" type="noConversion"/>
  </si>
  <si>
    <t>인천펜타포트음악축제</t>
    <phoneticPr fontId="5" type="noConversion"/>
  </si>
  <si>
    <t>7월~8월</t>
    <phoneticPr fontId="5" type="noConversion"/>
  </si>
  <si>
    <t>○ 락 페스티벌(8.10~8.12)
○ 펜타슈퍼루키
○ 라이브딜리버리, 라이브클럽파티(7월)</t>
    <phoneticPr fontId="5" type="noConversion"/>
  </si>
  <si>
    <t>인천광역시/인천관광공사
(032-440-4022)</t>
    <phoneticPr fontId="5" type="noConversion"/>
  </si>
  <si>
    <t>2006년
(13회)</t>
    <phoneticPr fontId="5" type="noConversion"/>
  </si>
  <si>
    <t>문체부</t>
    <phoneticPr fontId="5" type="noConversion"/>
  </si>
  <si>
    <t>지역경제특별회계(생활)</t>
    <phoneticPr fontId="5" type="noConversion"/>
  </si>
  <si>
    <t>문화관광축제
(유망)</t>
    <phoneticPr fontId="5" type="noConversion"/>
  </si>
  <si>
    <t>음악</t>
    <phoneticPr fontId="5" type="noConversion"/>
  </si>
  <si>
    <t>공공(공사)</t>
    <phoneticPr fontId="5" type="noConversion"/>
  </si>
  <si>
    <t>없음</t>
    <phoneticPr fontId="5" type="noConversion"/>
  </si>
  <si>
    <t>공원,섬,광장</t>
    <phoneticPr fontId="5" type="noConversion"/>
  </si>
  <si>
    <t>○ 인천지역내 각 축제를 연계한 통합 마케팅
○ 개막식(불꽃쇼), 축제 컨셉에 맞춰 공연, 시민체험 등</t>
    <phoneticPr fontId="5" type="noConversion"/>
  </si>
  <si>
    <t>송도세계문화관광축제</t>
    <phoneticPr fontId="5" type="noConversion"/>
  </si>
  <si>
    <t xml:space="preserve">○ 대중음악공연, 세계맥주 등 먹거리 운영, EDM공연
○ 세계맥주를 매개로한 푸드트럭 등 먹거리 운영
○ 개막일 문화공연 및 불꽃축제
○ 시민참여를 위한 체험프로그램운영 </t>
    <phoneticPr fontId="5" type="noConversion"/>
  </si>
  <si>
    <t>인천광역시,㈜경인방송/
인천관광공사,㈜경인방송</t>
    <phoneticPr fontId="5" type="noConversion"/>
  </si>
  <si>
    <t>문화관광축제
(육성)</t>
    <phoneticPr fontId="5" type="noConversion"/>
  </si>
  <si>
    <t>○ 식품관련산업 전시, 판매
○ 음식을 주제로한 전시관, 체험관, 홍보관 운영
○ 개막식 공연, 문화공연
○ 기타 요리, 제과 등 경연대회</t>
    <phoneticPr fontId="5" type="noConversion"/>
  </si>
  <si>
    <t>2002년도
(15회)</t>
    <phoneticPr fontId="5" type="noConversion"/>
  </si>
  <si>
    <t>10월 중
(10일간)</t>
    <phoneticPr fontId="5" type="noConversion"/>
  </si>
  <si>
    <t>공공(시)</t>
    <phoneticPr fontId="5" type="noConversion"/>
  </si>
  <si>
    <t>9.8~9.9
10.6~10.7</t>
    <phoneticPr fontId="5" type="noConversion"/>
  </si>
  <si>
    <t xml:space="preserve">○ 개항장 문화재 및 주변 문화시설 야간개방,
     체험,음악공연,저잣거리 운영 등
○ 도보탐방 프로그램 운영 
    </t>
    <phoneticPr fontId="5" type="noConversion"/>
  </si>
  <si>
    <t>문화재청</t>
    <phoneticPr fontId="5" type="noConversion"/>
  </si>
  <si>
    <t>공공(구)</t>
    <phoneticPr fontId="5" type="noConversion"/>
  </si>
  <si>
    <t>○ 화합의 퍼레이드
○ 각종 콘서트, 전통혼례식
○ 사진전, 아트프리마켓, 먹거리 장터 등</t>
    <phoneticPr fontId="5" type="noConversion"/>
  </si>
  <si>
    <t>○ 인천상륙작전 전승기념 문화공연
○ 시가행진, 상륙작전 재현, 각종 체험행사 등</t>
    <phoneticPr fontId="5" type="noConversion"/>
  </si>
  <si>
    <t>○ 연예인 축하공연
○ 다양한 체험부스 운영, 수산물 할인행사 등</t>
    <phoneticPr fontId="5" type="noConversion"/>
  </si>
  <si>
    <t>축제위원회</t>
    <phoneticPr fontId="5" type="noConversion"/>
  </si>
  <si>
    <t>임의단체</t>
    <phoneticPr fontId="5" type="noConversion"/>
  </si>
  <si>
    <t>9.8.~9.15.
(8일간)</t>
  </si>
  <si>
    <t>○ 미디어 콘텐츠 상영(마을극장, 마을웹드라마 등)
○ 미디어 퍼레이드, 영상촬영체험, 미디어아트퍼포먼스 등 미디어를 활용한 공연, 경연, 전시, 체험프로그램 운영 등</t>
    <phoneticPr fontId="5" type="noConversion"/>
  </si>
  <si>
    <t xml:space="preserve">           -</t>
  </si>
  <si>
    <t>인천 원도사제</t>
  </si>
  <si>
    <t>10.6~10.7
(예정)</t>
  </si>
  <si>
    <t>○ 수령 행차 퍼레이드, 원도사제 제의
○ 민속놀이(청황패놀이), 전통체험 및 전시행사
○ 축하공연, 주민 경연대회, 부대 및 연계행사 등</t>
  </si>
  <si>
    <t>인천광역시 남구 문화예술과
(032-880-4667)</t>
  </si>
  <si>
    <t>문화유산(원도사)</t>
  </si>
  <si>
    <t>공원, 거리</t>
  </si>
  <si>
    <t>있음
(비상설)</t>
    <phoneticPr fontId="5" type="noConversion"/>
  </si>
  <si>
    <t>○ 실경뮤지컬 및 백제사신문화행렬
○ 기획전, 공연, 퍼포먼스, 연계행사 및 체험행사</t>
    <phoneticPr fontId="5" type="noConversion"/>
  </si>
  <si>
    <t>공공(공단)</t>
    <phoneticPr fontId="5" type="noConversion"/>
  </si>
  <si>
    <t>10.12~10.14
(3일간)</t>
    <phoneticPr fontId="5" type="noConversion"/>
  </si>
  <si>
    <t>○ 개폐막식 : 부평풍물고유제, 개막축하공연, 폐막공연, 불꽃놀이
○ 공연예술축제 : 창작연희페스티벌, 신세대 명인전 청출어람, 인천아트페스티벌, 해외초청공연  등
○ 거리축제 : 풍물난장, 부평시민축제, 부평길놀이 등
○ 연계행사 : 전국국악경연대회, 학생풍물경연대회, 동풍물경연대회, 참여행사, 체험부스 등</t>
    <phoneticPr fontId="5" type="noConversion"/>
  </si>
  <si>
    <t>있음
(비정규직 상근자 3명)</t>
    <phoneticPr fontId="5" type="noConversion"/>
  </si>
  <si>
    <t>○ 개막식 및 축하공연, 공연(연극, 가무악한마당)
○ 구민백일장, 학생예술체험대회, 작품전시
○ 체험 : 캘리그라피 등 10개 체험 부스 운영</t>
    <phoneticPr fontId="5" type="noConversion"/>
  </si>
  <si>
    <t>재단법인</t>
    <phoneticPr fontId="5" type="noConversion"/>
  </si>
  <si>
    <t>○ 개막식 및 축하공연
○ 피아노경연대회, 학생오케스트라 음악회
○ 합창단 경연대회, 노을마당 음악회등
○ 체험 : 마스터클래스 운영</t>
    <phoneticPr fontId="5" type="noConversion"/>
  </si>
  <si>
    <t>2018년도
(1회)</t>
    <phoneticPr fontId="5" type="noConversion"/>
  </si>
  <si>
    <t>4.14.~4. 22.
(9일간)</t>
  </si>
  <si>
    <t>○ 진달래 화전 만들기
○ 진달래를 테마로 한 진달래 액자 등 전시 및 체험
    프로그램 운영
○ 버스킹 페스티벌 공연 등</t>
  </si>
  <si>
    <t>있음
2명</t>
  </si>
  <si>
    <t>○ 개천대제 봉행 및 각종 체험
○ 퓨젼 국악 공연 
○ 푸드마켓 및 농특산물장터 운영 등</t>
  </si>
  <si>
    <t>강화군</t>
    <phoneticPr fontId="5" type="noConversion"/>
  </si>
  <si>
    <t>10.6~10.14
(9일간)</t>
    <phoneticPr fontId="5" type="noConversion"/>
  </si>
  <si>
    <t>있음
1명</t>
  </si>
  <si>
    <t xml:space="preserve">○ 새우젓 경매 및 시식회
○ 새우젓가요제, 축하공연, 불꽃놀이 
○ 공연 및 참여, 체험행사
○ 농수산물 판매부스, 먹거리 장터 </t>
    <phoneticPr fontId="5" type="noConversion"/>
  </si>
  <si>
    <t>있음
정규직 1명</t>
  </si>
  <si>
    <t xml:space="preserve">○6년근 강화고려인삼판매
○강화고려인삼을 테마로한 체험, 전시, 문화공연 운영
○개막식, 축하공연 및 문화공연
    - 5개분야 20여개 프로그램 운영 </t>
    <phoneticPr fontId="5" type="noConversion"/>
  </si>
  <si>
    <t>강화고려문화축전</t>
  </si>
  <si>
    <t>7.28~7.29
(2일간)</t>
  </si>
  <si>
    <t xml:space="preserve">○ 팔만대장경 이운 및 팔관회
○ 삼별초 출정식 및 고려문화체험 행사
○ 천도길 걷기행사 및 강연회 등 </t>
    <phoneticPr fontId="5" type="noConversion"/>
  </si>
  <si>
    <t>강화군/ 강화군
(032-930-3567)</t>
  </si>
  <si>
    <t>7.20.~7.21.
9.14~9.15</t>
    <phoneticPr fontId="5" type="noConversion"/>
  </si>
  <si>
    <t>인천광역시 강화군/인천관광공사 
강화사업단
(032-899-7300)</t>
  </si>
  <si>
    <t>문화재청</t>
  </si>
  <si>
    <t xml:space="preserve">                    -</t>
  </si>
  <si>
    <t>서울특별시</t>
    <phoneticPr fontId="5" type="noConversion"/>
  </si>
  <si>
    <t>전통역사</t>
    <phoneticPr fontId="5" type="noConversion"/>
  </si>
  <si>
    <t>대표축제</t>
    <phoneticPr fontId="5" type="noConversion"/>
  </si>
  <si>
    <t>부산광역시</t>
    <phoneticPr fontId="5" type="noConversion"/>
  </si>
  <si>
    <t>최우수축제</t>
    <phoneticPr fontId="5" type="noConversion"/>
  </si>
  <si>
    <t>대구광역시</t>
    <phoneticPr fontId="5" type="noConversion"/>
  </si>
  <si>
    <t>생태자연</t>
    <phoneticPr fontId="5" type="noConversion"/>
  </si>
  <si>
    <t>우수축제</t>
    <phoneticPr fontId="5" type="noConversion"/>
  </si>
  <si>
    <t>인천광역시</t>
    <phoneticPr fontId="5" type="noConversion"/>
  </si>
  <si>
    <t>지역특산물</t>
    <phoneticPr fontId="5" type="noConversion"/>
  </si>
  <si>
    <t>유망축제</t>
    <phoneticPr fontId="5" type="noConversion"/>
  </si>
  <si>
    <t>광주광역시</t>
    <phoneticPr fontId="5" type="noConversion"/>
  </si>
  <si>
    <t>주민화합</t>
    <phoneticPr fontId="5" type="noConversion"/>
  </si>
  <si>
    <t>육성축제</t>
    <phoneticPr fontId="5" type="noConversion"/>
  </si>
  <si>
    <t>대전광역시</t>
    <phoneticPr fontId="5" type="noConversion"/>
  </si>
  <si>
    <t>울산광역시</t>
    <phoneticPr fontId="5" type="noConversion"/>
  </si>
  <si>
    <t>경기도</t>
    <phoneticPr fontId="5" type="noConversion"/>
  </si>
  <si>
    <t>강원도</t>
    <phoneticPr fontId="5" type="noConversion"/>
  </si>
  <si>
    <t>충청북도</t>
    <phoneticPr fontId="5" type="noConversion"/>
  </si>
  <si>
    <t>충청남도</t>
    <phoneticPr fontId="5" type="noConversion"/>
  </si>
  <si>
    <t>전라북도</t>
    <phoneticPr fontId="5" type="noConversion"/>
  </si>
  <si>
    <t>전라남도</t>
    <phoneticPr fontId="5" type="noConversion"/>
  </si>
  <si>
    <t>경상북도</t>
    <phoneticPr fontId="5" type="noConversion"/>
  </si>
  <si>
    <t>제주도</t>
    <phoneticPr fontId="5" type="noConversion"/>
  </si>
  <si>
    <t>세종특별
자치시청</t>
    <phoneticPr fontId="5" type="noConversion"/>
  </si>
  <si>
    <t>(충청남도 지역축제 담당 : 관광마케팅과 041-635-3887)</t>
    <phoneticPr fontId="5" type="noConversion"/>
  </si>
  <si>
    <t>미기재</t>
    <phoneticPr fontId="5" type="noConversion"/>
  </si>
  <si>
    <t>미개최</t>
    <phoneticPr fontId="5" type="noConversion"/>
  </si>
  <si>
    <t>미정</t>
    <phoneticPr fontId="5" type="noConversion"/>
  </si>
  <si>
    <t xml:space="preserve">있음
정규직 7명
계약직 3명
총 10명  </t>
    <phoneticPr fontId="5" type="noConversion"/>
  </si>
  <si>
    <t xml:space="preserve">있음
정규직 1명
민간 40여명
총 40여명명  </t>
    <phoneticPr fontId="5" type="noConversion"/>
  </si>
  <si>
    <t xml:space="preserve">있음
정규직 1명
총 1명  </t>
    <phoneticPr fontId="5" type="noConversion"/>
  </si>
  <si>
    <t xml:space="preserve">축제사무국 유무 및 
상설화여부 </t>
    <phoneticPr fontId="5" type="noConversion"/>
  </si>
  <si>
    <t xml:space="preserve">있음
정규직 3명
계약직 10명
총 13명  </t>
    <phoneticPr fontId="5" type="noConversion"/>
  </si>
  <si>
    <t>국비 상세 내역
('18.1월 기준 확정된 내용, 
이후 국고보조사업 지원 여부는 
개별 축제 담당에게 확인 필요)</t>
    <phoneticPr fontId="5" type="noConversion"/>
  </si>
  <si>
    <t>(전라남도 지역축제 담당 : 관광과 061-286-5261)</t>
    <phoneticPr fontId="5" type="noConversion"/>
  </si>
  <si>
    <t>도자체</t>
    <phoneticPr fontId="5" type="noConversion"/>
  </si>
  <si>
    <t>명량대첩축제</t>
    <phoneticPr fontId="5" type="noConversion"/>
  </si>
  <si>
    <t>9.7~9
3일간
(잠정)</t>
    <phoneticPr fontId="5" type="noConversion"/>
  </si>
  <si>
    <t>○ 명량해전재현, 출정식, 평화의 만가행진 등
○ 지역대표 민속공연, 교류공연, 제례행사 및 위령제
○ 호국기원 민,군,경,관이 함께하는 퍼포먼스 공연
○ 국제학술 심포지엄 
○ 다양한 역사 체험형(활쏘기 등) 프로그램
○ 야간레이져쇼, 축하공연, 청년야시장 운영</t>
    <phoneticPr fontId="5" type="noConversion"/>
  </si>
  <si>
    <t>전라남도, 해남군, 진도군
/ (재)명량대첩기념사업회
061-286-5262</t>
    <phoneticPr fontId="5" type="noConversion"/>
  </si>
  <si>
    <t>2008년도
(11회)</t>
    <phoneticPr fontId="5" type="noConversion"/>
  </si>
  <si>
    <t>명량대첩 대승을 기념하고 충무공 이순신 장군과 전라도민의 호국 희생정신 계승</t>
    <phoneticPr fontId="5" type="noConversion"/>
  </si>
  <si>
    <t>울돌목 일원</t>
    <phoneticPr fontId="5" type="noConversion"/>
  </si>
  <si>
    <t>제25회 남도음식문화큰잔치</t>
    <phoneticPr fontId="5" type="noConversion"/>
  </si>
  <si>
    <t>10.12~14
3일간</t>
    <phoneticPr fontId="5" type="noConversion"/>
  </si>
  <si>
    <t>남도음식</t>
    <phoneticPr fontId="5" type="noConversion"/>
  </si>
  <si>
    <t>강진만생태
공원일원</t>
    <phoneticPr fontId="5" type="noConversion"/>
  </si>
  <si>
    <t>전라남도</t>
  </si>
  <si>
    <t>목포시</t>
  </si>
  <si>
    <t>목포항구축제</t>
  </si>
  <si>
    <t>10. 5 ~ 7
3일간(잠정)</t>
  </si>
  <si>
    <t>○ 신명나는 파시 한판
○ 풍어길놀이 목포는 항구다 등
○ 항구를 테마로란 체험, 공연, 경연 프로그램등
    6개분야 50여개 프로그램 운영
○ 근대역사거리 탐방, 춤추는 바다분수, 해양과학캠</t>
  </si>
  <si>
    <t>목포시/목포축제추진위원회
(061-270 -8441)</t>
  </si>
  <si>
    <t>2006년
(13회)</t>
  </si>
  <si>
    <t>항구에서 펼쳐지는 왁자지껄한 파시와 사람들이 북적거림으로 목포의 옛 영광 재현</t>
  </si>
  <si>
    <t>북항노을축제</t>
  </si>
  <si>
    <t>9. 3 ~ 4
2일간</t>
  </si>
  <si>
    <t>○ 주민 노래자랑     ○ 청소년 댄스공연
○ 개미장터            ○ 주민사랑방 동호회공연
○ 먹거리장터</t>
  </si>
  <si>
    <t xml:space="preserve"> </t>
  </si>
  <si>
    <t>주민</t>
  </si>
  <si>
    <t>북항노을공원</t>
  </si>
  <si>
    <t>이순신 수군문화축제</t>
  </si>
  <si>
    <t>4. 7 ~ 8
2일간</t>
    <phoneticPr fontId="5" type="noConversion"/>
  </si>
  <si>
    <t>○ 수군퍼레이드, 강강술래 공연
○ 수군교대식 및 무예시범
○ 판옥선 모형만들기, 호렁지기 체험 등</t>
  </si>
  <si>
    <t>목포시/목포시축제추진위원회
(유세훈 061-270-8321)</t>
  </si>
  <si>
    <t>유달산 노적봉일원</t>
  </si>
  <si>
    <t>2017년 축제 취소
(세월호 선체수습관련)</t>
  </si>
  <si>
    <t>여수시</t>
  </si>
  <si>
    <t>여수거북선축제</t>
  </si>
  <si>
    <t>5.4~6
3일간</t>
  </si>
  <si>
    <t>○ 통제영길놀이, 개막행사, 각종 체험·공연행사</t>
  </si>
  <si>
    <t>여수시/여수진남거북선축제보존회(061-659-4742)</t>
  </si>
  <si>
    <t>1967년도
(52회)</t>
  </si>
  <si>
    <t>거북선</t>
  </si>
  <si>
    <t>이순신광장</t>
  </si>
  <si>
    <t>향일암일출제</t>
  </si>
  <si>
    <t>12.31~1.1
2일간</t>
  </si>
  <si>
    <t>○ 해넘이 감상, 제야의 종 타종, 새해맞이 불꽃쇼, 
     대동한마당 등</t>
  </si>
  <si>
    <t>여수시/여수향일암일출제추진위원회(061-659-4742)</t>
  </si>
  <si>
    <t>일출</t>
  </si>
  <si>
    <t>향일암</t>
  </si>
  <si>
    <t>8월중
3일간</t>
  </si>
  <si>
    <t>○ 길놀이, 은빛가요제, 지인망 끌기체험, 맨손고기잡이 등</t>
  </si>
  <si>
    <t>여수시/ 거문도.백도은빛바다체험행사추진위원회
(061-659-4744)</t>
  </si>
  <si>
    <t>자연풍광</t>
  </si>
  <si>
    <t>거문도</t>
  </si>
  <si>
    <t>3.30~4.1
3일간</t>
  </si>
  <si>
    <t>○ 산신제, 진달래 백일장 및 사생대회, 체험행사</t>
  </si>
  <si>
    <t>여수시/여수영취산진달래축제추진위원회(061-659-4743)</t>
  </si>
  <si>
    <t>1993년도
(26회)</t>
  </si>
  <si>
    <t>영취산</t>
  </si>
  <si>
    <t>9~10월중
2일간</t>
  </si>
  <si>
    <t>○ 노을가요제, 가족화합한마당, 바지락캐기 체험행사 등</t>
  </si>
  <si>
    <t>여수시/여자만갯벌노을체험행사추진위원회(061-659-4744)</t>
  </si>
  <si>
    <t>소라면 
장척마을</t>
  </si>
  <si>
    <t>전라남도</t>
    <phoneticPr fontId="5" type="noConversion"/>
  </si>
  <si>
    <t>순천시</t>
    <phoneticPr fontId="5" type="noConversion"/>
  </si>
  <si>
    <t>9.7 ~ 9
3일간</t>
    <phoneticPr fontId="5" type="noConversion"/>
  </si>
  <si>
    <t>○ 개막행사 등 공연      ○ 푸드존(테이크아웃,주전부리)
○ 아트존(아트마켓,정원마켓)  ○ 키드존, 상가존 등</t>
    <phoneticPr fontId="5" type="noConversion"/>
  </si>
  <si>
    <t xml:space="preserve"> 관광진흥과
(061-749-5796)</t>
    <phoneticPr fontId="5" type="noConversion"/>
  </si>
  <si>
    <t>2016(2회)</t>
    <phoneticPr fontId="5" type="noConversion"/>
  </si>
  <si>
    <t>푸드, 아트</t>
    <phoneticPr fontId="5" type="noConversion"/>
  </si>
  <si>
    <t>중앙사거리
일원</t>
    <phoneticPr fontId="5" type="noConversion"/>
  </si>
  <si>
    <t>전라남도</t>
    <phoneticPr fontId="5" type="noConversion"/>
  </si>
  <si>
    <t>순천시</t>
    <phoneticPr fontId="5" type="noConversion"/>
  </si>
  <si>
    <t>순천명품 월등복숭아 
체험행사</t>
    <phoneticPr fontId="5" type="noConversion"/>
  </si>
  <si>
    <t>2018.8월 초
2일간</t>
    <phoneticPr fontId="5" type="noConversion"/>
  </si>
  <si>
    <t>○ 개막행사 등 공연
○ 체험행사(복숭아수확, 가공식품 만들기 등)
○ 복숭아 전시 및 직판 등
○ 특별행사(복숭아 사진공모전 등)</t>
    <phoneticPr fontId="5" type="noConversion"/>
  </si>
  <si>
    <t>친환경농축산과
(061-749-8722)</t>
    <phoneticPr fontId="5" type="noConversion"/>
  </si>
  <si>
    <t>2003(15회)</t>
    <phoneticPr fontId="5" type="noConversion"/>
  </si>
  <si>
    <t>복숭아</t>
    <phoneticPr fontId="5" type="noConversion"/>
  </si>
  <si>
    <t>월등면사무소</t>
    <phoneticPr fontId="5" type="noConversion"/>
  </si>
  <si>
    <t>순천만갈대축제</t>
    <phoneticPr fontId="5" type="noConversion"/>
  </si>
  <si>
    <t>11.2~4
3일간</t>
    <phoneticPr fontId="5" type="noConversion"/>
  </si>
  <si>
    <t>○ 개막행사 등 공연         ○ 학술심포지엄
○ 무진기행                     ○ 다양한 체험 등</t>
    <phoneticPr fontId="5" type="noConversion"/>
  </si>
  <si>
    <t>순천시 순천만보전과
(061-749-6072)</t>
    <phoneticPr fontId="5" type="noConversion"/>
  </si>
  <si>
    <t>1998(19회)</t>
    <phoneticPr fontId="5" type="noConversion"/>
  </si>
  <si>
    <t>갈대</t>
    <phoneticPr fontId="5" type="noConversion"/>
  </si>
  <si>
    <t>순천만습지</t>
    <phoneticPr fontId="5" type="noConversion"/>
  </si>
  <si>
    <t>낙안민속문화축제</t>
    <phoneticPr fontId="5" type="noConversion"/>
  </si>
  <si>
    <t>2018. 10월초
3일간</t>
    <phoneticPr fontId="5" type="noConversion"/>
  </si>
  <si>
    <t>○ 민속문화 재현  ○ 체험 및 민속공연
○ 순천시 전통음식 페스티벌   ○ 전국사진촬영대회</t>
    <phoneticPr fontId="5" type="noConversion"/>
  </si>
  <si>
    <t>순천시 낙안읍성                  (061-749-8836)</t>
    <phoneticPr fontId="5" type="noConversion"/>
  </si>
  <si>
    <t>1994 (24회)</t>
    <phoneticPr fontId="5" type="noConversion"/>
  </si>
  <si>
    <t>문화재</t>
    <phoneticPr fontId="5" type="noConversion"/>
  </si>
  <si>
    <t>추진위원회</t>
    <phoneticPr fontId="5" type="noConversion"/>
  </si>
  <si>
    <t>위탁운영</t>
    <phoneticPr fontId="5" type="noConversion"/>
  </si>
  <si>
    <t>낙안읍성</t>
    <phoneticPr fontId="5" type="noConversion"/>
  </si>
  <si>
    <t>전라남도</t>
    <phoneticPr fontId="5" type="noConversion"/>
  </si>
  <si>
    <t>순천시</t>
    <phoneticPr fontId="5" type="noConversion"/>
  </si>
  <si>
    <t>순천문화재달빛야행</t>
    <phoneticPr fontId="5" type="noConversion"/>
  </si>
  <si>
    <t>8.1~5
5일간</t>
    <phoneticPr fontId="5" type="noConversion"/>
  </si>
  <si>
    <t>○ 문화재 야간탐방, 문화재체험, 전시, 공연</t>
    <phoneticPr fontId="5" type="noConversion"/>
  </si>
  <si>
    <t>문화예술과
(061-749-6811)</t>
    <phoneticPr fontId="5" type="noConversion"/>
  </si>
  <si>
    <t>2016(2회)</t>
    <phoneticPr fontId="5" type="noConversion"/>
  </si>
  <si>
    <t>문화재야행</t>
    <phoneticPr fontId="5" type="noConversion"/>
  </si>
  <si>
    <t>문화예술</t>
    <phoneticPr fontId="5" type="noConversion"/>
  </si>
  <si>
    <t>문화의 거리</t>
    <phoneticPr fontId="5" type="noConversion"/>
  </si>
  <si>
    <t>제5회 순천만세계동물영화제</t>
    <phoneticPr fontId="5" type="noConversion"/>
  </si>
  <si>
    <t>8.15~19
 5일간</t>
    <phoneticPr fontId="5" type="noConversion"/>
  </si>
  <si>
    <t>○ 개막식, 영화상영, 심포지엄, 반려산업박람회등</t>
    <phoneticPr fontId="5" type="noConversion"/>
  </si>
  <si>
    <t>문화예술과
(061-749-6814)</t>
    <phoneticPr fontId="5" type="noConversion"/>
  </si>
  <si>
    <t>2012(5회)</t>
    <phoneticPr fontId="5" type="noConversion"/>
  </si>
  <si>
    <t>동물</t>
    <phoneticPr fontId="5" type="noConversion"/>
  </si>
  <si>
    <t>공공(시군구)</t>
    <phoneticPr fontId="5" type="noConversion"/>
  </si>
  <si>
    <t>자체추진</t>
    <phoneticPr fontId="5" type="noConversion"/>
  </si>
  <si>
    <t>순천만국가정원</t>
    <phoneticPr fontId="5" type="noConversion"/>
  </si>
  <si>
    <t>2017 순천만국제
교향악축제</t>
    <phoneticPr fontId="5" type="noConversion"/>
  </si>
  <si>
    <t>8.30~9.2
3일간</t>
    <phoneticPr fontId="5" type="noConversion"/>
  </si>
  <si>
    <t>○ 메인음악회, 테마음악회, 초정연주회 등</t>
    <phoneticPr fontId="5" type="noConversion"/>
  </si>
  <si>
    <t>문화예술과
(061-749-6793)</t>
    <phoneticPr fontId="5" type="noConversion"/>
  </si>
  <si>
    <t>음악</t>
    <phoneticPr fontId="5" type="noConversion"/>
  </si>
  <si>
    <t>팔마시민예술제</t>
    <phoneticPr fontId="5" type="noConversion"/>
  </si>
  <si>
    <t>10.13~15
3일간</t>
    <phoneticPr fontId="5" type="noConversion"/>
  </si>
  <si>
    <t>○ 개막식(길놀이, 청렴탑 제막식), 체험, 전시
○ 문화예술경연등</t>
    <phoneticPr fontId="5" type="noConversion"/>
  </si>
  <si>
    <t>문화예술과
(061-749-4432)</t>
    <phoneticPr fontId="5" type="noConversion"/>
  </si>
  <si>
    <t>1983(35회)</t>
    <phoneticPr fontId="5" type="noConversion"/>
  </si>
  <si>
    <t>역사</t>
    <phoneticPr fontId="5" type="noConversion"/>
  </si>
  <si>
    <t>순천시청  일원</t>
    <phoneticPr fontId="5" type="noConversion"/>
  </si>
  <si>
    <t>2018 봄꽃축제</t>
    <phoneticPr fontId="5" type="noConversion"/>
  </si>
  <si>
    <t>4.6~5.22
47일간</t>
    <phoneticPr fontId="5" type="noConversion"/>
  </si>
  <si>
    <t>○ 마칭퍼레이드쇼
○ 1억송이 봄꽃연출     ○ 전시체험행사</t>
    <phoneticPr fontId="5" type="noConversion"/>
  </si>
  <si>
    <t>국가정원운영과
(061-749-2729)</t>
    <phoneticPr fontId="5" type="noConversion"/>
  </si>
  <si>
    <t>2017(2회)</t>
    <phoneticPr fontId="5" type="noConversion"/>
  </si>
  <si>
    <t>꽃</t>
    <phoneticPr fontId="5" type="noConversion"/>
  </si>
  <si>
    <t>순천만국가정원</t>
    <phoneticPr fontId="5" type="noConversion"/>
  </si>
  <si>
    <t>정원산업디자인전</t>
    <phoneticPr fontId="5" type="noConversion"/>
  </si>
  <si>
    <t>4.6~22
17일간</t>
    <phoneticPr fontId="5" type="noConversion"/>
  </si>
  <si>
    <t>국가정원운영과
(061-749-2729)</t>
    <phoneticPr fontId="5" type="noConversion"/>
  </si>
  <si>
    <t>2016(2회)</t>
    <phoneticPr fontId="5" type="noConversion"/>
  </si>
  <si>
    <t>산림청</t>
    <phoneticPr fontId="5" type="noConversion"/>
  </si>
  <si>
    <t>국가정원운영과</t>
    <phoneticPr fontId="5" type="noConversion"/>
  </si>
  <si>
    <t>정원</t>
    <phoneticPr fontId="5" type="noConversion"/>
  </si>
  <si>
    <t xml:space="preserve"> </t>
    <phoneticPr fontId="5" type="noConversion"/>
  </si>
  <si>
    <t>2018 물빛축제</t>
    <phoneticPr fontId="5" type="noConversion"/>
  </si>
  <si>
    <t>7.20~8.26
38일간</t>
    <phoneticPr fontId="5" type="noConversion"/>
  </si>
  <si>
    <t>○ 라이트 가든연출
○ 워터라이팅쇼          ○ 가면무도회</t>
    <phoneticPr fontId="5" type="noConversion"/>
  </si>
  <si>
    <t>정원갈대축제</t>
    <phoneticPr fontId="5" type="noConversion"/>
  </si>
  <si>
    <t>9.21~10.28
38일간</t>
    <phoneticPr fontId="5" type="noConversion"/>
  </si>
  <si>
    <t>○ 삼바플라워 퍼레이드
○ 마블, 버블공연        ○ 봉화언덕 3D파사드</t>
    <phoneticPr fontId="5" type="noConversion"/>
  </si>
  <si>
    <t>생태자원</t>
    <phoneticPr fontId="5" type="noConversion"/>
  </si>
  <si>
    <t>별빛축제</t>
    <phoneticPr fontId="5" type="noConversion"/>
  </si>
  <si>
    <t>12.21~18. 2.6 48일간</t>
    <phoneticPr fontId="5" type="noConversion"/>
  </si>
  <si>
    <t>○ 산타&amp;눈꽃 퍼레이드
○ 빛 조형물 전시        ○ 라이트 가든 연출</t>
    <phoneticPr fontId="5" type="noConversion"/>
  </si>
  <si>
    <t>2017(2회)</t>
    <phoneticPr fontId="5" type="noConversion"/>
  </si>
  <si>
    <t>빛</t>
    <phoneticPr fontId="5" type="noConversion"/>
  </si>
  <si>
    <t>나주시</t>
    <phoneticPr fontId="5" type="noConversion"/>
  </si>
  <si>
    <t>10.19~10.21.
3일간</t>
  </si>
  <si>
    <t>○ 메인행사 : 마한퍼레이드, 소도제 등
○ 공연행사 : 마한어린이재롱잔치, 개막축하쇼 등
○ 경연행사 : 마한인 춤 경연대회, 마한인 씨름대회 등
○ 전시체험행사 : 마한의상, 금동관, 옥공예 체험 등
○ 부대행사 : 평생학습 체험 등</t>
    <phoneticPr fontId="5" type="noConversion"/>
  </si>
  <si>
    <t>나주시/마한문화축제추진위원회
(339-8722)</t>
    <phoneticPr fontId="5" type="noConversion"/>
  </si>
  <si>
    <t>2015년도
(4회)</t>
    <phoneticPr fontId="5" type="noConversion"/>
  </si>
  <si>
    <t>4월 중
3일간</t>
    <phoneticPr fontId="5" type="noConversion"/>
  </si>
  <si>
    <t>○ 공연행사 : 나주시민가요제, 시립예술단 공연 등
○ 전시체험행사 : 홍어킹을 잡아라, 홍어 깜작경매 등
○ 부대행사 : 황포돛배승선, 추억의 영산포 사진전 등</t>
    <phoneticPr fontId="5" type="noConversion"/>
  </si>
  <si>
    <t>영산포홍어축제추진위원회
(337-0123)</t>
    <phoneticPr fontId="5" type="noConversion"/>
  </si>
  <si>
    <t>2005년도
(14회)</t>
    <phoneticPr fontId="5" type="noConversion"/>
  </si>
  <si>
    <t>지역특산물</t>
    <phoneticPr fontId="5" type="noConversion"/>
  </si>
  <si>
    <t>광양시</t>
    <phoneticPr fontId="5" type="noConversion"/>
  </si>
  <si>
    <t>제20회 광양매화축제</t>
    <phoneticPr fontId="5" type="noConversion"/>
  </si>
  <si>
    <t>3. 17 ~ 25
9일간</t>
    <phoneticPr fontId="5" type="noConversion"/>
  </si>
  <si>
    <t>○ 매화꽃길 런웨이, 매실음식 경연대회
○ 매화, 매실을 테마로 공연, 전시, 체험프로그램 운영</t>
    <phoneticPr fontId="5" type="noConversion"/>
  </si>
  <si>
    <t>광양시/광양매화축제위원회
(061-797-2721)</t>
    <phoneticPr fontId="5" type="noConversion"/>
  </si>
  <si>
    <t>1997년
(20회)</t>
    <phoneticPr fontId="5" type="noConversion"/>
  </si>
  <si>
    <t>매화,매실</t>
    <phoneticPr fontId="5" type="noConversion"/>
  </si>
  <si>
    <t>축제조직위</t>
    <phoneticPr fontId="5" type="noConversion"/>
  </si>
  <si>
    <t>자체추진</t>
    <phoneticPr fontId="5" type="noConversion"/>
  </si>
  <si>
    <t>다압면 매화마을 일원</t>
    <phoneticPr fontId="5" type="noConversion"/>
  </si>
  <si>
    <t>광양시</t>
    <phoneticPr fontId="5" type="noConversion"/>
  </si>
  <si>
    <t>제11회 광양꽃축제</t>
    <phoneticPr fontId="5" type="noConversion"/>
  </si>
  <si>
    <t>3.28 ~4.1
5일간</t>
    <phoneticPr fontId="5" type="noConversion"/>
  </si>
  <si>
    <t>○ 봄꽃의 향연
○ 생활원예를 테마로 경연, 전시, 체험프로그램 운영</t>
    <phoneticPr fontId="5" type="noConversion"/>
  </si>
  <si>
    <t>광양시 기술보급과
(061-797-3788)</t>
    <phoneticPr fontId="5" type="noConversion"/>
  </si>
  <si>
    <t>2007년
(11회)</t>
    <phoneticPr fontId="5" type="noConversion"/>
  </si>
  <si>
    <t>봄꽃</t>
    <phoneticPr fontId="5" type="noConversion"/>
  </si>
  <si>
    <t>농업기술센터
시험포장</t>
    <phoneticPr fontId="5" type="noConversion"/>
  </si>
  <si>
    <t>전라남도</t>
    <phoneticPr fontId="5" type="noConversion"/>
  </si>
  <si>
    <t>광양시</t>
    <phoneticPr fontId="5" type="noConversion"/>
  </si>
  <si>
    <t>제13회 백운산국사봉철쭉축제</t>
    <phoneticPr fontId="5" type="noConversion"/>
  </si>
  <si>
    <t>4.28~29
2일간</t>
    <phoneticPr fontId="5" type="noConversion"/>
  </si>
  <si>
    <t>○ 국사봉 산상음악회
○ 철쭉을 테마로 공연, 전시, 체험프로그램 운영</t>
    <phoneticPr fontId="5" type="noConversion"/>
  </si>
  <si>
    <t>광양시/백운산국사봉철쭉축제
위원회(061-797-4233)</t>
    <phoneticPr fontId="5" type="noConversion"/>
  </si>
  <si>
    <t>2006년
(13회)</t>
    <phoneticPr fontId="5" type="noConversion"/>
  </si>
  <si>
    <t>철쭉</t>
    <phoneticPr fontId="5" type="noConversion"/>
  </si>
  <si>
    <t>옥곡면 국사봉랜드 일원</t>
    <phoneticPr fontId="5" type="noConversion"/>
  </si>
  <si>
    <t>제19회 광양전어축제</t>
    <phoneticPr fontId="5" type="noConversion"/>
  </si>
  <si>
    <t>9.7~9
3일간</t>
    <phoneticPr fontId="5" type="noConversion"/>
  </si>
  <si>
    <t>○ 전어잡이 소리 시연, 전어가요제
○ 전어,섬진강을 테마로 공연,전시,체험프로그램 운영</t>
    <phoneticPr fontId="5" type="noConversion"/>
  </si>
  <si>
    <t>광양시/광양전어축제위원회
(061-797-2606)</t>
    <phoneticPr fontId="5" type="noConversion"/>
  </si>
  <si>
    <t>1998년
(19회)</t>
    <phoneticPr fontId="5" type="noConversion"/>
  </si>
  <si>
    <t>전어</t>
    <phoneticPr fontId="5" type="noConversion"/>
  </si>
  <si>
    <t>진월면 망덕포구 일원</t>
    <phoneticPr fontId="5" type="noConversion"/>
  </si>
  <si>
    <t>제17회 광양전통숯불구이축제</t>
    <phoneticPr fontId="5" type="noConversion"/>
  </si>
  <si>
    <t>10.4~7
4일간</t>
    <phoneticPr fontId="5" type="noConversion"/>
  </si>
  <si>
    <t>○ 숯불구이 경연대회, 숯불구이 난장
○ 숯불고기를 테마로 공연, 전시, 체험프로그램 운영</t>
    <phoneticPr fontId="5" type="noConversion"/>
  </si>
  <si>
    <t>광양시/광양전통숯불구이축제
위원회(061-797-4901)</t>
    <phoneticPr fontId="5" type="noConversion"/>
  </si>
  <si>
    <t>1999년
(17회)</t>
    <phoneticPr fontId="5" type="noConversion"/>
  </si>
  <si>
    <t>숯불고기</t>
    <phoneticPr fontId="5" type="noConversion"/>
  </si>
  <si>
    <t>광양읍 서천변 일원</t>
    <phoneticPr fontId="5" type="noConversion"/>
  </si>
  <si>
    <t>담양군</t>
  </si>
  <si>
    <t>제20회 담양대나무축제</t>
  </si>
  <si>
    <t>5.2~7
6일간</t>
  </si>
  <si>
    <t>○ 대표프로그램 : 추억의 죽물시장 재현(죽물시장 가는 길 퍼레이드), 대나무문화학교
○ 대나무를 테마로한 공연, 전시, 체험프로그램 운영</t>
  </si>
  <si>
    <t>담양군/(사)담양대나무축제위원회
(061-380-3152)</t>
  </si>
  <si>
    <t>1999년도
(제20회)</t>
  </si>
  <si>
    <t>대나무</t>
  </si>
  <si>
    <t>담양 죽녹원 및 전남도립대 일원</t>
  </si>
  <si>
    <t>제2회 담양산타축제</t>
  </si>
  <si>
    <t>12월 중
15일간</t>
  </si>
  <si>
    <t>○ 크리스마스거리조성(트리,포토존, 경관조명)
○ 캐롤, 버스킹 등 공연, 체험프로그램 운영
○ 지역특화상품 판매 크리스마스마켓 운영</t>
  </si>
  <si>
    <t>산타</t>
  </si>
  <si>
    <t>담양읍 원도심 및 메타프로방스 일원</t>
  </si>
  <si>
    <t>제10회 창평전통음식문화축제</t>
  </si>
  <si>
    <t>10월 중
3일간</t>
  </si>
  <si>
    <t>○ 음식경연, 공연, 체험, 먹거리장터, 특산품 판매 등</t>
  </si>
  <si>
    <t>2003년도
(제10회)</t>
  </si>
  <si>
    <t>슬로푸드</t>
  </si>
  <si>
    <t>창평슬로시티 일원</t>
  </si>
  <si>
    <t>제8회 추월산벚꽃축제</t>
  </si>
  <si>
    <t>4월 중
2일간</t>
  </si>
  <si>
    <t>○ 특산품 전시, 판매, 군민참여 공연 등</t>
  </si>
  <si>
    <t>2006년도
(제8회)</t>
  </si>
  <si>
    <t>용면 추월산광장 일원</t>
  </si>
  <si>
    <t>곡성군</t>
  </si>
  <si>
    <t>제8회 곡성세계장미
축제</t>
  </si>
  <si>
    <t>5.18~27
10일간</t>
  </si>
  <si>
    <t>○ 장미퍼레이드
○ 장미를 테마로한 공연, 전시, 체험프로그램 운영
○ 개폐막 공연, 주제공연 및 문화공연
    - 5개 분야 50여개 프로그램</t>
  </si>
  <si>
    <t>곡성군
(061-360-8252)</t>
  </si>
  <si>
    <t>섬진강기차마을</t>
  </si>
  <si>
    <t>제18회 곡성심청축제</t>
  </si>
  <si>
    <t>10.6~9
4일간</t>
  </si>
  <si>
    <t>○ 심청 주제 행렬 퍼레이드
○ 전시, 체험, 판매장 운영
○ 무대행사 및 경연 운영</t>
  </si>
  <si>
    <t>곡성군(061-360-8252)
/곡성심청축제추진위원회</t>
  </si>
  <si>
    <t>심청</t>
  </si>
  <si>
    <t>석곡코스모스음악회</t>
  </si>
  <si>
    <t>9월중
3일간</t>
  </si>
  <si>
    <t xml:space="preserve">○ 코스모스 음악회 무대 운영
○ 전시, 판매장 운영
○ 주민화합 및 관광객 모집 프로그램 운영 </t>
  </si>
  <si>
    <t>곡성군(061-360-8252)
/석곡코스모스음악회추진위원회</t>
  </si>
  <si>
    <t>있음
(비상설)</t>
    <phoneticPr fontId="5" type="noConversion"/>
  </si>
  <si>
    <t>석곡대황강
체육공원</t>
  </si>
  <si>
    <t>제19회 구례산수유꽃
축제</t>
  </si>
  <si>
    <t>3.17~25
9일간</t>
  </si>
  <si>
    <t>○ 대표프로그램 : 산수유꽃길따라 봄마중하기
○ 산수유꽃을 테마로한 체험프로그램 운영
   - 보물찾기, 하트소원지, 미션 프로그램 등
○ 개막축하공연, 꽃담길 음악회 등
○ 농특산품 판매, 향토음식점, 홍보관 운영 등</t>
  </si>
  <si>
    <t>구례군 문화관광과/
구례군축제추진위원회
(061-780-2390)</t>
  </si>
  <si>
    <t>1999년
(19회)</t>
  </si>
  <si>
    <t>지리산온천
관광지</t>
  </si>
  <si>
    <t>제14회 구례섬진강
벚꽃축제</t>
  </si>
  <si>
    <t>4.7.~4.8
2일간</t>
  </si>
  <si>
    <t>○ 대표프로그램 : 벛꽃길 걷기
○ 개막축하공연, 노래자랑 등
○ 농특산품 판매, 향토음식점, 군홍보관 운영 등</t>
  </si>
  <si>
    <t>구례군/
섬진강벚꽃축제추진위원회
(061-780-2255)</t>
  </si>
  <si>
    <t>문척면 
섬진강변</t>
  </si>
  <si>
    <t>지리산남악제 및 
군민의날 행사</t>
  </si>
  <si>
    <t>4.18~20
3일간</t>
  </si>
  <si>
    <t>○ 대표프로그램 : 남악제례 및 행렬, 군민체육대회
○ 농특산품 판매, 군 홍보관 운영 등</t>
  </si>
  <si>
    <t>구례군 문화관광과/
구례군축제추진위원회
(061-780-2431)</t>
  </si>
  <si>
    <t>1945년
(74회)</t>
  </si>
  <si>
    <t>화엄사시설지구
구례공설운동장</t>
  </si>
  <si>
    <t>2018 구례동편제
소리축제</t>
  </si>
  <si>
    <t>10월중
3일간</t>
  </si>
  <si>
    <t>○ 대표프로그램 : 개막공연, 국악공연, 송만갑판소리
                         고수대회 
○ 농특산품 판매, 향토음식점, 군홍보관 운영 등
○ 동편제소리홍보관, 판소리배우기 등</t>
  </si>
  <si>
    <t>구례군 문화관광과/
동편제소리축제추진위원회
(061-780-2431)</t>
  </si>
  <si>
    <t>2009년
(10회)</t>
  </si>
  <si>
    <t>구례실내체육관</t>
  </si>
  <si>
    <t>제42회 지리산피아골
단풍축제</t>
  </si>
  <si>
    <t>11.3~4
2일간</t>
  </si>
  <si>
    <t>○ 대표프로그램 : 단풍제례
○ 체험프로그램 : 황금단풍잎을 찾아라, 족욕체험
○ 농특산품 판매, 향토음식점, 군홍보관 운영 등</t>
  </si>
  <si>
    <t>구례군/
지리산피아골단풍축제추진
위원회(061-780-2255)</t>
  </si>
  <si>
    <t>1976년
(42회)</t>
  </si>
  <si>
    <t>토지면피아골
일원</t>
  </si>
  <si>
    <t>고흥군</t>
  </si>
  <si>
    <t>제11회 고흥우주항공축제</t>
  </si>
  <si>
    <t>7.28.~8.1.
5일간</t>
  </si>
  <si>
    <t>○ 핵심프로그램 : 나로우주센터 우주발사대 견학, 
                360 러시아 돔영상콘텐츠, 별별별프린지
○ 전시체험행사 : 우주과학체험 
○ 부대행사 : 우주과학 사생대회, 스탬프랠리, 축제 
                   촬영대회 및 관광사진공모전 등</t>
  </si>
  <si>
    <t>고흥군/
고흥우주항공축제추진위원회
(061-830-5655)</t>
  </si>
  <si>
    <t>2004년
(11회)</t>
  </si>
  <si>
    <t>우주항공과학
체험</t>
  </si>
  <si>
    <t>나로우주센터일원</t>
  </si>
  <si>
    <t>거금도의 아름다운 밤 행사</t>
  </si>
  <si>
    <t>7.28.~29.
2일간</t>
  </si>
  <si>
    <t>○ 핵심프로그램 : 노래자랑
○ 문화공연 : 가수 초청공연
○ 부대행사 : 불꽃놀이, 특산품 판매, 유자차 시음</t>
  </si>
  <si>
    <t>거금도를사랑하는모임/
거금도를사랑하는모임
(061-842-6654)</t>
  </si>
  <si>
    <t>섬, 바다</t>
  </si>
  <si>
    <t>민간단체</t>
  </si>
  <si>
    <t>거금대교휴게소광장</t>
  </si>
  <si>
    <t>고흥 녹동 SEA FOOD 페스티벌
(제18회 녹동바다불꽃축제)</t>
  </si>
  <si>
    <t>5월중
(4일간)</t>
  </si>
  <si>
    <t>○ 핵심프로그램 : 불꽃쇼
○ 문화공연 : SEA FOOD 노래자랑, 풍물놀이 등
○ 부대행사 : 맨손 물고기잡기 체험, 어린이 낚시 체험, 수산물 시식회, 지역민 먹거리 장터 등</t>
  </si>
  <si>
    <t>녹동청년회의소/녹동청년회의소
(061-842-2811)</t>
  </si>
  <si>
    <t>해산물, 불꽃</t>
  </si>
  <si>
    <t>녹동신항 일원</t>
  </si>
  <si>
    <t>고흥유자와한우가 만나는 한마음축제</t>
  </si>
  <si>
    <t>○ 대표프로그램 : 고흥한우 시식 및 할인행사, 유자
                          전시체험
○ 공연프로그램 : 축하공연, 노래자랑
○ 각종 부대행사</t>
  </si>
  <si>
    <t>유자골고흥한우명품화사업단
(061-835-9920)
유자식품클러스터사업단</t>
  </si>
  <si>
    <t>한우, 유자</t>
  </si>
  <si>
    <t>고흥군 농업기술센터 일원</t>
  </si>
  <si>
    <t>2018 고흥 분청사기 축제</t>
  </si>
  <si>
    <t>○ 분청사기를 활용한 문화행사 기획
○ 관람객이 직접 참여할 수 있는 체험 위주 프로그램
○ 운대리 가마터 생산 분청사기 판매, 특산품 판매, 
    군홍보관 운영 등</t>
  </si>
  <si>
    <t>고흥군
(061-830-5995)</t>
  </si>
  <si>
    <t>분청사기</t>
  </si>
  <si>
    <t>고흥분청문화박물관</t>
  </si>
  <si>
    <t>제44회보성다향
대축제</t>
  </si>
  <si>
    <t>5.18.~22.
5일간</t>
  </si>
  <si>
    <t>○ 차문화 행사 : 다신제, 학생차예절 경연, 다례시연 등
○ 체험행사 : 차만들기, 찻잎따기,  월인천강찻자리 등
○ 전시판매행사 : 녹차전시판매, 농특산물 판매전 등
○ 공연경연행사 : 보성차밭콘서트. 다문화음식경연 등
○ 부대행사 : 보성달빝차회, 다담콘서트,  등</t>
  </si>
  <si>
    <t>주최 : 보성차생산자조합/ 
보성다향대축제추진위원회
(061-850-5212)</t>
  </si>
  <si>
    <t>1975년도
(44회)</t>
  </si>
  <si>
    <t>한국차문화공원
및 차밭일원</t>
  </si>
  <si>
    <t>제16회보성차밭빛축제</t>
  </si>
  <si>
    <t>18.12.14.~
19.1.13.
30일간</t>
  </si>
  <si>
    <t xml:space="preserve">○ 점등식 차밭 대형트리, 은하수터널, 차밭 빛물결, 
    빛광장 및 빛동산, 낭만의거리 조성, 소원나무, 
    포토존, 주말상설공연  </t>
  </si>
  <si>
    <t>보성군 문화관광과
(061-850-5211)</t>
  </si>
  <si>
    <t>1999년도
(16회)</t>
  </si>
  <si>
    <t>제21회 서편제보성소리축제</t>
  </si>
  <si>
    <t>10.19.~21.
3일간</t>
  </si>
  <si>
    <t>○ 전국 판소리·고수경연대회
○ 소리를 테마로한 공연, 전시, 체험프로그램 운영
○ 기념식축하공연, 문화공연 : 5개분야 25개 프로그램
○ 기타 부대행사 등</t>
  </si>
  <si>
    <t xml:space="preserve">있음
정규직 4명
계약직 1명
총 5명  </t>
  </si>
  <si>
    <t>벌교꼬막축제</t>
  </si>
  <si>
    <t>○ 대형꼬막 비빔밥 만들기   ○ 꼬막요리 경연대회
○ 꼬막 삶아보고 시식체험   ○ 바튀달린널배타기 대회
○ 진석리 갯벌체험             ○ 지역 동아리 공연
○ 벌교 역사 인물 전시 등</t>
  </si>
  <si>
    <t>2001년도
(17회)</t>
  </si>
  <si>
    <t>화순군</t>
  </si>
  <si>
    <t>화순 국화향연</t>
  </si>
  <si>
    <t>10.26~11.11
17일간</t>
  </si>
  <si>
    <t>○ 국화꽃 동산 조성
○ 문화체험프로그램 운영 
○ 지역농특산물 판매 등</t>
  </si>
  <si>
    <t xml:space="preserve"> 화순군/화순군 
(061-379-3576)</t>
  </si>
  <si>
    <t>2013년도
(6회)</t>
  </si>
  <si>
    <t>국화꽃</t>
  </si>
  <si>
    <t>공공(화순군)</t>
  </si>
  <si>
    <t>화순읍 남산공원</t>
  </si>
  <si>
    <t>화순동구리호수공원봄축제</t>
  </si>
  <si>
    <t>4.21~22
2일간</t>
  </si>
  <si>
    <t>○ 오감힐링걷기대회
○ 문화체험프로그램 , 노래자랑 등</t>
  </si>
  <si>
    <t>화순군 화순읍청년연합회
/화순군 화순읍청년연합회
(061-379-3575)</t>
  </si>
  <si>
    <t>철쭉꽃</t>
  </si>
  <si>
    <t>화순읍 동구리
 호수공원</t>
  </si>
  <si>
    <t>백아산 철쭉제</t>
  </si>
  <si>
    <t>5.4~5.5.
2일간</t>
  </si>
  <si>
    <t xml:space="preserve">○ 6.25희생자 위령제
○ 개폐막 공연, 주제공연 및 문화공연
  - 3개 분야 프로그램(초등학교공연, 중학교사물놀이,
       면민 및 초청가수)
○ 과자만들기 체험 등 </t>
  </si>
  <si>
    <t>화순군 북면청년회
/화순군 북면청년회
(061-379-5101)</t>
  </si>
  <si>
    <t>1999년도
(21회)</t>
  </si>
  <si>
    <t>화순운주문화축제</t>
  </si>
  <si>
    <t>5.21~5.22
2일간</t>
  </si>
  <si>
    <t>○ 운주사 와불 세우기 
○ 운주사를 테마로 한 공연, 전시, 체험프로그램 운영
  - 7개 분야 40여개 프로그램</t>
  </si>
  <si>
    <t>화순운주문화축제추진위원회
/화순운주문화축제추진위원회
(061-379-5081)</t>
  </si>
  <si>
    <t>축제조직위원회</t>
  </si>
  <si>
    <t>도암면 운주사</t>
  </si>
  <si>
    <t>화순고인돌문화축제</t>
  </si>
  <si>
    <t>○ 고인돌 이야기 재연(고인돌 끌기 등), 대동한마당
○ 고인돌을 테마로 한 공연, 체험 프로그램 운영
○ 체험행사 : 민속놀이 등 11개 분야
○ 고인돌 걷기 대회</t>
  </si>
  <si>
    <t>화순고인돌문화축제추진위원회
/화순고인돌문화축제추진위원회
(061-379-5070)</t>
  </si>
  <si>
    <t>고인돌</t>
  </si>
  <si>
    <t>세계문화유산
화순고인돌유적지</t>
  </si>
  <si>
    <t>적벽문화제</t>
  </si>
  <si>
    <t>9.29~9.30
2일간</t>
  </si>
  <si>
    <t>○ 적벽힐링건강걷기대회
○ 적벽과 가을을 테마로 기념식, 기원제, 공연, 전시,
    체험 등 5개분야 16개 단위행사 진행</t>
  </si>
  <si>
    <t>적벽문화축제추진위원회/
적벽문화축제추진위원회
(061-379-5096)</t>
  </si>
  <si>
    <t>1975년도
(33회)</t>
  </si>
  <si>
    <t>적벽</t>
  </si>
  <si>
    <t>부분위탁
(무대 등 시설물)</t>
  </si>
  <si>
    <t>이서면 망향정</t>
  </si>
  <si>
    <t>장흥군</t>
  </si>
  <si>
    <t>정남진장흥키조개축제</t>
  </si>
  <si>
    <t>5.3~5.7
5일간</t>
  </si>
  <si>
    <t>○ 키조개 관련 음식 전시, 판매
○ 키조개 경매,바지락 캐기,물고기 잡기, 노래자랑 등</t>
  </si>
  <si>
    <t>2003년
(15회)</t>
  </si>
  <si>
    <t>키조개</t>
  </si>
  <si>
    <t>안양면 수문항</t>
  </si>
  <si>
    <t>7.27~8.2
7일간</t>
  </si>
  <si>
    <t xml:space="preserve">○ 개막식 : 개막식,축하공연 등
○ 주민참여행사 : 청소년 강변 음악축제, 주민자치
                           프로그램시연, 수상 줄다리기 등
○ 킬러콘텐츠 : 지상최대의 물싸움, 맨손물고기잡기
                        살수대첩 거리퍼레이드
○ 수상프로그램 : 수상자전거 타기, 우든보트 타기
                            카누 타기, 뗏목 타기 등
○ 육상프로그램 : 육상수영장, 복지체험관, 목공예
                         체험교실 등 </t>
  </si>
  <si>
    <t>물</t>
  </si>
  <si>
    <t>탐진강 및
 편백숲 우드랜드</t>
  </si>
  <si>
    <t>9.21~9.23
3일간</t>
  </si>
  <si>
    <t>장흥군 문화관광과 
/ 회령포축제추진위원회
(061-860-0284)</t>
  </si>
  <si>
    <t>회령진성 역사</t>
  </si>
  <si>
    <t>회령진성
 및 회진항</t>
  </si>
  <si>
    <t>9.23~9.24
2일간</t>
  </si>
  <si>
    <t>2011년
(7회)</t>
  </si>
  <si>
    <t>귀족호도</t>
  </si>
  <si>
    <t>장평면사무소</t>
  </si>
  <si>
    <t>10월중
2일간</t>
  </si>
  <si>
    <t>표고버섯</t>
  </si>
  <si>
    <t>2017년 미개최</t>
  </si>
  <si>
    <t>강진군</t>
    <phoneticPr fontId="5" type="noConversion"/>
  </si>
  <si>
    <t>제2회 강진의 콩과 떡
 이야기 여행</t>
    <phoneticPr fontId="5" type="noConversion"/>
  </si>
  <si>
    <t>3.24.~25.
2일간</t>
    <phoneticPr fontId="5" type="noConversion"/>
  </si>
  <si>
    <t>○ A로의 초대 쑥 인절미 나눔행사(1,000명) - 전라도 탄생 천년의 의미
○ 떡 매치기, 두부 만들기, 7080 추억의 떡 만들기 등 체험 프로그램
○ 문화해설사와 함께 겨울내음 강진마을의 하루</t>
    <phoneticPr fontId="5" type="noConversion"/>
  </si>
  <si>
    <t>강진군/강진군향토축제추진
위원회(061-430-3332)</t>
    <phoneticPr fontId="5" type="noConversion"/>
  </si>
  <si>
    <t>2017년도
(2회)</t>
    <phoneticPr fontId="5" type="noConversion"/>
  </si>
  <si>
    <t>콩, 떡</t>
    <phoneticPr fontId="5" type="noConversion"/>
  </si>
  <si>
    <t xml:space="preserve">자체추진 </t>
    <phoneticPr fontId="5" type="noConversion"/>
  </si>
  <si>
    <t>오감통</t>
    <phoneticPr fontId="5" type="noConversion"/>
  </si>
  <si>
    <t>제1회 강진군동 금곡사 벚꽃길 나들이</t>
    <phoneticPr fontId="5" type="noConversion"/>
  </si>
  <si>
    <t>4.7.~8.
2일간</t>
    <phoneticPr fontId="5" type="noConversion"/>
  </si>
  <si>
    <t>○ 가족과 연인이 함께 하는 벚꽃길 느리게 걷기
○ 나만의 화전 부치기 시연 및 체험
○ 벚꽃길 체험 추억의 사진찍기 및 인화하기
○ 벚꽃길 즉석 노래자랑</t>
    <phoneticPr fontId="5" type="noConversion"/>
  </si>
  <si>
    <t>강진군/군동금곡사벚꽃길소풍
추진위원회(061-430-5522)</t>
    <phoneticPr fontId="5" type="noConversion"/>
  </si>
  <si>
    <t>2018년도
(1회)</t>
    <phoneticPr fontId="5" type="noConversion"/>
  </si>
  <si>
    <t>생태자연</t>
    <phoneticPr fontId="5" type="noConversion"/>
  </si>
  <si>
    <t>벚꽃</t>
    <phoneticPr fontId="5" type="noConversion"/>
  </si>
  <si>
    <t>군동 금곡사 
일원</t>
    <phoneticPr fontId="5" type="noConversion"/>
  </si>
  <si>
    <t>2018년 신규 축제</t>
    <phoneticPr fontId="5" type="noConversion"/>
  </si>
  <si>
    <t>제21회 강진 전라
병영성축제</t>
    <phoneticPr fontId="5" type="noConversion"/>
  </si>
  <si>
    <t>4.20.~22.
3일간</t>
    <phoneticPr fontId="5" type="noConversion"/>
  </si>
  <si>
    <t>○ 대한민국 전통무과대전
○ 호패만들기 체험
○ 현대 무기 전시 및 시연(K-1 전차, 견인포, 총기류 등)
○ 옛날 감옥 체험, 나막신, 짚신 신고 성곽 둘러보기
○ 전라병영성 주변 함정 체험</t>
    <phoneticPr fontId="5" type="noConversion"/>
  </si>
  <si>
    <t>강진군/전라병영성축제추진
위원회(061-430-3332)</t>
    <phoneticPr fontId="5" type="noConversion"/>
  </si>
  <si>
    <t>1998년도
(21회)</t>
    <phoneticPr fontId="5" type="noConversion"/>
  </si>
  <si>
    <t>병영성</t>
    <phoneticPr fontId="5" type="noConversion"/>
  </si>
  <si>
    <t>병영성 일원</t>
    <phoneticPr fontId="5" type="noConversion"/>
  </si>
  <si>
    <t>제15회 영랑문학제</t>
    <phoneticPr fontId="5" type="noConversion"/>
  </si>
  <si>
    <t>4.27.~28.
2일간</t>
    <phoneticPr fontId="5" type="noConversion"/>
  </si>
  <si>
    <t>○ 영랑문학상 시상
○ 세계모란꽃전시
○ 영랑 백일장
○ 명상의 길 걷기</t>
    <phoneticPr fontId="5" type="noConversion"/>
  </si>
  <si>
    <t>강진군/영랑기념사업회
(061-430-3186)</t>
    <phoneticPr fontId="5" type="noConversion"/>
  </si>
  <si>
    <t>2006년도
(13회)</t>
    <phoneticPr fontId="5" type="noConversion"/>
  </si>
  <si>
    <t>모란</t>
    <phoneticPr fontId="5" type="noConversion"/>
  </si>
  <si>
    <t>영랑생가일원</t>
    <phoneticPr fontId="5" type="noConversion"/>
  </si>
  <si>
    <t>제2회 강진 월출산
 봄소풍 가는 날</t>
    <phoneticPr fontId="5" type="noConversion"/>
  </si>
  <si>
    <t>4.28.~29.
2일간</t>
    <phoneticPr fontId="5" type="noConversion"/>
  </si>
  <si>
    <t>○ 다도 체험 및 산사 체험
○ 문화유적 탐방(월남사 - 백운동 정원 - 무위사
○ 강진 다원 걷기
○ 차 덖기 시연 및 체험</t>
    <phoneticPr fontId="5" type="noConversion"/>
  </si>
  <si>
    <t>강진군/강진월출산봄소풍가는날축제추진위원회
(061-430-5651)</t>
    <phoneticPr fontId="5" type="noConversion"/>
  </si>
  <si>
    <t>2017년도
(2회)</t>
    <phoneticPr fontId="5" type="noConversion"/>
  </si>
  <si>
    <t>문화예술</t>
    <phoneticPr fontId="5" type="noConversion"/>
  </si>
  <si>
    <t>월출산</t>
    <phoneticPr fontId="5" type="noConversion"/>
  </si>
  <si>
    <t>매년</t>
    <phoneticPr fontId="5" type="noConversion"/>
  </si>
  <si>
    <t>축제조직위</t>
    <phoneticPr fontId="5" type="noConversion"/>
  </si>
  <si>
    <t>있음
(비상설)</t>
    <phoneticPr fontId="5" type="noConversion"/>
  </si>
  <si>
    <t xml:space="preserve">자체추진 </t>
    <phoneticPr fontId="5" type="noConversion"/>
  </si>
  <si>
    <t>성전 월하, 월남 일원</t>
    <phoneticPr fontId="5" type="noConversion"/>
  </si>
  <si>
    <t>전라남도</t>
    <phoneticPr fontId="5" type="noConversion"/>
  </si>
  <si>
    <t>강진군</t>
    <phoneticPr fontId="5" type="noConversion"/>
  </si>
  <si>
    <t>제46회 강진청자축제</t>
    <phoneticPr fontId="5" type="noConversion"/>
  </si>
  <si>
    <t>7.28.~8.3.
7일간</t>
    <phoneticPr fontId="5" type="noConversion"/>
  </si>
  <si>
    <t>○ 투게더 점핑소일(흙과 물의 만남)
○ 청자(만들기)야, 반갑다!
○ 고려청자 재현사업 41주년 기념 특별전
○ 초대형 워터 슬라이딩 운영
○ 7개분야 80여개 프로그램</t>
    <phoneticPr fontId="5" type="noConversion"/>
  </si>
  <si>
    <t>강진군/강진군향토축제추진
위원회(061-430-3333)</t>
    <phoneticPr fontId="5" type="noConversion"/>
  </si>
  <si>
    <t>1973년도
(46회)</t>
    <phoneticPr fontId="5" type="noConversion"/>
  </si>
  <si>
    <t>문체부</t>
    <phoneticPr fontId="5" type="noConversion"/>
  </si>
  <si>
    <t>문화관광축제 지원(최우수)</t>
    <phoneticPr fontId="5" type="noConversion"/>
  </si>
  <si>
    <t>청자</t>
    <phoneticPr fontId="5" type="noConversion"/>
  </si>
  <si>
    <t xml:space="preserve">자체추진 </t>
    <phoneticPr fontId="5" type="noConversion"/>
  </si>
  <si>
    <t>청자촌</t>
    <phoneticPr fontId="5" type="noConversion"/>
  </si>
  <si>
    <t>전라남도</t>
    <phoneticPr fontId="5" type="noConversion"/>
  </si>
  <si>
    <t>강진군</t>
    <phoneticPr fontId="5" type="noConversion"/>
  </si>
  <si>
    <t>제10회 강진마량미항
찰전어축제</t>
    <phoneticPr fontId="5" type="noConversion"/>
  </si>
  <si>
    <t>10.5.~7.
3일간</t>
    <phoneticPr fontId="5" type="noConversion"/>
  </si>
  <si>
    <t xml:space="preserve">○ 풍물패 공연, 마량풍어기원제 등 </t>
    <phoneticPr fontId="5" type="noConversion"/>
  </si>
  <si>
    <t>강진군/마량미항축제추진위원회
(061-430-3332)</t>
    <phoneticPr fontId="5" type="noConversion"/>
  </si>
  <si>
    <t>2007년도
(10회)</t>
    <phoneticPr fontId="5" type="noConversion"/>
  </si>
  <si>
    <t>미항</t>
    <phoneticPr fontId="5" type="noConversion"/>
  </si>
  <si>
    <t>마량항</t>
    <phoneticPr fontId="5" type="noConversion"/>
  </si>
  <si>
    <t>제3회 강진만 춤추는 갈대축제</t>
    <phoneticPr fontId="5" type="noConversion"/>
  </si>
  <si>
    <t>10~11월 중
9일간</t>
    <phoneticPr fontId="5" type="noConversion"/>
  </si>
  <si>
    <t>○ 갈대숲 걷는 서막 세레모니, 강진만 생태탐방로 
    걷기 등</t>
    <phoneticPr fontId="5" type="noConversion"/>
  </si>
  <si>
    <t>강진군/
강진군향토축제추진위원회
(061-430-3332)</t>
    <phoneticPr fontId="5" type="noConversion"/>
  </si>
  <si>
    <t>2016년도
(3회)</t>
    <phoneticPr fontId="5" type="noConversion"/>
  </si>
  <si>
    <t>갈대</t>
    <phoneticPr fontId="5" type="noConversion"/>
  </si>
  <si>
    <t>강진만생태공원</t>
    <phoneticPr fontId="5" type="noConversion"/>
  </si>
  <si>
    <t>해남군</t>
    <phoneticPr fontId="5" type="noConversion"/>
  </si>
  <si>
    <t>땅끝매화축제</t>
    <phoneticPr fontId="5" type="noConversion"/>
  </si>
  <si>
    <t>3. 17-18.
2일간</t>
    <phoneticPr fontId="5" type="noConversion"/>
  </si>
  <si>
    <t>○ 매화터널 공연,음식체험,낭만체험,전시 및 판매 등</t>
    <phoneticPr fontId="5" type="noConversion"/>
  </si>
  <si>
    <t>땅끝매화축제추진위원회
(061-531-3512)</t>
    <phoneticPr fontId="5" type="noConversion"/>
  </si>
  <si>
    <t>2009년
(7회)</t>
    <phoneticPr fontId="5" type="noConversion"/>
  </si>
  <si>
    <t>매화</t>
    <phoneticPr fontId="5" type="noConversion"/>
  </si>
  <si>
    <t>추진위</t>
    <phoneticPr fontId="5" type="noConversion"/>
  </si>
  <si>
    <t>보해매실농원</t>
    <phoneticPr fontId="5" type="noConversion"/>
  </si>
  <si>
    <t xml:space="preserve">2017년 축제 취소
(AI 고병원성 관련) </t>
    <phoneticPr fontId="5" type="noConversion"/>
  </si>
  <si>
    <t>흑석산철쭉제</t>
    <phoneticPr fontId="5" type="noConversion"/>
  </si>
  <si>
    <t>○ 산신제, 풍물, 강강술래, 노래자랑, 부대행사 등</t>
    <phoneticPr fontId="5" type="noConversion"/>
  </si>
  <si>
    <t>흑석산철쭉제추진위원회
(061-531-3362)</t>
    <phoneticPr fontId="5" type="noConversion"/>
  </si>
  <si>
    <t>1996년
(21회)</t>
    <phoneticPr fontId="5" type="noConversion"/>
  </si>
  <si>
    <t>추진위</t>
    <phoneticPr fontId="5" type="noConversion"/>
  </si>
  <si>
    <t>가학산자연휴양림</t>
    <phoneticPr fontId="5" type="noConversion"/>
  </si>
  <si>
    <t>해남군</t>
    <phoneticPr fontId="5" type="noConversion"/>
  </si>
  <si>
    <t>땅끝해넘이해맞이축제</t>
    <phoneticPr fontId="5" type="noConversion"/>
  </si>
  <si>
    <t>12.31.~
2019.1.1.
3일간</t>
    <phoneticPr fontId="5" type="noConversion"/>
  </si>
  <si>
    <t>○ 해넘이제례, 촛불의식, 달집태우기, 불꽃놀이, 
    해맞이 등</t>
    <phoneticPr fontId="5" type="noConversion"/>
  </si>
  <si>
    <t>땅끝해넘이해맞이축제추진
위원회(061-534-4810)</t>
    <phoneticPr fontId="5" type="noConversion"/>
  </si>
  <si>
    <t>해넘이,해맞이</t>
    <phoneticPr fontId="5" type="noConversion"/>
  </si>
  <si>
    <t>땅끝관광지</t>
    <phoneticPr fontId="5" type="noConversion"/>
  </si>
  <si>
    <t>영암군</t>
  </si>
  <si>
    <t>영암왕인문화축제</t>
  </si>
  <si>
    <t>4.5~4.8
4일간</t>
  </si>
  <si>
    <t>○ 왕인박사일본가오 퍼레이드
○ 왕인愛 어드벤처 랠리,제4회 천자문경전 성독대회등
○ 7개부문 93종 프로그램</t>
  </si>
  <si>
    <t>영암군 문화관광과/
영암군향토축제추진위원회
(061-470-2259)</t>
  </si>
  <si>
    <t>부분위탁
(운영 및 일부 프로그램운영 등)</t>
  </si>
  <si>
    <t>10월말~11월중순
20여일간</t>
  </si>
  <si>
    <t>○ 국화 분화 및 조형물 설치
○ 공연행사, 체험행사, 부대행사 등
  - 5개분야, 60여개 프로그램</t>
  </si>
  <si>
    <t>○ 고유제, 남해신사해신제, 개막행사 
○ 공연행사, 체험행사 등
  - 5개분야, 30여개 프로그램</t>
  </si>
  <si>
    <t>영암군 문화관광과/
마한축제추진위원회
(061-470-2259)</t>
  </si>
  <si>
    <t>영암무화과축제</t>
  </si>
  <si>
    <t xml:space="preserve"> ○ 무화과 품평회 및 시식회
 ○ 가족과 함께하는 요리대회
 ○ 기타 전시·경연·체험행사</t>
  </si>
  <si>
    <t>영암군 친환경농업과
/ 영암무화과축제추진위원회
(061-470-2384)</t>
  </si>
  <si>
    <t>무화과</t>
  </si>
  <si>
    <t>영암군 삼호읍 일원</t>
  </si>
  <si>
    <t>무안군</t>
    <phoneticPr fontId="5" type="noConversion"/>
  </si>
  <si>
    <t>제22회 무안연꽃축제</t>
    <phoneticPr fontId="5" type="noConversion"/>
  </si>
  <si>
    <t>8.9~12
4일간</t>
    <phoneticPr fontId="5" type="noConversion"/>
  </si>
  <si>
    <t>○ 개막식 : 연자방소망등달기, 백련가래떡 나눔잔치
○ "연"을 테마로한 공연, 전시, 체험프로그램 운영
○ i-쿨존(얼음나라, 체험존, 판매존) 운영
○ 황토골 무안요리경연대회, 무안 각설이품바공연
○ 군민합창경연대회,군민노래자랑 등</t>
    <phoneticPr fontId="5" type="noConversion"/>
  </si>
  <si>
    <t>무안군
(061-450-5472)</t>
    <phoneticPr fontId="5" type="noConversion"/>
  </si>
  <si>
    <t>1997년도
(22회)</t>
    <phoneticPr fontId="5" type="noConversion"/>
  </si>
  <si>
    <t>연(蓮)</t>
    <phoneticPr fontId="5" type="noConversion"/>
  </si>
  <si>
    <t>회산백련지</t>
    <phoneticPr fontId="5" type="noConversion"/>
  </si>
  <si>
    <t>무안군</t>
    <phoneticPr fontId="5" type="noConversion"/>
  </si>
  <si>
    <t>제6회 무안황토갯벌
축제</t>
    <phoneticPr fontId="5" type="noConversion"/>
  </si>
  <si>
    <t>9.7~9
3일간</t>
    <phoneticPr fontId="5" type="noConversion"/>
  </si>
  <si>
    <t>○ 풍요깃발퍼레이드, 황토개막식(대표프로그램)
○ "황토,갯벌"주제로 공연, 전시, 체험프로그램 운영
○ 황토갯벌씨름대회, 올림피아드, 군민노래자랑
○ 갯벌낙지·장어잡기, 농게잡기, 운저리 낚시체험
○ 어린이 사생대회, 무안 각설이 품바공연 등</t>
    <phoneticPr fontId="5" type="noConversion"/>
  </si>
  <si>
    <t>2013년도
(6회)</t>
    <phoneticPr fontId="5" type="noConversion"/>
  </si>
  <si>
    <t>황토·갯벌</t>
    <phoneticPr fontId="5" type="noConversion"/>
  </si>
  <si>
    <t>무안황토갯벌랜드</t>
    <phoneticPr fontId="5" type="noConversion"/>
  </si>
  <si>
    <t>함평군</t>
  </si>
  <si>
    <t>제20회 함평나비
대축제</t>
  </si>
  <si>
    <t>4.27.~5.7.
11일간</t>
  </si>
  <si>
    <t>○ 살아있는 나비생태관 운영
○ 꽃,나비,곤충을  테마로한 전시, 체험프로그램 운영
○ 개폐막 및 군민의날  등 14개 기념행사
○ 문화예술행사 21개팀 31회
○ 기타 오당안동숙 전국미술대회 등 특별행사 및 전시</t>
  </si>
  <si>
    <t>함평군/함평군축제추진위원회
(061-320-1783)</t>
  </si>
  <si>
    <t>꽃, 나비, 곤충</t>
  </si>
  <si>
    <t>2018
대한민국 국향대전</t>
  </si>
  <si>
    <t>10월 말 ~
 11월  초
17일간</t>
  </si>
  <si>
    <t>○ 대형 국화 조형물 전시
○ 국화를  테마로한 전시, 체험프로그램 운영 
○ 개폐막식, 요리경연대회, 기념 시공모 및 낭송회
○ 군립미술관 특별기획전, 거리음악공연 등
○ 서각작품 전시 및 큰(슈퍼)호박 전시 등</t>
  </si>
  <si>
    <t>2018 꽃무릇큰잔치</t>
  </si>
  <si>
    <t>9월 중순</t>
  </si>
  <si>
    <t>○ 꽃무릇큰잔치 기념 특별공연, 면민화합 한마당행사
○ 축하쇼, 관광객 참여 장기자랑 및 노래자랑
○ 농특산품 전시 및 판매 등</t>
  </si>
  <si>
    <t>해보면/
해보면꽃무릇큰잔치추진위원회
(061-320-2771)</t>
  </si>
  <si>
    <t>꽃무릇</t>
  </si>
  <si>
    <t>해보면 용천사</t>
  </si>
  <si>
    <t>2018 대한민국 난명품대제전</t>
  </si>
  <si>
    <t>3.24.~.3.25</t>
  </si>
  <si>
    <t>○ 명품 난을 테마로한 전시 및 선발대회  운영
○ 개막행사 및 명품 난 선발대회 개최</t>
  </si>
  <si>
    <t>함평군/함평난연합회
(061-320-2856)</t>
  </si>
  <si>
    <t>춘란</t>
  </si>
  <si>
    <t>함평군
문화체육센터</t>
  </si>
  <si>
    <t>영광군</t>
  </si>
  <si>
    <t>곡우사리 영광굴비축제</t>
  </si>
  <si>
    <t>4.20~22.
3일간</t>
  </si>
  <si>
    <t>곡우사리굴비축제위원회
 / (사)한국차문화협회 광주지부</t>
  </si>
  <si>
    <t>5. 5~6
2일간</t>
  </si>
  <si>
    <t>○ 대표프로그램 : 보리타작 경연
○ 보리를 테마로한 공연, 전시 체험프로그램 운영
  - 체험행사 : 보리밭 보물착기 외 5종
  - 경연대회 : 보리자루 멀리던지 외 3종
  - 특별행사 : 각종 공연 주민 및 재능기부 확대
○ 기타 특산품 판매  등</t>
  </si>
  <si>
    <t>군남 지내들
옹기돌탑공원</t>
  </si>
  <si>
    <t>6.15~18
2일간</t>
  </si>
  <si>
    <t>법성 숲쟁이 
공원 일원</t>
  </si>
  <si>
    <t>7∼8월 중
4일간</t>
  </si>
  <si>
    <t>2009년도
(9회)</t>
  </si>
  <si>
    <t>백바위 
해수욕장</t>
  </si>
  <si>
    <t>영광불갑산상사화축제</t>
  </si>
  <si>
    <t>9.13∼22
(예정)
10일간</t>
  </si>
  <si>
    <t>불갑사 관광지
일원</t>
  </si>
  <si>
    <t>영광백수해안도로
 노을축제</t>
  </si>
  <si>
    <t>○ 대표프로그램 : 영광퓨전떡 전시회 외 1종
○ 노을을 테마로한 공연, 전시 체험프로그램 운영
  - 주제프로그램 : 노을가요제 외 1종
  - 체험행사 : 천일염 체험 외 4종
  - 야간행사 : 불꽃놀이
○ 기타 특산품 판매  등</t>
  </si>
  <si>
    <t>백수해안도로
일원</t>
  </si>
  <si>
    <t>장성 황룡강 노란꽃
잔치</t>
  </si>
  <si>
    <t>10.12~28
17일간</t>
  </si>
  <si>
    <t>5.18~20
3일간</t>
  </si>
  <si>
    <t>10.26~28
3일간</t>
  </si>
  <si>
    <t>○ 백양사 산사음악회, 애기단풍 낭만무대, 체험, 전시, 판매</t>
  </si>
  <si>
    <t>3.17~18
2일간</t>
    <phoneticPr fontId="5" type="noConversion"/>
  </si>
  <si>
    <t>장성군/장성군고로쇠축제추진
위원회(061-390-7242)</t>
  </si>
  <si>
    <t>2018년 축제 취소 예정(AII 확산 방지)</t>
    <phoneticPr fontId="5" type="noConversion"/>
  </si>
  <si>
    <t>9.15~16
2일간</t>
  </si>
  <si>
    <t>장성군/장성군축령산편백산소
축제위원회(061-390-7242)</t>
  </si>
  <si>
    <t>4.7.~15.
9일간</t>
  </si>
  <si>
    <t>완도군</t>
    <phoneticPr fontId="5" type="noConversion"/>
  </si>
  <si>
    <t xml:space="preserve"> 2018 장보고수산물
축제</t>
    <phoneticPr fontId="5" type="noConversion"/>
  </si>
  <si>
    <t>5.4~7
4일간</t>
    <phoneticPr fontId="5" type="noConversion"/>
  </si>
  <si>
    <t>○ 장보고 노젓기 대회
○ 한마음 체육행사, 대형김밥 및 김 만들기 체험 등
○ 공연및 문화행사 : 22개 프로그램
○ 해조류 특산품 판매관 운영</t>
    <phoneticPr fontId="5" type="noConversion"/>
  </si>
  <si>
    <t>장보고수산물축제추진위원회
(추성우 / 061-550-5411)</t>
    <phoneticPr fontId="5" type="noConversion"/>
  </si>
  <si>
    <t>1996년
(21회)</t>
    <phoneticPr fontId="5" type="noConversion"/>
  </si>
  <si>
    <t>해조류 및 특산품</t>
    <phoneticPr fontId="5" type="noConversion"/>
  </si>
  <si>
    <t>부분위탁</t>
    <phoneticPr fontId="5" type="noConversion"/>
  </si>
  <si>
    <t>완도읍해변공원
일원</t>
    <phoneticPr fontId="5" type="noConversion"/>
  </si>
  <si>
    <t>2017년 축제 미개최</t>
    <phoneticPr fontId="5" type="noConversion"/>
  </si>
  <si>
    <t xml:space="preserve"> 2018 청산도슬로걷기
축제</t>
    <phoneticPr fontId="5" type="noConversion"/>
  </si>
  <si>
    <t>4.1~5.7
37일간</t>
    <phoneticPr fontId="5" type="noConversion"/>
  </si>
  <si>
    <t xml:space="preserve"> ○ 청산완보
 ○ 슬로길 걷기를 주제로한 공연,전시,체험프로그램
 ○ 9개분야 32개 프로그램 </t>
    <phoneticPr fontId="5" type="noConversion"/>
  </si>
  <si>
    <t>완도군/ 청산도슬로걷기축제추진위원회(김진호/ 061-550-5432)</t>
    <phoneticPr fontId="5" type="noConversion"/>
  </si>
  <si>
    <t>2009년
(10회)</t>
    <phoneticPr fontId="5" type="noConversion"/>
  </si>
  <si>
    <t>청산도 일원</t>
    <phoneticPr fontId="5" type="noConversion"/>
  </si>
  <si>
    <t>2018 청정완도
가을빛여행</t>
    <phoneticPr fontId="5" type="noConversion"/>
  </si>
  <si>
    <t>10.27-29
3일간</t>
    <phoneticPr fontId="5" type="noConversion"/>
  </si>
  <si>
    <t>청정완도 가을빛축제추진위원회
(추성우 / 550-5411)</t>
    <phoneticPr fontId="5" type="noConversion"/>
  </si>
  <si>
    <t>2015년
(4회)</t>
    <phoneticPr fontId="5" type="noConversion"/>
  </si>
  <si>
    <t>완도읍해변
공원
완도수목원
완도타워 
청산도 일원</t>
    <phoneticPr fontId="5" type="noConversion"/>
  </si>
  <si>
    <t>진도군</t>
    <phoneticPr fontId="5" type="noConversion"/>
  </si>
  <si>
    <t>제40회 진도신비의
바닷길축제</t>
    <phoneticPr fontId="5" type="noConversion"/>
  </si>
  <si>
    <t>5.16.~19.
4일간</t>
    <phoneticPr fontId="5" type="noConversion"/>
  </si>
  <si>
    <t>○ 신비의 바닷길 체험     ○ 새벽바닷길횃불퍼레이드
○ '신비의땅을 울려라' 북놀이 퍼레이드
○ 뽕할머니 바닷길 소망띠 잇기 
○ 진도개 공연 및 체험
○ 진도무형문화재 공연(9종) ○ 글로벌 민속 씨름대회
○ 열려라 무지개길!(컬러풀 진도) ○ 미라클 레이져쇼
○ 글로벌 존(글로벌 음악여행) 
○ 선박 퍼레이드 및 해상풍물뱃놀이 등</t>
    <phoneticPr fontId="5" type="noConversion"/>
  </si>
  <si>
    <t>진도군/(사)진도군관광진흥
협의회</t>
    <phoneticPr fontId="5" type="noConversion"/>
  </si>
  <si>
    <t>1978년
(40회)</t>
    <phoneticPr fontId="5" type="noConversion"/>
  </si>
  <si>
    <t>문체부</t>
    <phoneticPr fontId="5" type="noConversion"/>
  </si>
  <si>
    <t>바닷길</t>
    <phoneticPr fontId="5" type="noConversion"/>
  </si>
  <si>
    <t xml:space="preserve">있음
회장 : 1명
정규직 2명  </t>
    <phoneticPr fontId="5" type="noConversion"/>
  </si>
  <si>
    <t>고군면회동리
(바다)</t>
    <phoneticPr fontId="5" type="noConversion"/>
  </si>
  <si>
    <t>진도군</t>
    <phoneticPr fontId="5" type="noConversion"/>
  </si>
  <si>
    <t>2018진도문화예술제</t>
    <phoneticPr fontId="5" type="noConversion"/>
  </si>
  <si>
    <t>10.18~21.
4일간</t>
    <phoneticPr fontId="5" type="noConversion"/>
  </si>
  <si>
    <t>○ 남도민요전국경창대회    ○ 전국고수대회
○ 전국강강술래경연대회    ○ 한중일 미술교류전
○ 국제 상장례 페스티벌     ○ 대한민국 청소년 국악제
○ 전국소치미술대전         ○ 전국한시진도백일장대회
○ 학생종합예술제 및 백일장 대회
○ 진도무형문화재 공개발표 등</t>
    <phoneticPr fontId="5" type="noConversion"/>
  </si>
  <si>
    <t>진도군/(사)한국예총 진도지회</t>
    <phoneticPr fontId="5" type="noConversion"/>
  </si>
  <si>
    <t>2012년
(7회)</t>
    <phoneticPr fontId="5" type="noConversion"/>
  </si>
  <si>
    <t>전국단위 
경연대회, 교류전</t>
    <phoneticPr fontId="5" type="noConversion"/>
  </si>
  <si>
    <t>있음
회장:1명
정규직: 1명</t>
    <phoneticPr fontId="5" type="noConversion"/>
  </si>
  <si>
    <t>진도군일원</t>
    <phoneticPr fontId="5" type="noConversion"/>
  </si>
  <si>
    <t>2018 대한민국
진도개페스티벌</t>
    <phoneticPr fontId="5" type="noConversion"/>
  </si>
  <si>
    <t>5. 5. ~ 6.
2일간</t>
    <phoneticPr fontId="5" type="noConversion"/>
  </si>
  <si>
    <t>○ 진도개의 날 기념식  ○ 진도개공연,경주,어질리티
○ 캐니크로스 대회      ○ 진도개 체험
○ dog스포츠 등</t>
    <phoneticPr fontId="5" type="noConversion"/>
  </si>
  <si>
    <t>진도군/진도개명견화사업단</t>
    <phoneticPr fontId="5" type="noConversion"/>
  </si>
  <si>
    <t>2012년
(7회)</t>
    <phoneticPr fontId="5" type="noConversion"/>
  </si>
  <si>
    <t>진도개</t>
    <phoneticPr fontId="5" type="noConversion"/>
  </si>
  <si>
    <t>공공</t>
    <phoneticPr fontId="5" type="noConversion"/>
  </si>
  <si>
    <t>없음</t>
    <phoneticPr fontId="5" type="noConversion"/>
  </si>
  <si>
    <t>진도개테마파크</t>
    <phoneticPr fontId="5" type="noConversion"/>
  </si>
  <si>
    <t>진도군</t>
    <phoneticPr fontId="5" type="noConversion"/>
  </si>
  <si>
    <t>제9회 진도꽃게축제</t>
    <phoneticPr fontId="5" type="noConversion"/>
  </si>
  <si>
    <t>10월중
2일간</t>
    <phoneticPr fontId="5" type="noConversion"/>
  </si>
  <si>
    <t>○ 진도 꽃게 경매              ○ 진도 꽃게 가요제
○ 청소년 어울한마당         ○ 꽃게죽 시식회
○ 아빠와 함께 꽃게 만들기 ○ 마당극 품바
○ 작은 서커스 등</t>
    <phoneticPr fontId="5" type="noConversion"/>
  </si>
  <si>
    <t>진도군/
진도군수협 꽃게한마당잔치
추진위원회</t>
    <phoneticPr fontId="5" type="noConversion"/>
  </si>
  <si>
    <t>2010년
(9회)</t>
    <phoneticPr fontId="5" type="noConversion"/>
  </si>
  <si>
    <t>꽃게</t>
    <phoneticPr fontId="5" type="noConversion"/>
  </si>
  <si>
    <t>축제추진위</t>
    <phoneticPr fontId="5" type="noConversion"/>
  </si>
  <si>
    <t>임회면 서망항</t>
    <phoneticPr fontId="5" type="noConversion"/>
  </si>
  <si>
    <t>신안군</t>
  </si>
  <si>
    <t>신안튤립축제</t>
  </si>
  <si>
    <t>4.11.~22.
12일간</t>
  </si>
  <si>
    <t>○ 공식행사 : 늘푸른문화봉사단공연(트로트, 한춤 등)
○ 문화행사 : 복지재단공연
                    (벨리댄스, 한국무용, 가요, 민요)
○ 체험행사 : 튤립＆유채꽃밭승마체험
                    나무공예 및 향초만들기</t>
  </si>
  <si>
    <t>신안군/신안튤립축제추진위원회
유성학 / 061-240-4042</t>
  </si>
  <si>
    <t>2008년도
(제10회)</t>
  </si>
  <si>
    <t>꽃</t>
  </si>
  <si>
    <t>임자도 
튤립공원</t>
  </si>
  <si>
    <t>신안 증도
2018 슬로시티 보물찾기</t>
  </si>
  <si>
    <t>5.5~27
23일간</t>
  </si>
  <si>
    <t xml:space="preserve">○ 공식행사 : 슬로시티 프리마켓, 먹거리 장터, 사진
    공모전, 보물섬 증도의 보불을 찾아라(스탬프투어)
○ 문화행사 : 재활용악기공연,슬로시티 캠핑페스티벌
○ 체험행사 : 소금밭체험, 소금동굴힐링체험, 소금 
    초코렛 체험, </t>
  </si>
  <si>
    <t>2011년도
(제7회)</t>
  </si>
  <si>
    <t>삐비꽃</t>
  </si>
  <si>
    <t>자체추진
(민간)</t>
  </si>
  <si>
    <t>증도</t>
  </si>
  <si>
    <t>순천 푸드ㆍ아트 
페스티벌</t>
    <phoneticPr fontId="5" type="noConversion"/>
  </si>
  <si>
    <t>○ IT기반 미래정원 모델 제시 ○ 스토리텔링정원마켓
○ 컨퍼런스</t>
    <phoneticPr fontId="5" type="noConversion"/>
  </si>
  <si>
    <t>○ 홍길동을 주제로 한 체험, 전시, 판매
○ KBS  전국노래자랑 장성군 편 녹화(5.19.)</t>
  </si>
  <si>
    <t>영광불갑산상사화축제 추진위원회 
/ 영광불갑산상사화축제 집행위원회
(061-350-5752)</t>
  </si>
  <si>
    <t>문화관광축제 지원</t>
    <phoneticPr fontId="5" type="noConversion"/>
  </si>
  <si>
    <t>문화관광축제
(최우수)</t>
    <phoneticPr fontId="5" type="noConversion"/>
  </si>
  <si>
    <t>문화관광축제
(우수)</t>
    <phoneticPr fontId="5" type="noConversion"/>
  </si>
  <si>
    <t>문화관광축제
여부</t>
    <phoneticPr fontId="5" type="noConversion"/>
  </si>
  <si>
    <t>18년 신규</t>
    <phoneticPr fontId="5" type="noConversion"/>
  </si>
  <si>
    <r>
      <rPr>
        <b/>
        <sz val="12"/>
        <rFont val="맑은 고딕"/>
        <family val="3"/>
        <charset val="129"/>
      </rPr>
      <t>※</t>
    </r>
    <r>
      <rPr>
        <b/>
        <sz val="12"/>
        <rFont val="굴림"/>
        <family val="3"/>
        <charset val="129"/>
      </rPr>
      <t xml:space="preserve"> 동 데이터는 우리 부가 17개 광역지자체로부터 자료를 취합, 제공하는 것으로, 
</t>
    </r>
    <r>
      <rPr>
        <b/>
        <sz val="12"/>
        <color rgb="FF0B00EC"/>
        <rFont val="굴림"/>
        <family val="3"/>
        <charset val="129"/>
      </rPr>
      <t>시도별 자료에 관한 문의는 시도 지역축제 업무담당자</t>
    </r>
    <r>
      <rPr>
        <b/>
        <sz val="12"/>
        <rFont val="굴림"/>
        <family val="3"/>
        <charset val="129"/>
      </rPr>
      <t xml:space="preserve">(연락처는 각 시트의 왼쪽 상단 참고)에게, 
</t>
    </r>
    <r>
      <rPr>
        <b/>
        <sz val="12"/>
        <color rgb="FF0B00EC"/>
        <rFont val="굴림"/>
        <family val="3"/>
        <charset val="129"/>
      </rPr>
      <t>개별 축제에 관한 문의는 축제 담당자</t>
    </r>
    <r>
      <rPr>
        <b/>
        <sz val="12"/>
        <rFont val="굴림"/>
        <family val="3"/>
        <charset val="129"/>
      </rPr>
      <t>(연락처는 각 시트의 G열 참고)에게 연락바랍니다.</t>
    </r>
    <phoneticPr fontId="5" type="noConversion"/>
  </si>
  <si>
    <t>9.20~9.22
(3일간)</t>
    <phoneticPr fontId="5" type="noConversion"/>
  </si>
  <si>
    <t>10.19. ~ 10.21.
(3일간)</t>
    <phoneticPr fontId="5" type="noConversion"/>
  </si>
  <si>
    <t>1. 25. ~ 2. 4.
(10일)</t>
    <phoneticPr fontId="5" type="noConversion"/>
  </si>
  <si>
    <t>3.30.~4.1.
(10일간)</t>
    <phoneticPr fontId="5" type="noConversion"/>
  </si>
  <si>
    <t>4.14. ~ 5.14
(1개월간)</t>
    <phoneticPr fontId="5" type="noConversion"/>
  </si>
  <si>
    <t>최종 업데이트일 : 2018.6.5</t>
    <phoneticPr fontId="5" type="noConversion"/>
  </si>
  <si>
    <t>(사)사람과 마을</t>
    <phoneticPr fontId="5" type="noConversion"/>
  </si>
  <si>
    <t>(사)노름마치예술단</t>
    <phoneticPr fontId="5" type="noConversion"/>
  </si>
  <si>
    <t>방잇골 조롱박축제추진위원회 (송여옥)</t>
    <phoneticPr fontId="5" type="noConversion"/>
  </si>
  <si>
    <t>(사)대구불교총연합회
(한동기 사무국장)</t>
    <phoneticPr fontId="5" type="noConversion"/>
  </si>
  <si>
    <t>디쿠넷</t>
    <phoneticPr fontId="5" type="noConversion"/>
  </si>
  <si>
    <t>여주흥천남한강벚꽃축제위원회</t>
    <phoneticPr fontId="5" type="noConversion"/>
  </si>
  <si>
    <t>강릉시/사천면 사기막리 해살이마을</t>
    <phoneticPr fontId="5" type="noConversion"/>
  </si>
  <si>
    <t>미선나무마을축제추진위원회</t>
    <phoneticPr fontId="5" type="noConversion"/>
  </si>
  <si>
    <t>감물면축제추진위원회</t>
    <phoneticPr fontId="5" type="noConversion"/>
  </si>
  <si>
    <t>둔율올갱이마을영농조합법인</t>
    <phoneticPr fontId="5" type="noConversion"/>
  </si>
  <si>
    <t>청천환경문화축제추진위원회</t>
    <phoneticPr fontId="5" type="noConversion"/>
  </si>
  <si>
    <t>음성인삼축제
추진위원회</t>
    <phoneticPr fontId="5" type="noConversion"/>
  </si>
  <si>
    <t>연풍면축제추진위원회</t>
    <phoneticPr fontId="5" type="noConversion"/>
  </si>
  <si>
    <t>계룡산축제추진위원회</t>
    <phoneticPr fontId="5" type="noConversion"/>
  </si>
  <si>
    <t>마곡사상인연합회</t>
    <phoneticPr fontId="5" type="noConversion"/>
  </si>
  <si>
    <t>보령시 청라면/은행마을축제 추진위원회</t>
    <phoneticPr fontId="5" type="noConversion"/>
  </si>
  <si>
    <t>보령시 농업기술센터/온새미로 축제추진위원회</t>
    <phoneticPr fontId="5" type="noConversion"/>
  </si>
  <si>
    <t xml:space="preserve">보령천북굴축제추진위원회         </t>
    <phoneticPr fontId="5" type="noConversion"/>
  </si>
  <si>
    <t>지곡왕산포 서산갯마을 축제
추진위원회(위원장 이대복)</t>
    <phoneticPr fontId="5" type="noConversion"/>
  </si>
  <si>
    <t>서산시 / 서산어리굴젓축제추진위원회(위원장 박현규)</t>
    <phoneticPr fontId="5" type="noConversion"/>
  </si>
  <si>
    <t>장고항실치축제 추진위원회
사무국장 김기용</t>
    <phoneticPr fontId="5" type="noConversion"/>
  </si>
  <si>
    <t>서면개발위원회</t>
    <phoneticPr fontId="5" type="noConversion"/>
  </si>
  <si>
    <t>춘장대해수욕장 운영협의회</t>
    <phoneticPr fontId="5" type="noConversion"/>
  </si>
  <si>
    <t>홍원항 마을 축제 추진 위원회</t>
    <phoneticPr fontId="5" type="noConversion"/>
  </si>
  <si>
    <t>남당항축제추진위원회</t>
    <phoneticPr fontId="5" type="noConversion"/>
  </si>
  <si>
    <t>태안거리축제추진위원회</t>
    <phoneticPr fontId="5" type="noConversion"/>
  </si>
  <si>
    <t>필봉농악보존회
(김은하)</t>
    <phoneticPr fontId="5" type="noConversion"/>
  </si>
  <si>
    <t>고창군 농업진흥과 
/ 고창해풍고축제위원회</t>
    <phoneticPr fontId="5" type="noConversion"/>
  </si>
  <si>
    <t>태평염전/슬로시티위원회             유영삼 / 
080-272-7541</t>
    <phoneticPr fontId="5" type="noConversion"/>
  </si>
  <si>
    <t>북항노을축제추진위원회
(최치영)</t>
    <phoneticPr fontId="5" type="noConversion"/>
  </si>
  <si>
    <t>담양군/담양산타축제추진위원회</t>
    <phoneticPr fontId="5" type="noConversion"/>
  </si>
  <si>
    <t>담양군/창평면새마을부녀회</t>
    <phoneticPr fontId="5" type="noConversion"/>
  </si>
  <si>
    <t>담양군/용면청년회</t>
    <phoneticPr fontId="5" type="noConversion"/>
  </si>
  <si>
    <t>추저면축제추진위원회 
/ 추자면축제추진위운회</t>
    <phoneticPr fontId="5" type="noConversion"/>
  </si>
  <si>
    <t>솔향기길 축제 추진윈원회</t>
    <phoneticPr fontId="5" type="noConversion"/>
  </si>
  <si>
    <t>제주특별자치도 제주시 오라동
/방선문축제위원회</t>
    <phoneticPr fontId="5" type="noConversion"/>
  </si>
  <si>
    <t>서홍동 청소년지도협의회</t>
    <phoneticPr fontId="5" type="noConversion"/>
  </si>
  <si>
    <t>삼길포 축제위원회</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</si>
</sst>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1" formatCode="_-* #,##0_-;\-* #,##0_-;_-* &quot;-&quot;_-;_-@_-"/>
    <numFmt numFmtId="176" formatCode="#,##0_ "/>
    <numFmt numFmtId="177" formatCode="0_);[Red]\(0\)"/>
    <numFmt numFmtId="178" formatCode="#,##0_);[Red]\(#,##0\)"/>
    <numFmt numFmtId="179" formatCode="_-* #,##0.0_-;\-* #,##0.0_-;_-* &quot;-&quot;?_-;_-@_-"/>
    <numFmt numFmtId="180" formatCode="_-* #,##0.0_-;\-* #,##0.0_-;_-* &quot;-&quot;_-;_-@_-"/>
    <numFmt numFmtId="181" formatCode="#,##0,"/>
  </numFmts>
  <fonts count="65">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sz val="11"/>
      <name val="굴림"/>
      <family val="3"/>
      <charset val="129"/>
    </font>
    <font>
      <sz val="12"/>
      <name val="굴림"/>
      <family val="3"/>
      <charset val="129"/>
    </font>
    <font>
      <sz val="10"/>
      <name val="굴림"/>
      <family val="3"/>
      <charset val="129"/>
    </font>
    <font>
      <b/>
      <sz val="12"/>
      <name val="굴림"/>
      <family val="3"/>
      <charset val="129"/>
    </font>
    <font>
      <b/>
      <sz val="13"/>
      <name val="굴림"/>
      <family val="3"/>
      <charset val="129"/>
    </font>
    <font>
      <sz val="13"/>
      <name val="굴림"/>
      <family val="3"/>
      <charset val="129"/>
    </font>
    <font>
      <b/>
      <u/>
      <sz val="24"/>
      <name val="HY헤드라인M"/>
      <family val="1"/>
      <charset val="129"/>
    </font>
    <font>
      <sz val="11"/>
      <color indexed="8"/>
      <name val="맑은 고딕"/>
      <family val="3"/>
      <charset val="129"/>
    </font>
    <font>
      <sz val="11"/>
      <name val="HY중고딕"/>
      <family val="1"/>
      <charset val="129"/>
    </font>
    <font>
      <b/>
      <sz val="11"/>
      <name val="굴림"/>
      <family val="3"/>
      <charset val="129"/>
    </font>
    <font>
      <sz val="8"/>
      <name val="맑은 고딕"/>
      <family val="3"/>
      <charset val="129"/>
    </font>
    <font>
      <b/>
      <u/>
      <sz val="20"/>
      <name val="HY헤드라인M"/>
      <family val="1"/>
      <charset val="129"/>
    </font>
    <font>
      <sz val="11"/>
      <color theme="1"/>
      <name val="맑은 고딕"/>
      <family val="3"/>
      <charset val="129"/>
      <scheme val="minor"/>
    </font>
    <font>
      <sz val="10"/>
      <color rgb="FFFF0000"/>
      <name val="굴림"/>
      <family val="3"/>
      <charset val="129"/>
    </font>
    <font>
      <b/>
      <sz val="13"/>
      <color theme="0"/>
      <name val="굴림"/>
      <family val="3"/>
      <charset val="129"/>
    </font>
    <font>
      <sz val="11"/>
      <color rgb="FF000000"/>
      <name val="돋움"/>
      <family val="3"/>
      <charset val="129"/>
    </font>
    <font>
      <b/>
      <sz val="14"/>
      <color rgb="FFFF0000"/>
      <name val="굴림"/>
      <family val="3"/>
      <charset val="129"/>
    </font>
    <font>
      <u/>
      <sz val="13"/>
      <name val="굴림"/>
      <family val="3"/>
      <charset val="129"/>
    </font>
    <font>
      <b/>
      <sz val="11"/>
      <name val="HY중고딕"/>
      <family val="1"/>
      <charset val="129"/>
    </font>
    <font>
      <b/>
      <sz val="14"/>
      <color rgb="FF002060"/>
      <name val="굴림"/>
      <family val="3"/>
      <charset val="129"/>
    </font>
    <font>
      <sz val="11"/>
      <color theme="0"/>
      <name val="굴림"/>
      <family val="3"/>
      <charset val="129"/>
    </font>
    <font>
      <b/>
      <sz val="10"/>
      <name val="굴림"/>
      <family val="3"/>
      <charset val="129"/>
    </font>
    <font>
      <sz val="11"/>
      <color theme="1"/>
      <name val="돋움"/>
      <family val="3"/>
      <charset val="129"/>
    </font>
    <font>
      <sz val="11"/>
      <color theme="1"/>
      <name val="굴림"/>
      <family val="3"/>
      <charset val="129"/>
    </font>
    <font>
      <sz val="10"/>
      <color theme="1"/>
      <name val="굴림"/>
      <family val="3"/>
      <charset val="129"/>
    </font>
    <font>
      <b/>
      <sz val="10"/>
      <color theme="1"/>
      <name val="굴림"/>
      <family val="3"/>
      <charset val="129"/>
    </font>
    <font>
      <b/>
      <sz val="9"/>
      <color indexed="81"/>
      <name val="Tahoma"/>
      <family val="2"/>
    </font>
    <font>
      <b/>
      <sz val="9"/>
      <color indexed="81"/>
      <name val="돋움"/>
      <family val="3"/>
      <charset val="129"/>
    </font>
    <font>
      <sz val="11"/>
      <color rgb="FF0000FF"/>
      <name val="굴림"/>
      <family val="3"/>
      <charset val="129"/>
    </font>
    <font>
      <sz val="11"/>
      <name val="맑은 고딕"/>
      <family val="3"/>
      <charset val="129"/>
    </font>
    <font>
      <sz val="8"/>
      <name val="맑은 고딕"/>
      <family val="2"/>
      <charset val="129"/>
      <scheme val="minor"/>
    </font>
    <font>
      <sz val="9"/>
      <color indexed="81"/>
      <name val="Tahoma"/>
      <family val="2"/>
    </font>
    <font>
      <sz val="9"/>
      <color indexed="81"/>
      <name val="돋움"/>
      <family val="3"/>
      <charset val="129"/>
    </font>
    <font>
      <b/>
      <sz val="12"/>
      <color theme="1"/>
      <name val="굴림"/>
      <family val="3"/>
      <charset val="129"/>
    </font>
    <font>
      <b/>
      <u/>
      <sz val="24"/>
      <name val="굴림"/>
      <family val="3"/>
      <charset val="129"/>
    </font>
    <font>
      <sz val="10"/>
      <color theme="1"/>
      <name val="맑은 고딕"/>
      <family val="3"/>
      <charset val="129"/>
      <scheme val="major"/>
    </font>
    <font>
      <sz val="10"/>
      <name val="맑은 고딕"/>
      <family val="3"/>
      <charset val="129"/>
      <scheme val="major"/>
    </font>
    <font>
      <sz val="8"/>
      <name val="맑은 고딕"/>
      <family val="2"/>
      <charset val="129"/>
    </font>
    <font>
      <sz val="11"/>
      <color rgb="FF000000"/>
      <name val="맑은 고딕"/>
      <family val="3"/>
      <charset val="129"/>
    </font>
    <font>
      <sz val="10"/>
      <color theme="0" tint="-0.499984740745262"/>
      <name val="맑은 고딕"/>
      <family val="3"/>
      <charset val="129"/>
      <scheme val="major"/>
    </font>
    <font>
      <sz val="8"/>
      <name val="나눔고딕"/>
      <family val="3"/>
      <charset val="129"/>
    </font>
    <font>
      <sz val="10"/>
      <color theme="0"/>
      <name val="맑은 고딕"/>
      <family val="3"/>
      <charset val="129"/>
      <scheme val="major"/>
    </font>
    <font>
      <b/>
      <u/>
      <sz val="24"/>
      <color theme="1"/>
      <name val="굴림"/>
      <family val="3"/>
      <charset val="129"/>
    </font>
    <font>
      <b/>
      <sz val="10"/>
      <color rgb="FF0070C0"/>
      <name val="굴림"/>
      <family val="3"/>
      <charset val="129"/>
    </font>
    <font>
      <b/>
      <sz val="10"/>
      <color rgb="FFC00000"/>
      <name val="굴림"/>
      <family val="3"/>
      <charset val="129"/>
    </font>
    <font>
      <u/>
      <sz val="10"/>
      <name val="굴림"/>
      <family val="3"/>
      <charset val="129"/>
    </font>
    <font>
      <u/>
      <sz val="10"/>
      <color theme="1"/>
      <name val="굴림"/>
      <family val="3"/>
      <charset val="129"/>
    </font>
    <font>
      <sz val="10"/>
      <name val="MS PMincho"/>
      <family val="1"/>
      <charset val="128"/>
    </font>
    <font>
      <sz val="10"/>
      <color rgb="FF000000"/>
      <name val="굴림"/>
      <family val="3"/>
      <charset val="129"/>
    </font>
    <font>
      <sz val="10"/>
      <name val="HY중고딕"/>
      <family val="1"/>
      <charset val="129"/>
    </font>
    <font>
      <b/>
      <sz val="10"/>
      <color indexed="60"/>
      <name val="굴림"/>
      <family val="3"/>
      <charset val="129"/>
    </font>
    <font>
      <b/>
      <sz val="12"/>
      <name val="맑은 고딕"/>
      <family val="3"/>
      <charset val="129"/>
    </font>
    <font>
      <b/>
      <sz val="12"/>
      <color rgb="FF0B00EC"/>
      <name val="굴림"/>
      <family val="3"/>
      <charset val="129"/>
    </font>
    <font>
      <b/>
      <sz val="11"/>
      <color rgb="FF0B00EC"/>
      <name val="굴림"/>
      <family val="3"/>
      <charset val="129"/>
    </font>
    <font>
      <b/>
      <sz val="12"/>
      <name val="돋움"/>
      <family val="3"/>
      <charset val="129"/>
    </font>
    <font>
      <sz val="11"/>
      <color rgb="FF006100"/>
      <name val="맑은 고딕"/>
      <family val="2"/>
      <charset val="129"/>
      <scheme val="minor"/>
    </font>
    <font>
      <sz val="11"/>
      <color rgb="FFFF0000"/>
      <name val="굴림"/>
      <family val="3"/>
      <charset val="129"/>
    </font>
    <font>
      <sz val="11"/>
      <color rgb="FFC00000"/>
      <name val="굴림"/>
      <family val="3"/>
      <charset val="129"/>
    </font>
    <font>
      <sz val="11"/>
      <color rgb="FF000000"/>
      <name val="굴림"/>
      <family val="3"/>
      <charset val="129"/>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FF"/>
        <bgColor indexed="64"/>
      </patternFill>
    </fill>
    <fill>
      <patternFill patternType="solid">
        <fgColor indexed="9"/>
        <bgColor indexed="64"/>
      </patternFill>
    </fill>
    <fill>
      <patternFill patternType="solid">
        <fgColor rgb="FFC6EFCE"/>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6">
    <xf numFmtId="0" fontId="0" fillId="0" borderId="0"/>
    <xf numFmtId="41" fontId="13" fillId="0" borderId="0">
      <alignment vertical="center"/>
    </xf>
    <xf numFmtId="41" fontId="18" fillId="0" borderId="0" applyFont="0" applyFill="0" applyBorder="0" applyAlignment="0" applyProtection="0">
      <alignment vertical="center"/>
    </xf>
    <xf numFmtId="41" fontId="4" fillId="0" borderId="0" applyFont="0" applyFill="0" applyBorder="0" applyAlignment="0" applyProtection="0"/>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18" fillId="0" borderId="0">
      <alignment vertical="center"/>
    </xf>
    <xf numFmtId="0" fontId="4" fillId="0" borderId="0"/>
    <xf numFmtId="0" fontId="4" fillId="0" borderId="0">
      <alignment vertical="center"/>
    </xf>
    <xf numFmtId="0" fontId="18" fillId="0" borderId="0">
      <alignment vertical="center"/>
    </xf>
    <xf numFmtId="0" fontId="4" fillId="0" borderId="0"/>
    <xf numFmtId="0" fontId="4" fillId="0" borderId="0"/>
    <xf numFmtId="0" fontId="4" fillId="0" borderId="0">
      <alignment vertical="center"/>
    </xf>
    <xf numFmtId="0" fontId="21" fillId="0" borderId="0"/>
    <xf numFmtId="0" fontId="4" fillId="0" borderId="0"/>
    <xf numFmtId="0" fontId="4" fillId="0" borderId="0"/>
    <xf numFmtId="41" fontId="4" fillId="0" borderId="0" applyFont="0" applyFill="0" applyBorder="0" applyAlignment="0" applyProtection="0">
      <alignment vertical="center"/>
    </xf>
    <xf numFmtId="0" fontId="4" fillId="0" borderId="0"/>
    <xf numFmtId="0" fontId="4" fillId="0" borderId="0"/>
    <xf numFmtId="0" fontId="44" fillId="0" borderId="0">
      <alignment vertical="center"/>
    </xf>
    <xf numFmtId="0" fontId="44" fillId="0" borderId="0">
      <alignment vertical="center"/>
    </xf>
    <xf numFmtId="0" fontId="3" fillId="0" borderId="0">
      <alignment vertical="center"/>
    </xf>
    <xf numFmtId="0" fontId="3" fillId="0" borderId="0">
      <alignment vertical="center"/>
    </xf>
    <xf numFmtId="0" fontId="61" fillId="9" borderId="0" applyNumberFormat="0" applyBorder="0" applyAlignment="0" applyProtection="0">
      <alignment vertical="center"/>
    </xf>
    <xf numFmtId="41" fontId="4" fillId="0" borderId="0" applyFont="0" applyFill="0" applyBorder="0" applyAlignment="0" applyProtection="0">
      <alignment vertical="center"/>
    </xf>
    <xf numFmtId="41" fontId="18" fillId="0" borderId="0" applyFont="0" applyFill="0" applyBorder="0" applyAlignment="0" applyProtection="0">
      <alignment vertical="center"/>
    </xf>
    <xf numFmtId="41" fontId="13" fillId="0" borderId="0">
      <alignment vertical="center"/>
    </xf>
    <xf numFmtId="41" fontId="4" fillId="0" borderId="0" applyFont="0" applyFill="0" applyBorder="0" applyAlignment="0" applyProtection="0"/>
    <xf numFmtId="0" fontId="2" fillId="0" borderId="0">
      <alignment vertical="center"/>
    </xf>
    <xf numFmtId="0" fontId="2" fillId="0" borderId="0">
      <alignment vertical="center"/>
    </xf>
    <xf numFmtId="0" fontId="21" fillId="0" borderId="0"/>
    <xf numFmtId="41" fontId="21" fillId="0" borderId="0">
      <alignment vertical="center"/>
    </xf>
  </cellStyleXfs>
  <cellXfs count="350">
    <xf numFmtId="0" fontId="0" fillId="0" borderId="0" xfId="0"/>
    <xf numFmtId="0" fontId="6" fillId="0" borderId="0" xfId="0" applyFont="1"/>
    <xf numFmtId="0" fontId="6" fillId="0" borderId="0" xfId="0" applyFont="1" applyAlignment="1">
      <alignment vertical="center"/>
    </xf>
    <xf numFmtId="0" fontId="6" fillId="0" borderId="0" xfId="0" applyFont="1" applyAlignment="1">
      <alignment horizontal="left"/>
    </xf>
    <xf numFmtId="0" fontId="10" fillId="0" borderId="0" xfId="0" applyFont="1" applyAlignment="1">
      <alignment horizontal="left"/>
    </xf>
    <xf numFmtId="0" fontId="11" fillId="0" borderId="0" xfId="0" applyFont="1" applyAlignment="1">
      <alignment horizontal="left"/>
    </xf>
    <xf numFmtId="0" fontId="6" fillId="0" borderId="0" xfId="0" applyFont="1" applyAlignment="1">
      <alignment horizontal="center"/>
    </xf>
    <xf numFmtId="0" fontId="20" fillId="0" borderId="0" xfId="0" applyFont="1" applyFill="1" applyBorder="1" applyAlignment="1">
      <alignment horizontal="left"/>
    </xf>
    <xf numFmtId="0" fontId="9" fillId="3" borderId="7"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2"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0" fillId="3" borderId="3" xfId="0" applyFill="1" applyBorder="1" applyAlignment="1">
      <alignment horizontal="center" vertical="center"/>
    </xf>
    <xf numFmtId="0" fontId="6" fillId="3" borderId="5" xfId="0" applyFont="1" applyFill="1" applyBorder="1" applyAlignment="1">
      <alignment horizontal="center" vertical="center"/>
    </xf>
    <xf numFmtId="0" fontId="6" fillId="3" borderId="4" xfId="0" applyFont="1" applyFill="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0" xfId="0" applyFont="1" applyBorder="1" applyAlignment="1">
      <alignment vertical="center"/>
    </xf>
    <xf numFmtId="0" fontId="26" fillId="0" borderId="8" xfId="0" applyFont="1" applyBorder="1" applyAlignment="1">
      <alignment horizontal="center" vertical="center"/>
    </xf>
    <xf numFmtId="0" fontId="26" fillId="0" borderId="8" xfId="0" applyFont="1" applyBorder="1" applyAlignment="1">
      <alignment horizontal="center" vertical="center" wrapText="1"/>
    </xf>
    <xf numFmtId="0" fontId="26" fillId="0" borderId="8" xfId="0" applyFont="1" applyBorder="1" applyAlignment="1">
      <alignment vertical="center"/>
    </xf>
    <xf numFmtId="0" fontId="26" fillId="0" borderId="0" xfId="0" applyFont="1" applyAlignment="1">
      <alignment vertical="center"/>
    </xf>
    <xf numFmtId="0" fontId="26" fillId="0" borderId="0" xfId="0" applyFont="1" applyBorder="1" applyAlignment="1">
      <alignment horizontal="center" vertical="center"/>
    </xf>
    <xf numFmtId="0" fontId="26" fillId="0" borderId="0" xfId="0" applyFont="1" applyBorder="1" applyAlignment="1">
      <alignment horizontal="center" vertical="center" wrapText="1"/>
    </xf>
    <xf numFmtId="0" fontId="26" fillId="0" borderId="0" xfId="0" applyFont="1" applyBorder="1" applyAlignment="1">
      <alignment vertical="center"/>
    </xf>
    <xf numFmtId="0" fontId="26" fillId="0" borderId="0" xfId="0" applyFont="1" applyAlignment="1">
      <alignment horizontal="center" vertical="center"/>
    </xf>
    <xf numFmtId="0" fontId="26" fillId="0" borderId="0" xfId="0" applyFont="1" applyAlignment="1">
      <alignment horizontal="center" vertical="center" wrapText="1"/>
    </xf>
    <xf numFmtId="0" fontId="0" fillId="6" borderId="0" xfId="0" applyFill="1" applyAlignment="1">
      <alignment vertical="center"/>
    </xf>
    <xf numFmtId="0" fontId="7" fillId="6" borderId="0" xfId="0" applyFont="1" applyFill="1" applyAlignment="1">
      <alignment horizontal="center" vertical="center"/>
    </xf>
    <xf numFmtId="0" fontId="7" fillId="6" borderId="0" xfId="0" applyFont="1" applyFill="1" applyAlignment="1">
      <alignment vertical="center"/>
    </xf>
    <xf numFmtId="0" fontId="29" fillId="0" borderId="0" xfId="0" applyFont="1"/>
    <xf numFmtId="0" fontId="30" fillId="0" borderId="1" xfId="0" applyFont="1" applyBorder="1"/>
    <xf numFmtId="0" fontId="30" fillId="0" borderId="0" xfId="0" applyFont="1"/>
    <xf numFmtId="0" fontId="31" fillId="0" borderId="0" xfId="0" applyFont="1"/>
    <xf numFmtId="0" fontId="29" fillId="2" borderId="0" xfId="0" applyFont="1" applyFill="1"/>
    <xf numFmtId="0" fontId="6" fillId="2" borderId="0" xfId="0" applyFont="1" applyFill="1"/>
    <xf numFmtId="0" fontId="29" fillId="2" borderId="0" xfId="0" applyFont="1" applyFill="1" applyAlignment="1">
      <alignment vertical="center"/>
    </xf>
    <xf numFmtId="0" fontId="28" fillId="0" borderId="0" xfId="0" applyFont="1"/>
    <xf numFmtId="0" fontId="28" fillId="0" borderId="0" xfId="0" applyFont="1" applyAlignment="1">
      <alignment horizontal="center"/>
    </xf>
    <xf numFmtId="0" fontId="0" fillId="0" borderId="0" xfId="0" applyAlignment="1">
      <alignment horizontal="center"/>
    </xf>
    <xf numFmtId="0" fontId="19" fillId="0" borderId="0" xfId="0" applyFont="1" applyBorder="1" applyAlignment="1">
      <alignment vertical="center"/>
    </xf>
    <xf numFmtId="0" fontId="14" fillId="0" borderId="0" xfId="0" applyFont="1" applyAlignment="1">
      <alignment vertical="center"/>
    </xf>
    <xf numFmtId="0" fontId="14" fillId="0" borderId="0" xfId="0" applyFont="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shrinkToFit="1"/>
    </xf>
    <xf numFmtId="0" fontId="6" fillId="0" borderId="0" xfId="0" applyFont="1" applyAlignment="1">
      <alignment horizontal="center" shrinkToFit="1"/>
    </xf>
    <xf numFmtId="0" fontId="6" fillId="0" borderId="0" xfId="0" applyFont="1" applyBorder="1" applyAlignment="1">
      <alignment horizontal="center" vertical="center"/>
    </xf>
    <xf numFmtId="0" fontId="6" fillId="2" borderId="0" xfId="0" applyFont="1" applyFill="1" applyBorder="1"/>
    <xf numFmtId="0" fontId="34" fillId="0" borderId="0" xfId="0" applyFont="1" applyBorder="1"/>
    <xf numFmtId="0" fontId="6" fillId="0" borderId="0" xfId="0" applyFont="1" applyBorder="1"/>
    <xf numFmtId="0" fontId="34" fillId="0" borderId="0" xfId="0" applyFont="1"/>
    <xf numFmtId="0" fontId="6" fillId="2" borderId="9" xfId="0" applyFont="1" applyFill="1" applyBorder="1"/>
    <xf numFmtId="0" fontId="6" fillId="0" borderId="9" xfId="0" applyFont="1" applyBorder="1"/>
    <xf numFmtId="0" fontId="6" fillId="0" borderId="0" xfId="0" applyFont="1" applyFill="1" applyBorder="1"/>
    <xf numFmtId="0" fontId="14" fillId="2" borderId="0" xfId="0" applyFont="1" applyFill="1" applyBorder="1" applyAlignment="1">
      <alignment horizontal="center" vertical="center" wrapText="1"/>
    </xf>
    <xf numFmtId="0" fontId="6" fillId="0" borderId="9" xfId="0" applyFont="1" applyFill="1" applyBorder="1"/>
    <xf numFmtId="0" fontId="19" fillId="0" borderId="0" xfId="0" applyFont="1" applyFill="1" applyBorder="1" applyAlignment="1">
      <alignment vertical="center"/>
    </xf>
    <xf numFmtId="0" fontId="6" fillId="0" borderId="0" xfId="0" applyFont="1" applyFill="1" applyBorder="1" applyAlignment="1">
      <alignment vertical="center"/>
    </xf>
    <xf numFmtId="0" fontId="6" fillId="0" borderId="0" xfId="0" applyFont="1" applyFill="1"/>
    <xf numFmtId="0" fontId="6" fillId="0" borderId="0" xfId="0" applyFont="1" applyFill="1" applyAlignment="1">
      <alignment horizontal="left"/>
    </xf>
    <xf numFmtId="0" fontId="26" fillId="0" borderId="0" xfId="0" applyFont="1" applyAlignment="1">
      <alignment horizontal="left" vertical="center"/>
    </xf>
    <xf numFmtId="0" fontId="26" fillId="0" borderId="0" xfId="0" applyFont="1" applyAlignment="1">
      <alignment horizontal="right" vertical="center"/>
    </xf>
    <xf numFmtId="0" fontId="6" fillId="0" borderId="0" xfId="0" applyFont="1" applyAlignment="1">
      <alignment horizontal="right" vertical="center"/>
    </xf>
    <xf numFmtId="0" fontId="6" fillId="0" borderId="0" xfId="0" applyFont="1" applyAlignment="1">
      <alignment horizontal="right"/>
    </xf>
    <xf numFmtId="0" fontId="14" fillId="0" borderId="0" xfId="0" applyFont="1"/>
    <xf numFmtId="0" fontId="24" fillId="0" borderId="0" xfId="0" applyFont="1"/>
    <xf numFmtId="0" fontId="24" fillId="2" borderId="0" xfId="0" applyFont="1" applyFill="1"/>
    <xf numFmtId="0" fontId="6" fillId="0" borderId="0" xfId="0" applyNumberFormat="1" applyFont="1"/>
    <xf numFmtId="0" fontId="6" fillId="0" borderId="0" xfId="0" applyFont="1" applyBorder="1" applyAlignment="1">
      <alignment horizontal="center"/>
    </xf>
    <xf numFmtId="0" fontId="14" fillId="2" borderId="0" xfId="0" applyFont="1" applyFill="1"/>
    <xf numFmtId="0" fontId="14" fillId="0" borderId="0" xfId="0" applyFont="1" applyAlignment="1">
      <alignment horizontal="left"/>
    </xf>
    <xf numFmtId="0" fontId="28" fillId="0" borderId="0" xfId="0" applyFont="1" applyAlignment="1">
      <alignment horizontal="center" wrapText="1"/>
    </xf>
    <xf numFmtId="0" fontId="0" fillId="0" borderId="0" xfId="0" applyAlignment="1">
      <alignment horizontal="center" wrapText="1"/>
    </xf>
    <xf numFmtId="41" fontId="30" fillId="0" borderId="1" xfId="20" applyFont="1" applyBorder="1" applyAlignment="1">
      <alignment horizontal="center" vertical="center"/>
    </xf>
    <xf numFmtId="0" fontId="40" fillId="0" borderId="0" xfId="0" applyFont="1" applyBorder="1" applyAlignment="1">
      <alignment horizontal="center"/>
    </xf>
    <xf numFmtId="0" fontId="30" fillId="0" borderId="1" xfId="0" applyFont="1" applyFill="1" applyBorder="1" applyAlignment="1">
      <alignment horizontal="center" vertical="center" wrapText="1"/>
    </xf>
    <xf numFmtId="0" fontId="30" fillId="0" borderId="1" xfId="0" applyNumberFormat="1" applyFont="1" applyFill="1" applyBorder="1" applyAlignment="1">
      <alignment horizontal="center" vertical="center" wrapText="1"/>
    </xf>
    <xf numFmtId="0" fontId="30" fillId="0" borderId="1" xfId="0" applyNumberFormat="1" applyFont="1" applyFill="1" applyBorder="1" applyAlignment="1">
      <alignment horizontal="center" vertical="center"/>
    </xf>
    <xf numFmtId="41" fontId="30" fillId="0" borderId="1" xfId="20" applyFont="1" applyFill="1" applyBorder="1" applyAlignment="1">
      <alignment horizontal="center" vertical="center"/>
    </xf>
    <xf numFmtId="0" fontId="8" fillId="2" borderId="1" xfId="0" applyFont="1" applyFill="1" applyBorder="1" applyAlignment="1">
      <alignment horizontal="center" vertical="center" wrapText="1"/>
    </xf>
    <xf numFmtId="0" fontId="30" fillId="2" borderId="1" xfId="0" applyFont="1" applyFill="1" applyBorder="1" applyAlignment="1">
      <alignment horizontal="center" vertical="center" wrapText="1"/>
    </xf>
    <xf numFmtId="41" fontId="30" fillId="2" borderId="1" xfId="20" applyFont="1" applyFill="1" applyBorder="1" applyAlignment="1">
      <alignment horizontal="center" vertical="center" wrapText="1"/>
    </xf>
    <xf numFmtId="0" fontId="30" fillId="2" borderId="1" xfId="0" applyFont="1" applyFill="1" applyBorder="1" applyAlignment="1">
      <alignment horizontal="left" vertical="center" wrapText="1"/>
    </xf>
    <xf numFmtId="41" fontId="8" fillId="2" borderId="1" xfId="2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vertical="center" wrapText="1"/>
    </xf>
    <xf numFmtId="41" fontId="8" fillId="0" borderId="1" xfId="20" applyFont="1" applyFill="1" applyBorder="1" applyAlignment="1">
      <alignment horizontal="center" vertical="center" wrapText="1"/>
    </xf>
    <xf numFmtId="0" fontId="39" fillId="3" borderId="2" xfId="0" applyFont="1" applyFill="1" applyBorder="1" applyAlignment="1">
      <alignment horizontal="center" vertical="center" wrapText="1"/>
    </xf>
    <xf numFmtId="0" fontId="39" fillId="3" borderId="2" xfId="0" applyFont="1" applyFill="1" applyBorder="1" applyAlignment="1">
      <alignment horizontal="center" vertical="center"/>
    </xf>
    <xf numFmtId="0" fontId="19" fillId="0" borderId="0" xfId="0" applyFont="1" applyBorder="1" applyAlignment="1">
      <alignment horizontal="center" vertical="center"/>
    </xf>
    <xf numFmtId="0" fontId="19" fillId="0" borderId="0" xfId="0" applyNumberFormat="1" applyFont="1" applyBorder="1" applyAlignment="1">
      <alignment vertical="center"/>
    </xf>
    <xf numFmtId="0" fontId="42" fillId="0" borderId="0" xfId="0" applyFont="1" applyFill="1"/>
    <xf numFmtId="0" fontId="41" fillId="0" borderId="0" xfId="0" applyFont="1" applyFill="1"/>
    <xf numFmtId="0" fontId="42" fillId="0" borderId="0" xfId="0" applyFont="1" applyFill="1" applyAlignment="1">
      <alignment vertical="center"/>
    </xf>
    <xf numFmtId="0" fontId="41" fillId="0" borderId="0" xfId="0" applyFont="1" applyFill="1" applyAlignment="1">
      <alignment vertical="center"/>
    </xf>
    <xf numFmtId="0" fontId="42" fillId="0" borderId="0" xfId="0" applyFont="1" applyFill="1" applyAlignment="1">
      <alignment horizontal="left"/>
    </xf>
    <xf numFmtId="0" fontId="42" fillId="0" borderId="0" xfId="0" applyFont="1" applyFill="1" applyAlignment="1">
      <alignment horizontal="center" vertical="center"/>
    </xf>
    <xf numFmtId="0" fontId="42" fillId="0" borderId="0" xfId="0" applyFont="1" applyFill="1" applyAlignment="1">
      <alignment horizontal="left" vertical="center"/>
    </xf>
    <xf numFmtId="0" fontId="45" fillId="0" borderId="0" xfId="0" applyFont="1" applyFill="1" applyAlignment="1">
      <alignment horizontal="left" vertical="center"/>
    </xf>
    <xf numFmtId="0" fontId="41" fillId="0" borderId="0" xfId="0" applyFont="1" applyFill="1" applyAlignment="1">
      <alignment horizontal="left"/>
    </xf>
    <xf numFmtId="0" fontId="42" fillId="0" borderId="0" xfId="0" applyFont="1" applyFill="1" applyAlignment="1"/>
    <xf numFmtId="0" fontId="47" fillId="0" borderId="0" xfId="0" applyFont="1" applyFill="1" applyAlignment="1">
      <alignment vertical="center"/>
    </xf>
    <xf numFmtId="0" fontId="30" fillId="0" borderId="1" xfId="0" applyFont="1" applyFill="1" applyBorder="1" applyAlignment="1">
      <alignment horizontal="center" vertical="center"/>
    </xf>
    <xf numFmtId="1" fontId="30" fillId="0" borderId="1" xfId="0" applyNumberFormat="1" applyFont="1" applyFill="1" applyBorder="1" applyAlignment="1">
      <alignment horizontal="left" vertical="center" wrapText="1"/>
    </xf>
    <xf numFmtId="0" fontId="30" fillId="0" borderId="1" xfId="0" applyFont="1" applyFill="1" applyBorder="1" applyAlignment="1">
      <alignment horizontal="left" vertical="center" wrapText="1"/>
    </xf>
    <xf numFmtId="1" fontId="30" fillId="0" borderId="1" xfId="0" applyNumberFormat="1" applyFont="1" applyFill="1" applyBorder="1" applyAlignment="1">
      <alignment vertical="center" wrapText="1"/>
    </xf>
    <xf numFmtId="0" fontId="30" fillId="0" borderId="1" xfId="0" applyNumberFormat="1" applyFont="1" applyFill="1" applyBorder="1" applyAlignment="1">
      <alignment horizontal="left" vertical="center" wrapText="1"/>
    </xf>
    <xf numFmtId="0" fontId="30" fillId="0" borderId="1" xfId="0" quotePrefix="1" applyFont="1" applyFill="1" applyBorder="1" applyAlignment="1">
      <alignment horizontal="center" vertical="center" wrapText="1"/>
    </xf>
    <xf numFmtId="0" fontId="30" fillId="0" borderId="1" xfId="0" applyFont="1" applyFill="1" applyBorder="1" applyAlignment="1">
      <alignment vertical="center" wrapText="1"/>
    </xf>
    <xf numFmtId="0" fontId="30" fillId="0" borderId="19" xfId="0" applyNumberFormat="1" applyFont="1" applyFill="1" applyBorder="1" applyAlignment="1">
      <alignment horizontal="center" vertical="center" wrapText="1"/>
    </xf>
    <xf numFmtId="41" fontId="30" fillId="0" borderId="1" xfId="20" applyFont="1" applyFill="1" applyBorder="1" applyAlignment="1">
      <alignment horizontal="center" vertical="center" wrapText="1"/>
    </xf>
    <xf numFmtId="0" fontId="30" fillId="0" borderId="1" xfId="0" applyFont="1" applyFill="1" applyBorder="1" applyAlignment="1">
      <alignment vertical="center"/>
    </xf>
    <xf numFmtId="0" fontId="30" fillId="0" borderId="1" xfId="0" applyNumberFormat="1" applyFont="1" applyFill="1" applyBorder="1" applyAlignment="1">
      <alignment vertical="center"/>
    </xf>
    <xf numFmtId="0" fontId="30" fillId="0" borderId="1" xfId="0" applyNumberFormat="1" applyFont="1" applyFill="1" applyBorder="1" applyAlignment="1" applyProtection="1">
      <alignment horizontal="center" vertical="center" wrapText="1"/>
    </xf>
    <xf numFmtId="0" fontId="30" fillId="0" borderId="1" xfId="23" applyNumberFormat="1" applyFont="1" applyFill="1" applyBorder="1" applyAlignment="1" applyProtection="1">
      <alignment vertical="center" wrapText="1"/>
    </xf>
    <xf numFmtId="0" fontId="30" fillId="0" borderId="1" xfId="23" applyNumberFormat="1" applyFont="1" applyFill="1" applyBorder="1" applyAlignment="1" applyProtection="1">
      <alignment horizontal="center" vertical="center" wrapText="1"/>
    </xf>
    <xf numFmtId="0" fontId="30" fillId="0" borderId="1" xfId="24" applyFont="1" applyFill="1" applyBorder="1" applyAlignment="1">
      <alignment horizontal="left" vertical="center"/>
    </xf>
    <xf numFmtId="0" fontId="30" fillId="0" borderId="1" xfId="24" applyFont="1" applyFill="1" applyBorder="1" applyAlignment="1">
      <alignment horizontal="left" vertical="center" wrapText="1"/>
    </xf>
    <xf numFmtId="0" fontId="30" fillId="0" borderId="1" xfId="0" applyFont="1" applyFill="1" applyBorder="1" applyAlignment="1">
      <alignment horizontal="left"/>
    </xf>
    <xf numFmtId="0" fontId="30" fillId="0" borderId="1" xfId="0" applyFont="1" applyFill="1" applyBorder="1" applyAlignment="1">
      <alignment horizontal="justify" vertical="center" wrapText="1"/>
    </xf>
    <xf numFmtId="0" fontId="30" fillId="0" borderId="1" xfId="0" applyFont="1" applyFill="1" applyBorder="1" applyAlignment="1">
      <alignment horizontal="center"/>
    </xf>
    <xf numFmtId="0" fontId="30" fillId="0" borderId="1" xfId="0" applyFont="1" applyFill="1" applyBorder="1"/>
    <xf numFmtId="0" fontId="30" fillId="0" borderId="1" xfId="0" applyNumberFormat="1" applyFont="1" applyFill="1" applyBorder="1" applyAlignment="1">
      <alignment horizontal="left"/>
    </xf>
    <xf numFmtId="0" fontId="30" fillId="0" borderId="1" xfId="0" applyNumberFormat="1" applyFont="1" applyFill="1" applyBorder="1"/>
    <xf numFmtId="0" fontId="30" fillId="0" borderId="1" xfId="0" applyFont="1" applyFill="1" applyBorder="1" applyAlignment="1">
      <alignment wrapText="1"/>
    </xf>
    <xf numFmtId="0" fontId="30" fillId="0" borderId="1" xfId="0" applyFont="1" applyFill="1" applyBorder="1" applyAlignment="1"/>
    <xf numFmtId="0" fontId="30" fillId="0" borderId="1" xfId="25" applyNumberFormat="1" applyFont="1" applyFill="1" applyBorder="1" applyAlignment="1">
      <alignment horizontal="center" vertical="center"/>
    </xf>
    <xf numFmtId="1" fontId="30" fillId="0" borderId="1" xfId="26" applyNumberFormat="1" applyFont="1" applyFill="1" applyBorder="1" applyAlignment="1">
      <alignment horizontal="left" vertical="center" wrapText="1"/>
    </xf>
    <xf numFmtId="41" fontId="30" fillId="0" borderId="1" xfId="20" applyFont="1" applyFill="1" applyBorder="1" applyAlignment="1">
      <alignment horizontal="right" vertical="center"/>
    </xf>
    <xf numFmtId="41" fontId="30" fillId="0" borderId="1" xfId="20" applyFont="1" applyFill="1" applyBorder="1" applyAlignment="1">
      <alignment vertical="center"/>
    </xf>
    <xf numFmtId="41" fontId="30" fillId="0" borderId="1" xfId="20" applyFont="1" applyFill="1" applyBorder="1" applyAlignment="1">
      <alignment vertical="center" wrapText="1"/>
    </xf>
    <xf numFmtId="0" fontId="6" fillId="0" borderId="0" xfId="0" applyFont="1" applyAlignment="1">
      <alignment wrapText="1"/>
    </xf>
    <xf numFmtId="41" fontId="30" fillId="0" borderId="1" xfId="24" applyNumberFormat="1" applyFont="1" applyFill="1" applyBorder="1" applyAlignment="1">
      <alignment horizontal="left" vertical="center" wrapText="1"/>
    </xf>
    <xf numFmtId="0" fontId="6" fillId="2" borderId="0" xfId="0" applyFont="1" applyFill="1" applyBorder="1" applyAlignment="1">
      <alignment horizontal="center" vertical="center"/>
    </xf>
    <xf numFmtId="0" fontId="6" fillId="2" borderId="0" xfId="0" applyFont="1" applyFill="1" applyBorder="1" applyAlignment="1">
      <alignment horizontal="center" vertical="center" wrapText="1"/>
    </xf>
    <xf numFmtId="0" fontId="30" fillId="0" borderId="0" xfId="0" applyFont="1" applyBorder="1" applyAlignment="1">
      <alignment vertical="center"/>
    </xf>
    <xf numFmtId="0" fontId="30" fillId="2" borderId="1" xfId="0" applyFont="1" applyFill="1" applyBorder="1" applyAlignment="1">
      <alignment vertical="center" wrapText="1"/>
    </xf>
    <xf numFmtId="0" fontId="8" fillId="0" borderId="0" xfId="0" applyFont="1"/>
    <xf numFmtId="0" fontId="8" fillId="0" borderId="0" xfId="0" applyFont="1" applyAlignment="1">
      <alignment vertical="center"/>
    </xf>
    <xf numFmtId="0" fontId="8" fillId="0" borderId="0" xfId="0" applyFont="1" applyAlignment="1">
      <alignment horizontal="center" vertical="center"/>
    </xf>
    <xf numFmtId="0" fontId="49" fillId="0" borderId="0" xfId="0" applyFont="1" applyBorder="1" applyAlignment="1">
      <alignment vertical="center"/>
    </xf>
    <xf numFmtId="0" fontId="27" fillId="5" borderId="1" xfId="0" applyFont="1" applyFill="1" applyBorder="1" applyAlignment="1">
      <alignment horizontal="center" vertical="center"/>
    </xf>
    <xf numFmtId="0" fontId="27" fillId="5" borderId="1" xfId="0" applyFont="1" applyFill="1" applyBorder="1" applyAlignment="1">
      <alignment horizontal="center" vertical="center" wrapText="1"/>
    </xf>
    <xf numFmtId="0" fontId="27" fillId="4"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Fill="1" applyBorder="1" applyAlignment="1">
      <alignment horizontal="center" vertical="center"/>
    </xf>
    <xf numFmtId="0" fontId="8" fillId="0" borderId="1" xfId="0" applyFont="1" applyBorder="1" applyAlignment="1">
      <alignment horizontal="center" vertical="center"/>
    </xf>
    <xf numFmtId="0" fontId="8" fillId="2" borderId="1" xfId="0" applyFont="1" applyFill="1" applyBorder="1" applyAlignment="1">
      <alignment vertical="center" wrapText="1"/>
    </xf>
    <xf numFmtId="0" fontId="8" fillId="2" borderId="1" xfId="0" applyFont="1" applyFill="1" applyBorder="1" applyAlignment="1">
      <alignment vertical="center" wrapText="1" shrinkToFit="1"/>
    </xf>
    <xf numFmtId="0" fontId="8" fillId="2" borderId="1" xfId="0" applyFont="1" applyFill="1" applyBorder="1" applyAlignment="1">
      <alignment horizontal="center" vertical="center" wrapText="1" shrinkToFit="1"/>
    </xf>
    <xf numFmtId="41" fontId="30" fillId="0" borderId="1" xfId="20" applyFont="1" applyBorder="1" applyAlignment="1">
      <alignment horizontal="center" vertical="center" wrapText="1"/>
    </xf>
    <xf numFmtId="0" fontId="8" fillId="2" borderId="1" xfId="0" applyFont="1" applyFill="1" applyBorder="1" applyAlignment="1">
      <alignment horizontal="left" vertical="center" wrapText="1"/>
    </xf>
    <xf numFmtId="0" fontId="8" fillId="2" borderId="1" xfId="0" applyFont="1" applyFill="1" applyBorder="1" applyAlignment="1" applyProtection="1">
      <alignment horizontal="center" vertical="center" wrapText="1"/>
      <protection locked="0"/>
    </xf>
    <xf numFmtId="0" fontId="8" fillId="0" borderId="1" xfId="0" applyFont="1" applyFill="1" applyBorder="1" applyAlignment="1">
      <alignment horizontal="left" vertical="center" wrapText="1"/>
    </xf>
    <xf numFmtId="0" fontId="30" fillId="2" borderId="1" xfId="0" applyFont="1" applyFill="1" applyBorder="1" applyAlignment="1">
      <alignment horizontal="center" vertical="center"/>
    </xf>
    <xf numFmtId="0" fontId="8" fillId="0" borderId="1" xfId="0" applyFont="1" applyBorder="1" applyAlignment="1">
      <alignment vertical="center" wrapText="1"/>
    </xf>
    <xf numFmtId="0" fontId="8" fillId="0" borderId="0" xfId="0" applyFont="1" applyAlignment="1">
      <alignment horizontal="center" vertical="center" wrapText="1"/>
    </xf>
    <xf numFmtId="0" fontId="49" fillId="0" borderId="0" xfId="0" applyFont="1" applyBorder="1" applyAlignment="1">
      <alignment horizontal="center" vertical="center" wrapText="1"/>
    </xf>
    <xf numFmtId="177" fontId="8" fillId="2" borderId="1" xfId="0" applyNumberFormat="1" applyFont="1" applyFill="1" applyBorder="1" applyAlignment="1">
      <alignment vertical="center" wrapText="1"/>
    </xf>
    <xf numFmtId="177" fontId="8" fillId="2" borderId="1" xfId="0" applyNumberFormat="1" applyFont="1" applyFill="1" applyBorder="1" applyAlignment="1">
      <alignment horizontal="center" vertical="center" wrapText="1"/>
    </xf>
    <xf numFmtId="41" fontId="8" fillId="2" borderId="1" xfId="20" applyFont="1" applyFill="1" applyBorder="1" applyAlignment="1">
      <alignment horizontal="center" vertical="center"/>
    </xf>
    <xf numFmtId="177" fontId="8" fillId="2" borderId="1" xfId="0" applyNumberFormat="1" applyFont="1" applyFill="1" applyBorder="1" applyAlignment="1">
      <alignment horizontal="center" vertical="center"/>
    </xf>
    <xf numFmtId="0" fontId="54" fillId="0" borderId="1" xfId="0" applyFont="1" applyBorder="1" applyAlignment="1">
      <alignment horizontal="justify" vertical="center" wrapText="1"/>
    </xf>
    <xf numFmtId="178" fontId="8" fillId="2" borderId="1" xfId="0" applyNumberFormat="1" applyFont="1" applyFill="1" applyBorder="1" applyAlignment="1">
      <alignment horizontal="center" vertical="center" wrapText="1"/>
    </xf>
    <xf numFmtId="41" fontId="8" fillId="0" borderId="1" xfId="20" applyFont="1" applyBorder="1" applyAlignment="1">
      <alignment horizontal="center" vertical="center" wrapText="1"/>
    </xf>
    <xf numFmtId="177" fontId="8" fillId="0" borderId="1" xfId="0" applyNumberFormat="1" applyFont="1" applyFill="1" applyBorder="1" applyAlignment="1">
      <alignment horizontal="center" vertical="center" wrapText="1"/>
    </xf>
    <xf numFmtId="181" fontId="8" fillId="2" borderId="1" xfId="0" applyNumberFormat="1" applyFont="1" applyFill="1" applyBorder="1" applyAlignment="1">
      <alignment horizontal="right" vertical="center" wrapText="1"/>
    </xf>
    <xf numFmtId="41" fontId="8" fillId="0" borderId="1" xfId="20" applyFont="1" applyBorder="1" applyAlignment="1">
      <alignment horizontal="center"/>
    </xf>
    <xf numFmtId="0" fontId="8" fillId="0" borderId="1" xfId="0" applyFont="1" applyBorder="1" applyAlignment="1">
      <alignment horizontal="center" vertical="center" wrapText="1" shrinkToFit="1"/>
    </xf>
    <xf numFmtId="0" fontId="8" fillId="0" borderId="1" xfId="0" applyFont="1" applyBorder="1" applyAlignment="1">
      <alignment horizontal="left" vertical="center" wrapText="1"/>
    </xf>
    <xf numFmtId="41" fontId="8" fillId="2" borderId="1" xfId="20" applyFont="1" applyFill="1" applyBorder="1" applyAlignment="1">
      <alignment horizontal="center" vertical="center" wrapText="1"/>
    </xf>
    <xf numFmtId="0" fontId="8" fillId="2" borderId="1" xfId="0" applyFont="1" applyFill="1" applyBorder="1" applyAlignment="1">
      <alignment horizontal="center" vertical="center" wrapText="1"/>
    </xf>
    <xf numFmtId="41" fontId="8" fillId="2" borderId="1" xfId="20" applyFont="1" applyFill="1" applyBorder="1" applyAlignment="1">
      <alignment horizontal="right" vertical="center" wrapText="1"/>
    </xf>
    <xf numFmtId="41" fontId="30" fillId="2" borderId="1" xfId="20" applyFont="1" applyFill="1" applyBorder="1" applyAlignment="1">
      <alignment horizontal="center" vertical="center"/>
    </xf>
    <xf numFmtId="0" fontId="30" fillId="0" borderId="1" xfId="0" applyFont="1" applyBorder="1" applyAlignment="1">
      <alignment horizontal="center" vertical="center" wrapText="1"/>
    </xf>
    <xf numFmtId="0" fontId="8" fillId="0" borderId="0" xfId="0" applyFont="1" applyBorder="1" applyAlignment="1">
      <alignment vertical="center"/>
    </xf>
    <xf numFmtId="0" fontId="31" fillId="5" borderId="1" xfId="0" applyFont="1" applyFill="1" applyBorder="1" applyAlignment="1">
      <alignment horizontal="center" vertical="center"/>
    </xf>
    <xf numFmtId="0" fontId="31" fillId="5" borderId="1"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1" xfId="0" applyNumberFormat="1" applyFont="1" applyFill="1" applyBorder="1" applyAlignment="1">
      <alignment horizontal="center" vertical="center" wrapText="1"/>
    </xf>
    <xf numFmtId="0" fontId="19" fillId="0" borderId="0" xfId="0" applyFont="1" applyBorder="1" applyAlignment="1">
      <alignment horizontal="center" vertical="center" wrapText="1"/>
    </xf>
    <xf numFmtId="41" fontId="30" fillId="0" borderId="1" xfId="20" applyFont="1" applyFill="1" applyBorder="1" applyAlignment="1">
      <alignment horizontal="right" vertical="center" wrapText="1"/>
    </xf>
    <xf numFmtId="0" fontId="8" fillId="0" borderId="0" xfId="0" applyFont="1" applyAlignment="1">
      <alignment horizontal="left"/>
    </xf>
    <xf numFmtId="41" fontId="8" fillId="2" borderId="1" xfId="20" applyFont="1" applyFill="1" applyBorder="1" applyAlignment="1">
      <alignment horizontal="right" vertical="center"/>
    </xf>
    <xf numFmtId="0" fontId="8" fillId="2" borderId="1" xfId="0" quotePrefix="1" applyFont="1" applyFill="1" applyBorder="1" applyAlignment="1">
      <alignment horizontal="center" vertical="center" wrapText="1"/>
    </xf>
    <xf numFmtId="41" fontId="30" fillId="2" borderId="1" xfId="20" applyFont="1" applyFill="1" applyBorder="1" applyAlignment="1">
      <alignment horizontal="right" vertical="center" wrapText="1"/>
    </xf>
    <xf numFmtId="41" fontId="30" fillId="2" borderId="1" xfId="20" applyFont="1" applyFill="1" applyBorder="1" applyAlignment="1">
      <alignment horizontal="right" vertical="center"/>
    </xf>
    <xf numFmtId="49" fontId="8" fillId="2" borderId="1" xfId="0" applyNumberFormat="1" applyFont="1" applyFill="1" applyBorder="1" applyAlignment="1">
      <alignment vertical="center" wrapText="1"/>
    </xf>
    <xf numFmtId="0" fontId="8" fillId="0" borderId="1" xfId="0" applyFont="1" applyBorder="1" applyAlignment="1">
      <alignment vertical="center"/>
    </xf>
    <xf numFmtId="0" fontId="8" fillId="0" borderId="0" xfId="0" quotePrefix="1" applyFont="1"/>
    <xf numFmtId="0" fontId="8" fillId="8" borderId="1" xfId="0" applyFont="1" applyFill="1" applyBorder="1" applyAlignment="1">
      <alignment horizontal="center" vertical="center" wrapText="1"/>
    </xf>
    <xf numFmtId="41" fontId="8" fillId="0" borderId="1" xfId="20" applyFont="1" applyBorder="1" applyAlignment="1">
      <alignment horizontal="right" vertical="center"/>
    </xf>
    <xf numFmtId="0" fontId="27" fillId="0" borderId="1" xfId="0" applyFont="1" applyFill="1" applyBorder="1" applyAlignment="1">
      <alignment vertical="center" wrapText="1"/>
    </xf>
    <xf numFmtId="0" fontId="8" fillId="8" borderId="1" xfId="0" applyFont="1" applyFill="1" applyBorder="1" applyAlignment="1">
      <alignment vertical="center" wrapText="1"/>
    </xf>
    <xf numFmtId="41" fontId="8" fillId="8" borderId="1" xfId="20" applyFont="1" applyFill="1" applyBorder="1" applyAlignment="1">
      <alignment horizontal="right" vertical="center" wrapText="1"/>
    </xf>
    <xf numFmtId="0" fontId="8" fillId="2" borderId="1" xfId="0" applyFont="1" applyFill="1" applyBorder="1" applyAlignment="1">
      <alignment horizontal="center" vertical="center" shrinkToFit="1"/>
    </xf>
    <xf numFmtId="41" fontId="8" fillId="0" borderId="1" xfId="20" applyFont="1" applyBorder="1" applyAlignment="1">
      <alignment horizontal="center" vertical="center"/>
    </xf>
    <xf numFmtId="49" fontId="8" fillId="0" borderId="1" xfId="0" applyNumberFormat="1" applyFont="1" applyFill="1" applyBorder="1" applyAlignment="1">
      <alignment vertical="center" wrapText="1"/>
    </xf>
    <xf numFmtId="0" fontId="8" fillId="2" borderId="1" xfId="0" applyFont="1" applyFill="1" applyBorder="1" applyAlignment="1">
      <alignment vertical="center"/>
    </xf>
    <xf numFmtId="179" fontId="8" fillId="0" borderId="1" xfId="20" applyNumberFormat="1" applyFont="1" applyFill="1" applyBorder="1" applyAlignment="1">
      <alignment horizontal="center" vertical="center" wrapText="1"/>
    </xf>
    <xf numFmtId="180" fontId="8" fillId="0" borderId="1" xfId="20" applyNumberFormat="1" applyFont="1" applyFill="1" applyBorder="1" applyAlignment="1">
      <alignment horizontal="center" vertical="center" wrapText="1"/>
    </xf>
    <xf numFmtId="0" fontId="30" fillId="0" borderId="1" xfId="16" applyFont="1" applyFill="1" applyBorder="1" applyAlignment="1">
      <alignment vertical="center" wrapText="1"/>
    </xf>
    <xf numFmtId="41" fontId="8" fillId="2" borderId="1" xfId="20" applyFont="1" applyFill="1" applyBorder="1" applyAlignment="1">
      <alignment horizontal="center" vertical="center" shrinkToFit="1"/>
    </xf>
    <xf numFmtId="179" fontId="8" fillId="0" borderId="1" xfId="20" applyNumberFormat="1" applyFont="1" applyFill="1" applyBorder="1" applyAlignment="1">
      <alignment vertical="center" wrapText="1"/>
    </xf>
    <xf numFmtId="0" fontId="8" fillId="0" borderId="1" xfId="0" applyFont="1" applyFill="1" applyBorder="1" applyAlignment="1">
      <alignment horizontal="center" vertical="center" wrapText="1" shrinkToFit="1"/>
    </xf>
    <xf numFmtId="0" fontId="54" fillId="0" borderId="1" xfId="0" applyFont="1" applyBorder="1" applyAlignment="1">
      <alignment horizontal="center" vertical="center" wrapText="1"/>
    </xf>
    <xf numFmtId="0" fontId="30" fillId="0" borderId="1" xfId="0" applyFont="1" applyBorder="1" applyAlignment="1">
      <alignment horizontal="left" vertical="center" wrapText="1"/>
    </xf>
    <xf numFmtId="0" fontId="8" fillId="0" borderId="0" xfId="0" applyFont="1" applyAlignment="1">
      <alignment horizontal="center"/>
    </xf>
    <xf numFmtId="0" fontId="8" fillId="0" borderId="0" xfId="0" applyFont="1" applyFill="1" applyBorder="1" applyAlignment="1">
      <alignment vertical="center"/>
    </xf>
    <xf numFmtId="0" fontId="8" fillId="0" borderId="0" xfId="0" applyFont="1" applyFill="1" applyBorder="1" applyAlignment="1">
      <alignment horizontal="left" vertical="center"/>
    </xf>
    <xf numFmtId="0" fontId="49" fillId="0" borderId="0" xfId="0" applyFont="1" applyFill="1" applyBorder="1" applyAlignment="1">
      <alignment vertical="center"/>
    </xf>
    <xf numFmtId="0" fontId="49" fillId="0" borderId="0" xfId="0" applyFont="1" applyFill="1" applyBorder="1" applyAlignment="1">
      <alignment horizontal="center" vertical="center"/>
    </xf>
    <xf numFmtId="41" fontId="8" fillId="0" borderId="1" xfId="20" applyFont="1" applyFill="1" applyBorder="1" applyAlignment="1">
      <alignment horizontal="right" vertical="center" wrapText="1"/>
    </xf>
    <xf numFmtId="0" fontId="8" fillId="0" borderId="1" xfId="0" applyFont="1" applyFill="1" applyBorder="1"/>
    <xf numFmtId="0" fontId="8" fillId="0" borderId="1" xfId="0" applyFont="1" applyFill="1" applyBorder="1" applyAlignment="1">
      <alignment horizontal="left"/>
    </xf>
    <xf numFmtId="176" fontId="8" fillId="0" borderId="1" xfId="0" applyNumberFormat="1" applyFont="1" applyFill="1" applyBorder="1" applyAlignment="1">
      <alignment horizontal="center" vertical="center" wrapText="1"/>
    </xf>
    <xf numFmtId="0" fontId="8" fillId="0" borderId="18" xfId="0" applyFont="1" applyFill="1" applyBorder="1" applyAlignment="1">
      <alignment horizontal="center" vertical="center" wrapText="1"/>
    </xf>
    <xf numFmtId="41" fontId="8" fillId="0" borderId="1" xfId="20" applyFont="1" applyFill="1" applyBorder="1" applyAlignment="1">
      <alignment horizontal="right" vertical="center"/>
    </xf>
    <xf numFmtId="3" fontId="8" fillId="0" borderId="1" xfId="0" applyNumberFormat="1"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vertical="center" wrapText="1"/>
    </xf>
    <xf numFmtId="41" fontId="8" fillId="7" borderId="1" xfId="20" applyFont="1" applyFill="1" applyBorder="1" applyAlignment="1">
      <alignment horizontal="center" vertical="center" wrapText="1"/>
    </xf>
    <xf numFmtId="0" fontId="8" fillId="0" borderId="1" xfId="0" quotePrefix="1" applyFont="1" applyBorder="1" applyAlignment="1">
      <alignment horizontal="center" vertical="center" wrapText="1"/>
    </xf>
    <xf numFmtId="0" fontId="30" fillId="0" borderId="0" xfId="0" applyFont="1" applyAlignment="1">
      <alignment vertical="center"/>
    </xf>
    <xf numFmtId="0" fontId="31" fillId="0" borderId="0" xfId="0" applyFont="1" applyBorder="1" applyAlignment="1">
      <alignment vertical="center"/>
    </xf>
    <xf numFmtId="0" fontId="27" fillId="5" borderId="1" xfId="0" applyFont="1" applyFill="1" applyBorder="1" applyAlignment="1">
      <alignment horizontal="center" vertical="center" shrinkToFit="1"/>
    </xf>
    <xf numFmtId="0" fontId="8" fillId="0" borderId="1" xfId="0" applyFont="1" applyFill="1" applyBorder="1" applyAlignment="1">
      <alignment horizontal="center" vertical="center" shrinkToFit="1"/>
    </xf>
    <xf numFmtId="0" fontId="8" fillId="2" borderId="1" xfId="0" quotePrefix="1" applyFont="1" applyFill="1" applyBorder="1" applyAlignment="1">
      <alignment vertical="center" wrapText="1"/>
    </xf>
    <xf numFmtId="0" fontId="8" fillId="0" borderId="1" xfId="21" applyFont="1" applyFill="1" applyBorder="1" applyAlignment="1">
      <alignment horizontal="center" vertical="center"/>
    </xf>
    <xf numFmtId="0" fontId="8" fillId="0" borderId="1" xfId="21" applyFont="1" applyFill="1" applyBorder="1" applyAlignment="1">
      <alignment horizontal="center" vertical="center" shrinkToFit="1"/>
    </xf>
    <xf numFmtId="0" fontId="8" fillId="0" borderId="1" xfId="21" applyFont="1" applyFill="1" applyBorder="1" applyAlignment="1">
      <alignment horizontal="center" vertical="center" wrapText="1"/>
    </xf>
    <xf numFmtId="0" fontId="8" fillId="0" borderId="1" xfId="21" applyFont="1" applyFill="1" applyBorder="1" applyAlignment="1">
      <alignment vertical="center" wrapText="1"/>
    </xf>
    <xf numFmtId="0" fontId="8" fillId="0" borderId="0" xfId="0" applyFont="1" applyAlignment="1">
      <alignment horizontal="center" wrapText="1"/>
    </xf>
    <xf numFmtId="0" fontId="30" fillId="0" borderId="1" xfId="0" applyFont="1" applyBorder="1" applyAlignment="1">
      <alignment horizontal="center" vertical="center"/>
    </xf>
    <xf numFmtId="0" fontId="30" fillId="0" borderId="1" xfId="0" applyFont="1" applyBorder="1" applyAlignment="1">
      <alignment horizontal="left" vertical="center"/>
    </xf>
    <xf numFmtId="0" fontId="8" fillId="0" borderId="0" xfId="0" applyFont="1" applyAlignment="1">
      <alignment vertical="center" wrapText="1"/>
    </xf>
    <xf numFmtId="0" fontId="49" fillId="0" borderId="0" xfId="0" applyFont="1" applyBorder="1" applyAlignment="1">
      <alignment horizontal="center" vertical="center"/>
    </xf>
    <xf numFmtId="0" fontId="27" fillId="5" borderId="1" xfId="0" applyNumberFormat="1" applyFont="1" applyFill="1" applyBorder="1" applyAlignment="1">
      <alignment horizontal="center" vertical="center" wrapText="1"/>
    </xf>
    <xf numFmtId="0" fontId="9" fillId="0" borderId="0" xfId="0" applyFont="1" applyAlignment="1">
      <alignment vertical="top" wrapText="1"/>
    </xf>
    <xf numFmtId="0" fontId="30" fillId="2" borderId="1" xfId="0" applyFont="1" applyFill="1" applyBorder="1" applyAlignment="1">
      <alignment horizontal="center" vertical="center" shrinkToFit="1"/>
    </xf>
    <xf numFmtId="0" fontId="30" fillId="0" borderId="1" xfId="19" applyFont="1" applyBorder="1" applyAlignment="1">
      <alignment horizontal="center" vertical="center" wrapText="1"/>
    </xf>
    <xf numFmtId="0" fontId="30" fillId="0" borderId="1" xfId="19" applyFont="1" applyBorder="1" applyAlignment="1">
      <alignment horizontal="left" vertical="center" wrapText="1"/>
    </xf>
    <xf numFmtId="0" fontId="30" fillId="2" borderId="1" xfId="22" applyNumberFormat="1" applyFont="1" applyFill="1" applyBorder="1" applyAlignment="1">
      <alignment horizontal="center" vertical="center" wrapText="1"/>
    </xf>
    <xf numFmtId="0" fontId="30" fillId="2" borderId="1" xfId="22" applyFont="1" applyFill="1" applyBorder="1" applyAlignment="1">
      <alignment horizontal="left" vertical="center" wrapText="1"/>
    </xf>
    <xf numFmtId="0" fontId="30" fillId="0" borderId="1" xfId="0" applyFont="1" applyBorder="1" applyAlignment="1">
      <alignment horizontal="center" vertical="center" wrapText="1" shrinkToFit="1"/>
    </xf>
    <xf numFmtId="0" fontId="30" fillId="2" borderId="1" xfId="19" applyFont="1" applyFill="1" applyBorder="1" applyAlignment="1">
      <alignment horizontal="center" vertical="center"/>
    </xf>
    <xf numFmtId="0" fontId="30" fillId="2" borderId="1" xfId="0" applyFont="1" applyFill="1" applyBorder="1" applyAlignment="1">
      <alignment horizontal="center" vertical="center" wrapText="1" shrinkToFit="1"/>
    </xf>
    <xf numFmtId="0" fontId="30" fillId="0" borderId="1" xfId="0" applyFont="1" applyBorder="1" applyAlignment="1">
      <alignment horizontal="center" vertical="center" shrinkToFit="1"/>
    </xf>
    <xf numFmtId="0" fontId="19" fillId="2" borderId="1" xfId="0" applyFont="1" applyFill="1" applyBorder="1" applyAlignment="1">
      <alignment horizontal="center" vertical="center" wrapText="1"/>
    </xf>
    <xf numFmtId="41" fontId="30" fillId="2" borderId="1" xfId="28" applyFont="1" applyFill="1" applyBorder="1" applyAlignment="1">
      <alignment horizontal="center" vertical="center" wrapText="1"/>
    </xf>
    <xf numFmtId="0" fontId="30" fillId="2" borderId="1" xfId="8" applyFont="1" applyFill="1" applyBorder="1" applyAlignment="1">
      <alignment horizontal="center" vertical="center" wrapText="1"/>
    </xf>
    <xf numFmtId="0" fontId="30" fillId="8" borderId="1" xfId="0" applyFont="1" applyFill="1" applyBorder="1" applyAlignment="1">
      <alignment horizontal="left" vertical="center" wrapText="1"/>
    </xf>
    <xf numFmtId="49" fontId="30" fillId="2" borderId="1" xfId="0" applyNumberFormat="1" applyFont="1" applyFill="1" applyBorder="1" applyAlignment="1">
      <alignment horizontal="center" vertical="center" wrapText="1"/>
    </xf>
    <xf numFmtId="0" fontId="30" fillId="2" borderId="1" xfId="0" applyNumberFormat="1" applyFont="1" applyFill="1" applyBorder="1" applyAlignment="1" applyProtection="1">
      <alignment vertical="center" wrapText="1"/>
      <protection locked="0"/>
    </xf>
    <xf numFmtId="0" fontId="29" fillId="0" borderId="1" xfId="0" applyFont="1" applyBorder="1" applyAlignment="1">
      <alignment horizontal="center" vertical="center"/>
    </xf>
    <xf numFmtId="0" fontId="29" fillId="0" borderId="1" xfId="0" applyFont="1" applyBorder="1" applyAlignment="1">
      <alignment vertical="center"/>
    </xf>
    <xf numFmtId="41" fontId="19" fillId="0" borderId="1" xfId="20" applyFont="1" applyFill="1" applyBorder="1" applyAlignment="1">
      <alignment horizontal="center" vertical="center" wrapText="1"/>
    </xf>
    <xf numFmtId="180" fontId="8" fillId="2" borderId="1" xfId="20" applyNumberFormat="1" applyFont="1" applyFill="1" applyBorder="1" applyAlignment="1">
      <alignment horizontal="center" vertical="center" wrapText="1"/>
    </xf>
    <xf numFmtId="0" fontId="62" fillId="0" borderId="0" xfId="0" applyFont="1" applyAlignment="1">
      <alignment horizontal="center" vertical="center"/>
    </xf>
    <xf numFmtId="0" fontId="62" fillId="0" borderId="0" xfId="0" applyFont="1"/>
    <xf numFmtId="0" fontId="63" fillId="0" borderId="0" xfId="0" applyFont="1" applyAlignment="1">
      <alignment horizontal="center" vertical="center"/>
    </xf>
    <xf numFmtId="0" fontId="62" fillId="0" borderId="0" xfId="0" applyFont="1" applyAlignment="1">
      <alignment horizontal="center" vertical="center" wrapText="1"/>
    </xf>
    <xf numFmtId="0" fontId="62" fillId="0" borderId="0" xfId="0" applyFont="1" applyBorder="1" applyAlignment="1">
      <alignment horizontal="center" vertical="center" wrapText="1"/>
    </xf>
    <xf numFmtId="0" fontId="8" fillId="2" borderId="1" xfId="34" applyNumberFormat="1" applyFont="1" applyFill="1" applyBorder="1" applyAlignment="1">
      <alignment horizontal="center" vertical="center" wrapText="1"/>
    </xf>
    <xf numFmtId="0" fontId="62" fillId="0" borderId="0" xfId="34" applyFont="1" applyAlignment="1">
      <alignment vertical="center"/>
    </xf>
    <xf numFmtId="0" fontId="64" fillId="0" borderId="0" xfId="34" applyFont="1"/>
    <xf numFmtId="0" fontId="8" fillId="2" borderId="1" xfId="34" applyNumberFormat="1" applyFont="1" applyFill="1" applyBorder="1" applyAlignment="1">
      <alignment horizontal="center" vertical="center"/>
    </xf>
    <xf numFmtId="17" fontId="8" fillId="2" borderId="1" xfId="0" applyNumberFormat="1" applyFont="1" applyFill="1" applyBorder="1" applyAlignment="1">
      <alignment horizontal="center" vertical="center" wrapText="1"/>
    </xf>
    <xf numFmtId="0" fontId="8" fillId="2" borderId="1" xfId="18" applyFont="1" applyFill="1" applyBorder="1" applyAlignment="1">
      <alignment horizontal="center" vertical="center" wrapText="1"/>
    </xf>
    <xf numFmtId="0" fontId="8" fillId="2" borderId="1" xfId="27" applyFont="1" applyFill="1" applyBorder="1" applyAlignment="1">
      <alignment horizontal="center" vertical="center"/>
    </xf>
    <xf numFmtId="0" fontId="8" fillId="2" borderId="1" xfId="34" applyFont="1" applyFill="1" applyBorder="1" applyAlignment="1">
      <alignment horizontal="center" vertical="center"/>
    </xf>
    <xf numFmtId="0" fontId="8" fillId="2" borderId="1" xfId="34" applyNumberFormat="1" applyFont="1" applyFill="1" applyBorder="1" applyAlignment="1">
      <alignment vertical="center" wrapText="1"/>
    </xf>
    <xf numFmtId="49" fontId="8" fillId="2" borderId="1" xfId="34" applyNumberFormat="1" applyFont="1" applyFill="1" applyBorder="1" applyAlignment="1">
      <alignment horizontal="center" vertical="center" wrapText="1"/>
    </xf>
    <xf numFmtId="0" fontId="8" fillId="2" borderId="1" xfId="34" applyFont="1" applyFill="1" applyBorder="1" applyAlignment="1">
      <alignment horizontal="center" vertical="center" wrapText="1"/>
    </xf>
    <xf numFmtId="0" fontId="8" fillId="2" borderId="1" xfId="34" applyNumberFormat="1" applyFont="1" applyFill="1" applyBorder="1" applyAlignment="1">
      <alignment vertical="center"/>
    </xf>
    <xf numFmtId="0" fontId="8" fillId="2" borderId="1" xfId="34" applyNumberFormat="1" applyFont="1" applyFill="1" applyBorder="1" applyAlignment="1">
      <alignment horizontal="left" vertical="center"/>
    </xf>
    <xf numFmtId="41" fontId="30" fillId="2" borderId="1" xfId="20" applyFont="1" applyFill="1" applyBorder="1" applyAlignment="1">
      <alignment horizontal="center"/>
    </xf>
    <xf numFmtId="0" fontId="29" fillId="0" borderId="0" xfId="0" applyFont="1" applyAlignment="1">
      <alignment vertical="center"/>
    </xf>
    <xf numFmtId="0" fontId="29" fillId="0" borderId="0" xfId="0" applyNumberFormat="1" applyFont="1" applyAlignment="1">
      <alignment vertical="center"/>
    </xf>
    <xf numFmtId="0" fontId="29" fillId="0" borderId="0" xfId="0" applyNumberFormat="1" applyFont="1"/>
    <xf numFmtId="41" fontId="19" fillId="4" borderId="1" xfId="20" applyFont="1" applyFill="1" applyBorder="1" applyAlignment="1">
      <alignment horizontal="center" vertical="center" wrapText="1"/>
    </xf>
    <xf numFmtId="41" fontId="19" fillId="4" borderId="1" xfId="20" applyFont="1" applyFill="1" applyBorder="1" applyAlignment="1">
      <alignment horizontal="center" vertical="center"/>
    </xf>
    <xf numFmtId="0" fontId="30" fillId="2" borderId="1" xfId="0" applyFont="1" applyFill="1" applyBorder="1" applyAlignment="1">
      <alignment horizontal="center" vertical="center" wrapText="1"/>
    </xf>
    <xf numFmtId="0" fontId="10" fillId="3" borderId="11" xfId="0" applyFont="1" applyFill="1" applyBorder="1" applyAlignment="1">
      <alignment horizontal="left" vertical="center" wrapText="1"/>
    </xf>
    <xf numFmtId="0" fontId="10" fillId="3" borderId="12" xfId="0" applyFont="1" applyFill="1" applyBorder="1" applyAlignment="1">
      <alignment horizontal="left" vertical="center" wrapText="1"/>
    </xf>
    <xf numFmtId="0" fontId="10" fillId="3" borderId="13" xfId="0" applyFont="1" applyFill="1" applyBorder="1" applyAlignment="1">
      <alignment horizontal="left" vertical="center" wrapText="1"/>
    </xf>
    <xf numFmtId="0" fontId="10" fillId="3" borderId="14" xfId="0" applyFont="1" applyFill="1" applyBorder="1" applyAlignment="1">
      <alignment horizontal="left" vertical="center" wrapText="1"/>
    </xf>
    <xf numFmtId="0" fontId="10" fillId="3" borderId="0" xfId="0" applyFont="1" applyFill="1" applyBorder="1" applyAlignment="1">
      <alignment horizontal="left" vertical="center" wrapText="1"/>
    </xf>
    <xf numFmtId="0" fontId="10" fillId="3" borderId="15" xfId="0" applyFont="1" applyFill="1" applyBorder="1" applyAlignment="1">
      <alignment horizontal="left" vertical="center" wrapText="1"/>
    </xf>
    <xf numFmtId="0" fontId="10" fillId="3" borderId="16"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17"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6" fillId="3" borderId="12" xfId="0" applyFont="1" applyFill="1" applyBorder="1" applyAlignment="1">
      <alignment horizontal="left" vertical="center" wrapText="1"/>
    </xf>
    <xf numFmtId="0" fontId="6" fillId="3" borderId="13" xfId="0" applyFont="1" applyFill="1" applyBorder="1" applyAlignment="1">
      <alignment horizontal="left" vertical="center" wrapText="1"/>
    </xf>
    <xf numFmtId="0" fontId="6" fillId="3" borderId="16"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17" xfId="0" applyFont="1" applyFill="1" applyBorder="1" applyAlignment="1">
      <alignment horizontal="left" vertical="center" wrapText="1"/>
    </xf>
    <xf numFmtId="0" fontId="12" fillId="6" borderId="0" xfId="0" applyFont="1" applyFill="1" applyAlignment="1">
      <alignment horizontal="center"/>
    </xf>
    <xf numFmtId="0" fontId="17" fillId="6" borderId="0" xfId="0" applyFont="1" applyFill="1" applyAlignment="1">
      <alignment horizontal="center"/>
    </xf>
    <xf numFmtId="0" fontId="8" fillId="6" borderId="0" xfId="0" applyFont="1" applyFill="1" applyAlignment="1">
      <alignment horizontal="right" vertical="center"/>
    </xf>
    <xf numFmtId="0" fontId="9" fillId="4" borderId="0" xfId="0" applyFont="1" applyFill="1" applyAlignment="1">
      <alignment horizontal="center" vertical="center" wrapText="1"/>
    </xf>
    <xf numFmtId="0" fontId="60" fillId="0" borderId="0" xfId="0" applyFont="1" applyAlignment="1">
      <alignment horizontal="center"/>
    </xf>
    <xf numFmtId="0" fontId="40" fillId="0" borderId="0" xfId="0" applyFont="1" applyBorder="1" applyAlignment="1">
      <alignment horizontal="left"/>
    </xf>
    <xf numFmtId="0" fontId="31" fillId="3" borderId="1" xfId="0" applyFont="1" applyFill="1" applyBorder="1" applyAlignment="1">
      <alignment horizontal="center" vertical="center"/>
    </xf>
    <xf numFmtId="0" fontId="27" fillId="3" borderId="1" xfId="0" applyFont="1" applyFill="1" applyBorder="1" applyAlignment="1">
      <alignment horizontal="center" vertical="center" wrapText="1"/>
    </xf>
    <xf numFmtId="0" fontId="27" fillId="3" borderId="1" xfId="0" applyFont="1" applyFill="1" applyBorder="1" applyAlignment="1">
      <alignment horizontal="center" vertical="center"/>
    </xf>
    <xf numFmtId="0" fontId="49" fillId="3" borderId="11" xfId="0" applyFont="1" applyFill="1" applyBorder="1" applyAlignment="1">
      <alignment horizontal="center" vertical="center"/>
    </xf>
    <xf numFmtId="0" fontId="49" fillId="3" borderId="12" xfId="0" applyFont="1" applyFill="1" applyBorder="1" applyAlignment="1">
      <alignment horizontal="center" vertical="center"/>
    </xf>
    <xf numFmtId="0" fontId="49" fillId="3" borderId="13" xfId="0" applyFont="1" applyFill="1" applyBorder="1" applyAlignment="1">
      <alignment horizontal="center" vertical="center"/>
    </xf>
    <xf numFmtId="0" fontId="59" fillId="0" borderId="9" xfId="0" applyFont="1" applyBorder="1" applyAlignment="1">
      <alignment horizontal="center" vertical="center"/>
    </xf>
    <xf numFmtId="0" fontId="49" fillId="3" borderId="1" xfId="0" applyFont="1" applyFill="1" applyBorder="1" applyAlignment="1">
      <alignment horizontal="center" vertical="center"/>
    </xf>
    <xf numFmtId="0" fontId="48" fillId="0" borderId="0" xfId="0" applyFont="1" applyBorder="1" applyAlignment="1">
      <alignment horizontal="left" vertical="center"/>
    </xf>
    <xf numFmtId="0" fontId="31" fillId="3" borderId="11" xfId="0" applyFont="1" applyFill="1" applyBorder="1" applyAlignment="1">
      <alignment horizontal="center" vertical="center"/>
    </xf>
    <xf numFmtId="0" fontId="31" fillId="3" borderId="12" xfId="0" applyFont="1" applyFill="1" applyBorder="1" applyAlignment="1">
      <alignment horizontal="center" vertical="center"/>
    </xf>
    <xf numFmtId="0" fontId="31" fillId="3" borderId="13" xfId="0" applyFont="1" applyFill="1" applyBorder="1" applyAlignment="1">
      <alignment horizontal="center" vertical="center"/>
    </xf>
    <xf numFmtId="0" fontId="49" fillId="0" borderId="1" xfId="0" applyFont="1" applyFill="1" applyBorder="1" applyAlignment="1">
      <alignment horizontal="center" vertical="center"/>
    </xf>
    <xf numFmtId="0" fontId="14" fillId="0" borderId="0" xfId="0" applyFont="1" applyAlignment="1">
      <alignment horizontal="left" vertical="center" wrapText="1"/>
    </xf>
    <xf numFmtId="0" fontId="14" fillId="0" borderId="0" xfId="0" applyFont="1" applyAlignment="1">
      <alignment horizontal="left" vertical="center"/>
    </xf>
    <xf numFmtId="41" fontId="29" fillId="0" borderId="18" xfId="20" applyFont="1" applyBorder="1" applyAlignment="1">
      <alignment horizontal="center" vertical="center" wrapText="1"/>
    </xf>
    <xf numFmtId="41" fontId="29" fillId="0" borderId="19" xfId="20" applyFont="1" applyBorder="1" applyAlignment="1">
      <alignment horizontal="center" vertical="center" wrapText="1"/>
    </xf>
    <xf numFmtId="41" fontId="29" fillId="0" borderId="21" xfId="20" applyFont="1" applyBorder="1" applyAlignment="1">
      <alignment horizontal="center" vertical="center" wrapText="1"/>
    </xf>
    <xf numFmtId="0" fontId="59" fillId="0" borderId="0" xfId="0" applyFont="1" applyBorder="1" applyAlignment="1">
      <alignment horizontal="center" vertical="center"/>
    </xf>
    <xf numFmtId="0" fontId="31" fillId="3" borderId="20" xfId="0" applyFont="1" applyFill="1" applyBorder="1" applyAlignment="1">
      <alignment horizontal="center" vertical="center"/>
    </xf>
    <xf numFmtId="0" fontId="27" fillId="3" borderId="20" xfId="0" applyFont="1" applyFill="1" applyBorder="1" applyAlignment="1">
      <alignment horizontal="center" vertical="center" wrapText="1"/>
    </xf>
    <xf numFmtId="0" fontId="27" fillId="3" borderId="20" xfId="0" applyFont="1" applyFill="1" applyBorder="1" applyAlignment="1">
      <alignment horizontal="center" vertical="center"/>
    </xf>
    <xf numFmtId="41" fontId="30" fillId="2" borderId="18" xfId="20" quotePrefix="1" applyFont="1" applyFill="1" applyBorder="1" applyAlignment="1">
      <alignment horizontal="center" vertical="center" wrapText="1"/>
    </xf>
    <xf numFmtId="41" fontId="30" fillId="2" borderId="19" xfId="20" quotePrefix="1" applyFont="1" applyFill="1" applyBorder="1" applyAlignment="1">
      <alignment horizontal="center" vertical="center" wrapText="1"/>
    </xf>
    <xf numFmtId="41" fontId="30" fillId="2" borderId="21" xfId="20" quotePrefix="1" applyFont="1" applyFill="1" applyBorder="1" applyAlignment="1">
      <alignment horizontal="center" vertical="center" wrapText="1"/>
    </xf>
    <xf numFmtId="41" fontId="29" fillId="0" borderId="18" xfId="20" applyFont="1" applyBorder="1" applyAlignment="1">
      <alignment horizontal="center" vertical="center"/>
    </xf>
    <xf numFmtId="41" fontId="29" fillId="0" borderId="19" xfId="20" applyFont="1" applyBorder="1" applyAlignment="1">
      <alignment horizontal="center" vertical="center"/>
    </xf>
    <xf numFmtId="41" fontId="29" fillId="0" borderId="21" xfId="20" applyFont="1" applyBorder="1" applyAlignment="1">
      <alignment horizontal="center" vertical="center"/>
    </xf>
    <xf numFmtId="0" fontId="29" fillId="0" borderId="18" xfId="34" applyFont="1" applyBorder="1" applyAlignment="1">
      <alignment horizontal="center" vertical="center"/>
    </xf>
    <xf numFmtId="0" fontId="29" fillId="0" borderId="19" xfId="34" applyFont="1" applyBorder="1" applyAlignment="1">
      <alignment horizontal="center" vertical="center"/>
    </xf>
    <xf numFmtId="0" fontId="29" fillId="0" borderId="21" xfId="34" applyFont="1" applyBorder="1" applyAlignment="1">
      <alignment horizontal="center" vertical="center"/>
    </xf>
    <xf numFmtId="0" fontId="29" fillId="0" borderId="18" xfId="0" applyFont="1" applyBorder="1" applyAlignment="1">
      <alignment horizontal="center" vertical="center"/>
    </xf>
    <xf numFmtId="0" fontId="29" fillId="0" borderId="19" xfId="0" applyFont="1" applyBorder="1" applyAlignment="1">
      <alignment horizontal="center" vertical="center"/>
    </xf>
    <xf numFmtId="0" fontId="29" fillId="0" borderId="21" xfId="0" applyFont="1" applyBorder="1" applyAlignment="1">
      <alignment horizontal="center" vertical="center"/>
    </xf>
    <xf numFmtId="0" fontId="29" fillId="0" borderId="22" xfId="0" applyFont="1" applyBorder="1" applyAlignment="1">
      <alignment horizontal="center" vertical="center" wrapText="1"/>
    </xf>
    <xf numFmtId="0" fontId="29" fillId="0" borderId="8" xfId="0" applyFont="1" applyBorder="1" applyAlignment="1">
      <alignment horizontal="center" vertical="center" wrapText="1"/>
    </xf>
    <xf numFmtId="0" fontId="29" fillId="0" borderId="23" xfId="0" applyFont="1" applyBorder="1" applyAlignment="1">
      <alignment horizontal="center" vertical="center" wrapText="1"/>
    </xf>
    <xf numFmtId="0" fontId="29" fillId="0" borderId="24" xfId="0" applyFont="1" applyBorder="1" applyAlignment="1">
      <alignment horizontal="center" vertical="center" wrapText="1"/>
    </xf>
    <xf numFmtId="0" fontId="29" fillId="0" borderId="0" xfId="0" applyFont="1" applyAlignment="1">
      <alignment horizontal="center" vertical="center" wrapText="1"/>
    </xf>
    <xf numFmtId="0" fontId="29" fillId="0" borderId="25" xfId="0" applyFont="1" applyBorder="1" applyAlignment="1">
      <alignment horizontal="center" vertical="center" wrapText="1"/>
    </xf>
    <xf numFmtId="0" fontId="29" fillId="0" borderId="26" xfId="0" applyFont="1" applyBorder="1" applyAlignment="1">
      <alignment horizontal="center" vertical="center" wrapText="1"/>
    </xf>
    <xf numFmtId="0" fontId="29" fillId="0" borderId="9" xfId="0" applyFont="1" applyBorder="1" applyAlignment="1">
      <alignment horizontal="center" vertical="center" wrapText="1"/>
    </xf>
    <xf numFmtId="0" fontId="29" fillId="0" borderId="27" xfId="0" applyFont="1" applyBorder="1" applyAlignment="1">
      <alignment horizontal="center" vertical="center" wrapText="1"/>
    </xf>
    <xf numFmtId="0" fontId="30" fillId="2" borderId="1" xfId="0" applyFont="1" applyFill="1" applyBorder="1" applyAlignment="1">
      <alignment horizontal="center" vertical="center" wrapText="1"/>
    </xf>
    <xf numFmtId="41" fontId="30" fillId="2" borderId="1" xfId="20" applyFont="1" applyFill="1" applyBorder="1" applyAlignment="1">
      <alignment horizontal="center" vertical="center" wrapText="1"/>
    </xf>
  </cellXfs>
  <cellStyles count="36">
    <cellStyle name="쉼표 [0]" xfId="20" builtinId="6"/>
    <cellStyle name="쉼표 [0] 2" xfId="1"/>
    <cellStyle name="쉼표 [0] 2 2" xfId="2"/>
    <cellStyle name="쉼표 [0] 2 2 2" xfId="29"/>
    <cellStyle name="쉼표 [0] 2 3" xfId="30"/>
    <cellStyle name="쉼표 [0] 3" xfId="3"/>
    <cellStyle name="쉼표 [0] 3 2" xfId="31"/>
    <cellStyle name="쉼표 [0] 4" xfId="28"/>
    <cellStyle name="쉼표 [0] 4 2" xfId="35"/>
    <cellStyle name="좋음" xfId="27" builtinId="26"/>
    <cellStyle name="표준" xfId="0" builtinId="0"/>
    <cellStyle name="표준 10" xfId="4"/>
    <cellStyle name="표준 11" xfId="5"/>
    <cellStyle name="표준 12" xfId="6"/>
    <cellStyle name="표준 13" xfId="7"/>
    <cellStyle name="표준 13 2" xfId="34"/>
    <cellStyle name="표준 14" xfId="24"/>
    <cellStyle name="표준 15" xfId="26"/>
    <cellStyle name="표준 15 2" xfId="32"/>
    <cellStyle name="표준 2" xfId="8"/>
    <cellStyle name="표준 2 2" xfId="9"/>
    <cellStyle name="표준 2 2 2" xfId="10"/>
    <cellStyle name="표준 2 3" xfId="23"/>
    <cellStyle name="표준 3" xfId="11"/>
    <cellStyle name="표준 3 2" xfId="12"/>
    <cellStyle name="표준 4" xfId="21"/>
    <cellStyle name="표준 4 2" xfId="25"/>
    <cellStyle name="표준 4 2 2" xfId="33"/>
    <cellStyle name="표준 5" xfId="13"/>
    <cellStyle name="표준 5 2" xfId="14"/>
    <cellStyle name="표준 7" xfId="15"/>
    <cellStyle name="표준 8" xfId="16"/>
    <cellStyle name="표준 9" xfId="17"/>
    <cellStyle name="표준_120201_2012년 축제계획 및 2011년 실적(부산시)" xfId="18"/>
    <cellStyle name="표준_120201_2012축제개최계획 및 2011개최실적(충청북도)" xfId="22"/>
    <cellStyle name="표준_2010지역축제표(서울)" xfId="19"/>
  </cellStyles>
  <dxfs count="0"/>
  <tableStyles count="0" defaultTableStyle="TableStyleMedium2" defaultPivotStyle="PivotStyleLight16"/>
  <colors>
    <mruColors>
      <color rgb="FF0B00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5</xdr:col>
      <xdr:colOff>1005417</xdr:colOff>
      <xdr:row>37</xdr:row>
      <xdr:rowOff>0</xdr:rowOff>
    </xdr:from>
    <xdr:ext cx="184731" cy="264560"/>
    <xdr:sp macro="" textlink="">
      <xdr:nvSpPr>
        <xdr:cNvPr id="2" name="TextBox 1"/>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37</xdr:row>
      <xdr:rowOff>0</xdr:rowOff>
    </xdr:from>
    <xdr:ext cx="184731" cy="264560"/>
    <xdr:sp macro="" textlink="">
      <xdr:nvSpPr>
        <xdr:cNvPr id="3" name="TextBox 2"/>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37</xdr:row>
      <xdr:rowOff>0</xdr:rowOff>
    </xdr:from>
    <xdr:ext cx="184731" cy="264560"/>
    <xdr:sp macro="" textlink="">
      <xdr:nvSpPr>
        <xdr:cNvPr id="4" name="TextBox 3"/>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37</xdr:row>
      <xdr:rowOff>0</xdr:rowOff>
    </xdr:from>
    <xdr:ext cx="184731" cy="264560"/>
    <xdr:sp macro="" textlink="">
      <xdr:nvSpPr>
        <xdr:cNvPr id="5" name="TextBox 4"/>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37</xdr:row>
      <xdr:rowOff>0</xdr:rowOff>
    </xdr:from>
    <xdr:ext cx="184731" cy="264560"/>
    <xdr:sp macro="" textlink="">
      <xdr:nvSpPr>
        <xdr:cNvPr id="6" name="TextBox 5"/>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37</xdr:row>
      <xdr:rowOff>0</xdr:rowOff>
    </xdr:from>
    <xdr:ext cx="184731" cy="264560"/>
    <xdr:sp macro="" textlink="">
      <xdr:nvSpPr>
        <xdr:cNvPr id="7" name="TextBox 6"/>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37</xdr:row>
      <xdr:rowOff>0</xdr:rowOff>
    </xdr:from>
    <xdr:ext cx="184731" cy="264560"/>
    <xdr:sp macro="" textlink="">
      <xdr:nvSpPr>
        <xdr:cNvPr id="8" name="TextBox 7"/>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77</xdr:row>
      <xdr:rowOff>0</xdr:rowOff>
    </xdr:from>
    <xdr:ext cx="184731" cy="264560"/>
    <xdr:sp macro="" textlink="">
      <xdr:nvSpPr>
        <xdr:cNvPr id="9" name="TextBox 8"/>
        <xdr:cNvSpPr txBox="1"/>
      </xdr:nvSpPr>
      <xdr:spPr>
        <a:xfrm>
          <a:off x="5834592" y="45977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77</xdr:row>
      <xdr:rowOff>0</xdr:rowOff>
    </xdr:from>
    <xdr:ext cx="184731" cy="264560"/>
    <xdr:sp macro="" textlink="">
      <xdr:nvSpPr>
        <xdr:cNvPr id="10" name="TextBox 9"/>
        <xdr:cNvSpPr txBox="1"/>
      </xdr:nvSpPr>
      <xdr:spPr>
        <a:xfrm>
          <a:off x="5834592" y="45977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27</xdr:row>
      <xdr:rowOff>0</xdr:rowOff>
    </xdr:from>
    <xdr:ext cx="184731" cy="264560"/>
    <xdr:sp macro="" textlink="">
      <xdr:nvSpPr>
        <xdr:cNvPr id="11" name="TextBox 10"/>
        <xdr:cNvSpPr txBox="1"/>
      </xdr:nvSpPr>
      <xdr:spPr>
        <a:xfrm>
          <a:off x="5834592" y="14392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27</xdr:row>
      <xdr:rowOff>0</xdr:rowOff>
    </xdr:from>
    <xdr:ext cx="184731" cy="264560"/>
    <xdr:sp macro="" textlink="">
      <xdr:nvSpPr>
        <xdr:cNvPr id="12" name="TextBox 11"/>
        <xdr:cNvSpPr txBox="1"/>
      </xdr:nvSpPr>
      <xdr:spPr>
        <a:xfrm>
          <a:off x="5834592" y="14392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27</xdr:row>
      <xdr:rowOff>0</xdr:rowOff>
    </xdr:from>
    <xdr:ext cx="184731" cy="264560"/>
    <xdr:sp macro="" textlink="">
      <xdr:nvSpPr>
        <xdr:cNvPr id="13" name="TextBox 12"/>
        <xdr:cNvSpPr txBox="1"/>
      </xdr:nvSpPr>
      <xdr:spPr>
        <a:xfrm>
          <a:off x="5834592" y="14392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27</xdr:row>
      <xdr:rowOff>0</xdr:rowOff>
    </xdr:from>
    <xdr:ext cx="184731" cy="264560"/>
    <xdr:sp macro="" textlink="">
      <xdr:nvSpPr>
        <xdr:cNvPr id="14" name="TextBox 13"/>
        <xdr:cNvSpPr txBox="1"/>
      </xdr:nvSpPr>
      <xdr:spPr>
        <a:xfrm>
          <a:off x="5834592" y="14392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27</xdr:row>
      <xdr:rowOff>0</xdr:rowOff>
    </xdr:from>
    <xdr:ext cx="184731" cy="264560"/>
    <xdr:sp macro="" textlink="">
      <xdr:nvSpPr>
        <xdr:cNvPr id="15" name="TextBox 14"/>
        <xdr:cNvSpPr txBox="1"/>
      </xdr:nvSpPr>
      <xdr:spPr>
        <a:xfrm>
          <a:off x="5834592" y="14392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27</xdr:row>
      <xdr:rowOff>0</xdr:rowOff>
    </xdr:from>
    <xdr:ext cx="184731" cy="264560"/>
    <xdr:sp macro="" textlink="">
      <xdr:nvSpPr>
        <xdr:cNvPr id="16" name="TextBox 15"/>
        <xdr:cNvSpPr txBox="1"/>
      </xdr:nvSpPr>
      <xdr:spPr>
        <a:xfrm>
          <a:off x="5834592" y="14392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27</xdr:row>
      <xdr:rowOff>0</xdr:rowOff>
    </xdr:from>
    <xdr:ext cx="184731" cy="264560"/>
    <xdr:sp macro="" textlink="">
      <xdr:nvSpPr>
        <xdr:cNvPr id="17" name="TextBox 16"/>
        <xdr:cNvSpPr txBox="1"/>
      </xdr:nvSpPr>
      <xdr:spPr>
        <a:xfrm>
          <a:off x="5834592" y="14392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27</xdr:row>
      <xdr:rowOff>0</xdr:rowOff>
    </xdr:from>
    <xdr:ext cx="184731" cy="264560"/>
    <xdr:sp macro="" textlink="">
      <xdr:nvSpPr>
        <xdr:cNvPr id="18" name="TextBox 17"/>
        <xdr:cNvSpPr txBox="1"/>
      </xdr:nvSpPr>
      <xdr:spPr>
        <a:xfrm>
          <a:off x="5834592" y="14392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27</xdr:row>
      <xdr:rowOff>0</xdr:rowOff>
    </xdr:from>
    <xdr:ext cx="184731" cy="264560"/>
    <xdr:sp macro="" textlink="">
      <xdr:nvSpPr>
        <xdr:cNvPr id="19" name="TextBox 18"/>
        <xdr:cNvSpPr txBox="1"/>
      </xdr:nvSpPr>
      <xdr:spPr>
        <a:xfrm>
          <a:off x="5834592" y="14392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37</xdr:row>
      <xdr:rowOff>0</xdr:rowOff>
    </xdr:from>
    <xdr:ext cx="184731" cy="264560"/>
    <xdr:sp macro="" textlink="">
      <xdr:nvSpPr>
        <xdr:cNvPr id="20" name="TextBox 19"/>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37</xdr:row>
      <xdr:rowOff>0</xdr:rowOff>
    </xdr:from>
    <xdr:ext cx="184731" cy="264560"/>
    <xdr:sp macro="" textlink="">
      <xdr:nvSpPr>
        <xdr:cNvPr id="21" name="TextBox 20"/>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37</xdr:row>
      <xdr:rowOff>0</xdr:rowOff>
    </xdr:from>
    <xdr:ext cx="184731" cy="264560"/>
    <xdr:sp macro="" textlink="">
      <xdr:nvSpPr>
        <xdr:cNvPr id="22" name="TextBox 21"/>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37</xdr:row>
      <xdr:rowOff>0</xdr:rowOff>
    </xdr:from>
    <xdr:ext cx="184731" cy="264560"/>
    <xdr:sp macro="" textlink="">
      <xdr:nvSpPr>
        <xdr:cNvPr id="23" name="TextBox 22"/>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37</xdr:row>
      <xdr:rowOff>0</xdr:rowOff>
    </xdr:from>
    <xdr:ext cx="184731" cy="264560"/>
    <xdr:sp macro="" textlink="">
      <xdr:nvSpPr>
        <xdr:cNvPr id="24" name="TextBox 23"/>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37</xdr:row>
      <xdr:rowOff>0</xdr:rowOff>
    </xdr:from>
    <xdr:ext cx="184731" cy="264560"/>
    <xdr:sp macro="" textlink="">
      <xdr:nvSpPr>
        <xdr:cNvPr id="25" name="TextBox 24"/>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37</xdr:row>
      <xdr:rowOff>0</xdr:rowOff>
    </xdr:from>
    <xdr:ext cx="184731" cy="264560"/>
    <xdr:sp macro="" textlink="">
      <xdr:nvSpPr>
        <xdr:cNvPr id="26" name="TextBox 25"/>
        <xdr:cNvSpPr txBox="1"/>
      </xdr:nvSpPr>
      <xdr:spPr>
        <a:xfrm>
          <a:off x="5834592" y="20535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39</xdr:row>
      <xdr:rowOff>0</xdr:rowOff>
    </xdr:from>
    <xdr:ext cx="184731" cy="264560"/>
    <xdr:sp macro="" textlink="">
      <xdr:nvSpPr>
        <xdr:cNvPr id="27" name="TextBox 26"/>
        <xdr:cNvSpPr txBox="1"/>
      </xdr:nvSpPr>
      <xdr:spPr>
        <a:xfrm>
          <a:off x="5834592" y="21507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39</xdr:row>
      <xdr:rowOff>0</xdr:rowOff>
    </xdr:from>
    <xdr:ext cx="184731" cy="264560"/>
    <xdr:sp macro="" textlink="">
      <xdr:nvSpPr>
        <xdr:cNvPr id="28" name="TextBox 27"/>
        <xdr:cNvSpPr txBox="1"/>
      </xdr:nvSpPr>
      <xdr:spPr>
        <a:xfrm>
          <a:off x="5834592" y="21507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39</xdr:row>
      <xdr:rowOff>0</xdr:rowOff>
    </xdr:from>
    <xdr:ext cx="184731" cy="264560"/>
    <xdr:sp macro="" textlink="">
      <xdr:nvSpPr>
        <xdr:cNvPr id="29" name="TextBox 28"/>
        <xdr:cNvSpPr txBox="1"/>
      </xdr:nvSpPr>
      <xdr:spPr>
        <a:xfrm>
          <a:off x="5834592" y="21507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39</xdr:row>
      <xdr:rowOff>0</xdr:rowOff>
    </xdr:from>
    <xdr:ext cx="184731" cy="264560"/>
    <xdr:sp macro="" textlink="">
      <xdr:nvSpPr>
        <xdr:cNvPr id="30" name="TextBox 29"/>
        <xdr:cNvSpPr txBox="1"/>
      </xdr:nvSpPr>
      <xdr:spPr>
        <a:xfrm>
          <a:off x="5834592" y="21507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39</xdr:row>
      <xdr:rowOff>0</xdr:rowOff>
    </xdr:from>
    <xdr:ext cx="184731" cy="264560"/>
    <xdr:sp macro="" textlink="">
      <xdr:nvSpPr>
        <xdr:cNvPr id="31" name="TextBox 30"/>
        <xdr:cNvSpPr txBox="1"/>
      </xdr:nvSpPr>
      <xdr:spPr>
        <a:xfrm>
          <a:off x="5834592" y="21507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39</xdr:row>
      <xdr:rowOff>0</xdr:rowOff>
    </xdr:from>
    <xdr:ext cx="184731" cy="264560"/>
    <xdr:sp macro="" textlink="">
      <xdr:nvSpPr>
        <xdr:cNvPr id="32" name="TextBox 31"/>
        <xdr:cNvSpPr txBox="1"/>
      </xdr:nvSpPr>
      <xdr:spPr>
        <a:xfrm>
          <a:off x="5834592" y="21507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39</xdr:row>
      <xdr:rowOff>0</xdr:rowOff>
    </xdr:from>
    <xdr:ext cx="184731" cy="264560"/>
    <xdr:sp macro="" textlink="">
      <xdr:nvSpPr>
        <xdr:cNvPr id="33" name="TextBox 32"/>
        <xdr:cNvSpPr txBox="1"/>
      </xdr:nvSpPr>
      <xdr:spPr>
        <a:xfrm>
          <a:off x="5834592" y="21507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6</xdr:col>
      <xdr:colOff>1005417</xdr:colOff>
      <xdr:row>39</xdr:row>
      <xdr:rowOff>0</xdr:rowOff>
    </xdr:from>
    <xdr:ext cx="184731" cy="264560"/>
    <xdr:sp macro="" textlink="">
      <xdr:nvSpPr>
        <xdr:cNvPr id="34" name="TextBox 33"/>
        <xdr:cNvSpPr txBox="1"/>
      </xdr:nvSpPr>
      <xdr:spPr>
        <a:xfrm>
          <a:off x="9435042" y="21507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45</xdr:row>
      <xdr:rowOff>0</xdr:rowOff>
    </xdr:from>
    <xdr:ext cx="184731" cy="264560"/>
    <xdr:sp macro="" textlink="">
      <xdr:nvSpPr>
        <xdr:cNvPr id="35" name="TextBox 34"/>
        <xdr:cNvSpPr txBox="1"/>
      </xdr:nvSpPr>
      <xdr:spPr>
        <a:xfrm>
          <a:off x="5834592" y="2461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45</xdr:row>
      <xdr:rowOff>0</xdr:rowOff>
    </xdr:from>
    <xdr:ext cx="184731" cy="264560"/>
    <xdr:sp macro="" textlink="">
      <xdr:nvSpPr>
        <xdr:cNvPr id="36" name="TextBox 35"/>
        <xdr:cNvSpPr txBox="1"/>
      </xdr:nvSpPr>
      <xdr:spPr>
        <a:xfrm>
          <a:off x="5834592" y="2461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45</xdr:row>
      <xdr:rowOff>0</xdr:rowOff>
    </xdr:from>
    <xdr:ext cx="184731" cy="264560"/>
    <xdr:sp macro="" textlink="">
      <xdr:nvSpPr>
        <xdr:cNvPr id="37" name="TextBox 36"/>
        <xdr:cNvSpPr txBox="1"/>
      </xdr:nvSpPr>
      <xdr:spPr>
        <a:xfrm>
          <a:off x="5834592" y="2461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45</xdr:row>
      <xdr:rowOff>0</xdr:rowOff>
    </xdr:from>
    <xdr:ext cx="184731" cy="264560"/>
    <xdr:sp macro="" textlink="">
      <xdr:nvSpPr>
        <xdr:cNvPr id="38" name="TextBox 37"/>
        <xdr:cNvSpPr txBox="1"/>
      </xdr:nvSpPr>
      <xdr:spPr>
        <a:xfrm>
          <a:off x="5834592" y="2461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45</xdr:row>
      <xdr:rowOff>0</xdr:rowOff>
    </xdr:from>
    <xdr:ext cx="184731" cy="264560"/>
    <xdr:sp macro="" textlink="">
      <xdr:nvSpPr>
        <xdr:cNvPr id="39" name="TextBox 38"/>
        <xdr:cNvSpPr txBox="1"/>
      </xdr:nvSpPr>
      <xdr:spPr>
        <a:xfrm>
          <a:off x="5834592" y="2461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45</xdr:row>
      <xdr:rowOff>0</xdr:rowOff>
    </xdr:from>
    <xdr:ext cx="184731" cy="264560"/>
    <xdr:sp macro="" textlink="">
      <xdr:nvSpPr>
        <xdr:cNvPr id="40" name="TextBox 39"/>
        <xdr:cNvSpPr txBox="1"/>
      </xdr:nvSpPr>
      <xdr:spPr>
        <a:xfrm>
          <a:off x="5834592" y="2461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45</xdr:row>
      <xdr:rowOff>0</xdr:rowOff>
    </xdr:from>
    <xdr:ext cx="184731" cy="264560"/>
    <xdr:sp macro="" textlink="">
      <xdr:nvSpPr>
        <xdr:cNvPr id="41" name="TextBox 40"/>
        <xdr:cNvSpPr txBox="1"/>
      </xdr:nvSpPr>
      <xdr:spPr>
        <a:xfrm>
          <a:off x="5834592" y="2461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36</xdr:row>
      <xdr:rowOff>0</xdr:rowOff>
    </xdr:from>
    <xdr:ext cx="184731" cy="264560"/>
    <xdr:sp macro="" textlink="">
      <xdr:nvSpPr>
        <xdr:cNvPr id="42" name="TextBox 41"/>
        <xdr:cNvSpPr txBox="1"/>
      </xdr:nvSpPr>
      <xdr:spPr>
        <a:xfrm>
          <a:off x="5834592" y="19792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36</xdr:row>
      <xdr:rowOff>0</xdr:rowOff>
    </xdr:from>
    <xdr:ext cx="184731" cy="264560"/>
    <xdr:sp macro="" textlink="">
      <xdr:nvSpPr>
        <xdr:cNvPr id="43" name="TextBox 42"/>
        <xdr:cNvSpPr txBox="1"/>
      </xdr:nvSpPr>
      <xdr:spPr>
        <a:xfrm>
          <a:off x="5834592" y="19792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36</xdr:row>
      <xdr:rowOff>0</xdr:rowOff>
    </xdr:from>
    <xdr:ext cx="184731" cy="264560"/>
    <xdr:sp macro="" textlink="">
      <xdr:nvSpPr>
        <xdr:cNvPr id="44" name="TextBox 43"/>
        <xdr:cNvSpPr txBox="1"/>
      </xdr:nvSpPr>
      <xdr:spPr>
        <a:xfrm>
          <a:off x="5834592" y="19792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36</xdr:row>
      <xdr:rowOff>0</xdr:rowOff>
    </xdr:from>
    <xdr:ext cx="184731" cy="264560"/>
    <xdr:sp macro="" textlink="">
      <xdr:nvSpPr>
        <xdr:cNvPr id="45" name="TextBox 44"/>
        <xdr:cNvSpPr txBox="1"/>
      </xdr:nvSpPr>
      <xdr:spPr>
        <a:xfrm>
          <a:off x="5834592" y="19792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36</xdr:row>
      <xdr:rowOff>0</xdr:rowOff>
    </xdr:from>
    <xdr:ext cx="184731" cy="264560"/>
    <xdr:sp macro="" textlink="">
      <xdr:nvSpPr>
        <xdr:cNvPr id="46" name="TextBox 45"/>
        <xdr:cNvSpPr txBox="1"/>
      </xdr:nvSpPr>
      <xdr:spPr>
        <a:xfrm>
          <a:off x="5834592" y="19792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36</xdr:row>
      <xdr:rowOff>0</xdr:rowOff>
    </xdr:from>
    <xdr:ext cx="184731" cy="264560"/>
    <xdr:sp macro="" textlink="">
      <xdr:nvSpPr>
        <xdr:cNvPr id="47" name="TextBox 46"/>
        <xdr:cNvSpPr txBox="1"/>
      </xdr:nvSpPr>
      <xdr:spPr>
        <a:xfrm>
          <a:off x="5834592" y="19792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36</xdr:row>
      <xdr:rowOff>0</xdr:rowOff>
    </xdr:from>
    <xdr:ext cx="184731" cy="264560"/>
    <xdr:sp macro="" textlink="">
      <xdr:nvSpPr>
        <xdr:cNvPr id="48" name="TextBox 47"/>
        <xdr:cNvSpPr txBox="1"/>
      </xdr:nvSpPr>
      <xdr:spPr>
        <a:xfrm>
          <a:off x="5834592" y="19792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47</xdr:row>
      <xdr:rowOff>0</xdr:rowOff>
    </xdr:from>
    <xdr:ext cx="184731" cy="264560"/>
    <xdr:sp macro="" textlink="">
      <xdr:nvSpPr>
        <xdr:cNvPr id="49" name="TextBox 48"/>
        <xdr:cNvSpPr txBox="1"/>
      </xdr:nvSpPr>
      <xdr:spPr>
        <a:xfrm>
          <a:off x="5834592" y="2762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47</xdr:row>
      <xdr:rowOff>0</xdr:rowOff>
    </xdr:from>
    <xdr:ext cx="184731" cy="264560"/>
    <xdr:sp macro="" textlink="">
      <xdr:nvSpPr>
        <xdr:cNvPr id="50" name="TextBox 49"/>
        <xdr:cNvSpPr txBox="1"/>
      </xdr:nvSpPr>
      <xdr:spPr>
        <a:xfrm>
          <a:off x="5834592" y="2762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47</xdr:row>
      <xdr:rowOff>0</xdr:rowOff>
    </xdr:from>
    <xdr:ext cx="184731" cy="264560"/>
    <xdr:sp macro="" textlink="">
      <xdr:nvSpPr>
        <xdr:cNvPr id="51" name="TextBox 50"/>
        <xdr:cNvSpPr txBox="1"/>
      </xdr:nvSpPr>
      <xdr:spPr>
        <a:xfrm>
          <a:off x="5834592" y="2762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47</xdr:row>
      <xdr:rowOff>0</xdr:rowOff>
    </xdr:from>
    <xdr:ext cx="184731" cy="264560"/>
    <xdr:sp macro="" textlink="">
      <xdr:nvSpPr>
        <xdr:cNvPr id="52" name="TextBox 51"/>
        <xdr:cNvSpPr txBox="1"/>
      </xdr:nvSpPr>
      <xdr:spPr>
        <a:xfrm>
          <a:off x="5834592" y="2762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47</xdr:row>
      <xdr:rowOff>0</xdr:rowOff>
    </xdr:from>
    <xdr:ext cx="184731" cy="264560"/>
    <xdr:sp macro="" textlink="">
      <xdr:nvSpPr>
        <xdr:cNvPr id="53" name="TextBox 52"/>
        <xdr:cNvSpPr txBox="1"/>
      </xdr:nvSpPr>
      <xdr:spPr>
        <a:xfrm>
          <a:off x="5834592" y="2762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47</xdr:row>
      <xdr:rowOff>0</xdr:rowOff>
    </xdr:from>
    <xdr:ext cx="184731" cy="264560"/>
    <xdr:sp macro="" textlink="">
      <xdr:nvSpPr>
        <xdr:cNvPr id="54" name="TextBox 53"/>
        <xdr:cNvSpPr txBox="1"/>
      </xdr:nvSpPr>
      <xdr:spPr>
        <a:xfrm>
          <a:off x="5834592" y="2762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47</xdr:row>
      <xdr:rowOff>0</xdr:rowOff>
    </xdr:from>
    <xdr:ext cx="184731" cy="264560"/>
    <xdr:sp macro="" textlink="">
      <xdr:nvSpPr>
        <xdr:cNvPr id="55" name="TextBox 54"/>
        <xdr:cNvSpPr txBox="1"/>
      </xdr:nvSpPr>
      <xdr:spPr>
        <a:xfrm>
          <a:off x="5834592" y="2762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52</xdr:row>
      <xdr:rowOff>0</xdr:rowOff>
    </xdr:from>
    <xdr:ext cx="184731" cy="264560"/>
    <xdr:sp macro="" textlink="">
      <xdr:nvSpPr>
        <xdr:cNvPr id="56" name="TextBox 55"/>
        <xdr:cNvSpPr txBox="1"/>
      </xdr:nvSpPr>
      <xdr:spPr>
        <a:xfrm>
          <a:off x="5834592" y="3054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52</xdr:row>
      <xdr:rowOff>0</xdr:rowOff>
    </xdr:from>
    <xdr:ext cx="184731" cy="264560"/>
    <xdr:sp macro="" textlink="">
      <xdr:nvSpPr>
        <xdr:cNvPr id="57" name="TextBox 56"/>
        <xdr:cNvSpPr txBox="1"/>
      </xdr:nvSpPr>
      <xdr:spPr>
        <a:xfrm>
          <a:off x="5834592" y="3054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52</xdr:row>
      <xdr:rowOff>0</xdr:rowOff>
    </xdr:from>
    <xdr:ext cx="184731" cy="264560"/>
    <xdr:sp macro="" textlink="">
      <xdr:nvSpPr>
        <xdr:cNvPr id="58" name="TextBox 57"/>
        <xdr:cNvSpPr txBox="1"/>
      </xdr:nvSpPr>
      <xdr:spPr>
        <a:xfrm>
          <a:off x="5834592" y="3054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52</xdr:row>
      <xdr:rowOff>0</xdr:rowOff>
    </xdr:from>
    <xdr:ext cx="184731" cy="264560"/>
    <xdr:sp macro="" textlink="">
      <xdr:nvSpPr>
        <xdr:cNvPr id="59" name="TextBox 58"/>
        <xdr:cNvSpPr txBox="1"/>
      </xdr:nvSpPr>
      <xdr:spPr>
        <a:xfrm>
          <a:off x="5834592" y="3054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52</xdr:row>
      <xdr:rowOff>0</xdr:rowOff>
    </xdr:from>
    <xdr:ext cx="184731" cy="264560"/>
    <xdr:sp macro="" textlink="">
      <xdr:nvSpPr>
        <xdr:cNvPr id="60" name="TextBox 59"/>
        <xdr:cNvSpPr txBox="1"/>
      </xdr:nvSpPr>
      <xdr:spPr>
        <a:xfrm>
          <a:off x="5834592" y="3054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52</xdr:row>
      <xdr:rowOff>0</xdr:rowOff>
    </xdr:from>
    <xdr:ext cx="184731" cy="264560"/>
    <xdr:sp macro="" textlink="">
      <xdr:nvSpPr>
        <xdr:cNvPr id="61" name="TextBox 60"/>
        <xdr:cNvSpPr txBox="1"/>
      </xdr:nvSpPr>
      <xdr:spPr>
        <a:xfrm>
          <a:off x="5834592" y="3054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52</xdr:row>
      <xdr:rowOff>0</xdr:rowOff>
    </xdr:from>
    <xdr:ext cx="184731" cy="264560"/>
    <xdr:sp macro="" textlink="">
      <xdr:nvSpPr>
        <xdr:cNvPr id="62" name="TextBox 61"/>
        <xdr:cNvSpPr txBox="1"/>
      </xdr:nvSpPr>
      <xdr:spPr>
        <a:xfrm>
          <a:off x="5834592" y="3054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52</xdr:row>
      <xdr:rowOff>0</xdr:rowOff>
    </xdr:from>
    <xdr:ext cx="184731" cy="264560"/>
    <xdr:sp macro="" textlink="">
      <xdr:nvSpPr>
        <xdr:cNvPr id="63" name="TextBox 62"/>
        <xdr:cNvSpPr txBox="1"/>
      </xdr:nvSpPr>
      <xdr:spPr>
        <a:xfrm>
          <a:off x="5834592" y="3054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52</xdr:row>
      <xdr:rowOff>0</xdr:rowOff>
    </xdr:from>
    <xdr:ext cx="184731" cy="264560"/>
    <xdr:sp macro="" textlink="">
      <xdr:nvSpPr>
        <xdr:cNvPr id="64" name="TextBox 63"/>
        <xdr:cNvSpPr txBox="1"/>
      </xdr:nvSpPr>
      <xdr:spPr>
        <a:xfrm>
          <a:off x="5834592" y="3054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56</xdr:row>
      <xdr:rowOff>0</xdr:rowOff>
    </xdr:from>
    <xdr:ext cx="184731" cy="264560"/>
    <xdr:sp macro="" textlink="">
      <xdr:nvSpPr>
        <xdr:cNvPr id="65" name="TextBox 64"/>
        <xdr:cNvSpPr txBox="1"/>
      </xdr:nvSpPr>
      <xdr:spPr>
        <a:xfrm>
          <a:off x="5834592" y="32489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56</xdr:row>
      <xdr:rowOff>0</xdr:rowOff>
    </xdr:from>
    <xdr:ext cx="184731" cy="264560"/>
    <xdr:sp macro="" textlink="">
      <xdr:nvSpPr>
        <xdr:cNvPr id="66" name="TextBox 65"/>
        <xdr:cNvSpPr txBox="1"/>
      </xdr:nvSpPr>
      <xdr:spPr>
        <a:xfrm>
          <a:off x="5834592" y="32489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56</xdr:row>
      <xdr:rowOff>0</xdr:rowOff>
    </xdr:from>
    <xdr:ext cx="184731" cy="264560"/>
    <xdr:sp macro="" textlink="">
      <xdr:nvSpPr>
        <xdr:cNvPr id="67" name="TextBox 66"/>
        <xdr:cNvSpPr txBox="1"/>
      </xdr:nvSpPr>
      <xdr:spPr>
        <a:xfrm>
          <a:off x="5834592" y="32489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56</xdr:row>
      <xdr:rowOff>0</xdr:rowOff>
    </xdr:from>
    <xdr:ext cx="184731" cy="264560"/>
    <xdr:sp macro="" textlink="">
      <xdr:nvSpPr>
        <xdr:cNvPr id="68" name="TextBox 67"/>
        <xdr:cNvSpPr txBox="1"/>
      </xdr:nvSpPr>
      <xdr:spPr>
        <a:xfrm>
          <a:off x="5834592" y="32489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56</xdr:row>
      <xdr:rowOff>0</xdr:rowOff>
    </xdr:from>
    <xdr:ext cx="184731" cy="264560"/>
    <xdr:sp macro="" textlink="">
      <xdr:nvSpPr>
        <xdr:cNvPr id="69" name="TextBox 68"/>
        <xdr:cNvSpPr txBox="1"/>
      </xdr:nvSpPr>
      <xdr:spPr>
        <a:xfrm>
          <a:off x="5834592" y="32489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56</xdr:row>
      <xdr:rowOff>0</xdr:rowOff>
    </xdr:from>
    <xdr:ext cx="184731" cy="264560"/>
    <xdr:sp macro="" textlink="">
      <xdr:nvSpPr>
        <xdr:cNvPr id="70" name="TextBox 69"/>
        <xdr:cNvSpPr txBox="1"/>
      </xdr:nvSpPr>
      <xdr:spPr>
        <a:xfrm>
          <a:off x="5834592" y="32489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56</xdr:row>
      <xdr:rowOff>0</xdr:rowOff>
    </xdr:from>
    <xdr:ext cx="184731" cy="264560"/>
    <xdr:sp macro="" textlink="">
      <xdr:nvSpPr>
        <xdr:cNvPr id="71" name="TextBox 70"/>
        <xdr:cNvSpPr txBox="1"/>
      </xdr:nvSpPr>
      <xdr:spPr>
        <a:xfrm>
          <a:off x="5834592" y="32489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59</xdr:row>
      <xdr:rowOff>0</xdr:rowOff>
    </xdr:from>
    <xdr:ext cx="184731" cy="264560"/>
    <xdr:sp macro="" textlink="">
      <xdr:nvSpPr>
        <xdr:cNvPr id="72" name="TextBox 71"/>
        <xdr:cNvSpPr txBox="1"/>
      </xdr:nvSpPr>
      <xdr:spPr>
        <a:xfrm>
          <a:off x="5834592"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59</xdr:row>
      <xdr:rowOff>0</xdr:rowOff>
    </xdr:from>
    <xdr:ext cx="184731" cy="264560"/>
    <xdr:sp macro="" textlink="">
      <xdr:nvSpPr>
        <xdr:cNvPr id="73" name="TextBox 72"/>
        <xdr:cNvSpPr txBox="1"/>
      </xdr:nvSpPr>
      <xdr:spPr>
        <a:xfrm>
          <a:off x="5834592"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57</xdr:row>
      <xdr:rowOff>0</xdr:rowOff>
    </xdr:from>
    <xdr:ext cx="184731" cy="264560"/>
    <xdr:sp macro="" textlink="">
      <xdr:nvSpPr>
        <xdr:cNvPr id="74" name="TextBox 73"/>
        <xdr:cNvSpPr txBox="1"/>
      </xdr:nvSpPr>
      <xdr:spPr>
        <a:xfrm>
          <a:off x="5834592" y="3407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57</xdr:row>
      <xdr:rowOff>0</xdr:rowOff>
    </xdr:from>
    <xdr:ext cx="184731" cy="264560"/>
    <xdr:sp macro="" textlink="">
      <xdr:nvSpPr>
        <xdr:cNvPr id="75" name="TextBox 74"/>
        <xdr:cNvSpPr txBox="1"/>
      </xdr:nvSpPr>
      <xdr:spPr>
        <a:xfrm>
          <a:off x="5834592" y="3407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57</xdr:row>
      <xdr:rowOff>0</xdr:rowOff>
    </xdr:from>
    <xdr:ext cx="184731" cy="264560"/>
    <xdr:sp macro="" textlink="">
      <xdr:nvSpPr>
        <xdr:cNvPr id="76" name="TextBox 75"/>
        <xdr:cNvSpPr txBox="1"/>
      </xdr:nvSpPr>
      <xdr:spPr>
        <a:xfrm>
          <a:off x="5834592" y="3407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57</xdr:row>
      <xdr:rowOff>0</xdr:rowOff>
    </xdr:from>
    <xdr:ext cx="184731" cy="264560"/>
    <xdr:sp macro="" textlink="">
      <xdr:nvSpPr>
        <xdr:cNvPr id="77" name="TextBox 76"/>
        <xdr:cNvSpPr txBox="1"/>
      </xdr:nvSpPr>
      <xdr:spPr>
        <a:xfrm>
          <a:off x="5834592" y="3407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57</xdr:row>
      <xdr:rowOff>0</xdr:rowOff>
    </xdr:from>
    <xdr:ext cx="184731" cy="264560"/>
    <xdr:sp macro="" textlink="">
      <xdr:nvSpPr>
        <xdr:cNvPr id="78" name="TextBox 77"/>
        <xdr:cNvSpPr txBox="1"/>
      </xdr:nvSpPr>
      <xdr:spPr>
        <a:xfrm>
          <a:off x="5834592" y="3407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57</xdr:row>
      <xdr:rowOff>0</xdr:rowOff>
    </xdr:from>
    <xdr:ext cx="184731" cy="264560"/>
    <xdr:sp macro="" textlink="">
      <xdr:nvSpPr>
        <xdr:cNvPr id="79" name="TextBox 78"/>
        <xdr:cNvSpPr txBox="1"/>
      </xdr:nvSpPr>
      <xdr:spPr>
        <a:xfrm>
          <a:off x="5834592" y="3407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57</xdr:row>
      <xdr:rowOff>0</xdr:rowOff>
    </xdr:from>
    <xdr:ext cx="184731" cy="264560"/>
    <xdr:sp macro="" textlink="">
      <xdr:nvSpPr>
        <xdr:cNvPr id="80" name="TextBox 79"/>
        <xdr:cNvSpPr txBox="1"/>
      </xdr:nvSpPr>
      <xdr:spPr>
        <a:xfrm>
          <a:off x="5834592" y="3407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64</xdr:row>
      <xdr:rowOff>0</xdr:rowOff>
    </xdr:from>
    <xdr:ext cx="184731" cy="264560"/>
    <xdr:sp macro="" textlink="">
      <xdr:nvSpPr>
        <xdr:cNvPr id="81" name="TextBox 80"/>
        <xdr:cNvSpPr txBox="1"/>
      </xdr:nvSpPr>
      <xdr:spPr>
        <a:xfrm>
          <a:off x="5834592" y="39824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64</xdr:row>
      <xdr:rowOff>0</xdr:rowOff>
    </xdr:from>
    <xdr:ext cx="184731" cy="264560"/>
    <xdr:sp macro="" textlink="">
      <xdr:nvSpPr>
        <xdr:cNvPr id="82" name="TextBox 81"/>
        <xdr:cNvSpPr txBox="1"/>
      </xdr:nvSpPr>
      <xdr:spPr>
        <a:xfrm>
          <a:off x="5834592" y="39824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64</xdr:row>
      <xdr:rowOff>0</xdr:rowOff>
    </xdr:from>
    <xdr:ext cx="184731" cy="264560"/>
    <xdr:sp macro="" textlink="">
      <xdr:nvSpPr>
        <xdr:cNvPr id="83" name="TextBox 82"/>
        <xdr:cNvSpPr txBox="1"/>
      </xdr:nvSpPr>
      <xdr:spPr>
        <a:xfrm>
          <a:off x="5834592" y="39824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64</xdr:row>
      <xdr:rowOff>0</xdr:rowOff>
    </xdr:from>
    <xdr:ext cx="184731" cy="264560"/>
    <xdr:sp macro="" textlink="">
      <xdr:nvSpPr>
        <xdr:cNvPr id="84" name="TextBox 83"/>
        <xdr:cNvSpPr txBox="1"/>
      </xdr:nvSpPr>
      <xdr:spPr>
        <a:xfrm>
          <a:off x="5834592" y="39824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64</xdr:row>
      <xdr:rowOff>0</xdr:rowOff>
    </xdr:from>
    <xdr:ext cx="184731" cy="264560"/>
    <xdr:sp macro="" textlink="">
      <xdr:nvSpPr>
        <xdr:cNvPr id="85" name="TextBox 84"/>
        <xdr:cNvSpPr txBox="1"/>
      </xdr:nvSpPr>
      <xdr:spPr>
        <a:xfrm>
          <a:off x="5834592" y="39824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64</xdr:row>
      <xdr:rowOff>0</xdr:rowOff>
    </xdr:from>
    <xdr:ext cx="184731" cy="264560"/>
    <xdr:sp macro="" textlink="">
      <xdr:nvSpPr>
        <xdr:cNvPr id="86" name="TextBox 85"/>
        <xdr:cNvSpPr txBox="1"/>
      </xdr:nvSpPr>
      <xdr:spPr>
        <a:xfrm>
          <a:off x="5834592" y="39824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64</xdr:row>
      <xdr:rowOff>0</xdr:rowOff>
    </xdr:from>
    <xdr:ext cx="184731" cy="264560"/>
    <xdr:sp macro="" textlink="">
      <xdr:nvSpPr>
        <xdr:cNvPr id="87" name="TextBox 86"/>
        <xdr:cNvSpPr txBox="1"/>
      </xdr:nvSpPr>
      <xdr:spPr>
        <a:xfrm>
          <a:off x="5834592" y="39824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67</xdr:row>
      <xdr:rowOff>0</xdr:rowOff>
    </xdr:from>
    <xdr:ext cx="184731" cy="264560"/>
    <xdr:sp macro="" textlink="">
      <xdr:nvSpPr>
        <xdr:cNvPr id="88" name="TextBox 87"/>
        <xdr:cNvSpPr txBox="1"/>
      </xdr:nvSpPr>
      <xdr:spPr>
        <a:xfrm>
          <a:off x="5834592" y="4128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67</xdr:row>
      <xdr:rowOff>0</xdr:rowOff>
    </xdr:from>
    <xdr:ext cx="184731" cy="264560"/>
    <xdr:sp macro="" textlink="">
      <xdr:nvSpPr>
        <xdr:cNvPr id="89" name="TextBox 88"/>
        <xdr:cNvSpPr txBox="1"/>
      </xdr:nvSpPr>
      <xdr:spPr>
        <a:xfrm>
          <a:off x="5834592" y="4128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995892</xdr:colOff>
      <xdr:row>69</xdr:row>
      <xdr:rowOff>0</xdr:rowOff>
    </xdr:from>
    <xdr:ext cx="184731" cy="264560"/>
    <xdr:sp macro="" textlink="">
      <xdr:nvSpPr>
        <xdr:cNvPr id="90" name="TextBox 89"/>
        <xdr:cNvSpPr txBox="1"/>
      </xdr:nvSpPr>
      <xdr:spPr>
        <a:xfrm>
          <a:off x="5825067" y="4225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69</xdr:row>
      <xdr:rowOff>0</xdr:rowOff>
    </xdr:from>
    <xdr:ext cx="184731" cy="264560"/>
    <xdr:sp macro="" textlink="">
      <xdr:nvSpPr>
        <xdr:cNvPr id="91" name="TextBox 90"/>
        <xdr:cNvSpPr txBox="1"/>
      </xdr:nvSpPr>
      <xdr:spPr>
        <a:xfrm>
          <a:off x="5825067" y="4225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69</xdr:row>
      <xdr:rowOff>0</xdr:rowOff>
    </xdr:from>
    <xdr:ext cx="184731" cy="264560"/>
    <xdr:sp macro="" textlink="">
      <xdr:nvSpPr>
        <xdr:cNvPr id="92" name="TextBox 91"/>
        <xdr:cNvSpPr txBox="1"/>
      </xdr:nvSpPr>
      <xdr:spPr>
        <a:xfrm>
          <a:off x="5825067" y="4225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69</xdr:row>
      <xdr:rowOff>0</xdr:rowOff>
    </xdr:from>
    <xdr:ext cx="184731" cy="264560"/>
    <xdr:sp macro="" textlink="">
      <xdr:nvSpPr>
        <xdr:cNvPr id="93" name="TextBox 92"/>
        <xdr:cNvSpPr txBox="1"/>
      </xdr:nvSpPr>
      <xdr:spPr>
        <a:xfrm>
          <a:off x="5825067" y="4225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69</xdr:row>
      <xdr:rowOff>0</xdr:rowOff>
    </xdr:from>
    <xdr:ext cx="184731" cy="264560"/>
    <xdr:sp macro="" textlink="">
      <xdr:nvSpPr>
        <xdr:cNvPr id="94" name="TextBox 93"/>
        <xdr:cNvSpPr txBox="1"/>
      </xdr:nvSpPr>
      <xdr:spPr>
        <a:xfrm>
          <a:off x="5825067" y="4225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69</xdr:row>
      <xdr:rowOff>0</xdr:rowOff>
    </xdr:from>
    <xdr:ext cx="184731" cy="264560"/>
    <xdr:sp macro="" textlink="">
      <xdr:nvSpPr>
        <xdr:cNvPr id="95" name="TextBox 94"/>
        <xdr:cNvSpPr txBox="1"/>
      </xdr:nvSpPr>
      <xdr:spPr>
        <a:xfrm>
          <a:off x="5825067" y="4225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69</xdr:row>
      <xdr:rowOff>0</xdr:rowOff>
    </xdr:from>
    <xdr:ext cx="184731" cy="264560"/>
    <xdr:sp macro="" textlink="">
      <xdr:nvSpPr>
        <xdr:cNvPr id="96" name="TextBox 95"/>
        <xdr:cNvSpPr txBox="1"/>
      </xdr:nvSpPr>
      <xdr:spPr>
        <a:xfrm>
          <a:off x="5825067" y="4225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69</xdr:row>
      <xdr:rowOff>0</xdr:rowOff>
    </xdr:from>
    <xdr:ext cx="184731" cy="264560"/>
    <xdr:sp macro="" textlink="">
      <xdr:nvSpPr>
        <xdr:cNvPr id="97" name="TextBox 96"/>
        <xdr:cNvSpPr txBox="1"/>
      </xdr:nvSpPr>
      <xdr:spPr>
        <a:xfrm>
          <a:off x="5825067" y="4225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69</xdr:row>
      <xdr:rowOff>0</xdr:rowOff>
    </xdr:from>
    <xdr:ext cx="184731" cy="264560"/>
    <xdr:sp macro="" textlink="">
      <xdr:nvSpPr>
        <xdr:cNvPr id="98" name="TextBox 97"/>
        <xdr:cNvSpPr txBox="1"/>
      </xdr:nvSpPr>
      <xdr:spPr>
        <a:xfrm>
          <a:off x="5825067" y="4225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70</xdr:row>
      <xdr:rowOff>0</xdr:rowOff>
    </xdr:from>
    <xdr:ext cx="184731" cy="264560"/>
    <xdr:sp macro="" textlink="">
      <xdr:nvSpPr>
        <xdr:cNvPr id="99" name="TextBox 98"/>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70</xdr:row>
      <xdr:rowOff>0</xdr:rowOff>
    </xdr:from>
    <xdr:ext cx="184731" cy="264560"/>
    <xdr:sp macro="" textlink="">
      <xdr:nvSpPr>
        <xdr:cNvPr id="100" name="TextBox 99"/>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70</xdr:row>
      <xdr:rowOff>0</xdr:rowOff>
    </xdr:from>
    <xdr:ext cx="184731" cy="264560"/>
    <xdr:sp macro="" textlink="">
      <xdr:nvSpPr>
        <xdr:cNvPr id="101" name="TextBox 100"/>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70</xdr:row>
      <xdr:rowOff>0</xdr:rowOff>
    </xdr:from>
    <xdr:ext cx="184731" cy="264560"/>
    <xdr:sp macro="" textlink="">
      <xdr:nvSpPr>
        <xdr:cNvPr id="102" name="TextBox 101"/>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70</xdr:row>
      <xdr:rowOff>0</xdr:rowOff>
    </xdr:from>
    <xdr:ext cx="184731" cy="264560"/>
    <xdr:sp macro="" textlink="">
      <xdr:nvSpPr>
        <xdr:cNvPr id="103" name="TextBox 102"/>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70</xdr:row>
      <xdr:rowOff>0</xdr:rowOff>
    </xdr:from>
    <xdr:ext cx="184731" cy="264560"/>
    <xdr:sp macro="" textlink="">
      <xdr:nvSpPr>
        <xdr:cNvPr id="104" name="TextBox 103"/>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70</xdr:row>
      <xdr:rowOff>0</xdr:rowOff>
    </xdr:from>
    <xdr:ext cx="184731" cy="264560"/>
    <xdr:sp macro="" textlink="">
      <xdr:nvSpPr>
        <xdr:cNvPr id="105" name="TextBox 104"/>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70</xdr:row>
      <xdr:rowOff>0</xdr:rowOff>
    </xdr:from>
    <xdr:ext cx="184731" cy="264560"/>
    <xdr:sp macro="" textlink="">
      <xdr:nvSpPr>
        <xdr:cNvPr id="106" name="TextBox 105"/>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70</xdr:row>
      <xdr:rowOff>0</xdr:rowOff>
    </xdr:from>
    <xdr:ext cx="184731" cy="264560"/>
    <xdr:sp macro="" textlink="">
      <xdr:nvSpPr>
        <xdr:cNvPr id="107" name="TextBox 106"/>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70</xdr:row>
      <xdr:rowOff>0</xdr:rowOff>
    </xdr:from>
    <xdr:ext cx="184731" cy="264560"/>
    <xdr:sp macro="" textlink="">
      <xdr:nvSpPr>
        <xdr:cNvPr id="108" name="TextBox 107"/>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70</xdr:row>
      <xdr:rowOff>0</xdr:rowOff>
    </xdr:from>
    <xdr:ext cx="184731" cy="264560"/>
    <xdr:sp macro="" textlink="">
      <xdr:nvSpPr>
        <xdr:cNvPr id="109" name="TextBox 108"/>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995892</xdr:colOff>
      <xdr:row>70</xdr:row>
      <xdr:rowOff>0</xdr:rowOff>
    </xdr:from>
    <xdr:ext cx="184731" cy="264560"/>
    <xdr:sp macro="" textlink="">
      <xdr:nvSpPr>
        <xdr:cNvPr id="110" name="TextBox 109"/>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995892</xdr:colOff>
      <xdr:row>70</xdr:row>
      <xdr:rowOff>0</xdr:rowOff>
    </xdr:from>
    <xdr:ext cx="184731" cy="264560"/>
    <xdr:sp macro="" textlink="">
      <xdr:nvSpPr>
        <xdr:cNvPr id="111" name="TextBox 110"/>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995892</xdr:colOff>
      <xdr:row>70</xdr:row>
      <xdr:rowOff>0</xdr:rowOff>
    </xdr:from>
    <xdr:ext cx="184731" cy="264560"/>
    <xdr:sp macro="" textlink="">
      <xdr:nvSpPr>
        <xdr:cNvPr id="112" name="TextBox 111"/>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995892</xdr:colOff>
      <xdr:row>70</xdr:row>
      <xdr:rowOff>0</xdr:rowOff>
    </xdr:from>
    <xdr:ext cx="184731" cy="264560"/>
    <xdr:sp macro="" textlink="">
      <xdr:nvSpPr>
        <xdr:cNvPr id="113" name="TextBox 112"/>
        <xdr:cNvSpPr txBox="1"/>
      </xdr:nvSpPr>
      <xdr:spPr>
        <a:xfrm>
          <a:off x="5825067" y="4280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50</xdr:row>
      <xdr:rowOff>0</xdr:rowOff>
    </xdr:from>
    <xdr:ext cx="184731" cy="264560"/>
    <xdr:sp macro="" textlink="">
      <xdr:nvSpPr>
        <xdr:cNvPr id="114" name="TextBox 113"/>
        <xdr:cNvSpPr txBox="1"/>
      </xdr:nvSpPr>
      <xdr:spPr>
        <a:xfrm>
          <a:off x="5834592" y="2957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50</xdr:row>
      <xdr:rowOff>0</xdr:rowOff>
    </xdr:from>
    <xdr:ext cx="184731" cy="264560"/>
    <xdr:sp macro="" textlink="">
      <xdr:nvSpPr>
        <xdr:cNvPr id="115" name="TextBox 114"/>
        <xdr:cNvSpPr txBox="1"/>
      </xdr:nvSpPr>
      <xdr:spPr>
        <a:xfrm>
          <a:off x="5834592" y="2957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50</xdr:row>
      <xdr:rowOff>0</xdr:rowOff>
    </xdr:from>
    <xdr:ext cx="184731" cy="264560"/>
    <xdr:sp macro="" textlink="">
      <xdr:nvSpPr>
        <xdr:cNvPr id="116" name="TextBox 115"/>
        <xdr:cNvSpPr txBox="1"/>
      </xdr:nvSpPr>
      <xdr:spPr>
        <a:xfrm>
          <a:off x="5834592" y="2957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50</xdr:row>
      <xdr:rowOff>0</xdr:rowOff>
    </xdr:from>
    <xdr:ext cx="184731" cy="264560"/>
    <xdr:sp macro="" textlink="">
      <xdr:nvSpPr>
        <xdr:cNvPr id="117" name="TextBox 116"/>
        <xdr:cNvSpPr txBox="1"/>
      </xdr:nvSpPr>
      <xdr:spPr>
        <a:xfrm>
          <a:off x="5834592" y="2957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50</xdr:row>
      <xdr:rowOff>0</xdr:rowOff>
    </xdr:from>
    <xdr:ext cx="184731" cy="264560"/>
    <xdr:sp macro="" textlink="">
      <xdr:nvSpPr>
        <xdr:cNvPr id="118" name="TextBox 117"/>
        <xdr:cNvSpPr txBox="1"/>
      </xdr:nvSpPr>
      <xdr:spPr>
        <a:xfrm>
          <a:off x="5834592" y="2957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50</xdr:row>
      <xdr:rowOff>0</xdr:rowOff>
    </xdr:from>
    <xdr:ext cx="184731" cy="264560"/>
    <xdr:sp macro="" textlink="">
      <xdr:nvSpPr>
        <xdr:cNvPr id="119" name="TextBox 118"/>
        <xdr:cNvSpPr txBox="1"/>
      </xdr:nvSpPr>
      <xdr:spPr>
        <a:xfrm>
          <a:off x="5834592" y="2957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50</xdr:row>
      <xdr:rowOff>0</xdr:rowOff>
    </xdr:from>
    <xdr:ext cx="184731" cy="264560"/>
    <xdr:sp macro="" textlink="">
      <xdr:nvSpPr>
        <xdr:cNvPr id="120" name="TextBox 119"/>
        <xdr:cNvSpPr txBox="1"/>
      </xdr:nvSpPr>
      <xdr:spPr>
        <a:xfrm>
          <a:off x="5834592" y="2957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69</xdr:row>
      <xdr:rowOff>0</xdr:rowOff>
    </xdr:from>
    <xdr:ext cx="184731" cy="264560"/>
    <xdr:sp macro="" textlink="">
      <xdr:nvSpPr>
        <xdr:cNvPr id="121" name="TextBox 120"/>
        <xdr:cNvSpPr txBox="1"/>
      </xdr:nvSpPr>
      <xdr:spPr>
        <a:xfrm>
          <a:off x="5834592" y="4225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69</xdr:row>
      <xdr:rowOff>0</xdr:rowOff>
    </xdr:from>
    <xdr:ext cx="184731" cy="264560"/>
    <xdr:sp macro="" textlink="">
      <xdr:nvSpPr>
        <xdr:cNvPr id="122" name="TextBox 121"/>
        <xdr:cNvSpPr txBox="1"/>
      </xdr:nvSpPr>
      <xdr:spPr>
        <a:xfrm>
          <a:off x="5834592" y="4225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25</xdr:row>
      <xdr:rowOff>0</xdr:rowOff>
    </xdr:from>
    <xdr:ext cx="184731" cy="264560"/>
    <xdr:sp macro="" textlink="">
      <xdr:nvSpPr>
        <xdr:cNvPr id="123" name="TextBox 122"/>
        <xdr:cNvSpPr txBox="1"/>
      </xdr:nvSpPr>
      <xdr:spPr>
        <a:xfrm>
          <a:off x="5834592" y="1342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73</xdr:row>
      <xdr:rowOff>0</xdr:rowOff>
    </xdr:from>
    <xdr:ext cx="184731" cy="264560"/>
    <xdr:sp macro="" textlink="">
      <xdr:nvSpPr>
        <xdr:cNvPr id="124" name="TextBox 123"/>
        <xdr:cNvSpPr txBox="1"/>
      </xdr:nvSpPr>
      <xdr:spPr>
        <a:xfrm>
          <a:off x="5834592" y="44357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54</xdr:row>
      <xdr:rowOff>0</xdr:rowOff>
    </xdr:from>
    <xdr:ext cx="184731" cy="264560"/>
    <xdr:sp macro="" textlink="">
      <xdr:nvSpPr>
        <xdr:cNvPr id="125" name="TextBox 124"/>
        <xdr:cNvSpPr txBox="1"/>
      </xdr:nvSpPr>
      <xdr:spPr>
        <a:xfrm>
          <a:off x="5834592" y="31518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25</xdr:row>
      <xdr:rowOff>0</xdr:rowOff>
    </xdr:from>
    <xdr:ext cx="184731" cy="264560"/>
    <xdr:sp macro="" textlink="">
      <xdr:nvSpPr>
        <xdr:cNvPr id="126" name="TextBox 125"/>
        <xdr:cNvSpPr txBox="1"/>
      </xdr:nvSpPr>
      <xdr:spPr>
        <a:xfrm>
          <a:off x="5834592" y="1342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28</xdr:row>
      <xdr:rowOff>0</xdr:rowOff>
    </xdr:from>
    <xdr:ext cx="184731" cy="264560"/>
    <xdr:sp macro="" textlink="">
      <xdr:nvSpPr>
        <xdr:cNvPr id="127" name="TextBox 126"/>
        <xdr:cNvSpPr txBox="1"/>
      </xdr:nvSpPr>
      <xdr:spPr>
        <a:xfrm>
          <a:off x="5834592" y="14878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32</xdr:row>
      <xdr:rowOff>0</xdr:rowOff>
    </xdr:from>
    <xdr:ext cx="184731" cy="264560"/>
    <xdr:sp macro="" textlink="">
      <xdr:nvSpPr>
        <xdr:cNvPr id="128" name="TextBox 127"/>
        <xdr:cNvSpPr txBox="1"/>
      </xdr:nvSpPr>
      <xdr:spPr>
        <a:xfrm>
          <a:off x="5834592" y="1733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32</xdr:row>
      <xdr:rowOff>0</xdr:rowOff>
    </xdr:from>
    <xdr:ext cx="184731" cy="264560"/>
    <xdr:sp macro="" textlink="">
      <xdr:nvSpPr>
        <xdr:cNvPr id="129" name="TextBox 128"/>
        <xdr:cNvSpPr txBox="1"/>
      </xdr:nvSpPr>
      <xdr:spPr>
        <a:xfrm>
          <a:off x="5834592" y="1733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35</xdr:row>
      <xdr:rowOff>0</xdr:rowOff>
    </xdr:from>
    <xdr:ext cx="184731" cy="264560"/>
    <xdr:sp macro="" textlink="">
      <xdr:nvSpPr>
        <xdr:cNvPr id="130" name="TextBox 129"/>
        <xdr:cNvSpPr txBox="1"/>
      </xdr:nvSpPr>
      <xdr:spPr>
        <a:xfrm>
          <a:off x="5834592" y="1905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35</xdr:row>
      <xdr:rowOff>0</xdr:rowOff>
    </xdr:from>
    <xdr:ext cx="184731" cy="264560"/>
    <xdr:sp macro="" textlink="">
      <xdr:nvSpPr>
        <xdr:cNvPr id="131" name="TextBox 130"/>
        <xdr:cNvSpPr txBox="1"/>
      </xdr:nvSpPr>
      <xdr:spPr>
        <a:xfrm>
          <a:off x="5834592" y="1905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35</xdr:row>
      <xdr:rowOff>0</xdr:rowOff>
    </xdr:from>
    <xdr:ext cx="184731" cy="264560"/>
    <xdr:sp macro="" textlink="">
      <xdr:nvSpPr>
        <xdr:cNvPr id="132" name="TextBox 131"/>
        <xdr:cNvSpPr txBox="1"/>
      </xdr:nvSpPr>
      <xdr:spPr>
        <a:xfrm>
          <a:off x="5834592" y="1905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35</xdr:row>
      <xdr:rowOff>0</xdr:rowOff>
    </xdr:from>
    <xdr:ext cx="184731" cy="264560"/>
    <xdr:sp macro="" textlink="">
      <xdr:nvSpPr>
        <xdr:cNvPr id="133" name="TextBox 132"/>
        <xdr:cNvSpPr txBox="1"/>
      </xdr:nvSpPr>
      <xdr:spPr>
        <a:xfrm>
          <a:off x="5834592" y="1905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35</xdr:row>
      <xdr:rowOff>0</xdr:rowOff>
    </xdr:from>
    <xdr:ext cx="184731" cy="264560"/>
    <xdr:sp macro="" textlink="">
      <xdr:nvSpPr>
        <xdr:cNvPr id="134" name="TextBox 133"/>
        <xdr:cNvSpPr txBox="1"/>
      </xdr:nvSpPr>
      <xdr:spPr>
        <a:xfrm>
          <a:off x="5834592" y="1905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35</xdr:row>
      <xdr:rowOff>0</xdr:rowOff>
    </xdr:from>
    <xdr:ext cx="184731" cy="264560"/>
    <xdr:sp macro="" textlink="">
      <xdr:nvSpPr>
        <xdr:cNvPr id="135" name="TextBox 134"/>
        <xdr:cNvSpPr txBox="1"/>
      </xdr:nvSpPr>
      <xdr:spPr>
        <a:xfrm>
          <a:off x="5834592" y="1905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35</xdr:row>
      <xdr:rowOff>0</xdr:rowOff>
    </xdr:from>
    <xdr:ext cx="184731" cy="264560"/>
    <xdr:sp macro="" textlink="">
      <xdr:nvSpPr>
        <xdr:cNvPr id="136" name="TextBox 135"/>
        <xdr:cNvSpPr txBox="1"/>
      </xdr:nvSpPr>
      <xdr:spPr>
        <a:xfrm>
          <a:off x="5834592" y="1905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38</xdr:row>
      <xdr:rowOff>0</xdr:rowOff>
    </xdr:from>
    <xdr:ext cx="184731" cy="264560"/>
    <xdr:sp macro="" textlink="">
      <xdr:nvSpPr>
        <xdr:cNvPr id="137" name="TextBox 136"/>
        <xdr:cNvSpPr txBox="1"/>
      </xdr:nvSpPr>
      <xdr:spPr>
        <a:xfrm>
          <a:off x="5834592" y="21021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40</xdr:row>
      <xdr:rowOff>0</xdr:rowOff>
    </xdr:from>
    <xdr:ext cx="184731" cy="264560"/>
    <xdr:sp macro="" textlink="">
      <xdr:nvSpPr>
        <xdr:cNvPr id="138" name="TextBox 137"/>
        <xdr:cNvSpPr txBox="1"/>
      </xdr:nvSpPr>
      <xdr:spPr>
        <a:xfrm>
          <a:off x="5834592" y="21993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31</xdr:row>
      <xdr:rowOff>0</xdr:rowOff>
    </xdr:from>
    <xdr:ext cx="184731" cy="264560"/>
    <xdr:sp macro="" textlink="">
      <xdr:nvSpPr>
        <xdr:cNvPr id="139" name="TextBox 138"/>
        <xdr:cNvSpPr txBox="1"/>
      </xdr:nvSpPr>
      <xdr:spPr>
        <a:xfrm>
          <a:off x="5834592" y="16849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42</xdr:row>
      <xdr:rowOff>0</xdr:rowOff>
    </xdr:from>
    <xdr:ext cx="184731" cy="264560"/>
    <xdr:sp macro="" textlink="">
      <xdr:nvSpPr>
        <xdr:cNvPr id="140" name="TextBox 139"/>
        <xdr:cNvSpPr txBox="1"/>
      </xdr:nvSpPr>
      <xdr:spPr>
        <a:xfrm>
          <a:off x="5834592" y="22964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42</xdr:row>
      <xdr:rowOff>0</xdr:rowOff>
    </xdr:from>
    <xdr:ext cx="184731" cy="264560"/>
    <xdr:sp macro="" textlink="">
      <xdr:nvSpPr>
        <xdr:cNvPr id="141" name="TextBox 140"/>
        <xdr:cNvSpPr txBox="1"/>
      </xdr:nvSpPr>
      <xdr:spPr>
        <a:xfrm>
          <a:off x="5834592" y="22964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31</xdr:row>
      <xdr:rowOff>0</xdr:rowOff>
    </xdr:from>
    <xdr:ext cx="184731" cy="264560"/>
    <xdr:sp macro="" textlink="">
      <xdr:nvSpPr>
        <xdr:cNvPr id="142" name="TextBox 141"/>
        <xdr:cNvSpPr txBox="1"/>
      </xdr:nvSpPr>
      <xdr:spPr>
        <a:xfrm>
          <a:off x="5834592" y="16849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31</xdr:row>
      <xdr:rowOff>0</xdr:rowOff>
    </xdr:from>
    <xdr:ext cx="184731" cy="264560"/>
    <xdr:sp macro="" textlink="">
      <xdr:nvSpPr>
        <xdr:cNvPr id="143" name="TextBox 142"/>
        <xdr:cNvSpPr txBox="1"/>
      </xdr:nvSpPr>
      <xdr:spPr>
        <a:xfrm>
          <a:off x="5834592" y="16849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6</xdr:col>
      <xdr:colOff>1005417</xdr:colOff>
      <xdr:row>44</xdr:row>
      <xdr:rowOff>0</xdr:rowOff>
    </xdr:from>
    <xdr:ext cx="184731" cy="264560"/>
    <xdr:sp macro="" textlink="">
      <xdr:nvSpPr>
        <xdr:cNvPr id="144" name="TextBox 143"/>
        <xdr:cNvSpPr txBox="1"/>
      </xdr:nvSpPr>
      <xdr:spPr>
        <a:xfrm>
          <a:off x="9435042" y="24126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44</xdr:row>
      <xdr:rowOff>0</xdr:rowOff>
    </xdr:from>
    <xdr:ext cx="184731" cy="264560"/>
    <xdr:sp macro="" textlink="">
      <xdr:nvSpPr>
        <xdr:cNvPr id="145" name="TextBox 144"/>
        <xdr:cNvSpPr txBox="1"/>
      </xdr:nvSpPr>
      <xdr:spPr>
        <a:xfrm>
          <a:off x="5834592" y="24126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50</xdr:row>
      <xdr:rowOff>0</xdr:rowOff>
    </xdr:from>
    <xdr:ext cx="184731" cy="264560"/>
    <xdr:sp macro="" textlink="">
      <xdr:nvSpPr>
        <xdr:cNvPr id="146" name="TextBox 145"/>
        <xdr:cNvSpPr txBox="1"/>
      </xdr:nvSpPr>
      <xdr:spPr>
        <a:xfrm>
          <a:off x="5834592" y="2957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53</xdr:row>
      <xdr:rowOff>0</xdr:rowOff>
    </xdr:from>
    <xdr:ext cx="184731" cy="264560"/>
    <xdr:sp macro="" textlink="">
      <xdr:nvSpPr>
        <xdr:cNvPr id="147" name="TextBox 146"/>
        <xdr:cNvSpPr txBox="1"/>
      </xdr:nvSpPr>
      <xdr:spPr>
        <a:xfrm>
          <a:off x="5834592" y="31032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31</xdr:row>
      <xdr:rowOff>0</xdr:rowOff>
    </xdr:from>
    <xdr:ext cx="184731" cy="264560"/>
    <xdr:sp macro="" textlink="">
      <xdr:nvSpPr>
        <xdr:cNvPr id="148" name="TextBox 147"/>
        <xdr:cNvSpPr txBox="1"/>
      </xdr:nvSpPr>
      <xdr:spPr>
        <a:xfrm>
          <a:off x="5834592" y="16849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62</xdr:row>
      <xdr:rowOff>0</xdr:rowOff>
    </xdr:from>
    <xdr:ext cx="184731" cy="264560"/>
    <xdr:sp macro="" textlink="">
      <xdr:nvSpPr>
        <xdr:cNvPr id="149" name="TextBox 148"/>
        <xdr:cNvSpPr txBox="1"/>
      </xdr:nvSpPr>
      <xdr:spPr>
        <a:xfrm>
          <a:off x="5834592" y="3885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62</xdr:row>
      <xdr:rowOff>0</xdr:rowOff>
    </xdr:from>
    <xdr:ext cx="184731" cy="264560"/>
    <xdr:sp macro="" textlink="">
      <xdr:nvSpPr>
        <xdr:cNvPr id="150" name="TextBox 149"/>
        <xdr:cNvSpPr txBox="1"/>
      </xdr:nvSpPr>
      <xdr:spPr>
        <a:xfrm>
          <a:off x="5834592" y="3885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63</xdr:row>
      <xdr:rowOff>0</xdr:rowOff>
    </xdr:from>
    <xdr:ext cx="184731" cy="264560"/>
    <xdr:sp macro="" textlink="">
      <xdr:nvSpPr>
        <xdr:cNvPr id="151" name="TextBox 150"/>
        <xdr:cNvSpPr txBox="1"/>
      </xdr:nvSpPr>
      <xdr:spPr>
        <a:xfrm>
          <a:off x="5834592" y="3933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63</xdr:row>
      <xdr:rowOff>0</xdr:rowOff>
    </xdr:from>
    <xdr:ext cx="184731" cy="264560"/>
    <xdr:sp macro="" textlink="">
      <xdr:nvSpPr>
        <xdr:cNvPr id="152" name="TextBox 151"/>
        <xdr:cNvSpPr txBox="1"/>
      </xdr:nvSpPr>
      <xdr:spPr>
        <a:xfrm>
          <a:off x="5834592" y="3933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23</xdr:row>
      <xdr:rowOff>306917</xdr:rowOff>
    </xdr:from>
    <xdr:ext cx="184731" cy="264560"/>
    <xdr:sp macro="" textlink="">
      <xdr:nvSpPr>
        <xdr:cNvPr id="153" name="TextBox 152"/>
        <xdr:cNvSpPr txBox="1"/>
      </xdr:nvSpPr>
      <xdr:spPr>
        <a:xfrm>
          <a:off x="5834592" y="1275609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73</xdr:row>
      <xdr:rowOff>0</xdr:rowOff>
    </xdr:from>
    <xdr:ext cx="184731" cy="264560"/>
    <xdr:sp macro="" textlink="">
      <xdr:nvSpPr>
        <xdr:cNvPr id="154" name="TextBox 153"/>
        <xdr:cNvSpPr txBox="1"/>
      </xdr:nvSpPr>
      <xdr:spPr>
        <a:xfrm>
          <a:off x="5834592" y="44357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72</xdr:row>
      <xdr:rowOff>0</xdr:rowOff>
    </xdr:from>
    <xdr:ext cx="184731" cy="264560"/>
    <xdr:sp macro="" textlink="">
      <xdr:nvSpPr>
        <xdr:cNvPr id="155" name="TextBox 154"/>
        <xdr:cNvSpPr txBox="1"/>
      </xdr:nvSpPr>
      <xdr:spPr>
        <a:xfrm>
          <a:off x="5834592" y="4377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73</xdr:row>
      <xdr:rowOff>0</xdr:rowOff>
    </xdr:from>
    <xdr:ext cx="184731" cy="264560"/>
    <xdr:sp macro="" textlink="">
      <xdr:nvSpPr>
        <xdr:cNvPr id="156" name="TextBox 155"/>
        <xdr:cNvSpPr txBox="1"/>
      </xdr:nvSpPr>
      <xdr:spPr>
        <a:xfrm>
          <a:off x="5834592" y="44357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73</xdr:row>
      <xdr:rowOff>0</xdr:rowOff>
    </xdr:from>
    <xdr:ext cx="184731" cy="264560"/>
    <xdr:sp macro="" textlink="">
      <xdr:nvSpPr>
        <xdr:cNvPr id="157" name="TextBox 156"/>
        <xdr:cNvSpPr txBox="1"/>
      </xdr:nvSpPr>
      <xdr:spPr>
        <a:xfrm>
          <a:off x="5834592" y="44357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73</xdr:row>
      <xdr:rowOff>0</xdr:rowOff>
    </xdr:from>
    <xdr:ext cx="184731" cy="264560"/>
    <xdr:sp macro="" textlink="">
      <xdr:nvSpPr>
        <xdr:cNvPr id="158" name="TextBox 157"/>
        <xdr:cNvSpPr txBox="1"/>
      </xdr:nvSpPr>
      <xdr:spPr>
        <a:xfrm>
          <a:off x="5834592" y="44357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73</xdr:row>
      <xdr:rowOff>0</xdr:rowOff>
    </xdr:from>
    <xdr:ext cx="184731" cy="264560"/>
    <xdr:sp macro="" textlink="">
      <xdr:nvSpPr>
        <xdr:cNvPr id="159" name="TextBox 158"/>
        <xdr:cNvSpPr txBox="1"/>
      </xdr:nvSpPr>
      <xdr:spPr>
        <a:xfrm>
          <a:off x="5834592" y="44357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75</xdr:row>
      <xdr:rowOff>0</xdr:rowOff>
    </xdr:from>
    <xdr:ext cx="184731" cy="264560"/>
    <xdr:sp macro="" textlink="">
      <xdr:nvSpPr>
        <xdr:cNvPr id="160" name="TextBox 159"/>
        <xdr:cNvSpPr txBox="1"/>
      </xdr:nvSpPr>
      <xdr:spPr>
        <a:xfrm>
          <a:off x="5834592" y="4530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31</xdr:row>
      <xdr:rowOff>0</xdr:rowOff>
    </xdr:from>
    <xdr:ext cx="184731" cy="264560"/>
    <xdr:sp macro="" textlink="">
      <xdr:nvSpPr>
        <xdr:cNvPr id="161" name="TextBox 160"/>
        <xdr:cNvSpPr txBox="1"/>
      </xdr:nvSpPr>
      <xdr:spPr>
        <a:xfrm>
          <a:off x="5834592" y="16849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82</xdr:row>
      <xdr:rowOff>0</xdr:rowOff>
    </xdr:from>
    <xdr:ext cx="184731" cy="264560"/>
    <xdr:sp macro="" textlink="">
      <xdr:nvSpPr>
        <xdr:cNvPr id="162" name="TextBox 161"/>
        <xdr:cNvSpPr txBox="1"/>
      </xdr:nvSpPr>
      <xdr:spPr>
        <a:xfrm>
          <a:off x="5834592" y="49977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25</xdr:row>
      <xdr:rowOff>0</xdr:rowOff>
    </xdr:from>
    <xdr:ext cx="184731" cy="264560"/>
    <xdr:sp macro="" textlink="">
      <xdr:nvSpPr>
        <xdr:cNvPr id="163" name="TextBox 162"/>
        <xdr:cNvSpPr txBox="1"/>
      </xdr:nvSpPr>
      <xdr:spPr>
        <a:xfrm>
          <a:off x="5834592" y="1342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25</xdr:row>
      <xdr:rowOff>0</xdr:rowOff>
    </xdr:from>
    <xdr:ext cx="184731" cy="264560"/>
    <xdr:sp macro="" textlink="">
      <xdr:nvSpPr>
        <xdr:cNvPr id="164" name="TextBox 163"/>
        <xdr:cNvSpPr txBox="1"/>
      </xdr:nvSpPr>
      <xdr:spPr>
        <a:xfrm>
          <a:off x="5834592" y="1342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32</xdr:row>
      <xdr:rowOff>0</xdr:rowOff>
    </xdr:from>
    <xdr:ext cx="184731" cy="264560"/>
    <xdr:sp macro="" textlink="">
      <xdr:nvSpPr>
        <xdr:cNvPr id="165" name="TextBox 164"/>
        <xdr:cNvSpPr txBox="1"/>
      </xdr:nvSpPr>
      <xdr:spPr>
        <a:xfrm>
          <a:off x="5834592" y="1733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32</xdr:row>
      <xdr:rowOff>0</xdr:rowOff>
    </xdr:from>
    <xdr:ext cx="184731" cy="264560"/>
    <xdr:sp macro="" textlink="">
      <xdr:nvSpPr>
        <xdr:cNvPr id="166" name="TextBox 165"/>
        <xdr:cNvSpPr txBox="1"/>
      </xdr:nvSpPr>
      <xdr:spPr>
        <a:xfrm>
          <a:off x="5834592" y="17335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26</xdr:row>
      <xdr:rowOff>0</xdr:rowOff>
    </xdr:from>
    <xdr:ext cx="184731" cy="264560"/>
    <xdr:sp macro="" textlink="">
      <xdr:nvSpPr>
        <xdr:cNvPr id="167" name="TextBox 166"/>
        <xdr:cNvSpPr txBox="1"/>
      </xdr:nvSpPr>
      <xdr:spPr>
        <a:xfrm>
          <a:off x="5834592" y="139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26</xdr:row>
      <xdr:rowOff>0</xdr:rowOff>
    </xdr:from>
    <xdr:ext cx="184731" cy="264560"/>
    <xdr:sp macro="" textlink="">
      <xdr:nvSpPr>
        <xdr:cNvPr id="168" name="TextBox 167"/>
        <xdr:cNvSpPr txBox="1"/>
      </xdr:nvSpPr>
      <xdr:spPr>
        <a:xfrm>
          <a:off x="5834592" y="139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26</xdr:row>
      <xdr:rowOff>0</xdr:rowOff>
    </xdr:from>
    <xdr:ext cx="184731" cy="264560"/>
    <xdr:sp macro="" textlink="">
      <xdr:nvSpPr>
        <xdr:cNvPr id="169" name="TextBox 168"/>
        <xdr:cNvSpPr txBox="1"/>
      </xdr:nvSpPr>
      <xdr:spPr>
        <a:xfrm>
          <a:off x="5834592" y="139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26</xdr:row>
      <xdr:rowOff>0</xdr:rowOff>
    </xdr:from>
    <xdr:ext cx="184731" cy="264560"/>
    <xdr:sp macro="" textlink="">
      <xdr:nvSpPr>
        <xdr:cNvPr id="170" name="TextBox 169"/>
        <xdr:cNvSpPr txBox="1"/>
      </xdr:nvSpPr>
      <xdr:spPr>
        <a:xfrm>
          <a:off x="5834592" y="139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83</xdr:row>
      <xdr:rowOff>0</xdr:rowOff>
    </xdr:from>
    <xdr:ext cx="184731" cy="264560"/>
    <xdr:sp macro="" textlink="">
      <xdr:nvSpPr>
        <xdr:cNvPr id="171" name="TextBox 170"/>
        <xdr:cNvSpPr txBox="1"/>
      </xdr:nvSpPr>
      <xdr:spPr>
        <a:xfrm>
          <a:off x="5834592" y="50463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84</xdr:row>
      <xdr:rowOff>0</xdr:rowOff>
    </xdr:from>
    <xdr:ext cx="184731" cy="264560"/>
    <xdr:sp macro="" textlink="">
      <xdr:nvSpPr>
        <xdr:cNvPr id="172" name="TextBox 171"/>
        <xdr:cNvSpPr txBox="1"/>
      </xdr:nvSpPr>
      <xdr:spPr>
        <a:xfrm>
          <a:off x="5834592" y="5094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87</xdr:row>
      <xdr:rowOff>0</xdr:rowOff>
    </xdr:from>
    <xdr:ext cx="184731" cy="264560"/>
    <xdr:sp macro="" textlink="">
      <xdr:nvSpPr>
        <xdr:cNvPr id="173" name="TextBox 172"/>
        <xdr:cNvSpPr txBox="1"/>
      </xdr:nvSpPr>
      <xdr:spPr>
        <a:xfrm>
          <a:off x="5834592" y="52406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88</xdr:row>
      <xdr:rowOff>0</xdr:rowOff>
    </xdr:from>
    <xdr:ext cx="184731" cy="264560"/>
    <xdr:sp macro="" textlink="">
      <xdr:nvSpPr>
        <xdr:cNvPr id="174" name="TextBox 173"/>
        <xdr:cNvSpPr txBox="1"/>
      </xdr:nvSpPr>
      <xdr:spPr>
        <a:xfrm>
          <a:off x="5834592" y="5293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89</xdr:row>
      <xdr:rowOff>0</xdr:rowOff>
    </xdr:from>
    <xdr:ext cx="184731" cy="264560"/>
    <xdr:sp macro="" textlink="">
      <xdr:nvSpPr>
        <xdr:cNvPr id="175" name="TextBox 174"/>
        <xdr:cNvSpPr txBox="1"/>
      </xdr:nvSpPr>
      <xdr:spPr>
        <a:xfrm>
          <a:off x="5834592" y="5340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90</xdr:row>
      <xdr:rowOff>0</xdr:rowOff>
    </xdr:from>
    <xdr:ext cx="184731" cy="264560"/>
    <xdr:sp macro="" textlink="">
      <xdr:nvSpPr>
        <xdr:cNvPr id="176" name="TextBox 175"/>
        <xdr:cNvSpPr txBox="1"/>
      </xdr:nvSpPr>
      <xdr:spPr>
        <a:xfrm>
          <a:off x="5834592" y="53873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91</xdr:row>
      <xdr:rowOff>0</xdr:rowOff>
    </xdr:from>
    <xdr:ext cx="184731" cy="264560"/>
    <xdr:sp macro="" textlink="">
      <xdr:nvSpPr>
        <xdr:cNvPr id="177" name="TextBox 176"/>
        <xdr:cNvSpPr txBox="1"/>
      </xdr:nvSpPr>
      <xdr:spPr>
        <a:xfrm>
          <a:off x="5834592" y="5434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92</xdr:row>
      <xdr:rowOff>0</xdr:rowOff>
    </xdr:from>
    <xdr:ext cx="184731" cy="264560"/>
    <xdr:sp macro="" textlink="">
      <xdr:nvSpPr>
        <xdr:cNvPr id="178" name="TextBox 177"/>
        <xdr:cNvSpPr txBox="1"/>
      </xdr:nvSpPr>
      <xdr:spPr>
        <a:xfrm>
          <a:off x="5834592" y="54959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94</xdr:row>
      <xdr:rowOff>0</xdr:rowOff>
    </xdr:from>
    <xdr:ext cx="184731" cy="264560"/>
    <xdr:sp macro="" textlink="">
      <xdr:nvSpPr>
        <xdr:cNvPr id="179" name="TextBox 178"/>
        <xdr:cNvSpPr txBox="1"/>
      </xdr:nvSpPr>
      <xdr:spPr>
        <a:xfrm>
          <a:off x="5834592" y="55892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95</xdr:row>
      <xdr:rowOff>0</xdr:rowOff>
    </xdr:from>
    <xdr:ext cx="184731" cy="264560"/>
    <xdr:sp macro="" textlink="">
      <xdr:nvSpPr>
        <xdr:cNvPr id="180" name="TextBox 179"/>
        <xdr:cNvSpPr txBox="1"/>
      </xdr:nvSpPr>
      <xdr:spPr>
        <a:xfrm>
          <a:off x="5834592" y="56454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96</xdr:row>
      <xdr:rowOff>0</xdr:rowOff>
    </xdr:from>
    <xdr:ext cx="184731" cy="264560"/>
    <xdr:sp macro="" textlink="">
      <xdr:nvSpPr>
        <xdr:cNvPr id="181" name="TextBox 180"/>
        <xdr:cNvSpPr txBox="1"/>
      </xdr:nvSpPr>
      <xdr:spPr>
        <a:xfrm>
          <a:off x="5834592" y="5692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72</xdr:row>
      <xdr:rowOff>0</xdr:rowOff>
    </xdr:from>
    <xdr:ext cx="184731" cy="264560"/>
    <xdr:sp macro="" textlink="">
      <xdr:nvSpPr>
        <xdr:cNvPr id="182" name="TextBox 181"/>
        <xdr:cNvSpPr txBox="1"/>
      </xdr:nvSpPr>
      <xdr:spPr>
        <a:xfrm>
          <a:off x="5834592" y="4377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72</xdr:row>
      <xdr:rowOff>0</xdr:rowOff>
    </xdr:from>
    <xdr:ext cx="184731" cy="264560"/>
    <xdr:sp macro="" textlink="">
      <xdr:nvSpPr>
        <xdr:cNvPr id="183" name="TextBox 182"/>
        <xdr:cNvSpPr txBox="1"/>
      </xdr:nvSpPr>
      <xdr:spPr>
        <a:xfrm>
          <a:off x="5834592" y="4377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72</xdr:row>
      <xdr:rowOff>0</xdr:rowOff>
    </xdr:from>
    <xdr:ext cx="184731" cy="264560"/>
    <xdr:sp macro="" textlink="">
      <xdr:nvSpPr>
        <xdr:cNvPr id="184" name="TextBox 183"/>
        <xdr:cNvSpPr txBox="1"/>
      </xdr:nvSpPr>
      <xdr:spPr>
        <a:xfrm>
          <a:off x="5834592" y="4377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72</xdr:row>
      <xdr:rowOff>0</xdr:rowOff>
    </xdr:from>
    <xdr:ext cx="184731" cy="264560"/>
    <xdr:sp macro="" textlink="">
      <xdr:nvSpPr>
        <xdr:cNvPr id="185" name="TextBox 184"/>
        <xdr:cNvSpPr txBox="1"/>
      </xdr:nvSpPr>
      <xdr:spPr>
        <a:xfrm>
          <a:off x="5834592" y="4377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72</xdr:row>
      <xdr:rowOff>0</xdr:rowOff>
    </xdr:from>
    <xdr:ext cx="184731" cy="264560"/>
    <xdr:sp macro="" textlink="">
      <xdr:nvSpPr>
        <xdr:cNvPr id="186" name="TextBox 185"/>
        <xdr:cNvSpPr txBox="1"/>
      </xdr:nvSpPr>
      <xdr:spPr>
        <a:xfrm>
          <a:off x="5834592" y="4377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72</xdr:row>
      <xdr:rowOff>0</xdr:rowOff>
    </xdr:from>
    <xdr:ext cx="184731" cy="264560"/>
    <xdr:sp macro="" textlink="">
      <xdr:nvSpPr>
        <xdr:cNvPr id="187" name="TextBox 186"/>
        <xdr:cNvSpPr txBox="1"/>
      </xdr:nvSpPr>
      <xdr:spPr>
        <a:xfrm>
          <a:off x="5834592" y="4377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72</xdr:row>
      <xdr:rowOff>0</xdr:rowOff>
    </xdr:from>
    <xdr:ext cx="184731" cy="264560"/>
    <xdr:sp macro="" textlink="">
      <xdr:nvSpPr>
        <xdr:cNvPr id="188" name="TextBox 187"/>
        <xdr:cNvSpPr txBox="1"/>
      </xdr:nvSpPr>
      <xdr:spPr>
        <a:xfrm>
          <a:off x="5834592" y="4377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91</xdr:row>
      <xdr:rowOff>0</xdr:rowOff>
    </xdr:from>
    <xdr:ext cx="184731" cy="264560"/>
    <xdr:sp macro="" textlink="">
      <xdr:nvSpPr>
        <xdr:cNvPr id="189" name="TextBox 188"/>
        <xdr:cNvSpPr txBox="1"/>
      </xdr:nvSpPr>
      <xdr:spPr>
        <a:xfrm>
          <a:off x="5834592" y="5434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91</xdr:row>
      <xdr:rowOff>0</xdr:rowOff>
    </xdr:from>
    <xdr:ext cx="184731" cy="264560"/>
    <xdr:sp macro="" textlink="">
      <xdr:nvSpPr>
        <xdr:cNvPr id="190" name="TextBox 189"/>
        <xdr:cNvSpPr txBox="1"/>
      </xdr:nvSpPr>
      <xdr:spPr>
        <a:xfrm>
          <a:off x="5834592" y="5434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65</xdr:row>
      <xdr:rowOff>0</xdr:rowOff>
    </xdr:from>
    <xdr:ext cx="184731" cy="264560"/>
    <xdr:sp macro="" textlink="">
      <xdr:nvSpPr>
        <xdr:cNvPr id="191" name="TextBox 190"/>
        <xdr:cNvSpPr txBox="1"/>
      </xdr:nvSpPr>
      <xdr:spPr>
        <a:xfrm>
          <a:off x="5834592" y="40309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65</xdr:row>
      <xdr:rowOff>0</xdr:rowOff>
    </xdr:from>
    <xdr:ext cx="184731" cy="264560"/>
    <xdr:sp macro="" textlink="">
      <xdr:nvSpPr>
        <xdr:cNvPr id="192" name="TextBox 191"/>
        <xdr:cNvSpPr txBox="1"/>
      </xdr:nvSpPr>
      <xdr:spPr>
        <a:xfrm>
          <a:off x="5834592" y="40309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65</xdr:row>
      <xdr:rowOff>0</xdr:rowOff>
    </xdr:from>
    <xdr:ext cx="184731" cy="264560"/>
    <xdr:sp macro="" textlink="">
      <xdr:nvSpPr>
        <xdr:cNvPr id="193" name="TextBox 192"/>
        <xdr:cNvSpPr txBox="1"/>
      </xdr:nvSpPr>
      <xdr:spPr>
        <a:xfrm>
          <a:off x="5834592" y="40309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65</xdr:row>
      <xdr:rowOff>0</xdr:rowOff>
    </xdr:from>
    <xdr:ext cx="184731" cy="264560"/>
    <xdr:sp macro="" textlink="">
      <xdr:nvSpPr>
        <xdr:cNvPr id="194" name="TextBox 193"/>
        <xdr:cNvSpPr txBox="1"/>
      </xdr:nvSpPr>
      <xdr:spPr>
        <a:xfrm>
          <a:off x="5834592" y="40309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65</xdr:row>
      <xdr:rowOff>0</xdr:rowOff>
    </xdr:from>
    <xdr:ext cx="184731" cy="264560"/>
    <xdr:sp macro="" textlink="">
      <xdr:nvSpPr>
        <xdr:cNvPr id="195" name="TextBox 194"/>
        <xdr:cNvSpPr txBox="1"/>
      </xdr:nvSpPr>
      <xdr:spPr>
        <a:xfrm>
          <a:off x="5834592" y="40309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65</xdr:row>
      <xdr:rowOff>0</xdr:rowOff>
    </xdr:from>
    <xdr:ext cx="184731" cy="264560"/>
    <xdr:sp macro="" textlink="">
      <xdr:nvSpPr>
        <xdr:cNvPr id="196" name="TextBox 195"/>
        <xdr:cNvSpPr txBox="1"/>
      </xdr:nvSpPr>
      <xdr:spPr>
        <a:xfrm>
          <a:off x="5834592" y="40309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65</xdr:row>
      <xdr:rowOff>0</xdr:rowOff>
    </xdr:from>
    <xdr:ext cx="184731" cy="264560"/>
    <xdr:sp macro="" textlink="">
      <xdr:nvSpPr>
        <xdr:cNvPr id="197" name="TextBox 196"/>
        <xdr:cNvSpPr txBox="1"/>
      </xdr:nvSpPr>
      <xdr:spPr>
        <a:xfrm>
          <a:off x="5834592" y="40309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84</xdr:row>
      <xdr:rowOff>0</xdr:rowOff>
    </xdr:from>
    <xdr:ext cx="184731" cy="264560"/>
    <xdr:sp macro="" textlink="">
      <xdr:nvSpPr>
        <xdr:cNvPr id="198" name="TextBox 197"/>
        <xdr:cNvSpPr txBox="1"/>
      </xdr:nvSpPr>
      <xdr:spPr>
        <a:xfrm>
          <a:off x="5834592" y="5094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84</xdr:row>
      <xdr:rowOff>0</xdr:rowOff>
    </xdr:from>
    <xdr:ext cx="184731" cy="264560"/>
    <xdr:sp macro="" textlink="">
      <xdr:nvSpPr>
        <xdr:cNvPr id="199" name="TextBox 198"/>
        <xdr:cNvSpPr txBox="1"/>
      </xdr:nvSpPr>
      <xdr:spPr>
        <a:xfrm>
          <a:off x="5834592" y="5094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74</xdr:row>
      <xdr:rowOff>0</xdr:rowOff>
    </xdr:from>
    <xdr:ext cx="184731" cy="264560"/>
    <xdr:sp macro="" textlink="">
      <xdr:nvSpPr>
        <xdr:cNvPr id="200" name="TextBox 199"/>
        <xdr:cNvSpPr txBox="1"/>
      </xdr:nvSpPr>
      <xdr:spPr>
        <a:xfrm>
          <a:off x="5834592" y="44967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74</xdr:row>
      <xdr:rowOff>0</xdr:rowOff>
    </xdr:from>
    <xdr:ext cx="184731" cy="264560"/>
    <xdr:sp macro="" textlink="">
      <xdr:nvSpPr>
        <xdr:cNvPr id="201" name="TextBox 200"/>
        <xdr:cNvSpPr txBox="1"/>
      </xdr:nvSpPr>
      <xdr:spPr>
        <a:xfrm>
          <a:off x="5834592" y="44967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74</xdr:row>
      <xdr:rowOff>0</xdr:rowOff>
    </xdr:from>
    <xdr:ext cx="184731" cy="264560"/>
    <xdr:sp macro="" textlink="">
      <xdr:nvSpPr>
        <xdr:cNvPr id="202" name="TextBox 201"/>
        <xdr:cNvSpPr txBox="1"/>
      </xdr:nvSpPr>
      <xdr:spPr>
        <a:xfrm>
          <a:off x="5834592" y="44967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74</xdr:row>
      <xdr:rowOff>0</xdr:rowOff>
    </xdr:from>
    <xdr:ext cx="184731" cy="264560"/>
    <xdr:sp macro="" textlink="">
      <xdr:nvSpPr>
        <xdr:cNvPr id="203" name="TextBox 202"/>
        <xdr:cNvSpPr txBox="1"/>
      </xdr:nvSpPr>
      <xdr:spPr>
        <a:xfrm>
          <a:off x="5834592" y="44967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74</xdr:row>
      <xdr:rowOff>0</xdr:rowOff>
    </xdr:from>
    <xdr:ext cx="184731" cy="264560"/>
    <xdr:sp macro="" textlink="">
      <xdr:nvSpPr>
        <xdr:cNvPr id="204" name="TextBox 203"/>
        <xdr:cNvSpPr txBox="1"/>
      </xdr:nvSpPr>
      <xdr:spPr>
        <a:xfrm>
          <a:off x="5834592" y="44967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74</xdr:row>
      <xdr:rowOff>0</xdr:rowOff>
    </xdr:from>
    <xdr:ext cx="184731" cy="264560"/>
    <xdr:sp macro="" textlink="">
      <xdr:nvSpPr>
        <xdr:cNvPr id="205" name="TextBox 204"/>
        <xdr:cNvSpPr txBox="1"/>
      </xdr:nvSpPr>
      <xdr:spPr>
        <a:xfrm>
          <a:off x="5834592" y="44967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74</xdr:row>
      <xdr:rowOff>0</xdr:rowOff>
    </xdr:from>
    <xdr:ext cx="184731" cy="264560"/>
    <xdr:sp macro="" textlink="">
      <xdr:nvSpPr>
        <xdr:cNvPr id="206" name="TextBox 205"/>
        <xdr:cNvSpPr txBox="1"/>
      </xdr:nvSpPr>
      <xdr:spPr>
        <a:xfrm>
          <a:off x="5834592" y="44967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93</xdr:row>
      <xdr:rowOff>0</xdr:rowOff>
    </xdr:from>
    <xdr:ext cx="184731" cy="264560"/>
    <xdr:sp macro="" textlink="">
      <xdr:nvSpPr>
        <xdr:cNvPr id="207" name="TextBox 206"/>
        <xdr:cNvSpPr txBox="1"/>
      </xdr:nvSpPr>
      <xdr:spPr>
        <a:xfrm>
          <a:off x="5834592" y="55425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93</xdr:row>
      <xdr:rowOff>0</xdr:rowOff>
    </xdr:from>
    <xdr:ext cx="184731" cy="264560"/>
    <xdr:sp macro="" textlink="">
      <xdr:nvSpPr>
        <xdr:cNvPr id="208" name="TextBox 207"/>
        <xdr:cNvSpPr txBox="1"/>
      </xdr:nvSpPr>
      <xdr:spPr>
        <a:xfrm>
          <a:off x="5834592" y="55425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87</xdr:row>
      <xdr:rowOff>0</xdr:rowOff>
    </xdr:from>
    <xdr:ext cx="184731" cy="264560"/>
    <xdr:sp macro="" textlink="">
      <xdr:nvSpPr>
        <xdr:cNvPr id="209" name="TextBox 208"/>
        <xdr:cNvSpPr txBox="1"/>
      </xdr:nvSpPr>
      <xdr:spPr>
        <a:xfrm>
          <a:off x="5834592" y="52406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87</xdr:row>
      <xdr:rowOff>0</xdr:rowOff>
    </xdr:from>
    <xdr:ext cx="184731" cy="264560"/>
    <xdr:sp macro="" textlink="">
      <xdr:nvSpPr>
        <xdr:cNvPr id="210" name="TextBox 209"/>
        <xdr:cNvSpPr txBox="1"/>
      </xdr:nvSpPr>
      <xdr:spPr>
        <a:xfrm>
          <a:off x="5834592" y="52406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87</xdr:row>
      <xdr:rowOff>0</xdr:rowOff>
    </xdr:from>
    <xdr:ext cx="184731" cy="264560"/>
    <xdr:sp macro="" textlink="">
      <xdr:nvSpPr>
        <xdr:cNvPr id="211" name="TextBox 210"/>
        <xdr:cNvSpPr txBox="1"/>
      </xdr:nvSpPr>
      <xdr:spPr>
        <a:xfrm>
          <a:off x="5834592" y="52406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87</xdr:row>
      <xdr:rowOff>0</xdr:rowOff>
    </xdr:from>
    <xdr:ext cx="184731" cy="264560"/>
    <xdr:sp macro="" textlink="">
      <xdr:nvSpPr>
        <xdr:cNvPr id="212" name="TextBox 211"/>
        <xdr:cNvSpPr txBox="1"/>
      </xdr:nvSpPr>
      <xdr:spPr>
        <a:xfrm>
          <a:off x="5834592" y="52406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87</xdr:row>
      <xdr:rowOff>0</xdr:rowOff>
    </xdr:from>
    <xdr:ext cx="184731" cy="264560"/>
    <xdr:sp macro="" textlink="">
      <xdr:nvSpPr>
        <xdr:cNvPr id="213" name="TextBox 212"/>
        <xdr:cNvSpPr txBox="1"/>
      </xdr:nvSpPr>
      <xdr:spPr>
        <a:xfrm>
          <a:off x="5834592" y="52406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87</xdr:row>
      <xdr:rowOff>0</xdr:rowOff>
    </xdr:from>
    <xdr:ext cx="184731" cy="264560"/>
    <xdr:sp macro="" textlink="">
      <xdr:nvSpPr>
        <xdr:cNvPr id="214" name="TextBox 213"/>
        <xdr:cNvSpPr txBox="1"/>
      </xdr:nvSpPr>
      <xdr:spPr>
        <a:xfrm>
          <a:off x="5834592" y="52406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87</xdr:row>
      <xdr:rowOff>0</xdr:rowOff>
    </xdr:from>
    <xdr:ext cx="184731" cy="264560"/>
    <xdr:sp macro="" textlink="">
      <xdr:nvSpPr>
        <xdr:cNvPr id="215" name="TextBox 214"/>
        <xdr:cNvSpPr txBox="1"/>
      </xdr:nvSpPr>
      <xdr:spPr>
        <a:xfrm>
          <a:off x="5834592" y="52406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106</xdr:row>
      <xdr:rowOff>0</xdr:rowOff>
    </xdr:from>
    <xdr:ext cx="184731" cy="264560"/>
    <xdr:sp macro="" textlink="">
      <xdr:nvSpPr>
        <xdr:cNvPr id="216" name="TextBox 215"/>
        <xdr:cNvSpPr txBox="1"/>
      </xdr:nvSpPr>
      <xdr:spPr>
        <a:xfrm>
          <a:off x="5834592" y="63598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106</xdr:row>
      <xdr:rowOff>0</xdr:rowOff>
    </xdr:from>
    <xdr:ext cx="184731" cy="264560"/>
    <xdr:sp macro="" textlink="">
      <xdr:nvSpPr>
        <xdr:cNvPr id="217" name="TextBox 216"/>
        <xdr:cNvSpPr txBox="1"/>
      </xdr:nvSpPr>
      <xdr:spPr>
        <a:xfrm>
          <a:off x="5834592" y="63598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118</xdr:row>
      <xdr:rowOff>0</xdr:rowOff>
    </xdr:from>
    <xdr:ext cx="184731" cy="264560"/>
    <xdr:sp macro="" textlink="">
      <xdr:nvSpPr>
        <xdr:cNvPr id="218" name="TextBox 217"/>
        <xdr:cNvSpPr txBox="1"/>
      </xdr:nvSpPr>
      <xdr:spPr>
        <a:xfrm>
          <a:off x="5834592" y="6958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118</xdr:row>
      <xdr:rowOff>0</xdr:rowOff>
    </xdr:from>
    <xdr:ext cx="184731" cy="264560"/>
    <xdr:sp macro="" textlink="">
      <xdr:nvSpPr>
        <xdr:cNvPr id="219" name="TextBox 218"/>
        <xdr:cNvSpPr txBox="1"/>
      </xdr:nvSpPr>
      <xdr:spPr>
        <a:xfrm>
          <a:off x="5834592" y="6958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118</xdr:row>
      <xdr:rowOff>0</xdr:rowOff>
    </xdr:from>
    <xdr:ext cx="184731" cy="264560"/>
    <xdr:sp macro="" textlink="">
      <xdr:nvSpPr>
        <xdr:cNvPr id="220" name="TextBox 219"/>
        <xdr:cNvSpPr txBox="1"/>
      </xdr:nvSpPr>
      <xdr:spPr>
        <a:xfrm>
          <a:off x="5834592" y="6958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118</xdr:row>
      <xdr:rowOff>0</xdr:rowOff>
    </xdr:from>
    <xdr:ext cx="184731" cy="264560"/>
    <xdr:sp macro="" textlink="">
      <xdr:nvSpPr>
        <xdr:cNvPr id="221" name="TextBox 220"/>
        <xdr:cNvSpPr txBox="1"/>
      </xdr:nvSpPr>
      <xdr:spPr>
        <a:xfrm>
          <a:off x="5834592" y="6958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118</xdr:row>
      <xdr:rowOff>0</xdr:rowOff>
    </xdr:from>
    <xdr:ext cx="184731" cy="264560"/>
    <xdr:sp macro="" textlink="">
      <xdr:nvSpPr>
        <xdr:cNvPr id="222" name="TextBox 221"/>
        <xdr:cNvSpPr txBox="1"/>
      </xdr:nvSpPr>
      <xdr:spPr>
        <a:xfrm>
          <a:off x="5834592" y="6958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118</xdr:row>
      <xdr:rowOff>0</xdr:rowOff>
    </xdr:from>
    <xdr:ext cx="184731" cy="264560"/>
    <xdr:sp macro="" textlink="">
      <xdr:nvSpPr>
        <xdr:cNvPr id="223" name="TextBox 222"/>
        <xdr:cNvSpPr txBox="1"/>
      </xdr:nvSpPr>
      <xdr:spPr>
        <a:xfrm>
          <a:off x="5834592" y="6958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118</xdr:row>
      <xdr:rowOff>0</xdr:rowOff>
    </xdr:from>
    <xdr:ext cx="184731" cy="264560"/>
    <xdr:sp macro="" textlink="">
      <xdr:nvSpPr>
        <xdr:cNvPr id="224" name="TextBox 223"/>
        <xdr:cNvSpPr txBox="1"/>
      </xdr:nvSpPr>
      <xdr:spPr>
        <a:xfrm>
          <a:off x="5834592" y="6958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118</xdr:row>
      <xdr:rowOff>0</xdr:rowOff>
    </xdr:from>
    <xdr:ext cx="184731" cy="264560"/>
    <xdr:sp macro="" textlink="">
      <xdr:nvSpPr>
        <xdr:cNvPr id="225" name="TextBox 224"/>
        <xdr:cNvSpPr txBox="1"/>
      </xdr:nvSpPr>
      <xdr:spPr>
        <a:xfrm>
          <a:off x="5834592" y="6958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118</xdr:row>
      <xdr:rowOff>0</xdr:rowOff>
    </xdr:from>
    <xdr:ext cx="184731" cy="264560"/>
    <xdr:sp macro="" textlink="">
      <xdr:nvSpPr>
        <xdr:cNvPr id="226" name="TextBox 225"/>
        <xdr:cNvSpPr txBox="1"/>
      </xdr:nvSpPr>
      <xdr:spPr>
        <a:xfrm>
          <a:off x="5834592" y="6958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121</xdr:row>
      <xdr:rowOff>0</xdr:rowOff>
    </xdr:from>
    <xdr:ext cx="184731" cy="264560"/>
    <xdr:sp macro="" textlink="">
      <xdr:nvSpPr>
        <xdr:cNvPr id="227" name="TextBox 226"/>
        <xdr:cNvSpPr txBox="1"/>
      </xdr:nvSpPr>
      <xdr:spPr>
        <a:xfrm>
          <a:off x="5834592" y="7198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122</xdr:row>
      <xdr:rowOff>0</xdr:rowOff>
    </xdr:from>
    <xdr:ext cx="184731" cy="264560"/>
    <xdr:sp macro="" textlink="">
      <xdr:nvSpPr>
        <xdr:cNvPr id="228" name="TextBox 227"/>
        <xdr:cNvSpPr txBox="1"/>
      </xdr:nvSpPr>
      <xdr:spPr>
        <a:xfrm>
          <a:off x="5834592" y="72666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122</xdr:row>
      <xdr:rowOff>0</xdr:rowOff>
    </xdr:from>
    <xdr:ext cx="184731" cy="264560"/>
    <xdr:sp macro="" textlink="">
      <xdr:nvSpPr>
        <xdr:cNvPr id="229" name="TextBox 228"/>
        <xdr:cNvSpPr txBox="1"/>
      </xdr:nvSpPr>
      <xdr:spPr>
        <a:xfrm>
          <a:off x="5834592" y="72666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122</xdr:row>
      <xdr:rowOff>0</xdr:rowOff>
    </xdr:from>
    <xdr:ext cx="184731" cy="264560"/>
    <xdr:sp macro="" textlink="">
      <xdr:nvSpPr>
        <xdr:cNvPr id="230" name="TextBox 229"/>
        <xdr:cNvSpPr txBox="1"/>
      </xdr:nvSpPr>
      <xdr:spPr>
        <a:xfrm>
          <a:off x="5834592" y="72666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122</xdr:row>
      <xdr:rowOff>0</xdr:rowOff>
    </xdr:from>
    <xdr:ext cx="184731" cy="264560"/>
    <xdr:sp macro="" textlink="">
      <xdr:nvSpPr>
        <xdr:cNvPr id="231" name="TextBox 230"/>
        <xdr:cNvSpPr txBox="1"/>
      </xdr:nvSpPr>
      <xdr:spPr>
        <a:xfrm>
          <a:off x="5834592" y="72666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122</xdr:row>
      <xdr:rowOff>0</xdr:rowOff>
    </xdr:from>
    <xdr:ext cx="184731" cy="264560"/>
    <xdr:sp macro="" textlink="">
      <xdr:nvSpPr>
        <xdr:cNvPr id="232" name="TextBox 231"/>
        <xdr:cNvSpPr txBox="1"/>
      </xdr:nvSpPr>
      <xdr:spPr>
        <a:xfrm>
          <a:off x="5834592" y="72666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122</xdr:row>
      <xdr:rowOff>0</xdr:rowOff>
    </xdr:from>
    <xdr:ext cx="184731" cy="264560"/>
    <xdr:sp macro="" textlink="">
      <xdr:nvSpPr>
        <xdr:cNvPr id="233" name="TextBox 232"/>
        <xdr:cNvSpPr txBox="1"/>
      </xdr:nvSpPr>
      <xdr:spPr>
        <a:xfrm>
          <a:off x="5834592" y="72666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122</xdr:row>
      <xdr:rowOff>0</xdr:rowOff>
    </xdr:from>
    <xdr:ext cx="184731" cy="264560"/>
    <xdr:sp macro="" textlink="">
      <xdr:nvSpPr>
        <xdr:cNvPr id="234" name="TextBox 233"/>
        <xdr:cNvSpPr txBox="1"/>
      </xdr:nvSpPr>
      <xdr:spPr>
        <a:xfrm>
          <a:off x="5834592" y="72666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122</xdr:row>
      <xdr:rowOff>0</xdr:rowOff>
    </xdr:from>
    <xdr:ext cx="184731" cy="264560"/>
    <xdr:sp macro="" textlink="">
      <xdr:nvSpPr>
        <xdr:cNvPr id="235" name="TextBox 234"/>
        <xdr:cNvSpPr txBox="1"/>
      </xdr:nvSpPr>
      <xdr:spPr>
        <a:xfrm>
          <a:off x="5834592" y="72666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122</xdr:row>
      <xdr:rowOff>0</xdr:rowOff>
    </xdr:from>
    <xdr:ext cx="184731" cy="264560"/>
    <xdr:sp macro="" textlink="">
      <xdr:nvSpPr>
        <xdr:cNvPr id="236" name="TextBox 235"/>
        <xdr:cNvSpPr txBox="1"/>
      </xdr:nvSpPr>
      <xdr:spPr>
        <a:xfrm>
          <a:off x="5834592" y="72666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126</xdr:row>
      <xdr:rowOff>0</xdr:rowOff>
    </xdr:from>
    <xdr:ext cx="184731" cy="264560"/>
    <xdr:sp macro="" textlink="">
      <xdr:nvSpPr>
        <xdr:cNvPr id="237" name="TextBox 236"/>
        <xdr:cNvSpPr txBox="1"/>
      </xdr:nvSpPr>
      <xdr:spPr>
        <a:xfrm>
          <a:off x="5834592" y="7547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126</xdr:row>
      <xdr:rowOff>0</xdr:rowOff>
    </xdr:from>
    <xdr:ext cx="184731" cy="264560"/>
    <xdr:sp macro="" textlink="">
      <xdr:nvSpPr>
        <xdr:cNvPr id="238" name="TextBox 237"/>
        <xdr:cNvSpPr txBox="1"/>
      </xdr:nvSpPr>
      <xdr:spPr>
        <a:xfrm>
          <a:off x="5834592" y="7547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126</xdr:row>
      <xdr:rowOff>0</xdr:rowOff>
    </xdr:from>
    <xdr:ext cx="184731" cy="264560"/>
    <xdr:sp macro="" textlink="">
      <xdr:nvSpPr>
        <xdr:cNvPr id="239" name="TextBox 238"/>
        <xdr:cNvSpPr txBox="1"/>
      </xdr:nvSpPr>
      <xdr:spPr>
        <a:xfrm>
          <a:off x="5834592" y="7547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126</xdr:row>
      <xdr:rowOff>0</xdr:rowOff>
    </xdr:from>
    <xdr:ext cx="184731" cy="264560"/>
    <xdr:sp macro="" textlink="">
      <xdr:nvSpPr>
        <xdr:cNvPr id="240" name="TextBox 239"/>
        <xdr:cNvSpPr txBox="1"/>
      </xdr:nvSpPr>
      <xdr:spPr>
        <a:xfrm>
          <a:off x="5834592" y="7547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126</xdr:row>
      <xdr:rowOff>0</xdr:rowOff>
    </xdr:from>
    <xdr:ext cx="184731" cy="264560"/>
    <xdr:sp macro="" textlink="">
      <xdr:nvSpPr>
        <xdr:cNvPr id="241" name="TextBox 240"/>
        <xdr:cNvSpPr txBox="1"/>
      </xdr:nvSpPr>
      <xdr:spPr>
        <a:xfrm>
          <a:off x="5834592" y="7547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126</xdr:row>
      <xdr:rowOff>0</xdr:rowOff>
    </xdr:from>
    <xdr:ext cx="184731" cy="264560"/>
    <xdr:sp macro="" textlink="">
      <xdr:nvSpPr>
        <xdr:cNvPr id="242" name="TextBox 241"/>
        <xdr:cNvSpPr txBox="1"/>
      </xdr:nvSpPr>
      <xdr:spPr>
        <a:xfrm>
          <a:off x="5834592" y="7547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126</xdr:row>
      <xdr:rowOff>0</xdr:rowOff>
    </xdr:from>
    <xdr:ext cx="184731" cy="264560"/>
    <xdr:sp macro="" textlink="">
      <xdr:nvSpPr>
        <xdr:cNvPr id="243" name="TextBox 242"/>
        <xdr:cNvSpPr txBox="1"/>
      </xdr:nvSpPr>
      <xdr:spPr>
        <a:xfrm>
          <a:off x="5834592" y="7547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126</xdr:row>
      <xdr:rowOff>0</xdr:rowOff>
    </xdr:from>
    <xdr:ext cx="184731" cy="264560"/>
    <xdr:sp macro="" textlink="">
      <xdr:nvSpPr>
        <xdr:cNvPr id="244" name="TextBox 243"/>
        <xdr:cNvSpPr txBox="1"/>
      </xdr:nvSpPr>
      <xdr:spPr>
        <a:xfrm>
          <a:off x="5834592" y="7547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126</xdr:row>
      <xdr:rowOff>0</xdr:rowOff>
    </xdr:from>
    <xdr:ext cx="184731" cy="264560"/>
    <xdr:sp macro="" textlink="">
      <xdr:nvSpPr>
        <xdr:cNvPr id="245" name="TextBox 244"/>
        <xdr:cNvSpPr txBox="1"/>
      </xdr:nvSpPr>
      <xdr:spPr>
        <a:xfrm>
          <a:off x="5834592" y="7547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126</xdr:row>
      <xdr:rowOff>0</xdr:rowOff>
    </xdr:from>
    <xdr:ext cx="184731" cy="264560"/>
    <xdr:sp macro="" textlink="">
      <xdr:nvSpPr>
        <xdr:cNvPr id="246" name="TextBox 245"/>
        <xdr:cNvSpPr txBox="1"/>
      </xdr:nvSpPr>
      <xdr:spPr>
        <a:xfrm>
          <a:off x="5834592" y="7547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121</xdr:row>
      <xdr:rowOff>0</xdr:rowOff>
    </xdr:from>
    <xdr:ext cx="184731" cy="264560"/>
    <xdr:sp macro="" textlink="">
      <xdr:nvSpPr>
        <xdr:cNvPr id="247" name="TextBox 246"/>
        <xdr:cNvSpPr txBox="1"/>
      </xdr:nvSpPr>
      <xdr:spPr>
        <a:xfrm>
          <a:off x="5834592" y="71980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48" name="TextBox 247"/>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49" name="TextBox 248"/>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50" name="TextBox 249"/>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51" name="TextBox 250"/>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52" name="TextBox 251"/>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53" name="TextBox 252"/>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54" name="TextBox 253"/>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55" name="TextBox 254"/>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56" name="TextBox 255"/>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57" name="TextBox 256"/>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58" name="TextBox 257"/>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59" name="TextBox 258"/>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60" name="TextBox 259"/>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61" name="TextBox 260"/>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62" name="TextBox 261"/>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63" name="TextBox 262"/>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64" name="TextBox 263"/>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65" name="TextBox 264"/>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66" name="TextBox 265"/>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67" name="TextBox 266"/>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68" name="TextBox 267"/>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69" name="TextBox 268"/>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125</xdr:row>
      <xdr:rowOff>0</xdr:rowOff>
    </xdr:from>
    <xdr:ext cx="184731" cy="264560"/>
    <xdr:sp macro="" textlink="">
      <xdr:nvSpPr>
        <xdr:cNvPr id="270" name="TextBox 269"/>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71" name="TextBox 270"/>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72" name="TextBox 271"/>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73" name="TextBox 272"/>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74" name="TextBox 273"/>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75" name="TextBox 274"/>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76" name="TextBox 275"/>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77" name="TextBox 276"/>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78" name="TextBox 277"/>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79" name="TextBox 278"/>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80" name="TextBox 279"/>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81" name="TextBox 280"/>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82" name="TextBox 281"/>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83" name="TextBox 282"/>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84" name="TextBox 283"/>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85" name="TextBox 284"/>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86" name="TextBox 285"/>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87" name="TextBox 286"/>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88" name="TextBox 287"/>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89" name="TextBox 288"/>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90" name="TextBox 289"/>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91" name="TextBox 290"/>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92" name="TextBox 291"/>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93" name="TextBox 292"/>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94" name="TextBox 293"/>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125</xdr:row>
      <xdr:rowOff>0</xdr:rowOff>
    </xdr:from>
    <xdr:ext cx="184731" cy="264560"/>
    <xdr:sp macro="" textlink="">
      <xdr:nvSpPr>
        <xdr:cNvPr id="295" name="TextBox 294"/>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96" name="TextBox 295"/>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97" name="TextBox 296"/>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98" name="TextBox 297"/>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299" name="TextBox 298"/>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300" name="TextBox 299"/>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301" name="TextBox 300"/>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302" name="TextBox 301"/>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303" name="TextBox 302"/>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125</xdr:row>
      <xdr:rowOff>0</xdr:rowOff>
    </xdr:from>
    <xdr:ext cx="184731" cy="264560"/>
    <xdr:sp macro="" textlink="">
      <xdr:nvSpPr>
        <xdr:cNvPr id="304" name="TextBox 303"/>
        <xdr:cNvSpPr txBox="1"/>
      </xdr:nvSpPr>
      <xdr:spPr>
        <a:xfrm>
          <a:off x="583459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6</xdr:col>
      <xdr:colOff>1005417</xdr:colOff>
      <xdr:row>125</xdr:row>
      <xdr:rowOff>0</xdr:rowOff>
    </xdr:from>
    <xdr:ext cx="184731" cy="264560"/>
    <xdr:sp macro="" textlink="">
      <xdr:nvSpPr>
        <xdr:cNvPr id="305" name="TextBox 304"/>
        <xdr:cNvSpPr txBox="1"/>
      </xdr:nvSpPr>
      <xdr:spPr>
        <a:xfrm>
          <a:off x="9435042" y="7444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129</xdr:row>
      <xdr:rowOff>0</xdr:rowOff>
    </xdr:from>
    <xdr:ext cx="184731" cy="264560"/>
    <xdr:sp macro="" textlink="">
      <xdr:nvSpPr>
        <xdr:cNvPr id="306" name="TextBox 305"/>
        <xdr:cNvSpPr txBox="1"/>
      </xdr:nvSpPr>
      <xdr:spPr>
        <a:xfrm>
          <a:off x="5834592" y="77019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129</xdr:row>
      <xdr:rowOff>0</xdr:rowOff>
    </xdr:from>
    <xdr:ext cx="184731" cy="264560"/>
    <xdr:sp macro="" textlink="">
      <xdr:nvSpPr>
        <xdr:cNvPr id="307" name="TextBox 306"/>
        <xdr:cNvSpPr txBox="1"/>
      </xdr:nvSpPr>
      <xdr:spPr>
        <a:xfrm>
          <a:off x="5834592" y="77019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129</xdr:row>
      <xdr:rowOff>0</xdr:rowOff>
    </xdr:from>
    <xdr:ext cx="184731" cy="264560"/>
    <xdr:sp macro="" textlink="">
      <xdr:nvSpPr>
        <xdr:cNvPr id="308" name="TextBox 307"/>
        <xdr:cNvSpPr txBox="1"/>
      </xdr:nvSpPr>
      <xdr:spPr>
        <a:xfrm>
          <a:off x="5834592" y="77019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129</xdr:row>
      <xdr:rowOff>0</xdr:rowOff>
    </xdr:from>
    <xdr:ext cx="184731" cy="264560"/>
    <xdr:sp macro="" textlink="">
      <xdr:nvSpPr>
        <xdr:cNvPr id="309" name="TextBox 308"/>
        <xdr:cNvSpPr txBox="1"/>
      </xdr:nvSpPr>
      <xdr:spPr>
        <a:xfrm>
          <a:off x="5834592" y="77019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129</xdr:row>
      <xdr:rowOff>0</xdr:rowOff>
    </xdr:from>
    <xdr:ext cx="184731" cy="264560"/>
    <xdr:sp macro="" textlink="">
      <xdr:nvSpPr>
        <xdr:cNvPr id="310" name="TextBox 309"/>
        <xdr:cNvSpPr txBox="1"/>
      </xdr:nvSpPr>
      <xdr:spPr>
        <a:xfrm>
          <a:off x="5834592" y="77019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129</xdr:row>
      <xdr:rowOff>0</xdr:rowOff>
    </xdr:from>
    <xdr:ext cx="184731" cy="264560"/>
    <xdr:sp macro="" textlink="">
      <xdr:nvSpPr>
        <xdr:cNvPr id="311" name="TextBox 310"/>
        <xdr:cNvSpPr txBox="1"/>
      </xdr:nvSpPr>
      <xdr:spPr>
        <a:xfrm>
          <a:off x="5834592" y="77019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129</xdr:row>
      <xdr:rowOff>0</xdr:rowOff>
    </xdr:from>
    <xdr:ext cx="184731" cy="264560"/>
    <xdr:sp macro="" textlink="">
      <xdr:nvSpPr>
        <xdr:cNvPr id="312" name="TextBox 311"/>
        <xdr:cNvSpPr txBox="1"/>
      </xdr:nvSpPr>
      <xdr:spPr>
        <a:xfrm>
          <a:off x="5834592" y="77019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129</xdr:row>
      <xdr:rowOff>0</xdr:rowOff>
    </xdr:from>
    <xdr:ext cx="184731" cy="264560"/>
    <xdr:sp macro="" textlink="">
      <xdr:nvSpPr>
        <xdr:cNvPr id="313" name="TextBox 312"/>
        <xdr:cNvSpPr txBox="1"/>
      </xdr:nvSpPr>
      <xdr:spPr>
        <a:xfrm>
          <a:off x="5834592" y="77019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129</xdr:row>
      <xdr:rowOff>0</xdr:rowOff>
    </xdr:from>
    <xdr:ext cx="184731" cy="264560"/>
    <xdr:sp macro="" textlink="">
      <xdr:nvSpPr>
        <xdr:cNvPr id="314" name="TextBox 313"/>
        <xdr:cNvSpPr txBox="1"/>
      </xdr:nvSpPr>
      <xdr:spPr>
        <a:xfrm>
          <a:off x="5834592" y="77019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19</xdr:row>
      <xdr:rowOff>0</xdr:rowOff>
    </xdr:from>
    <xdr:ext cx="184731" cy="264560"/>
    <xdr:sp macro="" textlink="">
      <xdr:nvSpPr>
        <xdr:cNvPr id="315" name="TextBox 314"/>
        <xdr:cNvSpPr txBox="1"/>
      </xdr:nvSpPr>
      <xdr:spPr>
        <a:xfrm>
          <a:off x="5834592" y="1052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19</xdr:row>
      <xdr:rowOff>0</xdr:rowOff>
    </xdr:from>
    <xdr:ext cx="184731" cy="264560"/>
    <xdr:sp macro="" textlink="">
      <xdr:nvSpPr>
        <xdr:cNvPr id="316" name="TextBox 315"/>
        <xdr:cNvSpPr txBox="1"/>
      </xdr:nvSpPr>
      <xdr:spPr>
        <a:xfrm>
          <a:off x="5834592" y="1052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19</xdr:row>
      <xdr:rowOff>0</xdr:rowOff>
    </xdr:from>
    <xdr:ext cx="184731" cy="264560"/>
    <xdr:sp macro="" textlink="">
      <xdr:nvSpPr>
        <xdr:cNvPr id="317" name="TextBox 316"/>
        <xdr:cNvSpPr txBox="1"/>
      </xdr:nvSpPr>
      <xdr:spPr>
        <a:xfrm>
          <a:off x="5834592" y="1052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19</xdr:row>
      <xdr:rowOff>0</xdr:rowOff>
    </xdr:from>
    <xdr:ext cx="184731" cy="264560"/>
    <xdr:sp macro="" textlink="">
      <xdr:nvSpPr>
        <xdr:cNvPr id="318" name="TextBox 317"/>
        <xdr:cNvSpPr txBox="1"/>
      </xdr:nvSpPr>
      <xdr:spPr>
        <a:xfrm>
          <a:off x="5834592" y="1052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19</xdr:row>
      <xdr:rowOff>0</xdr:rowOff>
    </xdr:from>
    <xdr:ext cx="184731" cy="264560"/>
    <xdr:sp macro="" textlink="">
      <xdr:nvSpPr>
        <xdr:cNvPr id="319" name="TextBox 318"/>
        <xdr:cNvSpPr txBox="1"/>
      </xdr:nvSpPr>
      <xdr:spPr>
        <a:xfrm>
          <a:off x="5834592" y="1052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19</xdr:row>
      <xdr:rowOff>0</xdr:rowOff>
    </xdr:from>
    <xdr:ext cx="184731" cy="264560"/>
    <xdr:sp macro="" textlink="">
      <xdr:nvSpPr>
        <xdr:cNvPr id="320" name="TextBox 319"/>
        <xdr:cNvSpPr txBox="1"/>
      </xdr:nvSpPr>
      <xdr:spPr>
        <a:xfrm>
          <a:off x="5834592" y="1052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19</xdr:row>
      <xdr:rowOff>0</xdr:rowOff>
    </xdr:from>
    <xdr:ext cx="184731" cy="264560"/>
    <xdr:sp macro="" textlink="">
      <xdr:nvSpPr>
        <xdr:cNvPr id="321" name="TextBox 320"/>
        <xdr:cNvSpPr txBox="1"/>
      </xdr:nvSpPr>
      <xdr:spPr>
        <a:xfrm>
          <a:off x="5834592" y="1052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19</xdr:row>
      <xdr:rowOff>0</xdr:rowOff>
    </xdr:from>
    <xdr:ext cx="184731" cy="264560"/>
    <xdr:sp macro="" textlink="">
      <xdr:nvSpPr>
        <xdr:cNvPr id="322" name="TextBox 321"/>
        <xdr:cNvSpPr txBox="1"/>
      </xdr:nvSpPr>
      <xdr:spPr>
        <a:xfrm>
          <a:off x="5834592" y="1052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19</xdr:row>
      <xdr:rowOff>0</xdr:rowOff>
    </xdr:from>
    <xdr:ext cx="184731" cy="264560"/>
    <xdr:sp macro="" textlink="">
      <xdr:nvSpPr>
        <xdr:cNvPr id="323" name="TextBox 322"/>
        <xdr:cNvSpPr txBox="1"/>
      </xdr:nvSpPr>
      <xdr:spPr>
        <a:xfrm>
          <a:off x="5834592" y="1052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24" name="TextBox 323"/>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25" name="TextBox 324"/>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26" name="TextBox 325"/>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27" name="TextBox 326"/>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28" name="TextBox 327"/>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29" name="TextBox 328"/>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30" name="TextBox 329"/>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31" name="TextBox 330"/>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32" name="TextBox 331"/>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33" name="TextBox 332"/>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34" name="TextBox 333"/>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35" name="TextBox 334"/>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36" name="TextBox 335"/>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37" name="TextBox 336"/>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38" name="TextBox 337"/>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39" name="TextBox 338"/>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40" name="TextBox 339"/>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41" name="TextBox 340"/>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42" name="TextBox 341"/>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43" name="TextBox 342"/>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44" name="TextBox 343"/>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14</xdr:row>
      <xdr:rowOff>0</xdr:rowOff>
    </xdr:from>
    <xdr:ext cx="184731" cy="264560"/>
    <xdr:sp macro="" textlink="">
      <xdr:nvSpPr>
        <xdr:cNvPr id="345" name="TextBox 344"/>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46" name="TextBox 345"/>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47" name="TextBox 346"/>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48" name="TextBox 347"/>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49" name="TextBox 348"/>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50" name="TextBox 349"/>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51" name="TextBox 350"/>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52" name="TextBox 351"/>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53" name="TextBox 352"/>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6</xdr:col>
      <xdr:colOff>1005417</xdr:colOff>
      <xdr:row>14</xdr:row>
      <xdr:rowOff>0</xdr:rowOff>
    </xdr:from>
    <xdr:ext cx="184731" cy="264560"/>
    <xdr:sp macro="" textlink="">
      <xdr:nvSpPr>
        <xdr:cNvPr id="354" name="TextBox 353"/>
        <xdr:cNvSpPr txBox="1"/>
      </xdr:nvSpPr>
      <xdr:spPr>
        <a:xfrm>
          <a:off x="943504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55" name="TextBox 354"/>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56" name="TextBox 355"/>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57" name="TextBox 356"/>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58" name="TextBox 357"/>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59" name="TextBox 358"/>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60" name="TextBox 359"/>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61" name="TextBox 360"/>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62" name="TextBox 361"/>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63" name="TextBox 362"/>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64" name="TextBox 363"/>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65" name="TextBox 364"/>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66" name="TextBox 365"/>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67" name="TextBox 366"/>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68" name="TextBox 367"/>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69" name="TextBox 368"/>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70" name="TextBox 369"/>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a:p>
      </xdr:txBody>
    </xdr:sp>
    <xdr:clientData/>
  </xdr:oneCellAnchor>
  <xdr:oneCellAnchor>
    <xdr:from>
      <xdr:col>5</xdr:col>
      <xdr:colOff>1005417</xdr:colOff>
      <xdr:row>14</xdr:row>
      <xdr:rowOff>0</xdr:rowOff>
    </xdr:from>
    <xdr:ext cx="184731" cy="264560"/>
    <xdr:sp macro="" textlink="">
      <xdr:nvSpPr>
        <xdr:cNvPr id="371" name="TextBox 370"/>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72" name="TextBox 371"/>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73" name="TextBox 372"/>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74" name="TextBox 373"/>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75" name="TextBox 374"/>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76" name="TextBox 375"/>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77" name="TextBox 376"/>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78" name="TextBox 377"/>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79" name="TextBox 378"/>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14</xdr:row>
      <xdr:rowOff>0</xdr:rowOff>
    </xdr:from>
    <xdr:ext cx="184731" cy="264560"/>
    <xdr:sp macro="" textlink="">
      <xdr:nvSpPr>
        <xdr:cNvPr id="380" name="TextBox 379"/>
        <xdr:cNvSpPr txBox="1"/>
      </xdr:nvSpPr>
      <xdr:spPr>
        <a:xfrm>
          <a:off x="5834592" y="7267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81" name="TextBox 380"/>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82" name="TextBox 381"/>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83" name="TextBox 382"/>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84" name="TextBox 383"/>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85" name="TextBox 384"/>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86" name="TextBox 385"/>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87" name="TextBox 386"/>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88" name="TextBox 387"/>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89" name="TextBox 388"/>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90" name="TextBox 389"/>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91" name="TextBox 390"/>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92" name="TextBox 391"/>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93" name="TextBox 392"/>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94" name="TextBox 393"/>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95" name="TextBox 394"/>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96" name="TextBox 395"/>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97" name="TextBox 396"/>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98" name="TextBox 397"/>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399" name="TextBox 398"/>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400" name="TextBox 399"/>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401" name="TextBox 400"/>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402" name="TextBox 401"/>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403" name="TextBox 402"/>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404" name="TextBox 403"/>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0</xdr:row>
      <xdr:rowOff>0</xdr:rowOff>
    </xdr:from>
    <xdr:ext cx="184731" cy="264560"/>
    <xdr:sp macro="" textlink="">
      <xdr:nvSpPr>
        <xdr:cNvPr id="405" name="TextBox 404"/>
        <xdr:cNvSpPr txBox="1"/>
      </xdr:nvSpPr>
      <xdr:spPr>
        <a:xfrm>
          <a:off x="5834592"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xdr:row>
      <xdr:rowOff>0</xdr:rowOff>
    </xdr:from>
    <xdr:ext cx="184731" cy="264560"/>
    <xdr:sp macro="" textlink="">
      <xdr:nvSpPr>
        <xdr:cNvPr id="406" name="TextBox 405"/>
        <xdr:cNvSpPr txBox="1"/>
      </xdr:nvSpPr>
      <xdr:spPr>
        <a:xfrm>
          <a:off x="583459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oneCellAnchor>
    <xdr:from>
      <xdr:col>5</xdr:col>
      <xdr:colOff>1005417</xdr:colOff>
      <xdr:row>4</xdr:row>
      <xdr:rowOff>0</xdr:rowOff>
    </xdr:from>
    <xdr:ext cx="184731" cy="264560"/>
    <xdr:sp macro="" textlink="">
      <xdr:nvSpPr>
        <xdr:cNvPr id="407" name="TextBox 406"/>
        <xdr:cNvSpPr txBox="1"/>
      </xdr:nvSpPr>
      <xdr:spPr>
        <a:xfrm>
          <a:off x="5834592"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ko-KR" altLang="en-US" sz="1100"/>
        </a:p>
      </xdr:txBody>
    </xdr:sp>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6"/>
  <sheetViews>
    <sheetView tabSelected="1" view="pageBreakPreview" zoomScaleSheetLayoutView="100" workbookViewId="0"/>
  </sheetViews>
  <sheetFormatPr defaultRowHeight="13.5"/>
  <cols>
    <col min="6" max="6" width="10.6640625" customWidth="1"/>
  </cols>
  <sheetData>
    <row r="1" spans="2:20" ht="31.5">
      <c r="B1" s="299" t="s">
        <v>4999</v>
      </c>
      <c r="C1" s="300"/>
      <c r="D1" s="300"/>
      <c r="E1" s="300"/>
      <c r="F1" s="300"/>
      <c r="G1" s="300"/>
      <c r="H1" s="300"/>
      <c r="I1" s="300"/>
      <c r="J1" s="300"/>
      <c r="K1" s="300"/>
      <c r="L1" s="300"/>
      <c r="M1" s="300"/>
      <c r="N1" s="300"/>
      <c r="O1" s="300"/>
      <c r="P1" s="300"/>
      <c r="Q1" s="300"/>
      <c r="R1" s="300"/>
      <c r="S1" s="300"/>
    </row>
    <row r="2" spans="2:20" ht="15" thickBot="1">
      <c r="B2" s="27"/>
      <c r="C2" s="28"/>
      <c r="D2" s="28"/>
      <c r="E2" s="29"/>
      <c r="F2" s="29"/>
      <c r="G2" s="29"/>
      <c r="H2" s="29"/>
      <c r="I2" s="29"/>
      <c r="J2" s="29"/>
      <c r="K2" s="29"/>
      <c r="L2" s="29"/>
      <c r="M2" s="29"/>
      <c r="N2" s="29"/>
      <c r="O2" s="29"/>
      <c r="P2" s="29"/>
      <c r="Q2" s="29"/>
      <c r="R2" s="301" t="s">
        <v>6</v>
      </c>
      <c r="S2" s="301"/>
    </row>
    <row r="3" spans="2:20" ht="22.5" customHeight="1">
      <c r="B3" s="8" t="s">
        <v>7</v>
      </c>
      <c r="C3" s="88" t="s">
        <v>8</v>
      </c>
      <c r="D3" s="9" t="s">
        <v>9</v>
      </c>
      <c r="E3" s="9" t="s">
        <v>10</v>
      </c>
      <c r="F3" s="87" t="s">
        <v>11</v>
      </c>
      <c r="G3" s="9" t="s">
        <v>12</v>
      </c>
      <c r="H3" s="10" t="s">
        <v>13</v>
      </c>
      <c r="I3" s="10" t="s">
        <v>14</v>
      </c>
      <c r="J3" s="10" t="s">
        <v>15</v>
      </c>
      <c r="K3" s="10" t="s">
        <v>16</v>
      </c>
      <c r="L3" s="10" t="s">
        <v>17</v>
      </c>
      <c r="M3" s="10" t="s">
        <v>18</v>
      </c>
      <c r="N3" s="87" t="s">
        <v>19</v>
      </c>
      <c r="O3" s="10" t="s">
        <v>20</v>
      </c>
      <c r="P3" s="10" t="s">
        <v>21</v>
      </c>
      <c r="Q3" s="10" t="s">
        <v>22</v>
      </c>
      <c r="R3" s="10" t="s">
        <v>23</v>
      </c>
      <c r="S3" s="11" t="s">
        <v>24</v>
      </c>
    </row>
    <row r="4" spans="2:20" ht="35.25" customHeight="1" thickBot="1">
      <c r="B4" s="12">
        <f>SUM(C4:S4)</f>
        <v>886</v>
      </c>
      <c r="C4" s="13">
        <v>126</v>
      </c>
      <c r="D4" s="13">
        <v>37</v>
      </c>
      <c r="E4" s="13">
        <v>24</v>
      </c>
      <c r="F4" s="13">
        <v>26</v>
      </c>
      <c r="G4" s="13">
        <v>9</v>
      </c>
      <c r="H4" s="13">
        <v>10</v>
      </c>
      <c r="I4" s="13">
        <v>24</v>
      </c>
      <c r="J4" s="13">
        <v>3</v>
      </c>
      <c r="K4" s="13">
        <v>94</v>
      </c>
      <c r="L4" s="13">
        <v>75</v>
      </c>
      <c r="M4" s="13">
        <v>46</v>
      </c>
      <c r="N4" s="13">
        <v>93</v>
      </c>
      <c r="O4" s="13">
        <v>51</v>
      </c>
      <c r="P4" s="13">
        <v>105</v>
      </c>
      <c r="Q4" s="13">
        <v>77</v>
      </c>
      <c r="R4" s="13">
        <v>58</v>
      </c>
      <c r="S4" s="14">
        <v>28</v>
      </c>
    </row>
    <row r="6" spans="2:20" ht="63" customHeight="1" thickBot="1">
      <c r="B6" s="302" t="s">
        <v>7058</v>
      </c>
      <c r="C6" s="302"/>
      <c r="D6" s="302"/>
      <c r="E6" s="302"/>
      <c r="F6" s="302"/>
      <c r="G6" s="302"/>
      <c r="H6" s="302"/>
      <c r="I6" s="302"/>
      <c r="J6" s="302"/>
      <c r="K6" s="302"/>
      <c r="L6" s="302"/>
      <c r="M6" s="302"/>
      <c r="N6" s="302"/>
      <c r="O6" s="302"/>
      <c r="P6" s="302"/>
      <c r="Q6" s="302"/>
      <c r="R6" s="302"/>
      <c r="S6" s="302"/>
    </row>
    <row r="7" spans="2:20" ht="18.75" customHeight="1">
      <c r="B7" s="284" t="s">
        <v>26</v>
      </c>
      <c r="C7" s="285"/>
      <c r="D7" s="285"/>
      <c r="E7" s="285"/>
      <c r="F7" s="286"/>
      <c r="G7" s="7"/>
      <c r="H7" s="7"/>
      <c r="I7" s="7"/>
      <c r="J7" s="4"/>
      <c r="K7" s="4"/>
      <c r="M7" s="239"/>
      <c r="N7" s="239"/>
      <c r="O7" s="239"/>
      <c r="P7" s="239"/>
      <c r="Q7" s="239"/>
      <c r="R7" s="239"/>
      <c r="S7" s="239"/>
    </row>
    <row r="8" spans="2:20" ht="23.25" customHeight="1">
      <c r="B8" s="287"/>
      <c r="C8" s="288"/>
      <c r="D8" s="288"/>
      <c r="E8" s="288"/>
      <c r="F8" s="289"/>
      <c r="K8" s="5"/>
      <c r="L8" s="239"/>
      <c r="M8" s="239"/>
      <c r="N8" s="239"/>
      <c r="O8" s="239"/>
      <c r="P8" s="239"/>
      <c r="Q8" s="239"/>
      <c r="R8" s="239"/>
      <c r="S8" s="239"/>
    </row>
    <row r="9" spans="2:20" ht="16.5">
      <c r="B9" s="287"/>
      <c r="C9" s="288"/>
      <c r="D9" s="288"/>
      <c r="E9" s="288"/>
      <c r="F9" s="289"/>
      <c r="K9" s="5"/>
      <c r="L9" s="239"/>
      <c r="M9" s="239"/>
      <c r="N9" s="239"/>
      <c r="O9" s="239"/>
      <c r="P9" s="239"/>
      <c r="Q9" s="239"/>
      <c r="R9" s="239"/>
      <c r="S9" s="239"/>
    </row>
    <row r="10" spans="2:20" ht="16.5">
      <c r="B10" s="287"/>
      <c r="C10" s="288"/>
      <c r="D10" s="288"/>
      <c r="E10" s="288"/>
      <c r="F10" s="289"/>
      <c r="K10" s="5"/>
      <c r="L10" s="239"/>
      <c r="M10" s="239"/>
      <c r="N10" s="239"/>
      <c r="O10" s="239"/>
      <c r="P10" s="239"/>
      <c r="Q10" s="239"/>
      <c r="R10" s="239"/>
      <c r="S10" s="239"/>
    </row>
    <row r="11" spans="2:20" ht="16.5">
      <c r="B11" s="287"/>
      <c r="C11" s="288"/>
      <c r="D11" s="288"/>
      <c r="E11" s="288"/>
      <c r="F11" s="289"/>
      <c r="K11" s="5"/>
      <c r="L11" s="239"/>
      <c r="M11" s="239"/>
      <c r="N11" s="239"/>
      <c r="O11" s="239"/>
      <c r="P11" s="239"/>
      <c r="Q11" s="239"/>
      <c r="R11" s="239"/>
      <c r="S11" s="239"/>
    </row>
    <row r="12" spans="2:20" ht="13.5" customHeight="1">
      <c r="B12" s="287"/>
      <c r="C12" s="288"/>
      <c r="D12" s="288"/>
      <c r="E12" s="288"/>
      <c r="F12" s="289"/>
      <c r="K12" s="3"/>
      <c r="L12" s="239"/>
      <c r="M12" s="239"/>
      <c r="N12" s="239"/>
      <c r="O12" s="239"/>
      <c r="P12" s="239"/>
      <c r="Q12" s="239"/>
      <c r="R12" s="239"/>
      <c r="S12" s="239"/>
    </row>
    <row r="13" spans="2:20" ht="13.5" customHeight="1">
      <c r="B13" s="287"/>
      <c r="C13" s="288"/>
      <c r="D13" s="288"/>
      <c r="E13" s="288"/>
      <c r="F13" s="289"/>
      <c r="K13" s="3"/>
      <c r="L13" s="239"/>
      <c r="M13" s="239"/>
      <c r="N13" s="239"/>
      <c r="O13" s="239"/>
      <c r="P13" s="239"/>
      <c r="Q13" s="239"/>
      <c r="R13" s="239"/>
      <c r="S13" s="239"/>
    </row>
    <row r="14" spans="2:20" ht="72" customHeight="1" thickBot="1">
      <c r="B14" s="290"/>
      <c r="C14" s="291"/>
      <c r="D14" s="291"/>
      <c r="E14" s="291"/>
      <c r="F14" s="292"/>
    </row>
    <row r="15" spans="2:20" ht="95.25" customHeight="1">
      <c r="B15" s="293" t="s">
        <v>25</v>
      </c>
      <c r="C15" s="294"/>
      <c r="D15" s="294"/>
      <c r="E15" s="294"/>
      <c r="F15" s="295"/>
    </row>
    <row r="16" spans="2:20" ht="15" thickBot="1">
      <c r="B16" s="296"/>
      <c r="C16" s="297"/>
      <c r="D16" s="297"/>
      <c r="E16" s="297"/>
      <c r="F16" s="298"/>
      <c r="Q16" s="303" t="s">
        <v>7064</v>
      </c>
      <c r="R16" s="303"/>
      <c r="S16" s="303"/>
      <c r="T16" s="303"/>
    </row>
  </sheetData>
  <mergeCells count="6">
    <mergeCell ref="B7:F14"/>
    <mergeCell ref="B15:F16"/>
    <mergeCell ref="B1:S1"/>
    <mergeCell ref="R2:S2"/>
    <mergeCell ref="B6:S6"/>
    <mergeCell ref="Q16:T16"/>
  </mergeCells>
  <phoneticPr fontId="5" type="noConversion"/>
  <pageMargins left="0.7" right="0.7" top="0.75" bottom="0.75" header="0.3" footer="0.3"/>
  <pageSetup paperSize="9" scale="4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30"/>
  <sheetViews>
    <sheetView zoomScale="90" zoomScaleNormal="90" zoomScaleSheetLayoutView="90" workbookViewId="0">
      <pane ySplit="4" topLeftCell="A119" activePane="bottomLeft" state="frozen"/>
      <selection pane="bottomLeft" activeCell="D120" sqref="D120"/>
    </sheetView>
  </sheetViews>
  <sheetFormatPr defaultRowHeight="5.65" customHeight="1"/>
  <cols>
    <col min="1" max="1" width="5.109375" style="6" customWidth="1"/>
    <col min="2" max="2" width="12.33203125" style="6" customWidth="1"/>
    <col min="3" max="3" width="9.109375" style="6" customWidth="1"/>
    <col min="4" max="4" width="17.6640625" style="1" customWidth="1"/>
    <col min="5" max="5" width="12.109375" style="1" customWidth="1"/>
    <col min="6" max="6" width="42" style="131" customWidth="1"/>
    <col min="7" max="7" width="25.109375" style="6" customWidth="1"/>
    <col min="8" max="8" width="12.21875" style="1" customWidth="1"/>
    <col min="9" max="9" width="14.21875" style="1" customWidth="1"/>
    <col min="10" max="13" width="7.6640625" style="1" customWidth="1"/>
    <col min="14" max="14" width="10.21875" style="1" customWidth="1"/>
    <col min="15" max="15" width="30.21875" style="1" customWidth="1"/>
    <col min="16" max="16" width="12.77734375" style="6" customWidth="1"/>
    <col min="17" max="17" width="12.77734375" style="67" customWidth="1"/>
    <col min="18" max="18" width="12.77734375" style="6" customWidth="1"/>
    <col min="19" max="19" width="12.21875" style="6" customWidth="1"/>
    <col min="20" max="20" width="13.33203125" style="6" customWidth="1"/>
    <col min="21" max="21" width="12.77734375" style="6" customWidth="1"/>
    <col min="22" max="22" width="12.21875" style="6" customWidth="1"/>
    <col min="23" max="25" width="12.21875" style="1" customWidth="1"/>
    <col min="26" max="26" width="12.21875" style="16" customWidth="1"/>
    <col min="27" max="16384" width="8.88671875" style="1"/>
  </cols>
  <sheetData>
    <row r="1" spans="1:27" ht="29.25" customHeight="1">
      <c r="A1" s="304" t="s">
        <v>4022</v>
      </c>
      <c r="B1" s="304"/>
      <c r="C1" s="304"/>
      <c r="D1" s="304"/>
      <c r="E1" s="304"/>
      <c r="F1" s="304"/>
      <c r="G1" s="304"/>
      <c r="H1" s="304"/>
      <c r="I1" s="304"/>
      <c r="J1" s="304"/>
      <c r="K1" s="304"/>
      <c r="L1" s="304"/>
      <c r="M1" s="304"/>
      <c r="N1" s="304"/>
      <c r="O1" s="304"/>
      <c r="P1" s="304"/>
      <c r="Q1" s="304"/>
      <c r="R1" s="304"/>
      <c r="S1" s="304"/>
      <c r="T1" s="304"/>
      <c r="U1" s="304"/>
      <c r="V1" s="304"/>
      <c r="W1" s="304"/>
      <c r="X1" s="304"/>
      <c r="Y1" s="304"/>
      <c r="Z1" s="157"/>
    </row>
    <row r="2" spans="1:27" s="2" customFormat="1" ht="17.25" customHeight="1" thickBo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57"/>
    </row>
    <row r="3" spans="1:27" s="2" customFormat="1" ht="58.5" customHeight="1">
      <c r="A3" s="311" t="s">
        <v>4987</v>
      </c>
      <c r="B3" s="311"/>
      <c r="C3" s="311"/>
      <c r="D3" s="311"/>
      <c r="E3" s="311"/>
      <c r="F3" s="236"/>
      <c r="G3" s="139"/>
      <c r="H3" s="138"/>
      <c r="I3" s="305" t="s">
        <v>4021</v>
      </c>
      <c r="J3" s="305"/>
      <c r="K3" s="305"/>
      <c r="L3" s="305"/>
      <c r="M3" s="305"/>
      <c r="N3" s="306" t="s">
        <v>6417</v>
      </c>
      <c r="O3" s="307"/>
      <c r="P3" s="89"/>
      <c r="Q3" s="90"/>
      <c r="R3" s="237"/>
      <c r="S3" s="237"/>
      <c r="T3" s="237"/>
      <c r="U3" s="237"/>
      <c r="V3" s="237"/>
      <c r="W3" s="308" t="s">
        <v>4023</v>
      </c>
      <c r="X3" s="309"/>
      <c r="Y3" s="310"/>
      <c r="Z3" s="158"/>
      <c r="AA3" s="17"/>
    </row>
    <row r="4" spans="1:27" ht="39.75" customHeight="1">
      <c r="A4" s="141" t="s">
        <v>4024</v>
      </c>
      <c r="B4" s="141" t="s">
        <v>4025</v>
      </c>
      <c r="C4" s="141" t="s">
        <v>4026</v>
      </c>
      <c r="D4" s="141" t="s">
        <v>4027</v>
      </c>
      <c r="E4" s="142" t="s">
        <v>4028</v>
      </c>
      <c r="F4" s="142" t="s">
        <v>4029</v>
      </c>
      <c r="G4" s="142" t="s">
        <v>4030</v>
      </c>
      <c r="H4" s="142" t="s">
        <v>4031</v>
      </c>
      <c r="I4" s="142" t="s">
        <v>4032</v>
      </c>
      <c r="J4" s="142" t="s">
        <v>4033</v>
      </c>
      <c r="K4" s="142" t="s">
        <v>4034</v>
      </c>
      <c r="L4" s="142" t="s">
        <v>4035</v>
      </c>
      <c r="M4" s="142" t="s">
        <v>4036</v>
      </c>
      <c r="N4" s="142" t="s">
        <v>4037</v>
      </c>
      <c r="O4" s="142" t="s">
        <v>4038</v>
      </c>
      <c r="P4" s="142" t="s">
        <v>4971</v>
      </c>
      <c r="Q4" s="238" t="s">
        <v>4039</v>
      </c>
      <c r="R4" s="143" t="s">
        <v>4040</v>
      </c>
      <c r="S4" s="143" t="s">
        <v>4041</v>
      </c>
      <c r="T4" s="143" t="s">
        <v>4042</v>
      </c>
      <c r="U4" s="143" t="s">
        <v>6415</v>
      </c>
      <c r="V4" s="143" t="s">
        <v>4043</v>
      </c>
      <c r="W4" s="143" t="s">
        <v>4044</v>
      </c>
      <c r="X4" s="143" t="s">
        <v>4045</v>
      </c>
      <c r="Y4" s="143" t="s">
        <v>4046</v>
      </c>
      <c r="Z4" s="143" t="s">
        <v>4047</v>
      </c>
    </row>
    <row r="5" spans="1:27" s="91" customFormat="1" ht="36">
      <c r="A5" s="102">
        <v>1</v>
      </c>
      <c r="B5" s="102" t="s">
        <v>4049</v>
      </c>
      <c r="C5" s="75" t="s">
        <v>4050</v>
      </c>
      <c r="D5" s="76" t="s">
        <v>4051</v>
      </c>
      <c r="E5" s="75" t="s">
        <v>4052</v>
      </c>
      <c r="F5" s="103" t="s">
        <v>4053</v>
      </c>
      <c r="G5" s="75" t="s">
        <v>4054</v>
      </c>
      <c r="H5" s="75" t="s">
        <v>4055</v>
      </c>
      <c r="I5" s="128">
        <f>SUM(J5:N5)</f>
        <v>400</v>
      </c>
      <c r="J5" s="128">
        <v>0</v>
      </c>
      <c r="K5" s="128">
        <v>400</v>
      </c>
      <c r="L5" s="128">
        <v>0</v>
      </c>
      <c r="M5" s="128">
        <v>0</v>
      </c>
      <c r="N5" s="75"/>
      <c r="O5" s="75"/>
      <c r="P5" s="75" t="s">
        <v>4056</v>
      </c>
      <c r="Q5" s="76"/>
      <c r="R5" s="75" t="s">
        <v>4057</v>
      </c>
      <c r="S5" s="75" t="s">
        <v>4058</v>
      </c>
      <c r="T5" s="102" t="s">
        <v>4059</v>
      </c>
      <c r="U5" s="75" t="s">
        <v>4060</v>
      </c>
      <c r="V5" s="75" t="s">
        <v>4061</v>
      </c>
      <c r="W5" s="110">
        <f>SUM(X5:Y5)</f>
        <v>40</v>
      </c>
      <c r="X5" s="110">
        <v>39.5</v>
      </c>
      <c r="Y5" s="110">
        <v>0.5</v>
      </c>
      <c r="Z5" s="75" t="s">
        <v>4062</v>
      </c>
    </row>
    <row r="6" spans="1:27" s="92" customFormat="1" ht="96">
      <c r="A6" s="102">
        <v>2</v>
      </c>
      <c r="B6" s="102" t="s">
        <v>4063</v>
      </c>
      <c r="C6" s="75" t="s">
        <v>495</v>
      </c>
      <c r="D6" s="76" t="s">
        <v>4064</v>
      </c>
      <c r="E6" s="75" t="s">
        <v>4065</v>
      </c>
      <c r="F6" s="104" t="s">
        <v>4066</v>
      </c>
      <c r="G6" s="75" t="s">
        <v>4067</v>
      </c>
      <c r="H6" s="75" t="s">
        <v>4068</v>
      </c>
      <c r="I6" s="128">
        <v>1650</v>
      </c>
      <c r="J6" s="128">
        <v>0</v>
      </c>
      <c r="K6" s="128">
        <v>1650</v>
      </c>
      <c r="L6" s="128">
        <v>0</v>
      </c>
      <c r="M6" s="128">
        <v>0</v>
      </c>
      <c r="N6" s="75"/>
      <c r="O6" s="75"/>
      <c r="P6" s="75" t="s">
        <v>247</v>
      </c>
      <c r="Q6" s="76"/>
      <c r="R6" s="75" t="s">
        <v>4069</v>
      </c>
      <c r="S6" s="75" t="s">
        <v>373</v>
      </c>
      <c r="T6" s="75" t="s">
        <v>527</v>
      </c>
      <c r="U6" s="75" t="s">
        <v>4853</v>
      </c>
      <c r="V6" s="75" t="s">
        <v>1924</v>
      </c>
      <c r="W6" s="110">
        <f t="shared" ref="W6:W69" si="0">SUM(X6:Y6)</f>
        <v>1322</v>
      </c>
      <c r="X6" s="110">
        <v>1295</v>
      </c>
      <c r="Y6" s="110">
        <v>27</v>
      </c>
      <c r="Z6" s="75" t="s">
        <v>4070</v>
      </c>
    </row>
    <row r="7" spans="1:27" s="91" customFormat="1" ht="24">
      <c r="A7" s="102">
        <v>3</v>
      </c>
      <c r="B7" s="102" t="s">
        <v>4049</v>
      </c>
      <c r="C7" s="75" t="s">
        <v>4050</v>
      </c>
      <c r="D7" s="76" t="s">
        <v>4071</v>
      </c>
      <c r="E7" s="75" t="s">
        <v>4072</v>
      </c>
      <c r="F7" s="105" t="s">
        <v>4073</v>
      </c>
      <c r="G7" s="75" t="s">
        <v>4074</v>
      </c>
      <c r="H7" s="75" t="s">
        <v>4075</v>
      </c>
      <c r="I7" s="128">
        <f t="shared" ref="I7:I9" si="1">SUM(J7:N7)</f>
        <v>522</v>
      </c>
      <c r="J7" s="128">
        <v>0</v>
      </c>
      <c r="K7" s="128">
        <v>522</v>
      </c>
      <c r="L7" s="128">
        <v>0</v>
      </c>
      <c r="M7" s="128">
        <v>0</v>
      </c>
      <c r="N7" s="75"/>
      <c r="O7" s="75"/>
      <c r="P7" s="75" t="s">
        <v>4056</v>
      </c>
      <c r="Q7" s="76"/>
      <c r="R7" s="75" t="s">
        <v>4076</v>
      </c>
      <c r="S7" s="75" t="s">
        <v>4058</v>
      </c>
      <c r="T7" s="75" t="s">
        <v>4861</v>
      </c>
      <c r="U7" s="75" t="s">
        <v>4060</v>
      </c>
      <c r="V7" s="75" t="s">
        <v>4061</v>
      </c>
      <c r="W7" s="110">
        <f t="shared" si="0"/>
        <v>60</v>
      </c>
      <c r="X7" s="110">
        <v>60</v>
      </c>
      <c r="Y7" s="110">
        <v>0</v>
      </c>
      <c r="Z7" s="75" t="s">
        <v>4078</v>
      </c>
    </row>
    <row r="8" spans="1:27" s="91" customFormat="1" ht="36">
      <c r="A8" s="102">
        <v>4</v>
      </c>
      <c r="B8" s="102" t="s">
        <v>4049</v>
      </c>
      <c r="C8" s="75" t="s">
        <v>4050</v>
      </c>
      <c r="D8" s="76" t="s">
        <v>4079</v>
      </c>
      <c r="E8" s="75" t="s">
        <v>4080</v>
      </c>
      <c r="F8" s="106" t="s">
        <v>4081</v>
      </c>
      <c r="G8" s="75" t="s">
        <v>4082</v>
      </c>
      <c r="H8" s="75" t="s">
        <v>4083</v>
      </c>
      <c r="I8" s="128">
        <f t="shared" si="1"/>
        <v>1000</v>
      </c>
      <c r="J8" s="128">
        <v>0</v>
      </c>
      <c r="K8" s="128">
        <v>1000</v>
      </c>
      <c r="L8" s="128">
        <v>0</v>
      </c>
      <c r="M8" s="128">
        <v>0</v>
      </c>
      <c r="N8" s="75"/>
      <c r="O8" s="75"/>
      <c r="P8" s="75" t="s">
        <v>4056</v>
      </c>
      <c r="Q8" s="76"/>
      <c r="R8" s="75" t="s">
        <v>4084</v>
      </c>
      <c r="S8" s="75" t="s">
        <v>4058</v>
      </c>
      <c r="T8" s="102" t="s">
        <v>4085</v>
      </c>
      <c r="U8" s="75" t="s">
        <v>4060</v>
      </c>
      <c r="V8" s="75" t="s">
        <v>4061</v>
      </c>
      <c r="W8" s="110">
        <f t="shared" si="0"/>
        <v>850</v>
      </c>
      <c r="X8" s="110">
        <v>850</v>
      </c>
      <c r="Y8" s="110">
        <v>0</v>
      </c>
      <c r="Z8" s="75" t="s">
        <v>4086</v>
      </c>
    </row>
    <row r="9" spans="1:27" s="92" customFormat="1" ht="24">
      <c r="A9" s="102">
        <v>5</v>
      </c>
      <c r="B9" s="102" t="s">
        <v>4049</v>
      </c>
      <c r="C9" s="75" t="s">
        <v>4050</v>
      </c>
      <c r="D9" s="76" t="s">
        <v>4087</v>
      </c>
      <c r="E9" s="75" t="s">
        <v>4088</v>
      </c>
      <c r="F9" s="104" t="s">
        <v>4089</v>
      </c>
      <c r="G9" s="75" t="s">
        <v>4054</v>
      </c>
      <c r="H9" s="75" t="s">
        <v>4090</v>
      </c>
      <c r="I9" s="128">
        <f t="shared" si="1"/>
        <v>1300</v>
      </c>
      <c r="J9" s="128">
        <v>0</v>
      </c>
      <c r="K9" s="128">
        <v>0</v>
      </c>
      <c r="L9" s="128">
        <v>0</v>
      </c>
      <c r="M9" s="128">
        <v>1300</v>
      </c>
      <c r="N9" s="75"/>
      <c r="O9" s="75"/>
      <c r="P9" s="75" t="s">
        <v>4091</v>
      </c>
      <c r="Q9" s="76"/>
      <c r="R9" s="75" t="s">
        <v>4092</v>
      </c>
      <c r="S9" s="75" t="s">
        <v>4058</v>
      </c>
      <c r="T9" s="102" t="s">
        <v>4093</v>
      </c>
      <c r="U9" s="75" t="s">
        <v>4094</v>
      </c>
      <c r="V9" s="75" t="s">
        <v>4095</v>
      </c>
      <c r="W9" s="110" t="s">
        <v>4854</v>
      </c>
      <c r="X9" s="110">
        <v>0</v>
      </c>
      <c r="Y9" s="110">
        <v>0</v>
      </c>
      <c r="Z9" s="75" t="s">
        <v>4096</v>
      </c>
    </row>
    <row r="10" spans="1:27" s="92" customFormat="1" ht="24">
      <c r="A10" s="102">
        <v>6</v>
      </c>
      <c r="B10" s="102" t="s">
        <v>4049</v>
      </c>
      <c r="C10" s="75" t="s">
        <v>4050</v>
      </c>
      <c r="D10" s="76" t="s">
        <v>4097</v>
      </c>
      <c r="E10" s="75" t="s">
        <v>4088</v>
      </c>
      <c r="F10" s="103" t="s">
        <v>4098</v>
      </c>
      <c r="G10" s="75" t="s">
        <v>4099</v>
      </c>
      <c r="H10" s="75" t="s">
        <v>4090</v>
      </c>
      <c r="I10" s="128">
        <v>270</v>
      </c>
      <c r="J10" s="128">
        <v>0</v>
      </c>
      <c r="K10" s="128">
        <v>270</v>
      </c>
      <c r="L10" s="128"/>
      <c r="M10" s="128">
        <v>0</v>
      </c>
      <c r="N10" s="75"/>
      <c r="O10" s="75"/>
      <c r="P10" s="75" t="s">
        <v>4091</v>
      </c>
      <c r="Q10" s="76"/>
      <c r="R10" s="75" t="s">
        <v>4100</v>
      </c>
      <c r="S10" s="75" t="s">
        <v>4058</v>
      </c>
      <c r="T10" s="102" t="s">
        <v>4101</v>
      </c>
      <c r="U10" s="75" t="s">
        <v>4060</v>
      </c>
      <c r="V10" s="75" t="s">
        <v>4102</v>
      </c>
      <c r="W10" s="110">
        <f t="shared" si="0"/>
        <v>23</v>
      </c>
      <c r="X10" s="110">
        <v>23</v>
      </c>
      <c r="Y10" s="110">
        <v>0</v>
      </c>
      <c r="Z10" s="75" t="s">
        <v>4103</v>
      </c>
    </row>
    <row r="11" spans="1:27" s="58" customFormat="1" ht="24">
      <c r="A11" s="102">
        <v>7</v>
      </c>
      <c r="B11" s="102" t="s">
        <v>4049</v>
      </c>
      <c r="C11" s="102" t="s">
        <v>4050</v>
      </c>
      <c r="D11" s="107" t="s">
        <v>4104</v>
      </c>
      <c r="E11" s="75" t="s">
        <v>4105</v>
      </c>
      <c r="F11" s="108" t="s">
        <v>4106</v>
      </c>
      <c r="G11" s="75" t="s">
        <v>4107</v>
      </c>
      <c r="H11" s="75" t="s">
        <v>4108</v>
      </c>
      <c r="I11" s="128">
        <v>1165</v>
      </c>
      <c r="J11" s="128">
        <v>0</v>
      </c>
      <c r="K11" s="128">
        <v>1165</v>
      </c>
      <c r="L11" s="128"/>
      <c r="M11" s="128"/>
      <c r="N11" s="75"/>
      <c r="O11" s="75"/>
      <c r="P11" s="75" t="s">
        <v>4056</v>
      </c>
      <c r="Q11" s="109"/>
      <c r="R11" s="75" t="s">
        <v>4109</v>
      </c>
      <c r="S11" s="75" t="s">
        <v>4058</v>
      </c>
      <c r="T11" s="75" t="s">
        <v>4111</v>
      </c>
      <c r="U11" s="75" t="s">
        <v>4060</v>
      </c>
      <c r="V11" s="75" t="s">
        <v>4095</v>
      </c>
      <c r="W11" s="110" t="s">
        <v>4854</v>
      </c>
      <c r="X11" s="110">
        <v>0</v>
      </c>
      <c r="Y11" s="110">
        <v>0</v>
      </c>
      <c r="Z11" s="75" t="s">
        <v>4112</v>
      </c>
    </row>
    <row r="12" spans="1:27" s="92" customFormat="1" ht="24">
      <c r="A12" s="102">
        <v>8</v>
      </c>
      <c r="B12" s="102" t="s">
        <v>4049</v>
      </c>
      <c r="C12" s="102" t="s">
        <v>4050</v>
      </c>
      <c r="D12" s="75" t="s">
        <v>4113</v>
      </c>
      <c r="E12" s="75" t="s">
        <v>4114</v>
      </c>
      <c r="F12" s="108" t="s">
        <v>4115</v>
      </c>
      <c r="G12" s="75" t="s">
        <v>4116</v>
      </c>
      <c r="H12" s="75" t="s">
        <v>4117</v>
      </c>
      <c r="I12" s="128">
        <v>70</v>
      </c>
      <c r="J12" s="128">
        <v>0</v>
      </c>
      <c r="K12" s="128">
        <v>70</v>
      </c>
      <c r="L12" s="128"/>
      <c r="M12" s="128"/>
      <c r="N12" s="75"/>
      <c r="O12" s="75"/>
      <c r="P12" s="75" t="s">
        <v>261</v>
      </c>
      <c r="Q12" s="76"/>
      <c r="R12" s="75" t="s">
        <v>4118</v>
      </c>
      <c r="S12" s="75" t="s">
        <v>4058</v>
      </c>
      <c r="T12" s="75" t="s">
        <v>4059</v>
      </c>
      <c r="U12" s="75" t="s">
        <v>4855</v>
      </c>
      <c r="V12" s="75" t="s">
        <v>4119</v>
      </c>
      <c r="W12" s="110">
        <f t="shared" si="0"/>
        <v>45</v>
      </c>
      <c r="X12" s="110">
        <v>44</v>
      </c>
      <c r="Y12" s="110">
        <v>1</v>
      </c>
      <c r="Z12" s="75" t="s">
        <v>4121</v>
      </c>
    </row>
    <row r="13" spans="1:27" s="91" customFormat="1" ht="48">
      <c r="A13" s="102">
        <v>9</v>
      </c>
      <c r="B13" s="102" t="s">
        <v>4049</v>
      </c>
      <c r="C13" s="102" t="s">
        <v>4050</v>
      </c>
      <c r="D13" s="75" t="s">
        <v>4122</v>
      </c>
      <c r="E13" s="75" t="s">
        <v>4123</v>
      </c>
      <c r="F13" s="108" t="s">
        <v>4124</v>
      </c>
      <c r="G13" s="75" t="s">
        <v>4125</v>
      </c>
      <c r="H13" s="75" t="s">
        <v>4126</v>
      </c>
      <c r="I13" s="128">
        <v>1063</v>
      </c>
      <c r="J13" s="128">
        <v>0</v>
      </c>
      <c r="K13" s="128">
        <v>1063</v>
      </c>
      <c r="L13" s="128"/>
      <c r="M13" s="128"/>
      <c r="N13" s="102"/>
      <c r="O13" s="102"/>
      <c r="P13" s="75" t="s">
        <v>247</v>
      </c>
      <c r="Q13" s="76"/>
      <c r="R13" s="75" t="s">
        <v>4127</v>
      </c>
      <c r="S13" s="75" t="s">
        <v>4058</v>
      </c>
      <c r="T13" s="75" t="s">
        <v>4128</v>
      </c>
      <c r="U13" s="75" t="s">
        <v>4860</v>
      </c>
      <c r="V13" s="75" t="s">
        <v>4102</v>
      </c>
      <c r="W13" s="110">
        <f t="shared" si="0"/>
        <v>1540</v>
      </c>
      <c r="X13" s="110">
        <v>1370</v>
      </c>
      <c r="Y13" s="110">
        <v>170</v>
      </c>
      <c r="Z13" s="75" t="s">
        <v>4129</v>
      </c>
    </row>
    <row r="14" spans="1:27" s="92" customFormat="1" ht="48">
      <c r="A14" s="102">
        <v>10</v>
      </c>
      <c r="B14" s="102" t="s">
        <v>4063</v>
      </c>
      <c r="C14" s="102" t="s">
        <v>495</v>
      </c>
      <c r="D14" s="75" t="s">
        <v>4130</v>
      </c>
      <c r="E14" s="75" t="s">
        <v>4131</v>
      </c>
      <c r="F14" s="108" t="s">
        <v>4132</v>
      </c>
      <c r="G14" s="75" t="s">
        <v>4133</v>
      </c>
      <c r="H14" s="75" t="s">
        <v>3888</v>
      </c>
      <c r="I14" s="128">
        <v>270</v>
      </c>
      <c r="J14" s="128">
        <v>0</v>
      </c>
      <c r="K14" s="128">
        <v>270</v>
      </c>
      <c r="L14" s="128">
        <v>0</v>
      </c>
      <c r="M14" s="128">
        <v>0</v>
      </c>
      <c r="N14" s="102"/>
      <c r="O14" s="102"/>
      <c r="P14" s="75" t="s">
        <v>247</v>
      </c>
      <c r="Q14" s="76"/>
      <c r="R14" s="75" t="s">
        <v>4134</v>
      </c>
      <c r="S14" s="75" t="s">
        <v>373</v>
      </c>
      <c r="T14" s="75" t="s">
        <v>4135</v>
      </c>
      <c r="U14" s="75" t="s">
        <v>4853</v>
      </c>
      <c r="V14" s="75" t="s">
        <v>1924</v>
      </c>
      <c r="W14" s="110">
        <f t="shared" si="0"/>
        <v>31</v>
      </c>
      <c r="X14" s="110">
        <v>31</v>
      </c>
      <c r="Y14" s="110">
        <v>0</v>
      </c>
      <c r="Z14" s="110" t="s">
        <v>4854</v>
      </c>
    </row>
    <row r="15" spans="1:27" s="93" customFormat="1" ht="48">
      <c r="A15" s="102">
        <v>11</v>
      </c>
      <c r="B15" s="102" t="s">
        <v>4063</v>
      </c>
      <c r="C15" s="102" t="s">
        <v>495</v>
      </c>
      <c r="D15" s="102" t="s">
        <v>4136</v>
      </c>
      <c r="E15" s="75" t="s">
        <v>4137</v>
      </c>
      <c r="F15" s="104" t="s">
        <v>4138</v>
      </c>
      <c r="G15" s="75" t="s">
        <v>4139</v>
      </c>
      <c r="H15" s="75" t="s">
        <v>4140</v>
      </c>
      <c r="I15" s="128">
        <v>260</v>
      </c>
      <c r="J15" s="128">
        <v>0</v>
      </c>
      <c r="K15" s="128">
        <v>260</v>
      </c>
      <c r="L15" s="128"/>
      <c r="M15" s="128"/>
      <c r="N15" s="102"/>
      <c r="O15" s="102"/>
      <c r="P15" s="102" t="s">
        <v>271</v>
      </c>
      <c r="Q15" s="102"/>
      <c r="R15" s="102" t="s">
        <v>4141</v>
      </c>
      <c r="S15" s="102" t="s">
        <v>4058</v>
      </c>
      <c r="T15" s="102" t="s">
        <v>4085</v>
      </c>
      <c r="U15" s="75" t="s">
        <v>4060</v>
      </c>
      <c r="V15" s="75" t="s">
        <v>4142</v>
      </c>
      <c r="W15" s="110">
        <f t="shared" si="0"/>
        <v>7</v>
      </c>
      <c r="X15" s="78">
        <v>7</v>
      </c>
      <c r="Y15" s="110">
        <v>0</v>
      </c>
      <c r="Z15" s="75" t="s">
        <v>4143</v>
      </c>
    </row>
    <row r="16" spans="1:27" s="92" customFormat="1" ht="36">
      <c r="A16" s="102">
        <v>12</v>
      </c>
      <c r="B16" s="102" t="s">
        <v>4049</v>
      </c>
      <c r="C16" s="102" t="s">
        <v>4050</v>
      </c>
      <c r="D16" s="75" t="s">
        <v>4144</v>
      </c>
      <c r="E16" s="75" t="s">
        <v>4145</v>
      </c>
      <c r="F16" s="108" t="s">
        <v>4146</v>
      </c>
      <c r="G16" s="75" t="s">
        <v>4147</v>
      </c>
      <c r="H16" s="75" t="s">
        <v>4148</v>
      </c>
      <c r="I16" s="128">
        <v>495</v>
      </c>
      <c r="J16" s="128">
        <v>0</v>
      </c>
      <c r="K16" s="128">
        <v>495</v>
      </c>
      <c r="L16" s="128"/>
      <c r="M16" s="128"/>
      <c r="N16" s="75"/>
      <c r="O16" s="75"/>
      <c r="P16" s="75" t="s">
        <v>247</v>
      </c>
      <c r="Q16" s="76"/>
      <c r="R16" s="75" t="s">
        <v>4149</v>
      </c>
      <c r="S16" s="75" t="s">
        <v>373</v>
      </c>
      <c r="T16" s="75" t="s">
        <v>1466</v>
      </c>
      <c r="U16" s="75" t="s">
        <v>595</v>
      </c>
      <c r="V16" s="75" t="s">
        <v>376</v>
      </c>
      <c r="W16" s="110">
        <f t="shared" si="0"/>
        <v>400</v>
      </c>
      <c r="X16" s="110">
        <v>250</v>
      </c>
      <c r="Y16" s="110">
        <v>150</v>
      </c>
      <c r="Z16" s="75" t="s">
        <v>4150</v>
      </c>
    </row>
    <row r="17" spans="1:26" s="92" customFormat="1" ht="48">
      <c r="A17" s="102">
        <v>13</v>
      </c>
      <c r="B17" s="102" t="s">
        <v>4063</v>
      </c>
      <c r="C17" s="102" t="s">
        <v>495</v>
      </c>
      <c r="D17" s="75" t="s">
        <v>4151</v>
      </c>
      <c r="E17" s="75" t="s">
        <v>4152</v>
      </c>
      <c r="F17" s="108" t="s">
        <v>4153</v>
      </c>
      <c r="G17" s="75" t="s">
        <v>4154</v>
      </c>
      <c r="H17" s="75" t="s">
        <v>4155</v>
      </c>
      <c r="I17" s="128">
        <v>235</v>
      </c>
      <c r="J17" s="128">
        <v>0</v>
      </c>
      <c r="K17" s="128">
        <v>235</v>
      </c>
      <c r="L17" s="128"/>
      <c r="M17" s="128"/>
      <c r="N17" s="102"/>
      <c r="O17" s="102"/>
      <c r="P17" s="75" t="s">
        <v>436</v>
      </c>
      <c r="Q17" s="76"/>
      <c r="R17" s="75" t="s">
        <v>4156</v>
      </c>
      <c r="S17" s="75" t="s">
        <v>373</v>
      </c>
      <c r="T17" s="75" t="s">
        <v>4157</v>
      </c>
      <c r="U17" s="75" t="s">
        <v>4859</v>
      </c>
      <c r="V17" s="75" t="s">
        <v>3120</v>
      </c>
      <c r="W17" s="110">
        <f t="shared" si="0"/>
        <v>30</v>
      </c>
      <c r="X17" s="110">
        <v>30</v>
      </c>
      <c r="Y17" s="110">
        <v>0</v>
      </c>
      <c r="Z17" s="75" t="s">
        <v>4158</v>
      </c>
    </row>
    <row r="18" spans="1:26" s="94" customFormat="1" ht="60">
      <c r="A18" s="102">
        <v>14</v>
      </c>
      <c r="B18" s="102" t="s">
        <v>4049</v>
      </c>
      <c r="C18" s="102" t="s">
        <v>4050</v>
      </c>
      <c r="D18" s="111" t="s">
        <v>4159</v>
      </c>
      <c r="E18" s="108" t="s">
        <v>4160</v>
      </c>
      <c r="F18" s="108" t="s">
        <v>4161</v>
      </c>
      <c r="G18" s="75" t="s">
        <v>4162</v>
      </c>
      <c r="H18" s="108" t="s">
        <v>4163</v>
      </c>
      <c r="I18" s="128">
        <v>30</v>
      </c>
      <c r="J18" s="128">
        <v>0</v>
      </c>
      <c r="K18" s="128">
        <v>30</v>
      </c>
      <c r="L18" s="128"/>
      <c r="M18" s="128"/>
      <c r="N18" s="111"/>
      <c r="O18" s="111"/>
      <c r="P18" s="102" t="s">
        <v>436</v>
      </c>
      <c r="Q18" s="112"/>
      <c r="R18" s="102" t="s">
        <v>4164</v>
      </c>
      <c r="S18" s="102" t="s">
        <v>4058</v>
      </c>
      <c r="T18" s="102" t="s">
        <v>4111</v>
      </c>
      <c r="U18" s="102" t="s">
        <v>4060</v>
      </c>
      <c r="V18" s="102" t="s">
        <v>4095</v>
      </c>
      <c r="W18" s="110">
        <f t="shared" si="0"/>
        <v>10</v>
      </c>
      <c r="X18" s="129">
        <v>8</v>
      </c>
      <c r="Y18" s="130">
        <v>2</v>
      </c>
      <c r="Z18" s="75" t="s">
        <v>4165</v>
      </c>
    </row>
    <row r="19" spans="1:26" s="92" customFormat="1" ht="36">
      <c r="A19" s="102">
        <v>15</v>
      </c>
      <c r="B19" s="102" t="s">
        <v>4063</v>
      </c>
      <c r="C19" s="113" t="s">
        <v>4166</v>
      </c>
      <c r="D19" s="113" t="s">
        <v>4167</v>
      </c>
      <c r="E19" s="75" t="s">
        <v>3475</v>
      </c>
      <c r="F19" s="114" t="s">
        <v>4168</v>
      </c>
      <c r="G19" s="115" t="s">
        <v>4169</v>
      </c>
      <c r="H19" s="75" t="s">
        <v>4170</v>
      </c>
      <c r="I19" s="128">
        <v>138</v>
      </c>
      <c r="J19" s="128">
        <v>0</v>
      </c>
      <c r="K19" s="128">
        <v>138</v>
      </c>
      <c r="L19" s="128"/>
      <c r="M19" s="128"/>
      <c r="N19" s="75"/>
      <c r="O19" s="75"/>
      <c r="P19" s="75" t="s">
        <v>261</v>
      </c>
      <c r="Q19" s="76"/>
      <c r="R19" s="75" t="s">
        <v>4171</v>
      </c>
      <c r="S19" s="75" t="s">
        <v>373</v>
      </c>
      <c r="T19" s="75" t="s">
        <v>4111</v>
      </c>
      <c r="U19" s="75" t="s">
        <v>595</v>
      </c>
      <c r="V19" s="75" t="s">
        <v>1924</v>
      </c>
      <c r="W19" s="110">
        <f t="shared" si="0"/>
        <v>600</v>
      </c>
      <c r="X19" s="78">
        <v>590</v>
      </c>
      <c r="Y19" s="78">
        <v>10</v>
      </c>
      <c r="Z19" s="115" t="s">
        <v>4172</v>
      </c>
    </row>
    <row r="20" spans="1:26" s="92" customFormat="1" ht="36">
      <c r="A20" s="102">
        <v>16</v>
      </c>
      <c r="B20" s="102" t="s">
        <v>4063</v>
      </c>
      <c r="C20" s="113" t="s">
        <v>4166</v>
      </c>
      <c r="D20" s="113" t="s">
        <v>4173</v>
      </c>
      <c r="E20" s="75" t="s">
        <v>4152</v>
      </c>
      <c r="F20" s="114" t="s">
        <v>4174</v>
      </c>
      <c r="G20" s="115" t="s">
        <v>4169</v>
      </c>
      <c r="H20" s="75" t="s">
        <v>4175</v>
      </c>
      <c r="I20" s="128">
        <v>250</v>
      </c>
      <c r="J20" s="128">
        <v>0</v>
      </c>
      <c r="K20" s="128">
        <v>250</v>
      </c>
      <c r="L20" s="128"/>
      <c r="M20" s="128"/>
      <c r="N20" s="75"/>
      <c r="O20" s="75"/>
      <c r="P20" s="75" t="s">
        <v>261</v>
      </c>
      <c r="Q20" s="76"/>
      <c r="R20" s="75" t="s">
        <v>4176</v>
      </c>
      <c r="S20" s="75" t="s">
        <v>4058</v>
      </c>
      <c r="T20" s="75" t="s">
        <v>4111</v>
      </c>
      <c r="U20" s="75" t="s">
        <v>595</v>
      </c>
      <c r="V20" s="75" t="s">
        <v>4102</v>
      </c>
      <c r="W20" s="110">
        <f t="shared" si="0"/>
        <v>200</v>
      </c>
      <c r="X20" s="78">
        <v>200</v>
      </c>
      <c r="Y20" s="110">
        <v>0</v>
      </c>
      <c r="Z20" s="115" t="s">
        <v>4177</v>
      </c>
    </row>
    <row r="21" spans="1:26" s="92" customFormat="1" ht="24">
      <c r="A21" s="102">
        <v>17</v>
      </c>
      <c r="B21" s="102" t="s">
        <v>4049</v>
      </c>
      <c r="C21" s="102" t="s">
        <v>4178</v>
      </c>
      <c r="D21" s="116" t="s">
        <v>4179</v>
      </c>
      <c r="E21" s="75" t="s">
        <v>4180</v>
      </c>
      <c r="F21" s="132" t="s">
        <v>4181</v>
      </c>
      <c r="G21" s="75" t="s">
        <v>4182</v>
      </c>
      <c r="H21" s="75" t="s">
        <v>4183</v>
      </c>
      <c r="I21" s="128">
        <v>70</v>
      </c>
      <c r="J21" s="128">
        <v>0</v>
      </c>
      <c r="K21" s="128">
        <v>70</v>
      </c>
      <c r="L21" s="128"/>
      <c r="M21" s="128"/>
      <c r="N21" s="102"/>
      <c r="O21" s="102"/>
      <c r="P21" s="75" t="s">
        <v>247</v>
      </c>
      <c r="Q21" s="77"/>
      <c r="R21" s="75" t="s">
        <v>4184</v>
      </c>
      <c r="S21" s="75" t="s">
        <v>373</v>
      </c>
      <c r="T21" s="75" t="s">
        <v>1466</v>
      </c>
      <c r="U21" s="75" t="s">
        <v>595</v>
      </c>
      <c r="V21" s="75" t="s">
        <v>376</v>
      </c>
      <c r="W21" s="110" t="s">
        <v>4854</v>
      </c>
      <c r="X21" s="110">
        <v>0</v>
      </c>
      <c r="Y21" s="110">
        <v>0</v>
      </c>
      <c r="Z21" s="75" t="s">
        <v>4185</v>
      </c>
    </row>
    <row r="22" spans="1:26" s="92" customFormat="1" ht="24">
      <c r="A22" s="102">
        <v>18</v>
      </c>
      <c r="B22" s="102" t="s">
        <v>4049</v>
      </c>
      <c r="C22" s="102" t="s">
        <v>4178</v>
      </c>
      <c r="D22" s="116" t="s">
        <v>4186</v>
      </c>
      <c r="E22" s="75" t="s">
        <v>4187</v>
      </c>
      <c r="F22" s="132" t="s">
        <v>4188</v>
      </c>
      <c r="G22" s="75" t="s">
        <v>4182</v>
      </c>
      <c r="H22" s="75" t="s">
        <v>4189</v>
      </c>
      <c r="I22" s="128">
        <v>50</v>
      </c>
      <c r="J22" s="128">
        <v>0</v>
      </c>
      <c r="K22" s="128">
        <v>50</v>
      </c>
      <c r="L22" s="128"/>
      <c r="M22" s="128"/>
      <c r="N22" s="75"/>
      <c r="O22" s="75"/>
      <c r="P22" s="75" t="s">
        <v>247</v>
      </c>
      <c r="Q22" s="76"/>
      <c r="R22" s="75" t="s">
        <v>4190</v>
      </c>
      <c r="S22" s="75" t="s">
        <v>373</v>
      </c>
      <c r="T22" s="75" t="s">
        <v>1466</v>
      </c>
      <c r="U22" s="75" t="s">
        <v>595</v>
      </c>
      <c r="V22" s="75" t="s">
        <v>376</v>
      </c>
      <c r="W22" s="110" t="s">
        <v>4854</v>
      </c>
      <c r="X22" s="110">
        <v>0</v>
      </c>
      <c r="Y22" s="110">
        <v>0</v>
      </c>
      <c r="Z22" s="75" t="s">
        <v>4191</v>
      </c>
    </row>
    <row r="23" spans="1:26" s="92" customFormat="1" ht="24">
      <c r="A23" s="102">
        <v>19</v>
      </c>
      <c r="B23" s="102" t="s">
        <v>4049</v>
      </c>
      <c r="C23" s="102" t="s">
        <v>4178</v>
      </c>
      <c r="D23" s="117" t="s">
        <v>4192</v>
      </c>
      <c r="E23" s="75" t="s">
        <v>4193</v>
      </c>
      <c r="F23" s="132" t="s">
        <v>4194</v>
      </c>
      <c r="G23" s="75" t="s">
        <v>4182</v>
      </c>
      <c r="H23" s="75" t="s">
        <v>4183</v>
      </c>
      <c r="I23" s="128">
        <v>110</v>
      </c>
      <c r="J23" s="128">
        <v>0</v>
      </c>
      <c r="K23" s="128">
        <v>110</v>
      </c>
      <c r="L23" s="128"/>
      <c r="M23" s="128"/>
      <c r="N23" s="75"/>
      <c r="O23" s="75"/>
      <c r="P23" s="75" t="s">
        <v>247</v>
      </c>
      <c r="Q23" s="76"/>
      <c r="R23" s="75" t="s">
        <v>4195</v>
      </c>
      <c r="S23" s="75" t="s">
        <v>373</v>
      </c>
      <c r="T23" s="75" t="s">
        <v>1466</v>
      </c>
      <c r="U23" s="75" t="s">
        <v>595</v>
      </c>
      <c r="V23" s="75" t="s">
        <v>376</v>
      </c>
      <c r="W23" s="110" t="s">
        <v>4854</v>
      </c>
      <c r="X23" s="110">
        <v>0</v>
      </c>
      <c r="Y23" s="110">
        <v>0</v>
      </c>
      <c r="Z23" s="75" t="s">
        <v>4196</v>
      </c>
    </row>
    <row r="24" spans="1:26" s="91" customFormat="1" ht="36">
      <c r="A24" s="102">
        <v>20</v>
      </c>
      <c r="B24" s="102" t="s">
        <v>4049</v>
      </c>
      <c r="C24" s="102" t="s">
        <v>4197</v>
      </c>
      <c r="D24" s="75" t="s">
        <v>4198</v>
      </c>
      <c r="E24" s="75" t="s">
        <v>4152</v>
      </c>
      <c r="F24" s="108" t="s">
        <v>4199</v>
      </c>
      <c r="G24" s="75" t="s">
        <v>4200</v>
      </c>
      <c r="H24" s="75" t="s">
        <v>4201</v>
      </c>
      <c r="I24" s="128">
        <f>SUM(J24:M24)</f>
        <v>250</v>
      </c>
      <c r="J24" s="128">
        <v>0</v>
      </c>
      <c r="K24" s="128">
        <v>200</v>
      </c>
      <c r="L24" s="128">
        <v>50</v>
      </c>
      <c r="M24" s="128"/>
      <c r="N24" s="75"/>
      <c r="O24" s="75"/>
      <c r="P24" s="75" t="s">
        <v>4056</v>
      </c>
      <c r="Q24" s="76" t="s">
        <v>4852</v>
      </c>
      <c r="R24" s="75" t="s">
        <v>4202</v>
      </c>
      <c r="S24" s="75" t="s">
        <v>4058</v>
      </c>
      <c r="T24" s="75" t="s">
        <v>4203</v>
      </c>
      <c r="U24" s="75" t="s">
        <v>4204</v>
      </c>
      <c r="V24" s="75" t="s">
        <v>4102</v>
      </c>
      <c r="W24" s="110">
        <f t="shared" si="0"/>
        <v>110</v>
      </c>
      <c r="X24" s="130">
        <v>100</v>
      </c>
      <c r="Y24" s="130">
        <v>10</v>
      </c>
      <c r="Z24" s="75" t="s">
        <v>4205</v>
      </c>
    </row>
    <row r="25" spans="1:26" s="91" customFormat="1" ht="48">
      <c r="A25" s="102">
        <v>21</v>
      </c>
      <c r="B25" s="102" t="s">
        <v>4049</v>
      </c>
      <c r="C25" s="102" t="s">
        <v>4197</v>
      </c>
      <c r="D25" s="75" t="s">
        <v>4206</v>
      </c>
      <c r="E25" s="75" t="s">
        <v>4207</v>
      </c>
      <c r="F25" s="108" t="s">
        <v>4208</v>
      </c>
      <c r="G25" s="75" t="s">
        <v>4209</v>
      </c>
      <c r="H25" s="75" t="s">
        <v>4210</v>
      </c>
      <c r="I25" s="128">
        <v>67</v>
      </c>
      <c r="J25" s="128">
        <v>0</v>
      </c>
      <c r="K25" s="128">
        <v>67</v>
      </c>
      <c r="L25" s="128"/>
      <c r="M25" s="128"/>
      <c r="N25" s="75"/>
      <c r="O25" s="75"/>
      <c r="P25" s="75" t="s">
        <v>4091</v>
      </c>
      <c r="Q25" s="76"/>
      <c r="R25" s="75" t="s">
        <v>4211</v>
      </c>
      <c r="S25" s="75" t="s">
        <v>4058</v>
      </c>
      <c r="T25" s="75" t="s">
        <v>4093</v>
      </c>
      <c r="U25" s="75" t="s">
        <v>4853</v>
      </c>
      <c r="V25" s="75" t="s">
        <v>4102</v>
      </c>
      <c r="W25" s="110">
        <f t="shared" si="0"/>
        <v>70</v>
      </c>
      <c r="X25" s="130">
        <v>70</v>
      </c>
      <c r="Y25" s="110">
        <v>0</v>
      </c>
      <c r="Z25" s="75" t="s">
        <v>4212</v>
      </c>
    </row>
    <row r="26" spans="1:26" s="91" customFormat="1" ht="36">
      <c r="A26" s="102">
        <v>22</v>
      </c>
      <c r="B26" s="102" t="s">
        <v>4049</v>
      </c>
      <c r="C26" s="102" t="s">
        <v>4197</v>
      </c>
      <c r="D26" s="75" t="s">
        <v>4213</v>
      </c>
      <c r="E26" s="75" t="s">
        <v>4214</v>
      </c>
      <c r="F26" s="108" t="s">
        <v>4215</v>
      </c>
      <c r="G26" s="75" t="s">
        <v>4216</v>
      </c>
      <c r="H26" s="75" t="s">
        <v>4217</v>
      </c>
      <c r="I26" s="128">
        <f>SUM(J26:M26)</f>
        <v>180</v>
      </c>
      <c r="J26" s="128">
        <v>0</v>
      </c>
      <c r="K26" s="128">
        <v>180</v>
      </c>
      <c r="L26" s="128"/>
      <c r="M26" s="128"/>
      <c r="N26" s="102"/>
      <c r="O26" s="102"/>
      <c r="P26" s="75" t="s">
        <v>4056</v>
      </c>
      <c r="Q26" s="76"/>
      <c r="R26" s="75" t="s">
        <v>4218</v>
      </c>
      <c r="S26" s="75" t="s">
        <v>4058</v>
      </c>
      <c r="T26" s="75" t="s">
        <v>4220</v>
      </c>
      <c r="U26" s="75" t="s">
        <v>4221</v>
      </c>
      <c r="V26" s="75" t="s">
        <v>4102</v>
      </c>
      <c r="W26" s="110">
        <f t="shared" si="0"/>
        <v>25</v>
      </c>
      <c r="X26" s="130">
        <v>25</v>
      </c>
      <c r="Y26" s="110">
        <v>0</v>
      </c>
      <c r="Z26" s="75" t="s">
        <v>4222</v>
      </c>
    </row>
    <row r="27" spans="1:26" s="91" customFormat="1" ht="24">
      <c r="A27" s="102">
        <v>23</v>
      </c>
      <c r="B27" s="102" t="s">
        <v>4049</v>
      </c>
      <c r="C27" s="102" t="s">
        <v>4197</v>
      </c>
      <c r="D27" s="75" t="s">
        <v>4223</v>
      </c>
      <c r="E27" s="75" t="s">
        <v>4207</v>
      </c>
      <c r="F27" s="108" t="s">
        <v>4224</v>
      </c>
      <c r="G27" s="75" t="s">
        <v>4225</v>
      </c>
      <c r="H27" s="75" t="s">
        <v>4170</v>
      </c>
      <c r="I27" s="128">
        <f>SUM(J27:M27)</f>
        <v>28</v>
      </c>
      <c r="J27" s="128">
        <v>0</v>
      </c>
      <c r="K27" s="128">
        <v>15</v>
      </c>
      <c r="L27" s="128">
        <v>13</v>
      </c>
      <c r="M27" s="128"/>
      <c r="N27" s="75"/>
      <c r="O27" s="75"/>
      <c r="P27" s="75" t="s">
        <v>172</v>
      </c>
      <c r="Q27" s="76"/>
      <c r="R27" s="75" t="s">
        <v>4226</v>
      </c>
      <c r="S27" s="75" t="s">
        <v>108</v>
      </c>
      <c r="T27" s="75" t="s">
        <v>4219</v>
      </c>
      <c r="U27" s="75" t="s">
        <v>4227</v>
      </c>
      <c r="V27" s="75" t="s">
        <v>212</v>
      </c>
      <c r="W27" s="110">
        <f t="shared" si="0"/>
        <v>20</v>
      </c>
      <c r="X27" s="130">
        <v>20</v>
      </c>
      <c r="Y27" s="110">
        <v>0</v>
      </c>
      <c r="Z27" s="75" t="s">
        <v>4228</v>
      </c>
    </row>
    <row r="28" spans="1:26" s="91" customFormat="1" ht="24">
      <c r="A28" s="102">
        <v>24</v>
      </c>
      <c r="B28" s="102" t="s">
        <v>4048</v>
      </c>
      <c r="C28" s="102" t="s">
        <v>4229</v>
      </c>
      <c r="D28" s="75" t="s">
        <v>4230</v>
      </c>
      <c r="E28" s="75" t="s">
        <v>4231</v>
      </c>
      <c r="F28" s="108" t="s">
        <v>4232</v>
      </c>
      <c r="G28" s="75" t="s">
        <v>4233</v>
      </c>
      <c r="H28" s="75" t="s">
        <v>4234</v>
      </c>
      <c r="I28" s="128">
        <f>SUM(J28:M28)</f>
        <v>50</v>
      </c>
      <c r="J28" s="128">
        <v>0</v>
      </c>
      <c r="K28" s="128">
        <v>30</v>
      </c>
      <c r="L28" s="128">
        <v>9</v>
      </c>
      <c r="M28" s="128">
        <v>11</v>
      </c>
      <c r="N28" s="75"/>
      <c r="O28" s="75"/>
      <c r="P28" s="75" t="s">
        <v>172</v>
      </c>
      <c r="Q28" s="76"/>
      <c r="R28" s="75" t="s">
        <v>4235</v>
      </c>
      <c r="S28" s="75" t="s">
        <v>108</v>
      </c>
      <c r="T28" s="75" t="s">
        <v>91</v>
      </c>
      <c r="U28" s="75" t="s">
        <v>4853</v>
      </c>
      <c r="V28" s="75" t="s">
        <v>95</v>
      </c>
      <c r="W28" s="110">
        <f t="shared" si="0"/>
        <v>40</v>
      </c>
      <c r="X28" s="130">
        <v>40</v>
      </c>
      <c r="Y28" s="110">
        <v>0</v>
      </c>
      <c r="Z28" s="75" t="s">
        <v>4236</v>
      </c>
    </row>
    <row r="29" spans="1:26" s="91" customFormat="1" ht="36">
      <c r="A29" s="102">
        <v>25</v>
      </c>
      <c r="B29" s="102" t="s">
        <v>4048</v>
      </c>
      <c r="C29" s="102" t="s">
        <v>4229</v>
      </c>
      <c r="D29" s="108" t="s">
        <v>4237</v>
      </c>
      <c r="E29" s="75" t="s">
        <v>4238</v>
      </c>
      <c r="F29" s="108" t="s">
        <v>4239</v>
      </c>
      <c r="G29" s="102" t="s">
        <v>4240</v>
      </c>
      <c r="H29" s="75" t="s">
        <v>4241</v>
      </c>
      <c r="I29" s="128">
        <v>150</v>
      </c>
      <c r="J29" s="128">
        <v>0</v>
      </c>
      <c r="K29" s="128">
        <v>0</v>
      </c>
      <c r="L29" s="128">
        <v>150</v>
      </c>
      <c r="M29" s="128">
        <v>0</v>
      </c>
      <c r="N29" s="111"/>
      <c r="O29" s="111"/>
      <c r="P29" s="102" t="s">
        <v>172</v>
      </c>
      <c r="Q29" s="77"/>
      <c r="R29" s="102" t="s">
        <v>4242</v>
      </c>
      <c r="S29" s="102" t="s">
        <v>108</v>
      </c>
      <c r="T29" s="102" t="s">
        <v>822</v>
      </c>
      <c r="U29" s="102" t="s">
        <v>93</v>
      </c>
      <c r="V29" s="102" t="s">
        <v>212</v>
      </c>
      <c r="W29" s="110">
        <f t="shared" si="0"/>
        <v>24</v>
      </c>
      <c r="X29" s="129">
        <v>23</v>
      </c>
      <c r="Y29" s="129">
        <v>1</v>
      </c>
      <c r="Z29" s="75" t="s">
        <v>4243</v>
      </c>
    </row>
    <row r="30" spans="1:26" s="91" customFormat="1" ht="60">
      <c r="A30" s="102">
        <v>26</v>
      </c>
      <c r="B30" s="102" t="s">
        <v>4048</v>
      </c>
      <c r="C30" s="102" t="s">
        <v>4229</v>
      </c>
      <c r="D30" s="108" t="s">
        <v>4244</v>
      </c>
      <c r="E30" s="75" t="s">
        <v>4245</v>
      </c>
      <c r="F30" s="108" t="s">
        <v>4246</v>
      </c>
      <c r="G30" s="75" t="s">
        <v>4247</v>
      </c>
      <c r="H30" s="75" t="s">
        <v>1395</v>
      </c>
      <c r="I30" s="128">
        <v>80</v>
      </c>
      <c r="J30" s="128">
        <v>0</v>
      </c>
      <c r="K30" s="128">
        <v>40</v>
      </c>
      <c r="L30" s="128">
        <v>40</v>
      </c>
      <c r="M30" s="128"/>
      <c r="N30" s="111"/>
      <c r="O30" s="111"/>
      <c r="P30" s="102" t="s">
        <v>5</v>
      </c>
      <c r="Q30" s="77"/>
      <c r="R30" s="102" t="s">
        <v>4248</v>
      </c>
      <c r="S30" s="102" t="s">
        <v>108</v>
      </c>
      <c r="T30" s="102" t="s">
        <v>91</v>
      </c>
      <c r="U30" s="75" t="s">
        <v>4853</v>
      </c>
      <c r="V30" s="102" t="s">
        <v>212</v>
      </c>
      <c r="W30" s="110">
        <f t="shared" si="0"/>
        <v>20</v>
      </c>
      <c r="X30" s="129">
        <v>15</v>
      </c>
      <c r="Y30" s="129">
        <v>5</v>
      </c>
      <c r="Z30" s="75" t="s">
        <v>4249</v>
      </c>
    </row>
    <row r="31" spans="1:26" s="91" customFormat="1" ht="24">
      <c r="A31" s="102">
        <v>27</v>
      </c>
      <c r="B31" s="102" t="s">
        <v>4048</v>
      </c>
      <c r="C31" s="102" t="s">
        <v>176</v>
      </c>
      <c r="D31" s="75" t="s">
        <v>4250</v>
      </c>
      <c r="E31" s="75" t="s">
        <v>4251</v>
      </c>
      <c r="F31" s="108" t="s">
        <v>4252</v>
      </c>
      <c r="G31" s="75" t="s">
        <v>4253</v>
      </c>
      <c r="H31" s="75" t="s">
        <v>4254</v>
      </c>
      <c r="I31" s="128">
        <v>450</v>
      </c>
      <c r="J31" s="128">
        <v>300</v>
      </c>
      <c r="K31" s="128">
        <v>150</v>
      </c>
      <c r="L31" s="128" t="s">
        <v>1787</v>
      </c>
      <c r="M31" s="128"/>
      <c r="N31" s="102" t="s">
        <v>2899</v>
      </c>
      <c r="O31" s="102" t="s">
        <v>4255</v>
      </c>
      <c r="P31" s="75" t="s">
        <v>172</v>
      </c>
      <c r="Q31" s="77"/>
      <c r="R31" s="75" t="s">
        <v>2898</v>
      </c>
      <c r="S31" s="75" t="s">
        <v>108</v>
      </c>
      <c r="T31" s="75" t="s">
        <v>822</v>
      </c>
      <c r="U31" s="75" t="s">
        <v>93</v>
      </c>
      <c r="V31" s="75" t="s">
        <v>323</v>
      </c>
      <c r="W31" s="110">
        <f t="shared" si="0"/>
        <v>164</v>
      </c>
      <c r="X31" s="110">
        <v>157</v>
      </c>
      <c r="Y31" s="110">
        <v>7</v>
      </c>
      <c r="Z31" s="75" t="s">
        <v>4256</v>
      </c>
    </row>
    <row r="32" spans="1:26" s="91" customFormat="1" ht="24">
      <c r="A32" s="102">
        <v>28</v>
      </c>
      <c r="B32" s="102" t="s">
        <v>4048</v>
      </c>
      <c r="C32" s="102" t="s">
        <v>176</v>
      </c>
      <c r="D32" s="75" t="s">
        <v>4257</v>
      </c>
      <c r="E32" s="75" t="s">
        <v>4258</v>
      </c>
      <c r="F32" s="108" t="s">
        <v>4259</v>
      </c>
      <c r="G32" s="75" t="s">
        <v>4260</v>
      </c>
      <c r="H32" s="75" t="s">
        <v>4261</v>
      </c>
      <c r="I32" s="128">
        <v>550</v>
      </c>
      <c r="J32" s="128">
        <v>0</v>
      </c>
      <c r="K32" s="128" t="s">
        <v>1787</v>
      </c>
      <c r="L32" s="128">
        <v>550</v>
      </c>
      <c r="M32" s="128"/>
      <c r="N32" s="75"/>
      <c r="O32" s="75"/>
      <c r="P32" s="75" t="s">
        <v>172</v>
      </c>
      <c r="Q32" s="76"/>
      <c r="R32" s="75" t="s">
        <v>4262</v>
      </c>
      <c r="S32" s="75" t="s">
        <v>108</v>
      </c>
      <c r="T32" s="75" t="s">
        <v>944</v>
      </c>
      <c r="U32" s="75" t="s">
        <v>4853</v>
      </c>
      <c r="V32" s="75" t="s">
        <v>323</v>
      </c>
      <c r="W32" s="110">
        <f t="shared" si="0"/>
        <v>45</v>
      </c>
      <c r="X32" s="110">
        <v>45</v>
      </c>
      <c r="Y32" s="110">
        <v>0</v>
      </c>
      <c r="Z32" s="75" t="s">
        <v>4263</v>
      </c>
    </row>
    <row r="33" spans="1:26" s="92" customFormat="1" ht="36">
      <c r="A33" s="102">
        <v>29</v>
      </c>
      <c r="B33" s="102" t="s">
        <v>4048</v>
      </c>
      <c r="C33" s="102" t="s">
        <v>4264</v>
      </c>
      <c r="D33" s="75" t="s">
        <v>4265</v>
      </c>
      <c r="E33" s="75" t="s">
        <v>4266</v>
      </c>
      <c r="F33" s="108" t="s">
        <v>4267</v>
      </c>
      <c r="G33" s="75" t="s">
        <v>4268</v>
      </c>
      <c r="H33" s="75" t="s">
        <v>4269</v>
      </c>
      <c r="I33" s="128">
        <v>20</v>
      </c>
      <c r="J33" s="128">
        <v>0</v>
      </c>
      <c r="K33" s="128">
        <v>0</v>
      </c>
      <c r="L33" s="128">
        <v>20</v>
      </c>
      <c r="M33" s="128"/>
      <c r="N33" s="75"/>
      <c r="O33" s="75"/>
      <c r="P33" s="75" t="s">
        <v>209</v>
      </c>
      <c r="Q33" s="76"/>
      <c r="R33" s="75" t="s">
        <v>4270</v>
      </c>
      <c r="S33" s="75" t="s">
        <v>373</v>
      </c>
      <c r="T33" s="75" t="s">
        <v>198</v>
      </c>
      <c r="U33" s="75" t="s">
        <v>4853</v>
      </c>
      <c r="V33" s="75" t="s">
        <v>95</v>
      </c>
      <c r="W33" s="110" t="s">
        <v>4854</v>
      </c>
      <c r="X33" s="110">
        <v>0</v>
      </c>
      <c r="Y33" s="110">
        <v>0</v>
      </c>
      <c r="Z33" s="75" t="s">
        <v>4271</v>
      </c>
    </row>
    <row r="34" spans="1:26" s="92" customFormat="1" ht="24">
      <c r="A34" s="102">
        <v>30</v>
      </c>
      <c r="B34" s="102" t="s">
        <v>4048</v>
      </c>
      <c r="C34" s="102" t="s">
        <v>4272</v>
      </c>
      <c r="D34" s="75" t="s">
        <v>4273</v>
      </c>
      <c r="E34" s="75" t="s">
        <v>4274</v>
      </c>
      <c r="F34" s="108" t="s">
        <v>4275</v>
      </c>
      <c r="G34" s="75" t="s">
        <v>4276</v>
      </c>
      <c r="H34" s="75" t="s">
        <v>2326</v>
      </c>
      <c r="I34" s="128">
        <v>200</v>
      </c>
      <c r="J34" s="128">
        <v>0</v>
      </c>
      <c r="K34" s="128">
        <v>0</v>
      </c>
      <c r="L34" s="128">
        <v>200</v>
      </c>
      <c r="M34" s="128"/>
      <c r="N34" s="75"/>
      <c r="O34" s="75"/>
      <c r="P34" s="75" t="s">
        <v>247</v>
      </c>
      <c r="Q34" s="76" t="s">
        <v>4852</v>
      </c>
      <c r="R34" s="75" t="s">
        <v>4277</v>
      </c>
      <c r="S34" s="75" t="s">
        <v>108</v>
      </c>
      <c r="T34" s="75" t="s">
        <v>91</v>
      </c>
      <c r="U34" s="75" t="s">
        <v>4853</v>
      </c>
      <c r="V34" s="75" t="s">
        <v>212</v>
      </c>
      <c r="W34" s="110" t="s">
        <v>4854</v>
      </c>
      <c r="X34" s="110">
        <v>0</v>
      </c>
      <c r="Y34" s="110">
        <v>0</v>
      </c>
      <c r="Z34" s="75" t="s">
        <v>4278</v>
      </c>
    </row>
    <row r="35" spans="1:26" s="92" customFormat="1" ht="60">
      <c r="A35" s="102">
        <v>31</v>
      </c>
      <c r="B35" s="102" t="s">
        <v>4048</v>
      </c>
      <c r="C35" s="102" t="s">
        <v>4279</v>
      </c>
      <c r="D35" s="75" t="s">
        <v>4280</v>
      </c>
      <c r="E35" s="75" t="s">
        <v>4281</v>
      </c>
      <c r="F35" s="108" t="s">
        <v>4282</v>
      </c>
      <c r="G35" s="75" t="s">
        <v>4283</v>
      </c>
      <c r="H35" s="75" t="s">
        <v>4284</v>
      </c>
      <c r="I35" s="128">
        <v>15</v>
      </c>
      <c r="J35" s="128">
        <v>0</v>
      </c>
      <c r="K35" s="128" t="s">
        <v>2516</v>
      </c>
      <c r="L35" s="128">
        <v>15</v>
      </c>
      <c r="M35" s="128">
        <v>0</v>
      </c>
      <c r="N35" s="75"/>
      <c r="O35" s="75"/>
      <c r="P35" s="75" t="s">
        <v>172</v>
      </c>
      <c r="Q35" s="76"/>
      <c r="R35" s="75" t="s">
        <v>4285</v>
      </c>
      <c r="S35" s="75" t="s">
        <v>108</v>
      </c>
      <c r="T35" s="75" t="s">
        <v>822</v>
      </c>
      <c r="U35" s="75" t="s">
        <v>93</v>
      </c>
      <c r="V35" s="75" t="s">
        <v>212</v>
      </c>
      <c r="W35" s="110">
        <f t="shared" si="0"/>
        <v>5</v>
      </c>
      <c r="X35" s="110">
        <v>5</v>
      </c>
      <c r="Y35" s="110">
        <v>0</v>
      </c>
      <c r="Z35" s="110" t="s">
        <v>4854</v>
      </c>
    </row>
    <row r="36" spans="1:26" s="92" customFormat="1" ht="60">
      <c r="A36" s="102">
        <v>32</v>
      </c>
      <c r="B36" s="102" t="s">
        <v>4048</v>
      </c>
      <c r="C36" s="102" t="s">
        <v>4279</v>
      </c>
      <c r="D36" s="75" t="s">
        <v>4286</v>
      </c>
      <c r="E36" s="75" t="s">
        <v>4287</v>
      </c>
      <c r="F36" s="108" t="s">
        <v>4288</v>
      </c>
      <c r="G36" s="75" t="s">
        <v>4283</v>
      </c>
      <c r="H36" s="75" t="s">
        <v>4289</v>
      </c>
      <c r="I36" s="128">
        <v>14</v>
      </c>
      <c r="J36" s="128">
        <v>0</v>
      </c>
      <c r="K36" s="128" t="s">
        <v>2516</v>
      </c>
      <c r="L36" s="128">
        <v>14</v>
      </c>
      <c r="M36" s="128">
        <v>0</v>
      </c>
      <c r="N36" s="102"/>
      <c r="O36" s="102"/>
      <c r="P36" s="75" t="s">
        <v>5</v>
      </c>
      <c r="Q36" s="77"/>
      <c r="R36" s="75" t="s">
        <v>4290</v>
      </c>
      <c r="S36" s="75" t="s">
        <v>108</v>
      </c>
      <c r="T36" s="75" t="s">
        <v>822</v>
      </c>
      <c r="U36" s="75" t="s">
        <v>93</v>
      </c>
      <c r="V36" s="75" t="s">
        <v>212</v>
      </c>
      <c r="W36" s="110">
        <f t="shared" si="0"/>
        <v>4</v>
      </c>
      <c r="X36" s="110">
        <v>4</v>
      </c>
      <c r="Y36" s="110">
        <v>0</v>
      </c>
      <c r="Z36" s="110" t="s">
        <v>4854</v>
      </c>
    </row>
    <row r="37" spans="1:26" s="92" customFormat="1" ht="36">
      <c r="A37" s="102">
        <v>33</v>
      </c>
      <c r="B37" s="102" t="s">
        <v>4048</v>
      </c>
      <c r="C37" s="102" t="s">
        <v>4279</v>
      </c>
      <c r="D37" s="75" t="s">
        <v>4291</v>
      </c>
      <c r="E37" s="75" t="s">
        <v>4287</v>
      </c>
      <c r="F37" s="108" t="s">
        <v>4292</v>
      </c>
      <c r="G37" s="75" t="s">
        <v>4293</v>
      </c>
      <c r="H37" s="75" t="s">
        <v>1387</v>
      </c>
      <c r="I37" s="128">
        <v>57</v>
      </c>
      <c r="J37" s="128">
        <v>0</v>
      </c>
      <c r="K37" s="128">
        <v>0</v>
      </c>
      <c r="L37" s="128">
        <v>57</v>
      </c>
      <c r="M37" s="128"/>
      <c r="N37" s="102"/>
      <c r="O37" s="102"/>
      <c r="P37" s="75" t="s">
        <v>247</v>
      </c>
      <c r="Q37" s="76"/>
      <c r="R37" s="75" t="s">
        <v>4294</v>
      </c>
      <c r="S37" s="75" t="s">
        <v>108</v>
      </c>
      <c r="T37" s="75" t="s">
        <v>4110</v>
      </c>
      <c r="U37" s="75" t="s">
        <v>93</v>
      </c>
      <c r="V37" s="75" t="s">
        <v>95</v>
      </c>
      <c r="W37" s="110">
        <f t="shared" si="0"/>
        <v>10</v>
      </c>
      <c r="X37" s="110">
        <v>10</v>
      </c>
      <c r="Y37" s="110">
        <v>0</v>
      </c>
      <c r="Z37" s="75" t="s">
        <v>4295</v>
      </c>
    </row>
    <row r="38" spans="1:26" s="92" customFormat="1" ht="60">
      <c r="A38" s="102">
        <v>34</v>
      </c>
      <c r="B38" s="102" t="s">
        <v>4048</v>
      </c>
      <c r="C38" s="102" t="s">
        <v>4296</v>
      </c>
      <c r="D38" s="75" t="s">
        <v>4297</v>
      </c>
      <c r="E38" s="75" t="s">
        <v>4298</v>
      </c>
      <c r="F38" s="108" t="s">
        <v>4299</v>
      </c>
      <c r="G38" s="75" t="s">
        <v>4300</v>
      </c>
      <c r="H38" s="75" t="s">
        <v>966</v>
      </c>
      <c r="I38" s="128">
        <v>190</v>
      </c>
      <c r="J38" s="128">
        <v>0</v>
      </c>
      <c r="K38" s="128">
        <v>0</v>
      </c>
      <c r="L38" s="128">
        <v>190</v>
      </c>
      <c r="M38" s="128"/>
      <c r="N38" s="75"/>
      <c r="O38" s="75"/>
      <c r="P38" s="75" t="s">
        <v>247</v>
      </c>
      <c r="Q38" s="76"/>
      <c r="R38" s="75" t="s">
        <v>4301</v>
      </c>
      <c r="S38" s="75" t="s">
        <v>108</v>
      </c>
      <c r="T38" s="75" t="s">
        <v>222</v>
      </c>
      <c r="U38" s="75" t="s">
        <v>4853</v>
      </c>
      <c r="V38" s="75" t="s">
        <v>323</v>
      </c>
      <c r="W38" s="110" t="s">
        <v>4854</v>
      </c>
      <c r="X38" s="110">
        <v>0</v>
      </c>
      <c r="Y38" s="110">
        <v>0</v>
      </c>
      <c r="Z38" s="75" t="s">
        <v>4302</v>
      </c>
    </row>
    <row r="39" spans="1:26" s="92" customFormat="1" ht="36">
      <c r="A39" s="102">
        <v>35</v>
      </c>
      <c r="B39" s="102" t="s">
        <v>4048</v>
      </c>
      <c r="C39" s="102" t="s">
        <v>4296</v>
      </c>
      <c r="D39" s="75" t="s">
        <v>4303</v>
      </c>
      <c r="E39" s="75" t="s">
        <v>4304</v>
      </c>
      <c r="F39" s="108" t="s">
        <v>4305</v>
      </c>
      <c r="G39" s="75" t="s">
        <v>4306</v>
      </c>
      <c r="H39" s="75" t="s">
        <v>1833</v>
      </c>
      <c r="I39" s="128">
        <v>110</v>
      </c>
      <c r="J39" s="128">
        <v>0</v>
      </c>
      <c r="K39" s="128">
        <v>30</v>
      </c>
      <c r="L39" s="128">
        <v>80</v>
      </c>
      <c r="M39" s="128"/>
      <c r="N39" s="75"/>
      <c r="O39" s="75"/>
      <c r="P39" s="75" t="s">
        <v>247</v>
      </c>
      <c r="Q39" s="76"/>
      <c r="R39" s="75" t="s">
        <v>1182</v>
      </c>
      <c r="S39" s="75" t="s">
        <v>108</v>
      </c>
      <c r="T39" s="75" t="s">
        <v>4110</v>
      </c>
      <c r="U39" s="75" t="s">
        <v>93</v>
      </c>
      <c r="V39" s="75" t="s">
        <v>323</v>
      </c>
      <c r="W39" s="110" t="s">
        <v>4854</v>
      </c>
      <c r="X39" s="110">
        <v>0</v>
      </c>
      <c r="Y39" s="110">
        <v>0</v>
      </c>
      <c r="Z39" s="75" t="s">
        <v>4307</v>
      </c>
    </row>
    <row r="40" spans="1:26" s="92" customFormat="1" ht="36">
      <c r="A40" s="102">
        <v>36</v>
      </c>
      <c r="B40" s="102" t="s">
        <v>4048</v>
      </c>
      <c r="C40" s="102" t="s">
        <v>4308</v>
      </c>
      <c r="D40" s="75" t="s">
        <v>4309</v>
      </c>
      <c r="E40" s="75" t="s">
        <v>4310</v>
      </c>
      <c r="F40" s="108" t="s">
        <v>4311</v>
      </c>
      <c r="G40" s="75" t="s">
        <v>4312</v>
      </c>
      <c r="H40" s="75" t="s">
        <v>3169</v>
      </c>
      <c r="I40" s="128">
        <v>200</v>
      </c>
      <c r="J40" s="128">
        <v>0</v>
      </c>
      <c r="K40" s="128">
        <v>150</v>
      </c>
      <c r="L40" s="128">
        <v>30</v>
      </c>
      <c r="M40" s="128">
        <v>20</v>
      </c>
      <c r="N40" s="102"/>
      <c r="O40" s="102"/>
      <c r="P40" s="75" t="s">
        <v>1113</v>
      </c>
      <c r="Q40" s="77"/>
      <c r="R40" s="75" t="s">
        <v>4313</v>
      </c>
      <c r="S40" s="75" t="s">
        <v>108</v>
      </c>
      <c r="T40" s="75" t="s">
        <v>91</v>
      </c>
      <c r="U40" s="75" t="s">
        <v>873</v>
      </c>
      <c r="V40" s="75" t="s">
        <v>212</v>
      </c>
      <c r="W40" s="110" t="s">
        <v>4854</v>
      </c>
      <c r="X40" s="110">
        <v>0</v>
      </c>
      <c r="Y40" s="110">
        <v>0</v>
      </c>
      <c r="Z40" s="75" t="s">
        <v>2504</v>
      </c>
    </row>
    <row r="41" spans="1:26" s="92" customFormat="1" ht="48">
      <c r="A41" s="102">
        <v>37</v>
      </c>
      <c r="B41" s="102" t="s">
        <v>4048</v>
      </c>
      <c r="C41" s="102" t="s">
        <v>4308</v>
      </c>
      <c r="D41" s="75" t="s">
        <v>4314</v>
      </c>
      <c r="E41" s="75" t="s">
        <v>4315</v>
      </c>
      <c r="F41" s="108" t="s">
        <v>4316</v>
      </c>
      <c r="G41" s="75" t="s">
        <v>4317</v>
      </c>
      <c r="H41" s="75" t="s">
        <v>966</v>
      </c>
      <c r="I41" s="128">
        <v>160</v>
      </c>
      <c r="J41" s="128">
        <v>40</v>
      </c>
      <c r="K41" s="128">
        <v>100</v>
      </c>
      <c r="L41" s="128">
        <v>20</v>
      </c>
      <c r="M41" s="128"/>
      <c r="N41" s="75"/>
      <c r="O41" s="75"/>
      <c r="P41" s="75" t="s">
        <v>436</v>
      </c>
      <c r="Q41" s="76"/>
      <c r="R41" s="75" t="s">
        <v>4318</v>
      </c>
      <c r="S41" s="75" t="s">
        <v>108</v>
      </c>
      <c r="T41" s="75" t="s">
        <v>91</v>
      </c>
      <c r="U41" s="75" t="s">
        <v>3432</v>
      </c>
      <c r="V41" s="75" t="s">
        <v>212</v>
      </c>
      <c r="W41" s="110" t="s">
        <v>4854</v>
      </c>
      <c r="X41" s="110">
        <v>0</v>
      </c>
      <c r="Y41" s="110">
        <v>0</v>
      </c>
      <c r="Z41" s="75" t="s">
        <v>2504</v>
      </c>
    </row>
    <row r="42" spans="1:26" s="92" customFormat="1" ht="36">
      <c r="A42" s="102">
        <v>38</v>
      </c>
      <c r="B42" s="102" t="s">
        <v>4048</v>
      </c>
      <c r="C42" s="102" t="s">
        <v>4308</v>
      </c>
      <c r="D42" s="75" t="s">
        <v>4319</v>
      </c>
      <c r="E42" s="75" t="s">
        <v>4310</v>
      </c>
      <c r="F42" s="108" t="s">
        <v>4320</v>
      </c>
      <c r="G42" s="75" t="s">
        <v>4321</v>
      </c>
      <c r="H42" s="75" t="s">
        <v>3202</v>
      </c>
      <c r="I42" s="128">
        <f>SUM(J42:M42)</f>
        <v>85</v>
      </c>
      <c r="J42" s="128">
        <v>0</v>
      </c>
      <c r="K42" s="128">
        <v>50</v>
      </c>
      <c r="L42" s="128">
        <v>35</v>
      </c>
      <c r="M42" s="128"/>
      <c r="N42" s="102"/>
      <c r="O42" s="102"/>
      <c r="P42" s="75" t="s">
        <v>5</v>
      </c>
      <c r="Q42" s="77"/>
      <c r="R42" s="75" t="s">
        <v>4322</v>
      </c>
      <c r="S42" s="75" t="s">
        <v>108</v>
      </c>
      <c r="T42" s="75" t="s">
        <v>944</v>
      </c>
      <c r="U42" s="75" t="s">
        <v>873</v>
      </c>
      <c r="V42" s="75" t="s">
        <v>212</v>
      </c>
      <c r="W42" s="110" t="s">
        <v>4854</v>
      </c>
      <c r="X42" s="110">
        <v>0</v>
      </c>
      <c r="Y42" s="110">
        <v>0</v>
      </c>
      <c r="Z42" s="75" t="s">
        <v>114</v>
      </c>
    </row>
    <row r="43" spans="1:26" s="92" customFormat="1" ht="36">
      <c r="A43" s="102">
        <v>39</v>
      </c>
      <c r="B43" s="102" t="s">
        <v>4048</v>
      </c>
      <c r="C43" s="102" t="s">
        <v>4308</v>
      </c>
      <c r="D43" s="75" t="s">
        <v>4323</v>
      </c>
      <c r="E43" s="75" t="s">
        <v>4324</v>
      </c>
      <c r="F43" s="108" t="s">
        <v>4325</v>
      </c>
      <c r="G43" s="75" t="s">
        <v>4326</v>
      </c>
      <c r="H43" s="75" t="s">
        <v>4327</v>
      </c>
      <c r="I43" s="128">
        <v>117.3</v>
      </c>
      <c r="J43" s="128">
        <v>32.1</v>
      </c>
      <c r="K43" s="128">
        <v>50</v>
      </c>
      <c r="L43" s="128">
        <v>35.200000000000003</v>
      </c>
      <c r="M43" s="128"/>
      <c r="N43" s="75" t="s">
        <v>4328</v>
      </c>
      <c r="O43" s="102" t="s">
        <v>4329</v>
      </c>
      <c r="P43" s="75" t="s">
        <v>5</v>
      </c>
      <c r="Q43" s="77"/>
      <c r="R43" s="75" t="s">
        <v>4330</v>
      </c>
      <c r="S43" s="75" t="s">
        <v>108</v>
      </c>
      <c r="T43" s="75" t="s">
        <v>91</v>
      </c>
      <c r="U43" s="75" t="s">
        <v>4858</v>
      </c>
      <c r="V43" s="75" t="s">
        <v>323</v>
      </c>
      <c r="W43" s="110" t="s">
        <v>4854</v>
      </c>
      <c r="X43" s="110">
        <v>0</v>
      </c>
      <c r="Y43" s="110">
        <v>0</v>
      </c>
      <c r="Z43" s="75" t="s">
        <v>4331</v>
      </c>
    </row>
    <row r="44" spans="1:26" s="92" customFormat="1" ht="108">
      <c r="A44" s="102">
        <v>40</v>
      </c>
      <c r="B44" s="102" t="s">
        <v>4048</v>
      </c>
      <c r="C44" s="102" t="s">
        <v>4332</v>
      </c>
      <c r="D44" s="75" t="s">
        <v>4333</v>
      </c>
      <c r="E44" s="75" t="s">
        <v>4334</v>
      </c>
      <c r="F44" s="108" t="s">
        <v>4335</v>
      </c>
      <c r="G44" s="75" t="s">
        <v>4336</v>
      </c>
      <c r="H44" s="75" t="s">
        <v>2952</v>
      </c>
      <c r="I44" s="128">
        <v>600</v>
      </c>
      <c r="J44" s="128">
        <v>0</v>
      </c>
      <c r="K44" s="128" t="s">
        <v>4337</v>
      </c>
      <c r="L44" s="128">
        <v>442</v>
      </c>
      <c r="M44" s="128">
        <v>0</v>
      </c>
      <c r="N44" s="102"/>
      <c r="O44" s="102"/>
      <c r="P44" s="75" t="s">
        <v>1182</v>
      </c>
      <c r="Q44" s="76"/>
      <c r="R44" s="75" t="s">
        <v>4338</v>
      </c>
      <c r="S44" s="75" t="s">
        <v>108</v>
      </c>
      <c r="T44" s="75" t="s">
        <v>4110</v>
      </c>
      <c r="U44" s="75" t="s">
        <v>93</v>
      </c>
      <c r="V44" s="75" t="s">
        <v>95</v>
      </c>
      <c r="W44" s="110">
        <f t="shared" si="0"/>
        <v>1920</v>
      </c>
      <c r="X44" s="78">
        <v>1869</v>
      </c>
      <c r="Y44" s="78">
        <v>51</v>
      </c>
      <c r="Z44" s="75" t="s">
        <v>4339</v>
      </c>
    </row>
    <row r="45" spans="1:26" s="92" customFormat="1" ht="108">
      <c r="A45" s="102">
        <v>41</v>
      </c>
      <c r="B45" s="102" t="s">
        <v>4063</v>
      </c>
      <c r="C45" s="102" t="s">
        <v>4332</v>
      </c>
      <c r="D45" s="102" t="s">
        <v>4340</v>
      </c>
      <c r="E45" s="76" t="s">
        <v>4341</v>
      </c>
      <c r="F45" s="119" t="s">
        <v>4342</v>
      </c>
      <c r="G45" s="75" t="s">
        <v>4343</v>
      </c>
      <c r="H45" s="75" t="s">
        <v>2936</v>
      </c>
      <c r="I45" s="128">
        <v>120</v>
      </c>
      <c r="J45" s="128">
        <v>0</v>
      </c>
      <c r="K45" s="128" t="s">
        <v>4344</v>
      </c>
      <c r="L45" s="128">
        <v>90</v>
      </c>
      <c r="M45" s="128">
        <v>0</v>
      </c>
      <c r="N45" s="102"/>
      <c r="O45" s="102"/>
      <c r="P45" s="75" t="s">
        <v>436</v>
      </c>
      <c r="Q45" s="77"/>
      <c r="R45" s="75" t="s">
        <v>4345</v>
      </c>
      <c r="S45" s="75" t="s">
        <v>108</v>
      </c>
      <c r="T45" s="75" t="s">
        <v>822</v>
      </c>
      <c r="U45" s="75" t="s">
        <v>93</v>
      </c>
      <c r="V45" s="75" t="s">
        <v>95</v>
      </c>
      <c r="W45" s="110">
        <f t="shared" si="0"/>
        <v>27</v>
      </c>
      <c r="X45" s="78">
        <v>27</v>
      </c>
      <c r="Y45" s="110">
        <v>0</v>
      </c>
      <c r="Z45" s="75" t="s">
        <v>4346</v>
      </c>
    </row>
    <row r="46" spans="1:26" s="91" customFormat="1" ht="24">
      <c r="A46" s="102">
        <v>42</v>
      </c>
      <c r="B46" s="102" t="s">
        <v>4048</v>
      </c>
      <c r="C46" s="102" t="s">
        <v>4347</v>
      </c>
      <c r="D46" s="75" t="s">
        <v>4348</v>
      </c>
      <c r="E46" s="75" t="s">
        <v>4310</v>
      </c>
      <c r="F46" s="108" t="s">
        <v>4349</v>
      </c>
      <c r="G46" s="75" t="s">
        <v>4350</v>
      </c>
      <c r="H46" s="75" t="s">
        <v>966</v>
      </c>
      <c r="I46" s="128">
        <v>30</v>
      </c>
      <c r="J46" s="128">
        <v>0</v>
      </c>
      <c r="K46" s="128">
        <v>0</v>
      </c>
      <c r="L46" s="128">
        <v>30</v>
      </c>
      <c r="M46" s="128"/>
      <c r="N46" s="75"/>
      <c r="O46" s="75"/>
      <c r="P46" s="75" t="s">
        <v>247</v>
      </c>
      <c r="Q46" s="76"/>
      <c r="R46" s="75" t="s">
        <v>4351</v>
      </c>
      <c r="S46" s="75" t="s">
        <v>108</v>
      </c>
      <c r="T46" s="75" t="s">
        <v>944</v>
      </c>
      <c r="U46" s="75" t="s">
        <v>4853</v>
      </c>
      <c r="V46" s="75" t="s">
        <v>212</v>
      </c>
      <c r="W46" s="110">
        <f t="shared" si="0"/>
        <v>3</v>
      </c>
      <c r="X46" s="110">
        <v>3</v>
      </c>
      <c r="Y46" s="110">
        <v>0</v>
      </c>
      <c r="Z46" s="75" t="s">
        <v>4352</v>
      </c>
    </row>
    <row r="47" spans="1:26" s="91" customFormat="1" ht="120">
      <c r="A47" s="102">
        <v>43</v>
      </c>
      <c r="B47" s="102" t="s">
        <v>4048</v>
      </c>
      <c r="C47" s="102" t="s">
        <v>4353</v>
      </c>
      <c r="D47" s="75" t="s">
        <v>4354</v>
      </c>
      <c r="E47" s="75" t="s">
        <v>4355</v>
      </c>
      <c r="F47" s="108" t="s">
        <v>4356</v>
      </c>
      <c r="G47" s="75" t="s">
        <v>4357</v>
      </c>
      <c r="H47" s="75" t="s">
        <v>3123</v>
      </c>
      <c r="I47" s="128">
        <f>SUM(J47:L47)</f>
        <v>693</v>
      </c>
      <c r="J47" s="128">
        <v>225</v>
      </c>
      <c r="K47" s="128">
        <v>300</v>
      </c>
      <c r="L47" s="128">
        <v>168</v>
      </c>
      <c r="M47" s="128"/>
      <c r="N47" s="102" t="s">
        <v>4358</v>
      </c>
      <c r="O47" s="102" t="s">
        <v>4359</v>
      </c>
      <c r="P47" s="75" t="s">
        <v>172</v>
      </c>
      <c r="Q47" s="77"/>
      <c r="R47" s="75" t="s">
        <v>4360</v>
      </c>
      <c r="S47" s="75" t="s">
        <v>373</v>
      </c>
      <c r="T47" s="75" t="s">
        <v>4361</v>
      </c>
      <c r="U47" s="75" t="s">
        <v>873</v>
      </c>
      <c r="V47" s="75" t="s">
        <v>3709</v>
      </c>
      <c r="W47" s="110">
        <f t="shared" si="0"/>
        <v>60</v>
      </c>
      <c r="X47" s="129">
        <v>50</v>
      </c>
      <c r="Y47" s="129">
        <v>10</v>
      </c>
      <c r="Z47" s="75" t="s">
        <v>4362</v>
      </c>
    </row>
    <row r="48" spans="1:26" s="91" customFormat="1" ht="36">
      <c r="A48" s="102">
        <v>44</v>
      </c>
      <c r="B48" s="102" t="s">
        <v>4063</v>
      </c>
      <c r="C48" s="102" t="s">
        <v>4363</v>
      </c>
      <c r="D48" s="75" t="s">
        <v>4364</v>
      </c>
      <c r="E48" s="75" t="s">
        <v>4304</v>
      </c>
      <c r="F48" s="108" t="s">
        <v>4365</v>
      </c>
      <c r="G48" s="75" t="s">
        <v>4366</v>
      </c>
      <c r="H48" s="75" t="s">
        <v>4367</v>
      </c>
      <c r="I48" s="128">
        <v>170</v>
      </c>
      <c r="J48" s="128">
        <v>0</v>
      </c>
      <c r="K48" s="128">
        <v>70</v>
      </c>
      <c r="L48" s="128">
        <v>100</v>
      </c>
      <c r="M48" s="128">
        <v>0</v>
      </c>
      <c r="N48" s="102"/>
      <c r="O48" s="102"/>
      <c r="P48" s="75" t="s">
        <v>247</v>
      </c>
      <c r="Q48" s="76"/>
      <c r="R48" s="75" t="s">
        <v>4368</v>
      </c>
      <c r="S48" s="75" t="s">
        <v>373</v>
      </c>
      <c r="T48" s="75" t="s">
        <v>4369</v>
      </c>
      <c r="U48" s="75" t="s">
        <v>595</v>
      </c>
      <c r="V48" s="75" t="s">
        <v>1924</v>
      </c>
      <c r="W48" s="110">
        <f t="shared" si="0"/>
        <v>150</v>
      </c>
      <c r="X48" s="110">
        <v>150</v>
      </c>
      <c r="Y48" s="110">
        <v>0</v>
      </c>
      <c r="Z48" s="75" t="s">
        <v>4370</v>
      </c>
    </row>
    <row r="49" spans="1:26" s="91" customFormat="1" ht="24">
      <c r="A49" s="102">
        <v>45</v>
      </c>
      <c r="B49" s="102" t="s">
        <v>4063</v>
      </c>
      <c r="C49" s="102" t="s">
        <v>4363</v>
      </c>
      <c r="D49" s="75" t="s">
        <v>4371</v>
      </c>
      <c r="E49" s="75" t="s">
        <v>1919</v>
      </c>
      <c r="F49" s="108" t="s">
        <v>4372</v>
      </c>
      <c r="G49" s="75" t="s">
        <v>4373</v>
      </c>
      <c r="H49" s="75" t="s">
        <v>4374</v>
      </c>
      <c r="I49" s="128">
        <v>200</v>
      </c>
      <c r="J49" s="128">
        <v>0</v>
      </c>
      <c r="K49" s="128">
        <v>0</v>
      </c>
      <c r="L49" s="128">
        <v>200</v>
      </c>
      <c r="M49" s="128">
        <v>0</v>
      </c>
      <c r="N49" s="102"/>
      <c r="O49" s="102"/>
      <c r="P49" s="75" t="s">
        <v>247</v>
      </c>
      <c r="Q49" s="76"/>
      <c r="R49" s="75" t="s">
        <v>4375</v>
      </c>
      <c r="S49" s="75" t="s">
        <v>373</v>
      </c>
      <c r="T49" s="75" t="s">
        <v>3757</v>
      </c>
      <c r="U49" s="75" t="s">
        <v>4853</v>
      </c>
      <c r="V49" s="75" t="s">
        <v>376</v>
      </c>
      <c r="W49" s="110">
        <f t="shared" si="0"/>
        <v>20</v>
      </c>
      <c r="X49" s="110">
        <v>20</v>
      </c>
      <c r="Y49" s="110">
        <v>0</v>
      </c>
      <c r="Z49" s="75" t="s">
        <v>4375</v>
      </c>
    </row>
    <row r="50" spans="1:26" s="95" customFormat="1" ht="24">
      <c r="A50" s="102">
        <v>46</v>
      </c>
      <c r="B50" s="102" t="s">
        <v>4063</v>
      </c>
      <c r="C50" s="102" t="s">
        <v>4363</v>
      </c>
      <c r="D50" s="77" t="s">
        <v>4376</v>
      </c>
      <c r="E50" s="75" t="s">
        <v>4377</v>
      </c>
      <c r="F50" s="108" t="s">
        <v>4378</v>
      </c>
      <c r="G50" s="75" t="s">
        <v>4379</v>
      </c>
      <c r="H50" s="75">
        <v>1995</v>
      </c>
      <c r="I50" s="128">
        <v>24</v>
      </c>
      <c r="J50" s="128">
        <v>0</v>
      </c>
      <c r="K50" s="128">
        <v>20</v>
      </c>
      <c r="L50" s="128">
        <v>0</v>
      </c>
      <c r="M50" s="128">
        <v>4</v>
      </c>
      <c r="N50" s="102"/>
      <c r="O50" s="102"/>
      <c r="P50" s="75" t="s">
        <v>304</v>
      </c>
      <c r="Q50" s="76"/>
      <c r="R50" s="75" t="s">
        <v>3979</v>
      </c>
      <c r="S50" s="75" t="s">
        <v>373</v>
      </c>
      <c r="T50" s="75" t="s">
        <v>527</v>
      </c>
      <c r="U50" s="75" t="s">
        <v>4853</v>
      </c>
      <c r="V50" s="75" t="s">
        <v>212</v>
      </c>
      <c r="W50" s="110">
        <f t="shared" si="0"/>
        <v>1</v>
      </c>
      <c r="X50" s="78">
        <v>1</v>
      </c>
      <c r="Y50" s="110">
        <v>0</v>
      </c>
      <c r="Z50" s="75" t="s">
        <v>4380</v>
      </c>
    </row>
    <row r="51" spans="1:26" s="95" customFormat="1" ht="144">
      <c r="A51" s="102">
        <v>47</v>
      </c>
      <c r="B51" s="102" t="s">
        <v>4063</v>
      </c>
      <c r="C51" s="102" t="s">
        <v>4363</v>
      </c>
      <c r="D51" s="77" t="s">
        <v>4381</v>
      </c>
      <c r="E51" s="75" t="s">
        <v>4382</v>
      </c>
      <c r="F51" s="108" t="s">
        <v>4383</v>
      </c>
      <c r="G51" s="75" t="s">
        <v>4379</v>
      </c>
      <c r="H51" s="75" t="s">
        <v>4269</v>
      </c>
      <c r="I51" s="128">
        <v>30</v>
      </c>
      <c r="J51" s="128">
        <v>0</v>
      </c>
      <c r="K51" s="128">
        <v>20</v>
      </c>
      <c r="L51" s="128">
        <v>10</v>
      </c>
      <c r="M51" s="128">
        <v>0</v>
      </c>
      <c r="N51" s="102"/>
      <c r="O51" s="102"/>
      <c r="P51" s="75" t="s">
        <v>247</v>
      </c>
      <c r="Q51" s="76"/>
      <c r="R51" s="75" t="s">
        <v>4384</v>
      </c>
      <c r="S51" s="75" t="s">
        <v>373</v>
      </c>
      <c r="T51" s="75" t="s">
        <v>527</v>
      </c>
      <c r="U51" s="75" t="s">
        <v>4853</v>
      </c>
      <c r="V51" s="75" t="s">
        <v>212</v>
      </c>
      <c r="W51" s="110">
        <f t="shared" si="0"/>
        <v>2</v>
      </c>
      <c r="X51" s="78">
        <v>2</v>
      </c>
      <c r="Y51" s="110">
        <v>0</v>
      </c>
      <c r="Z51" s="75" t="s">
        <v>4385</v>
      </c>
    </row>
    <row r="52" spans="1:26" s="95" customFormat="1" ht="24">
      <c r="A52" s="102">
        <v>48</v>
      </c>
      <c r="B52" s="102" t="s">
        <v>4063</v>
      </c>
      <c r="C52" s="102" t="s">
        <v>4363</v>
      </c>
      <c r="D52" s="77" t="s">
        <v>4386</v>
      </c>
      <c r="E52" s="75" t="s">
        <v>4387</v>
      </c>
      <c r="F52" s="108" t="s">
        <v>4388</v>
      </c>
      <c r="G52" s="75" t="s">
        <v>4389</v>
      </c>
      <c r="H52" s="75" t="s">
        <v>3067</v>
      </c>
      <c r="I52" s="128">
        <v>30</v>
      </c>
      <c r="J52" s="128">
        <v>0</v>
      </c>
      <c r="K52" s="128">
        <v>25</v>
      </c>
      <c r="L52" s="128">
        <v>0</v>
      </c>
      <c r="M52" s="128">
        <v>5</v>
      </c>
      <c r="N52" s="75"/>
      <c r="O52" s="75"/>
      <c r="P52" s="75" t="s">
        <v>436</v>
      </c>
      <c r="Q52" s="76"/>
      <c r="R52" s="75" t="s">
        <v>2506</v>
      </c>
      <c r="S52" s="75" t="s">
        <v>373</v>
      </c>
      <c r="T52" s="75" t="s">
        <v>2920</v>
      </c>
      <c r="U52" s="75" t="s">
        <v>4853</v>
      </c>
      <c r="V52" s="75" t="s">
        <v>323</v>
      </c>
      <c r="W52" s="110">
        <f t="shared" si="0"/>
        <v>130</v>
      </c>
      <c r="X52" s="110">
        <v>130</v>
      </c>
      <c r="Y52" s="110">
        <v>0</v>
      </c>
      <c r="Z52" s="75" t="s">
        <v>4390</v>
      </c>
    </row>
    <row r="53" spans="1:26" s="91" customFormat="1" ht="24">
      <c r="A53" s="102">
        <v>49</v>
      </c>
      <c r="B53" s="102" t="s">
        <v>4063</v>
      </c>
      <c r="C53" s="102" t="s">
        <v>4363</v>
      </c>
      <c r="D53" s="75" t="s">
        <v>4391</v>
      </c>
      <c r="E53" s="75" t="s">
        <v>4392</v>
      </c>
      <c r="F53" s="108" t="s">
        <v>4393</v>
      </c>
      <c r="G53" s="75" t="s">
        <v>4394</v>
      </c>
      <c r="H53" s="75" t="s">
        <v>4269</v>
      </c>
      <c r="I53" s="128">
        <v>30</v>
      </c>
      <c r="J53" s="128">
        <v>0</v>
      </c>
      <c r="K53" s="128">
        <v>0</v>
      </c>
      <c r="L53" s="128">
        <v>30</v>
      </c>
      <c r="M53" s="128">
        <v>0</v>
      </c>
      <c r="N53" s="102"/>
      <c r="O53" s="102"/>
      <c r="P53" s="75" t="s">
        <v>247</v>
      </c>
      <c r="Q53" s="76"/>
      <c r="R53" s="75" t="s">
        <v>4395</v>
      </c>
      <c r="S53" s="75" t="s">
        <v>373</v>
      </c>
      <c r="T53" s="75" t="s">
        <v>183</v>
      </c>
      <c r="U53" s="75" t="s">
        <v>4853</v>
      </c>
      <c r="V53" s="75" t="s">
        <v>212</v>
      </c>
      <c r="W53" s="110">
        <f t="shared" si="0"/>
        <v>6</v>
      </c>
      <c r="X53" s="110">
        <v>6</v>
      </c>
      <c r="Y53" s="110">
        <v>0</v>
      </c>
      <c r="Z53" s="75" t="s">
        <v>4396</v>
      </c>
    </row>
    <row r="54" spans="1:26" s="96" customFormat="1" ht="24">
      <c r="A54" s="102">
        <v>50</v>
      </c>
      <c r="B54" s="102" t="s">
        <v>4063</v>
      </c>
      <c r="C54" s="102" t="s">
        <v>4363</v>
      </c>
      <c r="D54" s="77" t="s">
        <v>4397</v>
      </c>
      <c r="E54" s="75" t="s">
        <v>4398</v>
      </c>
      <c r="F54" s="75" t="s">
        <v>4399</v>
      </c>
      <c r="G54" s="75" t="s">
        <v>4400</v>
      </c>
      <c r="H54" s="75" t="s">
        <v>4401</v>
      </c>
      <c r="I54" s="128">
        <v>2.5</v>
      </c>
      <c r="J54" s="128">
        <v>0</v>
      </c>
      <c r="K54" s="128">
        <v>0</v>
      </c>
      <c r="L54" s="128">
        <v>2.5</v>
      </c>
      <c r="M54" s="128">
        <v>0</v>
      </c>
      <c r="N54" s="102"/>
      <c r="O54" s="102"/>
      <c r="P54" s="102" t="s">
        <v>1182</v>
      </c>
      <c r="Q54" s="76"/>
      <c r="R54" s="75" t="s">
        <v>4402</v>
      </c>
      <c r="S54" s="75" t="s">
        <v>108</v>
      </c>
      <c r="T54" s="75" t="s">
        <v>4403</v>
      </c>
      <c r="U54" s="75" t="s">
        <v>93</v>
      </c>
      <c r="V54" s="75" t="s">
        <v>95</v>
      </c>
      <c r="W54" s="110">
        <f t="shared" si="0"/>
        <v>0.5</v>
      </c>
      <c r="X54" s="78">
        <v>0.5</v>
      </c>
      <c r="Y54" s="110">
        <v>0</v>
      </c>
      <c r="Z54" s="75" t="s">
        <v>4404</v>
      </c>
    </row>
    <row r="55" spans="1:26" s="91" customFormat="1" ht="24">
      <c r="A55" s="102">
        <v>51</v>
      </c>
      <c r="B55" s="102" t="s">
        <v>4063</v>
      </c>
      <c r="C55" s="102" t="s">
        <v>4363</v>
      </c>
      <c r="D55" s="111" t="s">
        <v>4405</v>
      </c>
      <c r="E55" s="102" t="s">
        <v>4406</v>
      </c>
      <c r="F55" s="108" t="s">
        <v>4407</v>
      </c>
      <c r="G55" s="75" t="s">
        <v>4408</v>
      </c>
      <c r="H55" s="111" t="s">
        <v>4409</v>
      </c>
      <c r="I55" s="128">
        <v>15</v>
      </c>
      <c r="J55" s="128">
        <v>0</v>
      </c>
      <c r="K55" s="128">
        <v>0</v>
      </c>
      <c r="L55" s="128">
        <v>10</v>
      </c>
      <c r="M55" s="128">
        <v>5</v>
      </c>
      <c r="N55" s="111"/>
      <c r="O55" s="111"/>
      <c r="P55" s="102" t="s">
        <v>261</v>
      </c>
      <c r="Q55" s="76"/>
      <c r="R55" s="102" t="s">
        <v>4410</v>
      </c>
      <c r="S55" s="102" t="s">
        <v>373</v>
      </c>
      <c r="T55" s="102" t="s">
        <v>374</v>
      </c>
      <c r="U55" s="75" t="s">
        <v>4853</v>
      </c>
      <c r="V55" s="102" t="s">
        <v>1924</v>
      </c>
      <c r="W55" s="110">
        <f t="shared" si="0"/>
        <v>1</v>
      </c>
      <c r="X55" s="78">
        <v>1</v>
      </c>
      <c r="Y55" s="110">
        <v>0</v>
      </c>
      <c r="Z55" s="75" t="s">
        <v>4411</v>
      </c>
    </row>
    <row r="56" spans="1:26" s="91" customFormat="1" ht="24">
      <c r="A56" s="102">
        <v>52</v>
      </c>
      <c r="B56" s="102" t="s">
        <v>4063</v>
      </c>
      <c r="C56" s="102" t="s">
        <v>4363</v>
      </c>
      <c r="D56" s="111" t="s">
        <v>4412</v>
      </c>
      <c r="E56" s="102" t="s">
        <v>4413</v>
      </c>
      <c r="F56" s="108" t="s">
        <v>4414</v>
      </c>
      <c r="G56" s="75" t="s">
        <v>4408</v>
      </c>
      <c r="H56" s="111" t="s">
        <v>4005</v>
      </c>
      <c r="I56" s="128">
        <v>30</v>
      </c>
      <c r="J56" s="128">
        <v>0</v>
      </c>
      <c r="K56" s="128">
        <v>0</v>
      </c>
      <c r="L56" s="128">
        <v>25</v>
      </c>
      <c r="M56" s="128">
        <v>5</v>
      </c>
      <c r="N56" s="111"/>
      <c r="O56" s="111"/>
      <c r="P56" s="102" t="s">
        <v>247</v>
      </c>
      <c r="Q56" s="76"/>
      <c r="R56" s="102" t="s">
        <v>4415</v>
      </c>
      <c r="S56" s="102" t="s">
        <v>373</v>
      </c>
      <c r="T56" s="102" t="s">
        <v>374</v>
      </c>
      <c r="U56" s="75" t="s">
        <v>4853</v>
      </c>
      <c r="V56" s="102" t="s">
        <v>1924</v>
      </c>
      <c r="W56" s="110">
        <f t="shared" si="0"/>
        <v>15</v>
      </c>
      <c r="X56" s="78">
        <v>15</v>
      </c>
      <c r="Y56" s="110">
        <v>0</v>
      </c>
      <c r="Z56" s="75" t="s">
        <v>4416</v>
      </c>
    </row>
    <row r="57" spans="1:26" s="97" customFormat="1" ht="60">
      <c r="A57" s="102">
        <v>53</v>
      </c>
      <c r="B57" s="102" t="s">
        <v>4048</v>
      </c>
      <c r="C57" s="102" t="s">
        <v>4417</v>
      </c>
      <c r="D57" s="75" t="s">
        <v>4418</v>
      </c>
      <c r="E57" s="75" t="s">
        <v>4419</v>
      </c>
      <c r="F57" s="108" t="s">
        <v>4420</v>
      </c>
      <c r="G57" s="75" t="s">
        <v>4421</v>
      </c>
      <c r="H57" s="75" t="s">
        <v>1147</v>
      </c>
      <c r="I57" s="128">
        <v>291</v>
      </c>
      <c r="J57" s="128">
        <v>0</v>
      </c>
      <c r="K57" s="128">
        <v>100</v>
      </c>
      <c r="L57" s="128">
        <v>191</v>
      </c>
      <c r="M57" s="128"/>
      <c r="N57" s="102"/>
      <c r="O57" s="102"/>
      <c r="P57" s="75" t="s">
        <v>436</v>
      </c>
      <c r="Q57" s="76"/>
      <c r="R57" s="75" t="s">
        <v>4422</v>
      </c>
      <c r="S57" s="75" t="s">
        <v>108</v>
      </c>
      <c r="T57" s="75" t="s">
        <v>222</v>
      </c>
      <c r="U57" s="75" t="s">
        <v>4857</v>
      </c>
      <c r="V57" s="75" t="s">
        <v>212</v>
      </c>
      <c r="W57" s="110">
        <f t="shared" si="0"/>
        <v>400</v>
      </c>
      <c r="X57" s="78">
        <v>399</v>
      </c>
      <c r="Y57" s="78">
        <v>1</v>
      </c>
      <c r="Z57" s="75" t="s">
        <v>4423</v>
      </c>
    </row>
    <row r="58" spans="1:26" s="98" customFormat="1" ht="84">
      <c r="A58" s="102">
        <v>54</v>
      </c>
      <c r="B58" s="102" t="s">
        <v>4048</v>
      </c>
      <c r="C58" s="102" t="s">
        <v>4417</v>
      </c>
      <c r="D58" s="76" t="s">
        <v>4424</v>
      </c>
      <c r="E58" s="75" t="s">
        <v>4425</v>
      </c>
      <c r="F58" s="108" t="s">
        <v>4426</v>
      </c>
      <c r="G58" s="75" t="s">
        <v>4427</v>
      </c>
      <c r="H58" s="75" t="s">
        <v>2913</v>
      </c>
      <c r="I58" s="128">
        <v>80</v>
      </c>
      <c r="J58" s="128">
        <v>0</v>
      </c>
      <c r="K58" s="128">
        <v>30</v>
      </c>
      <c r="L58" s="128">
        <v>50</v>
      </c>
      <c r="M58" s="128"/>
      <c r="N58" s="102"/>
      <c r="O58" s="102"/>
      <c r="P58" s="75" t="s">
        <v>304</v>
      </c>
      <c r="Q58" s="76"/>
      <c r="R58" s="75" t="s">
        <v>4428</v>
      </c>
      <c r="S58" s="75" t="s">
        <v>108</v>
      </c>
      <c r="T58" s="75" t="s">
        <v>222</v>
      </c>
      <c r="U58" s="75" t="s">
        <v>4853</v>
      </c>
      <c r="V58" s="75" t="s">
        <v>212</v>
      </c>
      <c r="W58" s="110">
        <f t="shared" si="0"/>
        <v>30</v>
      </c>
      <c r="X58" s="78">
        <v>30</v>
      </c>
      <c r="Y58" s="110">
        <v>0</v>
      </c>
      <c r="Z58" s="75" t="s">
        <v>4429</v>
      </c>
    </row>
    <row r="59" spans="1:26" s="97" customFormat="1" ht="48">
      <c r="A59" s="102">
        <v>55</v>
      </c>
      <c r="B59" s="102" t="s">
        <v>4063</v>
      </c>
      <c r="C59" s="102" t="s">
        <v>4430</v>
      </c>
      <c r="D59" s="75" t="s">
        <v>4431</v>
      </c>
      <c r="E59" s="75" t="s">
        <v>4432</v>
      </c>
      <c r="F59" s="108" t="s">
        <v>4433</v>
      </c>
      <c r="G59" s="75" t="s">
        <v>4434</v>
      </c>
      <c r="H59" s="75" t="s">
        <v>4435</v>
      </c>
      <c r="I59" s="128">
        <v>93</v>
      </c>
      <c r="J59" s="128">
        <v>0</v>
      </c>
      <c r="K59" s="128">
        <v>30</v>
      </c>
      <c r="L59" s="128">
        <v>63</v>
      </c>
      <c r="M59" s="128"/>
      <c r="N59" s="102"/>
      <c r="O59" s="102"/>
      <c r="P59" s="75" t="s">
        <v>436</v>
      </c>
      <c r="Q59" s="77"/>
      <c r="R59" s="75" t="s">
        <v>4436</v>
      </c>
      <c r="S59" s="75" t="s">
        <v>373</v>
      </c>
      <c r="T59" s="75" t="s">
        <v>814</v>
      </c>
      <c r="U59" s="75" t="s">
        <v>595</v>
      </c>
      <c r="V59" s="75" t="s">
        <v>529</v>
      </c>
      <c r="W59" s="110">
        <f t="shared" si="0"/>
        <v>300</v>
      </c>
      <c r="X59" s="78">
        <v>300</v>
      </c>
      <c r="Y59" s="110">
        <v>0</v>
      </c>
      <c r="Z59" s="75" t="s">
        <v>4437</v>
      </c>
    </row>
    <row r="60" spans="1:26" s="93" customFormat="1" ht="84">
      <c r="A60" s="102">
        <v>56</v>
      </c>
      <c r="B60" s="102" t="s">
        <v>4048</v>
      </c>
      <c r="C60" s="102" t="s">
        <v>4417</v>
      </c>
      <c r="D60" s="102" t="s">
        <v>4438</v>
      </c>
      <c r="E60" s="102" t="s">
        <v>4439</v>
      </c>
      <c r="F60" s="104" t="s">
        <v>4440</v>
      </c>
      <c r="G60" s="75" t="s">
        <v>4441</v>
      </c>
      <c r="H60" s="75" t="s">
        <v>1833</v>
      </c>
      <c r="I60" s="128">
        <v>20</v>
      </c>
      <c r="J60" s="128">
        <v>0</v>
      </c>
      <c r="K60" s="128">
        <v>20</v>
      </c>
      <c r="L60" s="128"/>
      <c r="M60" s="128"/>
      <c r="N60" s="102"/>
      <c r="O60" s="102"/>
      <c r="P60" s="102" t="s">
        <v>436</v>
      </c>
      <c r="Q60" s="77"/>
      <c r="R60" s="75" t="s">
        <v>4442</v>
      </c>
      <c r="S60" s="102" t="s">
        <v>108</v>
      </c>
      <c r="T60" s="102" t="s">
        <v>222</v>
      </c>
      <c r="U60" s="75" t="s">
        <v>4853</v>
      </c>
      <c r="V60" s="102" t="s">
        <v>95</v>
      </c>
      <c r="W60" s="110">
        <f t="shared" si="0"/>
        <v>5</v>
      </c>
      <c r="X60" s="78">
        <v>5</v>
      </c>
      <c r="Y60" s="110">
        <v>0</v>
      </c>
      <c r="Z60" s="75" t="s">
        <v>4443</v>
      </c>
    </row>
    <row r="61" spans="1:26" s="93" customFormat="1" ht="24">
      <c r="A61" s="102">
        <v>57</v>
      </c>
      <c r="B61" s="102" t="s">
        <v>4063</v>
      </c>
      <c r="C61" s="102" t="s">
        <v>4444</v>
      </c>
      <c r="D61" s="111" t="s">
        <v>4445</v>
      </c>
      <c r="E61" s="111" t="s">
        <v>4446</v>
      </c>
      <c r="F61" s="108" t="s">
        <v>4447</v>
      </c>
      <c r="G61" s="102" t="s">
        <v>4448</v>
      </c>
      <c r="H61" s="108" t="s">
        <v>972</v>
      </c>
      <c r="I61" s="128">
        <v>150</v>
      </c>
      <c r="J61" s="128">
        <v>0</v>
      </c>
      <c r="K61" s="128" t="s">
        <v>2516</v>
      </c>
      <c r="L61" s="128">
        <v>150</v>
      </c>
      <c r="M61" s="128"/>
      <c r="N61" s="111"/>
      <c r="O61" s="111"/>
      <c r="P61" s="102" t="s">
        <v>436</v>
      </c>
      <c r="Q61" s="112"/>
      <c r="R61" s="102" t="s">
        <v>172</v>
      </c>
      <c r="S61" s="102" t="s">
        <v>108</v>
      </c>
      <c r="T61" s="102" t="s">
        <v>4449</v>
      </c>
      <c r="U61" s="75" t="s">
        <v>4853</v>
      </c>
      <c r="V61" s="102" t="s">
        <v>212</v>
      </c>
      <c r="W61" s="110">
        <f t="shared" si="0"/>
        <v>20</v>
      </c>
      <c r="X61" s="129">
        <v>20</v>
      </c>
      <c r="Y61" s="110">
        <v>0</v>
      </c>
      <c r="Z61" s="75" t="s">
        <v>4450</v>
      </c>
    </row>
    <row r="62" spans="1:26" s="93" customFormat="1" ht="24">
      <c r="A62" s="102">
        <v>58</v>
      </c>
      <c r="B62" s="102" t="s">
        <v>4063</v>
      </c>
      <c r="C62" s="102" t="s">
        <v>4444</v>
      </c>
      <c r="D62" s="111" t="s">
        <v>4451</v>
      </c>
      <c r="E62" s="111" t="s">
        <v>4452</v>
      </c>
      <c r="F62" s="108" t="s">
        <v>4453</v>
      </c>
      <c r="G62" s="102" t="s">
        <v>4454</v>
      </c>
      <c r="H62" s="108" t="s">
        <v>3013</v>
      </c>
      <c r="I62" s="128">
        <v>21</v>
      </c>
      <c r="J62" s="128">
        <v>0</v>
      </c>
      <c r="K62" s="128" t="s">
        <v>2516</v>
      </c>
      <c r="L62" s="128">
        <v>21</v>
      </c>
      <c r="M62" s="128"/>
      <c r="N62" s="111"/>
      <c r="O62" s="111"/>
      <c r="P62" s="102" t="s">
        <v>436</v>
      </c>
      <c r="Q62" s="112"/>
      <c r="R62" s="102" t="s">
        <v>172</v>
      </c>
      <c r="S62" s="102" t="s">
        <v>108</v>
      </c>
      <c r="T62" s="102" t="s">
        <v>822</v>
      </c>
      <c r="U62" s="102" t="s">
        <v>93</v>
      </c>
      <c r="V62" s="102" t="s">
        <v>95</v>
      </c>
      <c r="W62" s="110">
        <f t="shared" si="0"/>
        <v>5</v>
      </c>
      <c r="X62" s="129">
        <v>5</v>
      </c>
      <c r="Y62" s="110">
        <v>0</v>
      </c>
      <c r="Z62" s="75" t="s">
        <v>4455</v>
      </c>
    </row>
    <row r="63" spans="1:26" s="93" customFormat="1" ht="24">
      <c r="A63" s="102">
        <v>59</v>
      </c>
      <c r="B63" s="102" t="s">
        <v>4063</v>
      </c>
      <c r="C63" s="102" t="s">
        <v>4444</v>
      </c>
      <c r="D63" s="111" t="s">
        <v>4456</v>
      </c>
      <c r="E63" s="111" t="s">
        <v>4457</v>
      </c>
      <c r="F63" s="108" t="s">
        <v>4458</v>
      </c>
      <c r="G63" s="102" t="s">
        <v>4459</v>
      </c>
      <c r="H63" s="108" t="s">
        <v>3013</v>
      </c>
      <c r="I63" s="128">
        <v>30</v>
      </c>
      <c r="J63" s="128">
        <v>0</v>
      </c>
      <c r="K63" s="128" t="s">
        <v>2516</v>
      </c>
      <c r="L63" s="128">
        <v>30</v>
      </c>
      <c r="M63" s="128"/>
      <c r="N63" s="111"/>
      <c r="O63" s="111"/>
      <c r="P63" s="102" t="s">
        <v>1182</v>
      </c>
      <c r="Q63" s="112"/>
      <c r="R63" s="102" t="s">
        <v>172</v>
      </c>
      <c r="S63" s="102" t="s">
        <v>108</v>
      </c>
      <c r="T63" s="102" t="s">
        <v>822</v>
      </c>
      <c r="U63" s="102" t="s">
        <v>93</v>
      </c>
      <c r="V63" s="102" t="s">
        <v>95</v>
      </c>
      <c r="W63" s="110">
        <f t="shared" si="0"/>
        <v>5</v>
      </c>
      <c r="X63" s="129">
        <v>5</v>
      </c>
      <c r="Y63" s="110">
        <v>0</v>
      </c>
      <c r="Z63" s="75" t="s">
        <v>4460</v>
      </c>
    </row>
    <row r="64" spans="1:26" s="93" customFormat="1" ht="24">
      <c r="A64" s="102">
        <v>60</v>
      </c>
      <c r="B64" s="102" t="s">
        <v>4048</v>
      </c>
      <c r="C64" s="102" t="s">
        <v>4444</v>
      </c>
      <c r="D64" s="111" t="s">
        <v>4461</v>
      </c>
      <c r="E64" s="111" t="s">
        <v>4446</v>
      </c>
      <c r="F64" s="108" t="s">
        <v>4462</v>
      </c>
      <c r="G64" s="102" t="s">
        <v>4448</v>
      </c>
      <c r="H64" s="111" t="s">
        <v>4463</v>
      </c>
      <c r="I64" s="128">
        <v>170</v>
      </c>
      <c r="J64" s="128">
        <v>0</v>
      </c>
      <c r="K64" s="128" t="s">
        <v>2516</v>
      </c>
      <c r="L64" s="128">
        <v>170</v>
      </c>
      <c r="M64" s="128"/>
      <c r="N64" s="111"/>
      <c r="O64" s="111"/>
      <c r="P64" s="102" t="s">
        <v>304</v>
      </c>
      <c r="Q64" s="112"/>
      <c r="R64" s="102" t="s">
        <v>4464</v>
      </c>
      <c r="S64" s="102" t="s">
        <v>108</v>
      </c>
      <c r="T64" s="102" t="s">
        <v>183</v>
      </c>
      <c r="U64" s="75" t="s">
        <v>4853</v>
      </c>
      <c r="V64" s="102" t="s">
        <v>212</v>
      </c>
      <c r="W64" s="110">
        <f t="shared" si="0"/>
        <v>10</v>
      </c>
      <c r="X64" s="129">
        <v>10</v>
      </c>
      <c r="Y64" s="110">
        <v>0</v>
      </c>
      <c r="Z64" s="75" t="s">
        <v>4450</v>
      </c>
    </row>
    <row r="65" spans="1:26" s="95" customFormat="1" ht="48">
      <c r="A65" s="102">
        <v>61</v>
      </c>
      <c r="B65" s="102" t="s">
        <v>4048</v>
      </c>
      <c r="C65" s="102" t="s">
        <v>4465</v>
      </c>
      <c r="D65" s="75" t="s">
        <v>4466</v>
      </c>
      <c r="E65" s="75" t="s">
        <v>4467</v>
      </c>
      <c r="F65" s="108" t="s">
        <v>4468</v>
      </c>
      <c r="G65" s="75" t="s">
        <v>4469</v>
      </c>
      <c r="H65" s="75" t="s">
        <v>4470</v>
      </c>
      <c r="I65" s="128">
        <v>208</v>
      </c>
      <c r="J65" s="128">
        <v>0</v>
      </c>
      <c r="K65" s="128">
        <v>0</v>
      </c>
      <c r="L65" s="128">
        <v>208</v>
      </c>
      <c r="M65" s="128"/>
      <c r="N65" s="102"/>
      <c r="O65" s="102"/>
      <c r="P65" s="75" t="s">
        <v>5</v>
      </c>
      <c r="Q65" s="77"/>
      <c r="R65" s="75" t="s">
        <v>4471</v>
      </c>
      <c r="S65" s="75" t="s">
        <v>108</v>
      </c>
      <c r="T65" s="75" t="s">
        <v>183</v>
      </c>
      <c r="U65" s="75" t="s">
        <v>4853</v>
      </c>
      <c r="V65" s="75" t="s">
        <v>323</v>
      </c>
      <c r="W65" s="110" t="s">
        <v>4854</v>
      </c>
      <c r="X65" s="110">
        <v>0</v>
      </c>
      <c r="Y65" s="110">
        <v>0</v>
      </c>
      <c r="Z65" s="75" t="s">
        <v>3015</v>
      </c>
    </row>
    <row r="66" spans="1:26" s="95" customFormat="1" ht="48">
      <c r="A66" s="102">
        <v>62</v>
      </c>
      <c r="B66" s="102" t="s">
        <v>4048</v>
      </c>
      <c r="C66" s="102" t="s">
        <v>4465</v>
      </c>
      <c r="D66" s="75" t="s">
        <v>4472</v>
      </c>
      <c r="E66" s="75" t="s">
        <v>4473</v>
      </c>
      <c r="F66" s="108" t="s">
        <v>4474</v>
      </c>
      <c r="G66" s="75" t="s">
        <v>4475</v>
      </c>
      <c r="H66" s="75" t="s">
        <v>4476</v>
      </c>
      <c r="I66" s="128">
        <v>110</v>
      </c>
      <c r="J66" s="128">
        <v>0</v>
      </c>
      <c r="K66" s="128">
        <v>0</v>
      </c>
      <c r="L66" s="128">
        <v>110</v>
      </c>
      <c r="M66" s="128"/>
      <c r="N66" s="102"/>
      <c r="O66" s="102"/>
      <c r="P66" s="75" t="s">
        <v>1182</v>
      </c>
      <c r="Q66" s="76"/>
      <c r="R66" s="75" t="s">
        <v>4477</v>
      </c>
      <c r="S66" s="75" t="s">
        <v>108</v>
      </c>
      <c r="T66" s="75" t="s">
        <v>293</v>
      </c>
      <c r="U66" s="75" t="s">
        <v>93</v>
      </c>
      <c r="V66" s="75" t="s">
        <v>95</v>
      </c>
      <c r="W66" s="110" t="s">
        <v>4854</v>
      </c>
      <c r="X66" s="110">
        <v>0</v>
      </c>
      <c r="Y66" s="110">
        <v>0</v>
      </c>
      <c r="Z66" s="75" t="s">
        <v>4478</v>
      </c>
    </row>
    <row r="67" spans="1:26" s="95" customFormat="1" ht="24">
      <c r="A67" s="102">
        <v>63</v>
      </c>
      <c r="B67" s="102" t="s">
        <v>4048</v>
      </c>
      <c r="C67" s="102" t="s">
        <v>4465</v>
      </c>
      <c r="D67" s="75" t="s">
        <v>4479</v>
      </c>
      <c r="E67" s="75" t="s">
        <v>4480</v>
      </c>
      <c r="F67" s="108" t="s">
        <v>4481</v>
      </c>
      <c r="G67" s="75" t="s">
        <v>4482</v>
      </c>
      <c r="H67" s="75" t="s">
        <v>3123</v>
      </c>
      <c r="I67" s="128">
        <v>220</v>
      </c>
      <c r="J67" s="128">
        <v>0</v>
      </c>
      <c r="K67" s="128">
        <v>220</v>
      </c>
      <c r="L67" s="128"/>
      <c r="M67" s="128"/>
      <c r="N67" s="118"/>
      <c r="O67" s="118"/>
      <c r="P67" s="75" t="s">
        <v>247</v>
      </c>
      <c r="Q67" s="122"/>
      <c r="R67" s="75" t="s">
        <v>4483</v>
      </c>
      <c r="S67" s="75" t="s">
        <v>108</v>
      </c>
      <c r="T67" s="75" t="s">
        <v>198</v>
      </c>
      <c r="U67" s="75" t="s">
        <v>93</v>
      </c>
      <c r="V67" s="75" t="s">
        <v>95</v>
      </c>
      <c r="W67" s="110" t="s">
        <v>4854</v>
      </c>
      <c r="X67" s="110">
        <v>0</v>
      </c>
      <c r="Y67" s="110">
        <v>0</v>
      </c>
      <c r="Z67" s="75" t="s">
        <v>2504</v>
      </c>
    </row>
    <row r="68" spans="1:26" s="91" customFormat="1" ht="36">
      <c r="A68" s="102">
        <v>64</v>
      </c>
      <c r="B68" s="102" t="s">
        <v>4048</v>
      </c>
      <c r="C68" s="102" t="s">
        <v>4465</v>
      </c>
      <c r="D68" s="75" t="s">
        <v>4484</v>
      </c>
      <c r="E68" s="75" t="s">
        <v>4485</v>
      </c>
      <c r="F68" s="104" t="s">
        <v>4486</v>
      </c>
      <c r="G68" s="75" t="s">
        <v>4487</v>
      </c>
      <c r="H68" s="75" t="s">
        <v>105</v>
      </c>
      <c r="I68" s="128">
        <v>45</v>
      </c>
      <c r="J68" s="128">
        <v>0</v>
      </c>
      <c r="K68" s="128">
        <v>0</v>
      </c>
      <c r="L68" s="128">
        <v>45</v>
      </c>
      <c r="M68" s="128"/>
      <c r="N68" s="121"/>
      <c r="O68" s="121"/>
      <c r="P68" s="102" t="s">
        <v>247</v>
      </c>
      <c r="Q68" s="123"/>
      <c r="R68" s="102" t="s">
        <v>2908</v>
      </c>
      <c r="S68" s="102" t="s">
        <v>108</v>
      </c>
      <c r="T68" s="75" t="s">
        <v>293</v>
      </c>
      <c r="U68" s="102" t="s">
        <v>93</v>
      </c>
      <c r="V68" s="102" t="s">
        <v>95</v>
      </c>
      <c r="W68" s="110" t="s">
        <v>4854</v>
      </c>
      <c r="X68" s="110">
        <v>0</v>
      </c>
      <c r="Y68" s="110">
        <v>0</v>
      </c>
      <c r="Z68" s="75" t="s">
        <v>4488</v>
      </c>
    </row>
    <row r="69" spans="1:26" s="91" customFormat="1" ht="24">
      <c r="A69" s="102">
        <v>65</v>
      </c>
      <c r="B69" s="102" t="s">
        <v>4048</v>
      </c>
      <c r="C69" s="102" t="s">
        <v>4489</v>
      </c>
      <c r="D69" s="75" t="s">
        <v>4490</v>
      </c>
      <c r="E69" s="75" t="s">
        <v>4491</v>
      </c>
      <c r="F69" s="104" t="s">
        <v>4492</v>
      </c>
      <c r="G69" s="75" t="s">
        <v>4493</v>
      </c>
      <c r="H69" s="75" t="s">
        <v>4494</v>
      </c>
      <c r="I69" s="128">
        <v>34</v>
      </c>
      <c r="J69" s="128">
        <v>0</v>
      </c>
      <c r="K69" s="128">
        <v>0</v>
      </c>
      <c r="L69" s="128">
        <v>34</v>
      </c>
      <c r="M69" s="128"/>
      <c r="N69" s="121"/>
      <c r="O69" s="121"/>
      <c r="P69" s="75" t="s">
        <v>247</v>
      </c>
      <c r="Q69" s="75"/>
      <c r="R69" s="75" t="s">
        <v>4495</v>
      </c>
      <c r="S69" s="75" t="s">
        <v>373</v>
      </c>
      <c r="T69" s="75" t="s">
        <v>293</v>
      </c>
      <c r="U69" s="75" t="s">
        <v>595</v>
      </c>
      <c r="V69" s="75" t="s">
        <v>1924</v>
      </c>
      <c r="W69" s="110">
        <f t="shared" si="0"/>
        <v>3</v>
      </c>
      <c r="X69" s="78">
        <v>2</v>
      </c>
      <c r="Y69" s="78">
        <v>1</v>
      </c>
      <c r="Z69" s="75" t="s">
        <v>4496</v>
      </c>
    </row>
    <row r="70" spans="1:26" s="95" customFormat="1" ht="36">
      <c r="A70" s="102">
        <v>66</v>
      </c>
      <c r="B70" s="102" t="s">
        <v>4048</v>
      </c>
      <c r="C70" s="102" t="s">
        <v>4497</v>
      </c>
      <c r="D70" s="104" t="s">
        <v>4498</v>
      </c>
      <c r="E70" s="75" t="s">
        <v>2660</v>
      </c>
      <c r="F70" s="108" t="s">
        <v>4499</v>
      </c>
      <c r="G70" s="75" t="s">
        <v>4500</v>
      </c>
      <c r="H70" s="75" t="s">
        <v>2224</v>
      </c>
      <c r="I70" s="128">
        <v>500</v>
      </c>
      <c r="J70" s="128">
        <v>0</v>
      </c>
      <c r="K70" s="128">
        <v>200</v>
      </c>
      <c r="L70" s="128">
        <v>300</v>
      </c>
      <c r="M70" s="128"/>
      <c r="N70" s="118"/>
      <c r="O70" s="118"/>
      <c r="P70" s="75" t="s">
        <v>172</v>
      </c>
      <c r="Q70" s="122"/>
      <c r="R70" s="75" t="s">
        <v>4501</v>
      </c>
      <c r="S70" s="75" t="s">
        <v>108</v>
      </c>
      <c r="T70" s="75" t="s">
        <v>4502</v>
      </c>
      <c r="U70" s="75" t="s">
        <v>4853</v>
      </c>
      <c r="V70" s="75" t="s">
        <v>212</v>
      </c>
      <c r="W70" s="110" t="s">
        <v>4854</v>
      </c>
      <c r="X70" s="110">
        <v>0</v>
      </c>
      <c r="Y70" s="110">
        <v>0</v>
      </c>
      <c r="Z70" s="75" t="s">
        <v>4503</v>
      </c>
    </row>
    <row r="71" spans="1:26" s="92" customFormat="1" ht="24">
      <c r="A71" s="102">
        <v>67</v>
      </c>
      <c r="B71" s="102" t="s">
        <v>4048</v>
      </c>
      <c r="C71" s="102" t="s">
        <v>4497</v>
      </c>
      <c r="D71" s="108" t="s">
        <v>4504</v>
      </c>
      <c r="E71" s="75" t="s">
        <v>4304</v>
      </c>
      <c r="F71" s="108" t="s">
        <v>4505</v>
      </c>
      <c r="G71" s="75" t="s">
        <v>4506</v>
      </c>
      <c r="H71" s="75" t="s">
        <v>2508</v>
      </c>
      <c r="I71" s="128">
        <v>0</v>
      </c>
      <c r="J71" s="128">
        <v>0</v>
      </c>
      <c r="K71" s="128">
        <v>0</v>
      </c>
      <c r="L71" s="128">
        <v>0</v>
      </c>
      <c r="M71" s="128">
        <v>0</v>
      </c>
      <c r="N71" s="118"/>
      <c r="O71" s="118"/>
      <c r="P71" s="75" t="s">
        <v>172</v>
      </c>
      <c r="Q71" s="121"/>
      <c r="R71" s="75" t="s">
        <v>195</v>
      </c>
      <c r="S71" s="75" t="s">
        <v>108</v>
      </c>
      <c r="T71" s="75" t="s">
        <v>91</v>
      </c>
      <c r="U71" s="75" t="s">
        <v>4853</v>
      </c>
      <c r="V71" s="75" t="s">
        <v>95</v>
      </c>
      <c r="W71" s="110" t="s">
        <v>4854</v>
      </c>
      <c r="X71" s="110">
        <v>0</v>
      </c>
      <c r="Y71" s="110">
        <v>0</v>
      </c>
      <c r="Z71" s="75" t="s">
        <v>4507</v>
      </c>
    </row>
    <row r="72" spans="1:26" s="91" customFormat="1" ht="24">
      <c r="A72" s="102">
        <v>68</v>
      </c>
      <c r="B72" s="102" t="s">
        <v>4048</v>
      </c>
      <c r="C72" s="102" t="s">
        <v>4497</v>
      </c>
      <c r="D72" s="108" t="s">
        <v>4508</v>
      </c>
      <c r="E72" s="75" t="s">
        <v>4509</v>
      </c>
      <c r="F72" s="108" t="s">
        <v>4510</v>
      </c>
      <c r="G72" s="75" t="s">
        <v>4511</v>
      </c>
      <c r="H72" s="75" t="s">
        <v>1687</v>
      </c>
      <c r="I72" s="128">
        <v>0</v>
      </c>
      <c r="J72" s="128">
        <v>0</v>
      </c>
      <c r="K72" s="128">
        <v>0</v>
      </c>
      <c r="L72" s="128">
        <v>0</v>
      </c>
      <c r="M72" s="128">
        <v>0</v>
      </c>
      <c r="N72" s="118"/>
      <c r="O72" s="118"/>
      <c r="P72" s="75" t="s">
        <v>172</v>
      </c>
      <c r="Q72" s="121"/>
      <c r="R72" s="75" t="s">
        <v>4512</v>
      </c>
      <c r="S72" s="75" t="s">
        <v>108</v>
      </c>
      <c r="T72" s="75" t="s">
        <v>91</v>
      </c>
      <c r="U72" s="75" t="s">
        <v>4853</v>
      </c>
      <c r="V72" s="75" t="s">
        <v>95</v>
      </c>
      <c r="W72" s="110" t="s">
        <v>4854</v>
      </c>
      <c r="X72" s="110">
        <v>0</v>
      </c>
      <c r="Y72" s="110">
        <v>0</v>
      </c>
      <c r="Z72" s="75" t="s">
        <v>4513</v>
      </c>
    </row>
    <row r="73" spans="1:26" s="91" customFormat="1" ht="36">
      <c r="A73" s="102">
        <v>69</v>
      </c>
      <c r="B73" s="102" t="s">
        <v>4048</v>
      </c>
      <c r="C73" s="102" t="s">
        <v>4497</v>
      </c>
      <c r="D73" s="108" t="s">
        <v>4514</v>
      </c>
      <c r="E73" s="75" t="s">
        <v>4515</v>
      </c>
      <c r="F73" s="108" t="s">
        <v>4516</v>
      </c>
      <c r="G73" s="75" t="s">
        <v>4517</v>
      </c>
      <c r="H73" s="75" t="s">
        <v>4518</v>
      </c>
      <c r="I73" s="128">
        <v>0</v>
      </c>
      <c r="J73" s="128">
        <v>0</v>
      </c>
      <c r="K73" s="128">
        <v>0</v>
      </c>
      <c r="L73" s="128">
        <v>0</v>
      </c>
      <c r="M73" s="128">
        <v>0</v>
      </c>
      <c r="N73" s="118"/>
      <c r="O73" s="118"/>
      <c r="P73" s="75" t="s">
        <v>172</v>
      </c>
      <c r="Q73" s="121"/>
      <c r="R73" s="75" t="s">
        <v>4519</v>
      </c>
      <c r="S73" s="75" t="s">
        <v>108</v>
      </c>
      <c r="T73" s="75" t="s">
        <v>91</v>
      </c>
      <c r="U73" s="75" t="s">
        <v>4853</v>
      </c>
      <c r="V73" s="75" t="s">
        <v>95</v>
      </c>
      <c r="W73" s="110" t="s">
        <v>4854</v>
      </c>
      <c r="X73" s="110">
        <v>0</v>
      </c>
      <c r="Y73" s="110">
        <v>0</v>
      </c>
      <c r="Z73" s="75" t="s">
        <v>4520</v>
      </c>
    </row>
    <row r="74" spans="1:26" s="93" customFormat="1" ht="24">
      <c r="A74" s="102">
        <v>70</v>
      </c>
      <c r="B74" s="102" t="s">
        <v>4048</v>
      </c>
      <c r="C74" s="102" t="s">
        <v>4497</v>
      </c>
      <c r="D74" s="111" t="s">
        <v>4521</v>
      </c>
      <c r="E74" s="75" t="s">
        <v>4522</v>
      </c>
      <c r="F74" s="108" t="s">
        <v>4523</v>
      </c>
      <c r="G74" s="75" t="s">
        <v>4524</v>
      </c>
      <c r="H74" s="75" t="s">
        <v>1387</v>
      </c>
      <c r="I74" s="128">
        <v>0</v>
      </c>
      <c r="J74" s="128">
        <v>0</v>
      </c>
      <c r="K74" s="128">
        <v>0</v>
      </c>
      <c r="L74" s="128">
        <v>0</v>
      </c>
      <c r="M74" s="128">
        <v>0</v>
      </c>
      <c r="N74" s="111"/>
      <c r="O74" s="111"/>
      <c r="P74" s="102" t="s">
        <v>172</v>
      </c>
      <c r="Q74" s="111"/>
      <c r="R74" s="102" t="s">
        <v>4525</v>
      </c>
      <c r="S74" s="102" t="s">
        <v>108</v>
      </c>
      <c r="T74" s="102" t="s">
        <v>91</v>
      </c>
      <c r="U74" s="75" t="s">
        <v>4853</v>
      </c>
      <c r="V74" s="102" t="s">
        <v>95</v>
      </c>
      <c r="W74" s="110" t="s">
        <v>4854</v>
      </c>
      <c r="X74" s="110">
        <v>0</v>
      </c>
      <c r="Y74" s="110">
        <v>0</v>
      </c>
      <c r="Z74" s="75" t="s">
        <v>4526</v>
      </c>
    </row>
    <row r="75" spans="1:26" s="93" customFormat="1" ht="24">
      <c r="A75" s="102">
        <v>71</v>
      </c>
      <c r="B75" s="102" t="s">
        <v>4048</v>
      </c>
      <c r="C75" s="102" t="s">
        <v>4497</v>
      </c>
      <c r="D75" s="108" t="s">
        <v>4527</v>
      </c>
      <c r="E75" s="102" t="s">
        <v>4528</v>
      </c>
      <c r="F75" s="108" t="s">
        <v>4529</v>
      </c>
      <c r="G75" s="75" t="s">
        <v>4530</v>
      </c>
      <c r="H75" s="75" t="s">
        <v>1387</v>
      </c>
      <c r="I75" s="128">
        <v>0</v>
      </c>
      <c r="J75" s="128">
        <v>0</v>
      </c>
      <c r="K75" s="128">
        <v>0</v>
      </c>
      <c r="L75" s="128">
        <v>0</v>
      </c>
      <c r="M75" s="128">
        <v>0</v>
      </c>
      <c r="N75" s="111"/>
      <c r="O75" s="111"/>
      <c r="P75" s="102" t="s">
        <v>172</v>
      </c>
      <c r="Q75" s="111"/>
      <c r="R75" s="102" t="s">
        <v>4531</v>
      </c>
      <c r="S75" s="102" t="s">
        <v>108</v>
      </c>
      <c r="T75" s="102" t="s">
        <v>91</v>
      </c>
      <c r="U75" s="75" t="s">
        <v>4853</v>
      </c>
      <c r="V75" s="102" t="s">
        <v>95</v>
      </c>
      <c r="W75" s="110" t="s">
        <v>4854</v>
      </c>
      <c r="X75" s="110">
        <v>0</v>
      </c>
      <c r="Y75" s="110">
        <v>0</v>
      </c>
      <c r="Z75" s="75" t="s">
        <v>4532</v>
      </c>
    </row>
    <row r="76" spans="1:26" s="93" customFormat="1" ht="24">
      <c r="A76" s="102">
        <v>72</v>
      </c>
      <c r="B76" s="102" t="s">
        <v>4048</v>
      </c>
      <c r="C76" s="102" t="s">
        <v>4497</v>
      </c>
      <c r="D76" s="111" t="s">
        <v>4533</v>
      </c>
      <c r="E76" s="75" t="s">
        <v>4534</v>
      </c>
      <c r="F76" s="108" t="s">
        <v>4535</v>
      </c>
      <c r="G76" s="75" t="s">
        <v>7065</v>
      </c>
      <c r="H76" s="75" t="s">
        <v>1387</v>
      </c>
      <c r="I76" s="128">
        <v>0</v>
      </c>
      <c r="J76" s="128">
        <v>0</v>
      </c>
      <c r="K76" s="128">
        <v>0</v>
      </c>
      <c r="L76" s="128">
        <v>0</v>
      </c>
      <c r="M76" s="128">
        <v>0</v>
      </c>
      <c r="N76" s="111"/>
      <c r="O76" s="111"/>
      <c r="P76" s="102" t="s">
        <v>172</v>
      </c>
      <c r="Q76" s="111"/>
      <c r="R76" s="102" t="s">
        <v>4536</v>
      </c>
      <c r="S76" s="102" t="s">
        <v>108</v>
      </c>
      <c r="T76" s="102" t="s">
        <v>91</v>
      </c>
      <c r="U76" s="75" t="s">
        <v>4853</v>
      </c>
      <c r="V76" s="102" t="s">
        <v>95</v>
      </c>
      <c r="W76" s="110" t="s">
        <v>4854</v>
      </c>
      <c r="X76" s="110">
        <v>0</v>
      </c>
      <c r="Y76" s="110">
        <v>0</v>
      </c>
      <c r="Z76" s="75" t="s">
        <v>4537</v>
      </c>
    </row>
    <row r="77" spans="1:26" s="93" customFormat="1" ht="24">
      <c r="A77" s="102">
        <v>73</v>
      </c>
      <c r="B77" s="102" t="s">
        <v>4048</v>
      </c>
      <c r="C77" s="102" t="s">
        <v>4497</v>
      </c>
      <c r="D77" s="108" t="s">
        <v>4538</v>
      </c>
      <c r="E77" s="75" t="s">
        <v>4304</v>
      </c>
      <c r="F77" s="108" t="s">
        <v>4539</v>
      </c>
      <c r="G77" s="75" t="s">
        <v>7066</v>
      </c>
      <c r="H77" s="75" t="s">
        <v>4540</v>
      </c>
      <c r="I77" s="128">
        <v>0</v>
      </c>
      <c r="J77" s="128">
        <v>0</v>
      </c>
      <c r="K77" s="128">
        <v>0</v>
      </c>
      <c r="L77" s="128">
        <v>0</v>
      </c>
      <c r="M77" s="128">
        <v>0</v>
      </c>
      <c r="N77" s="111"/>
      <c r="O77" s="111"/>
      <c r="P77" s="102" t="s">
        <v>172</v>
      </c>
      <c r="Q77" s="111"/>
      <c r="R77" s="102" t="s">
        <v>4541</v>
      </c>
      <c r="S77" s="102" t="s">
        <v>108</v>
      </c>
      <c r="T77" s="102" t="s">
        <v>91</v>
      </c>
      <c r="U77" s="75" t="s">
        <v>4853</v>
      </c>
      <c r="V77" s="102" t="s">
        <v>95</v>
      </c>
      <c r="W77" s="110" t="s">
        <v>4854</v>
      </c>
      <c r="X77" s="110">
        <v>0</v>
      </c>
      <c r="Y77" s="110">
        <v>0</v>
      </c>
      <c r="Z77" s="75" t="s">
        <v>4507</v>
      </c>
    </row>
    <row r="78" spans="1:26" s="99" customFormat="1" ht="49.5">
      <c r="A78" s="102">
        <v>74</v>
      </c>
      <c r="B78" s="102" t="s">
        <v>4048</v>
      </c>
      <c r="C78" s="102" t="s">
        <v>4542</v>
      </c>
      <c r="D78" s="75" t="s">
        <v>4543</v>
      </c>
      <c r="E78" s="102" t="s">
        <v>1640</v>
      </c>
      <c r="F78" s="124" t="s">
        <v>4544</v>
      </c>
      <c r="G78" s="75" t="s">
        <v>4545</v>
      </c>
      <c r="H78" s="121">
        <v>2013</v>
      </c>
      <c r="I78" s="128">
        <v>30</v>
      </c>
      <c r="J78" s="128">
        <v>0</v>
      </c>
      <c r="K78" s="128">
        <v>30</v>
      </c>
      <c r="L78" s="128">
        <v>0</v>
      </c>
      <c r="M78" s="128">
        <v>0</v>
      </c>
      <c r="N78" s="118"/>
      <c r="O78" s="118"/>
      <c r="P78" s="120" t="s">
        <v>247</v>
      </c>
      <c r="Q78" s="122"/>
      <c r="R78" s="75" t="s">
        <v>247</v>
      </c>
      <c r="S78" s="75" t="s">
        <v>373</v>
      </c>
      <c r="T78" s="75" t="s">
        <v>2920</v>
      </c>
      <c r="U78" s="75" t="s">
        <v>4853</v>
      </c>
      <c r="V78" s="75" t="s">
        <v>376</v>
      </c>
      <c r="W78" s="110">
        <f t="shared" ref="W78:W130" si="2">SUM(X78:Y78)</f>
        <v>2</v>
      </c>
      <c r="X78" s="129">
        <v>2</v>
      </c>
      <c r="Y78" s="110">
        <v>0</v>
      </c>
      <c r="Z78" s="75" t="s">
        <v>1468</v>
      </c>
    </row>
    <row r="79" spans="1:26" s="91" customFormat="1" ht="60">
      <c r="A79" s="102">
        <v>75</v>
      </c>
      <c r="B79" s="102" t="s">
        <v>4048</v>
      </c>
      <c r="C79" s="75" t="s">
        <v>4546</v>
      </c>
      <c r="D79" s="76" t="s">
        <v>4547</v>
      </c>
      <c r="E79" s="75" t="s">
        <v>4548</v>
      </c>
      <c r="F79" s="103" t="s">
        <v>4549</v>
      </c>
      <c r="G79" s="75" t="s">
        <v>4550</v>
      </c>
      <c r="H79" s="75" t="s">
        <v>2952</v>
      </c>
      <c r="I79" s="128">
        <f>SUM(J79:N79)</f>
        <v>132</v>
      </c>
      <c r="J79" s="128">
        <v>0</v>
      </c>
      <c r="K79" s="128">
        <v>32</v>
      </c>
      <c r="L79" s="128">
        <v>100</v>
      </c>
      <c r="M79" s="128">
        <v>0</v>
      </c>
      <c r="N79" s="75"/>
      <c r="O79" s="75"/>
      <c r="P79" s="75" t="s">
        <v>172</v>
      </c>
      <c r="Q79" s="76"/>
      <c r="R79" s="75" t="s">
        <v>4551</v>
      </c>
      <c r="S79" s="75" t="s">
        <v>108</v>
      </c>
      <c r="T79" s="75" t="s">
        <v>4552</v>
      </c>
      <c r="U79" s="75" t="s">
        <v>93</v>
      </c>
      <c r="V79" s="75" t="s">
        <v>4077</v>
      </c>
      <c r="W79" s="110">
        <f t="shared" si="2"/>
        <v>2.8</v>
      </c>
      <c r="X79" s="110">
        <v>2.8</v>
      </c>
      <c r="Y79" s="110">
        <v>0</v>
      </c>
      <c r="Z79" s="75" t="s">
        <v>4553</v>
      </c>
    </row>
    <row r="80" spans="1:26" s="91" customFormat="1" ht="48">
      <c r="A80" s="102">
        <v>76</v>
      </c>
      <c r="B80" s="102" t="s">
        <v>4063</v>
      </c>
      <c r="C80" s="75" t="s">
        <v>4546</v>
      </c>
      <c r="D80" s="76" t="s">
        <v>4554</v>
      </c>
      <c r="E80" s="75" t="s">
        <v>4555</v>
      </c>
      <c r="F80" s="104" t="s">
        <v>4556</v>
      </c>
      <c r="G80" s="75" t="s">
        <v>4557</v>
      </c>
      <c r="H80" s="75" t="s">
        <v>2946</v>
      </c>
      <c r="I80" s="128">
        <f t="shared" ref="I80:I82" si="3">SUM(J80:N80)</f>
        <v>108</v>
      </c>
      <c r="J80" s="128">
        <v>0</v>
      </c>
      <c r="K80" s="128">
        <v>30</v>
      </c>
      <c r="L80" s="128">
        <v>78</v>
      </c>
      <c r="M80" s="128">
        <v>0</v>
      </c>
      <c r="N80" s="75"/>
      <c r="O80" s="75"/>
      <c r="P80" s="75" t="s">
        <v>247</v>
      </c>
      <c r="Q80" s="76"/>
      <c r="R80" s="75" t="s">
        <v>4558</v>
      </c>
      <c r="S80" s="75" t="s">
        <v>373</v>
      </c>
      <c r="T80" s="75" t="s">
        <v>4552</v>
      </c>
      <c r="U80" s="75" t="s">
        <v>595</v>
      </c>
      <c r="V80" s="75" t="s">
        <v>4077</v>
      </c>
      <c r="W80" s="110">
        <f t="shared" si="2"/>
        <v>10</v>
      </c>
      <c r="X80" s="110">
        <v>10</v>
      </c>
      <c r="Y80" s="110">
        <v>0</v>
      </c>
      <c r="Z80" s="75" t="s">
        <v>4559</v>
      </c>
    </row>
    <row r="81" spans="1:26" s="91" customFormat="1" ht="24">
      <c r="A81" s="102">
        <v>77</v>
      </c>
      <c r="B81" s="102" t="s">
        <v>4048</v>
      </c>
      <c r="C81" s="75" t="s">
        <v>4546</v>
      </c>
      <c r="D81" s="76" t="s">
        <v>4560</v>
      </c>
      <c r="E81" s="75" t="s">
        <v>4561</v>
      </c>
      <c r="F81" s="105" t="s">
        <v>4562</v>
      </c>
      <c r="G81" s="75" t="s">
        <v>4563</v>
      </c>
      <c r="H81" s="75" t="s">
        <v>4564</v>
      </c>
      <c r="I81" s="128">
        <f t="shared" si="3"/>
        <v>43</v>
      </c>
      <c r="J81" s="128">
        <v>0</v>
      </c>
      <c r="K81" s="128">
        <v>13</v>
      </c>
      <c r="L81" s="128">
        <v>30</v>
      </c>
      <c r="M81" s="128">
        <v>0</v>
      </c>
      <c r="N81" s="75"/>
      <c r="O81" s="75"/>
      <c r="P81" s="75" t="s">
        <v>172</v>
      </c>
      <c r="Q81" s="76"/>
      <c r="R81" s="75" t="s">
        <v>4565</v>
      </c>
      <c r="S81" s="75" t="s">
        <v>108</v>
      </c>
      <c r="T81" s="75" t="s">
        <v>822</v>
      </c>
      <c r="U81" s="75" t="s">
        <v>93</v>
      </c>
      <c r="V81" s="75" t="s">
        <v>4077</v>
      </c>
      <c r="W81" s="110">
        <f t="shared" si="2"/>
        <v>2.5</v>
      </c>
      <c r="X81" s="110">
        <v>2.4</v>
      </c>
      <c r="Y81" s="110">
        <v>0.1</v>
      </c>
      <c r="Z81" s="75" t="s">
        <v>4566</v>
      </c>
    </row>
    <row r="82" spans="1:26" s="91" customFormat="1" ht="84">
      <c r="A82" s="102">
        <v>78</v>
      </c>
      <c r="B82" s="102" t="s">
        <v>4048</v>
      </c>
      <c r="C82" s="75" t="s">
        <v>4546</v>
      </c>
      <c r="D82" s="76" t="s">
        <v>4567</v>
      </c>
      <c r="E82" s="75" t="s">
        <v>4568</v>
      </c>
      <c r="F82" s="106" t="s">
        <v>4569</v>
      </c>
      <c r="G82" s="75" t="s">
        <v>4570</v>
      </c>
      <c r="H82" s="75" t="s">
        <v>2096</v>
      </c>
      <c r="I82" s="128">
        <f t="shared" si="3"/>
        <v>440</v>
      </c>
      <c r="J82" s="128">
        <v>0</v>
      </c>
      <c r="K82" s="128">
        <v>100</v>
      </c>
      <c r="L82" s="128">
        <v>340</v>
      </c>
      <c r="M82" s="128">
        <v>0</v>
      </c>
      <c r="N82" s="75"/>
      <c r="O82" s="75"/>
      <c r="P82" s="75" t="s">
        <v>172</v>
      </c>
      <c r="Q82" s="76"/>
      <c r="R82" s="75" t="s">
        <v>4571</v>
      </c>
      <c r="S82" s="75" t="s">
        <v>108</v>
      </c>
      <c r="T82" s="75" t="s">
        <v>4552</v>
      </c>
      <c r="U82" s="75" t="s">
        <v>93</v>
      </c>
      <c r="V82" s="75" t="s">
        <v>4077</v>
      </c>
      <c r="W82" s="110">
        <f t="shared" si="2"/>
        <v>35</v>
      </c>
      <c r="X82" s="110">
        <v>32</v>
      </c>
      <c r="Y82" s="110">
        <v>3</v>
      </c>
      <c r="Z82" s="75" t="s">
        <v>4572</v>
      </c>
    </row>
    <row r="83" spans="1:26" s="92" customFormat="1" ht="72">
      <c r="A83" s="102">
        <v>79</v>
      </c>
      <c r="B83" s="102" t="s">
        <v>4048</v>
      </c>
      <c r="C83" s="75" t="s">
        <v>4573</v>
      </c>
      <c r="D83" s="102" t="s">
        <v>4574</v>
      </c>
      <c r="E83" s="75" t="s">
        <v>4575</v>
      </c>
      <c r="F83" s="108" t="s">
        <v>4576</v>
      </c>
      <c r="G83" s="75" t="s">
        <v>4577</v>
      </c>
      <c r="H83" s="75" t="s">
        <v>4578</v>
      </c>
      <c r="I83" s="128">
        <v>288</v>
      </c>
      <c r="J83" s="128">
        <v>0</v>
      </c>
      <c r="K83" s="128">
        <v>75</v>
      </c>
      <c r="L83" s="128">
        <v>213</v>
      </c>
      <c r="M83" s="128">
        <v>0</v>
      </c>
      <c r="N83" s="75"/>
      <c r="O83" s="75"/>
      <c r="P83" s="75" t="s">
        <v>108</v>
      </c>
      <c r="Q83" s="75"/>
      <c r="R83" s="75" t="s">
        <v>93</v>
      </c>
      <c r="S83" s="75" t="s">
        <v>3026</v>
      </c>
      <c r="T83" s="75">
        <v>700</v>
      </c>
      <c r="U83" s="75" t="s">
        <v>4854</v>
      </c>
      <c r="V83" s="75" t="s">
        <v>4854</v>
      </c>
      <c r="W83" s="110" t="s">
        <v>4854</v>
      </c>
      <c r="X83" s="78">
        <v>0</v>
      </c>
      <c r="Y83" s="78">
        <v>0</v>
      </c>
      <c r="Z83" s="110" t="s">
        <v>4854</v>
      </c>
    </row>
    <row r="84" spans="1:26" s="91" customFormat="1" ht="36">
      <c r="A84" s="102">
        <v>80</v>
      </c>
      <c r="B84" s="102" t="s">
        <v>4063</v>
      </c>
      <c r="C84" s="102" t="s">
        <v>4579</v>
      </c>
      <c r="D84" s="102" t="s">
        <v>4580</v>
      </c>
      <c r="E84" s="75" t="s">
        <v>4581</v>
      </c>
      <c r="F84" s="104" t="s">
        <v>4582</v>
      </c>
      <c r="G84" s="75" t="s">
        <v>4583</v>
      </c>
      <c r="H84" s="75" t="s">
        <v>4584</v>
      </c>
      <c r="I84" s="128">
        <v>85</v>
      </c>
      <c r="J84" s="128">
        <v>0</v>
      </c>
      <c r="K84" s="128">
        <v>0</v>
      </c>
      <c r="L84" s="128">
        <v>85</v>
      </c>
      <c r="M84" s="128">
        <v>0</v>
      </c>
      <c r="N84" s="102"/>
      <c r="O84" s="102"/>
      <c r="P84" s="102" t="s">
        <v>436</v>
      </c>
      <c r="Q84" s="77"/>
      <c r="R84" s="102" t="s">
        <v>4585</v>
      </c>
      <c r="S84" s="102" t="s">
        <v>108</v>
      </c>
      <c r="T84" s="102" t="s">
        <v>183</v>
      </c>
      <c r="U84" s="75" t="s">
        <v>4853</v>
      </c>
      <c r="V84" s="102" t="s">
        <v>95</v>
      </c>
      <c r="W84" s="110" t="s">
        <v>4854</v>
      </c>
      <c r="X84" s="78">
        <v>0</v>
      </c>
      <c r="Y84" s="78">
        <v>0</v>
      </c>
      <c r="Z84" s="75" t="s">
        <v>4586</v>
      </c>
    </row>
    <row r="85" spans="1:26" s="94" customFormat="1" ht="36">
      <c r="A85" s="102">
        <v>81</v>
      </c>
      <c r="B85" s="102" t="s">
        <v>4063</v>
      </c>
      <c r="C85" s="102" t="s">
        <v>4579</v>
      </c>
      <c r="D85" s="76" t="s">
        <v>4587</v>
      </c>
      <c r="E85" s="102" t="s">
        <v>3033</v>
      </c>
      <c r="F85" s="104" t="s">
        <v>4588</v>
      </c>
      <c r="G85" s="75" t="s">
        <v>4589</v>
      </c>
      <c r="H85" s="75" t="s">
        <v>1833</v>
      </c>
      <c r="I85" s="128">
        <v>20</v>
      </c>
      <c r="J85" s="128">
        <v>0</v>
      </c>
      <c r="K85" s="128">
        <v>0</v>
      </c>
      <c r="L85" s="128">
        <v>20</v>
      </c>
      <c r="M85" s="128">
        <v>0</v>
      </c>
      <c r="N85" s="111"/>
      <c r="O85" s="111"/>
      <c r="P85" s="102" t="s">
        <v>271</v>
      </c>
      <c r="Q85" s="77"/>
      <c r="R85" s="102" t="s">
        <v>4590</v>
      </c>
      <c r="S85" s="102" t="s">
        <v>108</v>
      </c>
      <c r="T85" s="102" t="s">
        <v>822</v>
      </c>
      <c r="U85" s="75" t="s">
        <v>4856</v>
      </c>
      <c r="V85" s="102" t="s">
        <v>212</v>
      </c>
      <c r="W85" s="110">
        <f t="shared" si="2"/>
        <v>2</v>
      </c>
      <c r="X85" s="78">
        <v>2</v>
      </c>
      <c r="Y85" s="78">
        <v>0</v>
      </c>
      <c r="Z85" s="75" t="s">
        <v>4591</v>
      </c>
    </row>
    <row r="86" spans="1:26" s="91" customFormat="1" ht="24">
      <c r="A86" s="102">
        <v>82</v>
      </c>
      <c r="B86" s="102" t="s">
        <v>4063</v>
      </c>
      <c r="C86" s="102" t="s">
        <v>4579</v>
      </c>
      <c r="D86" s="76" t="s">
        <v>4592</v>
      </c>
      <c r="E86" s="75" t="s">
        <v>4593</v>
      </c>
      <c r="F86" s="108" t="s">
        <v>4594</v>
      </c>
      <c r="G86" s="75" t="s">
        <v>4595</v>
      </c>
      <c r="H86" s="75" t="s">
        <v>972</v>
      </c>
      <c r="I86" s="128">
        <v>7</v>
      </c>
      <c r="J86" s="128">
        <v>0</v>
      </c>
      <c r="K86" s="128">
        <v>0</v>
      </c>
      <c r="L86" s="128">
        <v>7</v>
      </c>
      <c r="M86" s="128">
        <v>0</v>
      </c>
      <c r="N86" s="102"/>
      <c r="O86" s="102"/>
      <c r="P86" s="102" t="s">
        <v>436</v>
      </c>
      <c r="Q86" s="102"/>
      <c r="R86" s="102" t="s">
        <v>4596</v>
      </c>
      <c r="S86" s="102" t="s">
        <v>108</v>
      </c>
      <c r="T86" s="102" t="s">
        <v>2907</v>
      </c>
      <c r="U86" s="75" t="s">
        <v>4597</v>
      </c>
      <c r="V86" s="75" t="s">
        <v>212</v>
      </c>
      <c r="W86" s="110">
        <f t="shared" si="2"/>
        <v>0.5</v>
      </c>
      <c r="X86" s="78">
        <v>0.5</v>
      </c>
      <c r="Y86" s="78">
        <v>0</v>
      </c>
      <c r="Z86" s="75" t="s">
        <v>4598</v>
      </c>
    </row>
    <row r="87" spans="1:26" s="95" customFormat="1" ht="60">
      <c r="A87" s="102">
        <v>83</v>
      </c>
      <c r="B87" s="102" t="s">
        <v>4048</v>
      </c>
      <c r="C87" s="102" t="s">
        <v>4599</v>
      </c>
      <c r="D87" s="75" t="s">
        <v>4600</v>
      </c>
      <c r="E87" s="75" t="s">
        <v>4601</v>
      </c>
      <c r="F87" s="108" t="s">
        <v>4602</v>
      </c>
      <c r="G87" s="75" t="s">
        <v>4603</v>
      </c>
      <c r="H87" s="75" t="s">
        <v>1036</v>
      </c>
      <c r="I87" s="128">
        <v>490</v>
      </c>
      <c r="J87" s="128">
        <v>0</v>
      </c>
      <c r="K87" s="128">
        <v>0</v>
      </c>
      <c r="L87" s="128">
        <v>257</v>
      </c>
      <c r="M87" s="128">
        <v>233</v>
      </c>
      <c r="N87" s="118"/>
      <c r="O87" s="118"/>
      <c r="P87" s="75" t="s">
        <v>172</v>
      </c>
      <c r="Q87" s="77"/>
      <c r="R87" s="75" t="s">
        <v>4604</v>
      </c>
      <c r="S87" s="75" t="s">
        <v>108</v>
      </c>
      <c r="T87" s="75" t="s">
        <v>4605</v>
      </c>
      <c r="U87" s="75" t="s">
        <v>4606</v>
      </c>
      <c r="V87" s="75" t="s">
        <v>323</v>
      </c>
      <c r="W87" s="110" t="s">
        <v>4854</v>
      </c>
      <c r="X87" s="78">
        <v>0</v>
      </c>
      <c r="Y87" s="78">
        <v>0</v>
      </c>
      <c r="Z87" s="75" t="s">
        <v>4607</v>
      </c>
    </row>
    <row r="88" spans="1:26" s="100" customFormat="1" ht="36">
      <c r="A88" s="102">
        <v>84</v>
      </c>
      <c r="B88" s="102" t="s">
        <v>4048</v>
      </c>
      <c r="C88" s="102" t="s">
        <v>4599</v>
      </c>
      <c r="D88" s="76" t="s">
        <v>4608</v>
      </c>
      <c r="E88" s="75" t="s">
        <v>4609</v>
      </c>
      <c r="F88" s="108" t="s">
        <v>4610</v>
      </c>
      <c r="G88" s="75" t="s">
        <v>4611</v>
      </c>
      <c r="H88" s="75" t="s">
        <v>171</v>
      </c>
      <c r="I88" s="128">
        <v>60</v>
      </c>
      <c r="J88" s="128">
        <v>0</v>
      </c>
      <c r="K88" s="128">
        <v>0</v>
      </c>
      <c r="L88" s="128">
        <v>60</v>
      </c>
      <c r="M88" s="128">
        <v>0</v>
      </c>
      <c r="N88" s="125"/>
      <c r="O88" s="125"/>
      <c r="P88" s="75" t="s">
        <v>172</v>
      </c>
      <c r="Q88" s="75"/>
      <c r="R88" s="75" t="s">
        <v>4612</v>
      </c>
      <c r="S88" s="75" t="s">
        <v>108</v>
      </c>
      <c r="T88" s="75" t="s">
        <v>4605</v>
      </c>
      <c r="U88" s="75" t="s">
        <v>4606</v>
      </c>
      <c r="V88" s="75" t="s">
        <v>93</v>
      </c>
      <c r="W88" s="110" t="s">
        <v>4854</v>
      </c>
      <c r="X88" s="78">
        <v>0</v>
      </c>
      <c r="Y88" s="78">
        <v>0</v>
      </c>
      <c r="Z88" s="75" t="s">
        <v>4613</v>
      </c>
    </row>
    <row r="89" spans="1:26" s="100" customFormat="1" ht="24">
      <c r="A89" s="102">
        <v>85</v>
      </c>
      <c r="B89" s="102" t="s">
        <v>4048</v>
      </c>
      <c r="C89" s="102" t="s">
        <v>4599</v>
      </c>
      <c r="D89" s="76" t="s">
        <v>4614</v>
      </c>
      <c r="E89" s="75" t="s">
        <v>4601</v>
      </c>
      <c r="F89" s="108" t="s">
        <v>4615</v>
      </c>
      <c r="G89" s="75" t="s">
        <v>4616</v>
      </c>
      <c r="H89" s="75" t="s">
        <v>171</v>
      </c>
      <c r="I89" s="128">
        <v>5</v>
      </c>
      <c r="J89" s="128">
        <v>0</v>
      </c>
      <c r="K89" s="128">
        <v>0</v>
      </c>
      <c r="L89" s="128">
        <v>5</v>
      </c>
      <c r="M89" s="128">
        <v>0</v>
      </c>
      <c r="N89" s="125"/>
      <c r="O89" s="125"/>
      <c r="P89" s="102" t="s">
        <v>1182</v>
      </c>
      <c r="Q89" s="75"/>
      <c r="R89" s="75" t="s">
        <v>2908</v>
      </c>
      <c r="S89" s="75" t="s">
        <v>108</v>
      </c>
      <c r="T89" s="75" t="s">
        <v>4605</v>
      </c>
      <c r="U89" s="75" t="s">
        <v>4606</v>
      </c>
      <c r="V89" s="75" t="s">
        <v>93</v>
      </c>
      <c r="W89" s="110" t="s">
        <v>4854</v>
      </c>
      <c r="X89" s="78">
        <v>0</v>
      </c>
      <c r="Y89" s="78">
        <v>0</v>
      </c>
      <c r="Z89" s="75" t="s">
        <v>4617</v>
      </c>
    </row>
    <row r="90" spans="1:26" s="100" customFormat="1" ht="24">
      <c r="A90" s="102">
        <v>86</v>
      </c>
      <c r="B90" s="102" t="s">
        <v>4048</v>
      </c>
      <c r="C90" s="102" t="s">
        <v>4599</v>
      </c>
      <c r="D90" s="76" t="s">
        <v>4618</v>
      </c>
      <c r="E90" s="75" t="s">
        <v>4601</v>
      </c>
      <c r="F90" s="108" t="s">
        <v>4619</v>
      </c>
      <c r="G90" s="75" t="s">
        <v>4620</v>
      </c>
      <c r="H90" s="75" t="s">
        <v>1147</v>
      </c>
      <c r="I90" s="128">
        <v>3</v>
      </c>
      <c r="J90" s="128">
        <v>0</v>
      </c>
      <c r="K90" s="128">
        <v>0</v>
      </c>
      <c r="L90" s="128">
        <v>3</v>
      </c>
      <c r="M90" s="128">
        <v>0</v>
      </c>
      <c r="N90" s="125"/>
      <c r="O90" s="125"/>
      <c r="P90" s="102" t="s">
        <v>1182</v>
      </c>
      <c r="Q90" s="75"/>
      <c r="R90" s="75" t="s">
        <v>2908</v>
      </c>
      <c r="S90" s="75" t="s">
        <v>108</v>
      </c>
      <c r="T90" s="75" t="s">
        <v>4605</v>
      </c>
      <c r="U90" s="75" t="s">
        <v>4606</v>
      </c>
      <c r="V90" s="75" t="s">
        <v>93</v>
      </c>
      <c r="W90" s="110" t="s">
        <v>4854</v>
      </c>
      <c r="X90" s="78">
        <v>0</v>
      </c>
      <c r="Y90" s="78">
        <v>0</v>
      </c>
      <c r="Z90" s="75" t="s">
        <v>4621</v>
      </c>
    </row>
    <row r="91" spans="1:26" s="100" customFormat="1" ht="24">
      <c r="A91" s="102">
        <v>87</v>
      </c>
      <c r="B91" s="102" t="s">
        <v>4048</v>
      </c>
      <c r="C91" s="102" t="s">
        <v>4599</v>
      </c>
      <c r="D91" s="76" t="s">
        <v>4622</v>
      </c>
      <c r="E91" s="75" t="s">
        <v>4334</v>
      </c>
      <c r="F91" s="108" t="s">
        <v>4623</v>
      </c>
      <c r="G91" s="75" t="s">
        <v>4624</v>
      </c>
      <c r="H91" s="75" t="s">
        <v>4476</v>
      </c>
      <c r="I91" s="128">
        <v>3</v>
      </c>
      <c r="J91" s="128">
        <v>0</v>
      </c>
      <c r="K91" s="128">
        <v>0</v>
      </c>
      <c r="L91" s="128">
        <v>3</v>
      </c>
      <c r="M91" s="128">
        <v>0</v>
      </c>
      <c r="N91" s="125"/>
      <c r="O91" s="125"/>
      <c r="P91" s="102" t="s">
        <v>1182</v>
      </c>
      <c r="Q91" s="75"/>
      <c r="R91" s="75" t="s">
        <v>4338</v>
      </c>
      <c r="S91" s="75" t="s">
        <v>108</v>
      </c>
      <c r="T91" s="75" t="s">
        <v>4605</v>
      </c>
      <c r="U91" s="75" t="s">
        <v>4606</v>
      </c>
      <c r="V91" s="75" t="s">
        <v>93</v>
      </c>
      <c r="W91" s="110" t="s">
        <v>4854</v>
      </c>
      <c r="X91" s="78">
        <v>0</v>
      </c>
      <c r="Y91" s="78">
        <v>0</v>
      </c>
      <c r="Z91" s="75" t="s">
        <v>4625</v>
      </c>
    </row>
    <row r="92" spans="1:26" s="101" customFormat="1" ht="36">
      <c r="A92" s="102">
        <v>88</v>
      </c>
      <c r="B92" s="102" t="s">
        <v>4048</v>
      </c>
      <c r="C92" s="102" t="s">
        <v>4599</v>
      </c>
      <c r="D92" s="76" t="s">
        <v>4626</v>
      </c>
      <c r="E92" s="75" t="s">
        <v>3033</v>
      </c>
      <c r="F92" s="108" t="s">
        <v>4627</v>
      </c>
      <c r="G92" s="75" t="s">
        <v>4628</v>
      </c>
      <c r="H92" s="75" t="s">
        <v>3032</v>
      </c>
      <c r="I92" s="128">
        <v>3</v>
      </c>
      <c r="J92" s="128">
        <v>0</v>
      </c>
      <c r="K92" s="128">
        <v>0</v>
      </c>
      <c r="L92" s="128">
        <v>3</v>
      </c>
      <c r="M92" s="128">
        <v>0</v>
      </c>
      <c r="N92" s="125"/>
      <c r="O92" s="125"/>
      <c r="P92" s="102" t="s">
        <v>1182</v>
      </c>
      <c r="Q92" s="75"/>
      <c r="R92" s="75" t="s">
        <v>4629</v>
      </c>
      <c r="S92" s="75" t="s">
        <v>108</v>
      </c>
      <c r="T92" s="75" t="s">
        <v>4605</v>
      </c>
      <c r="U92" s="75" t="s">
        <v>4606</v>
      </c>
      <c r="V92" s="75" t="s">
        <v>93</v>
      </c>
      <c r="W92" s="110" t="s">
        <v>4854</v>
      </c>
      <c r="X92" s="78">
        <v>0</v>
      </c>
      <c r="Y92" s="78">
        <v>0</v>
      </c>
      <c r="Z92" s="75" t="s">
        <v>4630</v>
      </c>
    </row>
    <row r="93" spans="1:26" s="101" customFormat="1" ht="24">
      <c r="A93" s="102">
        <v>89</v>
      </c>
      <c r="B93" s="102" t="s">
        <v>4048</v>
      </c>
      <c r="C93" s="102" t="s">
        <v>4599</v>
      </c>
      <c r="D93" s="76" t="s">
        <v>4631</v>
      </c>
      <c r="E93" s="75" t="s">
        <v>3033</v>
      </c>
      <c r="F93" s="108" t="s">
        <v>4632</v>
      </c>
      <c r="G93" s="75" t="s">
        <v>4633</v>
      </c>
      <c r="H93" s="75" t="s">
        <v>4634</v>
      </c>
      <c r="I93" s="128">
        <v>3</v>
      </c>
      <c r="J93" s="128">
        <v>0</v>
      </c>
      <c r="K93" s="128">
        <v>0</v>
      </c>
      <c r="L93" s="128">
        <v>3</v>
      </c>
      <c r="M93" s="128">
        <v>0</v>
      </c>
      <c r="N93" s="125"/>
      <c r="O93" s="125"/>
      <c r="P93" s="102" t="s">
        <v>1182</v>
      </c>
      <c r="Q93" s="75"/>
      <c r="R93" s="75" t="s">
        <v>4635</v>
      </c>
      <c r="S93" s="75" t="s">
        <v>108</v>
      </c>
      <c r="T93" s="75" t="s">
        <v>4605</v>
      </c>
      <c r="U93" s="75" t="s">
        <v>4606</v>
      </c>
      <c r="V93" s="75" t="s">
        <v>93</v>
      </c>
      <c r="W93" s="110" t="s">
        <v>4854</v>
      </c>
      <c r="X93" s="78">
        <v>0</v>
      </c>
      <c r="Y93" s="78">
        <v>0</v>
      </c>
      <c r="Z93" s="75" t="s">
        <v>4636</v>
      </c>
    </row>
    <row r="94" spans="1:26" s="101" customFormat="1" ht="24">
      <c r="A94" s="102">
        <v>90</v>
      </c>
      <c r="B94" s="102" t="s">
        <v>4048</v>
      </c>
      <c r="C94" s="102" t="s">
        <v>4599</v>
      </c>
      <c r="D94" s="76" t="s">
        <v>4637</v>
      </c>
      <c r="E94" s="75" t="s">
        <v>4601</v>
      </c>
      <c r="F94" s="108" t="s">
        <v>4638</v>
      </c>
      <c r="G94" s="75" t="s">
        <v>4639</v>
      </c>
      <c r="H94" s="75" t="s">
        <v>4640</v>
      </c>
      <c r="I94" s="128">
        <v>3</v>
      </c>
      <c r="J94" s="128">
        <v>0</v>
      </c>
      <c r="K94" s="128">
        <v>0</v>
      </c>
      <c r="L94" s="128">
        <v>3</v>
      </c>
      <c r="M94" s="128">
        <v>0</v>
      </c>
      <c r="N94" s="125"/>
      <c r="O94" s="125"/>
      <c r="P94" s="102" t="s">
        <v>1182</v>
      </c>
      <c r="Q94" s="75"/>
      <c r="R94" s="75" t="s">
        <v>2693</v>
      </c>
      <c r="S94" s="75" t="s">
        <v>108</v>
      </c>
      <c r="T94" s="75" t="s">
        <v>4605</v>
      </c>
      <c r="U94" s="75" t="s">
        <v>4606</v>
      </c>
      <c r="V94" s="75" t="s">
        <v>93</v>
      </c>
      <c r="W94" s="110" t="s">
        <v>4854</v>
      </c>
      <c r="X94" s="78">
        <v>0</v>
      </c>
      <c r="Y94" s="78">
        <v>0</v>
      </c>
      <c r="Z94" s="75" t="s">
        <v>4641</v>
      </c>
    </row>
    <row r="95" spans="1:26" s="101" customFormat="1" ht="36">
      <c r="A95" s="102">
        <v>91</v>
      </c>
      <c r="B95" s="102" t="s">
        <v>4048</v>
      </c>
      <c r="C95" s="102" t="s">
        <v>4599</v>
      </c>
      <c r="D95" s="76" t="s">
        <v>4642</v>
      </c>
      <c r="E95" s="75" t="s">
        <v>1640</v>
      </c>
      <c r="F95" s="108" t="s">
        <v>4643</v>
      </c>
      <c r="G95" s="75" t="s">
        <v>4644</v>
      </c>
      <c r="H95" s="75" t="s">
        <v>3032</v>
      </c>
      <c r="I95" s="128">
        <v>3</v>
      </c>
      <c r="J95" s="128">
        <v>0</v>
      </c>
      <c r="K95" s="128">
        <v>0</v>
      </c>
      <c r="L95" s="128">
        <v>3</v>
      </c>
      <c r="M95" s="128">
        <v>0</v>
      </c>
      <c r="N95" s="125"/>
      <c r="O95" s="125"/>
      <c r="P95" s="102" t="s">
        <v>1182</v>
      </c>
      <c r="Q95" s="75"/>
      <c r="R95" s="75" t="s">
        <v>4612</v>
      </c>
      <c r="S95" s="75" t="s">
        <v>108</v>
      </c>
      <c r="T95" s="75" t="s">
        <v>4605</v>
      </c>
      <c r="U95" s="75" t="s">
        <v>4606</v>
      </c>
      <c r="V95" s="75" t="s">
        <v>93</v>
      </c>
      <c r="W95" s="110" t="s">
        <v>4854</v>
      </c>
      <c r="X95" s="78">
        <v>0</v>
      </c>
      <c r="Y95" s="78">
        <v>0</v>
      </c>
      <c r="Z95" s="75" t="s">
        <v>4645</v>
      </c>
    </row>
    <row r="96" spans="1:26" s="93" customFormat="1" ht="36">
      <c r="A96" s="102">
        <v>92</v>
      </c>
      <c r="B96" s="102" t="s">
        <v>4048</v>
      </c>
      <c r="C96" s="102" t="s">
        <v>4599</v>
      </c>
      <c r="D96" s="76" t="s">
        <v>4646</v>
      </c>
      <c r="E96" s="75" t="s">
        <v>1640</v>
      </c>
      <c r="F96" s="108" t="s">
        <v>4647</v>
      </c>
      <c r="G96" s="75" t="s">
        <v>4648</v>
      </c>
      <c r="H96" s="75" t="s">
        <v>2642</v>
      </c>
      <c r="I96" s="128">
        <v>0</v>
      </c>
      <c r="J96" s="128">
        <v>0</v>
      </c>
      <c r="K96" s="128">
        <v>0</v>
      </c>
      <c r="L96" s="128">
        <v>0</v>
      </c>
      <c r="M96" s="128">
        <v>0</v>
      </c>
      <c r="N96" s="125"/>
      <c r="O96" s="125"/>
      <c r="P96" s="102" t="s">
        <v>1182</v>
      </c>
      <c r="Q96" s="75"/>
      <c r="R96" s="75" t="s">
        <v>4612</v>
      </c>
      <c r="S96" s="75" t="s">
        <v>108</v>
      </c>
      <c r="T96" s="75" t="s">
        <v>4605</v>
      </c>
      <c r="U96" s="75" t="s">
        <v>4606</v>
      </c>
      <c r="V96" s="75" t="s">
        <v>93</v>
      </c>
      <c r="W96" s="110" t="s">
        <v>4854</v>
      </c>
      <c r="X96" s="78">
        <v>0</v>
      </c>
      <c r="Y96" s="78">
        <v>0</v>
      </c>
      <c r="Z96" s="75" t="s">
        <v>4649</v>
      </c>
    </row>
    <row r="97" spans="1:26" s="101" customFormat="1" ht="24">
      <c r="A97" s="102">
        <v>93</v>
      </c>
      <c r="B97" s="102" t="s">
        <v>4048</v>
      </c>
      <c r="C97" s="102" t="s">
        <v>4599</v>
      </c>
      <c r="D97" s="76" t="s">
        <v>4650</v>
      </c>
      <c r="E97" s="75" t="s">
        <v>4334</v>
      </c>
      <c r="F97" s="108" t="s">
        <v>4651</v>
      </c>
      <c r="G97" s="75" t="s">
        <v>4652</v>
      </c>
      <c r="H97" s="75" t="s">
        <v>4653</v>
      </c>
      <c r="I97" s="128">
        <v>69</v>
      </c>
      <c r="J97" s="128">
        <v>0</v>
      </c>
      <c r="K97" s="128">
        <v>0</v>
      </c>
      <c r="L97" s="128">
        <v>69</v>
      </c>
      <c r="M97" s="128">
        <v>0</v>
      </c>
      <c r="N97" s="125"/>
      <c r="O97" s="125"/>
      <c r="P97" s="102" t="s">
        <v>1182</v>
      </c>
      <c r="Q97" s="75"/>
      <c r="R97" s="75" t="s">
        <v>4612</v>
      </c>
      <c r="S97" s="75" t="s">
        <v>108</v>
      </c>
      <c r="T97" s="75" t="s">
        <v>4605</v>
      </c>
      <c r="U97" s="75" t="s">
        <v>4606</v>
      </c>
      <c r="V97" s="75" t="s">
        <v>93</v>
      </c>
      <c r="W97" s="110" t="s">
        <v>4854</v>
      </c>
      <c r="X97" s="78">
        <v>0</v>
      </c>
      <c r="Y97" s="78">
        <v>0</v>
      </c>
      <c r="Z97" s="75" t="s">
        <v>4654</v>
      </c>
    </row>
    <row r="98" spans="1:26" s="99" customFormat="1" ht="48">
      <c r="A98" s="102">
        <v>94</v>
      </c>
      <c r="B98" s="102" t="s">
        <v>4048</v>
      </c>
      <c r="C98" s="102" t="s">
        <v>4655</v>
      </c>
      <c r="D98" s="75" t="s">
        <v>4656</v>
      </c>
      <c r="E98" s="75" t="s">
        <v>4657</v>
      </c>
      <c r="F98" s="108" t="s">
        <v>4658</v>
      </c>
      <c r="G98" s="75" t="s">
        <v>4659</v>
      </c>
      <c r="H98" s="75" t="s">
        <v>303</v>
      </c>
      <c r="I98" s="128">
        <f>SUM(J98:M98)</f>
        <v>385</v>
      </c>
      <c r="J98" s="128">
        <v>30</v>
      </c>
      <c r="K98" s="128">
        <v>200</v>
      </c>
      <c r="L98" s="128">
        <v>95</v>
      </c>
      <c r="M98" s="128">
        <v>60</v>
      </c>
      <c r="N98" s="118"/>
      <c r="O98" s="118"/>
      <c r="P98" s="75" t="s">
        <v>172</v>
      </c>
      <c r="Q98" s="122"/>
      <c r="R98" s="75" t="s">
        <v>4660</v>
      </c>
      <c r="S98" s="75" t="s">
        <v>108</v>
      </c>
      <c r="T98" s="75" t="s">
        <v>4661</v>
      </c>
      <c r="U98" s="75" t="s">
        <v>4853</v>
      </c>
      <c r="V98" s="75" t="s">
        <v>212</v>
      </c>
      <c r="W98" s="110" t="s">
        <v>4854</v>
      </c>
      <c r="X98" s="78">
        <v>0</v>
      </c>
      <c r="Y98" s="78">
        <v>0</v>
      </c>
      <c r="Z98" s="75" t="s">
        <v>4662</v>
      </c>
    </row>
    <row r="99" spans="1:26" s="93" customFormat="1" ht="36">
      <c r="A99" s="102">
        <v>95</v>
      </c>
      <c r="B99" s="102" t="s">
        <v>4063</v>
      </c>
      <c r="C99" s="102" t="s">
        <v>4663</v>
      </c>
      <c r="D99" s="111" t="s">
        <v>4664</v>
      </c>
      <c r="E99" s="108" t="s">
        <v>4665</v>
      </c>
      <c r="F99" s="108" t="s">
        <v>4666</v>
      </c>
      <c r="G99" s="75" t="s">
        <v>4667</v>
      </c>
      <c r="H99" s="108" t="s">
        <v>1158</v>
      </c>
      <c r="I99" s="128">
        <v>52</v>
      </c>
      <c r="J99" s="128">
        <v>0</v>
      </c>
      <c r="K99" s="128">
        <v>0</v>
      </c>
      <c r="L99" s="128">
        <v>52</v>
      </c>
      <c r="M99" s="128">
        <v>0</v>
      </c>
      <c r="N99" s="111"/>
      <c r="O99" s="111"/>
      <c r="P99" s="102" t="s">
        <v>247</v>
      </c>
      <c r="Q99" s="112"/>
      <c r="R99" s="102" t="s">
        <v>4668</v>
      </c>
      <c r="S99" s="102" t="s">
        <v>108</v>
      </c>
      <c r="T99" s="75" t="s">
        <v>4669</v>
      </c>
      <c r="U99" s="102" t="s">
        <v>4855</v>
      </c>
      <c r="V99" s="75" t="s">
        <v>4670</v>
      </c>
      <c r="W99" s="110">
        <f t="shared" si="2"/>
        <v>10</v>
      </c>
      <c r="X99" s="129">
        <v>10</v>
      </c>
      <c r="Y99" s="78">
        <v>0</v>
      </c>
      <c r="Z99" s="75" t="s">
        <v>4671</v>
      </c>
    </row>
    <row r="100" spans="1:26" s="91" customFormat="1" ht="84">
      <c r="A100" s="102">
        <v>96</v>
      </c>
      <c r="B100" s="102" t="s">
        <v>4063</v>
      </c>
      <c r="C100" s="102" t="s">
        <v>4672</v>
      </c>
      <c r="D100" s="102" t="s">
        <v>4673</v>
      </c>
      <c r="E100" s="102" t="s">
        <v>4674</v>
      </c>
      <c r="F100" s="108" t="s">
        <v>4675</v>
      </c>
      <c r="G100" s="102" t="s">
        <v>4676</v>
      </c>
      <c r="H100" s="75" t="s">
        <v>4677</v>
      </c>
      <c r="I100" s="128">
        <v>76</v>
      </c>
      <c r="J100" s="128">
        <v>0</v>
      </c>
      <c r="K100" s="128">
        <v>0</v>
      </c>
      <c r="L100" s="128">
        <v>76</v>
      </c>
      <c r="M100" s="128">
        <v>0</v>
      </c>
      <c r="N100" s="111"/>
      <c r="O100" s="111"/>
      <c r="P100" s="102" t="s">
        <v>271</v>
      </c>
      <c r="Q100" s="112"/>
      <c r="R100" s="102" t="s">
        <v>4678</v>
      </c>
      <c r="S100" s="102" t="s">
        <v>3494</v>
      </c>
      <c r="T100" s="102" t="s">
        <v>374</v>
      </c>
      <c r="U100" s="102" t="s">
        <v>595</v>
      </c>
      <c r="V100" s="102" t="s">
        <v>1924</v>
      </c>
      <c r="W100" s="110" t="s">
        <v>4854</v>
      </c>
      <c r="X100" s="78">
        <v>0</v>
      </c>
      <c r="Y100" s="78">
        <v>0</v>
      </c>
      <c r="Z100" s="75" t="s">
        <v>4679</v>
      </c>
    </row>
    <row r="101" spans="1:26" s="91" customFormat="1" ht="24">
      <c r="A101" s="102">
        <v>97</v>
      </c>
      <c r="B101" s="102" t="s">
        <v>4063</v>
      </c>
      <c r="C101" s="102" t="s">
        <v>4672</v>
      </c>
      <c r="D101" s="102" t="s">
        <v>4680</v>
      </c>
      <c r="E101" s="102" t="s">
        <v>4681</v>
      </c>
      <c r="F101" s="108" t="s">
        <v>4682</v>
      </c>
      <c r="G101" s="75" t="s">
        <v>4667</v>
      </c>
      <c r="H101" s="121"/>
      <c r="I101" s="128">
        <v>99</v>
      </c>
      <c r="J101" s="128">
        <v>0</v>
      </c>
      <c r="K101" s="128">
        <v>75</v>
      </c>
      <c r="L101" s="128">
        <v>24</v>
      </c>
      <c r="M101" s="128">
        <v>0</v>
      </c>
      <c r="N101" s="121"/>
      <c r="O101" s="121"/>
      <c r="P101" s="102" t="s">
        <v>436</v>
      </c>
      <c r="Q101" s="112"/>
      <c r="R101" s="102" t="s">
        <v>4680</v>
      </c>
      <c r="S101" s="102" t="s">
        <v>4854</v>
      </c>
      <c r="T101" s="102" t="s">
        <v>4854</v>
      </c>
      <c r="U101" s="102" t="s">
        <v>4854</v>
      </c>
      <c r="V101" s="102" t="s">
        <v>4854</v>
      </c>
      <c r="W101" s="110">
        <f t="shared" si="2"/>
        <v>13</v>
      </c>
      <c r="X101" s="129">
        <v>13</v>
      </c>
      <c r="Y101" s="78">
        <v>0</v>
      </c>
      <c r="Z101" s="75" t="s">
        <v>4683</v>
      </c>
    </row>
    <row r="102" spans="1:26" s="92" customFormat="1" ht="48">
      <c r="A102" s="102">
        <v>98</v>
      </c>
      <c r="B102" s="102" t="s">
        <v>4048</v>
      </c>
      <c r="C102" s="102" t="s">
        <v>4684</v>
      </c>
      <c r="D102" s="75" t="s">
        <v>4685</v>
      </c>
      <c r="E102" s="75" t="s">
        <v>4686</v>
      </c>
      <c r="F102" s="108" t="s">
        <v>4687</v>
      </c>
      <c r="G102" s="75" t="s">
        <v>4688</v>
      </c>
      <c r="H102" s="75" t="s">
        <v>4689</v>
      </c>
      <c r="I102" s="128">
        <f>SUBTOTAL(9,J102:M102)</f>
        <v>295</v>
      </c>
      <c r="J102" s="128">
        <v>0</v>
      </c>
      <c r="K102" s="128">
        <v>0</v>
      </c>
      <c r="L102" s="128">
        <v>295</v>
      </c>
      <c r="M102" s="128">
        <v>0</v>
      </c>
      <c r="N102" s="121"/>
      <c r="O102" s="121"/>
      <c r="P102" s="75" t="s">
        <v>172</v>
      </c>
      <c r="Q102" s="123"/>
      <c r="R102" s="75" t="s">
        <v>4690</v>
      </c>
      <c r="S102" s="75" t="s">
        <v>108</v>
      </c>
      <c r="T102" s="75" t="s">
        <v>183</v>
      </c>
      <c r="U102" s="75" t="s">
        <v>93</v>
      </c>
      <c r="V102" s="75" t="s">
        <v>323</v>
      </c>
      <c r="W102" s="110" t="s">
        <v>4854</v>
      </c>
      <c r="X102" s="78">
        <v>0</v>
      </c>
      <c r="Y102" s="78">
        <v>0</v>
      </c>
      <c r="Z102" s="75" t="s">
        <v>4691</v>
      </c>
    </row>
    <row r="103" spans="1:26" s="92" customFormat="1" ht="36">
      <c r="A103" s="102">
        <v>99</v>
      </c>
      <c r="B103" s="102" t="s">
        <v>4048</v>
      </c>
      <c r="C103" s="102" t="s">
        <v>4684</v>
      </c>
      <c r="D103" s="75" t="s">
        <v>4692</v>
      </c>
      <c r="E103" s="75" t="s">
        <v>4304</v>
      </c>
      <c r="F103" s="108" t="s">
        <v>4693</v>
      </c>
      <c r="G103" s="75" t="s">
        <v>4694</v>
      </c>
      <c r="H103" s="75" t="s">
        <v>851</v>
      </c>
      <c r="I103" s="128">
        <f t="shared" ref="I103:I115" si="4">SUBTOTAL(9,J103:M103)</f>
        <v>78.5</v>
      </c>
      <c r="J103" s="128">
        <v>0</v>
      </c>
      <c r="K103" s="128">
        <v>0</v>
      </c>
      <c r="L103" s="128">
        <v>78.5</v>
      </c>
      <c r="M103" s="128">
        <v>0</v>
      </c>
      <c r="N103" s="121"/>
      <c r="O103" s="121"/>
      <c r="P103" s="75" t="s">
        <v>172</v>
      </c>
      <c r="Q103" s="123"/>
      <c r="R103" s="75" t="s">
        <v>247</v>
      </c>
      <c r="S103" s="75" t="s">
        <v>108</v>
      </c>
      <c r="T103" s="75" t="s">
        <v>222</v>
      </c>
      <c r="U103" s="75" t="s">
        <v>93</v>
      </c>
      <c r="V103" s="75" t="s">
        <v>323</v>
      </c>
      <c r="W103" s="110" t="s">
        <v>4854</v>
      </c>
      <c r="X103" s="78">
        <v>0</v>
      </c>
      <c r="Y103" s="78">
        <v>0</v>
      </c>
      <c r="Z103" s="75" t="s">
        <v>4120</v>
      </c>
    </row>
    <row r="104" spans="1:26" s="92" customFormat="1" ht="24">
      <c r="A104" s="102">
        <v>100</v>
      </c>
      <c r="B104" s="102" t="s">
        <v>4048</v>
      </c>
      <c r="C104" s="102" t="s">
        <v>4684</v>
      </c>
      <c r="D104" s="75" t="s">
        <v>4695</v>
      </c>
      <c r="E104" s="75" t="s">
        <v>4304</v>
      </c>
      <c r="F104" s="108" t="s">
        <v>4696</v>
      </c>
      <c r="G104" s="75" t="s">
        <v>4697</v>
      </c>
      <c r="H104" s="75" t="s">
        <v>1833</v>
      </c>
      <c r="I104" s="128">
        <f t="shared" si="4"/>
        <v>41</v>
      </c>
      <c r="J104" s="128">
        <v>0</v>
      </c>
      <c r="K104" s="128">
        <v>0</v>
      </c>
      <c r="L104" s="128">
        <v>41</v>
      </c>
      <c r="M104" s="128">
        <v>0</v>
      </c>
      <c r="N104" s="121"/>
      <c r="O104" s="121"/>
      <c r="P104" s="75" t="s">
        <v>247</v>
      </c>
      <c r="Q104" s="123"/>
      <c r="R104" s="75" t="s">
        <v>247</v>
      </c>
      <c r="S104" s="75" t="s">
        <v>108</v>
      </c>
      <c r="T104" s="75" t="s">
        <v>2920</v>
      </c>
      <c r="U104" s="75" t="s">
        <v>93</v>
      </c>
      <c r="V104" s="75" t="s">
        <v>595</v>
      </c>
      <c r="W104" s="110" t="s">
        <v>4854</v>
      </c>
      <c r="X104" s="78">
        <v>0</v>
      </c>
      <c r="Y104" s="78">
        <v>0</v>
      </c>
      <c r="Z104" s="75" t="s">
        <v>4698</v>
      </c>
    </row>
    <row r="105" spans="1:26" s="92" customFormat="1" ht="24">
      <c r="A105" s="102">
        <v>101</v>
      </c>
      <c r="B105" s="102" t="s">
        <v>4048</v>
      </c>
      <c r="C105" s="102" t="s">
        <v>4684</v>
      </c>
      <c r="D105" s="75" t="s">
        <v>4699</v>
      </c>
      <c r="E105" s="75" t="s">
        <v>4700</v>
      </c>
      <c r="F105" s="108" t="s">
        <v>4701</v>
      </c>
      <c r="G105" s="75" t="s">
        <v>4702</v>
      </c>
      <c r="H105" s="75" t="s">
        <v>1395</v>
      </c>
      <c r="I105" s="128">
        <f t="shared" si="4"/>
        <v>25.5</v>
      </c>
      <c r="J105" s="128">
        <v>0</v>
      </c>
      <c r="K105" s="128">
        <v>0</v>
      </c>
      <c r="L105" s="128">
        <v>25.5</v>
      </c>
      <c r="M105" s="128">
        <v>0</v>
      </c>
      <c r="N105" s="121"/>
      <c r="O105" s="121"/>
      <c r="P105" s="75" t="s">
        <v>172</v>
      </c>
      <c r="Q105" s="123"/>
      <c r="R105" s="75" t="s">
        <v>247</v>
      </c>
      <c r="S105" s="75" t="s">
        <v>108</v>
      </c>
      <c r="T105" s="75" t="s">
        <v>4703</v>
      </c>
      <c r="U105" s="75" t="s">
        <v>93</v>
      </c>
      <c r="V105" s="75" t="s">
        <v>595</v>
      </c>
      <c r="W105" s="110" t="s">
        <v>4854</v>
      </c>
      <c r="X105" s="78">
        <v>0</v>
      </c>
      <c r="Y105" s="78">
        <v>0</v>
      </c>
      <c r="Z105" s="75" t="s">
        <v>4704</v>
      </c>
    </row>
    <row r="106" spans="1:26" s="92" customFormat="1" ht="24">
      <c r="A106" s="102">
        <v>102</v>
      </c>
      <c r="B106" s="102" t="s">
        <v>4048</v>
      </c>
      <c r="C106" s="102" t="s">
        <v>4684</v>
      </c>
      <c r="D106" s="75" t="s">
        <v>4705</v>
      </c>
      <c r="E106" s="75" t="s">
        <v>4304</v>
      </c>
      <c r="F106" s="108" t="s">
        <v>4706</v>
      </c>
      <c r="G106" s="75" t="s">
        <v>4707</v>
      </c>
      <c r="H106" s="75" t="s">
        <v>966</v>
      </c>
      <c r="I106" s="128">
        <f t="shared" si="4"/>
        <v>13</v>
      </c>
      <c r="J106" s="128">
        <v>0</v>
      </c>
      <c r="K106" s="128">
        <v>0</v>
      </c>
      <c r="L106" s="128">
        <v>13</v>
      </c>
      <c r="M106" s="128">
        <v>0</v>
      </c>
      <c r="N106" s="121"/>
      <c r="O106" s="121"/>
      <c r="P106" s="75" t="s">
        <v>172</v>
      </c>
      <c r="Q106" s="123"/>
      <c r="R106" s="75" t="s">
        <v>247</v>
      </c>
      <c r="S106" s="75" t="s">
        <v>108</v>
      </c>
      <c r="T106" s="75" t="s">
        <v>4703</v>
      </c>
      <c r="U106" s="75" t="s">
        <v>93</v>
      </c>
      <c r="V106" s="75" t="s">
        <v>595</v>
      </c>
      <c r="W106" s="110" t="s">
        <v>4854</v>
      </c>
      <c r="X106" s="78">
        <v>0</v>
      </c>
      <c r="Y106" s="78">
        <v>0</v>
      </c>
      <c r="Z106" s="75" t="s">
        <v>4708</v>
      </c>
    </row>
    <row r="107" spans="1:26" s="92" customFormat="1" ht="24">
      <c r="A107" s="102">
        <v>103</v>
      </c>
      <c r="B107" s="102" t="s">
        <v>4048</v>
      </c>
      <c r="C107" s="102" t="s">
        <v>4684</v>
      </c>
      <c r="D107" s="75" t="s">
        <v>4709</v>
      </c>
      <c r="E107" s="75" t="s">
        <v>4710</v>
      </c>
      <c r="F107" s="108" t="s">
        <v>4711</v>
      </c>
      <c r="G107" s="75" t="s">
        <v>4712</v>
      </c>
      <c r="H107" s="75"/>
      <c r="I107" s="128">
        <f t="shared" si="4"/>
        <v>0</v>
      </c>
      <c r="J107" s="128">
        <v>0</v>
      </c>
      <c r="K107" s="128">
        <v>0</v>
      </c>
      <c r="L107" s="128">
        <v>0</v>
      </c>
      <c r="M107" s="128">
        <v>0</v>
      </c>
      <c r="N107" s="121"/>
      <c r="O107" s="121"/>
      <c r="P107" s="75" t="s">
        <v>172</v>
      </c>
      <c r="Q107" s="123"/>
      <c r="R107" s="75" t="s">
        <v>247</v>
      </c>
      <c r="S107" s="75" t="s">
        <v>108</v>
      </c>
      <c r="T107" s="75" t="s">
        <v>4703</v>
      </c>
      <c r="U107" s="75" t="s">
        <v>93</v>
      </c>
      <c r="V107" s="75" t="s">
        <v>595</v>
      </c>
      <c r="W107" s="110" t="s">
        <v>4854</v>
      </c>
      <c r="X107" s="78">
        <v>0</v>
      </c>
      <c r="Y107" s="78">
        <v>0</v>
      </c>
      <c r="Z107" s="75" t="s">
        <v>4713</v>
      </c>
    </row>
    <row r="108" spans="1:26" s="92" customFormat="1" ht="13.5">
      <c r="A108" s="102">
        <v>104</v>
      </c>
      <c r="B108" s="102" t="s">
        <v>4048</v>
      </c>
      <c r="C108" s="102" t="s">
        <v>4684</v>
      </c>
      <c r="D108" s="75" t="s">
        <v>4714</v>
      </c>
      <c r="E108" s="75" t="s">
        <v>4715</v>
      </c>
      <c r="F108" s="108" t="s">
        <v>4716</v>
      </c>
      <c r="G108" s="75" t="s">
        <v>4717</v>
      </c>
      <c r="H108" s="75"/>
      <c r="I108" s="128">
        <f t="shared" si="4"/>
        <v>0</v>
      </c>
      <c r="J108" s="128">
        <v>0</v>
      </c>
      <c r="K108" s="128">
        <v>0</v>
      </c>
      <c r="L108" s="128">
        <v>0</v>
      </c>
      <c r="M108" s="128">
        <v>0</v>
      </c>
      <c r="N108" s="121"/>
      <c r="O108" s="121"/>
      <c r="P108" s="75" t="s">
        <v>1182</v>
      </c>
      <c r="Q108" s="123"/>
      <c r="R108" s="75" t="s">
        <v>247</v>
      </c>
      <c r="S108" s="75" t="s">
        <v>108</v>
      </c>
      <c r="T108" s="75" t="s">
        <v>198</v>
      </c>
      <c r="U108" s="75" t="s">
        <v>93</v>
      </c>
      <c r="V108" s="75" t="s">
        <v>595</v>
      </c>
      <c r="W108" s="110" t="s">
        <v>4854</v>
      </c>
      <c r="X108" s="78">
        <v>0</v>
      </c>
      <c r="Y108" s="78">
        <v>0</v>
      </c>
      <c r="Z108" s="75" t="s">
        <v>4718</v>
      </c>
    </row>
    <row r="109" spans="1:26" s="92" customFormat="1" ht="24">
      <c r="A109" s="102">
        <v>105</v>
      </c>
      <c r="B109" s="102" t="s">
        <v>4048</v>
      </c>
      <c r="C109" s="102" t="s">
        <v>4684</v>
      </c>
      <c r="D109" s="75" t="s">
        <v>4719</v>
      </c>
      <c r="E109" s="75" t="s">
        <v>4720</v>
      </c>
      <c r="F109" s="108" t="s">
        <v>4721</v>
      </c>
      <c r="G109" s="75" t="s">
        <v>4722</v>
      </c>
      <c r="H109" s="75"/>
      <c r="I109" s="128">
        <f t="shared" si="4"/>
        <v>0</v>
      </c>
      <c r="J109" s="128">
        <v>0</v>
      </c>
      <c r="K109" s="128">
        <v>0</v>
      </c>
      <c r="L109" s="128">
        <v>0</v>
      </c>
      <c r="M109" s="128">
        <v>0</v>
      </c>
      <c r="N109" s="121"/>
      <c r="O109" s="121"/>
      <c r="P109" s="75" t="s">
        <v>1182</v>
      </c>
      <c r="Q109" s="123"/>
      <c r="R109" s="75" t="s">
        <v>247</v>
      </c>
      <c r="S109" s="75" t="s">
        <v>108</v>
      </c>
      <c r="T109" s="75" t="s">
        <v>198</v>
      </c>
      <c r="U109" s="75" t="s">
        <v>93</v>
      </c>
      <c r="V109" s="75" t="s">
        <v>595</v>
      </c>
      <c r="W109" s="110" t="s">
        <v>4854</v>
      </c>
      <c r="X109" s="78">
        <v>0</v>
      </c>
      <c r="Y109" s="78">
        <v>0</v>
      </c>
      <c r="Z109" s="75" t="s">
        <v>4723</v>
      </c>
    </row>
    <row r="110" spans="1:26" s="92" customFormat="1" ht="13.5">
      <c r="A110" s="102">
        <v>106</v>
      </c>
      <c r="B110" s="102" t="s">
        <v>4048</v>
      </c>
      <c r="C110" s="102" t="s">
        <v>4684</v>
      </c>
      <c r="D110" s="75" t="s">
        <v>4724</v>
      </c>
      <c r="E110" s="75" t="s">
        <v>4725</v>
      </c>
      <c r="F110" s="108" t="s">
        <v>4726</v>
      </c>
      <c r="G110" s="75" t="s">
        <v>4727</v>
      </c>
      <c r="H110" s="75"/>
      <c r="I110" s="128">
        <f t="shared" si="4"/>
        <v>0</v>
      </c>
      <c r="J110" s="128">
        <v>0</v>
      </c>
      <c r="K110" s="128">
        <v>0</v>
      </c>
      <c r="L110" s="128">
        <v>0</v>
      </c>
      <c r="M110" s="128">
        <v>0</v>
      </c>
      <c r="N110" s="121"/>
      <c r="O110" s="121"/>
      <c r="P110" s="75" t="s">
        <v>1182</v>
      </c>
      <c r="Q110" s="123"/>
      <c r="R110" s="75" t="s">
        <v>247</v>
      </c>
      <c r="S110" s="75" t="s">
        <v>108</v>
      </c>
      <c r="T110" s="75" t="s">
        <v>198</v>
      </c>
      <c r="U110" s="75" t="s">
        <v>93</v>
      </c>
      <c r="V110" s="75" t="s">
        <v>595</v>
      </c>
      <c r="W110" s="110" t="s">
        <v>4854</v>
      </c>
      <c r="X110" s="78">
        <v>0</v>
      </c>
      <c r="Y110" s="78">
        <v>0</v>
      </c>
      <c r="Z110" s="75" t="s">
        <v>4728</v>
      </c>
    </row>
    <row r="111" spans="1:26" s="92" customFormat="1" ht="13.5">
      <c r="A111" s="102">
        <v>107</v>
      </c>
      <c r="B111" s="102" t="s">
        <v>4048</v>
      </c>
      <c r="C111" s="102" t="s">
        <v>4684</v>
      </c>
      <c r="D111" s="75" t="s">
        <v>4729</v>
      </c>
      <c r="E111" s="75" t="s">
        <v>4715</v>
      </c>
      <c r="F111" s="108" t="s">
        <v>4730</v>
      </c>
      <c r="G111" s="75" t="s">
        <v>4731</v>
      </c>
      <c r="H111" s="75"/>
      <c r="I111" s="128">
        <f t="shared" si="4"/>
        <v>0</v>
      </c>
      <c r="J111" s="128">
        <v>0</v>
      </c>
      <c r="K111" s="128">
        <v>0</v>
      </c>
      <c r="L111" s="128">
        <v>0</v>
      </c>
      <c r="M111" s="128">
        <v>0</v>
      </c>
      <c r="N111" s="121"/>
      <c r="O111" s="121"/>
      <c r="P111" s="75" t="s">
        <v>172</v>
      </c>
      <c r="Q111" s="123"/>
      <c r="R111" s="75" t="s">
        <v>247</v>
      </c>
      <c r="S111" s="75" t="s">
        <v>108</v>
      </c>
      <c r="T111" s="75" t="s">
        <v>198</v>
      </c>
      <c r="U111" s="75" t="s">
        <v>93</v>
      </c>
      <c r="V111" s="75" t="s">
        <v>595</v>
      </c>
      <c r="W111" s="110" t="s">
        <v>4854</v>
      </c>
      <c r="X111" s="78">
        <v>0</v>
      </c>
      <c r="Y111" s="78">
        <v>0</v>
      </c>
      <c r="Z111" s="75" t="s">
        <v>4732</v>
      </c>
    </row>
    <row r="112" spans="1:26" s="92" customFormat="1" ht="24">
      <c r="A112" s="102">
        <v>108</v>
      </c>
      <c r="B112" s="102" t="s">
        <v>4048</v>
      </c>
      <c r="C112" s="102" t="s">
        <v>4684</v>
      </c>
      <c r="D112" s="75" t="s">
        <v>4733</v>
      </c>
      <c r="E112" s="75" t="s">
        <v>4304</v>
      </c>
      <c r="F112" s="108" t="s">
        <v>4734</v>
      </c>
      <c r="G112" s="75" t="s">
        <v>4735</v>
      </c>
      <c r="H112" s="75" t="s">
        <v>2952</v>
      </c>
      <c r="I112" s="128">
        <f t="shared" si="4"/>
        <v>10.5</v>
      </c>
      <c r="J112" s="128">
        <v>0</v>
      </c>
      <c r="K112" s="128">
        <v>0</v>
      </c>
      <c r="L112" s="128">
        <v>10.5</v>
      </c>
      <c r="M112" s="128">
        <v>0</v>
      </c>
      <c r="N112" s="121"/>
      <c r="O112" s="121"/>
      <c r="P112" s="75" t="s">
        <v>172</v>
      </c>
      <c r="Q112" s="123"/>
      <c r="R112" s="75" t="s">
        <v>247</v>
      </c>
      <c r="S112" s="75" t="s">
        <v>108</v>
      </c>
      <c r="T112" s="75" t="s">
        <v>198</v>
      </c>
      <c r="U112" s="75" t="s">
        <v>93</v>
      </c>
      <c r="V112" s="75" t="s">
        <v>595</v>
      </c>
      <c r="W112" s="110" t="s">
        <v>4854</v>
      </c>
      <c r="X112" s="78">
        <v>0</v>
      </c>
      <c r="Y112" s="78">
        <v>0</v>
      </c>
      <c r="Z112" s="75" t="s">
        <v>4736</v>
      </c>
    </row>
    <row r="113" spans="1:26" s="92" customFormat="1" ht="13.5">
      <c r="A113" s="102">
        <v>109</v>
      </c>
      <c r="B113" s="102" t="s">
        <v>4048</v>
      </c>
      <c r="C113" s="102" t="s">
        <v>4684</v>
      </c>
      <c r="D113" s="75" t="s">
        <v>4737</v>
      </c>
      <c r="E113" s="75" t="s">
        <v>4738</v>
      </c>
      <c r="F113" s="108" t="s">
        <v>4739</v>
      </c>
      <c r="G113" s="75" t="s">
        <v>4740</v>
      </c>
      <c r="H113" s="75"/>
      <c r="I113" s="128">
        <f t="shared" si="4"/>
        <v>0</v>
      </c>
      <c r="J113" s="128">
        <v>0</v>
      </c>
      <c r="K113" s="128">
        <v>0</v>
      </c>
      <c r="L113" s="128">
        <v>0</v>
      </c>
      <c r="M113" s="128">
        <v>0</v>
      </c>
      <c r="N113" s="121"/>
      <c r="O113" s="121"/>
      <c r="P113" s="75" t="s">
        <v>1182</v>
      </c>
      <c r="Q113" s="123"/>
      <c r="R113" s="75" t="s">
        <v>247</v>
      </c>
      <c r="S113" s="75" t="s">
        <v>108</v>
      </c>
      <c r="T113" s="75" t="s">
        <v>198</v>
      </c>
      <c r="U113" s="75" t="s">
        <v>93</v>
      </c>
      <c r="V113" s="75" t="s">
        <v>595</v>
      </c>
      <c r="W113" s="110" t="s">
        <v>4854</v>
      </c>
      <c r="X113" s="78">
        <v>0</v>
      </c>
      <c r="Y113" s="78">
        <v>0</v>
      </c>
      <c r="Z113" s="75" t="s">
        <v>4741</v>
      </c>
    </row>
    <row r="114" spans="1:26" s="92" customFormat="1" ht="24">
      <c r="A114" s="102">
        <v>110</v>
      </c>
      <c r="B114" s="102" t="s">
        <v>4048</v>
      </c>
      <c r="C114" s="102" t="s">
        <v>4684</v>
      </c>
      <c r="D114" s="75" t="s">
        <v>4742</v>
      </c>
      <c r="E114" s="75" t="s">
        <v>4738</v>
      </c>
      <c r="F114" s="108" t="s">
        <v>4743</v>
      </c>
      <c r="G114" s="75" t="s">
        <v>4744</v>
      </c>
      <c r="H114" s="75"/>
      <c r="I114" s="128">
        <f t="shared" si="4"/>
        <v>0</v>
      </c>
      <c r="J114" s="128">
        <v>0</v>
      </c>
      <c r="K114" s="128">
        <v>0</v>
      </c>
      <c r="L114" s="128">
        <v>0</v>
      </c>
      <c r="M114" s="128">
        <v>0</v>
      </c>
      <c r="N114" s="121"/>
      <c r="O114" s="121"/>
      <c r="P114" s="75" t="s">
        <v>172</v>
      </c>
      <c r="Q114" s="123"/>
      <c r="R114" s="75" t="s">
        <v>247</v>
      </c>
      <c r="S114" s="75" t="s">
        <v>108</v>
      </c>
      <c r="T114" s="75" t="s">
        <v>222</v>
      </c>
      <c r="U114" s="75" t="s">
        <v>93</v>
      </c>
      <c r="V114" s="75" t="s">
        <v>595</v>
      </c>
      <c r="W114" s="110" t="s">
        <v>4854</v>
      </c>
      <c r="X114" s="78">
        <v>0</v>
      </c>
      <c r="Y114" s="78">
        <v>0</v>
      </c>
      <c r="Z114" s="75" t="s">
        <v>4745</v>
      </c>
    </row>
    <row r="115" spans="1:26" s="92" customFormat="1" ht="24">
      <c r="A115" s="102">
        <v>111</v>
      </c>
      <c r="B115" s="102" t="s">
        <v>4048</v>
      </c>
      <c r="C115" s="102" t="s">
        <v>4684</v>
      </c>
      <c r="D115" s="75" t="s">
        <v>4746</v>
      </c>
      <c r="E115" s="75" t="s">
        <v>4304</v>
      </c>
      <c r="F115" s="108" t="s">
        <v>4747</v>
      </c>
      <c r="G115" s="75" t="s">
        <v>4748</v>
      </c>
      <c r="H115" s="75" t="s">
        <v>820</v>
      </c>
      <c r="I115" s="128">
        <f t="shared" si="4"/>
        <v>10.5</v>
      </c>
      <c r="J115" s="128">
        <v>0</v>
      </c>
      <c r="K115" s="128">
        <v>0</v>
      </c>
      <c r="L115" s="128">
        <v>10.5</v>
      </c>
      <c r="M115" s="128">
        <v>0</v>
      </c>
      <c r="N115" s="121"/>
      <c r="O115" s="121"/>
      <c r="P115" s="75" t="s">
        <v>172</v>
      </c>
      <c r="Q115" s="123"/>
      <c r="R115" s="75" t="s">
        <v>247</v>
      </c>
      <c r="S115" s="75" t="s">
        <v>108</v>
      </c>
      <c r="T115" s="75" t="s">
        <v>222</v>
      </c>
      <c r="U115" s="75" t="s">
        <v>93</v>
      </c>
      <c r="V115" s="75" t="s">
        <v>595</v>
      </c>
      <c r="W115" s="110" t="s">
        <v>4854</v>
      </c>
      <c r="X115" s="78">
        <v>0</v>
      </c>
      <c r="Y115" s="78">
        <v>0</v>
      </c>
      <c r="Z115" s="75" t="s">
        <v>4749</v>
      </c>
    </row>
    <row r="116" spans="1:26" s="92" customFormat="1" ht="24">
      <c r="A116" s="102">
        <v>112</v>
      </c>
      <c r="B116" s="102" t="s">
        <v>4048</v>
      </c>
      <c r="C116" s="102" t="s">
        <v>4750</v>
      </c>
      <c r="D116" s="102" t="s">
        <v>4751</v>
      </c>
      <c r="E116" s="102" t="s">
        <v>4752</v>
      </c>
      <c r="F116" s="104" t="s">
        <v>4753</v>
      </c>
      <c r="G116" s="75" t="s">
        <v>4754</v>
      </c>
      <c r="H116" s="75" t="s">
        <v>3032</v>
      </c>
      <c r="I116" s="128">
        <v>590</v>
      </c>
      <c r="J116" s="128">
        <v>0</v>
      </c>
      <c r="K116" s="128">
        <v>0</v>
      </c>
      <c r="L116" s="128">
        <v>590</v>
      </c>
      <c r="M116" s="128">
        <v>0</v>
      </c>
      <c r="N116" s="121"/>
      <c r="O116" s="121"/>
      <c r="P116" s="102" t="s">
        <v>172</v>
      </c>
      <c r="Q116" s="123"/>
      <c r="R116" s="102" t="s">
        <v>4755</v>
      </c>
      <c r="S116" s="102" t="s">
        <v>108</v>
      </c>
      <c r="T116" s="102" t="s">
        <v>4403</v>
      </c>
      <c r="U116" s="75" t="s">
        <v>4853</v>
      </c>
      <c r="V116" s="75" t="s">
        <v>4756</v>
      </c>
      <c r="W116" s="110">
        <f t="shared" si="2"/>
        <v>30</v>
      </c>
      <c r="X116" s="78">
        <v>28</v>
      </c>
      <c r="Y116" s="78">
        <v>2</v>
      </c>
      <c r="Z116" s="75" t="s">
        <v>4757</v>
      </c>
    </row>
    <row r="117" spans="1:26" s="92" customFormat="1" ht="24">
      <c r="A117" s="102">
        <v>113</v>
      </c>
      <c r="B117" s="102" t="s">
        <v>4048</v>
      </c>
      <c r="C117" s="102" t="s">
        <v>4750</v>
      </c>
      <c r="D117" s="76" t="s">
        <v>4758</v>
      </c>
      <c r="E117" s="75" t="s">
        <v>4759</v>
      </c>
      <c r="F117" s="104" t="s">
        <v>4760</v>
      </c>
      <c r="G117" s="75" t="s">
        <v>4761</v>
      </c>
      <c r="H117" s="75" t="s">
        <v>4762</v>
      </c>
      <c r="I117" s="128">
        <v>449</v>
      </c>
      <c r="J117" s="128">
        <v>0</v>
      </c>
      <c r="K117" s="128">
        <v>0</v>
      </c>
      <c r="L117" s="128">
        <v>449</v>
      </c>
      <c r="M117" s="128">
        <v>0</v>
      </c>
      <c r="N117" s="121"/>
      <c r="O117" s="121"/>
      <c r="P117" s="102" t="s">
        <v>172</v>
      </c>
      <c r="Q117" s="123"/>
      <c r="R117" s="75" t="s">
        <v>4763</v>
      </c>
      <c r="S117" s="75" t="s">
        <v>108</v>
      </c>
      <c r="T117" s="75" t="s">
        <v>944</v>
      </c>
      <c r="U117" s="75" t="s">
        <v>4853</v>
      </c>
      <c r="V117" s="75" t="s">
        <v>95</v>
      </c>
      <c r="W117" s="110">
        <f t="shared" si="2"/>
        <v>16</v>
      </c>
      <c r="X117" s="78">
        <v>15.5</v>
      </c>
      <c r="Y117" s="110">
        <v>0.5</v>
      </c>
      <c r="Z117" s="75" t="s">
        <v>4764</v>
      </c>
    </row>
    <row r="118" spans="1:26" s="91" customFormat="1" ht="24">
      <c r="A118" s="102">
        <v>114</v>
      </c>
      <c r="B118" s="102" t="s">
        <v>4048</v>
      </c>
      <c r="C118" s="102" t="s">
        <v>4750</v>
      </c>
      <c r="D118" s="102" t="s">
        <v>4765</v>
      </c>
      <c r="E118" s="102" t="s">
        <v>4766</v>
      </c>
      <c r="F118" s="104" t="s">
        <v>4767</v>
      </c>
      <c r="G118" s="102" t="s">
        <v>4768</v>
      </c>
      <c r="H118" s="102" t="s">
        <v>1158</v>
      </c>
      <c r="I118" s="128">
        <v>4947</v>
      </c>
      <c r="J118" s="128">
        <v>0</v>
      </c>
      <c r="K118" s="128">
        <v>0</v>
      </c>
      <c r="L118" s="128">
        <v>47.8</v>
      </c>
      <c r="M118" s="128">
        <v>4900</v>
      </c>
      <c r="N118" s="102"/>
      <c r="O118" s="102"/>
      <c r="P118" s="102" t="s">
        <v>172</v>
      </c>
      <c r="Q118" s="102"/>
      <c r="R118" s="102" t="s">
        <v>4769</v>
      </c>
      <c r="S118" s="102" t="s">
        <v>108</v>
      </c>
      <c r="T118" s="102" t="s">
        <v>4770</v>
      </c>
      <c r="U118" s="75" t="s">
        <v>4853</v>
      </c>
      <c r="V118" s="102" t="s">
        <v>4771</v>
      </c>
      <c r="W118" s="110">
        <f t="shared" si="2"/>
        <v>600</v>
      </c>
      <c r="X118" s="78">
        <v>500</v>
      </c>
      <c r="Y118" s="78">
        <v>100</v>
      </c>
      <c r="Z118" s="75" t="s">
        <v>4772</v>
      </c>
    </row>
    <row r="119" spans="1:26" s="92" customFormat="1" ht="24">
      <c r="A119" s="102">
        <v>115</v>
      </c>
      <c r="B119" s="102" t="s">
        <v>4048</v>
      </c>
      <c r="C119" s="102" t="s">
        <v>4773</v>
      </c>
      <c r="D119" s="126" t="s">
        <v>4774</v>
      </c>
      <c r="E119" s="75" t="s">
        <v>4775</v>
      </c>
      <c r="F119" s="127" t="s">
        <v>4776</v>
      </c>
      <c r="G119" s="75" t="s">
        <v>4777</v>
      </c>
      <c r="H119" s="75" t="s">
        <v>193</v>
      </c>
      <c r="I119" s="128">
        <v>260</v>
      </c>
      <c r="J119" s="128">
        <v>0</v>
      </c>
      <c r="K119" s="128">
        <v>30</v>
      </c>
      <c r="L119" s="128">
        <v>30</v>
      </c>
      <c r="M119" s="128">
        <v>200</v>
      </c>
      <c r="N119" s="121"/>
      <c r="O119" s="121"/>
      <c r="P119" s="75" t="s">
        <v>261</v>
      </c>
      <c r="Q119" s="75"/>
      <c r="R119" s="75" t="s">
        <v>2506</v>
      </c>
      <c r="S119" s="75" t="s">
        <v>373</v>
      </c>
      <c r="T119" s="75" t="s">
        <v>814</v>
      </c>
      <c r="U119" s="75" t="s">
        <v>595</v>
      </c>
      <c r="V119" s="75" t="s">
        <v>1924</v>
      </c>
      <c r="W119" s="110">
        <f t="shared" si="2"/>
        <v>8500</v>
      </c>
      <c r="X119" s="110">
        <v>8400</v>
      </c>
      <c r="Y119" s="110">
        <v>100</v>
      </c>
      <c r="Z119" s="75" t="s">
        <v>4778</v>
      </c>
    </row>
    <row r="120" spans="1:26" s="92" customFormat="1" ht="108">
      <c r="A120" s="102">
        <v>116</v>
      </c>
      <c r="B120" s="102" t="s">
        <v>4048</v>
      </c>
      <c r="C120" s="102" t="s">
        <v>4773</v>
      </c>
      <c r="D120" s="75" t="s">
        <v>4779</v>
      </c>
      <c r="E120" s="75" t="s">
        <v>4780</v>
      </c>
      <c r="F120" s="104" t="s">
        <v>4781</v>
      </c>
      <c r="G120" s="75" t="s">
        <v>4782</v>
      </c>
      <c r="H120" s="75" t="s">
        <v>4783</v>
      </c>
      <c r="I120" s="128">
        <v>1110</v>
      </c>
      <c r="J120" s="128">
        <v>0</v>
      </c>
      <c r="K120" s="128">
        <v>300</v>
      </c>
      <c r="L120" s="128">
        <v>310</v>
      </c>
      <c r="M120" s="128">
        <v>500</v>
      </c>
      <c r="N120" s="121"/>
      <c r="O120" s="121"/>
      <c r="P120" s="75" t="s">
        <v>5</v>
      </c>
      <c r="Q120" s="76" t="s">
        <v>4852</v>
      </c>
      <c r="R120" s="75" t="s">
        <v>4784</v>
      </c>
      <c r="S120" s="75" t="s">
        <v>108</v>
      </c>
      <c r="T120" s="75" t="s">
        <v>814</v>
      </c>
      <c r="U120" s="75" t="s">
        <v>93</v>
      </c>
      <c r="V120" s="75" t="s">
        <v>95</v>
      </c>
      <c r="W120" s="110">
        <f t="shared" si="2"/>
        <v>406</v>
      </c>
      <c r="X120" s="110">
        <v>404</v>
      </c>
      <c r="Y120" s="110">
        <v>2</v>
      </c>
      <c r="Z120" s="75" t="s">
        <v>4785</v>
      </c>
    </row>
    <row r="121" spans="1:26" s="92" customFormat="1" ht="36">
      <c r="A121" s="102">
        <v>117</v>
      </c>
      <c r="B121" s="102" t="s">
        <v>4048</v>
      </c>
      <c r="C121" s="102" t="s">
        <v>4773</v>
      </c>
      <c r="D121" s="75" t="s">
        <v>4786</v>
      </c>
      <c r="E121" s="75">
        <v>9.1199999999999992</v>
      </c>
      <c r="F121" s="104" t="s">
        <v>4787</v>
      </c>
      <c r="G121" s="75" t="s">
        <v>4788</v>
      </c>
      <c r="H121" s="75" t="s">
        <v>4789</v>
      </c>
      <c r="I121" s="128">
        <v>48</v>
      </c>
      <c r="J121" s="128">
        <v>0</v>
      </c>
      <c r="K121" s="128">
        <v>35</v>
      </c>
      <c r="L121" s="128">
        <v>13</v>
      </c>
      <c r="M121" s="128">
        <v>0</v>
      </c>
      <c r="N121" s="121"/>
      <c r="O121" s="121"/>
      <c r="P121" s="75" t="s">
        <v>304</v>
      </c>
      <c r="Q121" s="75"/>
      <c r="R121" s="75" t="s">
        <v>4235</v>
      </c>
      <c r="S121" s="75" t="s">
        <v>108</v>
      </c>
      <c r="T121" s="75" t="s">
        <v>822</v>
      </c>
      <c r="U121" s="75" t="s">
        <v>93</v>
      </c>
      <c r="V121" s="75" t="s">
        <v>95</v>
      </c>
      <c r="W121" s="110">
        <f t="shared" si="2"/>
        <v>1</v>
      </c>
      <c r="X121" s="110">
        <v>1</v>
      </c>
      <c r="Y121" s="78">
        <v>0</v>
      </c>
      <c r="Z121" s="75" t="s">
        <v>4790</v>
      </c>
    </row>
    <row r="122" spans="1:26" s="92" customFormat="1" ht="48">
      <c r="A122" s="102">
        <v>118</v>
      </c>
      <c r="B122" s="102" t="s">
        <v>4049</v>
      </c>
      <c r="C122" s="102" t="s">
        <v>4791</v>
      </c>
      <c r="D122" s="75" t="s">
        <v>4792</v>
      </c>
      <c r="E122" s="75" t="s">
        <v>4152</v>
      </c>
      <c r="F122" s="104" t="s">
        <v>4793</v>
      </c>
      <c r="G122" s="75" t="s">
        <v>4794</v>
      </c>
      <c r="H122" s="75" t="s">
        <v>4795</v>
      </c>
      <c r="I122" s="128">
        <v>28</v>
      </c>
      <c r="J122" s="128">
        <v>0</v>
      </c>
      <c r="K122" s="128">
        <v>3</v>
      </c>
      <c r="L122" s="128">
        <v>5</v>
      </c>
      <c r="M122" s="128">
        <v>20</v>
      </c>
      <c r="N122" s="121"/>
      <c r="O122" s="121"/>
      <c r="P122" s="75" t="s">
        <v>436</v>
      </c>
      <c r="Q122" s="75"/>
      <c r="R122" s="75" t="s">
        <v>4796</v>
      </c>
      <c r="S122" s="75" t="s">
        <v>4058</v>
      </c>
      <c r="T122" s="75" t="s">
        <v>4085</v>
      </c>
      <c r="U122" s="75" t="s">
        <v>4060</v>
      </c>
      <c r="V122" s="75" t="s">
        <v>4095</v>
      </c>
      <c r="W122" s="110">
        <f t="shared" si="2"/>
        <v>1.1000000000000001</v>
      </c>
      <c r="X122" s="78">
        <v>1.1000000000000001</v>
      </c>
      <c r="Y122" s="78">
        <v>0</v>
      </c>
      <c r="Z122" s="75" t="s">
        <v>4797</v>
      </c>
    </row>
    <row r="123" spans="1:26" s="92" customFormat="1" ht="24">
      <c r="A123" s="102">
        <v>119</v>
      </c>
      <c r="B123" s="102" t="s">
        <v>4049</v>
      </c>
      <c r="C123" s="102" t="s">
        <v>4791</v>
      </c>
      <c r="D123" s="75" t="s">
        <v>4798</v>
      </c>
      <c r="E123" s="75" t="s">
        <v>4799</v>
      </c>
      <c r="F123" s="127" t="s">
        <v>4800</v>
      </c>
      <c r="G123" s="75" t="s">
        <v>4801</v>
      </c>
      <c r="H123" s="75" t="s">
        <v>4802</v>
      </c>
      <c r="I123" s="128">
        <v>30</v>
      </c>
      <c r="J123" s="128">
        <v>0</v>
      </c>
      <c r="K123" s="128">
        <v>5</v>
      </c>
      <c r="L123" s="128">
        <v>10</v>
      </c>
      <c r="M123" s="128">
        <v>15</v>
      </c>
      <c r="N123" s="121"/>
      <c r="O123" s="121"/>
      <c r="P123" s="75" t="s">
        <v>304</v>
      </c>
      <c r="Q123" s="75"/>
      <c r="R123" s="75" t="s">
        <v>4803</v>
      </c>
      <c r="S123" s="75" t="s">
        <v>4058</v>
      </c>
      <c r="T123" s="75" t="s">
        <v>4804</v>
      </c>
      <c r="U123" s="75" t="s">
        <v>4805</v>
      </c>
      <c r="V123" s="75" t="s">
        <v>4095</v>
      </c>
      <c r="W123" s="110">
        <f t="shared" si="2"/>
        <v>3</v>
      </c>
      <c r="X123" s="110">
        <v>3</v>
      </c>
      <c r="Y123" s="78">
        <v>0</v>
      </c>
      <c r="Z123" s="75" t="s">
        <v>4806</v>
      </c>
    </row>
    <row r="124" spans="1:26" s="92" customFormat="1" ht="60">
      <c r="A124" s="102">
        <v>120</v>
      </c>
      <c r="B124" s="102" t="s">
        <v>4049</v>
      </c>
      <c r="C124" s="102" t="s">
        <v>4791</v>
      </c>
      <c r="D124" s="75" t="s">
        <v>4807</v>
      </c>
      <c r="E124" s="75">
        <v>10.050000000000001</v>
      </c>
      <c r="F124" s="104" t="s">
        <v>4808</v>
      </c>
      <c r="G124" s="75" t="s">
        <v>7067</v>
      </c>
      <c r="H124" s="75" t="s">
        <v>4809</v>
      </c>
      <c r="I124" s="128">
        <v>4</v>
      </c>
      <c r="J124" s="128">
        <v>0</v>
      </c>
      <c r="K124" s="128">
        <v>4</v>
      </c>
      <c r="L124" s="128">
        <v>0</v>
      </c>
      <c r="M124" s="128">
        <v>0</v>
      </c>
      <c r="N124" s="121"/>
      <c r="O124" s="121"/>
      <c r="P124" s="75" t="s">
        <v>436</v>
      </c>
      <c r="Q124" s="75"/>
      <c r="R124" s="75" t="s">
        <v>4058</v>
      </c>
      <c r="S124" s="75" t="s">
        <v>4058</v>
      </c>
      <c r="T124" s="75" t="s">
        <v>4810</v>
      </c>
      <c r="U124" s="75" t="s">
        <v>4060</v>
      </c>
      <c r="V124" s="75" t="s">
        <v>4095</v>
      </c>
      <c r="W124" s="110">
        <f t="shared" si="2"/>
        <v>0.5</v>
      </c>
      <c r="X124" s="110">
        <v>0.5</v>
      </c>
      <c r="Y124" s="78">
        <v>0</v>
      </c>
      <c r="Z124" s="75" t="s">
        <v>4811</v>
      </c>
    </row>
    <row r="125" spans="1:26" s="92" customFormat="1" ht="108">
      <c r="A125" s="102">
        <v>121</v>
      </c>
      <c r="B125" s="102" t="s">
        <v>4049</v>
      </c>
      <c r="C125" s="102" t="s">
        <v>4791</v>
      </c>
      <c r="D125" s="75" t="s">
        <v>4812</v>
      </c>
      <c r="E125" s="75" t="s">
        <v>4813</v>
      </c>
      <c r="F125" s="104" t="s">
        <v>4814</v>
      </c>
      <c r="G125" s="75" t="s">
        <v>4815</v>
      </c>
      <c r="H125" s="75" t="s">
        <v>4816</v>
      </c>
      <c r="I125" s="128">
        <v>60</v>
      </c>
      <c r="J125" s="128">
        <v>0</v>
      </c>
      <c r="K125" s="128">
        <v>10</v>
      </c>
      <c r="L125" s="128">
        <v>0</v>
      </c>
      <c r="M125" s="128">
        <v>50</v>
      </c>
      <c r="N125" s="121"/>
      <c r="O125" s="121"/>
      <c r="P125" s="75" t="s">
        <v>436</v>
      </c>
      <c r="Q125" s="75"/>
      <c r="R125" s="75" t="s">
        <v>4817</v>
      </c>
      <c r="S125" s="75" t="s">
        <v>4058</v>
      </c>
      <c r="T125" s="75" t="s">
        <v>4128</v>
      </c>
      <c r="U125" s="75" t="s">
        <v>4060</v>
      </c>
      <c r="V125" s="75" t="s">
        <v>4095</v>
      </c>
      <c r="W125" s="110">
        <f t="shared" si="2"/>
        <v>20</v>
      </c>
      <c r="X125" s="78">
        <v>20</v>
      </c>
      <c r="Y125" s="78">
        <v>0</v>
      </c>
      <c r="Z125" s="75" t="s">
        <v>4818</v>
      </c>
    </row>
    <row r="126" spans="1:26" s="92" customFormat="1" ht="72">
      <c r="A126" s="102">
        <v>122</v>
      </c>
      <c r="B126" s="102" t="s">
        <v>4049</v>
      </c>
      <c r="C126" s="102" t="s">
        <v>4791</v>
      </c>
      <c r="D126" s="75" t="s">
        <v>4819</v>
      </c>
      <c r="E126" s="75" t="s">
        <v>4820</v>
      </c>
      <c r="F126" s="104" t="s">
        <v>4821</v>
      </c>
      <c r="G126" s="75" t="s">
        <v>4822</v>
      </c>
      <c r="H126" s="75" t="s">
        <v>4083</v>
      </c>
      <c r="I126" s="128">
        <v>17</v>
      </c>
      <c r="J126" s="128">
        <v>0</v>
      </c>
      <c r="K126" s="128">
        <v>3</v>
      </c>
      <c r="L126" s="128">
        <v>10</v>
      </c>
      <c r="M126" s="128">
        <v>4</v>
      </c>
      <c r="N126" s="121"/>
      <c r="O126" s="111"/>
      <c r="P126" s="75" t="s">
        <v>436</v>
      </c>
      <c r="Q126" s="75"/>
      <c r="R126" s="75" t="s">
        <v>4823</v>
      </c>
      <c r="S126" s="75" t="s">
        <v>4058</v>
      </c>
      <c r="T126" s="75" t="s">
        <v>4804</v>
      </c>
      <c r="U126" s="75" t="s">
        <v>4853</v>
      </c>
      <c r="V126" s="75" t="s">
        <v>4095</v>
      </c>
      <c r="W126" s="110">
        <f t="shared" si="2"/>
        <v>1</v>
      </c>
      <c r="X126" s="78">
        <v>1</v>
      </c>
      <c r="Y126" s="78">
        <v>0</v>
      </c>
      <c r="Z126" s="75" t="s">
        <v>4824</v>
      </c>
    </row>
    <row r="127" spans="1:26" s="92" customFormat="1" ht="24">
      <c r="A127" s="102">
        <v>123</v>
      </c>
      <c r="B127" s="102" t="s">
        <v>4049</v>
      </c>
      <c r="C127" s="102" t="s">
        <v>4791</v>
      </c>
      <c r="D127" s="75" t="s">
        <v>4825</v>
      </c>
      <c r="E127" s="75" t="s">
        <v>4207</v>
      </c>
      <c r="F127" s="104" t="s">
        <v>4826</v>
      </c>
      <c r="G127" s="75" t="s">
        <v>4827</v>
      </c>
      <c r="H127" s="75" t="s">
        <v>4828</v>
      </c>
      <c r="I127" s="128">
        <v>30</v>
      </c>
      <c r="J127" s="128">
        <v>0</v>
      </c>
      <c r="K127" s="128">
        <v>24</v>
      </c>
      <c r="L127" s="128">
        <v>0</v>
      </c>
      <c r="M127" s="128">
        <v>6</v>
      </c>
      <c r="N127" s="121"/>
      <c r="O127" s="121"/>
      <c r="P127" s="75" t="s">
        <v>304</v>
      </c>
      <c r="Q127" s="75"/>
      <c r="R127" s="75" t="s">
        <v>4829</v>
      </c>
      <c r="S127" s="75" t="s">
        <v>4058</v>
      </c>
      <c r="T127" s="75" t="s">
        <v>4830</v>
      </c>
      <c r="U127" s="75" t="s">
        <v>4060</v>
      </c>
      <c r="V127" s="75" t="s">
        <v>4095</v>
      </c>
      <c r="W127" s="110">
        <f t="shared" si="2"/>
        <v>1</v>
      </c>
      <c r="X127" s="110">
        <v>1</v>
      </c>
      <c r="Y127" s="78">
        <v>0</v>
      </c>
      <c r="Z127" s="75" t="s">
        <v>4831</v>
      </c>
    </row>
    <row r="128" spans="1:26" s="92" customFormat="1" ht="24">
      <c r="A128" s="102">
        <v>124</v>
      </c>
      <c r="B128" s="102" t="s">
        <v>4049</v>
      </c>
      <c r="C128" s="102" t="s">
        <v>4791</v>
      </c>
      <c r="D128" s="75" t="s">
        <v>4832</v>
      </c>
      <c r="E128" s="75">
        <v>9.6999999999999993</v>
      </c>
      <c r="F128" s="104" t="s">
        <v>4833</v>
      </c>
      <c r="G128" s="75" t="s">
        <v>4834</v>
      </c>
      <c r="H128" s="75" t="s">
        <v>4835</v>
      </c>
      <c r="I128" s="128">
        <v>17</v>
      </c>
      <c r="J128" s="128">
        <v>0</v>
      </c>
      <c r="K128" s="128">
        <v>5</v>
      </c>
      <c r="L128" s="128">
        <v>0</v>
      </c>
      <c r="M128" s="128">
        <v>12</v>
      </c>
      <c r="N128" s="121"/>
      <c r="O128" s="121"/>
      <c r="P128" s="75" t="s">
        <v>304</v>
      </c>
      <c r="Q128" s="75"/>
      <c r="R128" s="75" t="s">
        <v>2649</v>
      </c>
      <c r="S128" s="75" t="s">
        <v>373</v>
      </c>
      <c r="T128" s="75" t="s">
        <v>374</v>
      </c>
      <c r="U128" s="75" t="s">
        <v>595</v>
      </c>
      <c r="V128" s="75" t="s">
        <v>1924</v>
      </c>
      <c r="W128" s="110">
        <f t="shared" si="2"/>
        <v>2</v>
      </c>
      <c r="X128" s="110">
        <v>2</v>
      </c>
      <c r="Y128" s="78">
        <v>0</v>
      </c>
      <c r="Z128" s="75" t="s">
        <v>4836</v>
      </c>
    </row>
    <row r="129" spans="1:26" s="92" customFormat="1" ht="60">
      <c r="A129" s="102">
        <v>125</v>
      </c>
      <c r="B129" s="102" t="s">
        <v>4049</v>
      </c>
      <c r="C129" s="102" t="s">
        <v>4791</v>
      </c>
      <c r="D129" s="75" t="s">
        <v>4837</v>
      </c>
      <c r="E129" s="75" t="s">
        <v>4799</v>
      </c>
      <c r="F129" s="104" t="s">
        <v>4838</v>
      </c>
      <c r="G129" s="75" t="s">
        <v>4839</v>
      </c>
      <c r="H129" s="75" t="s">
        <v>4840</v>
      </c>
      <c r="I129" s="128">
        <v>5</v>
      </c>
      <c r="J129" s="128">
        <v>0</v>
      </c>
      <c r="K129" s="128">
        <v>5</v>
      </c>
      <c r="L129" s="128">
        <v>0</v>
      </c>
      <c r="M129" s="128">
        <v>0</v>
      </c>
      <c r="N129" s="121"/>
      <c r="O129" s="121"/>
      <c r="P129" s="75" t="s">
        <v>436</v>
      </c>
      <c r="Q129" s="75"/>
      <c r="R129" s="75" t="s">
        <v>4841</v>
      </c>
      <c r="S129" s="75" t="s">
        <v>4058</v>
      </c>
      <c r="T129" s="75" t="s">
        <v>4842</v>
      </c>
      <c r="U129" s="75" t="s">
        <v>4060</v>
      </c>
      <c r="V129" s="75" t="s">
        <v>4095</v>
      </c>
      <c r="W129" s="110">
        <f t="shared" si="2"/>
        <v>0.5</v>
      </c>
      <c r="X129" s="78">
        <v>0.5</v>
      </c>
      <c r="Y129" s="78">
        <v>0</v>
      </c>
      <c r="Z129" s="75" t="s">
        <v>4843</v>
      </c>
    </row>
    <row r="130" spans="1:26" s="92" customFormat="1" ht="72">
      <c r="A130" s="102">
        <v>126</v>
      </c>
      <c r="B130" s="102" t="s">
        <v>4049</v>
      </c>
      <c r="C130" s="102" t="s">
        <v>4844</v>
      </c>
      <c r="D130" s="75" t="s">
        <v>4845</v>
      </c>
      <c r="E130" s="75" t="s">
        <v>4088</v>
      </c>
      <c r="F130" s="108" t="s">
        <v>4846</v>
      </c>
      <c r="G130" s="75" t="s">
        <v>4847</v>
      </c>
      <c r="H130" s="75" t="s">
        <v>4848</v>
      </c>
      <c r="I130" s="128">
        <v>398.5</v>
      </c>
      <c r="J130" s="128">
        <v>0</v>
      </c>
      <c r="K130" s="128" t="s">
        <v>4849</v>
      </c>
      <c r="L130" s="128">
        <v>398.5</v>
      </c>
      <c r="M130" s="128">
        <v>0</v>
      </c>
      <c r="N130" s="121"/>
      <c r="O130" s="121"/>
      <c r="P130" s="75" t="s">
        <v>304</v>
      </c>
      <c r="Q130" s="77"/>
      <c r="R130" s="75" t="s">
        <v>4850</v>
      </c>
      <c r="S130" s="75" t="s">
        <v>4058</v>
      </c>
      <c r="T130" s="75" t="s">
        <v>814</v>
      </c>
      <c r="U130" s="75" t="s">
        <v>595</v>
      </c>
      <c r="V130" s="75" t="s">
        <v>1924</v>
      </c>
      <c r="W130" s="110">
        <f t="shared" si="2"/>
        <v>400</v>
      </c>
      <c r="X130" s="110">
        <v>400</v>
      </c>
      <c r="Y130" s="78">
        <v>0</v>
      </c>
      <c r="Z130" s="75" t="s">
        <v>4851</v>
      </c>
    </row>
  </sheetData>
  <autoFilter ref="A4:Y56"/>
  <mergeCells count="5">
    <mergeCell ref="A1:Y2"/>
    <mergeCell ref="I3:M3"/>
    <mergeCell ref="N3:O3"/>
    <mergeCell ref="W3:Y3"/>
    <mergeCell ref="A3:E3"/>
  </mergeCells>
  <phoneticPr fontId="5" type="noConversion"/>
  <pageMargins left="0.19685039370078741" right="0.19685039370078741" top="0.35433070866141736" bottom="0.19685039370078741" header="0.19685039370078741" footer="0.19685039370078741"/>
  <pageSetup paperSize="9" scale="44" orientation="landscape" r:id="rId1"/>
  <headerFooter alignWithMargins="0"/>
  <rowBreaks count="1" manualBreakCount="1">
    <brk id="36" max="2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37"/>
  <sheetViews>
    <sheetView zoomScale="90" zoomScaleNormal="90" zoomScaleSheetLayoutView="90" workbookViewId="0">
      <selection activeCell="D10" sqref="D10"/>
    </sheetView>
  </sheetViews>
  <sheetFormatPr defaultRowHeight="13.5"/>
  <cols>
    <col min="1" max="1" width="6" customWidth="1"/>
    <col min="4" max="4" width="21.77734375" style="39" customWidth="1"/>
    <col min="5" max="5" width="12.21875" customWidth="1"/>
    <col min="6" max="6" width="43.21875" customWidth="1"/>
    <col min="7" max="7" width="26.6640625" customWidth="1"/>
    <col min="9" max="9" width="8.109375" customWidth="1"/>
    <col min="10" max="10" width="6.88671875" customWidth="1"/>
    <col min="11" max="11" width="13.33203125" bestFit="1" customWidth="1"/>
    <col min="12" max="12" width="16.109375" customWidth="1"/>
    <col min="13" max="13" width="10.77734375" bestFit="1" customWidth="1"/>
    <col min="14" max="15" width="24.5546875" customWidth="1"/>
    <col min="16" max="16" width="11.21875" customWidth="1"/>
    <col min="17" max="17" width="13.77734375" customWidth="1"/>
    <col min="18" max="18" width="12.5546875" style="72" customWidth="1"/>
    <col min="19" max="19" width="10.77734375" style="72" customWidth="1"/>
    <col min="20" max="20" width="12.109375" style="72" customWidth="1"/>
    <col min="21" max="21" width="12.5546875" style="72" customWidth="1"/>
    <col min="22" max="22" width="12.88671875" style="72" customWidth="1"/>
    <col min="26" max="26" width="8.88671875" style="72"/>
  </cols>
  <sheetData>
    <row r="1" spans="1:27" s="1" customFormat="1" ht="29.25" customHeight="1">
      <c r="A1" s="304" t="s">
        <v>47</v>
      </c>
      <c r="B1" s="304"/>
      <c r="C1" s="304"/>
      <c r="D1" s="304"/>
      <c r="E1" s="304"/>
      <c r="F1" s="304"/>
      <c r="G1" s="304"/>
      <c r="H1" s="304"/>
      <c r="I1" s="304"/>
      <c r="J1" s="304"/>
      <c r="K1" s="304"/>
      <c r="L1" s="304"/>
      <c r="M1" s="304"/>
      <c r="N1" s="304"/>
      <c r="O1" s="304"/>
      <c r="P1" s="304"/>
      <c r="Q1" s="304"/>
      <c r="R1" s="304"/>
      <c r="S1" s="304"/>
      <c r="T1" s="304"/>
      <c r="U1" s="304"/>
      <c r="V1" s="304"/>
      <c r="W1" s="304"/>
      <c r="X1" s="304"/>
      <c r="Y1" s="304"/>
      <c r="Z1" s="233"/>
    </row>
    <row r="2" spans="1:27"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57"/>
    </row>
    <row r="3" spans="1:27" s="2" customFormat="1" ht="58.5" customHeight="1">
      <c r="A3" s="311" t="s">
        <v>4989</v>
      </c>
      <c r="B3" s="311"/>
      <c r="C3" s="311"/>
      <c r="D3" s="311"/>
      <c r="E3" s="311"/>
      <c r="F3" s="138"/>
      <c r="G3" s="138"/>
      <c r="H3" s="138"/>
      <c r="I3" s="305" t="s">
        <v>4021</v>
      </c>
      <c r="J3" s="305"/>
      <c r="K3" s="305"/>
      <c r="L3" s="305"/>
      <c r="M3" s="305"/>
      <c r="N3" s="306" t="s">
        <v>6417</v>
      </c>
      <c r="O3" s="307"/>
      <c r="P3" s="40"/>
      <c r="Q3" s="40"/>
      <c r="R3" s="158"/>
      <c r="S3" s="158"/>
      <c r="T3" s="158"/>
      <c r="U3" s="158"/>
      <c r="V3" s="158"/>
      <c r="W3" s="312" t="s">
        <v>48</v>
      </c>
      <c r="X3" s="312"/>
      <c r="Y3" s="312"/>
      <c r="Z3" s="158"/>
      <c r="AA3" s="17"/>
    </row>
    <row r="4" spans="1:27" s="1" customFormat="1" ht="39.75" customHeight="1">
      <c r="A4" s="141" t="s">
        <v>49</v>
      </c>
      <c r="B4" s="141" t="s">
        <v>50</v>
      </c>
      <c r="C4" s="141" t="s">
        <v>52</v>
      </c>
      <c r="D4" s="141" t="s">
        <v>53</v>
      </c>
      <c r="E4" s="142" t="s">
        <v>54</v>
      </c>
      <c r="F4" s="141" t="s">
        <v>56</v>
      </c>
      <c r="G4" s="142" t="s">
        <v>58</v>
      </c>
      <c r="H4" s="142" t="s">
        <v>60</v>
      </c>
      <c r="I4" s="142" t="s">
        <v>61</v>
      </c>
      <c r="J4" s="142" t="s">
        <v>62</v>
      </c>
      <c r="K4" s="142" t="s">
        <v>63</v>
      </c>
      <c r="L4" s="142" t="s">
        <v>64</v>
      </c>
      <c r="M4" s="142" t="s">
        <v>65</v>
      </c>
      <c r="N4" s="142" t="s">
        <v>3356</v>
      </c>
      <c r="O4" s="142" t="s">
        <v>68</v>
      </c>
      <c r="P4" s="142" t="s">
        <v>4971</v>
      </c>
      <c r="Q4" s="142" t="s">
        <v>69</v>
      </c>
      <c r="R4" s="143" t="s">
        <v>70</v>
      </c>
      <c r="S4" s="143" t="s">
        <v>71</v>
      </c>
      <c r="T4" s="143" t="s">
        <v>72</v>
      </c>
      <c r="U4" s="143" t="s">
        <v>6415</v>
      </c>
      <c r="V4" s="143" t="s">
        <v>73</v>
      </c>
      <c r="W4" s="143" t="s">
        <v>74</v>
      </c>
      <c r="X4" s="143" t="s">
        <v>76</v>
      </c>
      <c r="Y4" s="143" t="s">
        <v>78</v>
      </c>
      <c r="Z4" s="143" t="s">
        <v>34</v>
      </c>
    </row>
    <row r="5" spans="1:27" s="30" customFormat="1" ht="60" customHeight="1">
      <c r="A5" s="155">
        <v>1</v>
      </c>
      <c r="B5" s="155" t="s">
        <v>80</v>
      </c>
      <c r="C5" s="155" t="s">
        <v>81</v>
      </c>
      <c r="D5" s="80" t="s">
        <v>82</v>
      </c>
      <c r="E5" s="80" t="s">
        <v>83</v>
      </c>
      <c r="F5" s="136" t="s">
        <v>84</v>
      </c>
      <c r="G5" s="80" t="s">
        <v>85</v>
      </c>
      <c r="H5" s="80" t="s">
        <v>86</v>
      </c>
      <c r="I5" s="81">
        <f>J5+K5+L5+M5</f>
        <v>360</v>
      </c>
      <c r="J5" s="81">
        <v>0</v>
      </c>
      <c r="K5" s="81">
        <v>300</v>
      </c>
      <c r="L5" s="81">
        <v>0</v>
      </c>
      <c r="M5" s="81">
        <v>60</v>
      </c>
      <c r="N5" s="234" t="s">
        <v>252</v>
      </c>
      <c r="O5" s="31"/>
      <c r="P5" s="80" t="s">
        <v>88</v>
      </c>
      <c r="Q5" s="80"/>
      <c r="R5" s="80" t="s">
        <v>89</v>
      </c>
      <c r="S5" s="80" t="s">
        <v>90</v>
      </c>
      <c r="T5" s="80" t="s">
        <v>92</v>
      </c>
      <c r="U5" s="80" t="s">
        <v>3435</v>
      </c>
      <c r="V5" s="80" t="s">
        <v>95</v>
      </c>
      <c r="W5" s="81">
        <f>SUM(X5:Y5)</f>
        <v>56</v>
      </c>
      <c r="X5" s="81">
        <v>55</v>
      </c>
      <c r="Y5" s="81">
        <v>1</v>
      </c>
      <c r="Z5" s="80" t="s">
        <v>97</v>
      </c>
    </row>
    <row r="6" spans="1:27" s="32" customFormat="1" ht="60" customHeight="1">
      <c r="A6" s="234">
        <v>2</v>
      </c>
      <c r="B6" s="155" t="s">
        <v>98</v>
      </c>
      <c r="C6" s="234" t="s">
        <v>99</v>
      </c>
      <c r="D6" s="234" t="s">
        <v>100</v>
      </c>
      <c r="E6" s="175" t="s">
        <v>101</v>
      </c>
      <c r="F6" s="235" t="s">
        <v>102</v>
      </c>
      <c r="G6" s="80" t="s">
        <v>104</v>
      </c>
      <c r="H6" s="175" t="s">
        <v>105</v>
      </c>
      <c r="I6" s="81">
        <f t="shared" ref="I6:I41" si="0">J6+K6+L6+M6</f>
        <v>200</v>
      </c>
      <c r="J6" s="151">
        <v>0</v>
      </c>
      <c r="K6" s="151">
        <v>200</v>
      </c>
      <c r="L6" s="151">
        <v>0</v>
      </c>
      <c r="M6" s="151">
        <v>0</v>
      </c>
      <c r="N6" s="234" t="s">
        <v>252</v>
      </c>
      <c r="O6" s="31"/>
      <c r="P6" s="175" t="s">
        <v>106</v>
      </c>
      <c r="Q6" s="80"/>
      <c r="R6" s="80" t="s">
        <v>107</v>
      </c>
      <c r="S6" s="80" t="s">
        <v>108</v>
      </c>
      <c r="T6" s="80" t="s">
        <v>110</v>
      </c>
      <c r="U6" s="80" t="s">
        <v>112</v>
      </c>
      <c r="V6" s="80" t="s">
        <v>113</v>
      </c>
      <c r="W6" s="81">
        <f t="shared" ref="W6:W15" si="1">SUM(X6:Y6)</f>
        <v>200</v>
      </c>
      <c r="X6" s="81">
        <v>180</v>
      </c>
      <c r="Y6" s="73">
        <v>20</v>
      </c>
      <c r="Z6" s="80" t="s">
        <v>115</v>
      </c>
    </row>
    <row r="7" spans="1:27" s="32" customFormat="1" ht="60" customHeight="1">
      <c r="A7" s="155">
        <v>3</v>
      </c>
      <c r="B7" s="155" t="s">
        <v>80</v>
      </c>
      <c r="C7" s="155" t="s">
        <v>81</v>
      </c>
      <c r="D7" s="80" t="s">
        <v>116</v>
      </c>
      <c r="E7" s="80" t="s">
        <v>117</v>
      </c>
      <c r="F7" s="136" t="s">
        <v>118</v>
      </c>
      <c r="G7" s="80" t="s">
        <v>119</v>
      </c>
      <c r="H7" s="80" t="s">
        <v>120</v>
      </c>
      <c r="I7" s="81">
        <f t="shared" si="0"/>
        <v>500</v>
      </c>
      <c r="J7" s="81">
        <v>0</v>
      </c>
      <c r="K7" s="81">
        <v>500</v>
      </c>
      <c r="L7" s="81">
        <v>0</v>
      </c>
      <c r="M7" s="81">
        <v>0</v>
      </c>
      <c r="N7" s="234" t="s">
        <v>252</v>
      </c>
      <c r="O7" s="31"/>
      <c r="P7" s="80" t="s">
        <v>121</v>
      </c>
      <c r="Q7" s="80"/>
      <c r="R7" s="175" t="s">
        <v>122</v>
      </c>
      <c r="S7" s="80" t="s">
        <v>90</v>
      </c>
      <c r="T7" s="80" t="s">
        <v>123</v>
      </c>
      <c r="U7" s="80" t="s">
        <v>111</v>
      </c>
      <c r="V7" s="80" t="s">
        <v>113</v>
      </c>
      <c r="W7" s="81">
        <f t="shared" si="1"/>
        <v>205</v>
      </c>
      <c r="X7" s="81">
        <v>190</v>
      </c>
      <c r="Y7" s="81">
        <v>15</v>
      </c>
      <c r="Z7" s="175" t="s">
        <v>124</v>
      </c>
    </row>
    <row r="8" spans="1:27" s="32" customFormat="1" ht="60" customHeight="1">
      <c r="A8" s="234">
        <v>4</v>
      </c>
      <c r="B8" s="155" t="s">
        <v>80</v>
      </c>
      <c r="C8" s="155" t="s">
        <v>81</v>
      </c>
      <c r="D8" s="80" t="s">
        <v>125</v>
      </c>
      <c r="E8" s="80" t="s">
        <v>126</v>
      </c>
      <c r="F8" s="136" t="s">
        <v>127</v>
      </c>
      <c r="G8" s="80" t="s">
        <v>128</v>
      </c>
      <c r="H8" s="80" t="s">
        <v>130</v>
      </c>
      <c r="I8" s="81">
        <f t="shared" si="0"/>
        <v>150</v>
      </c>
      <c r="J8" s="81">
        <v>0</v>
      </c>
      <c r="K8" s="81">
        <v>150</v>
      </c>
      <c r="L8" s="81">
        <v>0</v>
      </c>
      <c r="M8" s="81">
        <v>0</v>
      </c>
      <c r="N8" s="234" t="s">
        <v>252</v>
      </c>
      <c r="O8" s="31"/>
      <c r="P8" s="80" t="s">
        <v>87</v>
      </c>
      <c r="Q8" s="80"/>
      <c r="R8" s="175" t="s">
        <v>131</v>
      </c>
      <c r="S8" s="80" t="s">
        <v>90</v>
      </c>
      <c r="T8" s="80" t="s">
        <v>109</v>
      </c>
      <c r="U8" s="80" t="s">
        <v>132</v>
      </c>
      <c r="V8" s="80" t="s">
        <v>113</v>
      </c>
      <c r="W8" s="81">
        <f t="shared" si="1"/>
        <v>16</v>
      </c>
      <c r="X8" s="81">
        <v>16</v>
      </c>
      <c r="Y8" s="73">
        <v>0</v>
      </c>
      <c r="Z8" s="175" t="s">
        <v>133</v>
      </c>
    </row>
    <row r="9" spans="1:27" s="32" customFormat="1" ht="60" customHeight="1">
      <c r="A9" s="155">
        <v>5</v>
      </c>
      <c r="B9" s="155" t="s">
        <v>80</v>
      </c>
      <c r="C9" s="155" t="s">
        <v>134</v>
      </c>
      <c r="D9" s="80" t="s">
        <v>135</v>
      </c>
      <c r="E9" s="80" t="s">
        <v>136</v>
      </c>
      <c r="F9" s="136" t="s">
        <v>137</v>
      </c>
      <c r="G9" s="80" t="s">
        <v>103</v>
      </c>
      <c r="H9" s="80" t="s">
        <v>139</v>
      </c>
      <c r="I9" s="81">
        <f t="shared" si="0"/>
        <v>1000</v>
      </c>
      <c r="J9" s="81">
        <v>0</v>
      </c>
      <c r="K9" s="81">
        <v>1000</v>
      </c>
      <c r="L9" s="81">
        <v>0</v>
      </c>
      <c r="M9" s="81">
        <v>0</v>
      </c>
      <c r="N9" s="234" t="s">
        <v>252</v>
      </c>
      <c r="O9" s="31"/>
      <c r="P9" s="80" t="s">
        <v>141</v>
      </c>
      <c r="Q9" s="80"/>
      <c r="R9" s="175" t="s">
        <v>97</v>
      </c>
      <c r="S9" s="80" t="s">
        <v>90</v>
      </c>
      <c r="T9" s="80" t="s">
        <v>123</v>
      </c>
      <c r="U9" s="80" t="s">
        <v>112</v>
      </c>
      <c r="V9" s="80" t="s">
        <v>113</v>
      </c>
      <c r="W9" s="81">
        <f t="shared" si="1"/>
        <v>550</v>
      </c>
      <c r="X9" s="81">
        <v>500</v>
      </c>
      <c r="Y9" s="73">
        <v>50</v>
      </c>
      <c r="Z9" s="175" t="s">
        <v>97</v>
      </c>
    </row>
    <row r="10" spans="1:27" s="32" customFormat="1" ht="60" customHeight="1">
      <c r="A10" s="234">
        <v>6</v>
      </c>
      <c r="B10" s="155" t="s">
        <v>80</v>
      </c>
      <c r="C10" s="155" t="s">
        <v>28</v>
      </c>
      <c r="D10" s="80" t="s">
        <v>142</v>
      </c>
      <c r="E10" s="80" t="s">
        <v>143</v>
      </c>
      <c r="F10" s="136" t="s">
        <v>144</v>
      </c>
      <c r="G10" s="80" t="s">
        <v>104</v>
      </c>
      <c r="H10" s="80" t="s">
        <v>145</v>
      </c>
      <c r="I10" s="81">
        <f t="shared" si="0"/>
        <v>500</v>
      </c>
      <c r="J10" s="81">
        <v>0</v>
      </c>
      <c r="K10" s="81">
        <v>500</v>
      </c>
      <c r="L10" s="81">
        <v>0</v>
      </c>
      <c r="M10" s="81">
        <v>0</v>
      </c>
      <c r="N10" s="234" t="s">
        <v>252</v>
      </c>
      <c r="O10" s="31"/>
      <c r="P10" s="80" t="s">
        <v>141</v>
      </c>
      <c r="Q10" s="80"/>
      <c r="R10" s="175" t="s">
        <v>146</v>
      </c>
      <c r="S10" s="80" t="s">
        <v>90</v>
      </c>
      <c r="T10" s="80" t="s">
        <v>123</v>
      </c>
      <c r="U10" s="80" t="s">
        <v>112</v>
      </c>
      <c r="V10" s="80" t="s">
        <v>113</v>
      </c>
      <c r="W10" s="81">
        <f t="shared" si="1"/>
        <v>55</v>
      </c>
      <c r="X10" s="81">
        <v>53</v>
      </c>
      <c r="Y10" s="73">
        <v>2</v>
      </c>
      <c r="Z10" s="175" t="s">
        <v>115</v>
      </c>
    </row>
    <row r="11" spans="1:27" s="33" customFormat="1" ht="60" customHeight="1">
      <c r="A11" s="155">
        <v>7</v>
      </c>
      <c r="B11" s="155" t="s">
        <v>80</v>
      </c>
      <c r="C11" s="155" t="s">
        <v>134</v>
      </c>
      <c r="D11" s="80" t="s">
        <v>147</v>
      </c>
      <c r="E11" s="80">
        <v>10.27</v>
      </c>
      <c r="F11" s="136" t="s">
        <v>148</v>
      </c>
      <c r="G11" s="80" t="s">
        <v>104</v>
      </c>
      <c r="H11" s="80" t="s">
        <v>150</v>
      </c>
      <c r="I11" s="81">
        <f t="shared" si="0"/>
        <v>2140</v>
      </c>
      <c r="J11" s="81">
        <v>640</v>
      </c>
      <c r="K11" s="81">
        <v>800</v>
      </c>
      <c r="L11" s="81">
        <v>0</v>
      </c>
      <c r="M11" s="81">
        <v>700</v>
      </c>
      <c r="N11" s="234" t="s">
        <v>252</v>
      </c>
      <c r="O11" s="80" t="s">
        <v>154</v>
      </c>
      <c r="P11" s="80" t="s">
        <v>141</v>
      </c>
      <c r="Q11" s="80"/>
      <c r="R11" s="175" t="s">
        <v>155</v>
      </c>
      <c r="S11" s="80" t="s">
        <v>156</v>
      </c>
      <c r="T11" s="80" t="s">
        <v>123</v>
      </c>
      <c r="U11" s="80" t="s">
        <v>112</v>
      </c>
      <c r="V11" s="80" t="s">
        <v>113</v>
      </c>
      <c r="W11" s="81">
        <f t="shared" si="1"/>
        <v>1330</v>
      </c>
      <c r="X11" s="81">
        <v>900</v>
      </c>
      <c r="Y11" s="73">
        <v>430</v>
      </c>
      <c r="Z11" s="175" t="s">
        <v>97</v>
      </c>
    </row>
    <row r="12" spans="1:27" s="32" customFormat="1" ht="60" customHeight="1">
      <c r="A12" s="234">
        <v>8</v>
      </c>
      <c r="B12" s="155" t="s">
        <v>80</v>
      </c>
      <c r="C12" s="80" t="s">
        <v>157</v>
      </c>
      <c r="D12" s="80" t="s">
        <v>158</v>
      </c>
      <c r="E12" s="80" t="s">
        <v>159</v>
      </c>
      <c r="F12" s="136" t="s">
        <v>160</v>
      </c>
      <c r="G12" s="80" t="s">
        <v>161</v>
      </c>
      <c r="H12" s="80" t="s">
        <v>162</v>
      </c>
      <c r="I12" s="81">
        <f t="shared" si="0"/>
        <v>620</v>
      </c>
      <c r="J12" s="81">
        <v>0</v>
      </c>
      <c r="K12" s="81">
        <v>350</v>
      </c>
      <c r="L12" s="81">
        <v>200</v>
      </c>
      <c r="M12" s="81">
        <v>70</v>
      </c>
      <c r="N12" s="234" t="s">
        <v>252</v>
      </c>
      <c r="O12" s="31"/>
      <c r="P12" s="80" t="s">
        <v>141</v>
      </c>
      <c r="Q12" s="80"/>
      <c r="R12" s="175" t="s">
        <v>163</v>
      </c>
      <c r="S12" s="80" t="s">
        <v>108</v>
      </c>
      <c r="T12" s="80" t="s">
        <v>123</v>
      </c>
      <c r="U12" s="80" t="s">
        <v>3435</v>
      </c>
      <c r="V12" s="80" t="s">
        <v>164</v>
      </c>
      <c r="W12" s="81">
        <f t="shared" si="1"/>
        <v>850</v>
      </c>
      <c r="X12" s="81">
        <v>830</v>
      </c>
      <c r="Y12" s="81">
        <v>20</v>
      </c>
      <c r="Z12" s="175" t="s">
        <v>165</v>
      </c>
    </row>
    <row r="13" spans="1:27" s="32" customFormat="1" ht="60" customHeight="1">
      <c r="A13" s="155">
        <v>9</v>
      </c>
      <c r="B13" s="155" t="s">
        <v>166</v>
      </c>
      <c r="C13" s="80" t="s">
        <v>167</v>
      </c>
      <c r="D13" s="80" t="s">
        <v>168</v>
      </c>
      <c r="E13" s="80" t="s">
        <v>169</v>
      </c>
      <c r="F13" s="136" t="s">
        <v>170</v>
      </c>
      <c r="G13" s="80" t="s">
        <v>104</v>
      </c>
      <c r="H13" s="80" t="s">
        <v>171</v>
      </c>
      <c r="I13" s="81">
        <f t="shared" si="0"/>
        <v>120</v>
      </c>
      <c r="J13" s="81">
        <v>0</v>
      </c>
      <c r="K13" s="81">
        <v>120</v>
      </c>
      <c r="L13" s="81">
        <v>0</v>
      </c>
      <c r="M13" s="81">
        <v>0</v>
      </c>
      <c r="N13" s="234" t="s">
        <v>252</v>
      </c>
      <c r="O13" s="31"/>
      <c r="P13" s="80" t="s">
        <v>172</v>
      </c>
      <c r="Q13" s="80"/>
      <c r="R13" s="175" t="s">
        <v>173</v>
      </c>
      <c r="S13" s="80" t="s">
        <v>90</v>
      </c>
      <c r="T13" s="80" t="s">
        <v>174</v>
      </c>
      <c r="U13" s="80" t="s">
        <v>111</v>
      </c>
      <c r="V13" s="80" t="s">
        <v>94</v>
      </c>
      <c r="W13" s="81">
        <f t="shared" si="1"/>
        <v>340</v>
      </c>
      <c r="X13" s="81">
        <v>310</v>
      </c>
      <c r="Y13" s="73">
        <v>30</v>
      </c>
      <c r="Z13" s="175" t="s">
        <v>165</v>
      </c>
    </row>
    <row r="14" spans="1:27" s="30" customFormat="1" ht="60" customHeight="1">
      <c r="A14" s="234">
        <v>10</v>
      </c>
      <c r="B14" s="155" t="s">
        <v>175</v>
      </c>
      <c r="C14" s="155" t="s">
        <v>176</v>
      </c>
      <c r="D14" s="80" t="s">
        <v>177</v>
      </c>
      <c r="E14" s="80" t="s">
        <v>178</v>
      </c>
      <c r="F14" s="136" t="s">
        <v>179</v>
      </c>
      <c r="G14" s="80" t="s">
        <v>180</v>
      </c>
      <c r="H14" s="80" t="s">
        <v>181</v>
      </c>
      <c r="I14" s="81">
        <f t="shared" si="0"/>
        <v>330</v>
      </c>
      <c r="J14" s="174">
        <v>0</v>
      </c>
      <c r="K14" s="174">
        <v>180</v>
      </c>
      <c r="L14" s="174">
        <v>130</v>
      </c>
      <c r="M14" s="174">
        <v>20</v>
      </c>
      <c r="N14" s="234" t="s">
        <v>252</v>
      </c>
      <c r="O14" s="155"/>
      <c r="P14" s="80" t="s">
        <v>88</v>
      </c>
      <c r="Q14" s="80"/>
      <c r="R14" s="80" t="s">
        <v>182</v>
      </c>
      <c r="S14" s="80" t="s">
        <v>108</v>
      </c>
      <c r="T14" s="80" t="s">
        <v>184</v>
      </c>
      <c r="U14" s="80" t="s">
        <v>185</v>
      </c>
      <c r="V14" s="75" t="s">
        <v>94</v>
      </c>
      <c r="W14" s="81">
        <f t="shared" si="1"/>
        <v>996</v>
      </c>
      <c r="X14" s="81">
        <v>995</v>
      </c>
      <c r="Y14" s="81">
        <v>1</v>
      </c>
      <c r="Z14" s="80" t="s">
        <v>187</v>
      </c>
    </row>
    <row r="15" spans="1:27" s="30" customFormat="1" ht="60" customHeight="1">
      <c r="A15" s="155">
        <v>11</v>
      </c>
      <c r="B15" s="155" t="s">
        <v>98</v>
      </c>
      <c r="C15" s="155" t="s">
        <v>188</v>
      </c>
      <c r="D15" s="80" t="s">
        <v>189</v>
      </c>
      <c r="E15" s="80" t="s">
        <v>190</v>
      </c>
      <c r="F15" s="136" t="s">
        <v>191</v>
      </c>
      <c r="G15" s="80" t="s">
        <v>192</v>
      </c>
      <c r="H15" s="80" t="s">
        <v>194</v>
      </c>
      <c r="I15" s="81">
        <f t="shared" si="0"/>
        <v>50</v>
      </c>
      <c r="J15" s="81">
        <v>15</v>
      </c>
      <c r="K15" s="81">
        <v>7.5</v>
      </c>
      <c r="L15" s="81">
        <v>17.5</v>
      </c>
      <c r="M15" s="81">
        <v>10</v>
      </c>
      <c r="N15" s="234" t="s">
        <v>252</v>
      </c>
      <c r="O15" s="80"/>
      <c r="P15" s="80" t="s">
        <v>141</v>
      </c>
      <c r="Q15" s="80"/>
      <c r="R15" s="80" t="s">
        <v>196</v>
      </c>
      <c r="S15" s="80" t="s">
        <v>197</v>
      </c>
      <c r="T15" s="80" t="s">
        <v>199</v>
      </c>
      <c r="U15" s="80" t="s">
        <v>3435</v>
      </c>
      <c r="V15" s="75" t="s">
        <v>95</v>
      </c>
      <c r="W15" s="81">
        <f t="shared" si="1"/>
        <v>50</v>
      </c>
      <c r="X15" s="81">
        <v>49</v>
      </c>
      <c r="Y15" s="81">
        <v>1</v>
      </c>
      <c r="Z15" s="80" t="s">
        <v>200</v>
      </c>
    </row>
    <row r="16" spans="1:27" s="30" customFormat="1" ht="60" customHeight="1">
      <c r="A16" s="234">
        <v>12</v>
      </c>
      <c r="B16" s="155" t="s">
        <v>201</v>
      </c>
      <c r="C16" s="155" t="s">
        <v>202</v>
      </c>
      <c r="D16" s="80" t="s">
        <v>203</v>
      </c>
      <c r="E16" s="80" t="s">
        <v>205</v>
      </c>
      <c r="F16" s="136" t="s">
        <v>206</v>
      </c>
      <c r="G16" s="80" t="s">
        <v>207</v>
      </c>
      <c r="H16" s="80" t="s">
        <v>208</v>
      </c>
      <c r="I16" s="81">
        <f t="shared" si="0"/>
        <v>208</v>
      </c>
      <c r="J16" s="81">
        <v>0</v>
      </c>
      <c r="K16" s="81">
        <v>0</v>
      </c>
      <c r="L16" s="81">
        <v>70</v>
      </c>
      <c r="M16" s="81">
        <v>138</v>
      </c>
      <c r="N16" s="234" t="s">
        <v>252</v>
      </c>
      <c r="O16" s="80"/>
      <c r="P16" s="80" t="s">
        <v>209</v>
      </c>
      <c r="Q16" s="80"/>
      <c r="R16" s="80" t="s">
        <v>210</v>
      </c>
      <c r="S16" s="80" t="s">
        <v>197</v>
      </c>
      <c r="T16" s="80" t="s">
        <v>92</v>
      </c>
      <c r="U16" s="80" t="s">
        <v>211</v>
      </c>
      <c r="V16" s="80" t="s">
        <v>213</v>
      </c>
      <c r="W16" s="81">
        <f>SUM(X16:Y16)</f>
        <v>520</v>
      </c>
      <c r="X16" s="81">
        <v>520</v>
      </c>
      <c r="Y16" s="81">
        <v>0</v>
      </c>
      <c r="Z16" s="80" t="s">
        <v>214</v>
      </c>
    </row>
    <row r="17" spans="1:26" s="30" customFormat="1" ht="60" customHeight="1">
      <c r="A17" s="155">
        <v>13</v>
      </c>
      <c r="B17" s="155" t="s">
        <v>215</v>
      </c>
      <c r="C17" s="155" t="s">
        <v>216</v>
      </c>
      <c r="D17" s="80" t="s">
        <v>217</v>
      </c>
      <c r="E17" s="80" t="s">
        <v>205</v>
      </c>
      <c r="F17" s="136" t="s">
        <v>218</v>
      </c>
      <c r="G17" s="80" t="s">
        <v>219</v>
      </c>
      <c r="H17" s="80" t="s">
        <v>220</v>
      </c>
      <c r="I17" s="81">
        <f t="shared" si="0"/>
        <v>125</v>
      </c>
      <c r="J17" s="81"/>
      <c r="K17" s="81">
        <v>45</v>
      </c>
      <c r="L17" s="81">
        <v>80</v>
      </c>
      <c r="M17" s="81">
        <v>0</v>
      </c>
      <c r="N17" s="234" t="s">
        <v>252</v>
      </c>
      <c r="O17" s="80"/>
      <c r="P17" s="80" t="s">
        <v>121</v>
      </c>
      <c r="Q17" s="80"/>
      <c r="R17" s="80" t="s">
        <v>221</v>
      </c>
      <c r="S17" s="80" t="s">
        <v>197</v>
      </c>
      <c r="T17" s="80" t="s">
        <v>223</v>
      </c>
      <c r="U17" s="80" t="s">
        <v>3435</v>
      </c>
      <c r="V17" s="80" t="s">
        <v>95</v>
      </c>
      <c r="W17" s="81">
        <f>SUM(X17:Y17)</f>
        <v>414</v>
      </c>
      <c r="X17" s="81">
        <v>414</v>
      </c>
      <c r="Y17" s="81">
        <v>0</v>
      </c>
      <c r="Z17" s="80" t="s">
        <v>224</v>
      </c>
    </row>
    <row r="18" spans="1:26" s="34" customFormat="1" ht="60" customHeight="1">
      <c r="A18" s="155">
        <v>14</v>
      </c>
      <c r="B18" s="155" t="s">
        <v>80</v>
      </c>
      <c r="C18" s="155" t="s">
        <v>225</v>
      </c>
      <c r="D18" s="79" t="s">
        <v>226</v>
      </c>
      <c r="E18" s="80" t="s">
        <v>227</v>
      </c>
      <c r="F18" s="136" t="s">
        <v>228</v>
      </c>
      <c r="G18" s="80" t="s">
        <v>229</v>
      </c>
      <c r="H18" s="80" t="s">
        <v>231</v>
      </c>
      <c r="I18" s="81">
        <f t="shared" si="0"/>
        <v>20</v>
      </c>
      <c r="J18" s="81">
        <v>0</v>
      </c>
      <c r="K18" s="81">
        <v>0</v>
      </c>
      <c r="L18" s="81">
        <v>20</v>
      </c>
      <c r="M18" s="81">
        <v>0</v>
      </c>
      <c r="N18" s="234" t="s">
        <v>252</v>
      </c>
      <c r="O18" s="80"/>
      <c r="P18" s="80" t="s">
        <v>37</v>
      </c>
      <c r="Q18" s="80"/>
      <c r="R18" s="80" t="s">
        <v>232</v>
      </c>
      <c r="S18" s="80" t="s">
        <v>90</v>
      </c>
      <c r="T18" s="80" t="s">
        <v>199</v>
      </c>
      <c r="U18" s="80" t="s">
        <v>3435</v>
      </c>
      <c r="V18" s="80" t="s">
        <v>94</v>
      </c>
      <c r="W18" s="81">
        <v>900</v>
      </c>
      <c r="X18" s="81">
        <v>900</v>
      </c>
      <c r="Y18" s="81">
        <v>0</v>
      </c>
      <c r="Z18" s="80" t="s">
        <v>165</v>
      </c>
    </row>
    <row r="19" spans="1:26" s="34" customFormat="1" ht="60" customHeight="1">
      <c r="A19" s="155">
        <v>3</v>
      </c>
      <c r="B19" s="155" t="s">
        <v>233</v>
      </c>
      <c r="C19" s="155" t="s">
        <v>225</v>
      </c>
      <c r="D19" s="80" t="s">
        <v>234</v>
      </c>
      <c r="E19" s="80" t="s">
        <v>235</v>
      </c>
      <c r="F19" s="136" t="s">
        <v>236</v>
      </c>
      <c r="G19" s="80" t="s">
        <v>237</v>
      </c>
      <c r="H19" s="80" t="s">
        <v>238</v>
      </c>
      <c r="I19" s="81">
        <f t="shared" si="0"/>
        <v>20</v>
      </c>
      <c r="J19" s="81">
        <v>0</v>
      </c>
      <c r="K19" s="81">
        <v>0</v>
      </c>
      <c r="L19" s="81">
        <v>9</v>
      </c>
      <c r="M19" s="81">
        <v>11</v>
      </c>
      <c r="N19" s="234" t="s">
        <v>252</v>
      </c>
      <c r="O19" s="80"/>
      <c r="P19" s="80" t="s">
        <v>209</v>
      </c>
      <c r="Q19" s="80"/>
      <c r="R19" s="80" t="s">
        <v>239</v>
      </c>
      <c r="S19" s="80" t="s">
        <v>90</v>
      </c>
      <c r="T19" s="80" t="s">
        <v>240</v>
      </c>
      <c r="U19" s="80" t="s">
        <v>3435</v>
      </c>
      <c r="V19" s="80" t="s">
        <v>95</v>
      </c>
      <c r="W19" s="81">
        <f t="shared" ref="W19" si="2">SUM(X19:Y19)</f>
        <v>20</v>
      </c>
      <c r="X19" s="81">
        <v>20</v>
      </c>
      <c r="Y19" s="81">
        <v>0</v>
      </c>
      <c r="Z19" s="80" t="s">
        <v>165</v>
      </c>
    </row>
    <row r="20" spans="1:26" s="34" customFormat="1" ht="60" customHeight="1">
      <c r="A20" s="155">
        <v>16</v>
      </c>
      <c r="B20" s="155" t="s">
        <v>201</v>
      </c>
      <c r="C20" s="155" t="s">
        <v>241</v>
      </c>
      <c r="D20" s="80" t="s">
        <v>242</v>
      </c>
      <c r="E20" s="80" t="s">
        <v>243</v>
      </c>
      <c r="F20" s="136" t="s">
        <v>244</v>
      </c>
      <c r="G20" s="80" t="s">
        <v>245</v>
      </c>
      <c r="H20" s="80" t="s">
        <v>246</v>
      </c>
      <c r="I20" s="81">
        <f t="shared" si="0"/>
        <v>350</v>
      </c>
      <c r="J20" s="81">
        <v>0</v>
      </c>
      <c r="K20" s="81">
        <v>45</v>
      </c>
      <c r="L20" s="81">
        <v>200</v>
      </c>
      <c r="M20" s="81">
        <v>105</v>
      </c>
      <c r="N20" s="234" t="s">
        <v>252</v>
      </c>
      <c r="O20" s="80"/>
      <c r="P20" s="80" t="s">
        <v>247</v>
      </c>
      <c r="Q20" s="80" t="s">
        <v>249</v>
      </c>
      <c r="R20" s="80" t="s">
        <v>250</v>
      </c>
      <c r="S20" s="80" t="s">
        <v>90</v>
      </c>
      <c r="T20" s="80" t="s">
        <v>251</v>
      </c>
      <c r="U20" s="80" t="s">
        <v>93</v>
      </c>
      <c r="V20" s="80" t="s">
        <v>253</v>
      </c>
      <c r="W20" s="81">
        <f>SUM(X20:Y20)</f>
        <v>340</v>
      </c>
      <c r="X20" s="81">
        <v>340</v>
      </c>
      <c r="Y20" s="81">
        <v>0</v>
      </c>
      <c r="Z20" s="80" t="s">
        <v>254</v>
      </c>
    </row>
    <row r="21" spans="1:26" s="34" customFormat="1" ht="60" customHeight="1">
      <c r="A21" s="155">
        <v>17</v>
      </c>
      <c r="B21" s="155" t="s">
        <v>80</v>
      </c>
      <c r="C21" s="155" t="s">
        <v>241</v>
      </c>
      <c r="D21" s="80" t="s">
        <v>255</v>
      </c>
      <c r="E21" s="80" t="s">
        <v>256</v>
      </c>
      <c r="F21" s="136" t="s">
        <v>257</v>
      </c>
      <c r="G21" s="80" t="s">
        <v>258</v>
      </c>
      <c r="H21" s="80" t="s">
        <v>260</v>
      </c>
      <c r="I21" s="81">
        <f t="shared" si="0"/>
        <v>41</v>
      </c>
      <c r="J21" s="81">
        <v>0</v>
      </c>
      <c r="K21" s="81">
        <v>20</v>
      </c>
      <c r="L21" s="81">
        <v>0</v>
      </c>
      <c r="M21" s="81">
        <v>21</v>
      </c>
      <c r="N21" s="234" t="s">
        <v>252</v>
      </c>
      <c r="O21" s="80"/>
      <c r="P21" s="80" t="s">
        <v>261</v>
      </c>
      <c r="Q21" s="80"/>
      <c r="R21" s="80" t="s">
        <v>262</v>
      </c>
      <c r="S21" s="80" t="s">
        <v>90</v>
      </c>
      <c r="T21" s="80" t="s">
        <v>199</v>
      </c>
      <c r="U21" s="80" t="s">
        <v>3435</v>
      </c>
      <c r="V21" s="80" t="s">
        <v>264</v>
      </c>
      <c r="W21" s="81">
        <f t="shared" ref="W21" si="3">SUM(X21:Y21)</f>
        <v>104</v>
      </c>
      <c r="X21" s="81">
        <v>104</v>
      </c>
      <c r="Y21" s="81">
        <v>0</v>
      </c>
      <c r="Z21" s="80" t="s">
        <v>114</v>
      </c>
    </row>
    <row r="22" spans="1:26" s="34" customFormat="1" ht="60" customHeight="1">
      <c r="A22" s="155">
        <v>18</v>
      </c>
      <c r="B22" s="155" t="s">
        <v>98</v>
      </c>
      <c r="C22" s="155" t="s">
        <v>265</v>
      </c>
      <c r="D22" s="80" t="s">
        <v>266</v>
      </c>
      <c r="E22" s="80" t="s">
        <v>267</v>
      </c>
      <c r="F22" s="136" t="s">
        <v>268</v>
      </c>
      <c r="G22" s="80" t="s">
        <v>269</v>
      </c>
      <c r="H22" s="80" t="s">
        <v>270</v>
      </c>
      <c r="I22" s="81">
        <f t="shared" si="0"/>
        <v>30</v>
      </c>
      <c r="J22" s="81">
        <v>0</v>
      </c>
      <c r="K22" s="81">
        <v>0</v>
      </c>
      <c r="L22" s="81">
        <v>30</v>
      </c>
      <c r="M22" s="81">
        <v>0</v>
      </c>
      <c r="N22" s="234" t="s">
        <v>252</v>
      </c>
      <c r="O22" s="80"/>
      <c r="P22" s="80" t="s">
        <v>271</v>
      </c>
      <c r="Q22" s="80"/>
      <c r="R22" s="80" t="s">
        <v>273</v>
      </c>
      <c r="S22" s="80" t="s">
        <v>90</v>
      </c>
      <c r="T22" s="80" t="s">
        <v>274</v>
      </c>
      <c r="U22" s="80" t="s">
        <v>93</v>
      </c>
      <c r="V22" s="80" t="s">
        <v>164</v>
      </c>
      <c r="W22" s="81">
        <f>SUM(X22:Y22)</f>
        <v>62</v>
      </c>
      <c r="X22" s="81">
        <v>60</v>
      </c>
      <c r="Y22" s="81">
        <v>2</v>
      </c>
      <c r="Z22" s="80" t="s">
        <v>275</v>
      </c>
    </row>
    <row r="23" spans="1:26" s="34" customFormat="1" ht="60" customHeight="1">
      <c r="A23" s="155">
        <v>19</v>
      </c>
      <c r="B23" s="155" t="s">
        <v>79</v>
      </c>
      <c r="C23" s="155" t="s">
        <v>276</v>
      </c>
      <c r="D23" s="80" t="s">
        <v>277</v>
      </c>
      <c r="E23" s="80" t="s">
        <v>278</v>
      </c>
      <c r="F23" s="136" t="s">
        <v>279</v>
      </c>
      <c r="G23" s="80" t="s">
        <v>280</v>
      </c>
      <c r="H23" s="80" t="s">
        <v>281</v>
      </c>
      <c r="I23" s="81">
        <f t="shared" si="0"/>
        <v>525</v>
      </c>
      <c r="J23" s="81">
        <v>80</v>
      </c>
      <c r="K23" s="81">
        <v>45</v>
      </c>
      <c r="L23" s="81">
        <v>400</v>
      </c>
      <c r="M23" s="81">
        <v>0</v>
      </c>
      <c r="N23" s="234" t="s">
        <v>252</v>
      </c>
      <c r="O23" s="80"/>
      <c r="P23" s="80" t="s">
        <v>121</v>
      </c>
      <c r="Q23" s="80" t="s">
        <v>2277</v>
      </c>
      <c r="R23" s="80" t="s">
        <v>282</v>
      </c>
      <c r="S23" s="80" t="s">
        <v>283</v>
      </c>
      <c r="T23" s="80" t="s">
        <v>92</v>
      </c>
      <c r="U23" s="80" t="s">
        <v>3435</v>
      </c>
      <c r="V23" s="80" t="s">
        <v>284</v>
      </c>
      <c r="W23" s="81">
        <v>129</v>
      </c>
      <c r="X23" s="174">
        <v>125</v>
      </c>
      <c r="Y23" s="174">
        <v>4</v>
      </c>
      <c r="Z23" s="80" t="s">
        <v>285</v>
      </c>
    </row>
    <row r="24" spans="1:26" s="34" customFormat="1" ht="60" customHeight="1">
      <c r="A24" s="155">
        <v>20</v>
      </c>
      <c r="B24" s="155" t="s">
        <v>201</v>
      </c>
      <c r="C24" s="80" t="s">
        <v>286</v>
      </c>
      <c r="D24" s="80" t="s">
        <v>287</v>
      </c>
      <c r="E24" s="80" t="s">
        <v>205</v>
      </c>
      <c r="F24" s="136" t="s">
        <v>288</v>
      </c>
      <c r="G24" s="80" t="s">
        <v>289</v>
      </c>
      <c r="H24" s="80" t="s">
        <v>291</v>
      </c>
      <c r="I24" s="81">
        <f t="shared" si="0"/>
        <v>200</v>
      </c>
      <c r="J24" s="81">
        <v>0</v>
      </c>
      <c r="K24" s="81">
        <v>0</v>
      </c>
      <c r="L24" s="81">
        <v>200</v>
      </c>
      <c r="M24" s="81">
        <v>0</v>
      </c>
      <c r="N24" s="234" t="s">
        <v>252</v>
      </c>
      <c r="O24" s="80"/>
      <c r="P24" s="80" t="s">
        <v>141</v>
      </c>
      <c r="Q24" s="80"/>
      <c r="R24" s="80" t="s">
        <v>292</v>
      </c>
      <c r="S24" s="80" t="s">
        <v>90</v>
      </c>
      <c r="T24" s="80" t="s">
        <v>293</v>
      </c>
      <c r="U24" s="80" t="s">
        <v>294</v>
      </c>
      <c r="V24" s="80" t="s">
        <v>295</v>
      </c>
      <c r="W24" s="81">
        <f t="shared" ref="W24" si="4">SUM(X24:Y24)</f>
        <v>20</v>
      </c>
      <c r="X24" s="81">
        <v>18</v>
      </c>
      <c r="Y24" s="81">
        <v>2</v>
      </c>
      <c r="Z24" s="80" t="s">
        <v>296</v>
      </c>
    </row>
    <row r="25" spans="1:26" s="34" customFormat="1" ht="60" customHeight="1">
      <c r="A25" s="155">
        <v>21</v>
      </c>
      <c r="B25" s="155" t="s">
        <v>201</v>
      </c>
      <c r="C25" s="155" t="s">
        <v>298</v>
      </c>
      <c r="D25" s="80" t="s">
        <v>299</v>
      </c>
      <c r="E25" s="80" t="s">
        <v>300</v>
      </c>
      <c r="F25" s="136" t="s">
        <v>301</v>
      </c>
      <c r="G25" s="80" t="s">
        <v>302</v>
      </c>
      <c r="H25" s="80" t="s">
        <v>303</v>
      </c>
      <c r="I25" s="81">
        <f t="shared" si="0"/>
        <v>410</v>
      </c>
      <c r="J25" s="81">
        <v>0</v>
      </c>
      <c r="K25" s="81">
        <v>0</v>
      </c>
      <c r="L25" s="81">
        <v>330</v>
      </c>
      <c r="M25" s="81">
        <v>80</v>
      </c>
      <c r="N25" s="234" t="s">
        <v>252</v>
      </c>
      <c r="O25" s="80"/>
      <c r="P25" s="80" t="s">
        <v>304</v>
      </c>
      <c r="Q25" s="80"/>
      <c r="R25" s="80" t="s">
        <v>305</v>
      </c>
      <c r="S25" s="80" t="s">
        <v>197</v>
      </c>
      <c r="T25" s="80" t="s">
        <v>183</v>
      </c>
      <c r="U25" s="80" t="s">
        <v>3435</v>
      </c>
      <c r="V25" s="80" t="s">
        <v>95</v>
      </c>
      <c r="W25" s="81">
        <f>SUM(X25:Y25)</f>
        <v>412</v>
      </c>
      <c r="X25" s="81">
        <v>412</v>
      </c>
      <c r="Y25" s="81">
        <v>0</v>
      </c>
      <c r="Z25" s="80" t="s">
        <v>306</v>
      </c>
    </row>
    <row r="26" spans="1:26" s="34" customFormat="1" ht="60" customHeight="1">
      <c r="A26" s="155">
        <v>22</v>
      </c>
      <c r="B26" s="155" t="s">
        <v>201</v>
      </c>
      <c r="C26" s="155" t="s">
        <v>297</v>
      </c>
      <c r="D26" s="80" t="s">
        <v>307</v>
      </c>
      <c r="E26" s="80" t="s">
        <v>300</v>
      </c>
      <c r="F26" s="136" t="s">
        <v>308</v>
      </c>
      <c r="G26" s="80" t="s">
        <v>309</v>
      </c>
      <c r="H26" s="80" t="s">
        <v>310</v>
      </c>
      <c r="I26" s="81">
        <f t="shared" si="0"/>
        <v>38</v>
      </c>
      <c r="J26" s="81">
        <v>0</v>
      </c>
      <c r="K26" s="81">
        <v>0</v>
      </c>
      <c r="L26" s="81">
        <v>35</v>
      </c>
      <c r="M26" s="81">
        <v>3</v>
      </c>
      <c r="N26" s="234" t="s">
        <v>252</v>
      </c>
      <c r="O26" s="80"/>
      <c r="P26" s="80" t="s">
        <v>247</v>
      </c>
      <c r="Q26" s="80"/>
      <c r="R26" s="80" t="s">
        <v>311</v>
      </c>
      <c r="S26" s="80" t="s">
        <v>312</v>
      </c>
      <c r="T26" s="80" t="s">
        <v>313</v>
      </c>
      <c r="U26" s="80" t="s">
        <v>3435</v>
      </c>
      <c r="V26" s="80" t="s">
        <v>253</v>
      </c>
      <c r="W26" s="81">
        <v>50</v>
      </c>
      <c r="X26" s="81">
        <v>50</v>
      </c>
      <c r="Y26" s="81">
        <v>0</v>
      </c>
      <c r="Z26" s="80" t="s">
        <v>115</v>
      </c>
    </row>
    <row r="27" spans="1:26" s="34" customFormat="1" ht="60" customHeight="1">
      <c r="A27" s="155">
        <v>23</v>
      </c>
      <c r="B27" s="155" t="s">
        <v>79</v>
      </c>
      <c r="C27" s="155" t="s">
        <v>315</v>
      </c>
      <c r="D27" s="80" t="s">
        <v>316</v>
      </c>
      <c r="E27" s="80" t="s">
        <v>317</v>
      </c>
      <c r="F27" s="82" t="s">
        <v>318</v>
      </c>
      <c r="G27" s="80" t="s">
        <v>319</v>
      </c>
      <c r="H27" s="80" t="s">
        <v>320</v>
      </c>
      <c r="I27" s="81">
        <f t="shared" si="0"/>
        <v>560</v>
      </c>
      <c r="J27" s="81">
        <v>0</v>
      </c>
      <c r="K27" s="81">
        <v>100</v>
      </c>
      <c r="L27" s="81">
        <v>360</v>
      </c>
      <c r="M27" s="81">
        <v>100</v>
      </c>
      <c r="N27" s="234" t="s">
        <v>252</v>
      </c>
      <c r="O27" s="80"/>
      <c r="P27" s="80" t="s">
        <v>261</v>
      </c>
      <c r="Q27" s="80"/>
      <c r="R27" s="80" t="s">
        <v>321</v>
      </c>
      <c r="S27" s="80" t="s">
        <v>90</v>
      </c>
      <c r="T27" s="80" t="s">
        <v>322</v>
      </c>
      <c r="U27" s="80" t="s">
        <v>3435</v>
      </c>
      <c r="V27" s="80" t="s">
        <v>324</v>
      </c>
      <c r="W27" s="81">
        <f>SUM(X27:Y27)</f>
        <v>2200</v>
      </c>
      <c r="X27" s="81">
        <v>2000</v>
      </c>
      <c r="Y27" s="81">
        <v>200</v>
      </c>
      <c r="Z27" s="80" t="s">
        <v>97</v>
      </c>
    </row>
    <row r="28" spans="1:26" s="34" customFormat="1" ht="60" customHeight="1">
      <c r="A28" s="155">
        <v>24</v>
      </c>
      <c r="B28" s="155" t="s">
        <v>233</v>
      </c>
      <c r="C28" s="155" t="s">
        <v>325</v>
      </c>
      <c r="D28" s="80" t="s">
        <v>326</v>
      </c>
      <c r="E28" s="80" t="s">
        <v>327</v>
      </c>
      <c r="F28" s="136" t="s">
        <v>328</v>
      </c>
      <c r="G28" s="80" t="s">
        <v>329</v>
      </c>
      <c r="H28" s="80" t="s">
        <v>331</v>
      </c>
      <c r="I28" s="81">
        <f t="shared" si="0"/>
        <v>46</v>
      </c>
      <c r="J28" s="81">
        <v>0</v>
      </c>
      <c r="K28" s="81">
        <v>0</v>
      </c>
      <c r="L28" s="81">
        <v>12</v>
      </c>
      <c r="M28" s="81">
        <v>34</v>
      </c>
      <c r="N28" s="234" t="s">
        <v>252</v>
      </c>
      <c r="O28" s="80"/>
      <c r="P28" s="80" t="s">
        <v>141</v>
      </c>
      <c r="Q28" s="80"/>
      <c r="R28" s="80" t="s">
        <v>332</v>
      </c>
      <c r="S28" s="80" t="s">
        <v>312</v>
      </c>
      <c r="T28" s="80" t="s">
        <v>333</v>
      </c>
      <c r="U28" s="80" t="s">
        <v>3435</v>
      </c>
      <c r="V28" s="80" t="s">
        <v>334</v>
      </c>
      <c r="W28" s="81">
        <f t="shared" ref="W28" si="5">SUM(X28:Y28)</f>
        <v>1100</v>
      </c>
      <c r="X28" s="81">
        <v>1000</v>
      </c>
      <c r="Y28" s="81">
        <v>100</v>
      </c>
      <c r="Z28" s="80" t="s">
        <v>335</v>
      </c>
    </row>
    <row r="29" spans="1:26" s="35" customFormat="1" ht="60" customHeight="1">
      <c r="A29" s="144">
        <v>3</v>
      </c>
      <c r="B29" s="144" t="s">
        <v>80</v>
      </c>
      <c r="C29" s="144" t="s">
        <v>315</v>
      </c>
      <c r="D29" s="79" t="s">
        <v>336</v>
      </c>
      <c r="E29" s="185" t="s">
        <v>337</v>
      </c>
      <c r="F29" s="148" t="s">
        <v>338</v>
      </c>
      <c r="G29" s="79" t="s">
        <v>339</v>
      </c>
      <c r="H29" s="79" t="s">
        <v>340</v>
      </c>
      <c r="I29" s="81">
        <f t="shared" si="0"/>
        <v>23</v>
      </c>
      <c r="J29" s="83">
        <v>0</v>
      </c>
      <c r="K29" s="83">
        <v>0</v>
      </c>
      <c r="L29" s="83">
        <v>23</v>
      </c>
      <c r="M29" s="83">
        <v>0</v>
      </c>
      <c r="N29" s="234" t="s">
        <v>252</v>
      </c>
      <c r="O29" s="79"/>
      <c r="P29" s="79" t="s">
        <v>341</v>
      </c>
      <c r="Q29" s="80"/>
      <c r="R29" s="79" t="s">
        <v>342</v>
      </c>
      <c r="S29" s="79" t="s">
        <v>312</v>
      </c>
      <c r="T29" s="79" t="s">
        <v>344</v>
      </c>
      <c r="U29" s="79" t="s">
        <v>93</v>
      </c>
      <c r="V29" s="79" t="s">
        <v>295</v>
      </c>
      <c r="W29" s="83">
        <v>240</v>
      </c>
      <c r="X29" s="83">
        <v>240</v>
      </c>
      <c r="Y29" s="83">
        <v>0</v>
      </c>
      <c r="Z29" s="79" t="s">
        <v>133</v>
      </c>
    </row>
    <row r="30" spans="1:26" s="34" customFormat="1" ht="60" customHeight="1">
      <c r="A30" s="155">
        <v>26</v>
      </c>
      <c r="B30" s="155" t="s">
        <v>201</v>
      </c>
      <c r="C30" s="155" t="s">
        <v>345</v>
      </c>
      <c r="D30" s="80" t="s">
        <v>346</v>
      </c>
      <c r="E30" s="80" t="s">
        <v>348</v>
      </c>
      <c r="F30" s="136" t="s">
        <v>349</v>
      </c>
      <c r="G30" s="80" t="s">
        <v>350</v>
      </c>
      <c r="H30" s="80" t="s">
        <v>352</v>
      </c>
      <c r="I30" s="81">
        <f t="shared" si="0"/>
        <v>140</v>
      </c>
      <c r="J30" s="81">
        <v>0</v>
      </c>
      <c r="K30" s="81">
        <v>0</v>
      </c>
      <c r="L30" s="81">
        <v>110</v>
      </c>
      <c r="M30" s="81">
        <v>30</v>
      </c>
      <c r="N30" s="234" t="s">
        <v>252</v>
      </c>
      <c r="O30" s="80"/>
      <c r="P30" s="80" t="s">
        <v>247</v>
      </c>
      <c r="Q30" s="80"/>
      <c r="R30" s="80" t="s">
        <v>353</v>
      </c>
      <c r="S30" s="80" t="s">
        <v>312</v>
      </c>
      <c r="T30" s="80" t="s">
        <v>354</v>
      </c>
      <c r="U30" s="80" t="s">
        <v>355</v>
      </c>
      <c r="V30" s="80" t="s">
        <v>95</v>
      </c>
      <c r="W30" s="81">
        <f>SUM(X30:Y30)</f>
        <v>61</v>
      </c>
      <c r="X30" s="81">
        <v>48</v>
      </c>
      <c r="Y30" s="81">
        <v>13</v>
      </c>
      <c r="Z30" s="80" t="s">
        <v>356</v>
      </c>
    </row>
    <row r="31" spans="1:26" s="34" customFormat="1" ht="60" customHeight="1">
      <c r="A31" s="155">
        <v>27</v>
      </c>
      <c r="B31" s="155" t="s">
        <v>201</v>
      </c>
      <c r="C31" s="155" t="s">
        <v>357</v>
      </c>
      <c r="D31" s="80" t="s">
        <v>358</v>
      </c>
      <c r="E31" s="80" t="s">
        <v>359</v>
      </c>
      <c r="F31" s="136" t="s">
        <v>360</v>
      </c>
      <c r="G31" s="80" t="s">
        <v>361</v>
      </c>
      <c r="H31" s="80" t="s">
        <v>362</v>
      </c>
      <c r="I31" s="81">
        <f t="shared" si="0"/>
        <v>60</v>
      </c>
      <c r="J31" s="81">
        <v>0</v>
      </c>
      <c r="K31" s="81">
        <v>0</v>
      </c>
      <c r="L31" s="81">
        <v>60</v>
      </c>
      <c r="M31" s="81">
        <v>0</v>
      </c>
      <c r="N31" s="234" t="s">
        <v>252</v>
      </c>
      <c r="O31" s="80"/>
      <c r="P31" s="80" t="s">
        <v>247</v>
      </c>
      <c r="Q31" s="80"/>
      <c r="R31" s="80" t="s">
        <v>363</v>
      </c>
      <c r="S31" s="80" t="s">
        <v>90</v>
      </c>
      <c r="T31" s="80" t="s">
        <v>364</v>
      </c>
      <c r="U31" s="80" t="s">
        <v>294</v>
      </c>
      <c r="V31" s="80" t="s">
        <v>95</v>
      </c>
      <c r="W31" s="81">
        <f t="shared" ref="W31" si="6">SUM(X31:Y31)</f>
        <v>4</v>
      </c>
      <c r="X31" s="81">
        <v>4</v>
      </c>
      <c r="Y31" s="81">
        <v>0</v>
      </c>
      <c r="Z31" s="80" t="s">
        <v>365</v>
      </c>
    </row>
    <row r="32" spans="1:26" s="34" customFormat="1" ht="60" customHeight="1">
      <c r="A32" s="155">
        <v>28</v>
      </c>
      <c r="B32" s="155" t="s">
        <v>201</v>
      </c>
      <c r="C32" s="155" t="s">
        <v>366</v>
      </c>
      <c r="D32" s="80" t="s">
        <v>367</v>
      </c>
      <c r="E32" s="80" t="s">
        <v>368</v>
      </c>
      <c r="F32" s="136" t="s">
        <v>369</v>
      </c>
      <c r="G32" s="80" t="s">
        <v>370</v>
      </c>
      <c r="H32" s="80" t="s">
        <v>371</v>
      </c>
      <c r="I32" s="81">
        <f t="shared" si="0"/>
        <v>70</v>
      </c>
      <c r="J32" s="81">
        <v>0</v>
      </c>
      <c r="K32" s="81">
        <v>20</v>
      </c>
      <c r="L32" s="81">
        <v>12.9</v>
      </c>
      <c r="M32" s="81">
        <v>37.1</v>
      </c>
      <c r="N32" s="234" t="s">
        <v>252</v>
      </c>
      <c r="O32" s="80"/>
      <c r="P32" s="80" t="s">
        <v>304</v>
      </c>
      <c r="Q32" s="80"/>
      <c r="R32" s="80" t="s">
        <v>372</v>
      </c>
      <c r="S32" s="80" t="s">
        <v>373</v>
      </c>
      <c r="T32" s="80" t="s">
        <v>374</v>
      </c>
      <c r="U32" s="80" t="s">
        <v>375</v>
      </c>
      <c r="V32" s="80" t="s">
        <v>376</v>
      </c>
      <c r="W32" s="81">
        <v>16</v>
      </c>
      <c r="X32" s="81">
        <v>16</v>
      </c>
      <c r="Y32" s="81">
        <v>0</v>
      </c>
      <c r="Z32" s="80" t="s">
        <v>377</v>
      </c>
    </row>
    <row r="33" spans="1:26" s="34" customFormat="1" ht="60" customHeight="1">
      <c r="A33" s="155">
        <v>29</v>
      </c>
      <c r="B33" s="155" t="s">
        <v>80</v>
      </c>
      <c r="C33" s="80" t="s">
        <v>378</v>
      </c>
      <c r="D33" s="80" t="s">
        <v>379</v>
      </c>
      <c r="E33" s="80" t="s">
        <v>380</v>
      </c>
      <c r="F33" s="136" t="s">
        <v>381</v>
      </c>
      <c r="G33" s="80" t="s">
        <v>382</v>
      </c>
      <c r="H33" s="80" t="s">
        <v>383</v>
      </c>
      <c r="I33" s="81">
        <f t="shared" si="0"/>
        <v>320</v>
      </c>
      <c r="J33" s="174">
        <v>100</v>
      </c>
      <c r="K33" s="174">
        <v>0</v>
      </c>
      <c r="L33" s="174">
        <v>220</v>
      </c>
      <c r="M33" s="174">
        <v>0</v>
      </c>
      <c r="N33" s="155" t="s">
        <v>152</v>
      </c>
      <c r="O33" s="80" t="s">
        <v>153</v>
      </c>
      <c r="P33" s="80" t="s">
        <v>304</v>
      </c>
      <c r="Q33" s="80"/>
      <c r="R33" s="80" t="s">
        <v>384</v>
      </c>
      <c r="S33" s="80" t="s">
        <v>197</v>
      </c>
      <c r="T33" s="80" t="s">
        <v>386</v>
      </c>
      <c r="U33" s="80" t="s">
        <v>3435</v>
      </c>
      <c r="V33" s="80" t="s">
        <v>387</v>
      </c>
      <c r="W33" s="81">
        <f t="shared" ref="W33" si="7">SUM(X33:Y33)</f>
        <v>21</v>
      </c>
      <c r="X33" s="81">
        <v>21</v>
      </c>
      <c r="Y33" s="81">
        <v>0</v>
      </c>
      <c r="Z33" s="80" t="s">
        <v>388</v>
      </c>
    </row>
    <row r="34" spans="1:26" s="34" customFormat="1" ht="60" customHeight="1">
      <c r="A34" s="155">
        <v>30</v>
      </c>
      <c r="B34" s="155" t="s">
        <v>201</v>
      </c>
      <c r="C34" s="155" t="s">
        <v>390</v>
      </c>
      <c r="D34" s="80" t="s">
        <v>391</v>
      </c>
      <c r="E34" s="80" t="s">
        <v>392</v>
      </c>
      <c r="F34" s="136" t="s">
        <v>393</v>
      </c>
      <c r="G34" s="80" t="s">
        <v>394</v>
      </c>
      <c r="H34" s="80" t="s">
        <v>395</v>
      </c>
      <c r="I34" s="81">
        <f t="shared" si="0"/>
        <v>250</v>
      </c>
      <c r="J34" s="81">
        <v>0</v>
      </c>
      <c r="K34" s="81">
        <v>0</v>
      </c>
      <c r="L34" s="81">
        <v>250</v>
      </c>
      <c r="M34" s="81">
        <v>0</v>
      </c>
      <c r="N34" s="234" t="s">
        <v>252</v>
      </c>
      <c r="O34" s="80"/>
      <c r="P34" s="80" t="s">
        <v>261</v>
      </c>
      <c r="Q34" s="80"/>
      <c r="R34" s="80" t="s">
        <v>396</v>
      </c>
      <c r="S34" s="80" t="s">
        <v>373</v>
      </c>
      <c r="T34" s="80" t="s">
        <v>397</v>
      </c>
      <c r="U34" s="80" t="s">
        <v>3435</v>
      </c>
      <c r="V34" s="80" t="s">
        <v>213</v>
      </c>
      <c r="W34" s="81">
        <v>200</v>
      </c>
      <c r="X34" s="81">
        <v>200</v>
      </c>
      <c r="Y34" s="81">
        <v>0</v>
      </c>
      <c r="Z34" s="80" t="s">
        <v>398</v>
      </c>
    </row>
    <row r="35" spans="1:26" s="34" customFormat="1" ht="60" customHeight="1">
      <c r="A35" s="155">
        <v>31</v>
      </c>
      <c r="B35" s="155" t="s">
        <v>201</v>
      </c>
      <c r="C35" s="155" t="s">
        <v>389</v>
      </c>
      <c r="D35" s="80" t="s">
        <v>399</v>
      </c>
      <c r="E35" s="80" t="s">
        <v>400</v>
      </c>
      <c r="F35" s="136" t="s">
        <v>401</v>
      </c>
      <c r="G35" s="80" t="s">
        <v>402</v>
      </c>
      <c r="H35" s="80" t="s">
        <v>403</v>
      </c>
      <c r="I35" s="81">
        <f t="shared" si="0"/>
        <v>40</v>
      </c>
      <c r="J35" s="81">
        <v>0</v>
      </c>
      <c r="K35" s="81">
        <v>0</v>
      </c>
      <c r="L35" s="81">
        <v>40</v>
      </c>
      <c r="M35" s="81">
        <v>0</v>
      </c>
      <c r="N35" s="234" t="s">
        <v>252</v>
      </c>
      <c r="O35" s="80"/>
      <c r="P35" s="80" t="s">
        <v>271</v>
      </c>
      <c r="Q35" s="80"/>
      <c r="R35" s="80" t="s">
        <v>404</v>
      </c>
      <c r="S35" s="80" t="s">
        <v>373</v>
      </c>
      <c r="T35" s="80" t="s">
        <v>92</v>
      </c>
      <c r="U35" s="80" t="s">
        <v>3435</v>
      </c>
      <c r="V35" s="80" t="s">
        <v>213</v>
      </c>
      <c r="W35" s="81">
        <v>40</v>
      </c>
      <c r="X35" s="81">
        <v>40</v>
      </c>
      <c r="Y35" s="81">
        <v>0</v>
      </c>
      <c r="Z35" s="80" t="s">
        <v>405</v>
      </c>
    </row>
    <row r="36" spans="1:26" s="34" customFormat="1" ht="60" customHeight="1">
      <c r="A36" s="155">
        <v>32</v>
      </c>
      <c r="B36" s="155" t="s">
        <v>79</v>
      </c>
      <c r="C36" s="155" t="s">
        <v>406</v>
      </c>
      <c r="D36" s="80" t="s">
        <v>407</v>
      </c>
      <c r="E36" s="80" t="s">
        <v>408</v>
      </c>
      <c r="F36" s="82" t="s">
        <v>409</v>
      </c>
      <c r="G36" s="80" t="s">
        <v>410</v>
      </c>
      <c r="H36" s="80" t="s">
        <v>411</v>
      </c>
      <c r="I36" s="81">
        <f t="shared" si="0"/>
        <v>180</v>
      </c>
      <c r="J36" s="81">
        <v>0</v>
      </c>
      <c r="K36" s="81">
        <v>0</v>
      </c>
      <c r="L36" s="81">
        <v>180</v>
      </c>
      <c r="M36" s="81">
        <v>0</v>
      </c>
      <c r="N36" s="234" t="s">
        <v>252</v>
      </c>
      <c r="O36" s="80" t="s">
        <v>412</v>
      </c>
      <c r="P36" s="82" t="s">
        <v>413</v>
      </c>
      <c r="Q36" s="80"/>
      <c r="R36" s="80" t="s">
        <v>414</v>
      </c>
      <c r="S36" s="80" t="s">
        <v>3430</v>
      </c>
      <c r="T36" s="80" t="s">
        <v>415</v>
      </c>
      <c r="U36" s="80" t="s">
        <v>3435</v>
      </c>
      <c r="V36" s="80" t="s">
        <v>416</v>
      </c>
      <c r="W36" s="81">
        <v>0</v>
      </c>
      <c r="X36" s="81">
        <v>0</v>
      </c>
      <c r="Y36" s="81">
        <v>0</v>
      </c>
      <c r="Z36" s="80" t="s">
        <v>418</v>
      </c>
    </row>
    <row r="37" spans="1:26" s="34" customFormat="1" ht="60" customHeight="1">
      <c r="A37" s="155">
        <v>33</v>
      </c>
      <c r="B37" s="155" t="s">
        <v>80</v>
      </c>
      <c r="C37" s="155" t="s">
        <v>419</v>
      </c>
      <c r="D37" s="80" t="s">
        <v>420</v>
      </c>
      <c r="E37" s="80" t="s">
        <v>348</v>
      </c>
      <c r="F37" s="136" t="s">
        <v>421</v>
      </c>
      <c r="G37" s="80" t="s">
        <v>422</v>
      </c>
      <c r="H37" s="80" t="s">
        <v>424</v>
      </c>
      <c r="I37" s="81">
        <f t="shared" si="0"/>
        <v>500</v>
      </c>
      <c r="J37" s="81">
        <v>80</v>
      </c>
      <c r="K37" s="81">
        <v>45</v>
      </c>
      <c r="L37" s="81">
        <v>375</v>
      </c>
      <c r="M37" s="81">
        <v>0</v>
      </c>
      <c r="N37" s="80" t="s">
        <v>425</v>
      </c>
      <c r="O37" s="80" t="s">
        <v>426</v>
      </c>
      <c r="P37" s="80" t="s">
        <v>304</v>
      </c>
      <c r="Q37" s="80" t="s">
        <v>2277</v>
      </c>
      <c r="R37" s="80" t="s">
        <v>427</v>
      </c>
      <c r="S37" s="80" t="s">
        <v>90</v>
      </c>
      <c r="T37" s="80" t="s">
        <v>428</v>
      </c>
      <c r="U37" s="80" t="s">
        <v>3390</v>
      </c>
      <c r="V37" s="80" t="s">
        <v>213</v>
      </c>
      <c r="W37" s="81">
        <f>SUM(X37:Y37)</f>
        <v>220</v>
      </c>
      <c r="X37" s="81">
        <v>220</v>
      </c>
      <c r="Y37" s="81">
        <v>0</v>
      </c>
      <c r="Z37" s="80" t="s">
        <v>429</v>
      </c>
    </row>
    <row r="38" spans="1:26" s="34" customFormat="1" ht="60" customHeight="1">
      <c r="A38" s="155">
        <v>34</v>
      </c>
      <c r="B38" s="155" t="s">
        <v>201</v>
      </c>
      <c r="C38" s="155" t="s">
        <v>430</v>
      </c>
      <c r="D38" s="80" t="s">
        <v>431</v>
      </c>
      <c r="E38" s="80" t="s">
        <v>432</v>
      </c>
      <c r="F38" s="136" t="s">
        <v>433</v>
      </c>
      <c r="G38" s="80" t="s">
        <v>434</v>
      </c>
      <c r="H38" s="80" t="s">
        <v>435</v>
      </c>
      <c r="I38" s="81">
        <f t="shared" si="0"/>
        <v>275</v>
      </c>
      <c r="J38" s="81">
        <v>0</v>
      </c>
      <c r="K38" s="81">
        <v>0</v>
      </c>
      <c r="L38" s="81">
        <v>260</v>
      </c>
      <c r="M38" s="81">
        <v>15</v>
      </c>
      <c r="N38" s="234" t="s">
        <v>252</v>
      </c>
      <c r="O38" s="80"/>
      <c r="P38" s="80" t="s">
        <v>247</v>
      </c>
      <c r="Q38" s="80"/>
      <c r="R38" s="80" t="s">
        <v>437</v>
      </c>
      <c r="S38" s="80" t="s">
        <v>90</v>
      </c>
      <c r="T38" s="80" t="s">
        <v>92</v>
      </c>
      <c r="U38" s="80" t="s">
        <v>3436</v>
      </c>
      <c r="V38" s="80" t="s">
        <v>438</v>
      </c>
      <c r="W38" s="81">
        <f>SUM(X38:Y38)</f>
        <v>100</v>
      </c>
      <c r="X38" s="81">
        <v>95</v>
      </c>
      <c r="Y38" s="81">
        <v>5</v>
      </c>
      <c r="Z38" s="80" t="s">
        <v>439</v>
      </c>
    </row>
    <row r="39" spans="1:26" s="34" customFormat="1" ht="60" customHeight="1">
      <c r="A39" s="155">
        <v>35</v>
      </c>
      <c r="B39" s="155" t="s">
        <v>201</v>
      </c>
      <c r="C39" s="155" t="s">
        <v>440</v>
      </c>
      <c r="D39" s="80" t="s">
        <v>441</v>
      </c>
      <c r="E39" s="80" t="s">
        <v>442</v>
      </c>
      <c r="F39" s="136" t="s">
        <v>443</v>
      </c>
      <c r="G39" s="80" t="s">
        <v>444</v>
      </c>
      <c r="H39" s="80" t="s">
        <v>445</v>
      </c>
      <c r="I39" s="81">
        <f t="shared" si="0"/>
        <v>120</v>
      </c>
      <c r="J39" s="81">
        <v>0</v>
      </c>
      <c r="K39" s="81">
        <v>0</v>
      </c>
      <c r="L39" s="81">
        <v>60</v>
      </c>
      <c r="M39" s="81">
        <v>60</v>
      </c>
      <c r="N39" s="234" t="s">
        <v>252</v>
      </c>
      <c r="O39" s="80"/>
      <c r="P39" s="80" t="s">
        <v>209</v>
      </c>
      <c r="Q39" s="155"/>
      <c r="R39" s="80" t="s">
        <v>446</v>
      </c>
      <c r="S39" s="80" t="s">
        <v>90</v>
      </c>
      <c r="T39" s="80" t="s">
        <v>223</v>
      </c>
      <c r="U39" s="80" t="s">
        <v>3435</v>
      </c>
      <c r="V39" s="80" t="s">
        <v>447</v>
      </c>
      <c r="W39" s="81">
        <f>SUM(X39:Y39)</f>
        <v>60</v>
      </c>
      <c r="X39" s="81">
        <v>60</v>
      </c>
      <c r="Y39" s="81">
        <v>0</v>
      </c>
      <c r="Z39" s="80" t="s">
        <v>448</v>
      </c>
    </row>
    <row r="40" spans="1:26" s="34" customFormat="1" ht="60" customHeight="1">
      <c r="A40" s="155">
        <v>36</v>
      </c>
      <c r="B40" s="155" t="s">
        <v>201</v>
      </c>
      <c r="C40" s="155" t="s">
        <v>449</v>
      </c>
      <c r="D40" s="80" t="s">
        <v>450</v>
      </c>
      <c r="E40" s="80" t="s">
        <v>451</v>
      </c>
      <c r="F40" s="136" t="s">
        <v>452</v>
      </c>
      <c r="G40" s="80" t="s">
        <v>453</v>
      </c>
      <c r="H40" s="80" t="s">
        <v>454</v>
      </c>
      <c r="I40" s="81">
        <f t="shared" si="0"/>
        <v>200</v>
      </c>
      <c r="J40" s="81">
        <v>0</v>
      </c>
      <c r="K40" s="81">
        <v>0</v>
      </c>
      <c r="L40" s="81">
        <v>100</v>
      </c>
      <c r="M40" s="81">
        <v>100</v>
      </c>
      <c r="N40" s="234" t="s">
        <v>252</v>
      </c>
      <c r="O40" s="80"/>
      <c r="P40" s="80" t="s">
        <v>209</v>
      </c>
      <c r="Q40" s="155"/>
      <c r="R40" s="80" t="s">
        <v>455</v>
      </c>
      <c r="S40" s="80" t="s">
        <v>90</v>
      </c>
      <c r="T40" s="80" t="s">
        <v>456</v>
      </c>
      <c r="U40" s="80" t="s">
        <v>3435</v>
      </c>
      <c r="V40" s="80" t="s">
        <v>457</v>
      </c>
      <c r="W40" s="81">
        <f t="shared" ref="W40" si="8">SUM(X40:Y40)</f>
        <v>420</v>
      </c>
      <c r="X40" s="81">
        <v>415</v>
      </c>
      <c r="Y40" s="81">
        <v>5</v>
      </c>
      <c r="Z40" s="80" t="s">
        <v>458</v>
      </c>
    </row>
    <row r="41" spans="1:26" s="36" customFormat="1" ht="60" customHeight="1">
      <c r="A41" s="155">
        <v>37</v>
      </c>
      <c r="B41" s="155" t="s">
        <v>79</v>
      </c>
      <c r="C41" s="155" t="s">
        <v>449</v>
      </c>
      <c r="D41" s="80" t="s">
        <v>459</v>
      </c>
      <c r="E41" s="80" t="s">
        <v>460</v>
      </c>
      <c r="F41" s="136" t="s">
        <v>461</v>
      </c>
      <c r="G41" s="80" t="s">
        <v>462</v>
      </c>
      <c r="H41" s="80" t="s">
        <v>463</v>
      </c>
      <c r="I41" s="81">
        <f t="shared" si="0"/>
        <v>80</v>
      </c>
      <c r="J41" s="81">
        <v>0</v>
      </c>
      <c r="K41" s="81">
        <v>0</v>
      </c>
      <c r="L41" s="81">
        <v>80</v>
      </c>
      <c r="M41" s="81">
        <v>0</v>
      </c>
      <c r="N41" s="80" t="s">
        <v>252</v>
      </c>
      <c r="O41" s="80"/>
      <c r="P41" s="80" t="s">
        <v>209</v>
      </c>
      <c r="Q41" s="155"/>
      <c r="R41" s="80" t="s">
        <v>464</v>
      </c>
      <c r="S41" s="80" t="s">
        <v>90</v>
      </c>
      <c r="T41" s="80" t="s">
        <v>465</v>
      </c>
      <c r="U41" s="80" t="s">
        <v>3435</v>
      </c>
      <c r="V41" s="80" t="s">
        <v>466</v>
      </c>
      <c r="W41" s="81">
        <f>SUM(X41:Y41)</f>
        <v>225</v>
      </c>
      <c r="X41" s="81">
        <v>224</v>
      </c>
      <c r="Y41" s="81">
        <v>1</v>
      </c>
      <c r="Z41" s="80" t="s">
        <v>467</v>
      </c>
    </row>
    <row r="42" spans="1:26" s="37" customFormat="1" ht="25.5" customHeight="1">
      <c r="D42" s="38"/>
      <c r="R42" s="71"/>
      <c r="S42" s="71"/>
      <c r="T42" s="71"/>
      <c r="U42" s="71"/>
      <c r="V42" s="71"/>
      <c r="Z42" s="71"/>
    </row>
    <row r="43" spans="1:26" ht="25.5" customHeight="1"/>
    <row r="44" spans="1:26" ht="25.5" customHeight="1"/>
    <row r="45" spans="1:26" ht="25.5" customHeight="1"/>
    <row r="46" spans="1:26" ht="25.5" customHeight="1"/>
    <row r="47" spans="1:26" ht="25.5" customHeight="1"/>
    <row r="48" spans="1:26" ht="25.5" customHeight="1"/>
    <row r="49" ht="25.5" customHeight="1"/>
    <row r="50" ht="25.5" customHeight="1"/>
    <row r="51" ht="25.5" customHeight="1"/>
    <row r="52" ht="25.5" customHeight="1"/>
    <row r="53" ht="25.5" customHeight="1"/>
    <row r="54" ht="25.5" customHeight="1"/>
    <row r="55" ht="25.5" customHeight="1"/>
    <row r="56" ht="25.5" customHeight="1"/>
    <row r="57" ht="25.5" customHeight="1"/>
    <row r="58" ht="38.25" customHeight="1"/>
    <row r="59" ht="38.25" customHeight="1"/>
    <row r="60" ht="38.25" customHeight="1"/>
    <row r="61" ht="38.25" customHeight="1"/>
    <row r="62" ht="38.25" customHeight="1"/>
    <row r="63" ht="38.25" customHeight="1"/>
    <row r="64" ht="38.25" customHeight="1"/>
    <row r="65" ht="38.25" customHeight="1"/>
    <row r="66" ht="38.25" customHeight="1"/>
    <row r="67" ht="38.25" customHeight="1"/>
    <row r="68" ht="38.25" customHeight="1"/>
    <row r="69" ht="38.25" customHeight="1"/>
    <row r="70" ht="38.25" customHeight="1"/>
    <row r="71" ht="38.25" customHeight="1"/>
    <row r="72" ht="38.25" customHeight="1"/>
    <row r="73" ht="38.25" customHeight="1"/>
    <row r="74" ht="38.25" customHeight="1"/>
    <row r="75" ht="38.25" customHeight="1"/>
    <row r="76" ht="38.25" customHeight="1"/>
    <row r="77" ht="38.25" customHeight="1"/>
    <row r="78" ht="38.25" customHeight="1"/>
    <row r="79" ht="38.25" customHeight="1"/>
    <row r="80" ht="38.25" customHeight="1"/>
    <row r="81" ht="38.25" customHeight="1"/>
    <row r="82" ht="38.25" customHeight="1"/>
    <row r="83" ht="38.25" customHeight="1"/>
    <row r="84" ht="38.25" customHeight="1"/>
    <row r="85" ht="38.25" customHeight="1"/>
    <row r="86" ht="38.25" customHeight="1"/>
    <row r="87" ht="38.25" customHeight="1"/>
    <row r="88" ht="38.25" customHeight="1"/>
    <row r="89" ht="38.25" customHeight="1"/>
    <row r="90" ht="38.25" customHeight="1"/>
    <row r="91" ht="38.25" customHeight="1"/>
    <row r="92" ht="38.25" customHeight="1"/>
    <row r="93" ht="38.25" customHeight="1"/>
    <row r="94" ht="38.25" customHeight="1"/>
    <row r="95" ht="38.25" customHeight="1"/>
    <row r="96" ht="38.25" customHeight="1"/>
    <row r="97" ht="38.25" customHeight="1"/>
    <row r="98" ht="38.25" customHeight="1"/>
    <row r="99" ht="38.25" customHeight="1"/>
    <row r="100" ht="38.25" customHeight="1"/>
    <row r="101" ht="38.25" customHeight="1"/>
    <row r="102" ht="38.25" customHeight="1"/>
    <row r="103" ht="38.25" customHeight="1"/>
    <row r="104" ht="38.25" customHeight="1"/>
    <row r="105" ht="38.25" customHeight="1"/>
    <row r="106" ht="38.25" customHeight="1"/>
    <row r="107" ht="38.25" customHeight="1"/>
    <row r="108" ht="38.25" customHeight="1"/>
    <row r="109" ht="38.25" customHeight="1"/>
    <row r="110" ht="38.25" customHeight="1"/>
    <row r="111" ht="38.25" customHeight="1"/>
    <row r="112" ht="38.25" customHeight="1"/>
    <row r="113" ht="38.25" customHeight="1"/>
    <row r="114" ht="38.25" customHeight="1"/>
    <row r="115" ht="38.25" customHeight="1"/>
    <row r="116" ht="38.25" customHeight="1"/>
    <row r="117" ht="38.25" customHeight="1"/>
    <row r="118" ht="38.25" customHeight="1"/>
    <row r="119" ht="38.25" customHeight="1"/>
    <row r="120" ht="38.25" customHeight="1"/>
    <row r="121" ht="38.25" customHeight="1"/>
    <row r="122" ht="38.25" customHeight="1"/>
    <row r="123" ht="38.25" customHeight="1"/>
    <row r="124" ht="38.25" customHeight="1"/>
    <row r="125" ht="38.25" customHeight="1"/>
    <row r="126" ht="38.25" customHeight="1"/>
    <row r="127" ht="38.25" customHeight="1"/>
    <row r="128" ht="38.25" customHeight="1"/>
    <row r="129" ht="38.25" customHeight="1"/>
    <row r="130" ht="38.25" customHeight="1"/>
    <row r="131" ht="38.25" customHeight="1"/>
    <row r="132" ht="38.25" customHeight="1"/>
    <row r="133" ht="38.25" customHeight="1"/>
    <row r="134" ht="38.25" customHeight="1"/>
    <row r="135" ht="38.25" customHeight="1"/>
    <row r="136" ht="38.25" customHeight="1"/>
    <row r="137" ht="38.25" customHeight="1"/>
    <row r="138" ht="38.25" customHeight="1"/>
    <row r="139" ht="38.25" customHeight="1"/>
    <row r="140" ht="38.25" customHeight="1"/>
    <row r="141" ht="38.25" customHeight="1"/>
    <row r="142" ht="38.25" customHeight="1"/>
    <row r="143" ht="38.25" customHeight="1"/>
    <row r="144" ht="38.25" customHeight="1"/>
    <row r="145" ht="38.25" customHeight="1"/>
    <row r="146" ht="38.25" customHeight="1"/>
    <row r="147" ht="38.25" customHeight="1"/>
    <row r="148" ht="38.25" customHeight="1"/>
    <row r="149" ht="38.25" customHeight="1"/>
    <row r="150" ht="38.25" customHeight="1"/>
    <row r="151" ht="38.25" customHeight="1"/>
    <row r="152" ht="38.25" customHeight="1"/>
    <row r="153" ht="38.25" customHeight="1"/>
    <row r="154" ht="38.25" customHeight="1"/>
    <row r="155" ht="38.25" customHeight="1"/>
    <row r="156" ht="38.25" customHeight="1"/>
    <row r="157" ht="38.25" customHeight="1"/>
    <row r="158" ht="38.25" customHeight="1"/>
    <row r="159" ht="38.25" customHeight="1"/>
    <row r="160" ht="38.25" customHeight="1"/>
    <row r="161" ht="38.25" customHeight="1"/>
    <row r="162" ht="38.25" customHeight="1"/>
    <row r="163" ht="38.25" customHeight="1"/>
    <row r="164" ht="38.25" customHeight="1"/>
    <row r="165" ht="38.25" customHeight="1"/>
    <row r="166" ht="38.25" customHeight="1"/>
    <row r="167" ht="38.25" customHeight="1"/>
    <row r="168" ht="38.25" customHeight="1"/>
    <row r="169" ht="38.25" customHeight="1"/>
    <row r="170" ht="38.25" customHeight="1"/>
    <row r="171" ht="38.25" customHeight="1"/>
    <row r="172" ht="38.25" customHeight="1"/>
    <row r="173" ht="38.25" customHeight="1"/>
    <row r="174" ht="38.25" customHeight="1"/>
    <row r="175" ht="38.25" customHeight="1"/>
    <row r="176" ht="38.25" customHeight="1"/>
    <row r="177" ht="38.25" customHeight="1"/>
    <row r="178" ht="38.25" customHeight="1"/>
    <row r="179" ht="38.25" customHeight="1"/>
    <row r="180" ht="38.25" customHeight="1"/>
    <row r="181" ht="38.25" customHeight="1"/>
    <row r="182" ht="38.25" customHeight="1"/>
    <row r="183" ht="38.25" customHeight="1"/>
    <row r="184" ht="38.25" customHeight="1"/>
    <row r="185" ht="38.25" customHeight="1"/>
    <row r="186" ht="38.25" customHeight="1"/>
    <row r="187" ht="38.25" customHeight="1"/>
    <row r="188" ht="38.25" customHeight="1"/>
    <row r="189" ht="38.25" customHeight="1"/>
    <row r="190" ht="38.25" customHeight="1"/>
    <row r="191" ht="38.25" customHeight="1"/>
    <row r="192" ht="38.25" customHeight="1"/>
    <row r="193" ht="38.25" customHeight="1"/>
    <row r="194" ht="38.25" customHeight="1"/>
    <row r="195" ht="38.25" customHeight="1"/>
    <row r="196" ht="38.25" customHeight="1"/>
    <row r="197" ht="38.25" customHeight="1"/>
    <row r="198" ht="36.75" customHeight="1"/>
    <row r="199" ht="36.75" customHeight="1"/>
    <row r="200" ht="36.75" customHeight="1"/>
    <row r="201" ht="36.75" customHeight="1"/>
    <row r="202" ht="36.75" customHeight="1"/>
    <row r="203" ht="36.75" customHeight="1"/>
    <row r="204" ht="36.75" customHeight="1"/>
    <row r="205" ht="36.75" customHeight="1"/>
    <row r="206" ht="36.75" customHeight="1"/>
    <row r="207" ht="36.7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sheetData>
  <autoFilter ref="A4:Y41"/>
  <mergeCells count="5">
    <mergeCell ref="A1:Y2"/>
    <mergeCell ref="I3:M3"/>
    <mergeCell ref="N3:O3"/>
    <mergeCell ref="W3:Y3"/>
    <mergeCell ref="A3:E3"/>
  </mergeCells>
  <phoneticPr fontId="5" type="noConversion"/>
  <dataValidations count="28">
    <dataValidation type="list" allowBlank="1" showInputMessage="1" showErrorMessage="1" sqref="P41">
      <formula1>$P$161:$P$166</formula1>
    </dataValidation>
    <dataValidation type="list" allowBlank="1" showInputMessage="1" showErrorMessage="1" sqref="B41">
      <formula1>$B$161:$B$177</formula1>
    </dataValidation>
    <dataValidation type="list" allowBlank="1" showInputMessage="1" showErrorMessage="1" sqref="P5:P13 B38:B40 B5:B13 B23:B24 P38:P40">
      <formula1>#REF!</formula1>
    </dataValidation>
    <dataValidation type="list" allowBlank="1" showInputMessage="1" showErrorMessage="1" sqref="P37 P25:P26 P22 P16">
      <formula1>$P$193:$P$198</formula1>
    </dataValidation>
    <dataValidation type="list" showInputMessage="1" showErrorMessage="1" sqref="B36">
      <formula1>$B$25:$B$30</formula1>
    </dataValidation>
    <dataValidation type="list" allowBlank="1" showInputMessage="1" showErrorMessage="1" sqref="B37 B16 B22 B25:B26">
      <formula1>$B$193:$B$209</formula1>
    </dataValidation>
    <dataValidation type="list" allowBlank="1" showInputMessage="1" showErrorMessage="1" sqref="P34:P35">
      <formula1>$P$84:$P$89</formula1>
    </dataValidation>
    <dataValidation type="list" allowBlank="1" showInputMessage="1" showErrorMessage="1" sqref="B34:B35">
      <formula1>$B$84:$B$100</formula1>
    </dataValidation>
    <dataValidation type="list" allowBlank="1" showInputMessage="1" showErrorMessage="1" sqref="P33">
      <formula1>$P$185:$P$190</formula1>
    </dataValidation>
    <dataValidation type="list" allowBlank="1" showInputMessage="1" showErrorMessage="1" sqref="P32 R32">
      <formula1>$P$38:$P$41</formula1>
    </dataValidation>
    <dataValidation type="list" allowBlank="1" showInputMessage="1" showErrorMessage="1" sqref="P30:P31">
      <formula1>$P$17:$P$40</formula1>
    </dataValidation>
    <dataValidation type="list" allowBlank="1" showInputMessage="1" showErrorMessage="1" sqref="B33">
      <formula1>$B$185:$B$201</formula1>
    </dataValidation>
    <dataValidation type="list" allowBlank="1" showInputMessage="1" showErrorMessage="1" sqref="B30">
      <formula1>$B$5:$B$37</formula1>
    </dataValidation>
    <dataValidation type="list" allowBlank="1" showInputMessage="1" showErrorMessage="1" sqref="B32">
      <formula1>$B$38:$B$41</formula1>
    </dataValidation>
    <dataValidation type="list" allowBlank="1" showInputMessage="1" showErrorMessage="1" sqref="B31">
      <formula1>$B$17:$B$34</formula1>
    </dataValidation>
    <dataValidation type="list" allowBlank="1" showInputMessage="1" showErrorMessage="1" sqref="P20:P21">
      <formula1>$P$162:$P$167</formula1>
    </dataValidation>
    <dataValidation type="list" allowBlank="1" showInputMessage="1" showErrorMessage="1" sqref="P17">
      <formula1>$P$194:$P$199</formula1>
    </dataValidation>
    <dataValidation type="list" allowBlank="1" showInputMessage="1" showErrorMessage="1" sqref="P14:P15">
      <formula1>$O$36:$O$41</formula1>
    </dataValidation>
    <dataValidation type="list" allowBlank="1" showInputMessage="1" showErrorMessage="1" sqref="B20:B21">
      <formula1>$B$162:$B$178</formula1>
    </dataValidation>
    <dataValidation type="list" allowBlank="1" showInputMessage="1" showErrorMessage="1" sqref="B17">
      <formula1>$B$194:$B$210</formula1>
    </dataValidation>
    <dataValidation type="list" allowBlank="1" showInputMessage="1" showErrorMessage="1" sqref="B14:B15">
      <formula1>$B$36:$B$41</formula1>
    </dataValidation>
    <dataValidation type="list" allowBlank="1" showInputMessage="1" showErrorMessage="1" sqref="B27:B28">
      <formula1>$B$203:$B$219</formula1>
    </dataValidation>
    <dataValidation type="list" allowBlank="1" showInputMessage="1" showErrorMessage="1" sqref="P27:P28">
      <formula1>$P$203:$P$208</formula1>
    </dataValidation>
    <dataValidation type="list" allowBlank="1" showInputMessage="1" showErrorMessage="1" sqref="P18">
      <formula1>$N$200:$N$205</formula1>
    </dataValidation>
    <dataValidation type="list" allowBlank="1" showInputMessage="1" showErrorMessage="1" sqref="B18:B19">
      <formula1>$B$200:$B$216</formula1>
    </dataValidation>
    <dataValidation type="list" allowBlank="1" showInputMessage="1" showErrorMessage="1" sqref="P19">
      <formula1>$O$200:$O$205</formula1>
    </dataValidation>
    <dataValidation type="list" allowBlank="1" showInputMessage="1" showErrorMessage="1" sqref="B29">
      <formula1>$B$199:$B$215</formula1>
    </dataValidation>
    <dataValidation type="list" allowBlank="1" showInputMessage="1" showErrorMessage="1" sqref="P29">
      <formula1>$P$199:$P$204</formula1>
    </dataValidation>
  </dataValidations>
  <pageMargins left="0.19685039370078741" right="0.19685039370078741" top="0.35433070866141736" bottom="0.19685039370078741" header="0.19685039370078741" footer="0.19685039370078741"/>
  <pageSetup paperSize="9" scale="44" orientation="landscape" r:id="rId1"/>
  <headerFooter alignWithMargins="0"/>
  <rowBreaks count="3" manualBreakCount="3">
    <brk id="15" max="20" man="1"/>
    <brk id="28" max="20" man="1"/>
    <brk id="41" max="1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37"/>
  <sheetViews>
    <sheetView zoomScale="90" zoomScaleNormal="90" zoomScaleSheetLayoutView="90" workbookViewId="0">
      <pane ySplit="4" topLeftCell="A5" activePane="bottomLeft" state="frozen"/>
      <selection pane="bottomLeft" activeCell="F9" sqref="F9"/>
    </sheetView>
  </sheetViews>
  <sheetFormatPr defaultRowHeight="13.5"/>
  <cols>
    <col min="1" max="1" width="5.109375" style="6" customWidth="1"/>
    <col min="2" max="2" width="7.6640625" style="45" customWidth="1"/>
    <col min="3" max="3" width="10.109375" style="6" customWidth="1"/>
    <col min="4" max="4" width="17.6640625" style="1" customWidth="1"/>
    <col min="5" max="5" width="12.109375" style="1" customWidth="1"/>
    <col min="6" max="6" width="31.109375" style="1" customWidth="1"/>
    <col min="7" max="7" width="17" style="1" customWidth="1"/>
    <col min="8" max="8" width="12.21875" style="1" customWidth="1"/>
    <col min="9" max="9" width="14.21875" style="1" customWidth="1"/>
    <col min="10" max="13" width="7.6640625" style="1" customWidth="1"/>
    <col min="14" max="14" width="10.21875" style="1" customWidth="1"/>
    <col min="15" max="15" width="18.77734375" style="1" customWidth="1"/>
    <col min="16" max="18" width="12.77734375" style="1" customWidth="1"/>
    <col min="19" max="19" width="12.21875" style="1" customWidth="1"/>
    <col min="20" max="20" width="13.33203125" style="1" customWidth="1"/>
    <col min="21" max="21" width="12.77734375" style="1" customWidth="1"/>
    <col min="22" max="26" width="12.21875" style="1" customWidth="1"/>
    <col min="27" max="16384" width="8.88671875" style="1"/>
  </cols>
  <sheetData>
    <row r="1" spans="1:27" ht="29.25" customHeight="1">
      <c r="A1" s="304" t="s">
        <v>468</v>
      </c>
      <c r="B1" s="304"/>
      <c r="C1" s="304"/>
      <c r="D1" s="304"/>
      <c r="E1" s="304"/>
      <c r="F1" s="304"/>
      <c r="G1" s="304"/>
      <c r="H1" s="304"/>
      <c r="I1" s="304"/>
      <c r="J1" s="304"/>
      <c r="K1" s="304"/>
      <c r="L1" s="304"/>
      <c r="M1" s="304"/>
      <c r="N1" s="304"/>
      <c r="O1" s="304"/>
      <c r="P1" s="304"/>
      <c r="Q1" s="304"/>
      <c r="R1" s="304"/>
      <c r="S1" s="304"/>
      <c r="T1" s="304"/>
      <c r="U1" s="304"/>
      <c r="V1" s="304"/>
      <c r="W1" s="304"/>
      <c r="X1" s="304"/>
      <c r="Y1" s="304"/>
      <c r="Z1" s="137"/>
    </row>
    <row r="2" spans="1:27" s="2" customFormat="1" ht="29.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38"/>
    </row>
    <row r="3" spans="1:27" s="2" customFormat="1" ht="60" customHeight="1">
      <c r="A3" s="311" t="s">
        <v>4994</v>
      </c>
      <c r="B3" s="311"/>
      <c r="C3" s="311"/>
      <c r="D3" s="311"/>
      <c r="E3" s="311"/>
      <c r="F3" s="138"/>
      <c r="G3" s="138"/>
      <c r="H3" s="138"/>
      <c r="I3" s="305" t="s">
        <v>4021</v>
      </c>
      <c r="J3" s="305"/>
      <c r="K3" s="305"/>
      <c r="L3" s="305"/>
      <c r="M3" s="305"/>
      <c r="N3" s="306" t="s">
        <v>6417</v>
      </c>
      <c r="O3" s="307"/>
      <c r="P3" s="40"/>
      <c r="Q3" s="40"/>
      <c r="R3" s="140"/>
      <c r="S3" s="140"/>
      <c r="T3" s="140"/>
      <c r="U3" s="140"/>
      <c r="V3" s="140"/>
      <c r="W3" s="312" t="s">
        <v>469</v>
      </c>
      <c r="X3" s="312"/>
      <c r="Y3" s="312"/>
      <c r="Z3" s="140"/>
      <c r="AA3" s="17"/>
    </row>
    <row r="4" spans="1:27" ht="36">
      <c r="A4" s="141" t="s">
        <v>470</v>
      </c>
      <c r="B4" s="226" t="s">
        <v>471</v>
      </c>
      <c r="C4" s="141" t="s">
        <v>472</v>
      </c>
      <c r="D4" s="141" t="s">
        <v>473</v>
      </c>
      <c r="E4" s="142" t="s">
        <v>474</v>
      </c>
      <c r="F4" s="141" t="s">
        <v>475</v>
      </c>
      <c r="G4" s="142" t="s">
        <v>476</v>
      </c>
      <c r="H4" s="142" t="s">
        <v>477</v>
      </c>
      <c r="I4" s="142" t="s">
        <v>478</v>
      </c>
      <c r="J4" s="142" t="s">
        <v>479</v>
      </c>
      <c r="K4" s="142" t="s">
        <v>480</v>
      </c>
      <c r="L4" s="142" t="s">
        <v>482</v>
      </c>
      <c r="M4" s="142" t="s">
        <v>483</v>
      </c>
      <c r="N4" s="142" t="s">
        <v>485</v>
      </c>
      <c r="O4" s="142" t="s">
        <v>67</v>
      </c>
      <c r="P4" s="142" t="s">
        <v>4971</v>
      </c>
      <c r="Q4" s="142" t="s">
        <v>486</v>
      </c>
      <c r="R4" s="143" t="s">
        <v>487</v>
      </c>
      <c r="S4" s="143" t="s">
        <v>488</v>
      </c>
      <c r="T4" s="143" t="s">
        <v>32</v>
      </c>
      <c r="U4" s="143" t="s">
        <v>6415</v>
      </c>
      <c r="V4" s="143" t="s">
        <v>489</v>
      </c>
      <c r="W4" s="143" t="s">
        <v>490</v>
      </c>
      <c r="X4" s="143" t="s">
        <v>491</v>
      </c>
      <c r="Y4" s="143" t="s">
        <v>492</v>
      </c>
      <c r="Z4" s="143" t="s">
        <v>493</v>
      </c>
    </row>
    <row r="5" spans="1:27" ht="110.25" customHeight="1">
      <c r="A5" s="144">
        <v>1</v>
      </c>
      <c r="B5" s="196" t="s">
        <v>494</v>
      </c>
      <c r="C5" s="196" t="s">
        <v>495</v>
      </c>
      <c r="D5" s="84" t="s">
        <v>496</v>
      </c>
      <c r="E5" s="79" t="s">
        <v>497</v>
      </c>
      <c r="F5" s="152" t="s">
        <v>498</v>
      </c>
      <c r="G5" s="172" t="s">
        <v>7068</v>
      </c>
      <c r="H5" s="79" t="s">
        <v>499</v>
      </c>
      <c r="I5" s="83">
        <v>800</v>
      </c>
      <c r="J5" s="83">
        <v>270</v>
      </c>
      <c r="K5" s="83">
        <v>330</v>
      </c>
      <c r="L5" s="83">
        <v>0</v>
      </c>
      <c r="M5" s="83">
        <v>200</v>
      </c>
      <c r="N5" s="147" t="s">
        <v>151</v>
      </c>
      <c r="O5" s="79" t="s">
        <v>3359</v>
      </c>
      <c r="P5" s="79" t="s">
        <v>304</v>
      </c>
      <c r="Q5" s="79"/>
      <c r="R5" s="79" t="s">
        <v>500</v>
      </c>
      <c r="S5" s="79" t="s">
        <v>373</v>
      </c>
      <c r="T5" s="79" t="s">
        <v>501</v>
      </c>
      <c r="U5" s="79" t="s">
        <v>3437</v>
      </c>
      <c r="V5" s="79" t="s">
        <v>502</v>
      </c>
      <c r="W5" s="173">
        <v>108</v>
      </c>
      <c r="X5" s="173">
        <v>106</v>
      </c>
      <c r="Y5" s="173">
        <v>2</v>
      </c>
      <c r="Z5" s="79" t="s">
        <v>503</v>
      </c>
    </row>
    <row r="6" spans="1:27" s="41" customFormat="1" ht="108" customHeight="1">
      <c r="A6" s="144">
        <v>2</v>
      </c>
      <c r="B6" s="196" t="s">
        <v>494</v>
      </c>
      <c r="C6" s="196" t="s">
        <v>504</v>
      </c>
      <c r="D6" s="79" t="s">
        <v>505</v>
      </c>
      <c r="E6" s="79" t="s">
        <v>506</v>
      </c>
      <c r="F6" s="148" t="s">
        <v>507</v>
      </c>
      <c r="G6" s="79" t="s">
        <v>508</v>
      </c>
      <c r="H6" s="79" t="s">
        <v>509</v>
      </c>
      <c r="I6" s="83">
        <v>520</v>
      </c>
      <c r="J6" s="83">
        <v>80</v>
      </c>
      <c r="K6" s="83">
        <v>400</v>
      </c>
      <c r="L6" s="83">
        <v>20</v>
      </c>
      <c r="M6" s="83">
        <v>20</v>
      </c>
      <c r="N6" s="196" t="s">
        <v>510</v>
      </c>
      <c r="O6" s="196" t="s">
        <v>511</v>
      </c>
      <c r="P6" s="79" t="s">
        <v>304</v>
      </c>
      <c r="Q6" s="79" t="s">
        <v>3368</v>
      </c>
      <c r="R6" s="79" t="s">
        <v>512</v>
      </c>
      <c r="S6" s="79" t="s">
        <v>513</v>
      </c>
      <c r="T6" s="79" t="s">
        <v>514</v>
      </c>
      <c r="U6" s="79" t="s">
        <v>515</v>
      </c>
      <c r="V6" s="79" t="s">
        <v>516</v>
      </c>
      <c r="W6" s="173">
        <v>248</v>
      </c>
      <c r="X6" s="173">
        <v>238</v>
      </c>
      <c r="Y6" s="173">
        <v>10</v>
      </c>
      <c r="Z6" s="79" t="s">
        <v>186</v>
      </c>
    </row>
    <row r="7" spans="1:27" s="41" customFormat="1" ht="84" customHeight="1">
      <c r="A7" s="144">
        <v>3</v>
      </c>
      <c r="B7" s="196" t="s">
        <v>494</v>
      </c>
      <c r="C7" s="196" t="s">
        <v>517</v>
      </c>
      <c r="D7" s="84" t="s">
        <v>518</v>
      </c>
      <c r="E7" s="79" t="s">
        <v>519</v>
      </c>
      <c r="F7" s="148" t="s">
        <v>520</v>
      </c>
      <c r="G7" s="79" t="s">
        <v>521</v>
      </c>
      <c r="H7" s="79" t="s">
        <v>522</v>
      </c>
      <c r="I7" s="83">
        <v>2000</v>
      </c>
      <c r="J7" s="83">
        <v>800</v>
      </c>
      <c r="K7" s="83">
        <v>1200</v>
      </c>
      <c r="L7" s="83">
        <v>0</v>
      </c>
      <c r="M7" s="83">
        <v>0</v>
      </c>
      <c r="N7" s="227" t="s">
        <v>523</v>
      </c>
      <c r="O7" s="227" t="s">
        <v>525</v>
      </c>
      <c r="P7" s="79" t="s">
        <v>247</v>
      </c>
      <c r="Q7" s="147"/>
      <c r="R7" s="79" t="s">
        <v>526</v>
      </c>
      <c r="S7" s="79" t="s">
        <v>373</v>
      </c>
      <c r="T7" s="79" t="s">
        <v>527</v>
      </c>
      <c r="U7" s="79" t="s">
        <v>528</v>
      </c>
      <c r="V7" s="79" t="s">
        <v>529</v>
      </c>
      <c r="W7" s="173">
        <v>1174</v>
      </c>
      <c r="X7" s="173">
        <v>1151</v>
      </c>
      <c r="Y7" s="173">
        <v>23</v>
      </c>
      <c r="Z7" s="79" t="s">
        <v>530</v>
      </c>
    </row>
    <row r="8" spans="1:27" s="42" customFormat="1" ht="182.25" customHeight="1">
      <c r="A8" s="144">
        <v>4</v>
      </c>
      <c r="B8" s="196" t="s">
        <v>531</v>
      </c>
      <c r="C8" s="196" t="s">
        <v>532</v>
      </c>
      <c r="D8" s="79" t="s">
        <v>533</v>
      </c>
      <c r="E8" s="79" t="s">
        <v>534</v>
      </c>
      <c r="F8" s="148" t="s">
        <v>535</v>
      </c>
      <c r="G8" s="79" t="s">
        <v>536</v>
      </c>
      <c r="H8" s="79" t="s">
        <v>537</v>
      </c>
      <c r="I8" s="83">
        <v>1890</v>
      </c>
      <c r="J8" s="83">
        <v>0</v>
      </c>
      <c r="K8" s="83">
        <v>940</v>
      </c>
      <c r="L8" s="83">
        <v>0</v>
      </c>
      <c r="M8" s="83">
        <v>950</v>
      </c>
      <c r="N8" s="196" t="s">
        <v>263</v>
      </c>
      <c r="O8" s="196"/>
      <c r="P8" s="79" t="s">
        <v>87</v>
      </c>
      <c r="Q8" s="79" t="s">
        <v>248</v>
      </c>
      <c r="R8" s="79" t="s">
        <v>538</v>
      </c>
      <c r="S8" s="79" t="s">
        <v>108</v>
      </c>
      <c r="T8" s="79" t="s">
        <v>539</v>
      </c>
      <c r="U8" s="79" t="s">
        <v>540</v>
      </c>
      <c r="V8" s="79" t="s">
        <v>541</v>
      </c>
      <c r="W8" s="173">
        <f t="shared" ref="W8" si="0">SUM(X8:Y8)</f>
        <v>1200</v>
      </c>
      <c r="X8" s="173">
        <v>1100</v>
      </c>
      <c r="Y8" s="173">
        <v>100</v>
      </c>
      <c r="Z8" s="79" t="s">
        <v>542</v>
      </c>
    </row>
    <row r="9" spans="1:27" s="41" customFormat="1" ht="71.25" customHeight="1">
      <c r="A9" s="144">
        <v>5</v>
      </c>
      <c r="B9" s="196" t="s">
        <v>494</v>
      </c>
      <c r="C9" s="196" t="s">
        <v>517</v>
      </c>
      <c r="D9" s="84" t="s">
        <v>543</v>
      </c>
      <c r="E9" s="79" t="s">
        <v>544</v>
      </c>
      <c r="F9" s="148" t="s">
        <v>545</v>
      </c>
      <c r="G9" s="84" t="s">
        <v>546</v>
      </c>
      <c r="H9" s="79" t="s">
        <v>547</v>
      </c>
      <c r="I9" s="83">
        <f>SUM(J9:M9)</f>
        <v>270</v>
      </c>
      <c r="J9" s="83">
        <v>100</v>
      </c>
      <c r="K9" s="83">
        <v>150</v>
      </c>
      <c r="L9" s="83">
        <v>0</v>
      </c>
      <c r="M9" s="83">
        <v>20</v>
      </c>
      <c r="N9" s="227" t="s">
        <v>425</v>
      </c>
      <c r="O9" s="227" t="s">
        <v>548</v>
      </c>
      <c r="P9" s="79" t="s">
        <v>247</v>
      </c>
      <c r="Q9" s="79"/>
      <c r="R9" s="79" t="s">
        <v>549</v>
      </c>
      <c r="S9" s="79" t="s">
        <v>513</v>
      </c>
      <c r="T9" s="79" t="s">
        <v>550</v>
      </c>
      <c r="U9" s="79" t="s">
        <v>3431</v>
      </c>
      <c r="V9" s="79" t="s">
        <v>551</v>
      </c>
      <c r="W9" s="173">
        <f>SUM(X9:Y9)</f>
        <v>127</v>
      </c>
      <c r="X9" s="213">
        <v>124</v>
      </c>
      <c r="Y9" s="213">
        <v>3</v>
      </c>
      <c r="Z9" s="79" t="s">
        <v>552</v>
      </c>
    </row>
    <row r="10" spans="1:27" s="41" customFormat="1" ht="67.5" customHeight="1">
      <c r="A10" s="144">
        <v>6</v>
      </c>
      <c r="B10" s="196" t="s">
        <v>494</v>
      </c>
      <c r="C10" s="196" t="s">
        <v>517</v>
      </c>
      <c r="D10" s="79" t="s">
        <v>553</v>
      </c>
      <c r="E10" s="79" t="s">
        <v>554</v>
      </c>
      <c r="F10" s="148" t="s">
        <v>555</v>
      </c>
      <c r="G10" s="79" t="s">
        <v>556</v>
      </c>
      <c r="H10" s="79" t="s">
        <v>557</v>
      </c>
      <c r="I10" s="83">
        <v>450</v>
      </c>
      <c r="J10" s="83">
        <v>0</v>
      </c>
      <c r="K10" s="83">
        <v>300</v>
      </c>
      <c r="L10" s="83">
        <v>0</v>
      </c>
      <c r="M10" s="83">
        <v>150</v>
      </c>
      <c r="N10" s="196" t="s">
        <v>263</v>
      </c>
      <c r="O10" s="196"/>
      <c r="P10" s="79" t="s">
        <v>558</v>
      </c>
      <c r="Q10" s="79"/>
      <c r="R10" s="79" t="s">
        <v>559</v>
      </c>
      <c r="S10" s="79" t="s">
        <v>513</v>
      </c>
      <c r="T10" s="79" t="s">
        <v>560</v>
      </c>
      <c r="U10" s="79" t="s">
        <v>3431</v>
      </c>
      <c r="V10" s="79" t="s">
        <v>516</v>
      </c>
      <c r="W10" s="173">
        <f>SUM(X10:Y10)</f>
        <v>75000</v>
      </c>
      <c r="X10" s="173">
        <v>75000</v>
      </c>
      <c r="Y10" s="173">
        <v>0</v>
      </c>
      <c r="Z10" s="79" t="s">
        <v>561</v>
      </c>
    </row>
    <row r="11" spans="1:27" s="41" customFormat="1" ht="120" customHeight="1">
      <c r="A11" s="144">
        <v>7</v>
      </c>
      <c r="B11" s="196" t="s">
        <v>494</v>
      </c>
      <c r="C11" s="196" t="s">
        <v>517</v>
      </c>
      <c r="D11" s="84" t="s">
        <v>562</v>
      </c>
      <c r="E11" s="79" t="s">
        <v>563</v>
      </c>
      <c r="F11" s="228" t="s">
        <v>564</v>
      </c>
      <c r="G11" s="79" t="s">
        <v>565</v>
      </c>
      <c r="H11" s="79" t="s">
        <v>566</v>
      </c>
      <c r="I11" s="83">
        <f t="shared" ref="I11" si="1">SUM(J11:M11)</f>
        <v>200</v>
      </c>
      <c r="J11" s="83">
        <v>80</v>
      </c>
      <c r="K11" s="83">
        <v>120</v>
      </c>
      <c r="L11" s="83">
        <v>0</v>
      </c>
      <c r="M11" s="83">
        <v>0</v>
      </c>
      <c r="N11" s="227" t="s">
        <v>151</v>
      </c>
      <c r="O11" s="227" t="s">
        <v>525</v>
      </c>
      <c r="P11" s="79" t="s">
        <v>247</v>
      </c>
      <c r="Q11" s="79"/>
      <c r="R11" s="79" t="s">
        <v>567</v>
      </c>
      <c r="S11" s="79" t="s">
        <v>373</v>
      </c>
      <c r="T11" s="79" t="s">
        <v>527</v>
      </c>
      <c r="U11" s="79" t="s">
        <v>3431</v>
      </c>
      <c r="V11" s="79" t="s">
        <v>529</v>
      </c>
      <c r="W11" s="173">
        <f t="shared" ref="W11:W12" si="2">SUM(X11:Y11)</f>
        <v>9</v>
      </c>
      <c r="X11" s="173">
        <v>9</v>
      </c>
      <c r="Y11" s="173">
        <v>0</v>
      </c>
      <c r="Z11" s="79" t="s">
        <v>568</v>
      </c>
    </row>
    <row r="12" spans="1:27" s="41" customFormat="1" ht="60" customHeight="1">
      <c r="A12" s="144">
        <v>8</v>
      </c>
      <c r="B12" s="196" t="s">
        <v>494</v>
      </c>
      <c r="C12" s="196" t="s">
        <v>517</v>
      </c>
      <c r="D12" s="79" t="s">
        <v>569</v>
      </c>
      <c r="E12" s="79" t="s">
        <v>570</v>
      </c>
      <c r="F12" s="148" t="s">
        <v>4986</v>
      </c>
      <c r="G12" s="79" t="s">
        <v>571</v>
      </c>
      <c r="H12" s="79" t="s">
        <v>572</v>
      </c>
      <c r="I12" s="83">
        <v>740</v>
      </c>
      <c r="J12" s="83">
        <v>270</v>
      </c>
      <c r="K12" s="83">
        <v>270</v>
      </c>
      <c r="L12" s="83">
        <v>0</v>
      </c>
      <c r="M12" s="83">
        <v>200</v>
      </c>
      <c r="N12" s="196" t="s">
        <v>523</v>
      </c>
      <c r="O12" s="196" t="s">
        <v>573</v>
      </c>
      <c r="P12" s="79" t="s">
        <v>304</v>
      </c>
      <c r="Q12" s="79"/>
      <c r="R12" s="79" t="s">
        <v>574</v>
      </c>
      <c r="S12" s="79" t="s">
        <v>513</v>
      </c>
      <c r="T12" s="79" t="s">
        <v>575</v>
      </c>
      <c r="U12" s="79" t="s">
        <v>3431</v>
      </c>
      <c r="V12" s="79" t="s">
        <v>516</v>
      </c>
      <c r="W12" s="173">
        <f t="shared" si="2"/>
        <v>66754</v>
      </c>
      <c r="X12" s="173">
        <v>66754</v>
      </c>
      <c r="Y12" s="173">
        <v>0</v>
      </c>
      <c r="Z12" s="79" t="s">
        <v>576</v>
      </c>
    </row>
    <row r="13" spans="1:27" s="41" customFormat="1" ht="69.75" customHeight="1">
      <c r="A13" s="144">
        <v>9</v>
      </c>
      <c r="B13" s="196" t="s">
        <v>531</v>
      </c>
      <c r="C13" s="196" t="s">
        <v>577</v>
      </c>
      <c r="D13" s="79" t="s">
        <v>578</v>
      </c>
      <c r="E13" s="79" t="s">
        <v>579</v>
      </c>
      <c r="F13" s="148" t="s">
        <v>580</v>
      </c>
      <c r="G13" s="79" t="s">
        <v>581</v>
      </c>
      <c r="H13" s="79" t="s">
        <v>583</v>
      </c>
      <c r="I13" s="83">
        <v>690</v>
      </c>
      <c r="J13" s="83">
        <v>320</v>
      </c>
      <c r="K13" s="83">
        <v>320</v>
      </c>
      <c r="L13" s="83">
        <v>0</v>
      </c>
      <c r="M13" s="83">
        <v>50</v>
      </c>
      <c r="N13" s="196" t="s">
        <v>523</v>
      </c>
      <c r="O13" s="196" t="s">
        <v>584</v>
      </c>
      <c r="P13" s="79" t="s">
        <v>558</v>
      </c>
      <c r="Q13" s="79"/>
      <c r="R13" s="79" t="s">
        <v>585</v>
      </c>
      <c r="S13" s="79" t="s">
        <v>513</v>
      </c>
      <c r="T13" s="79" t="s">
        <v>586</v>
      </c>
      <c r="U13" s="79" t="s">
        <v>3438</v>
      </c>
      <c r="V13" s="79" t="s">
        <v>516</v>
      </c>
      <c r="W13" s="173">
        <v>22</v>
      </c>
      <c r="X13" s="173">
        <v>22</v>
      </c>
      <c r="Y13" s="173">
        <v>0</v>
      </c>
      <c r="Z13" s="79" t="s">
        <v>587</v>
      </c>
    </row>
    <row r="14" spans="1:27" s="41" customFormat="1" ht="144.75" customHeight="1">
      <c r="A14" s="229">
        <v>10</v>
      </c>
      <c r="B14" s="230" t="s">
        <v>494</v>
      </c>
      <c r="C14" s="230" t="s">
        <v>588</v>
      </c>
      <c r="D14" s="231" t="s">
        <v>589</v>
      </c>
      <c r="E14" s="231" t="s">
        <v>590</v>
      </c>
      <c r="F14" s="232" t="s">
        <v>591</v>
      </c>
      <c r="G14" s="231" t="s">
        <v>592</v>
      </c>
      <c r="H14" s="231" t="s">
        <v>593</v>
      </c>
      <c r="I14" s="86">
        <v>140</v>
      </c>
      <c r="J14" s="86">
        <v>0</v>
      </c>
      <c r="K14" s="86">
        <v>40</v>
      </c>
      <c r="L14" s="86">
        <v>20</v>
      </c>
      <c r="M14" s="86">
        <v>80</v>
      </c>
      <c r="N14" s="196" t="s">
        <v>263</v>
      </c>
      <c r="O14" s="196"/>
      <c r="P14" s="231" t="s">
        <v>247</v>
      </c>
      <c r="Q14" s="231" t="s">
        <v>248</v>
      </c>
      <c r="R14" s="231" t="s">
        <v>594</v>
      </c>
      <c r="S14" s="231" t="s">
        <v>373</v>
      </c>
      <c r="T14" s="231" t="s">
        <v>514</v>
      </c>
      <c r="U14" s="79" t="s">
        <v>3431</v>
      </c>
      <c r="V14" s="231" t="s">
        <v>551</v>
      </c>
      <c r="W14" s="213">
        <v>792</v>
      </c>
      <c r="X14" s="213">
        <v>792</v>
      </c>
      <c r="Y14" s="218" t="s">
        <v>596</v>
      </c>
      <c r="Z14" s="231" t="s">
        <v>597</v>
      </c>
    </row>
    <row r="15" spans="1:27" s="41" customFormat="1" ht="72.75" customHeight="1">
      <c r="A15" s="229">
        <v>11</v>
      </c>
      <c r="B15" s="230" t="s">
        <v>494</v>
      </c>
      <c r="C15" s="230" t="s">
        <v>588</v>
      </c>
      <c r="D15" s="231" t="s">
        <v>598</v>
      </c>
      <c r="E15" s="231" t="s">
        <v>599</v>
      </c>
      <c r="F15" s="232" t="s">
        <v>600</v>
      </c>
      <c r="G15" s="231" t="s">
        <v>601</v>
      </c>
      <c r="H15" s="231" t="s">
        <v>603</v>
      </c>
      <c r="I15" s="86">
        <v>45</v>
      </c>
      <c r="J15" s="86">
        <v>0</v>
      </c>
      <c r="K15" s="86">
        <v>20</v>
      </c>
      <c r="L15" s="86">
        <v>10</v>
      </c>
      <c r="M15" s="86">
        <v>15</v>
      </c>
      <c r="N15" s="196" t="s">
        <v>263</v>
      </c>
      <c r="O15" s="196"/>
      <c r="P15" s="231" t="s">
        <v>247</v>
      </c>
      <c r="Q15" s="79"/>
      <c r="R15" s="231" t="s">
        <v>604</v>
      </c>
      <c r="S15" s="231" t="s">
        <v>373</v>
      </c>
      <c r="T15" s="231" t="s">
        <v>374</v>
      </c>
      <c r="U15" s="79" t="s">
        <v>3431</v>
      </c>
      <c r="V15" s="231" t="s">
        <v>164</v>
      </c>
      <c r="W15" s="213">
        <v>250</v>
      </c>
      <c r="X15" s="213">
        <v>250</v>
      </c>
      <c r="Y15" s="218" t="s">
        <v>596</v>
      </c>
      <c r="Z15" s="231" t="s">
        <v>605</v>
      </c>
    </row>
    <row r="16" spans="1:27" s="41" customFormat="1" ht="99" customHeight="1">
      <c r="A16" s="229">
        <v>12</v>
      </c>
      <c r="B16" s="230" t="s">
        <v>494</v>
      </c>
      <c r="C16" s="230" t="s">
        <v>588</v>
      </c>
      <c r="D16" s="231" t="s">
        <v>606</v>
      </c>
      <c r="E16" s="231" t="s">
        <v>607</v>
      </c>
      <c r="F16" s="232" t="s">
        <v>608</v>
      </c>
      <c r="G16" s="231" t="s">
        <v>609</v>
      </c>
      <c r="H16" s="231" t="s">
        <v>610</v>
      </c>
      <c r="I16" s="86">
        <v>15</v>
      </c>
      <c r="J16" s="86" t="s">
        <v>611</v>
      </c>
      <c r="K16" s="86" t="s">
        <v>611</v>
      </c>
      <c r="L16" s="86">
        <v>15</v>
      </c>
      <c r="M16" s="86" t="s">
        <v>611</v>
      </c>
      <c r="N16" s="196" t="s">
        <v>263</v>
      </c>
      <c r="O16" s="196"/>
      <c r="P16" s="231" t="s">
        <v>247</v>
      </c>
      <c r="Q16" s="79"/>
      <c r="R16" s="231" t="s">
        <v>612</v>
      </c>
      <c r="S16" s="231" t="s">
        <v>373</v>
      </c>
      <c r="T16" s="231" t="s">
        <v>613</v>
      </c>
      <c r="U16" s="79" t="s">
        <v>3431</v>
      </c>
      <c r="V16" s="231" t="s">
        <v>376</v>
      </c>
      <c r="W16" s="213">
        <v>100</v>
      </c>
      <c r="X16" s="213">
        <v>80</v>
      </c>
      <c r="Y16" s="218">
        <v>20</v>
      </c>
      <c r="Z16" s="231" t="s">
        <v>614</v>
      </c>
    </row>
    <row r="17" spans="1:26" s="41" customFormat="1" ht="74.25" customHeight="1">
      <c r="A17" s="229">
        <v>13</v>
      </c>
      <c r="B17" s="230" t="s">
        <v>494</v>
      </c>
      <c r="C17" s="230" t="s">
        <v>588</v>
      </c>
      <c r="D17" s="231" t="s">
        <v>615</v>
      </c>
      <c r="E17" s="231" t="s">
        <v>616</v>
      </c>
      <c r="F17" s="232" t="s">
        <v>617</v>
      </c>
      <c r="G17" s="231" t="s">
        <v>618</v>
      </c>
      <c r="H17" s="231" t="s">
        <v>619</v>
      </c>
      <c r="I17" s="86">
        <v>70</v>
      </c>
      <c r="J17" s="86">
        <v>0</v>
      </c>
      <c r="K17" s="86">
        <v>30</v>
      </c>
      <c r="L17" s="86">
        <v>20</v>
      </c>
      <c r="M17" s="86">
        <v>20</v>
      </c>
      <c r="N17" s="196" t="s">
        <v>263</v>
      </c>
      <c r="O17" s="196"/>
      <c r="P17" s="231" t="s">
        <v>304</v>
      </c>
      <c r="Q17" s="79"/>
      <c r="R17" s="231" t="s">
        <v>620</v>
      </c>
      <c r="S17" s="231" t="s">
        <v>373</v>
      </c>
      <c r="T17" s="231" t="s">
        <v>374</v>
      </c>
      <c r="U17" s="79" t="s">
        <v>3431</v>
      </c>
      <c r="V17" s="231" t="s">
        <v>164</v>
      </c>
      <c r="W17" s="213">
        <v>20</v>
      </c>
      <c r="X17" s="213">
        <v>18</v>
      </c>
      <c r="Y17" s="218">
        <v>2</v>
      </c>
      <c r="Z17" s="231" t="s">
        <v>621</v>
      </c>
    </row>
    <row r="18" spans="1:26" s="41" customFormat="1" ht="51" customHeight="1">
      <c r="A18" s="144">
        <v>14</v>
      </c>
      <c r="B18" s="196" t="s">
        <v>494</v>
      </c>
      <c r="C18" s="196" t="s">
        <v>216</v>
      </c>
      <c r="D18" s="79" t="s">
        <v>622</v>
      </c>
      <c r="E18" s="79" t="s">
        <v>623</v>
      </c>
      <c r="F18" s="148" t="s">
        <v>624</v>
      </c>
      <c r="G18" s="79" t="s">
        <v>625</v>
      </c>
      <c r="H18" s="79" t="s">
        <v>627</v>
      </c>
      <c r="I18" s="83">
        <v>33</v>
      </c>
      <c r="J18" s="83"/>
      <c r="K18" s="83">
        <v>20</v>
      </c>
      <c r="L18" s="83">
        <v>10</v>
      </c>
      <c r="M18" s="83">
        <v>13</v>
      </c>
      <c r="N18" s="196" t="s">
        <v>263</v>
      </c>
      <c r="O18" s="196"/>
      <c r="P18" s="79" t="s">
        <v>436</v>
      </c>
      <c r="Q18" s="79"/>
      <c r="R18" s="79" t="s">
        <v>629</v>
      </c>
      <c r="S18" s="79" t="s">
        <v>312</v>
      </c>
      <c r="T18" s="79" t="s">
        <v>631</v>
      </c>
      <c r="U18" s="79" t="s">
        <v>3431</v>
      </c>
      <c r="V18" s="79" t="s">
        <v>632</v>
      </c>
      <c r="W18" s="173">
        <f>SUM(X18:Y18)</f>
        <v>20</v>
      </c>
      <c r="X18" s="173">
        <v>20</v>
      </c>
      <c r="Y18" s="173">
        <v>0</v>
      </c>
      <c r="Z18" s="79" t="s">
        <v>633</v>
      </c>
    </row>
    <row r="19" spans="1:26" s="41" customFormat="1" ht="53.25" customHeight="1">
      <c r="A19" s="144">
        <v>15</v>
      </c>
      <c r="B19" s="196" t="s">
        <v>494</v>
      </c>
      <c r="C19" s="196" t="s">
        <v>216</v>
      </c>
      <c r="D19" s="79" t="s">
        <v>634</v>
      </c>
      <c r="E19" s="79" t="s">
        <v>635</v>
      </c>
      <c r="F19" s="148" t="s">
        <v>636</v>
      </c>
      <c r="G19" s="79" t="s">
        <v>637</v>
      </c>
      <c r="H19" s="79" t="s">
        <v>639</v>
      </c>
      <c r="I19" s="83">
        <v>45</v>
      </c>
      <c r="J19" s="83">
        <v>0</v>
      </c>
      <c r="K19" s="83">
        <v>30</v>
      </c>
      <c r="L19" s="83">
        <v>0</v>
      </c>
      <c r="M19" s="83">
        <v>15</v>
      </c>
      <c r="N19" s="196" t="s">
        <v>263</v>
      </c>
      <c r="O19" s="196"/>
      <c r="P19" s="79" t="s">
        <v>436</v>
      </c>
      <c r="Q19" s="79"/>
      <c r="R19" s="79" t="s">
        <v>640</v>
      </c>
      <c r="S19" s="79" t="s">
        <v>513</v>
      </c>
      <c r="T19" s="79" t="s">
        <v>631</v>
      </c>
      <c r="U19" s="79" t="s">
        <v>3431</v>
      </c>
      <c r="V19" s="79" t="s">
        <v>632</v>
      </c>
      <c r="W19" s="173">
        <f t="shared" ref="W19:W22" si="3">SUM(X19:Y19)</f>
        <v>20</v>
      </c>
      <c r="X19" s="173">
        <v>20</v>
      </c>
      <c r="Y19" s="173">
        <v>0</v>
      </c>
      <c r="Z19" s="79" t="s">
        <v>633</v>
      </c>
    </row>
    <row r="20" spans="1:26" s="41" customFormat="1" ht="80.25" customHeight="1">
      <c r="A20" s="144">
        <v>16</v>
      </c>
      <c r="B20" s="196" t="s">
        <v>494</v>
      </c>
      <c r="C20" s="196" t="s">
        <v>641</v>
      </c>
      <c r="D20" s="79" t="s">
        <v>642</v>
      </c>
      <c r="E20" s="79" t="s">
        <v>643</v>
      </c>
      <c r="F20" s="148" t="s">
        <v>644</v>
      </c>
      <c r="G20" s="79" t="s">
        <v>645</v>
      </c>
      <c r="H20" s="79" t="s">
        <v>646</v>
      </c>
      <c r="I20" s="83">
        <f>SUM(J20:M20)</f>
        <v>222.9</v>
      </c>
      <c r="J20" s="83">
        <v>0</v>
      </c>
      <c r="K20" s="83">
        <v>20</v>
      </c>
      <c r="L20" s="83">
        <v>202.9</v>
      </c>
      <c r="M20" s="83">
        <v>0</v>
      </c>
      <c r="N20" s="196" t="s">
        <v>263</v>
      </c>
      <c r="O20" s="196"/>
      <c r="P20" s="79" t="s">
        <v>304</v>
      </c>
      <c r="Q20" s="79"/>
      <c r="R20" s="79" t="s">
        <v>647</v>
      </c>
      <c r="S20" s="79" t="s">
        <v>373</v>
      </c>
      <c r="T20" s="79" t="s">
        <v>501</v>
      </c>
      <c r="U20" s="79" t="s">
        <v>3431</v>
      </c>
      <c r="V20" s="79" t="s">
        <v>376</v>
      </c>
      <c r="W20" s="173">
        <f t="shared" si="3"/>
        <v>52</v>
      </c>
      <c r="X20" s="173">
        <f>52-Y20</f>
        <v>51.48</v>
      </c>
      <c r="Y20" s="173">
        <f>52*1%</f>
        <v>0.52</v>
      </c>
      <c r="Z20" s="79" t="s">
        <v>648</v>
      </c>
    </row>
    <row r="21" spans="1:26" s="41" customFormat="1" ht="52.5" customHeight="1">
      <c r="A21" s="144">
        <v>17</v>
      </c>
      <c r="B21" s="196" t="s">
        <v>494</v>
      </c>
      <c r="C21" s="196" t="s">
        <v>649</v>
      </c>
      <c r="D21" s="79" t="s">
        <v>650</v>
      </c>
      <c r="E21" s="79" t="s">
        <v>652</v>
      </c>
      <c r="F21" s="148" t="s">
        <v>653</v>
      </c>
      <c r="G21" s="79" t="s">
        <v>654</v>
      </c>
      <c r="H21" s="79" t="s">
        <v>655</v>
      </c>
      <c r="I21" s="83">
        <f t="shared" ref="I21:I23" si="4">SUM(J21:M21)</f>
        <v>40</v>
      </c>
      <c r="J21" s="83">
        <v>0</v>
      </c>
      <c r="K21" s="83">
        <v>30</v>
      </c>
      <c r="L21" s="83">
        <v>10</v>
      </c>
      <c r="M21" s="83">
        <v>0</v>
      </c>
      <c r="N21" s="196" t="s">
        <v>263</v>
      </c>
      <c r="O21" s="196"/>
      <c r="P21" s="79" t="s">
        <v>247</v>
      </c>
      <c r="Q21" s="79"/>
      <c r="R21" s="79" t="s">
        <v>656</v>
      </c>
      <c r="S21" s="79" t="s">
        <v>373</v>
      </c>
      <c r="T21" s="79" t="s">
        <v>501</v>
      </c>
      <c r="U21" s="79" t="s">
        <v>3431</v>
      </c>
      <c r="V21" s="79" t="s">
        <v>376</v>
      </c>
      <c r="W21" s="173">
        <f t="shared" si="3"/>
        <v>2</v>
      </c>
      <c r="X21" s="173">
        <f>2-Y21</f>
        <v>2</v>
      </c>
      <c r="Y21" s="173">
        <v>0</v>
      </c>
      <c r="Z21" s="79" t="s">
        <v>657</v>
      </c>
    </row>
    <row r="22" spans="1:26" s="41" customFormat="1" ht="68.25" customHeight="1">
      <c r="A22" s="144">
        <v>18</v>
      </c>
      <c r="B22" s="196" t="s">
        <v>494</v>
      </c>
      <c r="C22" s="144" t="s">
        <v>649</v>
      </c>
      <c r="D22" s="79" t="s">
        <v>658</v>
      </c>
      <c r="E22" s="79" t="s">
        <v>659</v>
      </c>
      <c r="F22" s="148" t="s">
        <v>660</v>
      </c>
      <c r="G22" s="79" t="s">
        <v>661</v>
      </c>
      <c r="H22" s="79" t="s">
        <v>662</v>
      </c>
      <c r="I22" s="83">
        <f t="shared" si="4"/>
        <v>107.6</v>
      </c>
      <c r="J22" s="83">
        <v>0</v>
      </c>
      <c r="K22" s="83">
        <v>25</v>
      </c>
      <c r="L22" s="83">
        <v>82.6</v>
      </c>
      <c r="M22" s="83">
        <v>0</v>
      </c>
      <c r="N22" s="196" t="s">
        <v>263</v>
      </c>
      <c r="O22" s="79"/>
      <c r="P22" s="79" t="s">
        <v>247</v>
      </c>
      <c r="Q22" s="79"/>
      <c r="R22" s="79" t="s">
        <v>663</v>
      </c>
      <c r="S22" s="79" t="s">
        <v>373</v>
      </c>
      <c r="T22" s="79" t="s">
        <v>501</v>
      </c>
      <c r="U22" s="79" t="s">
        <v>3431</v>
      </c>
      <c r="V22" s="79" t="s">
        <v>376</v>
      </c>
      <c r="W22" s="173">
        <f t="shared" si="3"/>
        <v>20</v>
      </c>
      <c r="X22" s="173">
        <f>20-Y22</f>
        <v>20</v>
      </c>
      <c r="Y22" s="173">
        <v>0</v>
      </c>
      <c r="Z22" s="79" t="s">
        <v>664</v>
      </c>
    </row>
    <row r="23" spans="1:26" s="41" customFormat="1" ht="95.25" customHeight="1">
      <c r="A23" s="144">
        <v>19</v>
      </c>
      <c r="B23" s="196" t="s">
        <v>494</v>
      </c>
      <c r="C23" s="196" t="s">
        <v>649</v>
      </c>
      <c r="D23" s="79" t="s">
        <v>665</v>
      </c>
      <c r="E23" s="79" t="s">
        <v>666</v>
      </c>
      <c r="F23" s="148" t="s">
        <v>667</v>
      </c>
      <c r="G23" s="79" t="s">
        <v>668</v>
      </c>
      <c r="H23" s="79" t="s">
        <v>499</v>
      </c>
      <c r="I23" s="83">
        <f t="shared" si="4"/>
        <v>95</v>
      </c>
      <c r="J23" s="83">
        <v>0</v>
      </c>
      <c r="K23" s="83">
        <v>0</v>
      </c>
      <c r="L23" s="83">
        <v>25</v>
      </c>
      <c r="M23" s="83">
        <v>70</v>
      </c>
      <c r="N23" s="196" t="s">
        <v>263</v>
      </c>
      <c r="O23" s="196"/>
      <c r="P23" s="79" t="s">
        <v>209</v>
      </c>
      <c r="Q23" s="79"/>
      <c r="R23" s="79" t="s">
        <v>669</v>
      </c>
      <c r="S23" s="79" t="s">
        <v>513</v>
      </c>
      <c r="T23" s="79" t="s">
        <v>670</v>
      </c>
      <c r="U23" s="79" t="s">
        <v>3431</v>
      </c>
      <c r="V23" s="79" t="s">
        <v>376</v>
      </c>
      <c r="W23" s="173">
        <f>SUM(X23:Y23)</f>
        <v>29</v>
      </c>
      <c r="X23" s="173">
        <f>29-Y23</f>
        <v>29</v>
      </c>
      <c r="Y23" s="173">
        <v>0</v>
      </c>
      <c r="Z23" s="79" t="s">
        <v>671</v>
      </c>
    </row>
    <row r="24" spans="1:26" s="41" customFormat="1" ht="82.5" customHeight="1">
      <c r="A24" s="144">
        <v>20</v>
      </c>
      <c r="B24" s="196" t="s">
        <v>494</v>
      </c>
      <c r="C24" s="196" t="s">
        <v>672</v>
      </c>
      <c r="D24" s="79" t="s">
        <v>673</v>
      </c>
      <c r="E24" s="79" t="s">
        <v>674</v>
      </c>
      <c r="F24" s="148" t="s">
        <v>675</v>
      </c>
      <c r="G24" s="79" t="s">
        <v>676</v>
      </c>
      <c r="H24" s="79" t="s">
        <v>677</v>
      </c>
      <c r="I24" s="83">
        <v>290</v>
      </c>
      <c r="J24" s="83">
        <v>0</v>
      </c>
      <c r="K24" s="83">
        <v>0</v>
      </c>
      <c r="L24" s="83">
        <v>290</v>
      </c>
      <c r="M24" s="83">
        <v>0</v>
      </c>
      <c r="N24" s="196" t="s">
        <v>263</v>
      </c>
      <c r="O24" s="196"/>
      <c r="P24" s="79" t="s">
        <v>247</v>
      </c>
      <c r="Q24" s="79"/>
      <c r="R24" s="79" t="s">
        <v>678</v>
      </c>
      <c r="S24" s="79" t="s">
        <v>513</v>
      </c>
      <c r="T24" s="79" t="s">
        <v>679</v>
      </c>
      <c r="U24" s="79" t="s">
        <v>3431</v>
      </c>
      <c r="V24" s="79" t="s">
        <v>516</v>
      </c>
      <c r="W24" s="173">
        <f>SUM(X24:Y24)</f>
        <v>60</v>
      </c>
      <c r="X24" s="173">
        <v>60</v>
      </c>
      <c r="Y24" s="173">
        <v>0</v>
      </c>
      <c r="Z24" s="79" t="s">
        <v>306</v>
      </c>
    </row>
    <row r="25" spans="1:26" s="41" customFormat="1" ht="180.75" customHeight="1">
      <c r="A25" s="144">
        <v>21</v>
      </c>
      <c r="B25" s="196" t="s">
        <v>36</v>
      </c>
      <c r="C25" s="196" t="s">
        <v>680</v>
      </c>
      <c r="D25" s="79" t="s">
        <v>681</v>
      </c>
      <c r="E25" s="79" t="s">
        <v>682</v>
      </c>
      <c r="F25" s="148" t="s">
        <v>683</v>
      </c>
      <c r="G25" s="79" t="s">
        <v>684</v>
      </c>
      <c r="H25" s="79" t="s">
        <v>582</v>
      </c>
      <c r="I25" s="83">
        <f>SUM(J25:M25)</f>
        <v>470</v>
      </c>
      <c r="J25" s="83">
        <v>0</v>
      </c>
      <c r="K25" s="83">
        <v>30</v>
      </c>
      <c r="L25" s="83">
        <v>340</v>
      </c>
      <c r="M25" s="83">
        <v>100</v>
      </c>
      <c r="N25" s="196" t="s">
        <v>263</v>
      </c>
      <c r="O25" s="196"/>
      <c r="P25" s="79" t="s">
        <v>685</v>
      </c>
      <c r="Q25" s="79"/>
      <c r="R25" s="79" t="s">
        <v>686</v>
      </c>
      <c r="S25" s="79" t="s">
        <v>687</v>
      </c>
      <c r="T25" s="79" t="s">
        <v>688</v>
      </c>
      <c r="U25" s="79" t="s">
        <v>689</v>
      </c>
      <c r="V25" s="79" t="s">
        <v>690</v>
      </c>
      <c r="W25" s="173">
        <f>SUM(X25:Y25)</f>
        <v>157</v>
      </c>
      <c r="X25" s="173">
        <v>157</v>
      </c>
      <c r="Y25" s="173">
        <v>0</v>
      </c>
      <c r="Z25" s="79" t="s">
        <v>691</v>
      </c>
    </row>
    <row r="26" spans="1:26" s="41" customFormat="1" ht="126" customHeight="1">
      <c r="A26" s="144">
        <v>22</v>
      </c>
      <c r="B26" s="196" t="s">
        <v>494</v>
      </c>
      <c r="C26" s="196" t="s">
        <v>692</v>
      </c>
      <c r="D26" s="79" t="s">
        <v>693</v>
      </c>
      <c r="E26" s="79" t="s">
        <v>694</v>
      </c>
      <c r="F26" s="228" t="s">
        <v>695</v>
      </c>
      <c r="G26" s="79" t="s">
        <v>696</v>
      </c>
      <c r="H26" s="79" t="s">
        <v>3429</v>
      </c>
      <c r="I26" s="83">
        <v>65</v>
      </c>
      <c r="J26" s="83">
        <v>0</v>
      </c>
      <c r="K26" s="83">
        <v>20</v>
      </c>
      <c r="L26" s="83">
        <v>45</v>
      </c>
      <c r="M26" s="83">
        <v>0</v>
      </c>
      <c r="N26" s="196" t="s">
        <v>263</v>
      </c>
      <c r="O26" s="196"/>
      <c r="P26" s="79" t="s">
        <v>37</v>
      </c>
      <c r="Q26" s="79"/>
      <c r="R26" s="79" t="s">
        <v>697</v>
      </c>
      <c r="S26" s="79" t="s">
        <v>687</v>
      </c>
      <c r="T26" s="79" t="s">
        <v>698</v>
      </c>
      <c r="U26" s="79" t="s">
        <v>3431</v>
      </c>
      <c r="V26" s="79" t="s">
        <v>699</v>
      </c>
      <c r="W26" s="173">
        <v>5</v>
      </c>
      <c r="X26" s="173">
        <v>4</v>
      </c>
      <c r="Y26" s="173">
        <v>1</v>
      </c>
      <c r="Z26" s="79" t="s">
        <v>114</v>
      </c>
    </row>
    <row r="27" spans="1:26" s="2" customFormat="1" ht="119.25" customHeight="1">
      <c r="A27" s="144">
        <v>23</v>
      </c>
      <c r="B27" s="196" t="s">
        <v>494</v>
      </c>
      <c r="C27" s="196" t="s">
        <v>700</v>
      </c>
      <c r="D27" s="79" t="s">
        <v>701</v>
      </c>
      <c r="E27" s="79" t="s">
        <v>702</v>
      </c>
      <c r="F27" s="148" t="s">
        <v>703</v>
      </c>
      <c r="G27" s="79" t="s">
        <v>704</v>
      </c>
      <c r="H27" s="79" t="s">
        <v>705</v>
      </c>
      <c r="I27" s="83">
        <v>280</v>
      </c>
      <c r="J27" s="83">
        <v>0</v>
      </c>
      <c r="K27" s="83">
        <v>30</v>
      </c>
      <c r="L27" s="83">
        <v>250</v>
      </c>
      <c r="M27" s="83">
        <v>0</v>
      </c>
      <c r="N27" s="196" t="s">
        <v>263</v>
      </c>
      <c r="O27" s="196"/>
      <c r="P27" s="79" t="s">
        <v>247</v>
      </c>
      <c r="Q27" s="79"/>
      <c r="R27" s="79" t="s">
        <v>706</v>
      </c>
      <c r="S27" s="79" t="s">
        <v>108</v>
      </c>
      <c r="T27" s="79" t="s">
        <v>385</v>
      </c>
      <c r="U27" s="79" t="s">
        <v>3431</v>
      </c>
      <c r="V27" s="79" t="s">
        <v>707</v>
      </c>
      <c r="W27" s="173">
        <f>SUM(X27:Y27)</f>
        <v>350</v>
      </c>
      <c r="X27" s="173">
        <v>350</v>
      </c>
      <c r="Y27" s="173">
        <v>0</v>
      </c>
      <c r="Z27" s="79" t="s">
        <v>708</v>
      </c>
    </row>
    <row r="28" spans="1:26" s="43" customFormat="1" ht="119.25" customHeight="1">
      <c r="A28" s="144">
        <v>24</v>
      </c>
      <c r="B28" s="196" t="s">
        <v>494</v>
      </c>
      <c r="C28" s="196" t="s">
        <v>700</v>
      </c>
      <c r="D28" s="79" t="s">
        <v>709</v>
      </c>
      <c r="E28" s="79" t="s">
        <v>710</v>
      </c>
      <c r="F28" s="148" t="s">
        <v>711</v>
      </c>
      <c r="G28" s="79" t="s">
        <v>704</v>
      </c>
      <c r="H28" s="79" t="s">
        <v>712</v>
      </c>
      <c r="I28" s="83">
        <v>200</v>
      </c>
      <c r="J28" s="83">
        <v>0</v>
      </c>
      <c r="K28" s="83">
        <v>100</v>
      </c>
      <c r="L28" s="83">
        <v>100</v>
      </c>
      <c r="M28" s="83">
        <v>0</v>
      </c>
      <c r="N28" s="196" t="s">
        <v>3360</v>
      </c>
      <c r="O28" s="196"/>
      <c r="P28" s="79" t="s">
        <v>247</v>
      </c>
      <c r="Q28" s="79"/>
      <c r="R28" s="79" t="s">
        <v>713</v>
      </c>
      <c r="S28" s="79" t="s">
        <v>513</v>
      </c>
      <c r="T28" s="79" t="s">
        <v>385</v>
      </c>
      <c r="U28" s="79" t="s">
        <v>3431</v>
      </c>
      <c r="V28" s="79" t="s">
        <v>714</v>
      </c>
      <c r="W28" s="173">
        <f t="shared" ref="W28" si="5">SUM(X28:Y28)</f>
        <v>60</v>
      </c>
      <c r="X28" s="173">
        <v>60</v>
      </c>
      <c r="Y28" s="173">
        <v>0</v>
      </c>
      <c r="Z28" s="79" t="s">
        <v>715</v>
      </c>
    </row>
    <row r="29" spans="1:26" s="2" customFormat="1" ht="26.25" customHeight="1">
      <c r="A29" s="15"/>
      <c r="B29" s="44"/>
      <c r="C29" s="15"/>
    </row>
    <row r="30" spans="1:26" s="2" customFormat="1" ht="26.25" customHeight="1">
      <c r="A30" s="15"/>
      <c r="B30" s="44"/>
      <c r="C30" s="15"/>
    </row>
    <row r="31" spans="1:26" s="2" customFormat="1" ht="26.25" customHeight="1">
      <c r="A31" s="15"/>
      <c r="B31" s="44"/>
      <c r="C31" s="15"/>
    </row>
    <row r="32" spans="1:26" s="2" customFormat="1" ht="26.25" customHeight="1">
      <c r="A32" s="15"/>
      <c r="B32" s="44"/>
      <c r="C32" s="15"/>
    </row>
    <row r="33" spans="1:3" s="2" customFormat="1" ht="26.25" customHeight="1">
      <c r="A33" s="15"/>
      <c r="B33" s="44"/>
      <c r="C33" s="15"/>
    </row>
    <row r="34" spans="1:3" s="2" customFormat="1" ht="26.25" customHeight="1">
      <c r="A34" s="15"/>
      <c r="B34" s="44"/>
      <c r="C34" s="15"/>
    </row>
    <row r="35" spans="1:3" s="2" customFormat="1" ht="26.25" customHeight="1">
      <c r="A35" s="15"/>
      <c r="B35" s="44"/>
      <c r="C35" s="15"/>
    </row>
    <row r="36" spans="1:3" s="2" customFormat="1" ht="26.25" customHeight="1">
      <c r="A36" s="15"/>
      <c r="B36" s="44"/>
      <c r="C36" s="15"/>
    </row>
    <row r="37" spans="1:3" s="2" customFormat="1" ht="26.25" customHeight="1">
      <c r="A37" s="15"/>
      <c r="B37" s="44"/>
      <c r="C37" s="15"/>
    </row>
  </sheetData>
  <autoFilter ref="A4:Y27"/>
  <mergeCells count="5">
    <mergeCell ref="A1:Y2"/>
    <mergeCell ref="I3:M3"/>
    <mergeCell ref="N3:O3"/>
    <mergeCell ref="W3:Y3"/>
    <mergeCell ref="A3:E3"/>
  </mergeCells>
  <phoneticPr fontId="5" type="noConversion"/>
  <dataValidations disablePrompts="1" count="3">
    <dataValidation type="list" allowBlank="1" showInputMessage="1" showErrorMessage="1" sqref="P22">
      <formula1>$P$204:$P$209</formula1>
    </dataValidation>
    <dataValidation type="list" allowBlank="1" showInputMessage="1" showErrorMessage="1" sqref="B22">
      <formula1>$B$204:$B$220</formula1>
    </dataValidation>
    <dataValidation type="list" allowBlank="1" showInputMessage="1" showErrorMessage="1" sqref="B23:B28 B5:B21 P5:P21 P23:P28">
      <formula1>#REF!</formula1>
    </dataValidation>
  </dataValidations>
  <pageMargins left="0.19685039370078741" right="0.19685039370078741" top="0.35433070866141736" bottom="0.19685039370078741" header="0.19685039370078741" footer="0.19685039370078741"/>
  <pageSetup paperSize="9" scale="68" fitToHeight="0" orientation="portrait" r:id="rId1"/>
  <headerFooter alignWithMargins="0"/>
  <rowBreaks count="1" manualBreakCount="1">
    <brk id="27" max="1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1"/>
  <sheetViews>
    <sheetView zoomScale="90" zoomScaleNormal="90" zoomScaleSheetLayoutView="80" workbookViewId="0">
      <pane ySplit="4" topLeftCell="A5" activePane="bottomLeft" state="frozen"/>
      <selection pane="bottomLeft" activeCell="E14" sqref="E14"/>
    </sheetView>
  </sheetViews>
  <sheetFormatPr defaultColWidth="8.88671875" defaultRowHeight="13.5"/>
  <cols>
    <col min="1" max="1" width="5.109375" style="6" customWidth="1"/>
    <col min="2" max="2" width="12.33203125" style="6" customWidth="1"/>
    <col min="3" max="3" width="9.109375" style="6" customWidth="1"/>
    <col min="4" max="4" width="17.6640625" style="1" customWidth="1"/>
    <col min="5" max="5" width="12.109375" style="1" customWidth="1"/>
    <col min="6" max="6" width="42" style="1" customWidth="1"/>
    <col min="7" max="7" width="25.109375" style="1" customWidth="1"/>
    <col min="8" max="8" width="12.21875" style="1" customWidth="1"/>
    <col min="9" max="9" width="14.21875" style="1" customWidth="1"/>
    <col min="10" max="13" width="7.6640625" style="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6" width="12.21875" style="1" customWidth="1"/>
    <col min="27" max="16384" width="8.88671875" style="1"/>
  </cols>
  <sheetData>
    <row r="1" spans="1:27" ht="29.25" customHeight="1">
      <c r="A1" s="313" t="s">
        <v>5398</v>
      </c>
      <c r="B1" s="313"/>
      <c r="C1" s="313"/>
      <c r="D1" s="313"/>
      <c r="E1" s="313"/>
      <c r="F1" s="313"/>
      <c r="G1" s="313"/>
      <c r="H1" s="313"/>
      <c r="I1" s="313"/>
      <c r="J1" s="313"/>
      <c r="K1" s="313"/>
      <c r="L1" s="313"/>
      <c r="M1" s="313"/>
      <c r="N1" s="313"/>
      <c r="O1" s="313"/>
      <c r="P1" s="313"/>
      <c r="Q1" s="313"/>
      <c r="R1" s="313"/>
      <c r="S1" s="313"/>
      <c r="T1" s="313"/>
      <c r="U1" s="313"/>
      <c r="V1" s="313"/>
      <c r="W1" s="313"/>
      <c r="X1" s="313"/>
      <c r="Y1" s="313"/>
      <c r="Z1" s="32"/>
    </row>
    <row r="2" spans="1:27" s="2" customFormat="1" ht="17.25" customHeight="1" thickBot="1">
      <c r="A2" s="313"/>
      <c r="B2" s="313"/>
      <c r="C2" s="313"/>
      <c r="D2" s="313"/>
      <c r="E2" s="313"/>
      <c r="F2" s="313"/>
      <c r="G2" s="313"/>
      <c r="H2" s="313"/>
      <c r="I2" s="313"/>
      <c r="J2" s="313"/>
      <c r="K2" s="313"/>
      <c r="L2" s="313"/>
      <c r="M2" s="313"/>
      <c r="N2" s="313"/>
      <c r="O2" s="313"/>
      <c r="P2" s="313"/>
      <c r="Q2" s="313"/>
      <c r="R2" s="313"/>
      <c r="S2" s="313"/>
      <c r="T2" s="313"/>
      <c r="U2" s="313"/>
      <c r="V2" s="313"/>
      <c r="W2" s="313"/>
      <c r="X2" s="313"/>
      <c r="Y2" s="313"/>
      <c r="Z2" s="224"/>
    </row>
    <row r="3" spans="1:27" s="2" customFormat="1" ht="61.5" customHeight="1">
      <c r="A3" s="311" t="s">
        <v>6313</v>
      </c>
      <c r="B3" s="311"/>
      <c r="C3" s="311"/>
      <c r="D3" s="311"/>
      <c r="E3" s="311"/>
      <c r="F3" s="224"/>
      <c r="G3" s="224"/>
      <c r="H3" s="224"/>
      <c r="I3" s="305" t="s">
        <v>5400</v>
      </c>
      <c r="J3" s="305"/>
      <c r="K3" s="305"/>
      <c r="L3" s="305"/>
      <c r="M3" s="305"/>
      <c r="N3" s="306" t="s">
        <v>6417</v>
      </c>
      <c r="O3" s="307"/>
      <c r="P3" s="135"/>
      <c r="Q3" s="135"/>
      <c r="R3" s="225"/>
      <c r="S3" s="225"/>
      <c r="T3" s="225"/>
      <c r="U3" s="225"/>
      <c r="V3" s="225"/>
      <c r="W3" s="314" t="s">
        <v>5401</v>
      </c>
      <c r="X3" s="315"/>
      <c r="Y3" s="316"/>
      <c r="Z3" s="225"/>
      <c r="AA3" s="17"/>
    </row>
    <row r="4" spans="1:27" ht="39.75" customHeight="1">
      <c r="A4" s="177" t="s">
        <v>5402</v>
      </c>
      <c r="B4" s="177" t="s">
        <v>5403</v>
      </c>
      <c r="C4" s="177" t="s">
        <v>5404</v>
      </c>
      <c r="D4" s="177" t="s">
        <v>5405</v>
      </c>
      <c r="E4" s="178" t="s">
        <v>5406</v>
      </c>
      <c r="F4" s="177" t="s">
        <v>5407</v>
      </c>
      <c r="G4" s="178" t="s">
        <v>5408</v>
      </c>
      <c r="H4" s="178" t="s">
        <v>5409</v>
      </c>
      <c r="I4" s="178" t="s">
        <v>5410</v>
      </c>
      <c r="J4" s="178" t="s">
        <v>5411</v>
      </c>
      <c r="K4" s="178" t="s">
        <v>5412</v>
      </c>
      <c r="L4" s="178" t="s">
        <v>5413</v>
      </c>
      <c r="M4" s="178" t="s">
        <v>5414</v>
      </c>
      <c r="N4" s="178" t="s">
        <v>5415</v>
      </c>
      <c r="O4" s="178" t="s">
        <v>5416</v>
      </c>
      <c r="P4" s="178" t="s">
        <v>6314</v>
      </c>
      <c r="Q4" s="178" t="s">
        <v>5418</v>
      </c>
      <c r="R4" s="179" t="s">
        <v>5419</v>
      </c>
      <c r="S4" s="179" t="s">
        <v>5420</v>
      </c>
      <c r="T4" s="179" t="s">
        <v>5421</v>
      </c>
      <c r="U4" s="143" t="s">
        <v>6415</v>
      </c>
      <c r="V4" s="179" t="s">
        <v>5422</v>
      </c>
      <c r="W4" s="179" t="s">
        <v>5423</v>
      </c>
      <c r="X4" s="179" t="s">
        <v>5424</v>
      </c>
      <c r="Y4" s="179" t="s">
        <v>5425</v>
      </c>
      <c r="Z4" s="179" t="s">
        <v>5426</v>
      </c>
    </row>
    <row r="5" spans="1:27" ht="38.25" customHeight="1">
      <c r="A5" s="155">
        <v>1</v>
      </c>
      <c r="B5" s="155" t="s">
        <v>4862</v>
      </c>
      <c r="C5" s="155" t="s">
        <v>6315</v>
      </c>
      <c r="D5" s="80" t="s">
        <v>6316</v>
      </c>
      <c r="E5" s="80" t="s">
        <v>6317</v>
      </c>
      <c r="F5" s="136" t="s">
        <v>6318</v>
      </c>
      <c r="G5" s="80" t="s">
        <v>6319</v>
      </c>
      <c r="H5" s="80" t="s">
        <v>6320</v>
      </c>
      <c r="I5" s="81">
        <v>1200</v>
      </c>
      <c r="J5" s="81">
        <v>400</v>
      </c>
      <c r="K5" s="81">
        <v>800</v>
      </c>
      <c r="L5" s="81">
        <v>0</v>
      </c>
      <c r="M5" s="81">
        <v>0</v>
      </c>
      <c r="N5" s="80" t="s">
        <v>6321</v>
      </c>
      <c r="O5" s="80" t="s">
        <v>6322</v>
      </c>
      <c r="P5" s="80" t="s">
        <v>247</v>
      </c>
      <c r="Q5" s="80" t="s">
        <v>6323</v>
      </c>
      <c r="R5" s="80" t="s">
        <v>6324</v>
      </c>
      <c r="S5" s="80" t="s">
        <v>5434</v>
      </c>
      <c r="T5" s="80" t="s">
        <v>6325</v>
      </c>
      <c r="U5" s="80" t="s">
        <v>6326</v>
      </c>
      <c r="V5" s="80" t="s">
        <v>5437</v>
      </c>
      <c r="W5" s="81">
        <f>SUM(X5:Y5)</f>
        <v>85</v>
      </c>
      <c r="X5" s="81">
        <v>85</v>
      </c>
      <c r="Y5" s="81">
        <v>0</v>
      </c>
      <c r="Z5" s="80" t="s">
        <v>6327</v>
      </c>
    </row>
    <row r="6" spans="1:27" ht="38.25" customHeight="1">
      <c r="A6" s="155">
        <v>2</v>
      </c>
      <c r="B6" s="155" t="s">
        <v>4862</v>
      </c>
      <c r="C6" s="155" t="s">
        <v>495</v>
      </c>
      <c r="D6" s="80" t="s">
        <v>4863</v>
      </c>
      <c r="E6" s="80" t="s">
        <v>4864</v>
      </c>
      <c r="F6" s="136" t="s">
        <v>6328</v>
      </c>
      <c r="G6" s="80" t="s">
        <v>4865</v>
      </c>
      <c r="H6" s="80" t="s">
        <v>2470</v>
      </c>
      <c r="I6" s="81">
        <v>1100</v>
      </c>
      <c r="J6" s="81">
        <v>0</v>
      </c>
      <c r="K6" s="81">
        <v>1100</v>
      </c>
      <c r="L6" s="81">
        <v>0</v>
      </c>
      <c r="M6" s="81">
        <v>0</v>
      </c>
      <c r="N6" s="80"/>
      <c r="O6" s="80"/>
      <c r="P6" s="80" t="s">
        <v>271</v>
      </c>
      <c r="Q6" s="80"/>
      <c r="R6" s="80" t="s">
        <v>4866</v>
      </c>
      <c r="S6" s="80" t="s">
        <v>373</v>
      </c>
      <c r="T6" s="80" t="s">
        <v>4867</v>
      </c>
      <c r="U6" s="80" t="s">
        <v>595</v>
      </c>
      <c r="V6" s="80" t="s">
        <v>529</v>
      </c>
      <c r="W6" s="81">
        <v>2934</v>
      </c>
      <c r="X6" s="81">
        <v>2923</v>
      </c>
      <c r="Y6" s="81">
        <v>11</v>
      </c>
      <c r="Z6" s="80" t="s">
        <v>4868</v>
      </c>
    </row>
    <row r="7" spans="1:27" ht="38.25" customHeight="1">
      <c r="A7" s="155">
        <v>3</v>
      </c>
      <c r="B7" s="155" t="s">
        <v>4862</v>
      </c>
      <c r="C7" s="155" t="s">
        <v>495</v>
      </c>
      <c r="D7" s="80" t="s">
        <v>6329</v>
      </c>
      <c r="E7" s="80" t="s">
        <v>4869</v>
      </c>
      <c r="F7" s="136" t="s">
        <v>6330</v>
      </c>
      <c r="G7" s="80" t="s">
        <v>6331</v>
      </c>
      <c r="H7" s="80" t="s">
        <v>3678</v>
      </c>
      <c r="I7" s="81">
        <v>1130</v>
      </c>
      <c r="J7" s="81">
        <v>0</v>
      </c>
      <c r="K7" s="81">
        <v>270</v>
      </c>
      <c r="L7" s="81">
        <v>0</v>
      </c>
      <c r="M7" s="81">
        <v>860</v>
      </c>
      <c r="N7" s="80"/>
      <c r="O7" s="80"/>
      <c r="P7" s="80" t="s">
        <v>4870</v>
      </c>
      <c r="Q7" s="80" t="s">
        <v>6332</v>
      </c>
      <c r="R7" s="80" t="s">
        <v>4871</v>
      </c>
      <c r="S7" s="80" t="s">
        <v>373</v>
      </c>
      <c r="T7" s="80" t="s">
        <v>4872</v>
      </c>
      <c r="U7" s="80" t="s">
        <v>595</v>
      </c>
      <c r="V7" s="80" t="s">
        <v>529</v>
      </c>
      <c r="W7" s="81">
        <v>700</v>
      </c>
      <c r="X7" s="81">
        <v>700</v>
      </c>
      <c r="Y7" s="81">
        <v>0</v>
      </c>
      <c r="Z7" s="80" t="s">
        <v>1468</v>
      </c>
    </row>
    <row r="8" spans="1:27" ht="38.25" customHeight="1">
      <c r="A8" s="155">
        <v>4</v>
      </c>
      <c r="B8" s="155" t="s">
        <v>4862</v>
      </c>
      <c r="C8" s="155" t="s">
        <v>495</v>
      </c>
      <c r="D8" s="80" t="s">
        <v>4883</v>
      </c>
      <c r="E8" s="80" t="s">
        <v>4884</v>
      </c>
      <c r="F8" s="136" t="s">
        <v>6333</v>
      </c>
      <c r="G8" s="80" t="s">
        <v>4885</v>
      </c>
      <c r="H8" s="80" t="s">
        <v>6334</v>
      </c>
      <c r="I8" s="81">
        <v>290</v>
      </c>
      <c r="J8" s="81">
        <v>0</v>
      </c>
      <c r="K8" s="81">
        <v>290</v>
      </c>
      <c r="L8" s="81">
        <v>0</v>
      </c>
      <c r="M8" s="81">
        <v>0</v>
      </c>
      <c r="N8" s="80"/>
      <c r="O8" s="80"/>
      <c r="P8" s="80" t="s">
        <v>209</v>
      </c>
      <c r="Q8" s="80"/>
      <c r="R8" s="80" t="s">
        <v>4886</v>
      </c>
      <c r="S8" s="80" t="s">
        <v>373</v>
      </c>
      <c r="T8" s="80" t="s">
        <v>3765</v>
      </c>
      <c r="U8" s="80" t="s">
        <v>595</v>
      </c>
      <c r="V8" s="80" t="s">
        <v>376</v>
      </c>
      <c r="W8" s="81">
        <v>40</v>
      </c>
      <c r="X8" s="81">
        <v>0</v>
      </c>
      <c r="Y8" s="81">
        <v>0</v>
      </c>
      <c r="Z8" s="80" t="s">
        <v>2391</v>
      </c>
    </row>
    <row r="9" spans="1:27" ht="38.25" customHeight="1">
      <c r="A9" s="155">
        <v>5</v>
      </c>
      <c r="B9" s="155" t="s">
        <v>4862</v>
      </c>
      <c r="C9" s="80" t="s">
        <v>4887</v>
      </c>
      <c r="D9" s="155" t="s">
        <v>4888</v>
      </c>
      <c r="E9" s="80" t="s">
        <v>6335</v>
      </c>
      <c r="F9" s="136" t="s">
        <v>4889</v>
      </c>
      <c r="G9" s="80" t="s">
        <v>4890</v>
      </c>
      <c r="H9" s="80" t="s">
        <v>721</v>
      </c>
      <c r="I9" s="81">
        <v>400</v>
      </c>
      <c r="J9" s="174">
        <v>350</v>
      </c>
      <c r="K9" s="81">
        <v>0</v>
      </c>
      <c r="L9" s="81">
        <v>0</v>
      </c>
      <c r="M9" s="174">
        <v>50</v>
      </c>
      <c r="N9" s="155"/>
      <c r="O9" s="155"/>
      <c r="P9" s="80" t="s">
        <v>247</v>
      </c>
      <c r="Q9" s="80"/>
      <c r="R9" s="80" t="s">
        <v>4891</v>
      </c>
      <c r="S9" s="80" t="s">
        <v>373</v>
      </c>
      <c r="T9" s="80" t="s">
        <v>6336</v>
      </c>
      <c r="U9" s="80" t="s">
        <v>595</v>
      </c>
      <c r="V9" s="80" t="s">
        <v>529</v>
      </c>
      <c r="W9" s="81">
        <v>270</v>
      </c>
      <c r="X9" s="81">
        <v>270</v>
      </c>
      <c r="Y9" s="81">
        <v>0</v>
      </c>
      <c r="Z9" s="80" t="s">
        <v>1468</v>
      </c>
    </row>
    <row r="10" spans="1:27" ht="38.25" customHeight="1">
      <c r="A10" s="155">
        <v>6</v>
      </c>
      <c r="B10" s="155" t="s">
        <v>4862</v>
      </c>
      <c r="C10" s="155" t="s">
        <v>588</v>
      </c>
      <c r="D10" s="80" t="s">
        <v>4873</v>
      </c>
      <c r="E10" s="80" t="s">
        <v>6337</v>
      </c>
      <c r="F10" s="136" t="s">
        <v>6338</v>
      </c>
      <c r="G10" s="80" t="s">
        <v>4874</v>
      </c>
      <c r="H10" s="80" t="s">
        <v>4875</v>
      </c>
      <c r="I10" s="81">
        <v>432</v>
      </c>
      <c r="J10" s="81">
        <v>216</v>
      </c>
      <c r="K10" s="81">
        <v>108</v>
      </c>
      <c r="L10" s="81">
        <v>108</v>
      </c>
      <c r="M10" s="81">
        <v>0</v>
      </c>
      <c r="N10" s="80" t="s">
        <v>6339</v>
      </c>
      <c r="O10" s="80" t="s">
        <v>4876</v>
      </c>
      <c r="P10" s="80" t="s">
        <v>304</v>
      </c>
      <c r="Q10" s="80"/>
      <c r="R10" s="80" t="s">
        <v>4877</v>
      </c>
      <c r="S10" s="80" t="s">
        <v>373</v>
      </c>
      <c r="T10" s="80" t="s">
        <v>6340</v>
      </c>
      <c r="U10" s="80" t="s">
        <v>595</v>
      </c>
      <c r="V10" s="80" t="s">
        <v>376</v>
      </c>
      <c r="W10" s="81">
        <v>100</v>
      </c>
      <c r="X10" s="81">
        <v>100</v>
      </c>
      <c r="Y10" s="81">
        <v>0</v>
      </c>
      <c r="Z10" s="80" t="s">
        <v>4878</v>
      </c>
    </row>
    <row r="11" spans="1:27" ht="38.25" customHeight="1">
      <c r="A11" s="155">
        <v>7</v>
      </c>
      <c r="B11" s="155" t="s">
        <v>4862</v>
      </c>
      <c r="C11" s="80" t="s">
        <v>588</v>
      </c>
      <c r="D11" s="80" t="s">
        <v>4892</v>
      </c>
      <c r="E11" s="80" t="s">
        <v>3531</v>
      </c>
      <c r="F11" s="136" t="s">
        <v>6341</v>
      </c>
      <c r="G11" s="80" t="s">
        <v>4893</v>
      </c>
      <c r="H11" s="80" t="s">
        <v>3626</v>
      </c>
      <c r="I11" s="81">
        <v>115</v>
      </c>
      <c r="J11" s="81">
        <v>0</v>
      </c>
      <c r="K11" s="81">
        <v>0</v>
      </c>
      <c r="L11" s="174">
        <v>115</v>
      </c>
      <c r="M11" s="81">
        <v>0</v>
      </c>
      <c r="N11" s="155"/>
      <c r="O11" s="155"/>
      <c r="P11" s="80" t="s">
        <v>247</v>
      </c>
      <c r="Q11" s="80"/>
      <c r="R11" s="80" t="s">
        <v>2506</v>
      </c>
      <c r="S11" s="80" t="s">
        <v>373</v>
      </c>
      <c r="T11" s="80" t="s">
        <v>6340</v>
      </c>
      <c r="U11" s="80" t="s">
        <v>595</v>
      </c>
      <c r="V11" s="80" t="s">
        <v>529</v>
      </c>
      <c r="W11" s="81">
        <v>25</v>
      </c>
      <c r="X11" s="81">
        <v>25</v>
      </c>
      <c r="Y11" s="81">
        <v>0</v>
      </c>
      <c r="Z11" s="80" t="s">
        <v>1468</v>
      </c>
    </row>
    <row r="12" spans="1:27" ht="38.25" customHeight="1">
      <c r="A12" s="155">
        <v>8</v>
      </c>
      <c r="B12" s="155" t="s">
        <v>4862</v>
      </c>
      <c r="C12" s="80" t="s">
        <v>588</v>
      </c>
      <c r="D12" s="80" t="s">
        <v>4894</v>
      </c>
      <c r="E12" s="80" t="s">
        <v>3658</v>
      </c>
      <c r="F12" s="136" t="s">
        <v>6342</v>
      </c>
      <c r="G12" s="80" t="s">
        <v>4893</v>
      </c>
      <c r="H12" s="80" t="s">
        <v>721</v>
      </c>
      <c r="I12" s="81">
        <v>200</v>
      </c>
      <c r="J12" s="81">
        <v>0</v>
      </c>
      <c r="K12" s="81">
        <v>50</v>
      </c>
      <c r="L12" s="81">
        <v>150</v>
      </c>
      <c r="M12" s="81">
        <v>0</v>
      </c>
      <c r="N12" s="80"/>
      <c r="O12" s="80"/>
      <c r="P12" s="80" t="s">
        <v>247</v>
      </c>
      <c r="Q12" s="80"/>
      <c r="R12" s="80" t="s">
        <v>4895</v>
      </c>
      <c r="S12" s="80" t="s">
        <v>373</v>
      </c>
      <c r="T12" s="80" t="s">
        <v>6340</v>
      </c>
      <c r="U12" s="80" t="s">
        <v>595</v>
      </c>
      <c r="V12" s="80" t="s">
        <v>529</v>
      </c>
      <c r="W12" s="81">
        <v>200</v>
      </c>
      <c r="X12" s="81">
        <v>200</v>
      </c>
      <c r="Y12" s="81">
        <v>0</v>
      </c>
      <c r="Z12" s="80" t="s">
        <v>1029</v>
      </c>
    </row>
    <row r="13" spans="1:27" ht="38.25" customHeight="1">
      <c r="A13" s="155">
        <v>9</v>
      </c>
      <c r="B13" s="155" t="s">
        <v>4862</v>
      </c>
      <c r="C13" s="80" t="s">
        <v>588</v>
      </c>
      <c r="D13" s="155" t="s">
        <v>4896</v>
      </c>
      <c r="E13" s="80" t="s">
        <v>3475</v>
      </c>
      <c r="F13" s="136" t="s">
        <v>6343</v>
      </c>
      <c r="G13" s="80" t="s">
        <v>4897</v>
      </c>
      <c r="H13" s="80" t="s">
        <v>4898</v>
      </c>
      <c r="I13" s="81">
        <v>80</v>
      </c>
      <c r="J13" s="81">
        <v>0</v>
      </c>
      <c r="K13" s="81">
        <v>0</v>
      </c>
      <c r="L13" s="174">
        <v>80</v>
      </c>
      <c r="M13" s="81">
        <v>0</v>
      </c>
      <c r="N13" s="155"/>
      <c r="O13" s="155"/>
      <c r="P13" s="80" t="s">
        <v>247</v>
      </c>
      <c r="Q13" s="80"/>
      <c r="R13" s="80" t="s">
        <v>4000</v>
      </c>
      <c r="S13" s="80" t="s">
        <v>373</v>
      </c>
      <c r="T13" s="80" t="s">
        <v>6344</v>
      </c>
      <c r="U13" s="80" t="s">
        <v>5620</v>
      </c>
      <c r="V13" s="80" t="s">
        <v>529</v>
      </c>
      <c r="W13" s="81">
        <v>10</v>
      </c>
      <c r="X13" s="81">
        <v>10</v>
      </c>
      <c r="Y13" s="81">
        <v>0</v>
      </c>
      <c r="Z13" s="80" t="s">
        <v>3512</v>
      </c>
    </row>
    <row r="14" spans="1:27" ht="38.25" customHeight="1">
      <c r="A14" s="155">
        <v>10</v>
      </c>
      <c r="B14" s="155" t="s">
        <v>4862</v>
      </c>
      <c r="C14" s="80" t="s">
        <v>588</v>
      </c>
      <c r="D14" s="155" t="s">
        <v>4899</v>
      </c>
      <c r="E14" s="80" t="s">
        <v>4900</v>
      </c>
      <c r="F14" s="136" t="s">
        <v>4901</v>
      </c>
      <c r="G14" s="80" t="s">
        <v>4902</v>
      </c>
      <c r="H14" s="80" t="s">
        <v>3592</v>
      </c>
      <c r="I14" s="81">
        <v>30</v>
      </c>
      <c r="J14" s="81">
        <v>0</v>
      </c>
      <c r="K14" s="81">
        <v>0</v>
      </c>
      <c r="L14" s="81">
        <v>30</v>
      </c>
      <c r="M14" s="81">
        <v>0</v>
      </c>
      <c r="N14" s="80"/>
      <c r="O14" s="80"/>
      <c r="P14" s="80" t="s">
        <v>247</v>
      </c>
      <c r="Q14" s="80"/>
      <c r="R14" s="80" t="s">
        <v>4903</v>
      </c>
      <c r="S14" s="80" t="s">
        <v>373</v>
      </c>
      <c r="T14" s="80" t="s">
        <v>6345</v>
      </c>
      <c r="U14" s="80" t="s">
        <v>5620</v>
      </c>
      <c r="V14" s="80" t="s">
        <v>529</v>
      </c>
      <c r="W14" s="81">
        <v>1</v>
      </c>
      <c r="X14" s="81">
        <v>1</v>
      </c>
      <c r="Y14" s="81">
        <v>0</v>
      </c>
      <c r="Z14" s="80" t="s">
        <v>4904</v>
      </c>
    </row>
    <row r="15" spans="1:27" ht="38.25" customHeight="1">
      <c r="A15" s="155">
        <v>11</v>
      </c>
      <c r="B15" s="155" t="s">
        <v>4862</v>
      </c>
      <c r="C15" s="155" t="s">
        <v>1023</v>
      </c>
      <c r="D15" s="80" t="s">
        <v>4905</v>
      </c>
      <c r="E15" s="80" t="s">
        <v>4906</v>
      </c>
      <c r="F15" s="136" t="s">
        <v>4907</v>
      </c>
      <c r="G15" s="80" t="s">
        <v>4908</v>
      </c>
      <c r="H15" s="80" t="s">
        <v>4909</v>
      </c>
      <c r="I15" s="81">
        <v>294</v>
      </c>
      <c r="J15" s="81">
        <v>0</v>
      </c>
      <c r="K15" s="81">
        <v>0</v>
      </c>
      <c r="L15" s="174">
        <v>294</v>
      </c>
      <c r="M15" s="81">
        <v>0</v>
      </c>
      <c r="N15" s="155"/>
      <c r="O15" s="155"/>
      <c r="P15" s="155" t="s">
        <v>304</v>
      </c>
      <c r="Q15" s="155"/>
      <c r="R15" s="155" t="s">
        <v>4910</v>
      </c>
      <c r="S15" s="80" t="s">
        <v>373</v>
      </c>
      <c r="T15" s="80" t="s">
        <v>6340</v>
      </c>
      <c r="U15" s="155" t="s">
        <v>595</v>
      </c>
      <c r="V15" s="80" t="s">
        <v>1924</v>
      </c>
      <c r="W15" s="81">
        <v>100</v>
      </c>
      <c r="X15" s="81">
        <v>100</v>
      </c>
      <c r="Y15" s="81">
        <v>0</v>
      </c>
      <c r="Z15" s="80" t="s">
        <v>4911</v>
      </c>
    </row>
    <row r="16" spans="1:27" ht="38.25" customHeight="1">
      <c r="A16" s="155">
        <v>12</v>
      </c>
      <c r="B16" s="155" t="s">
        <v>4862</v>
      </c>
      <c r="C16" s="80" t="s">
        <v>4912</v>
      </c>
      <c r="D16" s="80" t="s">
        <v>4913</v>
      </c>
      <c r="E16" s="80" t="s">
        <v>6346</v>
      </c>
      <c r="F16" s="136" t="s">
        <v>6347</v>
      </c>
      <c r="G16" s="80" t="s">
        <v>4914</v>
      </c>
      <c r="H16" s="80" t="s">
        <v>3465</v>
      </c>
      <c r="I16" s="81">
        <v>227</v>
      </c>
      <c r="J16" s="81" t="s">
        <v>6348</v>
      </c>
      <c r="K16" s="81" t="s">
        <v>6348</v>
      </c>
      <c r="L16" s="81">
        <v>227</v>
      </c>
      <c r="M16" s="81" t="s">
        <v>6348</v>
      </c>
      <c r="N16" s="80"/>
      <c r="O16" s="80"/>
      <c r="P16" s="80" t="s">
        <v>247</v>
      </c>
      <c r="Q16" s="80"/>
      <c r="R16" s="80" t="s">
        <v>4915</v>
      </c>
      <c r="S16" s="80" t="s">
        <v>373</v>
      </c>
      <c r="T16" s="80" t="s">
        <v>2911</v>
      </c>
      <c r="U16" s="80" t="s">
        <v>5620</v>
      </c>
      <c r="V16" s="80" t="s">
        <v>1924</v>
      </c>
      <c r="W16" s="81">
        <v>30</v>
      </c>
      <c r="X16" s="81">
        <v>25</v>
      </c>
      <c r="Y16" s="81">
        <v>5</v>
      </c>
      <c r="Z16" s="80" t="s">
        <v>4916</v>
      </c>
    </row>
    <row r="17" spans="1:26" ht="38.25" customHeight="1">
      <c r="A17" s="155">
        <v>13</v>
      </c>
      <c r="B17" s="155" t="s">
        <v>4862</v>
      </c>
      <c r="C17" s="80" t="s">
        <v>4912</v>
      </c>
      <c r="D17" s="80" t="s">
        <v>6349</v>
      </c>
      <c r="E17" s="80" t="s">
        <v>6350</v>
      </c>
      <c r="F17" s="136" t="s">
        <v>6351</v>
      </c>
      <c r="G17" s="80" t="s">
        <v>6352</v>
      </c>
      <c r="H17" s="80" t="s">
        <v>2470</v>
      </c>
      <c r="I17" s="81">
        <v>60</v>
      </c>
      <c r="J17" s="81" t="s">
        <v>6348</v>
      </c>
      <c r="K17" s="81" t="s">
        <v>6348</v>
      </c>
      <c r="L17" s="81">
        <v>60</v>
      </c>
      <c r="M17" s="81" t="s">
        <v>6348</v>
      </c>
      <c r="N17" s="80"/>
      <c r="O17" s="80"/>
      <c r="P17" s="80" t="s">
        <v>304</v>
      </c>
      <c r="Q17" s="80"/>
      <c r="R17" s="80" t="s">
        <v>6353</v>
      </c>
      <c r="S17" s="80" t="s">
        <v>373</v>
      </c>
      <c r="T17" s="80" t="s">
        <v>2911</v>
      </c>
      <c r="U17" s="80" t="s">
        <v>5620</v>
      </c>
      <c r="V17" s="80" t="s">
        <v>376</v>
      </c>
      <c r="W17" s="81">
        <v>30</v>
      </c>
      <c r="X17" s="81">
        <v>30</v>
      </c>
      <c r="Y17" s="81">
        <v>0</v>
      </c>
      <c r="Z17" s="80" t="s">
        <v>6354</v>
      </c>
    </row>
    <row r="18" spans="1:26" ht="38.25" customHeight="1">
      <c r="A18" s="155">
        <v>14</v>
      </c>
      <c r="B18" s="155" t="s">
        <v>4862</v>
      </c>
      <c r="C18" s="155" t="s">
        <v>4917</v>
      </c>
      <c r="D18" s="80" t="s">
        <v>4918</v>
      </c>
      <c r="E18" s="80" t="s">
        <v>4919</v>
      </c>
      <c r="F18" s="136" t="s">
        <v>4920</v>
      </c>
      <c r="G18" s="80" t="s">
        <v>4921</v>
      </c>
      <c r="H18" s="80" t="s">
        <v>4922</v>
      </c>
      <c r="I18" s="81">
        <v>280</v>
      </c>
      <c r="J18" s="81">
        <v>0</v>
      </c>
      <c r="K18" s="174">
        <v>200</v>
      </c>
      <c r="L18" s="174">
        <v>80</v>
      </c>
      <c r="M18" s="81">
        <v>0</v>
      </c>
      <c r="N18" s="155"/>
      <c r="O18" s="155"/>
      <c r="P18" s="155" t="s">
        <v>436</v>
      </c>
      <c r="Q18" s="155"/>
      <c r="R18" s="155" t="s">
        <v>4923</v>
      </c>
      <c r="S18" s="80" t="s">
        <v>373</v>
      </c>
      <c r="T18" s="80" t="s">
        <v>374</v>
      </c>
      <c r="U18" s="80" t="s">
        <v>6355</v>
      </c>
      <c r="V18" s="80" t="s">
        <v>1924</v>
      </c>
      <c r="W18" s="81">
        <v>100</v>
      </c>
      <c r="X18" s="81">
        <v>95</v>
      </c>
      <c r="Y18" s="81">
        <v>5</v>
      </c>
      <c r="Z18" s="80" t="s">
        <v>1468</v>
      </c>
    </row>
    <row r="19" spans="1:26" ht="38.25" customHeight="1">
      <c r="A19" s="155">
        <v>15</v>
      </c>
      <c r="B19" s="155" t="s">
        <v>4862</v>
      </c>
      <c r="C19" s="80" t="s">
        <v>4917</v>
      </c>
      <c r="D19" s="80" t="s">
        <v>4924</v>
      </c>
      <c r="E19" s="80" t="s">
        <v>4674</v>
      </c>
      <c r="F19" s="136" t="s">
        <v>6356</v>
      </c>
      <c r="G19" s="80" t="s">
        <v>4925</v>
      </c>
      <c r="H19" s="80" t="s">
        <v>4926</v>
      </c>
      <c r="I19" s="81">
        <v>544</v>
      </c>
      <c r="J19" s="81">
        <v>0</v>
      </c>
      <c r="K19" s="81">
        <v>0</v>
      </c>
      <c r="L19" s="81">
        <v>544</v>
      </c>
      <c r="M19" s="81">
        <v>0</v>
      </c>
      <c r="N19" s="80"/>
      <c r="O19" s="80"/>
      <c r="P19" s="80" t="s">
        <v>247</v>
      </c>
      <c r="Q19" s="80" t="s">
        <v>6332</v>
      </c>
      <c r="R19" s="80" t="s">
        <v>4927</v>
      </c>
      <c r="S19" s="80" t="s">
        <v>373</v>
      </c>
      <c r="T19" s="80" t="s">
        <v>374</v>
      </c>
      <c r="U19" s="80" t="s">
        <v>6355</v>
      </c>
      <c r="V19" s="80" t="s">
        <v>1924</v>
      </c>
      <c r="W19" s="81">
        <v>70</v>
      </c>
      <c r="X19" s="81">
        <v>70</v>
      </c>
      <c r="Y19" s="81">
        <v>0</v>
      </c>
      <c r="Z19" s="80" t="s">
        <v>1468</v>
      </c>
    </row>
    <row r="20" spans="1:26" ht="38.25" customHeight="1">
      <c r="A20" s="155">
        <v>16</v>
      </c>
      <c r="B20" s="155" t="s">
        <v>4862</v>
      </c>
      <c r="C20" s="80" t="s">
        <v>4928</v>
      </c>
      <c r="D20" s="80" t="s">
        <v>4929</v>
      </c>
      <c r="E20" s="80" t="s">
        <v>4930</v>
      </c>
      <c r="F20" s="136" t="s">
        <v>4931</v>
      </c>
      <c r="G20" s="80" t="s">
        <v>4932</v>
      </c>
      <c r="H20" s="80" t="s">
        <v>4933</v>
      </c>
      <c r="I20" s="81">
        <v>460</v>
      </c>
      <c r="J20" s="81">
        <v>0</v>
      </c>
      <c r="K20" s="81">
        <v>0</v>
      </c>
      <c r="L20" s="81">
        <v>460</v>
      </c>
      <c r="M20" s="81">
        <v>0</v>
      </c>
      <c r="N20" s="80"/>
      <c r="O20" s="80"/>
      <c r="P20" s="80" t="s">
        <v>209</v>
      </c>
      <c r="Q20" s="80"/>
      <c r="R20" s="80" t="s">
        <v>4934</v>
      </c>
      <c r="S20" s="80" t="s">
        <v>373</v>
      </c>
      <c r="T20" s="80" t="s">
        <v>6357</v>
      </c>
      <c r="U20" s="80" t="s">
        <v>595</v>
      </c>
      <c r="V20" s="80" t="s">
        <v>529</v>
      </c>
      <c r="W20" s="81">
        <v>357</v>
      </c>
      <c r="X20" s="81">
        <v>357</v>
      </c>
      <c r="Y20" s="81">
        <v>0</v>
      </c>
      <c r="Z20" s="80" t="s">
        <v>4935</v>
      </c>
    </row>
    <row r="21" spans="1:26" ht="38.25" customHeight="1">
      <c r="A21" s="155">
        <v>17</v>
      </c>
      <c r="B21" s="155" t="s">
        <v>4862</v>
      </c>
      <c r="C21" s="80" t="s">
        <v>4936</v>
      </c>
      <c r="D21" s="80" t="s">
        <v>4937</v>
      </c>
      <c r="E21" s="80" t="s">
        <v>6358</v>
      </c>
      <c r="F21" s="136" t="s">
        <v>6359</v>
      </c>
      <c r="G21" s="80" t="s">
        <v>4938</v>
      </c>
      <c r="H21" s="80" t="s">
        <v>3747</v>
      </c>
      <c r="I21" s="81">
        <v>400</v>
      </c>
      <c r="J21" s="81">
        <v>0</v>
      </c>
      <c r="K21" s="81">
        <v>0</v>
      </c>
      <c r="L21" s="81">
        <v>400</v>
      </c>
      <c r="M21" s="81">
        <v>0</v>
      </c>
      <c r="N21" s="80"/>
      <c r="O21" s="80"/>
      <c r="P21" s="80" t="s">
        <v>304</v>
      </c>
      <c r="Q21" s="80"/>
      <c r="R21" s="80" t="s">
        <v>4939</v>
      </c>
      <c r="S21" s="80" t="s">
        <v>373</v>
      </c>
      <c r="T21" s="80" t="s">
        <v>4940</v>
      </c>
      <c r="U21" s="80" t="s">
        <v>6360</v>
      </c>
      <c r="V21" s="80" t="s">
        <v>529</v>
      </c>
      <c r="W21" s="81">
        <v>700</v>
      </c>
      <c r="X21" s="81">
        <v>690</v>
      </c>
      <c r="Y21" s="81">
        <v>10</v>
      </c>
      <c r="Z21" s="80" t="s">
        <v>3766</v>
      </c>
    </row>
    <row r="22" spans="1:26" ht="38.25" customHeight="1">
      <c r="A22" s="155">
        <v>18</v>
      </c>
      <c r="B22" s="155" t="s">
        <v>4862</v>
      </c>
      <c r="C22" s="155" t="s">
        <v>4941</v>
      </c>
      <c r="D22" s="80" t="s">
        <v>4942</v>
      </c>
      <c r="E22" s="80" t="s">
        <v>3658</v>
      </c>
      <c r="F22" s="136" t="s">
        <v>6361</v>
      </c>
      <c r="G22" s="80" t="s">
        <v>4943</v>
      </c>
      <c r="H22" s="80" t="s">
        <v>4944</v>
      </c>
      <c r="I22" s="81">
        <v>150</v>
      </c>
      <c r="J22" s="81">
        <v>0</v>
      </c>
      <c r="K22" s="81">
        <v>0</v>
      </c>
      <c r="L22" s="174">
        <v>150</v>
      </c>
      <c r="M22" s="81">
        <v>0</v>
      </c>
      <c r="N22" s="155"/>
      <c r="O22" s="155"/>
      <c r="P22" s="155" t="s">
        <v>304</v>
      </c>
      <c r="Q22" s="155"/>
      <c r="R22" s="155" t="s">
        <v>4945</v>
      </c>
      <c r="S22" s="80" t="s">
        <v>373</v>
      </c>
      <c r="T22" s="80" t="s">
        <v>6362</v>
      </c>
      <c r="U22" s="155" t="s">
        <v>595</v>
      </c>
      <c r="V22" s="80" t="s">
        <v>1924</v>
      </c>
      <c r="W22" s="81">
        <v>9</v>
      </c>
      <c r="X22" s="81">
        <v>9</v>
      </c>
      <c r="Y22" s="81">
        <v>0</v>
      </c>
      <c r="Z22" s="80" t="s">
        <v>3642</v>
      </c>
    </row>
    <row r="23" spans="1:26" ht="38.25" customHeight="1">
      <c r="A23" s="155">
        <v>19</v>
      </c>
      <c r="B23" s="155" t="s">
        <v>4862</v>
      </c>
      <c r="C23" s="155" t="s">
        <v>4941</v>
      </c>
      <c r="D23" s="80" t="s">
        <v>4946</v>
      </c>
      <c r="E23" s="80" t="s">
        <v>3658</v>
      </c>
      <c r="F23" s="136" t="s">
        <v>6363</v>
      </c>
      <c r="G23" s="80" t="s">
        <v>4947</v>
      </c>
      <c r="H23" s="80" t="s">
        <v>6364</v>
      </c>
      <c r="I23" s="81">
        <v>500</v>
      </c>
      <c r="J23" s="81">
        <v>0</v>
      </c>
      <c r="K23" s="174">
        <v>250</v>
      </c>
      <c r="L23" s="174">
        <v>250</v>
      </c>
      <c r="M23" s="81">
        <v>0</v>
      </c>
      <c r="N23" s="155"/>
      <c r="O23" s="155"/>
      <c r="P23" s="80" t="s">
        <v>436</v>
      </c>
      <c r="Q23" s="80"/>
      <c r="R23" s="80" t="s">
        <v>4948</v>
      </c>
      <c r="S23" s="80" t="s">
        <v>373</v>
      </c>
      <c r="T23" s="80" t="s">
        <v>6362</v>
      </c>
      <c r="U23" s="80" t="s">
        <v>595</v>
      </c>
      <c r="V23" s="80" t="s">
        <v>1924</v>
      </c>
      <c r="W23" s="81">
        <v>0</v>
      </c>
      <c r="X23" s="81">
        <v>0</v>
      </c>
      <c r="Y23" s="81">
        <v>0</v>
      </c>
      <c r="Z23" s="80" t="s">
        <v>4949</v>
      </c>
    </row>
    <row r="24" spans="1:26" ht="38.25" customHeight="1">
      <c r="A24" s="155">
        <v>20</v>
      </c>
      <c r="B24" s="155" t="s">
        <v>4862</v>
      </c>
      <c r="C24" s="80" t="s">
        <v>4879</v>
      </c>
      <c r="D24" s="80" t="s">
        <v>4950</v>
      </c>
      <c r="E24" s="80" t="s">
        <v>6365</v>
      </c>
      <c r="F24" s="136" t="s">
        <v>6366</v>
      </c>
      <c r="G24" s="80" t="s">
        <v>4951</v>
      </c>
      <c r="H24" s="80" t="s">
        <v>4952</v>
      </c>
      <c r="I24" s="81">
        <v>250</v>
      </c>
      <c r="J24" s="81" t="s">
        <v>6348</v>
      </c>
      <c r="K24" s="81" t="s">
        <v>6348</v>
      </c>
      <c r="L24" s="81">
        <v>250</v>
      </c>
      <c r="M24" s="81" t="s">
        <v>6348</v>
      </c>
      <c r="N24" s="80"/>
      <c r="O24" s="80"/>
      <c r="P24" s="80" t="s">
        <v>261</v>
      </c>
      <c r="Q24" s="80"/>
      <c r="R24" s="80" t="s">
        <v>4953</v>
      </c>
      <c r="S24" s="80" t="s">
        <v>373</v>
      </c>
      <c r="T24" s="80" t="s">
        <v>501</v>
      </c>
      <c r="U24" s="80" t="s">
        <v>6367</v>
      </c>
      <c r="V24" s="80" t="s">
        <v>529</v>
      </c>
      <c r="W24" s="81">
        <v>431</v>
      </c>
      <c r="X24" s="81">
        <v>431</v>
      </c>
      <c r="Y24" s="81">
        <v>0</v>
      </c>
      <c r="Z24" s="80" t="s">
        <v>4954</v>
      </c>
    </row>
    <row r="25" spans="1:26" ht="38.25" customHeight="1">
      <c r="A25" s="155">
        <v>21</v>
      </c>
      <c r="B25" s="155" t="s">
        <v>4862</v>
      </c>
      <c r="C25" s="80" t="s">
        <v>4879</v>
      </c>
      <c r="D25" s="80" t="s">
        <v>4955</v>
      </c>
      <c r="E25" s="80" t="s">
        <v>3475</v>
      </c>
      <c r="F25" s="136" t="s">
        <v>6368</v>
      </c>
      <c r="G25" s="80" t="s">
        <v>4951</v>
      </c>
      <c r="H25" s="80" t="s">
        <v>3001</v>
      </c>
      <c r="I25" s="81">
        <v>230</v>
      </c>
      <c r="J25" s="81" t="s">
        <v>6348</v>
      </c>
      <c r="K25" s="81" t="s">
        <v>6348</v>
      </c>
      <c r="L25" s="81">
        <v>230</v>
      </c>
      <c r="M25" s="81" t="s">
        <v>6348</v>
      </c>
      <c r="N25" s="80"/>
      <c r="O25" s="80"/>
      <c r="P25" s="80" t="s">
        <v>304</v>
      </c>
      <c r="Q25" s="80"/>
      <c r="R25" s="80" t="s">
        <v>4956</v>
      </c>
      <c r="S25" s="80" t="s">
        <v>373</v>
      </c>
      <c r="T25" s="80" t="s">
        <v>501</v>
      </c>
      <c r="U25" s="80" t="s">
        <v>6367</v>
      </c>
      <c r="V25" s="80" t="s">
        <v>529</v>
      </c>
      <c r="W25" s="81">
        <v>40</v>
      </c>
      <c r="X25" s="81">
        <v>40</v>
      </c>
      <c r="Y25" s="81">
        <v>0</v>
      </c>
      <c r="Z25" s="80" t="s">
        <v>4957</v>
      </c>
    </row>
    <row r="26" spans="1:26" ht="38.25" customHeight="1">
      <c r="A26" s="155">
        <v>22</v>
      </c>
      <c r="B26" s="155" t="s">
        <v>4862</v>
      </c>
      <c r="C26" s="80" t="s">
        <v>6369</v>
      </c>
      <c r="D26" s="80" t="s">
        <v>4958</v>
      </c>
      <c r="E26" s="80" t="s">
        <v>6370</v>
      </c>
      <c r="F26" s="136" t="s">
        <v>4959</v>
      </c>
      <c r="G26" s="80" t="s">
        <v>4960</v>
      </c>
      <c r="H26" s="80" t="s">
        <v>4898</v>
      </c>
      <c r="I26" s="81">
        <v>234</v>
      </c>
      <c r="J26" s="174">
        <v>10</v>
      </c>
      <c r="K26" s="174">
        <v>70</v>
      </c>
      <c r="L26" s="174">
        <v>35</v>
      </c>
      <c r="M26" s="174">
        <v>119</v>
      </c>
      <c r="N26" s="155" t="s">
        <v>510</v>
      </c>
      <c r="O26" s="155" t="s">
        <v>4961</v>
      </c>
      <c r="P26" s="155" t="s">
        <v>304</v>
      </c>
      <c r="Q26" s="155"/>
      <c r="R26" s="155" t="s">
        <v>4962</v>
      </c>
      <c r="S26" s="80" t="s">
        <v>373</v>
      </c>
      <c r="T26" s="80" t="s">
        <v>374</v>
      </c>
      <c r="U26" s="80" t="s">
        <v>6371</v>
      </c>
      <c r="V26" s="80" t="s">
        <v>1924</v>
      </c>
      <c r="W26" s="81">
        <v>40</v>
      </c>
      <c r="X26" s="81">
        <v>40</v>
      </c>
      <c r="Y26" s="81">
        <v>0</v>
      </c>
      <c r="Z26" s="80" t="s">
        <v>3538</v>
      </c>
    </row>
    <row r="27" spans="1:26" ht="38.25" customHeight="1">
      <c r="A27" s="155">
        <v>23</v>
      </c>
      <c r="B27" s="155" t="s">
        <v>4862</v>
      </c>
      <c r="C27" s="155" t="s">
        <v>4879</v>
      </c>
      <c r="D27" s="80" t="s">
        <v>4963</v>
      </c>
      <c r="E27" s="80" t="s">
        <v>3475</v>
      </c>
      <c r="F27" s="136" t="s">
        <v>6372</v>
      </c>
      <c r="G27" s="80" t="s">
        <v>4964</v>
      </c>
      <c r="H27" s="80" t="s">
        <v>3465</v>
      </c>
      <c r="I27" s="81">
        <v>300</v>
      </c>
      <c r="J27" s="174" t="s">
        <v>6348</v>
      </c>
      <c r="K27" s="174">
        <v>90</v>
      </c>
      <c r="L27" s="174">
        <v>90</v>
      </c>
      <c r="M27" s="174">
        <v>120</v>
      </c>
      <c r="N27" s="155"/>
      <c r="O27" s="155"/>
      <c r="P27" s="155" t="s">
        <v>209</v>
      </c>
      <c r="Q27" s="155"/>
      <c r="R27" s="155" t="s">
        <v>4965</v>
      </c>
      <c r="S27" s="80" t="s">
        <v>373</v>
      </c>
      <c r="T27" s="80" t="s">
        <v>374</v>
      </c>
      <c r="U27" s="80" t="s">
        <v>6373</v>
      </c>
      <c r="V27" s="80" t="s">
        <v>4966</v>
      </c>
      <c r="W27" s="81">
        <v>65</v>
      </c>
      <c r="X27" s="81">
        <v>65</v>
      </c>
      <c r="Y27" s="81">
        <v>0</v>
      </c>
      <c r="Z27" s="80" t="s">
        <v>3512</v>
      </c>
    </row>
    <row r="28" spans="1:26" ht="38.25" customHeight="1">
      <c r="A28" s="155">
        <v>24</v>
      </c>
      <c r="B28" s="155" t="s">
        <v>4862</v>
      </c>
      <c r="C28" s="80" t="s">
        <v>4879</v>
      </c>
      <c r="D28" s="155" t="s">
        <v>4967</v>
      </c>
      <c r="E28" s="80" t="s">
        <v>3475</v>
      </c>
      <c r="F28" s="136" t="s">
        <v>6374</v>
      </c>
      <c r="G28" s="80" t="s">
        <v>4968</v>
      </c>
      <c r="H28" s="80" t="s">
        <v>3485</v>
      </c>
      <c r="I28" s="81">
        <v>200</v>
      </c>
      <c r="J28" s="81" t="s">
        <v>6348</v>
      </c>
      <c r="K28" s="81">
        <v>80</v>
      </c>
      <c r="L28" s="81">
        <v>80</v>
      </c>
      <c r="M28" s="81">
        <v>40</v>
      </c>
      <c r="N28" s="80"/>
      <c r="O28" s="80"/>
      <c r="P28" s="80" t="s">
        <v>209</v>
      </c>
      <c r="Q28" s="80"/>
      <c r="R28" s="80" t="s">
        <v>2533</v>
      </c>
      <c r="S28" s="80" t="s">
        <v>373</v>
      </c>
      <c r="T28" s="80" t="s">
        <v>2911</v>
      </c>
      <c r="U28" s="80" t="s">
        <v>5620</v>
      </c>
      <c r="V28" s="80" t="s">
        <v>4969</v>
      </c>
      <c r="W28" s="81">
        <v>62</v>
      </c>
      <c r="X28" s="81">
        <v>60</v>
      </c>
      <c r="Y28" s="81">
        <v>2</v>
      </c>
      <c r="Z28" s="80" t="s">
        <v>4970</v>
      </c>
    </row>
    <row r="29" spans="1:26" ht="38.25" customHeight="1">
      <c r="A29" s="155">
        <v>25</v>
      </c>
      <c r="B29" s="155" t="s">
        <v>4862</v>
      </c>
      <c r="C29" s="80" t="s">
        <v>4879</v>
      </c>
      <c r="D29" s="155" t="s">
        <v>6375</v>
      </c>
      <c r="E29" s="80" t="s">
        <v>6376</v>
      </c>
      <c r="F29" s="136" t="s">
        <v>6377</v>
      </c>
      <c r="G29" s="80" t="s">
        <v>6378</v>
      </c>
      <c r="H29" s="80" t="s">
        <v>3510</v>
      </c>
      <c r="I29" s="81">
        <v>572</v>
      </c>
      <c r="J29" s="81" t="s">
        <v>6348</v>
      </c>
      <c r="K29" s="81">
        <v>400</v>
      </c>
      <c r="L29" s="81">
        <v>172</v>
      </c>
      <c r="M29" s="81" t="s">
        <v>6348</v>
      </c>
      <c r="N29" s="80"/>
      <c r="O29" s="80"/>
      <c r="P29" s="80" t="s">
        <v>304</v>
      </c>
      <c r="Q29" s="80"/>
      <c r="R29" s="80" t="s">
        <v>4877</v>
      </c>
      <c r="S29" s="80" t="s">
        <v>373</v>
      </c>
      <c r="T29" s="80" t="s">
        <v>1466</v>
      </c>
      <c r="U29" s="80" t="s">
        <v>595</v>
      </c>
      <c r="V29" s="80" t="s">
        <v>376</v>
      </c>
      <c r="W29" s="81">
        <v>0</v>
      </c>
      <c r="X29" s="81">
        <v>0</v>
      </c>
      <c r="Y29" s="81">
        <v>0</v>
      </c>
      <c r="Z29" s="80" t="s">
        <v>4970</v>
      </c>
    </row>
    <row r="30" spans="1:26" ht="38.25" customHeight="1">
      <c r="A30" s="155">
        <v>26</v>
      </c>
      <c r="B30" s="155" t="s">
        <v>4862</v>
      </c>
      <c r="C30" s="155" t="s">
        <v>4879</v>
      </c>
      <c r="D30" s="80" t="s">
        <v>4880</v>
      </c>
      <c r="E30" s="80" t="s">
        <v>6379</v>
      </c>
      <c r="F30" s="136" t="s">
        <v>4881</v>
      </c>
      <c r="G30" s="80" t="s">
        <v>6380</v>
      </c>
      <c r="H30" s="80" t="s">
        <v>3581</v>
      </c>
      <c r="I30" s="81">
        <v>200</v>
      </c>
      <c r="J30" s="81">
        <v>100</v>
      </c>
      <c r="K30" s="81">
        <v>50</v>
      </c>
      <c r="L30" s="81">
        <v>50</v>
      </c>
      <c r="M30" s="81" t="s">
        <v>6348</v>
      </c>
      <c r="N30" s="80" t="s">
        <v>6381</v>
      </c>
      <c r="O30" s="80" t="s">
        <v>4876</v>
      </c>
      <c r="P30" s="80" t="s">
        <v>304</v>
      </c>
      <c r="Q30" s="80"/>
      <c r="R30" s="80" t="s">
        <v>4877</v>
      </c>
      <c r="S30" s="80" t="s">
        <v>373</v>
      </c>
      <c r="T30" s="80" t="s">
        <v>1466</v>
      </c>
      <c r="U30" s="80" t="s">
        <v>595</v>
      </c>
      <c r="V30" s="80" t="s">
        <v>376</v>
      </c>
      <c r="W30" s="81">
        <v>100</v>
      </c>
      <c r="X30" s="81">
        <v>100</v>
      </c>
      <c r="Y30" s="81" t="s">
        <v>6382</v>
      </c>
      <c r="Z30" s="80" t="s">
        <v>4882</v>
      </c>
    </row>
    <row r="31" spans="1:26" ht="38.25" customHeight="1">
      <c r="A31" s="133"/>
      <c r="B31" s="68"/>
      <c r="C31" s="68"/>
      <c r="D31" s="49"/>
      <c r="E31" s="49"/>
      <c r="F31" s="49"/>
      <c r="G31" s="49"/>
      <c r="H31" s="49"/>
      <c r="I31" s="49"/>
      <c r="J31" s="49"/>
      <c r="K31" s="49"/>
      <c r="L31" s="49"/>
      <c r="M31" s="49"/>
      <c r="N31" s="49"/>
      <c r="O31" s="49"/>
      <c r="P31" s="49"/>
      <c r="Q31" s="49"/>
      <c r="R31" s="49"/>
      <c r="S31" s="49"/>
      <c r="T31" s="49"/>
      <c r="U31" s="49"/>
      <c r="V31" s="49"/>
      <c r="W31" s="134"/>
      <c r="X31" s="49"/>
      <c r="Y31" s="49"/>
      <c r="Z31" s="49"/>
    </row>
    <row r="32" spans="1:26" ht="36.75" customHeight="1"/>
    <row r="33" spans="1:26" ht="36.75" customHeight="1"/>
    <row r="34" spans="1:26" ht="36.75" customHeight="1"/>
    <row r="35" spans="1:26" ht="36.75" customHeight="1"/>
    <row r="36" spans="1:26" s="21" customFormat="1" ht="36.75" customHeight="1">
      <c r="A36" s="18"/>
      <c r="B36" s="19" t="s">
        <v>6383</v>
      </c>
      <c r="C36" s="20"/>
      <c r="D36" s="20"/>
      <c r="E36" s="20"/>
      <c r="F36" s="20"/>
      <c r="G36" s="20"/>
      <c r="H36" s="20"/>
      <c r="I36" s="20"/>
      <c r="J36" s="20"/>
      <c r="K36" s="20"/>
      <c r="L36" s="20"/>
      <c r="M36" s="20"/>
      <c r="N36" s="20"/>
      <c r="O36" s="20"/>
      <c r="P36" s="18" t="s">
        <v>6384</v>
      </c>
      <c r="Q36" s="18" t="s">
        <v>6385</v>
      </c>
      <c r="R36" s="18"/>
      <c r="S36" s="20"/>
      <c r="T36" s="20"/>
      <c r="U36" s="18"/>
      <c r="V36" s="20"/>
      <c r="W36" s="20"/>
      <c r="X36" s="20"/>
      <c r="Y36" s="20"/>
      <c r="Z36" s="20"/>
    </row>
    <row r="37" spans="1:26" s="21" customFormat="1" ht="36.75" customHeight="1">
      <c r="A37" s="22"/>
      <c r="B37" s="23" t="s">
        <v>6386</v>
      </c>
      <c r="C37" s="24"/>
      <c r="D37" s="24"/>
      <c r="E37" s="24"/>
      <c r="F37" s="24"/>
      <c r="G37" s="24"/>
      <c r="H37" s="24"/>
      <c r="I37" s="24"/>
      <c r="J37" s="24"/>
      <c r="K37" s="24"/>
      <c r="L37" s="24"/>
      <c r="M37" s="24"/>
      <c r="N37" s="24"/>
      <c r="O37" s="24"/>
      <c r="P37" s="22" t="s">
        <v>5911</v>
      </c>
      <c r="Q37" s="22" t="s">
        <v>6387</v>
      </c>
      <c r="R37" s="22"/>
      <c r="S37" s="24"/>
      <c r="T37" s="24"/>
      <c r="U37" s="22"/>
      <c r="V37" s="24"/>
      <c r="W37" s="24"/>
      <c r="X37" s="24"/>
      <c r="Y37" s="24"/>
      <c r="Z37" s="24"/>
    </row>
    <row r="38" spans="1:26" s="21" customFormat="1" ht="36.75" customHeight="1">
      <c r="A38" s="25"/>
      <c r="B38" s="26" t="s">
        <v>6388</v>
      </c>
      <c r="P38" s="25" t="s">
        <v>6389</v>
      </c>
      <c r="Q38" s="25" t="s">
        <v>6390</v>
      </c>
      <c r="R38" s="25"/>
      <c r="U38" s="25"/>
    </row>
    <row r="39" spans="1:26" s="21" customFormat="1" ht="36.75" customHeight="1">
      <c r="A39" s="25"/>
      <c r="B39" s="26" t="s">
        <v>6391</v>
      </c>
      <c r="P39" s="25" t="s">
        <v>6392</v>
      </c>
      <c r="Q39" s="25" t="s">
        <v>6393</v>
      </c>
      <c r="R39" s="25"/>
      <c r="U39" s="25"/>
    </row>
    <row r="40" spans="1:26" s="21" customFormat="1" ht="36.75" customHeight="1">
      <c r="A40" s="25"/>
      <c r="B40" s="26" t="s">
        <v>6394</v>
      </c>
      <c r="P40" s="25" t="s">
        <v>6395</v>
      </c>
      <c r="Q40" s="25" t="s">
        <v>6396</v>
      </c>
      <c r="R40" s="25"/>
      <c r="U40" s="25"/>
    </row>
    <row r="41" spans="1:26" s="21" customFormat="1" ht="36.75" customHeight="1">
      <c r="A41" s="25"/>
      <c r="B41" s="26" t="s">
        <v>6397</v>
      </c>
      <c r="P41" s="25" t="s">
        <v>5414</v>
      </c>
      <c r="Q41" s="25"/>
      <c r="R41" s="25"/>
      <c r="U41" s="25"/>
    </row>
    <row r="42" spans="1:26" s="21" customFormat="1" ht="26.25" customHeight="1">
      <c r="A42" s="25"/>
      <c r="B42" s="26" t="s">
        <v>6398</v>
      </c>
      <c r="P42" s="25"/>
      <c r="Q42" s="25"/>
      <c r="R42" s="25"/>
      <c r="U42" s="25"/>
    </row>
    <row r="43" spans="1:26" s="21" customFormat="1" ht="26.25" customHeight="1">
      <c r="A43" s="25"/>
      <c r="B43" s="26" t="s">
        <v>6399</v>
      </c>
      <c r="P43" s="25"/>
      <c r="Q43" s="25"/>
      <c r="R43" s="25"/>
      <c r="U43" s="25"/>
    </row>
    <row r="44" spans="1:26" s="21" customFormat="1" ht="26.25" customHeight="1">
      <c r="A44" s="25"/>
      <c r="B44" s="26" t="s">
        <v>6400</v>
      </c>
      <c r="P44" s="25"/>
      <c r="Q44" s="25"/>
      <c r="R44" s="25"/>
      <c r="U44" s="25"/>
    </row>
    <row r="45" spans="1:26" s="21" customFormat="1" ht="26.25" customHeight="1">
      <c r="A45" s="25"/>
      <c r="B45" s="26" t="s">
        <v>6401</v>
      </c>
      <c r="P45" s="25"/>
      <c r="Q45" s="25"/>
      <c r="R45" s="25"/>
      <c r="U45" s="25"/>
    </row>
    <row r="46" spans="1:26" s="21" customFormat="1" ht="26.25" customHeight="1">
      <c r="A46" s="25"/>
      <c r="B46" s="26" t="s">
        <v>6402</v>
      </c>
    </row>
    <row r="47" spans="1:26" s="21" customFormat="1" ht="26.25" customHeight="1">
      <c r="A47" s="25"/>
      <c r="B47" s="26" t="s">
        <v>6403</v>
      </c>
    </row>
    <row r="48" spans="1:26" s="21" customFormat="1" ht="26.25" customHeight="1">
      <c r="A48" s="25"/>
      <c r="B48" s="26" t="s">
        <v>6404</v>
      </c>
    </row>
    <row r="49" spans="1:3" s="21" customFormat="1" ht="26.25" customHeight="1">
      <c r="A49" s="25"/>
      <c r="B49" s="26" t="s">
        <v>6405</v>
      </c>
    </row>
    <row r="50" spans="1:3" s="2" customFormat="1" ht="26.25" customHeight="1">
      <c r="A50" s="15"/>
      <c r="B50" s="16" t="s">
        <v>5904</v>
      </c>
    </row>
    <row r="51" spans="1:3" s="2" customFormat="1" ht="26.25" customHeight="1">
      <c r="A51" s="15"/>
      <c r="B51" s="16" t="s">
        <v>6406</v>
      </c>
    </row>
    <row r="52" spans="1:3" s="2" customFormat="1" ht="26.25" customHeight="1">
      <c r="A52" s="15"/>
      <c r="B52" s="16" t="s">
        <v>6407</v>
      </c>
    </row>
    <row r="53" spans="1:3" s="2" customFormat="1" ht="26.25" customHeight="1">
      <c r="A53" s="15"/>
      <c r="B53" s="15"/>
      <c r="C53" s="15"/>
    </row>
    <row r="54" spans="1:3" s="2" customFormat="1" ht="26.25" customHeight="1">
      <c r="A54" s="15"/>
      <c r="B54" s="15"/>
      <c r="C54" s="15"/>
    </row>
    <row r="55" spans="1:3" s="2" customFormat="1" ht="26.25" customHeight="1">
      <c r="A55" s="15"/>
      <c r="B55" s="15"/>
      <c r="C55" s="15"/>
    </row>
    <row r="56" spans="1:3" s="2" customFormat="1" ht="26.25" customHeight="1">
      <c r="A56" s="15"/>
      <c r="B56" s="15"/>
      <c r="C56" s="15"/>
    </row>
    <row r="57" spans="1:3" s="2" customFormat="1" ht="26.25" customHeight="1">
      <c r="A57" s="15"/>
      <c r="B57" s="15"/>
      <c r="C57" s="15"/>
    </row>
    <row r="58" spans="1:3" s="2" customFormat="1" ht="26.25" customHeight="1">
      <c r="A58" s="15"/>
      <c r="B58" s="15"/>
      <c r="C58" s="15"/>
    </row>
    <row r="59" spans="1:3" s="2" customFormat="1" ht="26.25" customHeight="1">
      <c r="A59" s="15"/>
      <c r="B59" s="15"/>
      <c r="C59" s="15"/>
    </row>
    <row r="60" spans="1:3" s="2" customFormat="1" ht="26.25" customHeight="1">
      <c r="A60" s="15"/>
      <c r="B60" s="15"/>
      <c r="C60" s="15"/>
    </row>
    <row r="61" spans="1:3" s="2" customFormat="1" ht="26.25" customHeight="1">
      <c r="A61" s="15"/>
      <c r="B61" s="15"/>
      <c r="C61" s="15"/>
    </row>
    <row r="62" spans="1:3" s="2" customFormat="1" ht="26.25" customHeight="1">
      <c r="A62" s="15"/>
      <c r="B62" s="15"/>
      <c r="C62" s="15"/>
    </row>
    <row r="63" spans="1:3" s="2" customFormat="1" ht="26.25" customHeight="1">
      <c r="A63" s="15"/>
      <c r="B63" s="15"/>
      <c r="C63" s="15"/>
    </row>
    <row r="64" spans="1:3" s="2" customFormat="1" ht="26.25" customHeight="1">
      <c r="A64" s="15"/>
      <c r="B64" s="15"/>
      <c r="C64" s="15"/>
    </row>
    <row r="65" spans="1:3" s="2" customFormat="1" ht="26.25" customHeight="1">
      <c r="A65" s="15"/>
      <c r="B65" s="15"/>
      <c r="C65" s="15"/>
    </row>
    <row r="66" spans="1:3" s="2" customFormat="1" ht="26.25" customHeight="1">
      <c r="A66" s="15"/>
      <c r="B66" s="15"/>
      <c r="C66" s="15"/>
    </row>
    <row r="67" spans="1:3" s="2" customFormat="1" ht="26.25" customHeight="1">
      <c r="A67" s="15"/>
      <c r="B67" s="15"/>
      <c r="C67" s="15"/>
    </row>
    <row r="68" spans="1:3" s="2" customFormat="1" ht="26.25" customHeight="1">
      <c r="A68" s="15"/>
      <c r="B68" s="15"/>
      <c r="C68" s="15"/>
    </row>
    <row r="69" spans="1:3" s="2" customFormat="1" ht="26.25" customHeight="1">
      <c r="A69" s="15"/>
      <c r="B69" s="15"/>
      <c r="C69" s="15"/>
    </row>
    <row r="70" spans="1:3" s="2" customFormat="1" ht="26.25" customHeight="1">
      <c r="A70" s="15"/>
      <c r="B70" s="15"/>
      <c r="C70" s="15"/>
    </row>
    <row r="71" spans="1:3" s="2" customFormat="1" ht="26.25" customHeight="1">
      <c r="A71" s="15"/>
      <c r="B71" s="15"/>
      <c r="C71" s="15"/>
    </row>
  </sheetData>
  <mergeCells count="5">
    <mergeCell ref="A1:Y2"/>
    <mergeCell ref="A3:E3"/>
    <mergeCell ref="I3:M3"/>
    <mergeCell ref="N3:O3"/>
    <mergeCell ref="W3:Y3"/>
  </mergeCells>
  <phoneticPr fontId="5" type="noConversion"/>
  <dataValidations disablePrompts="1" count="3">
    <dataValidation type="list" allowBlank="1" showInputMessage="1" showErrorMessage="1" sqref="P5:P31">
      <formula1>$P$36:$P$41</formula1>
    </dataValidation>
    <dataValidation type="list" allowBlank="1" showInputMessage="1" showErrorMessage="1" sqref="B5:B31">
      <formula1>$B$36:$B$52</formula1>
    </dataValidation>
    <dataValidation type="list" allowBlank="1" showInputMessage="1" showErrorMessage="1" sqref="Q31">
      <formula1>$Q$36:$Q$41</formula1>
    </dataValidation>
  </dataValidations>
  <pageMargins left="0.19685039370078741" right="0.19685039370078741" top="0.35433070866141736" bottom="0.19685039370078741" header="0.19685039370078741" footer="0.19685039370078741"/>
  <pageSetup paperSize="9" scale="44"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3"/>
  <sheetViews>
    <sheetView zoomScale="90" zoomScaleNormal="90" zoomScaleSheetLayoutView="90" workbookViewId="0">
      <pane ySplit="4" topLeftCell="A5" activePane="bottomLeft" state="frozen"/>
      <selection pane="bottomLeft" activeCell="F9" sqref="F9"/>
    </sheetView>
  </sheetViews>
  <sheetFormatPr defaultRowHeight="13.5"/>
  <cols>
    <col min="1" max="1" width="5.109375" style="6" customWidth="1"/>
    <col min="2" max="2" width="12.33203125" style="6" customWidth="1"/>
    <col min="3" max="3" width="9.109375" style="6" customWidth="1"/>
    <col min="4" max="4" width="17.6640625" style="1" customWidth="1"/>
    <col min="5" max="5" width="12.109375" style="1" customWidth="1"/>
    <col min="6" max="6" width="42" style="1" customWidth="1"/>
    <col min="7" max="7" width="25.109375" style="1" customWidth="1"/>
    <col min="8" max="8" width="12.21875" style="1" customWidth="1"/>
    <col min="9" max="9" width="14.21875" style="1" customWidth="1"/>
    <col min="10" max="13" width="7.6640625" style="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6" width="12.21875" style="1" customWidth="1"/>
    <col min="27" max="16384" width="8.88671875" style="1"/>
  </cols>
  <sheetData>
    <row r="1" spans="1:27" ht="29.25" customHeight="1">
      <c r="A1" s="304" t="s">
        <v>47</v>
      </c>
      <c r="B1" s="304"/>
      <c r="C1" s="304"/>
      <c r="D1" s="304"/>
      <c r="E1" s="304"/>
      <c r="F1" s="304"/>
      <c r="G1" s="304"/>
      <c r="H1" s="304"/>
      <c r="I1" s="304"/>
      <c r="J1" s="304"/>
      <c r="K1" s="304"/>
      <c r="L1" s="304"/>
      <c r="M1" s="304"/>
      <c r="N1" s="304"/>
      <c r="O1" s="304"/>
      <c r="P1" s="304"/>
      <c r="Q1" s="304"/>
      <c r="R1" s="304"/>
      <c r="S1" s="304"/>
      <c r="T1" s="304"/>
      <c r="U1" s="304"/>
      <c r="V1" s="304"/>
      <c r="W1" s="304"/>
      <c r="X1" s="304"/>
      <c r="Y1" s="304"/>
      <c r="Z1" s="137"/>
    </row>
    <row r="2" spans="1:27"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38"/>
    </row>
    <row r="3" spans="1:27" s="2" customFormat="1" ht="60" customHeight="1">
      <c r="A3" s="311" t="s">
        <v>4997</v>
      </c>
      <c r="B3" s="311"/>
      <c r="C3" s="311"/>
      <c r="D3" s="311"/>
      <c r="E3" s="311"/>
      <c r="F3" s="138"/>
      <c r="G3" s="138"/>
      <c r="H3" s="138"/>
      <c r="I3" s="305" t="s">
        <v>4021</v>
      </c>
      <c r="J3" s="305"/>
      <c r="K3" s="305"/>
      <c r="L3" s="305"/>
      <c r="M3" s="305"/>
      <c r="N3" s="306" t="s">
        <v>6417</v>
      </c>
      <c r="O3" s="307"/>
      <c r="P3" s="40"/>
      <c r="Q3" s="40"/>
      <c r="R3" s="140"/>
      <c r="S3" s="140"/>
      <c r="T3" s="140"/>
      <c r="U3" s="140"/>
      <c r="V3" s="140"/>
      <c r="W3" s="312" t="s">
        <v>48</v>
      </c>
      <c r="X3" s="312"/>
      <c r="Y3" s="312"/>
      <c r="Z3" s="140"/>
      <c r="AA3" s="17"/>
    </row>
    <row r="4" spans="1:27" ht="39.75" customHeight="1">
      <c r="A4" s="141" t="s">
        <v>49</v>
      </c>
      <c r="B4" s="141" t="s">
        <v>2</v>
      </c>
      <c r="C4" s="141" t="s">
        <v>52</v>
      </c>
      <c r="D4" s="141" t="s">
        <v>53</v>
      </c>
      <c r="E4" s="142" t="s">
        <v>54</v>
      </c>
      <c r="F4" s="141" t="s">
        <v>56</v>
      </c>
      <c r="G4" s="142" t="s">
        <v>58</v>
      </c>
      <c r="H4" s="142" t="s">
        <v>60</v>
      </c>
      <c r="I4" s="142" t="s">
        <v>61</v>
      </c>
      <c r="J4" s="142" t="s">
        <v>62</v>
      </c>
      <c r="K4" s="142" t="s">
        <v>63</v>
      </c>
      <c r="L4" s="142" t="s">
        <v>64</v>
      </c>
      <c r="M4" s="142" t="s">
        <v>65</v>
      </c>
      <c r="N4" s="142" t="s">
        <v>66</v>
      </c>
      <c r="O4" s="142" t="s">
        <v>68</v>
      </c>
      <c r="P4" s="142" t="s">
        <v>4971</v>
      </c>
      <c r="Q4" s="142" t="s">
        <v>69</v>
      </c>
      <c r="R4" s="143" t="s">
        <v>70</v>
      </c>
      <c r="S4" s="143" t="s">
        <v>31</v>
      </c>
      <c r="T4" s="143" t="s">
        <v>72</v>
      </c>
      <c r="U4" s="143" t="s">
        <v>6415</v>
      </c>
      <c r="V4" s="143" t="s">
        <v>73</v>
      </c>
      <c r="W4" s="143" t="s">
        <v>74</v>
      </c>
      <c r="X4" s="143" t="s">
        <v>76</v>
      </c>
      <c r="Y4" s="143" t="s">
        <v>78</v>
      </c>
      <c r="Z4" s="143" t="s">
        <v>34</v>
      </c>
    </row>
    <row r="5" spans="1:27" ht="78.75" customHeight="1">
      <c r="A5" s="144">
        <v>1</v>
      </c>
      <c r="B5" s="144" t="s">
        <v>716</v>
      </c>
      <c r="C5" s="144" t="s">
        <v>3361</v>
      </c>
      <c r="D5" s="220" t="s">
        <v>717</v>
      </c>
      <c r="E5" s="220" t="s">
        <v>718</v>
      </c>
      <c r="F5" s="221" t="s">
        <v>719</v>
      </c>
      <c r="G5" s="220" t="s">
        <v>720</v>
      </c>
      <c r="H5" s="220" t="s">
        <v>721</v>
      </c>
      <c r="I5" s="222">
        <v>300</v>
      </c>
      <c r="J5" s="222">
        <v>0</v>
      </c>
      <c r="K5" s="222">
        <v>300</v>
      </c>
      <c r="L5" s="222">
        <v>0</v>
      </c>
      <c r="M5" s="222">
        <v>0</v>
      </c>
      <c r="N5" s="79" t="s">
        <v>252</v>
      </c>
      <c r="O5" s="79"/>
      <c r="P5" s="79" t="s">
        <v>247</v>
      </c>
      <c r="Q5" s="79"/>
      <c r="R5" s="79" t="s">
        <v>722</v>
      </c>
      <c r="S5" s="79" t="s">
        <v>90</v>
      </c>
      <c r="T5" s="79" t="s">
        <v>724</v>
      </c>
      <c r="U5" s="79" t="s">
        <v>93</v>
      </c>
      <c r="V5" s="79" t="s">
        <v>324</v>
      </c>
      <c r="W5" s="83">
        <f>SUM(X5:Y5)</f>
        <v>150</v>
      </c>
      <c r="X5" s="83">
        <v>145</v>
      </c>
      <c r="Y5" s="83">
        <v>5</v>
      </c>
      <c r="Z5" s="79" t="s">
        <v>165</v>
      </c>
    </row>
    <row r="6" spans="1:27" ht="78.75" customHeight="1">
      <c r="A6" s="144">
        <v>2</v>
      </c>
      <c r="B6" s="144" t="s">
        <v>716</v>
      </c>
      <c r="C6" s="144" t="s">
        <v>3362</v>
      </c>
      <c r="D6" s="79" t="s">
        <v>725</v>
      </c>
      <c r="E6" s="152" t="s">
        <v>726</v>
      </c>
      <c r="F6" s="152" t="s">
        <v>727</v>
      </c>
      <c r="G6" s="79" t="s">
        <v>728</v>
      </c>
      <c r="H6" s="79" t="s">
        <v>729</v>
      </c>
      <c r="I6" s="83">
        <f>SUM(J6:M6)</f>
        <v>900</v>
      </c>
      <c r="J6" s="83">
        <v>0</v>
      </c>
      <c r="K6" s="83">
        <v>900</v>
      </c>
      <c r="L6" s="83">
        <v>0</v>
      </c>
      <c r="M6" s="83">
        <v>0</v>
      </c>
      <c r="N6" s="79" t="s">
        <v>730</v>
      </c>
      <c r="O6" s="79" t="s">
        <v>731</v>
      </c>
      <c r="P6" s="79" t="s">
        <v>209</v>
      </c>
      <c r="Q6" s="79"/>
      <c r="R6" s="79" t="s">
        <v>732</v>
      </c>
      <c r="S6" s="79" t="s">
        <v>90</v>
      </c>
      <c r="T6" s="79" t="s">
        <v>724</v>
      </c>
      <c r="U6" s="79" t="s">
        <v>314</v>
      </c>
      <c r="V6" s="79" t="s">
        <v>324</v>
      </c>
      <c r="W6" s="83">
        <f t="shared" ref="W6:W13" si="0">SUM(X6:Y6)</f>
        <v>71</v>
      </c>
      <c r="X6" s="83">
        <v>69</v>
      </c>
      <c r="Y6" s="83">
        <v>2</v>
      </c>
      <c r="Z6" s="79" t="s">
        <v>165</v>
      </c>
    </row>
    <row r="7" spans="1:27" ht="78.75" customHeight="1">
      <c r="A7" s="144">
        <v>3</v>
      </c>
      <c r="B7" s="144" t="s">
        <v>716</v>
      </c>
      <c r="C7" s="144" t="s">
        <v>3361</v>
      </c>
      <c r="D7" s="79" t="s">
        <v>733</v>
      </c>
      <c r="E7" s="79" t="s">
        <v>735</v>
      </c>
      <c r="F7" s="148" t="s">
        <v>736</v>
      </c>
      <c r="G7" s="79" t="s">
        <v>737</v>
      </c>
      <c r="H7" s="79" t="s">
        <v>738</v>
      </c>
      <c r="I7" s="83">
        <v>500</v>
      </c>
      <c r="J7" s="83">
        <v>0</v>
      </c>
      <c r="K7" s="83">
        <v>500</v>
      </c>
      <c r="L7" s="83">
        <v>0</v>
      </c>
      <c r="M7" s="83">
        <v>0</v>
      </c>
      <c r="N7" s="79" t="s">
        <v>252</v>
      </c>
      <c r="O7" s="79"/>
      <c r="P7" s="79" t="s">
        <v>247</v>
      </c>
      <c r="Q7" s="79"/>
      <c r="R7" s="79" t="s">
        <v>739</v>
      </c>
      <c r="S7" s="79" t="s">
        <v>108</v>
      </c>
      <c r="T7" s="79" t="s">
        <v>386</v>
      </c>
      <c r="U7" s="79" t="s">
        <v>3377</v>
      </c>
      <c r="V7" s="79" t="s">
        <v>213</v>
      </c>
      <c r="W7" s="83">
        <f t="shared" si="0"/>
        <v>100</v>
      </c>
      <c r="X7" s="83">
        <v>100</v>
      </c>
      <c r="Y7" s="83">
        <v>0</v>
      </c>
      <c r="Z7" s="79" t="s">
        <v>165</v>
      </c>
    </row>
    <row r="8" spans="1:27" ht="78.75" customHeight="1">
      <c r="A8" s="144">
        <v>4</v>
      </c>
      <c r="B8" s="144" t="s">
        <v>716</v>
      </c>
      <c r="C8" s="144" t="s">
        <v>3363</v>
      </c>
      <c r="D8" s="79" t="s">
        <v>740</v>
      </c>
      <c r="E8" s="79" t="s">
        <v>741</v>
      </c>
      <c r="F8" s="148" t="s">
        <v>742</v>
      </c>
      <c r="G8" s="79" t="s">
        <v>743</v>
      </c>
      <c r="H8" s="79" t="s">
        <v>194</v>
      </c>
      <c r="I8" s="83">
        <v>1223</v>
      </c>
      <c r="J8" s="83">
        <v>110</v>
      </c>
      <c r="K8" s="83">
        <v>900</v>
      </c>
      <c r="L8" s="83">
        <v>213</v>
      </c>
      <c r="M8" s="83">
        <v>0</v>
      </c>
      <c r="N8" s="79" t="s">
        <v>151</v>
      </c>
      <c r="O8" s="79" t="s">
        <v>744</v>
      </c>
      <c r="P8" s="79" t="s">
        <v>247</v>
      </c>
      <c r="Q8" s="79" t="s">
        <v>745</v>
      </c>
      <c r="R8" s="79" t="s">
        <v>746</v>
      </c>
      <c r="S8" s="79" t="s">
        <v>90</v>
      </c>
      <c r="T8" s="79" t="s">
        <v>748</v>
      </c>
      <c r="U8" s="79" t="s">
        <v>3377</v>
      </c>
      <c r="V8" s="79" t="s">
        <v>324</v>
      </c>
      <c r="W8" s="83">
        <f t="shared" si="0"/>
        <v>1398</v>
      </c>
      <c r="X8" s="83">
        <v>1386</v>
      </c>
      <c r="Y8" s="83">
        <v>12</v>
      </c>
      <c r="Z8" s="79" t="s">
        <v>165</v>
      </c>
    </row>
    <row r="9" spans="1:27" ht="78.75" customHeight="1">
      <c r="A9" s="144">
        <v>5</v>
      </c>
      <c r="B9" s="144" t="s">
        <v>716</v>
      </c>
      <c r="C9" s="144" t="s">
        <v>3364</v>
      </c>
      <c r="D9" s="79" t="s">
        <v>749</v>
      </c>
      <c r="E9" s="79" t="s">
        <v>750</v>
      </c>
      <c r="F9" s="148" t="s">
        <v>751</v>
      </c>
      <c r="G9" s="79" t="s">
        <v>752</v>
      </c>
      <c r="H9" s="79" t="s">
        <v>754</v>
      </c>
      <c r="I9" s="83">
        <v>30</v>
      </c>
      <c r="J9" s="83">
        <v>0</v>
      </c>
      <c r="K9" s="83">
        <v>0</v>
      </c>
      <c r="L9" s="83">
        <v>30</v>
      </c>
      <c r="M9" s="83">
        <v>0</v>
      </c>
      <c r="N9" s="79" t="s">
        <v>252</v>
      </c>
      <c r="O9" s="79"/>
      <c r="P9" s="79" t="s">
        <v>304</v>
      </c>
      <c r="Q9" s="79"/>
      <c r="R9" s="79" t="s">
        <v>755</v>
      </c>
      <c r="S9" s="79" t="s">
        <v>90</v>
      </c>
      <c r="T9" s="79" t="s">
        <v>630</v>
      </c>
      <c r="U9" s="79" t="s">
        <v>3377</v>
      </c>
      <c r="V9" s="79" t="s">
        <v>213</v>
      </c>
      <c r="W9" s="83">
        <f t="shared" si="0"/>
        <v>120</v>
      </c>
      <c r="X9" s="83">
        <v>120</v>
      </c>
      <c r="Y9" s="83">
        <v>0</v>
      </c>
      <c r="Z9" s="79" t="s">
        <v>757</v>
      </c>
    </row>
    <row r="10" spans="1:27" ht="78.75" customHeight="1">
      <c r="A10" s="144">
        <v>6</v>
      </c>
      <c r="B10" s="144" t="s">
        <v>716</v>
      </c>
      <c r="C10" s="144" t="s">
        <v>202</v>
      </c>
      <c r="D10" s="79" t="s">
        <v>758</v>
      </c>
      <c r="E10" s="79" t="s">
        <v>759</v>
      </c>
      <c r="F10" s="148" t="s">
        <v>760</v>
      </c>
      <c r="G10" s="79" t="s">
        <v>761</v>
      </c>
      <c r="H10" s="79" t="s">
        <v>130</v>
      </c>
      <c r="I10" s="83">
        <v>170</v>
      </c>
      <c r="J10" s="83">
        <v>0</v>
      </c>
      <c r="K10" s="83">
        <v>70</v>
      </c>
      <c r="L10" s="83">
        <v>70</v>
      </c>
      <c r="M10" s="83">
        <v>0</v>
      </c>
      <c r="N10" s="79" t="s">
        <v>252</v>
      </c>
      <c r="O10" s="79"/>
      <c r="P10" s="79" t="s">
        <v>261</v>
      </c>
      <c r="Q10" s="79" t="s">
        <v>762</v>
      </c>
      <c r="R10" s="79" t="s">
        <v>763</v>
      </c>
      <c r="S10" s="79" t="s">
        <v>90</v>
      </c>
      <c r="T10" s="79" t="s">
        <v>765</v>
      </c>
      <c r="U10" s="79" t="s">
        <v>314</v>
      </c>
      <c r="V10" s="79" t="s">
        <v>284</v>
      </c>
      <c r="W10" s="83">
        <f t="shared" si="0"/>
        <v>35</v>
      </c>
      <c r="X10" s="83">
        <v>35</v>
      </c>
      <c r="Y10" s="83">
        <v>0</v>
      </c>
      <c r="Z10" s="79" t="s">
        <v>766</v>
      </c>
    </row>
    <row r="11" spans="1:27" ht="78.75" customHeight="1">
      <c r="A11" s="144">
        <v>7</v>
      </c>
      <c r="B11" s="144" t="s">
        <v>716</v>
      </c>
      <c r="C11" s="144" t="s">
        <v>3367</v>
      </c>
      <c r="D11" s="147" t="s">
        <v>767</v>
      </c>
      <c r="E11" s="223" t="s">
        <v>768</v>
      </c>
      <c r="F11" s="156" t="s">
        <v>4984</v>
      </c>
      <c r="G11" s="145" t="s">
        <v>769</v>
      </c>
      <c r="H11" s="145" t="s">
        <v>770</v>
      </c>
      <c r="I11" s="197">
        <v>137</v>
      </c>
      <c r="J11" s="197">
        <v>50</v>
      </c>
      <c r="K11" s="197">
        <v>27</v>
      </c>
      <c r="L11" s="197">
        <v>30</v>
      </c>
      <c r="M11" s="197">
        <v>20</v>
      </c>
      <c r="N11" s="79" t="s">
        <v>252</v>
      </c>
      <c r="O11" s="79"/>
      <c r="P11" s="79" t="s">
        <v>304</v>
      </c>
      <c r="Q11" s="79"/>
      <c r="R11" s="79" t="s">
        <v>771</v>
      </c>
      <c r="S11" s="79" t="s">
        <v>108</v>
      </c>
      <c r="T11" s="79" t="s">
        <v>772</v>
      </c>
      <c r="U11" s="79" t="s">
        <v>3377</v>
      </c>
      <c r="V11" s="79" t="s">
        <v>213</v>
      </c>
      <c r="W11" s="83">
        <f t="shared" si="0"/>
        <v>21</v>
      </c>
      <c r="X11" s="83">
        <v>21</v>
      </c>
      <c r="Y11" s="83">
        <v>0</v>
      </c>
      <c r="Z11" s="79" t="s">
        <v>757</v>
      </c>
    </row>
    <row r="12" spans="1:27" ht="78.75" customHeight="1">
      <c r="A12" s="144">
        <v>8</v>
      </c>
      <c r="B12" s="144" t="s">
        <v>716</v>
      </c>
      <c r="C12" s="144" t="s">
        <v>3365</v>
      </c>
      <c r="D12" s="145" t="s">
        <v>773</v>
      </c>
      <c r="E12" s="145" t="s">
        <v>775</v>
      </c>
      <c r="F12" s="156" t="s">
        <v>4985</v>
      </c>
      <c r="G12" s="145" t="s">
        <v>776</v>
      </c>
      <c r="H12" s="145" t="s">
        <v>105</v>
      </c>
      <c r="I12" s="197">
        <v>105</v>
      </c>
      <c r="J12" s="197" t="s">
        <v>777</v>
      </c>
      <c r="K12" s="197">
        <v>45</v>
      </c>
      <c r="L12" s="197">
        <v>60</v>
      </c>
      <c r="M12" s="197" t="s">
        <v>777</v>
      </c>
      <c r="N12" s="79" t="s">
        <v>252</v>
      </c>
      <c r="O12" s="79"/>
      <c r="P12" s="79" t="s">
        <v>247</v>
      </c>
      <c r="Q12" s="79" t="s">
        <v>762</v>
      </c>
      <c r="R12" s="79" t="s">
        <v>778</v>
      </c>
      <c r="S12" s="79" t="s">
        <v>90</v>
      </c>
      <c r="T12" s="79" t="s">
        <v>92</v>
      </c>
      <c r="U12" s="79" t="s">
        <v>3377</v>
      </c>
      <c r="V12" s="79" t="s">
        <v>213</v>
      </c>
      <c r="W12" s="83">
        <f t="shared" si="0"/>
        <v>47.5</v>
      </c>
      <c r="X12" s="83">
        <v>45</v>
      </c>
      <c r="Y12" s="83">
        <v>2.5</v>
      </c>
      <c r="Z12" s="79" t="s">
        <v>165</v>
      </c>
    </row>
    <row r="13" spans="1:27" ht="78.75" customHeight="1">
      <c r="A13" s="144">
        <v>9</v>
      </c>
      <c r="B13" s="144" t="s">
        <v>716</v>
      </c>
      <c r="C13" s="144" t="s">
        <v>3366</v>
      </c>
      <c r="D13" s="79" t="s">
        <v>779</v>
      </c>
      <c r="E13" s="79" t="s">
        <v>780</v>
      </c>
      <c r="F13" s="148" t="s">
        <v>781</v>
      </c>
      <c r="G13" s="79" t="s">
        <v>782</v>
      </c>
      <c r="H13" s="79" t="s">
        <v>784</v>
      </c>
      <c r="I13" s="83">
        <v>215</v>
      </c>
      <c r="J13" s="83">
        <v>0</v>
      </c>
      <c r="K13" s="83">
        <v>100</v>
      </c>
      <c r="L13" s="83">
        <v>115</v>
      </c>
      <c r="M13" s="83">
        <v>0</v>
      </c>
      <c r="N13" s="79" t="s">
        <v>252</v>
      </c>
      <c r="O13" s="79"/>
      <c r="P13" s="79" t="s">
        <v>209</v>
      </c>
      <c r="Q13" s="79"/>
      <c r="R13" s="79" t="s">
        <v>785</v>
      </c>
      <c r="S13" s="79" t="s">
        <v>312</v>
      </c>
      <c r="T13" s="79" t="s">
        <v>764</v>
      </c>
      <c r="U13" s="79" t="s">
        <v>786</v>
      </c>
      <c r="V13" s="79" t="s">
        <v>213</v>
      </c>
      <c r="W13" s="83">
        <f t="shared" si="0"/>
        <v>120</v>
      </c>
      <c r="X13" s="83">
        <v>120</v>
      </c>
      <c r="Y13" s="83">
        <v>0</v>
      </c>
      <c r="Z13" s="79" t="s">
        <v>115</v>
      </c>
    </row>
    <row r="14" spans="1:27" ht="36.75" customHeight="1"/>
    <row r="15" spans="1:27" ht="36.75" customHeight="1"/>
    <row r="16" spans="1:27" ht="36.75" customHeight="1"/>
    <row r="17" spans="1:26" ht="36.75" customHeight="1"/>
    <row r="18" spans="1:26" s="21" customFormat="1" ht="36.75" customHeight="1">
      <c r="A18" s="18"/>
      <c r="B18" s="19"/>
      <c r="C18" s="20"/>
      <c r="D18" s="20"/>
      <c r="E18" s="20"/>
      <c r="F18" s="20"/>
      <c r="G18" s="20"/>
      <c r="H18" s="20"/>
      <c r="I18" s="20"/>
      <c r="J18" s="20"/>
      <c r="K18" s="20"/>
      <c r="L18" s="20"/>
      <c r="M18" s="20"/>
      <c r="N18" s="20"/>
      <c r="O18" s="20"/>
      <c r="P18" s="18" t="s">
        <v>787</v>
      </c>
      <c r="Q18" s="18"/>
      <c r="R18" s="18"/>
      <c r="S18" s="20"/>
      <c r="T18" s="20"/>
      <c r="U18" s="18"/>
      <c r="V18" s="20"/>
      <c r="W18" s="20"/>
      <c r="X18" s="20"/>
      <c r="Y18" s="20"/>
      <c r="Z18" s="20"/>
    </row>
    <row r="19" spans="1:26" s="21" customFormat="1" ht="36.75" customHeight="1">
      <c r="A19" s="22"/>
      <c r="B19" s="23"/>
      <c r="C19" s="24"/>
      <c r="D19" s="24"/>
      <c r="E19" s="24"/>
      <c r="F19" s="24"/>
      <c r="G19" s="24"/>
      <c r="H19" s="24"/>
      <c r="I19" s="24"/>
      <c r="J19" s="24"/>
      <c r="K19" s="24"/>
      <c r="L19" s="24"/>
      <c r="M19" s="24"/>
      <c r="N19" s="24"/>
      <c r="O19" s="24"/>
      <c r="P19" s="22" t="s">
        <v>140</v>
      </c>
      <c r="Q19" s="22"/>
      <c r="R19" s="22"/>
      <c r="S19" s="24"/>
      <c r="T19" s="24"/>
      <c r="U19" s="22"/>
      <c r="V19" s="24"/>
      <c r="W19" s="24"/>
      <c r="X19" s="24"/>
      <c r="Y19" s="24"/>
      <c r="Z19" s="24"/>
    </row>
    <row r="20" spans="1:26" s="21" customFormat="1" ht="36.75" customHeight="1">
      <c r="A20" s="25"/>
      <c r="B20" s="26"/>
      <c r="P20" s="25" t="s">
        <v>789</v>
      </c>
      <c r="Q20" s="25"/>
      <c r="R20" s="25"/>
      <c r="U20" s="25"/>
    </row>
    <row r="21" spans="1:26" s="21" customFormat="1" ht="36.75" customHeight="1">
      <c r="A21" s="25"/>
      <c r="B21" s="26"/>
      <c r="P21" s="25" t="s">
        <v>87</v>
      </c>
      <c r="Q21" s="25"/>
      <c r="R21" s="25"/>
      <c r="U21" s="25"/>
    </row>
    <row r="22" spans="1:26" s="21" customFormat="1" ht="36.75" customHeight="1">
      <c r="A22" s="25"/>
      <c r="B22" s="26"/>
      <c r="P22" s="25" t="s">
        <v>790</v>
      </c>
      <c r="Q22" s="25"/>
      <c r="R22" s="25"/>
      <c r="U22" s="25"/>
    </row>
    <row r="23" spans="1:26" s="21" customFormat="1" ht="36.75" customHeight="1">
      <c r="A23" s="25"/>
      <c r="B23" s="26"/>
      <c r="P23" s="25" t="s">
        <v>39</v>
      </c>
      <c r="Q23" s="25"/>
      <c r="R23" s="25"/>
      <c r="U23" s="25"/>
    </row>
    <row r="24" spans="1:26" s="21" customFormat="1" ht="26.25" customHeight="1">
      <c r="A24" s="25"/>
      <c r="B24" s="26"/>
      <c r="P24" s="25"/>
      <c r="Q24" s="25"/>
      <c r="R24" s="25"/>
      <c r="U24" s="25"/>
    </row>
    <row r="25" spans="1:26" s="21" customFormat="1" ht="26.25" customHeight="1">
      <c r="A25" s="25"/>
      <c r="B25" s="26"/>
      <c r="P25" s="25"/>
      <c r="Q25" s="25"/>
      <c r="R25" s="25"/>
      <c r="U25" s="25"/>
    </row>
    <row r="26" spans="1:26" s="21" customFormat="1" ht="26.25" customHeight="1">
      <c r="A26" s="25"/>
      <c r="B26" s="26"/>
      <c r="P26" s="25"/>
      <c r="Q26" s="25"/>
      <c r="R26" s="25"/>
      <c r="U26" s="25"/>
    </row>
    <row r="27" spans="1:26" s="21" customFormat="1" ht="26.25" customHeight="1">
      <c r="A27" s="25"/>
      <c r="B27" s="26"/>
      <c r="P27" s="25"/>
      <c r="Q27" s="25"/>
      <c r="R27" s="25"/>
      <c r="U27" s="25"/>
    </row>
    <row r="28" spans="1:26" s="21" customFormat="1" ht="26.25" customHeight="1">
      <c r="A28" s="25"/>
      <c r="B28" s="26"/>
    </row>
    <row r="29" spans="1:26" s="21" customFormat="1" ht="26.25" customHeight="1">
      <c r="A29" s="25"/>
      <c r="B29" s="26"/>
    </row>
    <row r="30" spans="1:26" s="21" customFormat="1" ht="26.25" customHeight="1">
      <c r="A30" s="25"/>
      <c r="B30" s="26"/>
    </row>
    <row r="31" spans="1:26" s="21" customFormat="1" ht="26.25" customHeight="1">
      <c r="A31" s="25"/>
      <c r="B31" s="26"/>
    </row>
    <row r="32" spans="1:26" s="2" customFormat="1" ht="26.25" customHeight="1">
      <c r="A32" s="15"/>
      <c r="B32" s="16"/>
    </row>
    <row r="33" spans="1:3" s="2" customFormat="1" ht="26.25" customHeight="1">
      <c r="A33" s="15"/>
      <c r="B33" s="16"/>
    </row>
    <row r="34" spans="1:3" s="2" customFormat="1" ht="26.25" customHeight="1">
      <c r="A34" s="15"/>
      <c r="B34" s="16"/>
    </row>
    <row r="35" spans="1:3" s="2" customFormat="1" ht="26.25" customHeight="1">
      <c r="A35" s="15"/>
      <c r="B35" s="15"/>
      <c r="C35" s="15"/>
    </row>
    <row r="36" spans="1:3" s="2" customFormat="1" ht="26.25" customHeight="1">
      <c r="A36" s="15"/>
      <c r="B36" s="15"/>
      <c r="C36" s="15"/>
    </row>
    <row r="37" spans="1:3" s="2" customFormat="1" ht="26.25" customHeight="1">
      <c r="A37" s="15"/>
      <c r="B37" s="15"/>
      <c r="C37" s="15"/>
    </row>
    <row r="38" spans="1:3" s="2" customFormat="1" ht="26.25" customHeight="1">
      <c r="A38" s="15"/>
      <c r="B38" s="15"/>
      <c r="C38" s="15"/>
    </row>
    <row r="39" spans="1:3" s="2" customFormat="1" ht="26.25" customHeight="1">
      <c r="A39" s="15"/>
      <c r="B39" s="15"/>
      <c r="C39" s="15"/>
    </row>
    <row r="40" spans="1:3" s="2" customFormat="1" ht="26.25" customHeight="1">
      <c r="A40" s="15"/>
      <c r="B40" s="15"/>
      <c r="C40" s="15"/>
    </row>
    <row r="41" spans="1:3" s="2" customFormat="1" ht="26.25" customHeight="1">
      <c r="A41" s="15"/>
      <c r="B41" s="15"/>
      <c r="C41" s="15"/>
    </row>
    <row r="42" spans="1:3" s="2" customFormat="1" ht="26.25" customHeight="1">
      <c r="A42" s="15"/>
      <c r="B42" s="15"/>
      <c r="C42" s="15"/>
    </row>
    <row r="43" spans="1:3" s="2" customFormat="1" ht="26.25" customHeight="1">
      <c r="A43" s="15"/>
      <c r="B43" s="15"/>
      <c r="C43" s="15"/>
    </row>
    <row r="44" spans="1:3" s="2" customFormat="1" ht="26.25" customHeight="1">
      <c r="A44" s="15"/>
      <c r="B44" s="15"/>
      <c r="C44" s="15"/>
    </row>
    <row r="45" spans="1:3" s="2" customFormat="1" ht="26.25" customHeight="1">
      <c r="A45" s="15"/>
      <c r="B45" s="15"/>
      <c r="C45" s="15"/>
    </row>
    <row r="46" spans="1:3" s="2" customFormat="1" ht="26.25" customHeight="1">
      <c r="A46" s="15"/>
      <c r="B46" s="15"/>
      <c r="C46" s="15"/>
    </row>
    <row r="47" spans="1:3" s="2" customFormat="1" ht="26.25" customHeight="1">
      <c r="A47" s="15"/>
      <c r="B47" s="15"/>
      <c r="C47" s="15"/>
    </row>
    <row r="48" spans="1:3" s="2" customFormat="1" ht="26.25" customHeight="1">
      <c r="A48" s="15"/>
      <c r="B48" s="15"/>
      <c r="C48" s="15"/>
    </row>
    <row r="49" spans="1:3" s="2" customFormat="1" ht="26.25" customHeight="1">
      <c r="A49" s="15"/>
      <c r="B49" s="15"/>
      <c r="C49" s="15"/>
    </row>
    <row r="50" spans="1:3" s="2" customFormat="1" ht="26.25" customHeight="1">
      <c r="A50" s="15"/>
      <c r="B50" s="15"/>
      <c r="C50" s="15"/>
    </row>
    <row r="51" spans="1:3" s="2" customFormat="1" ht="26.25" customHeight="1">
      <c r="A51" s="15"/>
      <c r="B51" s="15"/>
      <c r="C51" s="15"/>
    </row>
    <row r="52" spans="1:3" s="2" customFormat="1" ht="26.25" customHeight="1">
      <c r="A52" s="15"/>
      <c r="B52" s="15"/>
      <c r="C52" s="15"/>
    </row>
    <row r="53" spans="1:3" s="2" customFormat="1" ht="26.25" customHeight="1">
      <c r="A53" s="15"/>
      <c r="B53" s="15"/>
      <c r="C53" s="15"/>
    </row>
  </sheetData>
  <autoFilter ref="A4:Y13"/>
  <mergeCells count="5">
    <mergeCell ref="A1:Y2"/>
    <mergeCell ref="I3:M3"/>
    <mergeCell ref="N3:O3"/>
    <mergeCell ref="W3:Y3"/>
    <mergeCell ref="A3:E3"/>
  </mergeCells>
  <phoneticPr fontId="5" type="noConversion"/>
  <dataValidations count="2">
    <dataValidation type="list" allowBlank="1" showInputMessage="1" showErrorMessage="1" sqref="B5:B13">
      <formula1>$B$18:$B$34</formula1>
    </dataValidation>
    <dataValidation type="list" allowBlank="1" showInputMessage="1" showErrorMessage="1" sqref="P5:P13">
      <formula1>$P$18:$P$23</formula1>
    </dataValidation>
  </dataValidations>
  <pageMargins left="0.19685039370078741" right="0.19685039370078741" top="0.35433070866141736" bottom="0.19685039370078741" header="0.19685039370078741" footer="0.19685039370078741"/>
  <pageSetup paperSize="9" scale="44"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4"/>
  <sheetViews>
    <sheetView zoomScale="90" zoomScaleNormal="90" zoomScaleSheetLayoutView="90" workbookViewId="0">
      <pane ySplit="4" topLeftCell="A11" activePane="bottomLeft" state="frozen"/>
      <selection pane="bottomLeft" activeCell="F14" sqref="F14"/>
    </sheetView>
  </sheetViews>
  <sheetFormatPr defaultRowHeight="13.5"/>
  <cols>
    <col min="1" max="1" width="5.109375" style="6" customWidth="1"/>
    <col min="2" max="2" width="12.33203125" style="6" customWidth="1"/>
    <col min="3" max="3" width="9.109375" style="6" customWidth="1"/>
    <col min="4" max="4" width="17.6640625" style="1" customWidth="1"/>
    <col min="5" max="5" width="12.109375" style="1" customWidth="1"/>
    <col min="6" max="6" width="42" style="1" customWidth="1"/>
    <col min="7" max="7" width="25.109375" style="1" customWidth="1"/>
    <col min="8" max="8" width="12.21875" style="1" customWidth="1"/>
    <col min="9" max="9" width="14.21875" style="1" customWidth="1"/>
    <col min="10" max="13" width="7.6640625" style="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6" width="12.21875" style="1" customWidth="1"/>
    <col min="27" max="27" width="8.88671875" style="15"/>
    <col min="28" max="16384" width="8.88671875" style="1"/>
  </cols>
  <sheetData>
    <row r="1" spans="1:27" ht="29.25" customHeight="1">
      <c r="A1" s="304" t="s">
        <v>46</v>
      </c>
      <c r="B1" s="304"/>
      <c r="C1" s="304"/>
      <c r="D1" s="304"/>
      <c r="E1" s="304"/>
      <c r="F1" s="304"/>
      <c r="G1" s="304"/>
      <c r="H1" s="304"/>
      <c r="I1" s="304"/>
      <c r="J1" s="304"/>
      <c r="K1" s="304"/>
      <c r="L1" s="304"/>
      <c r="M1" s="304"/>
      <c r="N1" s="304"/>
      <c r="O1" s="304"/>
      <c r="P1" s="304"/>
      <c r="Q1" s="304"/>
      <c r="R1" s="304"/>
      <c r="S1" s="304"/>
      <c r="T1" s="304"/>
      <c r="U1" s="304"/>
      <c r="V1" s="304"/>
      <c r="W1" s="304"/>
      <c r="X1" s="304"/>
      <c r="Y1" s="304"/>
      <c r="Z1" s="137"/>
    </row>
    <row r="2" spans="1:27"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38"/>
      <c r="AA2" s="15"/>
    </row>
    <row r="3" spans="1:27" s="2" customFormat="1" ht="49.5" customHeight="1">
      <c r="A3" s="311" t="s">
        <v>4995</v>
      </c>
      <c r="B3" s="311"/>
      <c r="C3" s="311"/>
      <c r="D3" s="311"/>
      <c r="E3" s="311"/>
      <c r="F3" s="138"/>
      <c r="G3" s="138"/>
      <c r="H3" s="138"/>
      <c r="I3" s="305" t="s">
        <v>4021</v>
      </c>
      <c r="J3" s="305"/>
      <c r="K3" s="305"/>
      <c r="L3" s="305"/>
      <c r="M3" s="305"/>
      <c r="N3" s="306" t="s">
        <v>6417</v>
      </c>
      <c r="O3" s="307"/>
      <c r="P3" s="40"/>
      <c r="Q3" s="40"/>
      <c r="R3" s="140"/>
      <c r="S3" s="140"/>
      <c r="T3" s="140"/>
      <c r="U3" s="140"/>
      <c r="V3" s="140"/>
      <c r="W3" s="312" t="s">
        <v>43</v>
      </c>
      <c r="X3" s="312"/>
      <c r="Y3" s="312"/>
      <c r="Z3" s="140"/>
      <c r="AA3" s="46"/>
    </row>
    <row r="4" spans="1:27" ht="39.75" customHeight="1">
      <c r="A4" s="141" t="s">
        <v>0</v>
      </c>
      <c r="B4" s="141" t="s">
        <v>2</v>
      </c>
      <c r="C4" s="141" t="s">
        <v>51</v>
      </c>
      <c r="D4" s="141" t="s">
        <v>1</v>
      </c>
      <c r="E4" s="142" t="s">
        <v>45</v>
      </c>
      <c r="F4" s="141" t="s">
        <v>55</v>
      </c>
      <c r="G4" s="142" t="s">
        <v>57</v>
      </c>
      <c r="H4" s="142" t="s">
        <v>59</v>
      </c>
      <c r="I4" s="142" t="s">
        <v>795</v>
      </c>
      <c r="J4" s="142" t="s">
        <v>3</v>
      </c>
      <c r="K4" s="142" t="s">
        <v>4</v>
      </c>
      <c r="L4" s="142" t="s">
        <v>481</v>
      </c>
      <c r="M4" s="142" t="s">
        <v>39</v>
      </c>
      <c r="N4" s="142" t="s">
        <v>796</v>
      </c>
      <c r="O4" s="142" t="s">
        <v>797</v>
      </c>
      <c r="P4" s="142" t="s">
        <v>4983</v>
      </c>
      <c r="Q4" s="142" t="s">
        <v>42</v>
      </c>
      <c r="R4" s="143" t="s">
        <v>30</v>
      </c>
      <c r="S4" s="143" t="s">
        <v>798</v>
      </c>
      <c r="T4" s="143" t="s">
        <v>32</v>
      </c>
      <c r="U4" s="143" t="s">
        <v>6415</v>
      </c>
      <c r="V4" s="143" t="s">
        <v>33</v>
      </c>
      <c r="W4" s="143" t="s">
        <v>41</v>
      </c>
      <c r="X4" s="143" t="s">
        <v>75</v>
      </c>
      <c r="Y4" s="143" t="s">
        <v>77</v>
      </c>
      <c r="Z4" s="143" t="s">
        <v>34</v>
      </c>
    </row>
    <row r="5" spans="1:27" ht="67.5" customHeight="1">
      <c r="A5" s="144">
        <v>1</v>
      </c>
      <c r="B5" s="144" t="s">
        <v>38</v>
      </c>
      <c r="C5" s="144" t="s">
        <v>800</v>
      </c>
      <c r="D5" s="79" t="s">
        <v>801</v>
      </c>
      <c r="E5" s="79" t="s">
        <v>802</v>
      </c>
      <c r="F5" s="152" t="s">
        <v>803</v>
      </c>
      <c r="G5" s="79" t="s">
        <v>804</v>
      </c>
      <c r="H5" s="79" t="s">
        <v>351</v>
      </c>
      <c r="I5" s="83">
        <v>200</v>
      </c>
      <c r="J5" s="83">
        <v>0</v>
      </c>
      <c r="K5" s="83">
        <v>0</v>
      </c>
      <c r="L5" s="83">
        <v>200</v>
      </c>
      <c r="M5" s="83">
        <v>0</v>
      </c>
      <c r="N5" s="79" t="s">
        <v>3360</v>
      </c>
      <c r="O5" s="79"/>
      <c r="P5" s="79" t="s">
        <v>261</v>
      </c>
      <c r="Q5" s="79"/>
      <c r="R5" s="79" t="s">
        <v>805</v>
      </c>
      <c r="S5" s="79" t="s">
        <v>108</v>
      </c>
      <c r="T5" s="79" t="s">
        <v>251</v>
      </c>
      <c r="U5" s="79" t="s">
        <v>93</v>
      </c>
      <c r="V5" s="79" t="s">
        <v>806</v>
      </c>
      <c r="W5" s="79" t="s">
        <v>3358</v>
      </c>
      <c r="X5" s="79" t="s">
        <v>3358</v>
      </c>
      <c r="Y5" s="79" t="s">
        <v>3358</v>
      </c>
      <c r="Z5" s="79" t="s">
        <v>114</v>
      </c>
    </row>
    <row r="6" spans="1:27" ht="67.5" customHeight="1">
      <c r="A6" s="144">
        <v>2</v>
      </c>
      <c r="B6" s="144" t="s">
        <v>38</v>
      </c>
      <c r="C6" s="144" t="s">
        <v>807</v>
      </c>
      <c r="D6" s="79" t="s">
        <v>808</v>
      </c>
      <c r="E6" s="79" t="s">
        <v>809</v>
      </c>
      <c r="F6" s="152" t="s">
        <v>810</v>
      </c>
      <c r="G6" s="79" t="s">
        <v>811</v>
      </c>
      <c r="H6" s="79" t="s">
        <v>812</v>
      </c>
      <c r="I6" s="83">
        <v>850</v>
      </c>
      <c r="J6" s="83">
        <v>0</v>
      </c>
      <c r="K6" s="83">
        <v>0</v>
      </c>
      <c r="L6" s="83">
        <v>80</v>
      </c>
      <c r="M6" s="83">
        <v>50</v>
      </c>
      <c r="N6" s="79" t="s">
        <v>252</v>
      </c>
      <c r="O6" s="79"/>
      <c r="P6" s="79" t="s">
        <v>304</v>
      </c>
      <c r="Q6" s="79" t="s">
        <v>248</v>
      </c>
      <c r="R6" s="79" t="s">
        <v>813</v>
      </c>
      <c r="S6" s="79" t="s">
        <v>799</v>
      </c>
      <c r="T6" s="79" t="s">
        <v>814</v>
      </c>
      <c r="U6" s="79" t="s">
        <v>93</v>
      </c>
      <c r="V6" s="79" t="s">
        <v>323</v>
      </c>
      <c r="W6" s="79" t="s">
        <v>3358</v>
      </c>
      <c r="X6" s="79" t="s">
        <v>3358</v>
      </c>
      <c r="Y6" s="79" t="s">
        <v>3358</v>
      </c>
      <c r="Z6" s="79" t="s">
        <v>815</v>
      </c>
    </row>
    <row r="7" spans="1:27" ht="67.5" customHeight="1">
      <c r="A7" s="144">
        <v>3</v>
      </c>
      <c r="B7" s="144" t="s">
        <v>38</v>
      </c>
      <c r="C7" s="144" t="s">
        <v>202</v>
      </c>
      <c r="D7" s="79" t="s">
        <v>816</v>
      </c>
      <c r="E7" s="79" t="s">
        <v>817</v>
      </c>
      <c r="F7" s="152" t="s">
        <v>818</v>
      </c>
      <c r="G7" s="79" t="s">
        <v>819</v>
      </c>
      <c r="H7" s="79" t="s">
        <v>820</v>
      </c>
      <c r="I7" s="83">
        <v>627</v>
      </c>
      <c r="J7" s="83">
        <v>0</v>
      </c>
      <c r="K7" s="83">
        <v>0</v>
      </c>
      <c r="L7" s="83">
        <v>627</v>
      </c>
      <c r="M7" s="83">
        <v>0</v>
      </c>
      <c r="N7" s="79" t="s">
        <v>252</v>
      </c>
      <c r="O7" s="79"/>
      <c r="P7" s="79" t="s">
        <v>247</v>
      </c>
      <c r="Q7" s="79"/>
      <c r="R7" s="79" t="s">
        <v>821</v>
      </c>
      <c r="S7" s="79" t="s">
        <v>108</v>
      </c>
      <c r="T7" s="79" t="s">
        <v>822</v>
      </c>
      <c r="U7" s="79" t="s">
        <v>93</v>
      </c>
      <c r="V7" s="79" t="s">
        <v>823</v>
      </c>
      <c r="W7" s="79" t="s">
        <v>3358</v>
      </c>
      <c r="X7" s="79" t="s">
        <v>3358</v>
      </c>
      <c r="Y7" s="79" t="s">
        <v>3358</v>
      </c>
      <c r="Z7" s="79" t="s">
        <v>824</v>
      </c>
    </row>
    <row r="8" spans="1:27" ht="67.5" customHeight="1">
      <c r="A8" s="144">
        <v>4</v>
      </c>
      <c r="B8" s="144" t="s">
        <v>38</v>
      </c>
      <c r="C8" s="144" t="s">
        <v>28</v>
      </c>
      <c r="D8" s="79" t="s">
        <v>825</v>
      </c>
      <c r="E8" s="79" t="s">
        <v>826</v>
      </c>
      <c r="F8" s="152" t="s">
        <v>827</v>
      </c>
      <c r="G8" s="79" t="s">
        <v>828</v>
      </c>
      <c r="H8" s="79" t="s">
        <v>602</v>
      </c>
      <c r="I8" s="83">
        <v>120</v>
      </c>
      <c r="J8" s="83">
        <v>0</v>
      </c>
      <c r="K8" s="83">
        <v>120</v>
      </c>
      <c r="L8" s="83">
        <v>0</v>
      </c>
      <c r="M8" s="83">
        <v>0</v>
      </c>
      <c r="N8" s="79" t="s">
        <v>252</v>
      </c>
      <c r="O8" s="79"/>
      <c r="P8" s="79" t="s">
        <v>304</v>
      </c>
      <c r="Q8" s="79"/>
      <c r="R8" s="79" t="s">
        <v>829</v>
      </c>
      <c r="S8" s="79" t="s">
        <v>799</v>
      </c>
      <c r="T8" s="79" t="s">
        <v>385</v>
      </c>
      <c r="U8" s="79" t="s">
        <v>3431</v>
      </c>
      <c r="V8" s="79" t="s">
        <v>212</v>
      </c>
      <c r="W8" s="79" t="s">
        <v>3358</v>
      </c>
      <c r="X8" s="79" t="s">
        <v>3358</v>
      </c>
      <c r="Y8" s="79" t="s">
        <v>3358</v>
      </c>
      <c r="Z8" s="79" t="s">
        <v>831</v>
      </c>
    </row>
    <row r="9" spans="1:27" ht="67.5" customHeight="1">
      <c r="A9" s="144">
        <v>5</v>
      </c>
      <c r="B9" s="144" t="s">
        <v>38</v>
      </c>
      <c r="C9" s="144" t="s">
        <v>28</v>
      </c>
      <c r="D9" s="79" t="s">
        <v>832</v>
      </c>
      <c r="E9" s="79" t="s">
        <v>833</v>
      </c>
      <c r="F9" s="152" t="s">
        <v>834</v>
      </c>
      <c r="G9" s="79" t="s">
        <v>835</v>
      </c>
      <c r="H9" s="79" t="s">
        <v>712</v>
      </c>
      <c r="I9" s="83">
        <v>900</v>
      </c>
      <c r="J9" s="83">
        <v>0</v>
      </c>
      <c r="K9" s="83">
        <v>900</v>
      </c>
      <c r="L9" s="83">
        <v>0</v>
      </c>
      <c r="M9" s="83">
        <v>0</v>
      </c>
      <c r="N9" s="79" t="s">
        <v>252</v>
      </c>
      <c r="O9" s="79"/>
      <c r="P9" s="79" t="s">
        <v>247</v>
      </c>
      <c r="Q9" s="79" t="s">
        <v>248</v>
      </c>
      <c r="R9" s="79" t="s">
        <v>836</v>
      </c>
      <c r="S9" s="79" t="s">
        <v>108</v>
      </c>
      <c r="T9" s="79" t="s">
        <v>837</v>
      </c>
      <c r="U9" s="79" t="s">
        <v>3431</v>
      </c>
      <c r="V9" s="79" t="s">
        <v>323</v>
      </c>
      <c r="W9" s="79" t="s">
        <v>3358</v>
      </c>
      <c r="X9" s="79" t="s">
        <v>3358</v>
      </c>
      <c r="Y9" s="79" t="s">
        <v>3358</v>
      </c>
      <c r="Z9" s="79" t="s">
        <v>838</v>
      </c>
    </row>
    <row r="10" spans="1:27" ht="67.5" customHeight="1">
      <c r="A10" s="144">
        <v>6</v>
      </c>
      <c r="B10" s="144" t="s">
        <v>38</v>
      </c>
      <c r="C10" s="144" t="s">
        <v>176</v>
      </c>
      <c r="D10" s="79" t="s">
        <v>839</v>
      </c>
      <c r="E10" s="79" t="s">
        <v>840</v>
      </c>
      <c r="F10" s="152" t="s">
        <v>841</v>
      </c>
      <c r="G10" s="79" t="s">
        <v>842</v>
      </c>
      <c r="H10" s="79" t="s">
        <v>843</v>
      </c>
      <c r="I10" s="83">
        <v>130</v>
      </c>
      <c r="J10" s="83">
        <v>0</v>
      </c>
      <c r="K10" s="83">
        <v>0</v>
      </c>
      <c r="L10" s="83">
        <v>130</v>
      </c>
      <c r="M10" s="83">
        <v>0</v>
      </c>
      <c r="N10" s="79" t="s">
        <v>252</v>
      </c>
      <c r="O10" s="79"/>
      <c r="P10" s="79" t="s">
        <v>209</v>
      </c>
      <c r="Q10" s="79"/>
      <c r="R10" s="79" t="s">
        <v>844</v>
      </c>
      <c r="S10" s="79" t="s">
        <v>845</v>
      </c>
      <c r="T10" s="79" t="s">
        <v>251</v>
      </c>
      <c r="U10" s="79" t="s">
        <v>93</v>
      </c>
      <c r="V10" s="79" t="s">
        <v>323</v>
      </c>
      <c r="W10" s="79" t="s">
        <v>3358</v>
      </c>
      <c r="X10" s="79" t="s">
        <v>3358</v>
      </c>
      <c r="Y10" s="79" t="s">
        <v>3358</v>
      </c>
      <c r="Z10" s="79" t="s">
        <v>846</v>
      </c>
    </row>
    <row r="11" spans="1:27" ht="67.5" customHeight="1">
      <c r="A11" s="144">
        <v>7</v>
      </c>
      <c r="B11" s="144" t="s">
        <v>847</v>
      </c>
      <c r="C11" s="144" t="s">
        <v>176</v>
      </c>
      <c r="D11" s="79" t="s">
        <v>848</v>
      </c>
      <c r="E11" s="79" t="s">
        <v>840</v>
      </c>
      <c r="F11" s="152" t="s">
        <v>849</v>
      </c>
      <c r="G11" s="79" t="s">
        <v>850</v>
      </c>
      <c r="H11" s="79" t="s">
        <v>851</v>
      </c>
      <c r="I11" s="83">
        <v>830</v>
      </c>
      <c r="J11" s="83">
        <v>80</v>
      </c>
      <c r="K11" s="83">
        <v>50</v>
      </c>
      <c r="L11" s="83">
        <v>700</v>
      </c>
      <c r="M11" s="83">
        <v>0</v>
      </c>
      <c r="N11" s="79" t="s">
        <v>852</v>
      </c>
      <c r="O11" s="79" t="s">
        <v>853</v>
      </c>
      <c r="P11" s="79" t="s">
        <v>304</v>
      </c>
      <c r="Q11" s="153" t="s">
        <v>2277</v>
      </c>
      <c r="R11" s="79" t="s">
        <v>854</v>
      </c>
      <c r="S11" s="79" t="s">
        <v>108</v>
      </c>
      <c r="T11" s="79" t="s">
        <v>814</v>
      </c>
      <c r="U11" s="79" t="s">
        <v>830</v>
      </c>
      <c r="V11" s="79" t="s">
        <v>323</v>
      </c>
      <c r="W11" s="79" t="s">
        <v>3358</v>
      </c>
      <c r="X11" s="79" t="s">
        <v>3358</v>
      </c>
      <c r="Y11" s="79" t="s">
        <v>3358</v>
      </c>
      <c r="Z11" s="79" t="s">
        <v>855</v>
      </c>
    </row>
    <row r="12" spans="1:27" ht="67.5" customHeight="1">
      <c r="A12" s="144">
        <v>8</v>
      </c>
      <c r="B12" s="144" t="s">
        <v>847</v>
      </c>
      <c r="C12" s="144" t="s">
        <v>28</v>
      </c>
      <c r="D12" s="79" t="s">
        <v>856</v>
      </c>
      <c r="E12" s="79" t="s">
        <v>857</v>
      </c>
      <c r="F12" s="152" t="s">
        <v>858</v>
      </c>
      <c r="G12" s="79" t="s">
        <v>859</v>
      </c>
      <c r="H12" s="79" t="s">
        <v>860</v>
      </c>
      <c r="I12" s="83">
        <v>1215</v>
      </c>
      <c r="J12" s="83">
        <v>15</v>
      </c>
      <c r="K12" s="83">
        <v>1200</v>
      </c>
      <c r="L12" s="83">
        <v>0</v>
      </c>
      <c r="M12" s="83">
        <v>0</v>
      </c>
      <c r="N12" s="79" t="s">
        <v>861</v>
      </c>
      <c r="O12" s="79" t="s">
        <v>862</v>
      </c>
      <c r="P12" s="79" t="s">
        <v>271</v>
      </c>
      <c r="Q12" s="79"/>
      <c r="R12" s="79" t="s">
        <v>863</v>
      </c>
      <c r="S12" s="79" t="s">
        <v>108</v>
      </c>
      <c r="T12" s="79" t="s">
        <v>837</v>
      </c>
      <c r="U12" s="79" t="s">
        <v>3431</v>
      </c>
      <c r="V12" s="79" t="s">
        <v>864</v>
      </c>
      <c r="W12" s="79" t="s">
        <v>3358</v>
      </c>
      <c r="X12" s="79" t="s">
        <v>3358</v>
      </c>
      <c r="Y12" s="79" t="s">
        <v>3358</v>
      </c>
      <c r="Z12" s="79" t="s">
        <v>133</v>
      </c>
    </row>
    <row r="13" spans="1:27" ht="67.5" customHeight="1">
      <c r="A13" s="144">
        <v>9</v>
      </c>
      <c r="B13" s="144" t="s">
        <v>38</v>
      </c>
      <c r="C13" s="144" t="s">
        <v>865</v>
      </c>
      <c r="D13" s="79" t="s">
        <v>866</v>
      </c>
      <c r="E13" s="79" t="s">
        <v>867</v>
      </c>
      <c r="F13" s="152" t="s">
        <v>868</v>
      </c>
      <c r="G13" s="79" t="s">
        <v>869</v>
      </c>
      <c r="H13" s="79" t="s">
        <v>870</v>
      </c>
      <c r="I13" s="83">
        <v>160</v>
      </c>
      <c r="J13" s="83">
        <v>0</v>
      </c>
      <c r="K13" s="83">
        <v>0</v>
      </c>
      <c r="L13" s="83">
        <v>0</v>
      </c>
      <c r="M13" s="83">
        <v>160</v>
      </c>
      <c r="N13" s="79" t="s">
        <v>252</v>
      </c>
      <c r="O13" s="79"/>
      <c r="P13" s="79" t="s">
        <v>261</v>
      </c>
      <c r="Q13" s="79"/>
      <c r="R13" s="79" t="s">
        <v>871</v>
      </c>
      <c r="S13" s="79" t="s">
        <v>108</v>
      </c>
      <c r="T13" s="79" t="s">
        <v>872</v>
      </c>
      <c r="U13" s="79" t="s">
        <v>873</v>
      </c>
      <c r="V13" s="79" t="s">
        <v>94</v>
      </c>
      <c r="W13" s="79" t="s">
        <v>3358</v>
      </c>
      <c r="X13" s="79" t="s">
        <v>3358</v>
      </c>
      <c r="Y13" s="79" t="s">
        <v>3358</v>
      </c>
      <c r="Z13" s="79" t="s">
        <v>874</v>
      </c>
    </row>
    <row r="14" spans="1:27" ht="67.5" customHeight="1">
      <c r="A14" s="144">
        <v>10</v>
      </c>
      <c r="B14" s="144" t="s">
        <v>38</v>
      </c>
      <c r="C14" s="144" t="s">
        <v>875</v>
      </c>
      <c r="D14" s="79" t="s">
        <v>876</v>
      </c>
      <c r="E14" s="79" t="s">
        <v>877</v>
      </c>
      <c r="F14" s="152" t="s">
        <v>878</v>
      </c>
      <c r="G14" s="172" t="s">
        <v>7069</v>
      </c>
      <c r="H14" s="79" t="s">
        <v>879</v>
      </c>
      <c r="I14" s="83">
        <v>105</v>
      </c>
      <c r="J14" s="161">
        <v>0</v>
      </c>
      <c r="K14" s="161">
        <v>35</v>
      </c>
      <c r="L14" s="161">
        <v>0</v>
      </c>
      <c r="M14" s="161">
        <v>70</v>
      </c>
      <c r="N14" s="79" t="s">
        <v>252</v>
      </c>
      <c r="O14" s="144"/>
      <c r="P14" s="79" t="s">
        <v>247</v>
      </c>
      <c r="Q14" s="79"/>
      <c r="R14" s="79" t="s">
        <v>880</v>
      </c>
      <c r="S14" s="79" t="s">
        <v>881</v>
      </c>
      <c r="T14" s="79" t="s">
        <v>198</v>
      </c>
      <c r="U14" s="79" t="s">
        <v>882</v>
      </c>
      <c r="V14" s="79" t="s">
        <v>94</v>
      </c>
      <c r="W14" s="79" t="s">
        <v>3358</v>
      </c>
      <c r="X14" s="79" t="s">
        <v>3358</v>
      </c>
      <c r="Y14" s="79" t="s">
        <v>3358</v>
      </c>
      <c r="Z14" s="79" t="s">
        <v>883</v>
      </c>
    </row>
    <row r="15" spans="1:27" ht="36.75" customHeight="1"/>
    <row r="16" spans="1:27" ht="36.75" customHeight="1"/>
    <row r="17" spans="1:27" ht="36.75" customHeight="1"/>
    <row r="18" spans="1:27" ht="36.75" customHeight="1"/>
    <row r="19" spans="1:27" s="21" customFormat="1" ht="36.75" customHeight="1">
      <c r="A19" s="18"/>
      <c r="B19" s="19"/>
      <c r="C19" s="20"/>
      <c r="D19" s="20"/>
      <c r="E19" s="20"/>
      <c r="F19" s="20"/>
      <c r="G19" s="20"/>
      <c r="H19" s="20"/>
      <c r="I19" s="20"/>
      <c r="J19" s="20"/>
      <c r="K19" s="20"/>
      <c r="L19" s="20"/>
      <c r="M19" s="20"/>
      <c r="N19" s="20"/>
      <c r="O19" s="20"/>
      <c r="P19" s="18" t="s">
        <v>5</v>
      </c>
      <c r="Q19" s="18"/>
      <c r="R19" s="18"/>
      <c r="S19" s="20"/>
      <c r="T19" s="20"/>
      <c r="U19" s="18"/>
      <c r="V19" s="20"/>
      <c r="W19" s="20"/>
      <c r="X19" s="20"/>
      <c r="Y19" s="20"/>
      <c r="Z19" s="20"/>
      <c r="AA19" s="25"/>
    </row>
    <row r="20" spans="1:27" s="21" customFormat="1" ht="36.75" customHeight="1">
      <c r="A20" s="22"/>
      <c r="B20" s="23"/>
      <c r="C20" s="24"/>
      <c r="D20" s="24"/>
      <c r="E20" s="24"/>
      <c r="F20" s="24"/>
      <c r="G20" s="24"/>
      <c r="H20" s="24"/>
      <c r="I20" s="24"/>
      <c r="J20" s="24"/>
      <c r="K20" s="24"/>
      <c r="L20" s="24"/>
      <c r="M20" s="24"/>
      <c r="N20" s="24"/>
      <c r="O20" s="24"/>
      <c r="P20" s="22" t="s">
        <v>884</v>
      </c>
      <c r="Q20" s="22"/>
      <c r="R20" s="22"/>
      <c r="S20" s="24"/>
      <c r="T20" s="24"/>
      <c r="U20" s="22"/>
      <c r="V20" s="24"/>
      <c r="W20" s="24"/>
      <c r="X20" s="24"/>
      <c r="Y20" s="24"/>
      <c r="Z20" s="24"/>
      <c r="AA20" s="25"/>
    </row>
    <row r="21" spans="1:27" s="21" customFormat="1" ht="36.75" customHeight="1">
      <c r="A21" s="25"/>
      <c r="B21" s="26"/>
      <c r="P21" s="25" t="s">
        <v>788</v>
      </c>
      <c r="Q21" s="25"/>
      <c r="R21" s="25"/>
      <c r="U21" s="25"/>
      <c r="AA21" s="25"/>
    </row>
    <row r="22" spans="1:27" s="21" customFormat="1" ht="36.75" customHeight="1">
      <c r="A22" s="25"/>
      <c r="B22" s="26"/>
      <c r="P22" s="25" t="s">
        <v>87</v>
      </c>
      <c r="Q22" s="25"/>
      <c r="R22" s="25"/>
      <c r="U22" s="25"/>
      <c r="AA22" s="25"/>
    </row>
    <row r="23" spans="1:27" s="21" customFormat="1" ht="36.75" customHeight="1">
      <c r="A23" s="25"/>
      <c r="B23" s="26"/>
      <c r="P23" s="25" t="s">
        <v>37</v>
      </c>
      <c r="Q23" s="25"/>
      <c r="R23" s="25"/>
      <c r="U23" s="25"/>
      <c r="AA23" s="25"/>
    </row>
    <row r="24" spans="1:27" s="21" customFormat="1" ht="36.75" customHeight="1">
      <c r="A24" s="25"/>
      <c r="B24" s="26"/>
      <c r="P24" s="25" t="s">
        <v>39</v>
      </c>
      <c r="Q24" s="25"/>
      <c r="R24" s="25"/>
      <c r="U24" s="25"/>
      <c r="AA24" s="25"/>
    </row>
    <row r="25" spans="1:27" s="21" customFormat="1" ht="26.25" customHeight="1">
      <c r="A25" s="25"/>
      <c r="B25" s="26"/>
      <c r="P25" s="25"/>
      <c r="Q25" s="25"/>
      <c r="R25" s="25"/>
      <c r="U25" s="25"/>
      <c r="AA25" s="25"/>
    </row>
    <row r="26" spans="1:27" s="21" customFormat="1" ht="26.25" customHeight="1">
      <c r="A26" s="25"/>
      <c r="B26" s="26"/>
      <c r="P26" s="25"/>
      <c r="Q26" s="25"/>
      <c r="R26" s="25"/>
      <c r="U26" s="25"/>
      <c r="AA26" s="25"/>
    </row>
    <row r="27" spans="1:27" s="21" customFormat="1" ht="26.25" customHeight="1">
      <c r="A27" s="25"/>
      <c r="B27" s="26"/>
      <c r="P27" s="25"/>
      <c r="Q27" s="25"/>
      <c r="R27" s="25"/>
      <c r="U27" s="25"/>
      <c r="AA27" s="25"/>
    </row>
    <row r="28" spans="1:27" s="21" customFormat="1" ht="26.25" customHeight="1">
      <c r="A28" s="25"/>
      <c r="B28" s="26"/>
      <c r="P28" s="25"/>
      <c r="Q28" s="25"/>
      <c r="R28" s="25"/>
      <c r="U28" s="25"/>
      <c r="AA28" s="25"/>
    </row>
    <row r="29" spans="1:27" s="21" customFormat="1" ht="26.25" customHeight="1">
      <c r="A29" s="25"/>
      <c r="B29" s="26"/>
      <c r="AA29" s="25"/>
    </row>
    <row r="30" spans="1:27" s="21" customFormat="1" ht="26.25" customHeight="1">
      <c r="A30" s="25"/>
      <c r="B30" s="26"/>
      <c r="AA30" s="25"/>
    </row>
    <row r="31" spans="1:27" s="21" customFormat="1" ht="26.25" customHeight="1">
      <c r="A31" s="25"/>
      <c r="B31" s="26"/>
      <c r="AA31" s="25"/>
    </row>
    <row r="32" spans="1:27" s="21" customFormat="1" ht="26.25" customHeight="1">
      <c r="A32" s="25"/>
      <c r="B32" s="26"/>
      <c r="AA32" s="25"/>
    </row>
    <row r="33" spans="1:27" s="2" customFormat="1" ht="26.25" customHeight="1">
      <c r="A33" s="15"/>
      <c r="B33" s="16"/>
      <c r="AA33" s="15"/>
    </row>
    <row r="34" spans="1:27" s="2" customFormat="1" ht="26.25" customHeight="1">
      <c r="A34" s="15"/>
      <c r="B34" s="16"/>
      <c r="AA34" s="15"/>
    </row>
    <row r="35" spans="1:27" s="2" customFormat="1" ht="26.25" customHeight="1">
      <c r="A35" s="15"/>
      <c r="B35" s="16"/>
      <c r="AA35" s="15"/>
    </row>
    <row r="36" spans="1:27" s="2" customFormat="1" ht="26.25" customHeight="1">
      <c r="A36" s="15"/>
      <c r="B36" s="15"/>
      <c r="C36" s="15"/>
      <c r="AA36" s="15"/>
    </row>
    <row r="37" spans="1:27" s="2" customFormat="1" ht="26.25" customHeight="1">
      <c r="A37" s="15"/>
      <c r="B37" s="15"/>
      <c r="C37" s="15"/>
      <c r="AA37" s="15"/>
    </row>
    <row r="38" spans="1:27" s="2" customFormat="1" ht="26.25" customHeight="1">
      <c r="A38" s="15"/>
      <c r="B38" s="15"/>
      <c r="C38" s="15"/>
      <c r="AA38" s="15"/>
    </row>
    <row r="39" spans="1:27" s="2" customFormat="1" ht="26.25" customHeight="1">
      <c r="A39" s="15"/>
      <c r="B39" s="15"/>
      <c r="C39" s="15"/>
      <c r="AA39" s="15"/>
    </row>
    <row r="40" spans="1:27" s="2" customFormat="1" ht="26.25" customHeight="1">
      <c r="A40" s="15"/>
      <c r="B40" s="15"/>
      <c r="C40" s="15"/>
      <c r="AA40" s="15"/>
    </row>
    <row r="41" spans="1:27" s="2" customFormat="1" ht="26.25" customHeight="1">
      <c r="A41" s="15"/>
      <c r="B41" s="15"/>
      <c r="C41" s="15"/>
      <c r="AA41" s="15"/>
    </row>
    <row r="42" spans="1:27" s="2" customFormat="1" ht="26.25" customHeight="1">
      <c r="A42" s="15"/>
      <c r="B42" s="15"/>
      <c r="C42" s="15"/>
      <c r="AA42" s="15"/>
    </row>
    <row r="43" spans="1:27" s="2" customFormat="1" ht="26.25" customHeight="1">
      <c r="A43" s="15"/>
      <c r="B43" s="15"/>
      <c r="C43" s="15"/>
      <c r="AA43" s="15"/>
    </row>
    <row r="44" spans="1:27" s="2" customFormat="1" ht="26.25" customHeight="1">
      <c r="A44" s="15"/>
      <c r="B44" s="15"/>
      <c r="C44" s="15"/>
      <c r="AA44" s="15"/>
    </row>
    <row r="45" spans="1:27" s="2" customFormat="1" ht="26.25" customHeight="1">
      <c r="A45" s="15"/>
      <c r="B45" s="15"/>
      <c r="C45" s="15"/>
      <c r="AA45" s="15"/>
    </row>
    <row r="46" spans="1:27" s="2" customFormat="1" ht="26.25" customHeight="1">
      <c r="A46" s="15"/>
      <c r="B46" s="15"/>
      <c r="C46" s="15"/>
      <c r="AA46" s="15"/>
    </row>
    <row r="47" spans="1:27" s="2" customFormat="1" ht="26.25" customHeight="1">
      <c r="A47" s="15"/>
      <c r="B47" s="15"/>
      <c r="C47" s="15"/>
      <c r="AA47" s="15"/>
    </row>
    <row r="48" spans="1:27" s="2" customFormat="1" ht="26.25" customHeight="1">
      <c r="A48" s="15"/>
      <c r="B48" s="15"/>
      <c r="C48" s="15"/>
      <c r="AA48" s="15"/>
    </row>
    <row r="49" spans="1:27" s="2" customFormat="1" ht="26.25" customHeight="1">
      <c r="A49" s="15"/>
      <c r="B49" s="15"/>
      <c r="C49" s="15"/>
      <c r="AA49" s="15"/>
    </row>
    <row r="50" spans="1:27" s="2" customFormat="1" ht="26.25" customHeight="1">
      <c r="A50" s="15"/>
      <c r="B50" s="15"/>
      <c r="C50" s="15"/>
      <c r="AA50" s="15"/>
    </row>
    <row r="51" spans="1:27" s="2" customFormat="1" ht="26.25" customHeight="1">
      <c r="A51" s="15"/>
      <c r="B51" s="15"/>
      <c r="C51" s="15"/>
      <c r="AA51" s="15"/>
    </row>
    <row r="52" spans="1:27" s="2" customFormat="1" ht="26.25" customHeight="1">
      <c r="A52" s="15"/>
      <c r="B52" s="15"/>
      <c r="C52" s="15"/>
      <c r="AA52" s="15"/>
    </row>
    <row r="53" spans="1:27" s="2" customFormat="1" ht="26.25" customHeight="1">
      <c r="A53" s="15"/>
      <c r="B53" s="15"/>
      <c r="C53" s="15"/>
      <c r="AA53" s="15"/>
    </row>
    <row r="54" spans="1:27" s="2" customFormat="1" ht="26.25" customHeight="1">
      <c r="A54" s="15"/>
      <c r="B54" s="15"/>
      <c r="C54" s="15"/>
      <c r="AA54" s="15"/>
    </row>
  </sheetData>
  <autoFilter ref="A4:Y14"/>
  <mergeCells count="5">
    <mergeCell ref="A1:Y2"/>
    <mergeCell ref="I3:M3"/>
    <mergeCell ref="N3:O3"/>
    <mergeCell ref="W3:Y3"/>
    <mergeCell ref="A3:E3"/>
  </mergeCells>
  <phoneticPr fontId="5" type="noConversion"/>
  <dataValidations count="2">
    <dataValidation type="list" allowBlank="1" showInputMessage="1" showErrorMessage="1" sqref="B5:B14">
      <formula1>$B$20:$B$36</formula1>
    </dataValidation>
    <dataValidation type="list" allowBlank="1" showInputMessage="1" showErrorMessage="1" sqref="P5:P14">
      <formula1>$P$19:$P$24</formula1>
    </dataValidation>
  </dataValidations>
  <pageMargins left="0.19685039370078741" right="0.19685039370078741" top="0.35433070866141736" bottom="0.19685039370078741" header="0.19685039370078741" footer="0.19685039370078741"/>
  <pageSetup paperSize="9" scale="44"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8"/>
  <sheetViews>
    <sheetView zoomScale="90" zoomScaleNormal="90" zoomScaleSheetLayoutView="90" workbookViewId="0">
      <pane ySplit="4" topLeftCell="A5" activePane="bottomLeft" state="frozen"/>
      <selection pane="bottomLeft" activeCell="F9" sqref="F9"/>
    </sheetView>
  </sheetViews>
  <sheetFormatPr defaultRowHeight="13.5"/>
  <cols>
    <col min="1" max="1" width="5.109375" style="6" customWidth="1"/>
    <col min="2" max="2" width="12.33203125" style="6" customWidth="1"/>
    <col min="3" max="3" width="9.109375" style="6" customWidth="1"/>
    <col min="4" max="4" width="17.6640625" style="1" customWidth="1"/>
    <col min="5" max="5" width="12.109375" style="1" customWidth="1"/>
    <col min="6" max="6" width="42" style="1" customWidth="1"/>
    <col min="7" max="7" width="25.109375" style="1" customWidth="1"/>
    <col min="8" max="8" width="12.21875" style="1" customWidth="1"/>
    <col min="9" max="9" width="14.21875" style="1" customWidth="1"/>
    <col min="10" max="13" width="7.6640625" style="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6" width="12.21875" style="1" customWidth="1"/>
    <col min="27" max="256" width="8.88671875" style="1"/>
    <col min="257" max="257" width="5.109375" style="1" customWidth="1"/>
    <col min="258" max="258" width="12.33203125" style="1" customWidth="1"/>
    <col min="259" max="259" width="9.109375" style="1" customWidth="1"/>
    <col min="260" max="260" width="17.6640625" style="1" customWidth="1"/>
    <col min="261" max="261" width="12.109375" style="1" customWidth="1"/>
    <col min="262" max="262" width="42" style="1" customWidth="1"/>
    <col min="263" max="263" width="25.109375" style="1" customWidth="1"/>
    <col min="264" max="264" width="12.21875" style="1" customWidth="1"/>
    <col min="265" max="265" width="14.21875" style="1" customWidth="1"/>
    <col min="266" max="269" width="7.6640625" style="1" customWidth="1"/>
    <col min="270" max="270" width="10.21875" style="1" customWidth="1"/>
    <col min="271" max="271" width="30.21875" style="1" customWidth="1"/>
    <col min="272" max="274" width="12.77734375" style="1" customWidth="1"/>
    <col min="275" max="275" width="12.21875" style="1" customWidth="1"/>
    <col min="276" max="276" width="13.33203125" style="1" customWidth="1"/>
    <col min="277" max="277" width="12.77734375" style="1" customWidth="1"/>
    <col min="278" max="282" width="12.21875" style="1" customWidth="1"/>
    <col min="283" max="512" width="8.88671875" style="1"/>
    <col min="513" max="513" width="5.109375" style="1" customWidth="1"/>
    <col min="514" max="514" width="12.33203125" style="1" customWidth="1"/>
    <col min="515" max="515" width="9.109375" style="1" customWidth="1"/>
    <col min="516" max="516" width="17.6640625" style="1" customWidth="1"/>
    <col min="517" max="517" width="12.109375" style="1" customWidth="1"/>
    <col min="518" max="518" width="42" style="1" customWidth="1"/>
    <col min="519" max="519" width="25.109375" style="1" customWidth="1"/>
    <col min="520" max="520" width="12.21875" style="1" customWidth="1"/>
    <col min="521" max="521" width="14.21875" style="1" customWidth="1"/>
    <col min="522" max="525" width="7.6640625" style="1" customWidth="1"/>
    <col min="526" max="526" width="10.21875" style="1" customWidth="1"/>
    <col min="527" max="527" width="30.21875" style="1" customWidth="1"/>
    <col min="528" max="530" width="12.77734375" style="1" customWidth="1"/>
    <col min="531" max="531" width="12.21875" style="1" customWidth="1"/>
    <col min="532" max="532" width="13.33203125" style="1" customWidth="1"/>
    <col min="533" max="533" width="12.77734375" style="1" customWidth="1"/>
    <col min="534" max="538" width="12.21875" style="1" customWidth="1"/>
    <col min="539" max="768" width="8.88671875" style="1"/>
    <col min="769" max="769" width="5.109375" style="1" customWidth="1"/>
    <col min="770" max="770" width="12.33203125" style="1" customWidth="1"/>
    <col min="771" max="771" width="9.109375" style="1" customWidth="1"/>
    <col min="772" max="772" width="17.6640625" style="1" customWidth="1"/>
    <col min="773" max="773" width="12.109375" style="1" customWidth="1"/>
    <col min="774" max="774" width="42" style="1" customWidth="1"/>
    <col min="775" max="775" width="25.109375" style="1" customWidth="1"/>
    <col min="776" max="776" width="12.21875" style="1" customWidth="1"/>
    <col min="777" max="777" width="14.21875" style="1" customWidth="1"/>
    <col min="778" max="781" width="7.6640625" style="1" customWidth="1"/>
    <col min="782" max="782" width="10.21875" style="1" customWidth="1"/>
    <col min="783" max="783" width="30.21875" style="1" customWidth="1"/>
    <col min="784" max="786" width="12.77734375" style="1" customWidth="1"/>
    <col min="787" max="787" width="12.21875" style="1" customWidth="1"/>
    <col min="788" max="788" width="13.33203125" style="1" customWidth="1"/>
    <col min="789" max="789" width="12.77734375" style="1" customWidth="1"/>
    <col min="790" max="794" width="12.21875" style="1" customWidth="1"/>
    <col min="795" max="1024" width="8.88671875" style="1"/>
    <col min="1025" max="1025" width="5.109375" style="1" customWidth="1"/>
    <col min="1026" max="1026" width="12.33203125" style="1" customWidth="1"/>
    <col min="1027" max="1027" width="9.109375" style="1" customWidth="1"/>
    <col min="1028" max="1028" width="17.6640625" style="1" customWidth="1"/>
    <col min="1029" max="1029" width="12.109375" style="1" customWidth="1"/>
    <col min="1030" max="1030" width="42" style="1" customWidth="1"/>
    <col min="1031" max="1031" width="25.109375" style="1" customWidth="1"/>
    <col min="1032" max="1032" width="12.21875" style="1" customWidth="1"/>
    <col min="1033" max="1033" width="14.21875" style="1" customWidth="1"/>
    <col min="1034" max="1037" width="7.6640625" style="1" customWidth="1"/>
    <col min="1038" max="1038" width="10.21875" style="1" customWidth="1"/>
    <col min="1039" max="1039" width="30.21875" style="1" customWidth="1"/>
    <col min="1040" max="1042" width="12.77734375" style="1" customWidth="1"/>
    <col min="1043" max="1043" width="12.21875" style="1" customWidth="1"/>
    <col min="1044" max="1044" width="13.33203125" style="1" customWidth="1"/>
    <col min="1045" max="1045" width="12.77734375" style="1" customWidth="1"/>
    <col min="1046" max="1050" width="12.21875" style="1" customWidth="1"/>
    <col min="1051" max="1280" width="8.88671875" style="1"/>
    <col min="1281" max="1281" width="5.109375" style="1" customWidth="1"/>
    <col min="1282" max="1282" width="12.33203125" style="1" customWidth="1"/>
    <col min="1283" max="1283" width="9.109375" style="1" customWidth="1"/>
    <col min="1284" max="1284" width="17.6640625" style="1" customWidth="1"/>
    <col min="1285" max="1285" width="12.109375" style="1" customWidth="1"/>
    <col min="1286" max="1286" width="42" style="1" customWidth="1"/>
    <col min="1287" max="1287" width="25.109375" style="1" customWidth="1"/>
    <col min="1288" max="1288" width="12.21875" style="1" customWidth="1"/>
    <col min="1289" max="1289" width="14.21875" style="1" customWidth="1"/>
    <col min="1290" max="1293" width="7.6640625" style="1" customWidth="1"/>
    <col min="1294" max="1294" width="10.21875" style="1" customWidth="1"/>
    <col min="1295" max="1295" width="30.21875" style="1" customWidth="1"/>
    <col min="1296" max="1298" width="12.77734375" style="1" customWidth="1"/>
    <col min="1299" max="1299" width="12.21875" style="1" customWidth="1"/>
    <col min="1300" max="1300" width="13.33203125" style="1" customWidth="1"/>
    <col min="1301" max="1301" width="12.77734375" style="1" customWidth="1"/>
    <col min="1302" max="1306" width="12.21875" style="1" customWidth="1"/>
    <col min="1307" max="1536" width="8.88671875" style="1"/>
    <col min="1537" max="1537" width="5.109375" style="1" customWidth="1"/>
    <col min="1538" max="1538" width="12.33203125" style="1" customWidth="1"/>
    <col min="1539" max="1539" width="9.109375" style="1" customWidth="1"/>
    <col min="1540" max="1540" width="17.6640625" style="1" customWidth="1"/>
    <col min="1541" max="1541" width="12.109375" style="1" customWidth="1"/>
    <col min="1542" max="1542" width="42" style="1" customWidth="1"/>
    <col min="1543" max="1543" width="25.109375" style="1" customWidth="1"/>
    <col min="1544" max="1544" width="12.21875" style="1" customWidth="1"/>
    <col min="1545" max="1545" width="14.21875" style="1" customWidth="1"/>
    <col min="1546" max="1549" width="7.6640625" style="1" customWidth="1"/>
    <col min="1550" max="1550" width="10.21875" style="1" customWidth="1"/>
    <col min="1551" max="1551" width="30.21875" style="1" customWidth="1"/>
    <col min="1552" max="1554" width="12.77734375" style="1" customWidth="1"/>
    <col min="1555" max="1555" width="12.21875" style="1" customWidth="1"/>
    <col min="1556" max="1556" width="13.33203125" style="1" customWidth="1"/>
    <col min="1557" max="1557" width="12.77734375" style="1" customWidth="1"/>
    <col min="1558" max="1562" width="12.21875" style="1" customWidth="1"/>
    <col min="1563" max="1792" width="8.88671875" style="1"/>
    <col min="1793" max="1793" width="5.109375" style="1" customWidth="1"/>
    <col min="1794" max="1794" width="12.33203125" style="1" customWidth="1"/>
    <col min="1795" max="1795" width="9.109375" style="1" customWidth="1"/>
    <col min="1796" max="1796" width="17.6640625" style="1" customWidth="1"/>
    <col min="1797" max="1797" width="12.109375" style="1" customWidth="1"/>
    <col min="1798" max="1798" width="42" style="1" customWidth="1"/>
    <col min="1799" max="1799" width="25.109375" style="1" customWidth="1"/>
    <col min="1800" max="1800" width="12.21875" style="1" customWidth="1"/>
    <col min="1801" max="1801" width="14.21875" style="1" customWidth="1"/>
    <col min="1802" max="1805" width="7.6640625" style="1" customWidth="1"/>
    <col min="1806" max="1806" width="10.21875" style="1" customWidth="1"/>
    <col min="1807" max="1807" width="30.21875" style="1" customWidth="1"/>
    <col min="1808" max="1810" width="12.77734375" style="1" customWidth="1"/>
    <col min="1811" max="1811" width="12.21875" style="1" customWidth="1"/>
    <col min="1812" max="1812" width="13.33203125" style="1" customWidth="1"/>
    <col min="1813" max="1813" width="12.77734375" style="1" customWidth="1"/>
    <col min="1814" max="1818" width="12.21875" style="1" customWidth="1"/>
    <col min="1819" max="2048" width="8.88671875" style="1"/>
    <col min="2049" max="2049" width="5.109375" style="1" customWidth="1"/>
    <col min="2050" max="2050" width="12.33203125" style="1" customWidth="1"/>
    <col min="2051" max="2051" width="9.109375" style="1" customWidth="1"/>
    <col min="2052" max="2052" width="17.6640625" style="1" customWidth="1"/>
    <col min="2053" max="2053" width="12.109375" style="1" customWidth="1"/>
    <col min="2054" max="2054" width="42" style="1" customWidth="1"/>
    <col min="2055" max="2055" width="25.109375" style="1" customWidth="1"/>
    <col min="2056" max="2056" width="12.21875" style="1" customWidth="1"/>
    <col min="2057" max="2057" width="14.21875" style="1" customWidth="1"/>
    <col min="2058" max="2061" width="7.6640625" style="1" customWidth="1"/>
    <col min="2062" max="2062" width="10.21875" style="1" customWidth="1"/>
    <col min="2063" max="2063" width="30.21875" style="1" customWidth="1"/>
    <col min="2064" max="2066" width="12.77734375" style="1" customWidth="1"/>
    <col min="2067" max="2067" width="12.21875" style="1" customWidth="1"/>
    <col min="2068" max="2068" width="13.33203125" style="1" customWidth="1"/>
    <col min="2069" max="2069" width="12.77734375" style="1" customWidth="1"/>
    <col min="2070" max="2074" width="12.21875" style="1" customWidth="1"/>
    <col min="2075" max="2304" width="8.88671875" style="1"/>
    <col min="2305" max="2305" width="5.109375" style="1" customWidth="1"/>
    <col min="2306" max="2306" width="12.33203125" style="1" customWidth="1"/>
    <col min="2307" max="2307" width="9.109375" style="1" customWidth="1"/>
    <col min="2308" max="2308" width="17.6640625" style="1" customWidth="1"/>
    <col min="2309" max="2309" width="12.109375" style="1" customWidth="1"/>
    <col min="2310" max="2310" width="42" style="1" customWidth="1"/>
    <col min="2311" max="2311" width="25.109375" style="1" customWidth="1"/>
    <col min="2312" max="2312" width="12.21875" style="1" customWidth="1"/>
    <col min="2313" max="2313" width="14.21875" style="1" customWidth="1"/>
    <col min="2314" max="2317" width="7.6640625" style="1" customWidth="1"/>
    <col min="2318" max="2318" width="10.21875" style="1" customWidth="1"/>
    <col min="2319" max="2319" width="30.21875" style="1" customWidth="1"/>
    <col min="2320" max="2322" width="12.77734375" style="1" customWidth="1"/>
    <col min="2323" max="2323" width="12.21875" style="1" customWidth="1"/>
    <col min="2324" max="2324" width="13.33203125" style="1" customWidth="1"/>
    <col min="2325" max="2325" width="12.77734375" style="1" customWidth="1"/>
    <col min="2326" max="2330" width="12.21875" style="1" customWidth="1"/>
    <col min="2331" max="2560" width="8.88671875" style="1"/>
    <col min="2561" max="2561" width="5.109375" style="1" customWidth="1"/>
    <col min="2562" max="2562" width="12.33203125" style="1" customWidth="1"/>
    <col min="2563" max="2563" width="9.109375" style="1" customWidth="1"/>
    <col min="2564" max="2564" width="17.6640625" style="1" customWidth="1"/>
    <col min="2565" max="2565" width="12.109375" style="1" customWidth="1"/>
    <col min="2566" max="2566" width="42" style="1" customWidth="1"/>
    <col min="2567" max="2567" width="25.109375" style="1" customWidth="1"/>
    <col min="2568" max="2568" width="12.21875" style="1" customWidth="1"/>
    <col min="2569" max="2569" width="14.21875" style="1" customWidth="1"/>
    <col min="2570" max="2573" width="7.6640625" style="1" customWidth="1"/>
    <col min="2574" max="2574" width="10.21875" style="1" customWidth="1"/>
    <col min="2575" max="2575" width="30.21875" style="1" customWidth="1"/>
    <col min="2576" max="2578" width="12.77734375" style="1" customWidth="1"/>
    <col min="2579" max="2579" width="12.21875" style="1" customWidth="1"/>
    <col min="2580" max="2580" width="13.33203125" style="1" customWidth="1"/>
    <col min="2581" max="2581" width="12.77734375" style="1" customWidth="1"/>
    <col min="2582" max="2586" width="12.21875" style="1" customWidth="1"/>
    <col min="2587" max="2816" width="8.88671875" style="1"/>
    <col min="2817" max="2817" width="5.109375" style="1" customWidth="1"/>
    <col min="2818" max="2818" width="12.33203125" style="1" customWidth="1"/>
    <col min="2819" max="2819" width="9.109375" style="1" customWidth="1"/>
    <col min="2820" max="2820" width="17.6640625" style="1" customWidth="1"/>
    <col min="2821" max="2821" width="12.109375" style="1" customWidth="1"/>
    <col min="2822" max="2822" width="42" style="1" customWidth="1"/>
    <col min="2823" max="2823" width="25.109375" style="1" customWidth="1"/>
    <col min="2824" max="2824" width="12.21875" style="1" customWidth="1"/>
    <col min="2825" max="2825" width="14.21875" style="1" customWidth="1"/>
    <col min="2826" max="2829" width="7.6640625" style="1" customWidth="1"/>
    <col min="2830" max="2830" width="10.21875" style="1" customWidth="1"/>
    <col min="2831" max="2831" width="30.21875" style="1" customWidth="1"/>
    <col min="2832" max="2834" width="12.77734375" style="1" customWidth="1"/>
    <col min="2835" max="2835" width="12.21875" style="1" customWidth="1"/>
    <col min="2836" max="2836" width="13.33203125" style="1" customWidth="1"/>
    <col min="2837" max="2837" width="12.77734375" style="1" customWidth="1"/>
    <col min="2838" max="2842" width="12.21875" style="1" customWidth="1"/>
    <col min="2843" max="3072" width="8.88671875" style="1"/>
    <col min="3073" max="3073" width="5.109375" style="1" customWidth="1"/>
    <col min="3074" max="3074" width="12.33203125" style="1" customWidth="1"/>
    <col min="3075" max="3075" width="9.109375" style="1" customWidth="1"/>
    <col min="3076" max="3076" width="17.6640625" style="1" customWidth="1"/>
    <col min="3077" max="3077" width="12.109375" style="1" customWidth="1"/>
    <col min="3078" max="3078" width="42" style="1" customWidth="1"/>
    <col min="3079" max="3079" width="25.109375" style="1" customWidth="1"/>
    <col min="3080" max="3080" width="12.21875" style="1" customWidth="1"/>
    <col min="3081" max="3081" width="14.21875" style="1" customWidth="1"/>
    <col min="3082" max="3085" width="7.6640625" style="1" customWidth="1"/>
    <col min="3086" max="3086" width="10.21875" style="1" customWidth="1"/>
    <col min="3087" max="3087" width="30.21875" style="1" customWidth="1"/>
    <col min="3088" max="3090" width="12.77734375" style="1" customWidth="1"/>
    <col min="3091" max="3091" width="12.21875" style="1" customWidth="1"/>
    <col min="3092" max="3092" width="13.33203125" style="1" customWidth="1"/>
    <col min="3093" max="3093" width="12.77734375" style="1" customWidth="1"/>
    <col min="3094" max="3098" width="12.21875" style="1" customWidth="1"/>
    <col min="3099" max="3328" width="8.88671875" style="1"/>
    <col min="3329" max="3329" width="5.109375" style="1" customWidth="1"/>
    <col min="3330" max="3330" width="12.33203125" style="1" customWidth="1"/>
    <col min="3331" max="3331" width="9.109375" style="1" customWidth="1"/>
    <col min="3332" max="3332" width="17.6640625" style="1" customWidth="1"/>
    <col min="3333" max="3333" width="12.109375" style="1" customWidth="1"/>
    <col min="3334" max="3334" width="42" style="1" customWidth="1"/>
    <col min="3335" max="3335" width="25.109375" style="1" customWidth="1"/>
    <col min="3336" max="3336" width="12.21875" style="1" customWidth="1"/>
    <col min="3337" max="3337" width="14.21875" style="1" customWidth="1"/>
    <col min="3338" max="3341" width="7.6640625" style="1" customWidth="1"/>
    <col min="3342" max="3342" width="10.21875" style="1" customWidth="1"/>
    <col min="3343" max="3343" width="30.21875" style="1" customWidth="1"/>
    <col min="3344" max="3346" width="12.77734375" style="1" customWidth="1"/>
    <col min="3347" max="3347" width="12.21875" style="1" customWidth="1"/>
    <col min="3348" max="3348" width="13.33203125" style="1" customWidth="1"/>
    <col min="3349" max="3349" width="12.77734375" style="1" customWidth="1"/>
    <col min="3350" max="3354" width="12.21875" style="1" customWidth="1"/>
    <col min="3355" max="3584" width="8.88671875" style="1"/>
    <col min="3585" max="3585" width="5.109375" style="1" customWidth="1"/>
    <col min="3586" max="3586" width="12.33203125" style="1" customWidth="1"/>
    <col min="3587" max="3587" width="9.109375" style="1" customWidth="1"/>
    <col min="3588" max="3588" width="17.6640625" style="1" customWidth="1"/>
    <col min="3589" max="3589" width="12.109375" style="1" customWidth="1"/>
    <col min="3590" max="3590" width="42" style="1" customWidth="1"/>
    <col min="3591" max="3591" width="25.109375" style="1" customWidth="1"/>
    <col min="3592" max="3592" width="12.21875" style="1" customWidth="1"/>
    <col min="3593" max="3593" width="14.21875" style="1" customWidth="1"/>
    <col min="3594" max="3597" width="7.6640625" style="1" customWidth="1"/>
    <col min="3598" max="3598" width="10.21875" style="1" customWidth="1"/>
    <col min="3599" max="3599" width="30.21875" style="1" customWidth="1"/>
    <col min="3600" max="3602" width="12.77734375" style="1" customWidth="1"/>
    <col min="3603" max="3603" width="12.21875" style="1" customWidth="1"/>
    <col min="3604" max="3604" width="13.33203125" style="1" customWidth="1"/>
    <col min="3605" max="3605" width="12.77734375" style="1" customWidth="1"/>
    <col min="3606" max="3610" width="12.21875" style="1" customWidth="1"/>
    <col min="3611" max="3840" width="8.88671875" style="1"/>
    <col min="3841" max="3841" width="5.109375" style="1" customWidth="1"/>
    <col min="3842" max="3842" width="12.33203125" style="1" customWidth="1"/>
    <col min="3843" max="3843" width="9.109375" style="1" customWidth="1"/>
    <col min="3844" max="3844" width="17.6640625" style="1" customWidth="1"/>
    <col min="3845" max="3845" width="12.109375" style="1" customWidth="1"/>
    <col min="3846" max="3846" width="42" style="1" customWidth="1"/>
    <col min="3847" max="3847" width="25.109375" style="1" customWidth="1"/>
    <col min="3848" max="3848" width="12.21875" style="1" customWidth="1"/>
    <col min="3849" max="3849" width="14.21875" style="1" customWidth="1"/>
    <col min="3850" max="3853" width="7.6640625" style="1" customWidth="1"/>
    <col min="3854" max="3854" width="10.21875" style="1" customWidth="1"/>
    <col min="3855" max="3855" width="30.21875" style="1" customWidth="1"/>
    <col min="3856" max="3858" width="12.77734375" style="1" customWidth="1"/>
    <col min="3859" max="3859" width="12.21875" style="1" customWidth="1"/>
    <col min="3860" max="3860" width="13.33203125" style="1" customWidth="1"/>
    <col min="3861" max="3861" width="12.77734375" style="1" customWidth="1"/>
    <col min="3862" max="3866" width="12.21875" style="1" customWidth="1"/>
    <col min="3867" max="4096" width="8.88671875" style="1"/>
    <col min="4097" max="4097" width="5.109375" style="1" customWidth="1"/>
    <col min="4098" max="4098" width="12.33203125" style="1" customWidth="1"/>
    <col min="4099" max="4099" width="9.109375" style="1" customWidth="1"/>
    <col min="4100" max="4100" width="17.6640625" style="1" customWidth="1"/>
    <col min="4101" max="4101" width="12.109375" style="1" customWidth="1"/>
    <col min="4102" max="4102" width="42" style="1" customWidth="1"/>
    <col min="4103" max="4103" width="25.109375" style="1" customWidth="1"/>
    <col min="4104" max="4104" width="12.21875" style="1" customWidth="1"/>
    <col min="4105" max="4105" width="14.21875" style="1" customWidth="1"/>
    <col min="4106" max="4109" width="7.6640625" style="1" customWidth="1"/>
    <col min="4110" max="4110" width="10.21875" style="1" customWidth="1"/>
    <col min="4111" max="4111" width="30.21875" style="1" customWidth="1"/>
    <col min="4112" max="4114" width="12.77734375" style="1" customWidth="1"/>
    <col min="4115" max="4115" width="12.21875" style="1" customWidth="1"/>
    <col min="4116" max="4116" width="13.33203125" style="1" customWidth="1"/>
    <col min="4117" max="4117" width="12.77734375" style="1" customWidth="1"/>
    <col min="4118" max="4122" width="12.21875" style="1" customWidth="1"/>
    <col min="4123" max="4352" width="8.88671875" style="1"/>
    <col min="4353" max="4353" width="5.109375" style="1" customWidth="1"/>
    <col min="4354" max="4354" width="12.33203125" style="1" customWidth="1"/>
    <col min="4355" max="4355" width="9.109375" style="1" customWidth="1"/>
    <col min="4356" max="4356" width="17.6640625" style="1" customWidth="1"/>
    <col min="4357" max="4357" width="12.109375" style="1" customWidth="1"/>
    <col min="4358" max="4358" width="42" style="1" customWidth="1"/>
    <col min="4359" max="4359" width="25.109375" style="1" customWidth="1"/>
    <col min="4360" max="4360" width="12.21875" style="1" customWidth="1"/>
    <col min="4361" max="4361" width="14.21875" style="1" customWidth="1"/>
    <col min="4362" max="4365" width="7.6640625" style="1" customWidth="1"/>
    <col min="4366" max="4366" width="10.21875" style="1" customWidth="1"/>
    <col min="4367" max="4367" width="30.21875" style="1" customWidth="1"/>
    <col min="4368" max="4370" width="12.77734375" style="1" customWidth="1"/>
    <col min="4371" max="4371" width="12.21875" style="1" customWidth="1"/>
    <col min="4372" max="4372" width="13.33203125" style="1" customWidth="1"/>
    <col min="4373" max="4373" width="12.77734375" style="1" customWidth="1"/>
    <col min="4374" max="4378" width="12.21875" style="1" customWidth="1"/>
    <col min="4379" max="4608" width="8.88671875" style="1"/>
    <col min="4609" max="4609" width="5.109375" style="1" customWidth="1"/>
    <col min="4610" max="4610" width="12.33203125" style="1" customWidth="1"/>
    <col min="4611" max="4611" width="9.109375" style="1" customWidth="1"/>
    <col min="4612" max="4612" width="17.6640625" style="1" customWidth="1"/>
    <col min="4613" max="4613" width="12.109375" style="1" customWidth="1"/>
    <col min="4614" max="4614" width="42" style="1" customWidth="1"/>
    <col min="4615" max="4615" width="25.109375" style="1" customWidth="1"/>
    <col min="4616" max="4616" width="12.21875" style="1" customWidth="1"/>
    <col min="4617" max="4617" width="14.21875" style="1" customWidth="1"/>
    <col min="4618" max="4621" width="7.6640625" style="1" customWidth="1"/>
    <col min="4622" max="4622" width="10.21875" style="1" customWidth="1"/>
    <col min="4623" max="4623" width="30.21875" style="1" customWidth="1"/>
    <col min="4624" max="4626" width="12.77734375" style="1" customWidth="1"/>
    <col min="4627" max="4627" width="12.21875" style="1" customWidth="1"/>
    <col min="4628" max="4628" width="13.33203125" style="1" customWidth="1"/>
    <col min="4629" max="4629" width="12.77734375" style="1" customWidth="1"/>
    <col min="4630" max="4634" width="12.21875" style="1" customWidth="1"/>
    <col min="4635" max="4864" width="8.88671875" style="1"/>
    <col min="4865" max="4865" width="5.109375" style="1" customWidth="1"/>
    <col min="4866" max="4866" width="12.33203125" style="1" customWidth="1"/>
    <col min="4867" max="4867" width="9.109375" style="1" customWidth="1"/>
    <col min="4868" max="4868" width="17.6640625" style="1" customWidth="1"/>
    <col min="4869" max="4869" width="12.109375" style="1" customWidth="1"/>
    <col min="4870" max="4870" width="42" style="1" customWidth="1"/>
    <col min="4871" max="4871" width="25.109375" style="1" customWidth="1"/>
    <col min="4872" max="4872" width="12.21875" style="1" customWidth="1"/>
    <col min="4873" max="4873" width="14.21875" style="1" customWidth="1"/>
    <col min="4874" max="4877" width="7.6640625" style="1" customWidth="1"/>
    <col min="4878" max="4878" width="10.21875" style="1" customWidth="1"/>
    <col min="4879" max="4879" width="30.21875" style="1" customWidth="1"/>
    <col min="4880" max="4882" width="12.77734375" style="1" customWidth="1"/>
    <col min="4883" max="4883" width="12.21875" style="1" customWidth="1"/>
    <col min="4884" max="4884" width="13.33203125" style="1" customWidth="1"/>
    <col min="4885" max="4885" width="12.77734375" style="1" customWidth="1"/>
    <col min="4886" max="4890" width="12.21875" style="1" customWidth="1"/>
    <col min="4891" max="5120" width="8.88671875" style="1"/>
    <col min="5121" max="5121" width="5.109375" style="1" customWidth="1"/>
    <col min="5122" max="5122" width="12.33203125" style="1" customWidth="1"/>
    <col min="5123" max="5123" width="9.109375" style="1" customWidth="1"/>
    <col min="5124" max="5124" width="17.6640625" style="1" customWidth="1"/>
    <col min="5125" max="5125" width="12.109375" style="1" customWidth="1"/>
    <col min="5126" max="5126" width="42" style="1" customWidth="1"/>
    <col min="5127" max="5127" width="25.109375" style="1" customWidth="1"/>
    <col min="5128" max="5128" width="12.21875" style="1" customWidth="1"/>
    <col min="5129" max="5129" width="14.21875" style="1" customWidth="1"/>
    <col min="5130" max="5133" width="7.6640625" style="1" customWidth="1"/>
    <col min="5134" max="5134" width="10.21875" style="1" customWidth="1"/>
    <col min="5135" max="5135" width="30.21875" style="1" customWidth="1"/>
    <col min="5136" max="5138" width="12.77734375" style="1" customWidth="1"/>
    <col min="5139" max="5139" width="12.21875" style="1" customWidth="1"/>
    <col min="5140" max="5140" width="13.33203125" style="1" customWidth="1"/>
    <col min="5141" max="5141" width="12.77734375" style="1" customWidth="1"/>
    <col min="5142" max="5146" width="12.21875" style="1" customWidth="1"/>
    <col min="5147" max="5376" width="8.88671875" style="1"/>
    <col min="5377" max="5377" width="5.109375" style="1" customWidth="1"/>
    <col min="5378" max="5378" width="12.33203125" style="1" customWidth="1"/>
    <col min="5379" max="5379" width="9.109375" style="1" customWidth="1"/>
    <col min="5380" max="5380" width="17.6640625" style="1" customWidth="1"/>
    <col min="5381" max="5381" width="12.109375" style="1" customWidth="1"/>
    <col min="5382" max="5382" width="42" style="1" customWidth="1"/>
    <col min="5383" max="5383" width="25.109375" style="1" customWidth="1"/>
    <col min="5384" max="5384" width="12.21875" style="1" customWidth="1"/>
    <col min="5385" max="5385" width="14.21875" style="1" customWidth="1"/>
    <col min="5386" max="5389" width="7.6640625" style="1" customWidth="1"/>
    <col min="5390" max="5390" width="10.21875" style="1" customWidth="1"/>
    <col min="5391" max="5391" width="30.21875" style="1" customWidth="1"/>
    <col min="5392" max="5394" width="12.77734375" style="1" customWidth="1"/>
    <col min="5395" max="5395" width="12.21875" style="1" customWidth="1"/>
    <col min="5396" max="5396" width="13.33203125" style="1" customWidth="1"/>
    <col min="5397" max="5397" width="12.77734375" style="1" customWidth="1"/>
    <col min="5398" max="5402" width="12.21875" style="1" customWidth="1"/>
    <col min="5403" max="5632" width="8.88671875" style="1"/>
    <col min="5633" max="5633" width="5.109375" style="1" customWidth="1"/>
    <col min="5634" max="5634" width="12.33203125" style="1" customWidth="1"/>
    <col min="5635" max="5635" width="9.109375" style="1" customWidth="1"/>
    <col min="5636" max="5636" width="17.6640625" style="1" customWidth="1"/>
    <col min="5637" max="5637" width="12.109375" style="1" customWidth="1"/>
    <col min="5638" max="5638" width="42" style="1" customWidth="1"/>
    <col min="5639" max="5639" width="25.109375" style="1" customWidth="1"/>
    <col min="5640" max="5640" width="12.21875" style="1" customWidth="1"/>
    <col min="5641" max="5641" width="14.21875" style="1" customWidth="1"/>
    <col min="5642" max="5645" width="7.6640625" style="1" customWidth="1"/>
    <col min="5646" max="5646" width="10.21875" style="1" customWidth="1"/>
    <col min="5647" max="5647" width="30.21875" style="1" customWidth="1"/>
    <col min="5648" max="5650" width="12.77734375" style="1" customWidth="1"/>
    <col min="5651" max="5651" width="12.21875" style="1" customWidth="1"/>
    <col min="5652" max="5652" width="13.33203125" style="1" customWidth="1"/>
    <col min="5653" max="5653" width="12.77734375" style="1" customWidth="1"/>
    <col min="5654" max="5658" width="12.21875" style="1" customWidth="1"/>
    <col min="5659" max="5888" width="8.88671875" style="1"/>
    <col min="5889" max="5889" width="5.109375" style="1" customWidth="1"/>
    <col min="5890" max="5890" width="12.33203125" style="1" customWidth="1"/>
    <col min="5891" max="5891" width="9.109375" style="1" customWidth="1"/>
    <col min="5892" max="5892" width="17.6640625" style="1" customWidth="1"/>
    <col min="5893" max="5893" width="12.109375" style="1" customWidth="1"/>
    <col min="5894" max="5894" width="42" style="1" customWidth="1"/>
    <col min="5895" max="5895" width="25.109375" style="1" customWidth="1"/>
    <col min="5896" max="5896" width="12.21875" style="1" customWidth="1"/>
    <col min="5897" max="5897" width="14.21875" style="1" customWidth="1"/>
    <col min="5898" max="5901" width="7.6640625" style="1" customWidth="1"/>
    <col min="5902" max="5902" width="10.21875" style="1" customWidth="1"/>
    <col min="5903" max="5903" width="30.21875" style="1" customWidth="1"/>
    <col min="5904" max="5906" width="12.77734375" style="1" customWidth="1"/>
    <col min="5907" max="5907" width="12.21875" style="1" customWidth="1"/>
    <col min="5908" max="5908" width="13.33203125" style="1" customWidth="1"/>
    <col min="5909" max="5909" width="12.77734375" style="1" customWidth="1"/>
    <col min="5910" max="5914" width="12.21875" style="1" customWidth="1"/>
    <col min="5915" max="6144" width="8.88671875" style="1"/>
    <col min="6145" max="6145" width="5.109375" style="1" customWidth="1"/>
    <col min="6146" max="6146" width="12.33203125" style="1" customWidth="1"/>
    <col min="6147" max="6147" width="9.109375" style="1" customWidth="1"/>
    <col min="6148" max="6148" width="17.6640625" style="1" customWidth="1"/>
    <col min="6149" max="6149" width="12.109375" style="1" customWidth="1"/>
    <col min="6150" max="6150" width="42" style="1" customWidth="1"/>
    <col min="6151" max="6151" width="25.109375" style="1" customWidth="1"/>
    <col min="6152" max="6152" width="12.21875" style="1" customWidth="1"/>
    <col min="6153" max="6153" width="14.21875" style="1" customWidth="1"/>
    <col min="6154" max="6157" width="7.6640625" style="1" customWidth="1"/>
    <col min="6158" max="6158" width="10.21875" style="1" customWidth="1"/>
    <col min="6159" max="6159" width="30.21875" style="1" customWidth="1"/>
    <col min="6160" max="6162" width="12.77734375" style="1" customWidth="1"/>
    <col min="6163" max="6163" width="12.21875" style="1" customWidth="1"/>
    <col min="6164" max="6164" width="13.33203125" style="1" customWidth="1"/>
    <col min="6165" max="6165" width="12.77734375" style="1" customWidth="1"/>
    <col min="6166" max="6170" width="12.21875" style="1" customWidth="1"/>
    <col min="6171" max="6400" width="8.88671875" style="1"/>
    <col min="6401" max="6401" width="5.109375" style="1" customWidth="1"/>
    <col min="6402" max="6402" width="12.33203125" style="1" customWidth="1"/>
    <col min="6403" max="6403" width="9.109375" style="1" customWidth="1"/>
    <col min="6404" max="6404" width="17.6640625" style="1" customWidth="1"/>
    <col min="6405" max="6405" width="12.109375" style="1" customWidth="1"/>
    <col min="6406" max="6406" width="42" style="1" customWidth="1"/>
    <col min="6407" max="6407" width="25.109375" style="1" customWidth="1"/>
    <col min="6408" max="6408" width="12.21875" style="1" customWidth="1"/>
    <col min="6409" max="6409" width="14.21875" style="1" customWidth="1"/>
    <col min="6410" max="6413" width="7.6640625" style="1" customWidth="1"/>
    <col min="6414" max="6414" width="10.21875" style="1" customWidth="1"/>
    <col min="6415" max="6415" width="30.21875" style="1" customWidth="1"/>
    <col min="6416" max="6418" width="12.77734375" style="1" customWidth="1"/>
    <col min="6419" max="6419" width="12.21875" style="1" customWidth="1"/>
    <col min="6420" max="6420" width="13.33203125" style="1" customWidth="1"/>
    <col min="6421" max="6421" width="12.77734375" style="1" customWidth="1"/>
    <col min="6422" max="6426" width="12.21875" style="1" customWidth="1"/>
    <col min="6427" max="6656" width="8.88671875" style="1"/>
    <col min="6657" max="6657" width="5.109375" style="1" customWidth="1"/>
    <col min="6658" max="6658" width="12.33203125" style="1" customWidth="1"/>
    <col min="6659" max="6659" width="9.109375" style="1" customWidth="1"/>
    <col min="6660" max="6660" width="17.6640625" style="1" customWidth="1"/>
    <col min="6661" max="6661" width="12.109375" style="1" customWidth="1"/>
    <col min="6662" max="6662" width="42" style="1" customWidth="1"/>
    <col min="6663" max="6663" width="25.109375" style="1" customWidth="1"/>
    <col min="6664" max="6664" width="12.21875" style="1" customWidth="1"/>
    <col min="6665" max="6665" width="14.21875" style="1" customWidth="1"/>
    <col min="6666" max="6669" width="7.6640625" style="1" customWidth="1"/>
    <col min="6670" max="6670" width="10.21875" style="1" customWidth="1"/>
    <col min="6671" max="6671" width="30.21875" style="1" customWidth="1"/>
    <col min="6672" max="6674" width="12.77734375" style="1" customWidth="1"/>
    <col min="6675" max="6675" width="12.21875" style="1" customWidth="1"/>
    <col min="6676" max="6676" width="13.33203125" style="1" customWidth="1"/>
    <col min="6677" max="6677" width="12.77734375" style="1" customWidth="1"/>
    <col min="6678" max="6682" width="12.21875" style="1" customWidth="1"/>
    <col min="6683" max="6912" width="8.88671875" style="1"/>
    <col min="6913" max="6913" width="5.109375" style="1" customWidth="1"/>
    <col min="6914" max="6914" width="12.33203125" style="1" customWidth="1"/>
    <col min="6915" max="6915" width="9.109375" style="1" customWidth="1"/>
    <col min="6916" max="6916" width="17.6640625" style="1" customWidth="1"/>
    <col min="6917" max="6917" width="12.109375" style="1" customWidth="1"/>
    <col min="6918" max="6918" width="42" style="1" customWidth="1"/>
    <col min="6919" max="6919" width="25.109375" style="1" customWidth="1"/>
    <col min="6920" max="6920" width="12.21875" style="1" customWidth="1"/>
    <col min="6921" max="6921" width="14.21875" style="1" customWidth="1"/>
    <col min="6922" max="6925" width="7.6640625" style="1" customWidth="1"/>
    <col min="6926" max="6926" width="10.21875" style="1" customWidth="1"/>
    <col min="6927" max="6927" width="30.21875" style="1" customWidth="1"/>
    <col min="6928" max="6930" width="12.77734375" style="1" customWidth="1"/>
    <col min="6931" max="6931" width="12.21875" style="1" customWidth="1"/>
    <col min="6932" max="6932" width="13.33203125" style="1" customWidth="1"/>
    <col min="6933" max="6933" width="12.77734375" style="1" customWidth="1"/>
    <col min="6934" max="6938" width="12.21875" style="1" customWidth="1"/>
    <col min="6939" max="7168" width="8.88671875" style="1"/>
    <col min="7169" max="7169" width="5.109375" style="1" customWidth="1"/>
    <col min="7170" max="7170" width="12.33203125" style="1" customWidth="1"/>
    <col min="7171" max="7171" width="9.109375" style="1" customWidth="1"/>
    <col min="7172" max="7172" width="17.6640625" style="1" customWidth="1"/>
    <col min="7173" max="7173" width="12.109375" style="1" customWidth="1"/>
    <col min="7174" max="7174" width="42" style="1" customWidth="1"/>
    <col min="7175" max="7175" width="25.109375" style="1" customWidth="1"/>
    <col min="7176" max="7176" width="12.21875" style="1" customWidth="1"/>
    <col min="7177" max="7177" width="14.21875" style="1" customWidth="1"/>
    <col min="7178" max="7181" width="7.6640625" style="1" customWidth="1"/>
    <col min="7182" max="7182" width="10.21875" style="1" customWidth="1"/>
    <col min="7183" max="7183" width="30.21875" style="1" customWidth="1"/>
    <col min="7184" max="7186" width="12.77734375" style="1" customWidth="1"/>
    <col min="7187" max="7187" width="12.21875" style="1" customWidth="1"/>
    <col min="7188" max="7188" width="13.33203125" style="1" customWidth="1"/>
    <col min="7189" max="7189" width="12.77734375" style="1" customWidth="1"/>
    <col min="7190" max="7194" width="12.21875" style="1" customWidth="1"/>
    <col min="7195" max="7424" width="8.88671875" style="1"/>
    <col min="7425" max="7425" width="5.109375" style="1" customWidth="1"/>
    <col min="7426" max="7426" width="12.33203125" style="1" customWidth="1"/>
    <col min="7427" max="7427" width="9.109375" style="1" customWidth="1"/>
    <col min="7428" max="7428" width="17.6640625" style="1" customWidth="1"/>
    <col min="7429" max="7429" width="12.109375" style="1" customWidth="1"/>
    <col min="7430" max="7430" width="42" style="1" customWidth="1"/>
    <col min="7431" max="7431" width="25.109375" style="1" customWidth="1"/>
    <col min="7432" max="7432" width="12.21875" style="1" customWidth="1"/>
    <col min="7433" max="7433" width="14.21875" style="1" customWidth="1"/>
    <col min="7434" max="7437" width="7.6640625" style="1" customWidth="1"/>
    <col min="7438" max="7438" width="10.21875" style="1" customWidth="1"/>
    <col min="7439" max="7439" width="30.21875" style="1" customWidth="1"/>
    <col min="7440" max="7442" width="12.77734375" style="1" customWidth="1"/>
    <col min="7443" max="7443" width="12.21875" style="1" customWidth="1"/>
    <col min="7444" max="7444" width="13.33203125" style="1" customWidth="1"/>
    <col min="7445" max="7445" width="12.77734375" style="1" customWidth="1"/>
    <col min="7446" max="7450" width="12.21875" style="1" customWidth="1"/>
    <col min="7451" max="7680" width="8.88671875" style="1"/>
    <col min="7681" max="7681" width="5.109375" style="1" customWidth="1"/>
    <col min="7682" max="7682" width="12.33203125" style="1" customWidth="1"/>
    <col min="7683" max="7683" width="9.109375" style="1" customWidth="1"/>
    <col min="7684" max="7684" width="17.6640625" style="1" customWidth="1"/>
    <col min="7685" max="7685" width="12.109375" style="1" customWidth="1"/>
    <col min="7686" max="7686" width="42" style="1" customWidth="1"/>
    <col min="7687" max="7687" width="25.109375" style="1" customWidth="1"/>
    <col min="7688" max="7688" width="12.21875" style="1" customWidth="1"/>
    <col min="7689" max="7689" width="14.21875" style="1" customWidth="1"/>
    <col min="7690" max="7693" width="7.6640625" style="1" customWidth="1"/>
    <col min="7694" max="7694" width="10.21875" style="1" customWidth="1"/>
    <col min="7695" max="7695" width="30.21875" style="1" customWidth="1"/>
    <col min="7696" max="7698" width="12.77734375" style="1" customWidth="1"/>
    <col min="7699" max="7699" width="12.21875" style="1" customWidth="1"/>
    <col min="7700" max="7700" width="13.33203125" style="1" customWidth="1"/>
    <col min="7701" max="7701" width="12.77734375" style="1" customWidth="1"/>
    <col min="7702" max="7706" width="12.21875" style="1" customWidth="1"/>
    <col min="7707" max="7936" width="8.88671875" style="1"/>
    <col min="7937" max="7937" width="5.109375" style="1" customWidth="1"/>
    <col min="7938" max="7938" width="12.33203125" style="1" customWidth="1"/>
    <col min="7939" max="7939" width="9.109375" style="1" customWidth="1"/>
    <col min="7940" max="7940" width="17.6640625" style="1" customWidth="1"/>
    <col min="7941" max="7941" width="12.109375" style="1" customWidth="1"/>
    <col min="7942" max="7942" width="42" style="1" customWidth="1"/>
    <col min="7943" max="7943" width="25.109375" style="1" customWidth="1"/>
    <col min="7944" max="7944" width="12.21875" style="1" customWidth="1"/>
    <col min="7945" max="7945" width="14.21875" style="1" customWidth="1"/>
    <col min="7946" max="7949" width="7.6640625" style="1" customWidth="1"/>
    <col min="7950" max="7950" width="10.21875" style="1" customWidth="1"/>
    <col min="7951" max="7951" width="30.21875" style="1" customWidth="1"/>
    <col min="7952" max="7954" width="12.77734375" style="1" customWidth="1"/>
    <col min="7955" max="7955" width="12.21875" style="1" customWidth="1"/>
    <col min="7956" max="7956" width="13.33203125" style="1" customWidth="1"/>
    <col min="7957" max="7957" width="12.77734375" style="1" customWidth="1"/>
    <col min="7958" max="7962" width="12.21875" style="1" customWidth="1"/>
    <col min="7963" max="8192" width="8.88671875" style="1"/>
    <col min="8193" max="8193" width="5.109375" style="1" customWidth="1"/>
    <col min="8194" max="8194" width="12.33203125" style="1" customWidth="1"/>
    <col min="8195" max="8195" width="9.109375" style="1" customWidth="1"/>
    <col min="8196" max="8196" width="17.6640625" style="1" customWidth="1"/>
    <col min="8197" max="8197" width="12.109375" style="1" customWidth="1"/>
    <col min="8198" max="8198" width="42" style="1" customWidth="1"/>
    <col min="8199" max="8199" width="25.109375" style="1" customWidth="1"/>
    <col min="8200" max="8200" width="12.21875" style="1" customWidth="1"/>
    <col min="8201" max="8201" width="14.21875" style="1" customWidth="1"/>
    <col min="8202" max="8205" width="7.6640625" style="1" customWidth="1"/>
    <col min="8206" max="8206" width="10.21875" style="1" customWidth="1"/>
    <col min="8207" max="8207" width="30.21875" style="1" customWidth="1"/>
    <col min="8208" max="8210" width="12.77734375" style="1" customWidth="1"/>
    <col min="8211" max="8211" width="12.21875" style="1" customWidth="1"/>
    <col min="8212" max="8212" width="13.33203125" style="1" customWidth="1"/>
    <col min="8213" max="8213" width="12.77734375" style="1" customWidth="1"/>
    <col min="8214" max="8218" width="12.21875" style="1" customWidth="1"/>
    <col min="8219" max="8448" width="8.88671875" style="1"/>
    <col min="8449" max="8449" width="5.109375" style="1" customWidth="1"/>
    <col min="8450" max="8450" width="12.33203125" style="1" customWidth="1"/>
    <col min="8451" max="8451" width="9.109375" style="1" customWidth="1"/>
    <col min="8452" max="8452" width="17.6640625" style="1" customWidth="1"/>
    <col min="8453" max="8453" width="12.109375" style="1" customWidth="1"/>
    <col min="8454" max="8454" width="42" style="1" customWidth="1"/>
    <col min="8455" max="8455" width="25.109375" style="1" customWidth="1"/>
    <col min="8456" max="8456" width="12.21875" style="1" customWidth="1"/>
    <col min="8457" max="8457" width="14.21875" style="1" customWidth="1"/>
    <col min="8458" max="8461" width="7.6640625" style="1" customWidth="1"/>
    <col min="8462" max="8462" width="10.21875" style="1" customWidth="1"/>
    <col min="8463" max="8463" width="30.21875" style="1" customWidth="1"/>
    <col min="8464" max="8466" width="12.77734375" style="1" customWidth="1"/>
    <col min="8467" max="8467" width="12.21875" style="1" customWidth="1"/>
    <col min="8468" max="8468" width="13.33203125" style="1" customWidth="1"/>
    <col min="8469" max="8469" width="12.77734375" style="1" customWidth="1"/>
    <col min="8470" max="8474" width="12.21875" style="1" customWidth="1"/>
    <col min="8475" max="8704" width="8.88671875" style="1"/>
    <col min="8705" max="8705" width="5.109375" style="1" customWidth="1"/>
    <col min="8706" max="8706" width="12.33203125" style="1" customWidth="1"/>
    <col min="8707" max="8707" width="9.109375" style="1" customWidth="1"/>
    <col min="8708" max="8708" width="17.6640625" style="1" customWidth="1"/>
    <col min="8709" max="8709" width="12.109375" style="1" customWidth="1"/>
    <col min="8710" max="8710" width="42" style="1" customWidth="1"/>
    <col min="8711" max="8711" width="25.109375" style="1" customWidth="1"/>
    <col min="8712" max="8712" width="12.21875" style="1" customWidth="1"/>
    <col min="8713" max="8713" width="14.21875" style="1" customWidth="1"/>
    <col min="8714" max="8717" width="7.6640625" style="1" customWidth="1"/>
    <col min="8718" max="8718" width="10.21875" style="1" customWidth="1"/>
    <col min="8719" max="8719" width="30.21875" style="1" customWidth="1"/>
    <col min="8720" max="8722" width="12.77734375" style="1" customWidth="1"/>
    <col min="8723" max="8723" width="12.21875" style="1" customWidth="1"/>
    <col min="8724" max="8724" width="13.33203125" style="1" customWidth="1"/>
    <col min="8725" max="8725" width="12.77734375" style="1" customWidth="1"/>
    <col min="8726" max="8730" width="12.21875" style="1" customWidth="1"/>
    <col min="8731" max="8960" width="8.88671875" style="1"/>
    <col min="8961" max="8961" width="5.109375" style="1" customWidth="1"/>
    <col min="8962" max="8962" width="12.33203125" style="1" customWidth="1"/>
    <col min="8963" max="8963" width="9.109375" style="1" customWidth="1"/>
    <col min="8964" max="8964" width="17.6640625" style="1" customWidth="1"/>
    <col min="8965" max="8965" width="12.109375" style="1" customWidth="1"/>
    <col min="8966" max="8966" width="42" style="1" customWidth="1"/>
    <col min="8967" max="8967" width="25.109375" style="1" customWidth="1"/>
    <col min="8968" max="8968" width="12.21875" style="1" customWidth="1"/>
    <col min="8969" max="8969" width="14.21875" style="1" customWidth="1"/>
    <col min="8970" max="8973" width="7.6640625" style="1" customWidth="1"/>
    <col min="8974" max="8974" width="10.21875" style="1" customWidth="1"/>
    <col min="8975" max="8975" width="30.21875" style="1" customWidth="1"/>
    <col min="8976" max="8978" width="12.77734375" style="1" customWidth="1"/>
    <col min="8979" max="8979" width="12.21875" style="1" customWidth="1"/>
    <col min="8980" max="8980" width="13.33203125" style="1" customWidth="1"/>
    <col min="8981" max="8981" width="12.77734375" style="1" customWidth="1"/>
    <col min="8982" max="8986" width="12.21875" style="1" customWidth="1"/>
    <col min="8987" max="9216" width="8.88671875" style="1"/>
    <col min="9217" max="9217" width="5.109375" style="1" customWidth="1"/>
    <col min="9218" max="9218" width="12.33203125" style="1" customWidth="1"/>
    <col min="9219" max="9219" width="9.109375" style="1" customWidth="1"/>
    <col min="9220" max="9220" width="17.6640625" style="1" customWidth="1"/>
    <col min="9221" max="9221" width="12.109375" style="1" customWidth="1"/>
    <col min="9222" max="9222" width="42" style="1" customWidth="1"/>
    <col min="9223" max="9223" width="25.109375" style="1" customWidth="1"/>
    <col min="9224" max="9224" width="12.21875" style="1" customWidth="1"/>
    <col min="9225" max="9225" width="14.21875" style="1" customWidth="1"/>
    <col min="9226" max="9229" width="7.6640625" style="1" customWidth="1"/>
    <col min="9230" max="9230" width="10.21875" style="1" customWidth="1"/>
    <col min="9231" max="9231" width="30.21875" style="1" customWidth="1"/>
    <col min="9232" max="9234" width="12.77734375" style="1" customWidth="1"/>
    <col min="9235" max="9235" width="12.21875" style="1" customWidth="1"/>
    <col min="9236" max="9236" width="13.33203125" style="1" customWidth="1"/>
    <col min="9237" max="9237" width="12.77734375" style="1" customWidth="1"/>
    <col min="9238" max="9242" width="12.21875" style="1" customWidth="1"/>
    <col min="9243" max="9472" width="8.88671875" style="1"/>
    <col min="9473" max="9473" width="5.109375" style="1" customWidth="1"/>
    <col min="9474" max="9474" width="12.33203125" style="1" customWidth="1"/>
    <col min="9475" max="9475" width="9.109375" style="1" customWidth="1"/>
    <col min="9476" max="9476" width="17.6640625" style="1" customWidth="1"/>
    <col min="9477" max="9477" width="12.109375" style="1" customWidth="1"/>
    <col min="9478" max="9478" width="42" style="1" customWidth="1"/>
    <col min="9479" max="9479" width="25.109375" style="1" customWidth="1"/>
    <col min="9480" max="9480" width="12.21875" style="1" customWidth="1"/>
    <col min="9481" max="9481" width="14.21875" style="1" customWidth="1"/>
    <col min="9482" max="9485" width="7.6640625" style="1" customWidth="1"/>
    <col min="9486" max="9486" width="10.21875" style="1" customWidth="1"/>
    <col min="9487" max="9487" width="30.21875" style="1" customWidth="1"/>
    <col min="9488" max="9490" width="12.77734375" style="1" customWidth="1"/>
    <col min="9491" max="9491" width="12.21875" style="1" customWidth="1"/>
    <col min="9492" max="9492" width="13.33203125" style="1" customWidth="1"/>
    <col min="9493" max="9493" width="12.77734375" style="1" customWidth="1"/>
    <col min="9494" max="9498" width="12.21875" style="1" customWidth="1"/>
    <col min="9499" max="9728" width="8.88671875" style="1"/>
    <col min="9729" max="9729" width="5.109375" style="1" customWidth="1"/>
    <col min="9730" max="9730" width="12.33203125" style="1" customWidth="1"/>
    <col min="9731" max="9731" width="9.109375" style="1" customWidth="1"/>
    <col min="9732" max="9732" width="17.6640625" style="1" customWidth="1"/>
    <col min="9733" max="9733" width="12.109375" style="1" customWidth="1"/>
    <col min="9734" max="9734" width="42" style="1" customWidth="1"/>
    <col min="9735" max="9735" width="25.109375" style="1" customWidth="1"/>
    <col min="9736" max="9736" width="12.21875" style="1" customWidth="1"/>
    <col min="9737" max="9737" width="14.21875" style="1" customWidth="1"/>
    <col min="9738" max="9741" width="7.6640625" style="1" customWidth="1"/>
    <col min="9742" max="9742" width="10.21875" style="1" customWidth="1"/>
    <col min="9743" max="9743" width="30.21875" style="1" customWidth="1"/>
    <col min="9744" max="9746" width="12.77734375" style="1" customWidth="1"/>
    <col min="9747" max="9747" width="12.21875" style="1" customWidth="1"/>
    <col min="9748" max="9748" width="13.33203125" style="1" customWidth="1"/>
    <col min="9749" max="9749" width="12.77734375" style="1" customWidth="1"/>
    <col min="9750" max="9754" width="12.21875" style="1" customWidth="1"/>
    <col min="9755" max="9984" width="8.88671875" style="1"/>
    <col min="9985" max="9985" width="5.109375" style="1" customWidth="1"/>
    <col min="9986" max="9986" width="12.33203125" style="1" customWidth="1"/>
    <col min="9987" max="9987" width="9.109375" style="1" customWidth="1"/>
    <col min="9988" max="9988" width="17.6640625" style="1" customWidth="1"/>
    <col min="9989" max="9989" width="12.109375" style="1" customWidth="1"/>
    <col min="9990" max="9990" width="42" style="1" customWidth="1"/>
    <col min="9991" max="9991" width="25.109375" style="1" customWidth="1"/>
    <col min="9992" max="9992" width="12.21875" style="1" customWidth="1"/>
    <col min="9993" max="9993" width="14.21875" style="1" customWidth="1"/>
    <col min="9994" max="9997" width="7.6640625" style="1" customWidth="1"/>
    <col min="9998" max="9998" width="10.21875" style="1" customWidth="1"/>
    <col min="9999" max="9999" width="30.21875" style="1" customWidth="1"/>
    <col min="10000" max="10002" width="12.77734375" style="1" customWidth="1"/>
    <col min="10003" max="10003" width="12.21875" style="1" customWidth="1"/>
    <col min="10004" max="10004" width="13.33203125" style="1" customWidth="1"/>
    <col min="10005" max="10005" width="12.77734375" style="1" customWidth="1"/>
    <col min="10006" max="10010" width="12.21875" style="1" customWidth="1"/>
    <col min="10011" max="10240" width="8.88671875" style="1"/>
    <col min="10241" max="10241" width="5.109375" style="1" customWidth="1"/>
    <col min="10242" max="10242" width="12.33203125" style="1" customWidth="1"/>
    <col min="10243" max="10243" width="9.109375" style="1" customWidth="1"/>
    <col min="10244" max="10244" width="17.6640625" style="1" customWidth="1"/>
    <col min="10245" max="10245" width="12.109375" style="1" customWidth="1"/>
    <col min="10246" max="10246" width="42" style="1" customWidth="1"/>
    <col min="10247" max="10247" width="25.109375" style="1" customWidth="1"/>
    <col min="10248" max="10248" width="12.21875" style="1" customWidth="1"/>
    <col min="10249" max="10249" width="14.21875" style="1" customWidth="1"/>
    <col min="10250" max="10253" width="7.6640625" style="1" customWidth="1"/>
    <col min="10254" max="10254" width="10.21875" style="1" customWidth="1"/>
    <col min="10255" max="10255" width="30.21875" style="1" customWidth="1"/>
    <col min="10256" max="10258" width="12.77734375" style="1" customWidth="1"/>
    <col min="10259" max="10259" width="12.21875" style="1" customWidth="1"/>
    <col min="10260" max="10260" width="13.33203125" style="1" customWidth="1"/>
    <col min="10261" max="10261" width="12.77734375" style="1" customWidth="1"/>
    <col min="10262" max="10266" width="12.21875" style="1" customWidth="1"/>
    <col min="10267" max="10496" width="8.88671875" style="1"/>
    <col min="10497" max="10497" width="5.109375" style="1" customWidth="1"/>
    <col min="10498" max="10498" width="12.33203125" style="1" customWidth="1"/>
    <col min="10499" max="10499" width="9.109375" style="1" customWidth="1"/>
    <col min="10500" max="10500" width="17.6640625" style="1" customWidth="1"/>
    <col min="10501" max="10501" width="12.109375" style="1" customWidth="1"/>
    <col min="10502" max="10502" width="42" style="1" customWidth="1"/>
    <col min="10503" max="10503" width="25.109375" style="1" customWidth="1"/>
    <col min="10504" max="10504" width="12.21875" style="1" customWidth="1"/>
    <col min="10505" max="10505" width="14.21875" style="1" customWidth="1"/>
    <col min="10506" max="10509" width="7.6640625" style="1" customWidth="1"/>
    <col min="10510" max="10510" width="10.21875" style="1" customWidth="1"/>
    <col min="10511" max="10511" width="30.21875" style="1" customWidth="1"/>
    <col min="10512" max="10514" width="12.77734375" style="1" customWidth="1"/>
    <col min="10515" max="10515" width="12.21875" style="1" customWidth="1"/>
    <col min="10516" max="10516" width="13.33203125" style="1" customWidth="1"/>
    <col min="10517" max="10517" width="12.77734375" style="1" customWidth="1"/>
    <col min="10518" max="10522" width="12.21875" style="1" customWidth="1"/>
    <col min="10523" max="10752" width="8.88671875" style="1"/>
    <col min="10753" max="10753" width="5.109375" style="1" customWidth="1"/>
    <col min="10754" max="10754" width="12.33203125" style="1" customWidth="1"/>
    <col min="10755" max="10755" width="9.109375" style="1" customWidth="1"/>
    <col min="10756" max="10756" width="17.6640625" style="1" customWidth="1"/>
    <col min="10757" max="10757" width="12.109375" style="1" customWidth="1"/>
    <col min="10758" max="10758" width="42" style="1" customWidth="1"/>
    <col min="10759" max="10759" width="25.109375" style="1" customWidth="1"/>
    <col min="10760" max="10760" width="12.21875" style="1" customWidth="1"/>
    <col min="10761" max="10761" width="14.21875" style="1" customWidth="1"/>
    <col min="10762" max="10765" width="7.6640625" style="1" customWidth="1"/>
    <col min="10766" max="10766" width="10.21875" style="1" customWidth="1"/>
    <col min="10767" max="10767" width="30.21875" style="1" customWidth="1"/>
    <col min="10768" max="10770" width="12.77734375" style="1" customWidth="1"/>
    <col min="10771" max="10771" width="12.21875" style="1" customWidth="1"/>
    <col min="10772" max="10772" width="13.33203125" style="1" customWidth="1"/>
    <col min="10773" max="10773" width="12.77734375" style="1" customWidth="1"/>
    <col min="10774" max="10778" width="12.21875" style="1" customWidth="1"/>
    <col min="10779" max="11008" width="8.88671875" style="1"/>
    <col min="11009" max="11009" width="5.109375" style="1" customWidth="1"/>
    <col min="11010" max="11010" width="12.33203125" style="1" customWidth="1"/>
    <col min="11011" max="11011" width="9.109375" style="1" customWidth="1"/>
    <col min="11012" max="11012" width="17.6640625" style="1" customWidth="1"/>
    <col min="11013" max="11013" width="12.109375" style="1" customWidth="1"/>
    <col min="11014" max="11014" width="42" style="1" customWidth="1"/>
    <col min="11015" max="11015" width="25.109375" style="1" customWidth="1"/>
    <col min="11016" max="11016" width="12.21875" style="1" customWidth="1"/>
    <col min="11017" max="11017" width="14.21875" style="1" customWidth="1"/>
    <col min="11018" max="11021" width="7.6640625" style="1" customWidth="1"/>
    <col min="11022" max="11022" width="10.21875" style="1" customWidth="1"/>
    <col min="11023" max="11023" width="30.21875" style="1" customWidth="1"/>
    <col min="11024" max="11026" width="12.77734375" style="1" customWidth="1"/>
    <col min="11027" max="11027" width="12.21875" style="1" customWidth="1"/>
    <col min="11028" max="11028" width="13.33203125" style="1" customWidth="1"/>
    <col min="11029" max="11029" width="12.77734375" style="1" customWidth="1"/>
    <col min="11030" max="11034" width="12.21875" style="1" customWidth="1"/>
    <col min="11035" max="11264" width="8.88671875" style="1"/>
    <col min="11265" max="11265" width="5.109375" style="1" customWidth="1"/>
    <col min="11266" max="11266" width="12.33203125" style="1" customWidth="1"/>
    <col min="11267" max="11267" width="9.109375" style="1" customWidth="1"/>
    <col min="11268" max="11268" width="17.6640625" style="1" customWidth="1"/>
    <col min="11269" max="11269" width="12.109375" style="1" customWidth="1"/>
    <col min="11270" max="11270" width="42" style="1" customWidth="1"/>
    <col min="11271" max="11271" width="25.109375" style="1" customWidth="1"/>
    <col min="11272" max="11272" width="12.21875" style="1" customWidth="1"/>
    <col min="11273" max="11273" width="14.21875" style="1" customWidth="1"/>
    <col min="11274" max="11277" width="7.6640625" style="1" customWidth="1"/>
    <col min="11278" max="11278" width="10.21875" style="1" customWidth="1"/>
    <col min="11279" max="11279" width="30.21875" style="1" customWidth="1"/>
    <col min="11280" max="11282" width="12.77734375" style="1" customWidth="1"/>
    <col min="11283" max="11283" width="12.21875" style="1" customWidth="1"/>
    <col min="11284" max="11284" width="13.33203125" style="1" customWidth="1"/>
    <col min="11285" max="11285" width="12.77734375" style="1" customWidth="1"/>
    <col min="11286" max="11290" width="12.21875" style="1" customWidth="1"/>
    <col min="11291" max="11520" width="8.88671875" style="1"/>
    <col min="11521" max="11521" width="5.109375" style="1" customWidth="1"/>
    <col min="11522" max="11522" width="12.33203125" style="1" customWidth="1"/>
    <col min="11523" max="11523" width="9.109375" style="1" customWidth="1"/>
    <col min="11524" max="11524" width="17.6640625" style="1" customWidth="1"/>
    <col min="11525" max="11525" width="12.109375" style="1" customWidth="1"/>
    <col min="11526" max="11526" width="42" style="1" customWidth="1"/>
    <col min="11527" max="11527" width="25.109375" style="1" customWidth="1"/>
    <col min="11528" max="11528" width="12.21875" style="1" customWidth="1"/>
    <col min="11529" max="11529" width="14.21875" style="1" customWidth="1"/>
    <col min="11530" max="11533" width="7.6640625" style="1" customWidth="1"/>
    <col min="11534" max="11534" width="10.21875" style="1" customWidth="1"/>
    <col min="11535" max="11535" width="30.21875" style="1" customWidth="1"/>
    <col min="11536" max="11538" width="12.77734375" style="1" customWidth="1"/>
    <col min="11539" max="11539" width="12.21875" style="1" customWidth="1"/>
    <col min="11540" max="11540" width="13.33203125" style="1" customWidth="1"/>
    <col min="11541" max="11541" width="12.77734375" style="1" customWidth="1"/>
    <col min="11542" max="11546" width="12.21875" style="1" customWidth="1"/>
    <col min="11547" max="11776" width="8.88671875" style="1"/>
    <col min="11777" max="11777" width="5.109375" style="1" customWidth="1"/>
    <col min="11778" max="11778" width="12.33203125" style="1" customWidth="1"/>
    <col min="11779" max="11779" width="9.109375" style="1" customWidth="1"/>
    <col min="11780" max="11780" width="17.6640625" style="1" customWidth="1"/>
    <col min="11781" max="11781" width="12.109375" style="1" customWidth="1"/>
    <col min="11782" max="11782" width="42" style="1" customWidth="1"/>
    <col min="11783" max="11783" width="25.109375" style="1" customWidth="1"/>
    <col min="11784" max="11784" width="12.21875" style="1" customWidth="1"/>
    <col min="11785" max="11785" width="14.21875" style="1" customWidth="1"/>
    <col min="11786" max="11789" width="7.6640625" style="1" customWidth="1"/>
    <col min="11790" max="11790" width="10.21875" style="1" customWidth="1"/>
    <col min="11791" max="11791" width="30.21875" style="1" customWidth="1"/>
    <col min="11792" max="11794" width="12.77734375" style="1" customWidth="1"/>
    <col min="11795" max="11795" width="12.21875" style="1" customWidth="1"/>
    <col min="11796" max="11796" width="13.33203125" style="1" customWidth="1"/>
    <col min="11797" max="11797" width="12.77734375" style="1" customWidth="1"/>
    <col min="11798" max="11802" width="12.21875" style="1" customWidth="1"/>
    <col min="11803" max="12032" width="8.88671875" style="1"/>
    <col min="12033" max="12033" width="5.109375" style="1" customWidth="1"/>
    <col min="12034" max="12034" width="12.33203125" style="1" customWidth="1"/>
    <col min="12035" max="12035" width="9.109375" style="1" customWidth="1"/>
    <col min="12036" max="12036" width="17.6640625" style="1" customWidth="1"/>
    <col min="12037" max="12037" width="12.109375" style="1" customWidth="1"/>
    <col min="12038" max="12038" width="42" style="1" customWidth="1"/>
    <col min="12039" max="12039" width="25.109375" style="1" customWidth="1"/>
    <col min="12040" max="12040" width="12.21875" style="1" customWidth="1"/>
    <col min="12041" max="12041" width="14.21875" style="1" customWidth="1"/>
    <col min="12042" max="12045" width="7.6640625" style="1" customWidth="1"/>
    <col min="12046" max="12046" width="10.21875" style="1" customWidth="1"/>
    <col min="12047" max="12047" width="30.21875" style="1" customWidth="1"/>
    <col min="12048" max="12050" width="12.77734375" style="1" customWidth="1"/>
    <col min="12051" max="12051" width="12.21875" style="1" customWidth="1"/>
    <col min="12052" max="12052" width="13.33203125" style="1" customWidth="1"/>
    <col min="12053" max="12053" width="12.77734375" style="1" customWidth="1"/>
    <col min="12054" max="12058" width="12.21875" style="1" customWidth="1"/>
    <col min="12059" max="12288" width="8.88671875" style="1"/>
    <col min="12289" max="12289" width="5.109375" style="1" customWidth="1"/>
    <col min="12290" max="12290" width="12.33203125" style="1" customWidth="1"/>
    <col min="12291" max="12291" width="9.109375" style="1" customWidth="1"/>
    <col min="12292" max="12292" width="17.6640625" style="1" customWidth="1"/>
    <col min="12293" max="12293" width="12.109375" style="1" customWidth="1"/>
    <col min="12294" max="12294" width="42" style="1" customWidth="1"/>
    <col min="12295" max="12295" width="25.109375" style="1" customWidth="1"/>
    <col min="12296" max="12296" width="12.21875" style="1" customWidth="1"/>
    <col min="12297" max="12297" width="14.21875" style="1" customWidth="1"/>
    <col min="12298" max="12301" width="7.6640625" style="1" customWidth="1"/>
    <col min="12302" max="12302" width="10.21875" style="1" customWidth="1"/>
    <col min="12303" max="12303" width="30.21875" style="1" customWidth="1"/>
    <col min="12304" max="12306" width="12.77734375" style="1" customWidth="1"/>
    <col min="12307" max="12307" width="12.21875" style="1" customWidth="1"/>
    <col min="12308" max="12308" width="13.33203125" style="1" customWidth="1"/>
    <col min="12309" max="12309" width="12.77734375" style="1" customWidth="1"/>
    <col min="12310" max="12314" width="12.21875" style="1" customWidth="1"/>
    <col min="12315" max="12544" width="8.88671875" style="1"/>
    <col min="12545" max="12545" width="5.109375" style="1" customWidth="1"/>
    <col min="12546" max="12546" width="12.33203125" style="1" customWidth="1"/>
    <col min="12547" max="12547" width="9.109375" style="1" customWidth="1"/>
    <col min="12548" max="12548" width="17.6640625" style="1" customWidth="1"/>
    <col min="12549" max="12549" width="12.109375" style="1" customWidth="1"/>
    <col min="12550" max="12550" width="42" style="1" customWidth="1"/>
    <col min="12551" max="12551" width="25.109375" style="1" customWidth="1"/>
    <col min="12552" max="12552" width="12.21875" style="1" customWidth="1"/>
    <col min="12553" max="12553" width="14.21875" style="1" customWidth="1"/>
    <col min="12554" max="12557" width="7.6640625" style="1" customWidth="1"/>
    <col min="12558" max="12558" width="10.21875" style="1" customWidth="1"/>
    <col min="12559" max="12559" width="30.21875" style="1" customWidth="1"/>
    <col min="12560" max="12562" width="12.77734375" style="1" customWidth="1"/>
    <col min="12563" max="12563" width="12.21875" style="1" customWidth="1"/>
    <col min="12564" max="12564" width="13.33203125" style="1" customWidth="1"/>
    <col min="12565" max="12565" width="12.77734375" style="1" customWidth="1"/>
    <col min="12566" max="12570" width="12.21875" style="1" customWidth="1"/>
    <col min="12571" max="12800" width="8.88671875" style="1"/>
    <col min="12801" max="12801" width="5.109375" style="1" customWidth="1"/>
    <col min="12802" max="12802" width="12.33203125" style="1" customWidth="1"/>
    <col min="12803" max="12803" width="9.109375" style="1" customWidth="1"/>
    <col min="12804" max="12804" width="17.6640625" style="1" customWidth="1"/>
    <col min="12805" max="12805" width="12.109375" style="1" customWidth="1"/>
    <col min="12806" max="12806" width="42" style="1" customWidth="1"/>
    <col min="12807" max="12807" width="25.109375" style="1" customWidth="1"/>
    <col min="12808" max="12808" width="12.21875" style="1" customWidth="1"/>
    <col min="12809" max="12809" width="14.21875" style="1" customWidth="1"/>
    <col min="12810" max="12813" width="7.6640625" style="1" customWidth="1"/>
    <col min="12814" max="12814" width="10.21875" style="1" customWidth="1"/>
    <col min="12815" max="12815" width="30.21875" style="1" customWidth="1"/>
    <col min="12816" max="12818" width="12.77734375" style="1" customWidth="1"/>
    <col min="12819" max="12819" width="12.21875" style="1" customWidth="1"/>
    <col min="12820" max="12820" width="13.33203125" style="1" customWidth="1"/>
    <col min="12821" max="12821" width="12.77734375" style="1" customWidth="1"/>
    <col min="12822" max="12826" width="12.21875" style="1" customWidth="1"/>
    <col min="12827" max="13056" width="8.88671875" style="1"/>
    <col min="13057" max="13057" width="5.109375" style="1" customWidth="1"/>
    <col min="13058" max="13058" width="12.33203125" style="1" customWidth="1"/>
    <col min="13059" max="13059" width="9.109375" style="1" customWidth="1"/>
    <col min="13060" max="13060" width="17.6640625" style="1" customWidth="1"/>
    <col min="13061" max="13061" width="12.109375" style="1" customWidth="1"/>
    <col min="13062" max="13062" width="42" style="1" customWidth="1"/>
    <col min="13063" max="13063" width="25.109375" style="1" customWidth="1"/>
    <col min="13064" max="13064" width="12.21875" style="1" customWidth="1"/>
    <col min="13065" max="13065" width="14.21875" style="1" customWidth="1"/>
    <col min="13066" max="13069" width="7.6640625" style="1" customWidth="1"/>
    <col min="13070" max="13070" width="10.21875" style="1" customWidth="1"/>
    <col min="13071" max="13071" width="30.21875" style="1" customWidth="1"/>
    <col min="13072" max="13074" width="12.77734375" style="1" customWidth="1"/>
    <col min="13075" max="13075" width="12.21875" style="1" customWidth="1"/>
    <col min="13076" max="13076" width="13.33203125" style="1" customWidth="1"/>
    <col min="13077" max="13077" width="12.77734375" style="1" customWidth="1"/>
    <col min="13078" max="13082" width="12.21875" style="1" customWidth="1"/>
    <col min="13083" max="13312" width="8.88671875" style="1"/>
    <col min="13313" max="13313" width="5.109375" style="1" customWidth="1"/>
    <col min="13314" max="13314" width="12.33203125" style="1" customWidth="1"/>
    <col min="13315" max="13315" width="9.109375" style="1" customWidth="1"/>
    <col min="13316" max="13316" width="17.6640625" style="1" customWidth="1"/>
    <col min="13317" max="13317" width="12.109375" style="1" customWidth="1"/>
    <col min="13318" max="13318" width="42" style="1" customWidth="1"/>
    <col min="13319" max="13319" width="25.109375" style="1" customWidth="1"/>
    <col min="13320" max="13320" width="12.21875" style="1" customWidth="1"/>
    <col min="13321" max="13321" width="14.21875" style="1" customWidth="1"/>
    <col min="13322" max="13325" width="7.6640625" style="1" customWidth="1"/>
    <col min="13326" max="13326" width="10.21875" style="1" customWidth="1"/>
    <col min="13327" max="13327" width="30.21875" style="1" customWidth="1"/>
    <col min="13328" max="13330" width="12.77734375" style="1" customWidth="1"/>
    <col min="13331" max="13331" width="12.21875" style="1" customWidth="1"/>
    <col min="13332" max="13332" width="13.33203125" style="1" customWidth="1"/>
    <col min="13333" max="13333" width="12.77734375" style="1" customWidth="1"/>
    <col min="13334" max="13338" width="12.21875" style="1" customWidth="1"/>
    <col min="13339" max="13568" width="8.88671875" style="1"/>
    <col min="13569" max="13569" width="5.109375" style="1" customWidth="1"/>
    <col min="13570" max="13570" width="12.33203125" style="1" customWidth="1"/>
    <col min="13571" max="13571" width="9.109375" style="1" customWidth="1"/>
    <col min="13572" max="13572" width="17.6640625" style="1" customWidth="1"/>
    <col min="13573" max="13573" width="12.109375" style="1" customWidth="1"/>
    <col min="13574" max="13574" width="42" style="1" customWidth="1"/>
    <col min="13575" max="13575" width="25.109375" style="1" customWidth="1"/>
    <col min="13576" max="13576" width="12.21875" style="1" customWidth="1"/>
    <col min="13577" max="13577" width="14.21875" style="1" customWidth="1"/>
    <col min="13578" max="13581" width="7.6640625" style="1" customWidth="1"/>
    <col min="13582" max="13582" width="10.21875" style="1" customWidth="1"/>
    <col min="13583" max="13583" width="30.21875" style="1" customWidth="1"/>
    <col min="13584" max="13586" width="12.77734375" style="1" customWidth="1"/>
    <col min="13587" max="13587" width="12.21875" style="1" customWidth="1"/>
    <col min="13588" max="13588" width="13.33203125" style="1" customWidth="1"/>
    <col min="13589" max="13589" width="12.77734375" style="1" customWidth="1"/>
    <col min="13590" max="13594" width="12.21875" style="1" customWidth="1"/>
    <col min="13595" max="13824" width="8.88671875" style="1"/>
    <col min="13825" max="13825" width="5.109375" style="1" customWidth="1"/>
    <col min="13826" max="13826" width="12.33203125" style="1" customWidth="1"/>
    <col min="13827" max="13827" width="9.109375" style="1" customWidth="1"/>
    <col min="13828" max="13828" width="17.6640625" style="1" customWidth="1"/>
    <col min="13829" max="13829" width="12.109375" style="1" customWidth="1"/>
    <col min="13830" max="13830" width="42" style="1" customWidth="1"/>
    <col min="13831" max="13831" width="25.109375" style="1" customWidth="1"/>
    <col min="13832" max="13832" width="12.21875" style="1" customWidth="1"/>
    <col min="13833" max="13833" width="14.21875" style="1" customWidth="1"/>
    <col min="13834" max="13837" width="7.6640625" style="1" customWidth="1"/>
    <col min="13838" max="13838" width="10.21875" style="1" customWidth="1"/>
    <col min="13839" max="13839" width="30.21875" style="1" customWidth="1"/>
    <col min="13840" max="13842" width="12.77734375" style="1" customWidth="1"/>
    <col min="13843" max="13843" width="12.21875" style="1" customWidth="1"/>
    <col min="13844" max="13844" width="13.33203125" style="1" customWidth="1"/>
    <col min="13845" max="13845" width="12.77734375" style="1" customWidth="1"/>
    <col min="13846" max="13850" width="12.21875" style="1" customWidth="1"/>
    <col min="13851" max="14080" width="8.88671875" style="1"/>
    <col min="14081" max="14081" width="5.109375" style="1" customWidth="1"/>
    <col min="14082" max="14082" width="12.33203125" style="1" customWidth="1"/>
    <col min="14083" max="14083" width="9.109375" style="1" customWidth="1"/>
    <col min="14084" max="14084" width="17.6640625" style="1" customWidth="1"/>
    <col min="14085" max="14085" width="12.109375" style="1" customWidth="1"/>
    <col min="14086" max="14086" width="42" style="1" customWidth="1"/>
    <col min="14087" max="14087" width="25.109375" style="1" customWidth="1"/>
    <col min="14088" max="14088" width="12.21875" style="1" customWidth="1"/>
    <col min="14089" max="14089" width="14.21875" style="1" customWidth="1"/>
    <col min="14090" max="14093" width="7.6640625" style="1" customWidth="1"/>
    <col min="14094" max="14094" width="10.21875" style="1" customWidth="1"/>
    <col min="14095" max="14095" width="30.21875" style="1" customWidth="1"/>
    <col min="14096" max="14098" width="12.77734375" style="1" customWidth="1"/>
    <col min="14099" max="14099" width="12.21875" style="1" customWidth="1"/>
    <col min="14100" max="14100" width="13.33203125" style="1" customWidth="1"/>
    <col min="14101" max="14101" width="12.77734375" style="1" customWidth="1"/>
    <col min="14102" max="14106" width="12.21875" style="1" customWidth="1"/>
    <col min="14107" max="14336" width="8.88671875" style="1"/>
    <col min="14337" max="14337" width="5.109375" style="1" customWidth="1"/>
    <col min="14338" max="14338" width="12.33203125" style="1" customWidth="1"/>
    <col min="14339" max="14339" width="9.109375" style="1" customWidth="1"/>
    <col min="14340" max="14340" width="17.6640625" style="1" customWidth="1"/>
    <col min="14341" max="14341" width="12.109375" style="1" customWidth="1"/>
    <col min="14342" max="14342" width="42" style="1" customWidth="1"/>
    <col min="14343" max="14343" width="25.109375" style="1" customWidth="1"/>
    <col min="14344" max="14344" width="12.21875" style="1" customWidth="1"/>
    <col min="14345" max="14345" width="14.21875" style="1" customWidth="1"/>
    <col min="14346" max="14349" width="7.6640625" style="1" customWidth="1"/>
    <col min="14350" max="14350" width="10.21875" style="1" customWidth="1"/>
    <col min="14351" max="14351" width="30.21875" style="1" customWidth="1"/>
    <col min="14352" max="14354" width="12.77734375" style="1" customWidth="1"/>
    <col min="14355" max="14355" width="12.21875" style="1" customWidth="1"/>
    <col min="14356" max="14356" width="13.33203125" style="1" customWidth="1"/>
    <col min="14357" max="14357" width="12.77734375" style="1" customWidth="1"/>
    <col min="14358" max="14362" width="12.21875" style="1" customWidth="1"/>
    <col min="14363" max="14592" width="8.88671875" style="1"/>
    <col min="14593" max="14593" width="5.109375" style="1" customWidth="1"/>
    <col min="14594" max="14594" width="12.33203125" style="1" customWidth="1"/>
    <col min="14595" max="14595" width="9.109375" style="1" customWidth="1"/>
    <col min="14596" max="14596" width="17.6640625" style="1" customWidth="1"/>
    <col min="14597" max="14597" width="12.109375" style="1" customWidth="1"/>
    <col min="14598" max="14598" width="42" style="1" customWidth="1"/>
    <col min="14599" max="14599" width="25.109375" style="1" customWidth="1"/>
    <col min="14600" max="14600" width="12.21875" style="1" customWidth="1"/>
    <col min="14601" max="14601" width="14.21875" style="1" customWidth="1"/>
    <col min="14602" max="14605" width="7.6640625" style="1" customWidth="1"/>
    <col min="14606" max="14606" width="10.21875" style="1" customWidth="1"/>
    <col min="14607" max="14607" width="30.21875" style="1" customWidth="1"/>
    <col min="14608" max="14610" width="12.77734375" style="1" customWidth="1"/>
    <col min="14611" max="14611" width="12.21875" style="1" customWidth="1"/>
    <col min="14612" max="14612" width="13.33203125" style="1" customWidth="1"/>
    <col min="14613" max="14613" width="12.77734375" style="1" customWidth="1"/>
    <col min="14614" max="14618" width="12.21875" style="1" customWidth="1"/>
    <col min="14619" max="14848" width="8.88671875" style="1"/>
    <col min="14849" max="14849" width="5.109375" style="1" customWidth="1"/>
    <col min="14850" max="14850" width="12.33203125" style="1" customWidth="1"/>
    <col min="14851" max="14851" width="9.109375" style="1" customWidth="1"/>
    <col min="14852" max="14852" width="17.6640625" style="1" customWidth="1"/>
    <col min="14853" max="14853" width="12.109375" style="1" customWidth="1"/>
    <col min="14854" max="14854" width="42" style="1" customWidth="1"/>
    <col min="14855" max="14855" width="25.109375" style="1" customWidth="1"/>
    <col min="14856" max="14856" width="12.21875" style="1" customWidth="1"/>
    <col min="14857" max="14857" width="14.21875" style="1" customWidth="1"/>
    <col min="14858" max="14861" width="7.6640625" style="1" customWidth="1"/>
    <col min="14862" max="14862" width="10.21875" style="1" customWidth="1"/>
    <col min="14863" max="14863" width="30.21875" style="1" customWidth="1"/>
    <col min="14864" max="14866" width="12.77734375" style="1" customWidth="1"/>
    <col min="14867" max="14867" width="12.21875" style="1" customWidth="1"/>
    <col min="14868" max="14868" width="13.33203125" style="1" customWidth="1"/>
    <col min="14869" max="14869" width="12.77734375" style="1" customWidth="1"/>
    <col min="14870" max="14874" width="12.21875" style="1" customWidth="1"/>
    <col min="14875" max="15104" width="8.88671875" style="1"/>
    <col min="15105" max="15105" width="5.109375" style="1" customWidth="1"/>
    <col min="15106" max="15106" width="12.33203125" style="1" customWidth="1"/>
    <col min="15107" max="15107" width="9.109375" style="1" customWidth="1"/>
    <col min="15108" max="15108" width="17.6640625" style="1" customWidth="1"/>
    <col min="15109" max="15109" width="12.109375" style="1" customWidth="1"/>
    <col min="15110" max="15110" width="42" style="1" customWidth="1"/>
    <col min="15111" max="15111" width="25.109375" style="1" customWidth="1"/>
    <col min="15112" max="15112" width="12.21875" style="1" customWidth="1"/>
    <col min="15113" max="15113" width="14.21875" style="1" customWidth="1"/>
    <col min="15114" max="15117" width="7.6640625" style="1" customWidth="1"/>
    <col min="15118" max="15118" width="10.21875" style="1" customWidth="1"/>
    <col min="15119" max="15119" width="30.21875" style="1" customWidth="1"/>
    <col min="15120" max="15122" width="12.77734375" style="1" customWidth="1"/>
    <col min="15123" max="15123" width="12.21875" style="1" customWidth="1"/>
    <col min="15124" max="15124" width="13.33203125" style="1" customWidth="1"/>
    <col min="15125" max="15125" width="12.77734375" style="1" customWidth="1"/>
    <col min="15126" max="15130" width="12.21875" style="1" customWidth="1"/>
    <col min="15131" max="15360" width="8.88671875" style="1"/>
    <col min="15361" max="15361" width="5.109375" style="1" customWidth="1"/>
    <col min="15362" max="15362" width="12.33203125" style="1" customWidth="1"/>
    <col min="15363" max="15363" width="9.109375" style="1" customWidth="1"/>
    <col min="15364" max="15364" width="17.6640625" style="1" customWidth="1"/>
    <col min="15365" max="15365" width="12.109375" style="1" customWidth="1"/>
    <col min="15366" max="15366" width="42" style="1" customWidth="1"/>
    <col min="15367" max="15367" width="25.109375" style="1" customWidth="1"/>
    <col min="15368" max="15368" width="12.21875" style="1" customWidth="1"/>
    <col min="15369" max="15369" width="14.21875" style="1" customWidth="1"/>
    <col min="15370" max="15373" width="7.6640625" style="1" customWidth="1"/>
    <col min="15374" max="15374" width="10.21875" style="1" customWidth="1"/>
    <col min="15375" max="15375" width="30.21875" style="1" customWidth="1"/>
    <col min="15376" max="15378" width="12.77734375" style="1" customWidth="1"/>
    <col min="15379" max="15379" width="12.21875" style="1" customWidth="1"/>
    <col min="15380" max="15380" width="13.33203125" style="1" customWidth="1"/>
    <col min="15381" max="15381" width="12.77734375" style="1" customWidth="1"/>
    <col min="15382" max="15386" width="12.21875" style="1" customWidth="1"/>
    <col min="15387" max="15616" width="8.88671875" style="1"/>
    <col min="15617" max="15617" width="5.109375" style="1" customWidth="1"/>
    <col min="15618" max="15618" width="12.33203125" style="1" customWidth="1"/>
    <col min="15619" max="15619" width="9.109375" style="1" customWidth="1"/>
    <col min="15620" max="15620" width="17.6640625" style="1" customWidth="1"/>
    <col min="15621" max="15621" width="12.109375" style="1" customWidth="1"/>
    <col min="15622" max="15622" width="42" style="1" customWidth="1"/>
    <col min="15623" max="15623" width="25.109375" style="1" customWidth="1"/>
    <col min="15624" max="15624" width="12.21875" style="1" customWidth="1"/>
    <col min="15625" max="15625" width="14.21875" style="1" customWidth="1"/>
    <col min="15626" max="15629" width="7.6640625" style="1" customWidth="1"/>
    <col min="15630" max="15630" width="10.21875" style="1" customWidth="1"/>
    <col min="15631" max="15631" width="30.21875" style="1" customWidth="1"/>
    <col min="15632" max="15634" width="12.77734375" style="1" customWidth="1"/>
    <col min="15635" max="15635" width="12.21875" style="1" customWidth="1"/>
    <col min="15636" max="15636" width="13.33203125" style="1" customWidth="1"/>
    <col min="15637" max="15637" width="12.77734375" style="1" customWidth="1"/>
    <col min="15638" max="15642" width="12.21875" style="1" customWidth="1"/>
    <col min="15643" max="15872" width="8.88671875" style="1"/>
    <col min="15873" max="15873" width="5.109375" style="1" customWidth="1"/>
    <col min="15874" max="15874" width="12.33203125" style="1" customWidth="1"/>
    <col min="15875" max="15875" width="9.109375" style="1" customWidth="1"/>
    <col min="15876" max="15876" width="17.6640625" style="1" customWidth="1"/>
    <col min="15877" max="15877" width="12.109375" style="1" customWidth="1"/>
    <col min="15878" max="15878" width="42" style="1" customWidth="1"/>
    <col min="15879" max="15879" width="25.109375" style="1" customWidth="1"/>
    <col min="15880" max="15880" width="12.21875" style="1" customWidth="1"/>
    <col min="15881" max="15881" width="14.21875" style="1" customWidth="1"/>
    <col min="15882" max="15885" width="7.6640625" style="1" customWidth="1"/>
    <col min="15886" max="15886" width="10.21875" style="1" customWidth="1"/>
    <col min="15887" max="15887" width="30.21875" style="1" customWidth="1"/>
    <col min="15888" max="15890" width="12.77734375" style="1" customWidth="1"/>
    <col min="15891" max="15891" width="12.21875" style="1" customWidth="1"/>
    <col min="15892" max="15892" width="13.33203125" style="1" customWidth="1"/>
    <col min="15893" max="15893" width="12.77734375" style="1" customWidth="1"/>
    <col min="15894" max="15898" width="12.21875" style="1" customWidth="1"/>
    <col min="15899" max="16128" width="8.88671875" style="1"/>
    <col min="16129" max="16129" width="5.109375" style="1" customWidth="1"/>
    <col min="16130" max="16130" width="12.33203125" style="1" customWidth="1"/>
    <col min="16131" max="16131" width="9.109375" style="1" customWidth="1"/>
    <col min="16132" max="16132" width="17.6640625" style="1" customWidth="1"/>
    <col min="16133" max="16133" width="12.109375" style="1" customWidth="1"/>
    <col min="16134" max="16134" width="42" style="1" customWidth="1"/>
    <col min="16135" max="16135" width="25.109375" style="1" customWidth="1"/>
    <col min="16136" max="16136" width="12.21875" style="1" customWidth="1"/>
    <col min="16137" max="16137" width="14.21875" style="1" customWidth="1"/>
    <col min="16138" max="16141" width="7.6640625" style="1" customWidth="1"/>
    <col min="16142" max="16142" width="10.21875" style="1" customWidth="1"/>
    <col min="16143" max="16143" width="30.21875" style="1" customWidth="1"/>
    <col min="16144" max="16146" width="12.77734375" style="1" customWidth="1"/>
    <col min="16147" max="16147" width="12.21875" style="1" customWidth="1"/>
    <col min="16148" max="16148" width="13.33203125" style="1" customWidth="1"/>
    <col min="16149" max="16149" width="12.77734375" style="1" customWidth="1"/>
    <col min="16150" max="16154" width="12.21875" style="1" customWidth="1"/>
    <col min="16155" max="16384" width="8.88671875" style="1"/>
  </cols>
  <sheetData>
    <row r="1" spans="1:27" ht="29.25" customHeight="1">
      <c r="A1" s="304" t="s">
        <v>886</v>
      </c>
      <c r="B1" s="304"/>
      <c r="C1" s="304"/>
      <c r="D1" s="304"/>
      <c r="E1" s="304"/>
      <c r="F1" s="304"/>
      <c r="G1" s="304"/>
      <c r="H1" s="304"/>
      <c r="I1" s="304"/>
      <c r="J1" s="304"/>
      <c r="K1" s="304"/>
      <c r="L1" s="304"/>
      <c r="M1" s="304"/>
      <c r="N1" s="304"/>
      <c r="O1" s="304"/>
      <c r="P1" s="304"/>
      <c r="Q1" s="304"/>
      <c r="R1" s="304"/>
      <c r="S1" s="304"/>
      <c r="T1" s="304"/>
      <c r="U1" s="304"/>
      <c r="V1" s="304"/>
      <c r="W1" s="304"/>
      <c r="X1" s="304"/>
      <c r="Y1" s="304"/>
      <c r="Z1" s="137"/>
    </row>
    <row r="2" spans="1:27"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38"/>
    </row>
    <row r="3" spans="1:27" s="2" customFormat="1" ht="63.75" customHeight="1">
      <c r="A3" s="311" t="s">
        <v>4988</v>
      </c>
      <c r="B3" s="311"/>
      <c r="C3" s="311"/>
      <c r="D3" s="311"/>
      <c r="E3" s="311"/>
      <c r="F3" s="138"/>
      <c r="G3" s="138"/>
      <c r="H3" s="138"/>
      <c r="I3" s="305" t="s">
        <v>4021</v>
      </c>
      <c r="J3" s="305"/>
      <c r="K3" s="305"/>
      <c r="L3" s="305"/>
      <c r="M3" s="305"/>
      <c r="N3" s="306" t="s">
        <v>6417</v>
      </c>
      <c r="O3" s="307"/>
      <c r="P3" s="40"/>
      <c r="Q3" s="40"/>
      <c r="R3" s="140"/>
      <c r="S3" s="140"/>
      <c r="T3" s="140"/>
      <c r="U3" s="140"/>
      <c r="V3" s="140"/>
      <c r="W3" s="312" t="s">
        <v>887</v>
      </c>
      <c r="X3" s="312"/>
      <c r="Y3" s="312"/>
      <c r="Z3" s="140"/>
      <c r="AA3" s="17"/>
    </row>
    <row r="4" spans="1:27" ht="39.75" customHeight="1">
      <c r="A4" s="141" t="s">
        <v>888</v>
      </c>
      <c r="B4" s="141" t="s">
        <v>2</v>
      </c>
      <c r="C4" s="141" t="s">
        <v>889</v>
      </c>
      <c r="D4" s="141" t="s">
        <v>890</v>
      </c>
      <c r="E4" s="142" t="s">
        <v>891</v>
      </c>
      <c r="F4" s="141" t="s">
        <v>892</v>
      </c>
      <c r="G4" s="142" t="s">
        <v>893</v>
      </c>
      <c r="H4" s="142" t="s">
        <v>894</v>
      </c>
      <c r="I4" s="142" t="s">
        <v>895</v>
      </c>
      <c r="J4" s="142" t="s">
        <v>896</v>
      </c>
      <c r="K4" s="142" t="s">
        <v>897</v>
      </c>
      <c r="L4" s="142" t="s">
        <v>898</v>
      </c>
      <c r="M4" s="142" t="s">
        <v>899</v>
      </c>
      <c r="N4" s="142" t="s">
        <v>900</v>
      </c>
      <c r="O4" s="142" t="s">
        <v>901</v>
      </c>
      <c r="P4" s="142" t="s">
        <v>4982</v>
      </c>
      <c r="Q4" s="142" t="s">
        <v>902</v>
      </c>
      <c r="R4" s="143" t="s">
        <v>30</v>
      </c>
      <c r="S4" s="143" t="s">
        <v>903</v>
      </c>
      <c r="T4" s="143" t="s">
        <v>904</v>
      </c>
      <c r="U4" s="143" t="s">
        <v>6415</v>
      </c>
      <c r="V4" s="143" t="s">
        <v>905</v>
      </c>
      <c r="W4" s="143" t="s">
        <v>906</v>
      </c>
      <c r="X4" s="143" t="s">
        <v>907</v>
      </c>
      <c r="Y4" s="143" t="s">
        <v>908</v>
      </c>
      <c r="Z4" s="143" t="s">
        <v>909</v>
      </c>
    </row>
    <row r="5" spans="1:27" ht="50.25" customHeight="1">
      <c r="A5" s="144">
        <v>1</v>
      </c>
      <c r="B5" s="144" t="s">
        <v>910</v>
      </c>
      <c r="C5" s="144" t="s">
        <v>911</v>
      </c>
      <c r="D5" s="79" t="s">
        <v>912</v>
      </c>
      <c r="E5" s="79" t="s">
        <v>913</v>
      </c>
      <c r="F5" s="148" t="s">
        <v>914</v>
      </c>
      <c r="G5" s="79" t="s">
        <v>915</v>
      </c>
      <c r="H5" s="79" t="s">
        <v>916</v>
      </c>
      <c r="I5" s="83">
        <v>150</v>
      </c>
      <c r="J5" s="83">
        <v>0</v>
      </c>
      <c r="K5" s="83">
        <v>90</v>
      </c>
      <c r="L5" s="83">
        <v>0</v>
      </c>
      <c r="M5" s="83">
        <v>60</v>
      </c>
      <c r="N5" s="79" t="s">
        <v>3360</v>
      </c>
      <c r="O5" s="79"/>
      <c r="P5" s="79" t="s">
        <v>917</v>
      </c>
      <c r="Q5" s="79"/>
      <c r="R5" s="79" t="s">
        <v>919</v>
      </c>
      <c r="S5" s="79" t="s">
        <v>920</v>
      </c>
      <c r="T5" s="79" t="s">
        <v>921</v>
      </c>
      <c r="U5" s="79" t="s">
        <v>3377</v>
      </c>
      <c r="V5" s="79" t="s">
        <v>923</v>
      </c>
      <c r="W5" s="83">
        <f>SUM(X5:Y5)</f>
        <v>10</v>
      </c>
      <c r="X5" s="83">
        <v>9</v>
      </c>
      <c r="Y5" s="83">
        <v>1</v>
      </c>
      <c r="Z5" s="79" t="s">
        <v>924</v>
      </c>
      <c r="AA5" s="35"/>
    </row>
    <row r="6" spans="1:27" ht="50.25" customHeight="1">
      <c r="A6" s="144">
        <v>2</v>
      </c>
      <c r="B6" s="144" t="s">
        <v>925</v>
      </c>
      <c r="C6" s="144" t="s">
        <v>926</v>
      </c>
      <c r="D6" s="79" t="s">
        <v>927</v>
      </c>
      <c r="E6" s="79" t="s">
        <v>928</v>
      </c>
      <c r="F6" s="148" t="s">
        <v>929</v>
      </c>
      <c r="G6" s="79" t="s">
        <v>930</v>
      </c>
      <c r="H6" s="79" t="s">
        <v>931</v>
      </c>
      <c r="I6" s="83">
        <v>1000</v>
      </c>
      <c r="J6" s="83">
        <v>0</v>
      </c>
      <c r="K6" s="83">
        <v>500</v>
      </c>
      <c r="L6" s="83"/>
      <c r="M6" s="83" t="s">
        <v>932</v>
      </c>
      <c r="N6" s="79" t="s">
        <v>3360</v>
      </c>
      <c r="O6" s="79"/>
      <c r="P6" s="79" t="s">
        <v>261</v>
      </c>
      <c r="Q6" s="79"/>
      <c r="R6" s="79" t="s">
        <v>933</v>
      </c>
      <c r="S6" s="79" t="s">
        <v>920</v>
      </c>
      <c r="T6" s="79" t="s">
        <v>934</v>
      </c>
      <c r="U6" s="79" t="s">
        <v>3377</v>
      </c>
      <c r="V6" s="79" t="s">
        <v>935</v>
      </c>
      <c r="W6" s="83">
        <f>SUM(X6:Y6)</f>
        <v>235</v>
      </c>
      <c r="X6" s="83">
        <v>235</v>
      </c>
      <c r="Y6" s="83">
        <v>0</v>
      </c>
      <c r="Z6" s="79" t="s">
        <v>936</v>
      </c>
      <c r="AA6" s="35"/>
    </row>
    <row r="7" spans="1:27" ht="38.25" customHeight="1">
      <c r="A7" s="144">
        <v>3</v>
      </c>
      <c r="B7" s="144" t="s">
        <v>925</v>
      </c>
      <c r="C7" s="144" t="s">
        <v>926</v>
      </c>
      <c r="D7" s="79" t="s">
        <v>937</v>
      </c>
      <c r="E7" s="79" t="s">
        <v>938</v>
      </c>
      <c r="F7" s="148" t="s">
        <v>939</v>
      </c>
      <c r="G7" s="79" t="s">
        <v>940</v>
      </c>
      <c r="H7" s="79" t="s">
        <v>942</v>
      </c>
      <c r="I7" s="83">
        <f>SUM(J7:M7)</f>
        <v>1400</v>
      </c>
      <c r="J7" s="83">
        <v>0</v>
      </c>
      <c r="K7" s="83">
        <v>900</v>
      </c>
      <c r="L7" s="83">
        <v>370</v>
      </c>
      <c r="M7" s="83">
        <v>130</v>
      </c>
      <c r="N7" s="79" t="s">
        <v>3360</v>
      </c>
      <c r="O7" s="79"/>
      <c r="P7" s="79" t="s">
        <v>37</v>
      </c>
      <c r="Q7" s="79"/>
      <c r="R7" s="79" t="s">
        <v>943</v>
      </c>
      <c r="S7" s="79" t="s">
        <v>920</v>
      </c>
      <c r="T7" s="79" t="s">
        <v>944</v>
      </c>
      <c r="U7" s="79" t="s">
        <v>3377</v>
      </c>
      <c r="V7" s="79" t="s">
        <v>935</v>
      </c>
      <c r="W7" s="83">
        <v>86</v>
      </c>
      <c r="X7" s="83">
        <v>86</v>
      </c>
      <c r="Y7" s="83">
        <v>0</v>
      </c>
      <c r="Z7" s="79" t="s">
        <v>936</v>
      </c>
      <c r="AA7" s="35"/>
    </row>
    <row r="8" spans="1:27" ht="69.75" customHeight="1">
      <c r="A8" s="144">
        <v>4</v>
      </c>
      <c r="B8" s="144" t="s">
        <v>925</v>
      </c>
      <c r="C8" s="144" t="s">
        <v>926</v>
      </c>
      <c r="D8" s="79" t="s">
        <v>945</v>
      </c>
      <c r="E8" s="79" t="s">
        <v>947</v>
      </c>
      <c r="F8" s="148" t="s">
        <v>948</v>
      </c>
      <c r="G8" s="79" t="s">
        <v>949</v>
      </c>
      <c r="H8" s="79" t="s">
        <v>950</v>
      </c>
      <c r="I8" s="83">
        <v>355</v>
      </c>
      <c r="J8" s="83">
        <v>0</v>
      </c>
      <c r="K8" s="83">
        <v>355</v>
      </c>
      <c r="L8" s="83">
        <v>0</v>
      </c>
      <c r="M8" s="83">
        <v>0</v>
      </c>
      <c r="N8" s="79" t="s">
        <v>3360</v>
      </c>
      <c r="O8" s="79"/>
      <c r="P8" s="79" t="s">
        <v>951</v>
      </c>
      <c r="Q8" s="79"/>
      <c r="R8" s="79" t="s">
        <v>952</v>
      </c>
      <c r="S8" s="79" t="s">
        <v>953</v>
      </c>
      <c r="T8" s="79" t="s">
        <v>385</v>
      </c>
      <c r="U8" s="79" t="s">
        <v>3377</v>
      </c>
      <c r="V8" s="79" t="s">
        <v>935</v>
      </c>
      <c r="W8" s="83">
        <f>SUM(X8:Y8)</f>
        <v>25</v>
      </c>
      <c r="X8" s="83">
        <v>25</v>
      </c>
      <c r="Y8" s="83">
        <v>0</v>
      </c>
      <c r="Z8" s="79" t="s">
        <v>114</v>
      </c>
      <c r="AA8" s="35"/>
    </row>
    <row r="9" spans="1:27" ht="83.25" customHeight="1">
      <c r="A9" s="144">
        <v>5</v>
      </c>
      <c r="B9" s="144" t="s">
        <v>925</v>
      </c>
      <c r="C9" s="144" t="s">
        <v>926</v>
      </c>
      <c r="D9" s="79" t="s">
        <v>954</v>
      </c>
      <c r="E9" s="79" t="s">
        <v>955</v>
      </c>
      <c r="F9" s="148" t="s">
        <v>956</v>
      </c>
      <c r="G9" s="79" t="s">
        <v>949</v>
      </c>
      <c r="H9" s="79" t="s">
        <v>957</v>
      </c>
      <c r="I9" s="83">
        <f>SUM(J9:M9)</f>
        <v>928</v>
      </c>
      <c r="J9" s="83">
        <v>0</v>
      </c>
      <c r="K9" s="83">
        <v>688</v>
      </c>
      <c r="L9" s="83">
        <v>0</v>
      </c>
      <c r="M9" s="83">
        <v>240</v>
      </c>
      <c r="N9" s="79" t="s">
        <v>958</v>
      </c>
      <c r="O9" s="79" t="s">
        <v>959</v>
      </c>
      <c r="P9" s="79" t="s">
        <v>917</v>
      </c>
      <c r="Q9" s="79"/>
      <c r="R9" s="79" t="s">
        <v>960</v>
      </c>
      <c r="S9" s="79" t="s">
        <v>108</v>
      </c>
      <c r="T9" s="79" t="s">
        <v>944</v>
      </c>
      <c r="U9" s="79" t="s">
        <v>3377</v>
      </c>
      <c r="V9" s="79" t="s">
        <v>935</v>
      </c>
      <c r="W9" s="83">
        <v>22</v>
      </c>
      <c r="X9" s="83">
        <v>22</v>
      </c>
      <c r="Y9" s="83">
        <v>0</v>
      </c>
      <c r="Z9" s="79" t="s">
        <v>936</v>
      </c>
      <c r="AA9" s="35"/>
    </row>
    <row r="10" spans="1:27" ht="42.75" customHeight="1">
      <c r="A10" s="144">
        <v>6</v>
      </c>
      <c r="B10" s="144" t="s">
        <v>961</v>
      </c>
      <c r="C10" s="144" t="s">
        <v>926</v>
      </c>
      <c r="D10" s="79" t="s">
        <v>962</v>
      </c>
      <c r="E10" s="79" t="s">
        <v>963</v>
      </c>
      <c r="F10" s="148" t="s">
        <v>964</v>
      </c>
      <c r="G10" s="79" t="s">
        <v>965</v>
      </c>
      <c r="H10" s="79" t="s">
        <v>966</v>
      </c>
      <c r="I10" s="83">
        <v>670</v>
      </c>
      <c r="J10" s="83">
        <v>0</v>
      </c>
      <c r="K10" s="83">
        <v>570</v>
      </c>
      <c r="L10" s="83">
        <v>70</v>
      </c>
      <c r="M10" s="83">
        <v>30</v>
      </c>
      <c r="N10" s="79" t="s">
        <v>3360</v>
      </c>
      <c r="O10" s="79"/>
      <c r="P10" s="79" t="s">
        <v>247</v>
      </c>
      <c r="Q10" s="79"/>
      <c r="R10" s="79" t="s">
        <v>967</v>
      </c>
      <c r="S10" s="79" t="s">
        <v>108</v>
      </c>
      <c r="T10" s="79" t="s">
        <v>921</v>
      </c>
      <c r="U10" s="79" t="s">
        <v>3377</v>
      </c>
      <c r="V10" s="79" t="s">
        <v>935</v>
      </c>
      <c r="W10" s="83">
        <v>130</v>
      </c>
      <c r="X10" s="83">
        <v>130</v>
      </c>
      <c r="Y10" s="83">
        <v>0</v>
      </c>
      <c r="Z10" s="79" t="s">
        <v>968</v>
      </c>
      <c r="AA10" s="35"/>
    </row>
    <row r="11" spans="1:27" s="48" customFormat="1" ht="48.75" customHeight="1">
      <c r="A11" s="144">
        <v>7</v>
      </c>
      <c r="B11" s="144" t="s">
        <v>961</v>
      </c>
      <c r="C11" s="144" t="s">
        <v>926</v>
      </c>
      <c r="D11" s="79" t="s">
        <v>969</v>
      </c>
      <c r="E11" s="79" t="s">
        <v>947</v>
      </c>
      <c r="F11" s="148" t="s">
        <v>970</v>
      </c>
      <c r="G11" s="79" t="s">
        <v>971</v>
      </c>
      <c r="H11" s="79" t="s">
        <v>972</v>
      </c>
      <c r="I11" s="83">
        <v>150</v>
      </c>
      <c r="J11" s="83">
        <v>0</v>
      </c>
      <c r="K11" s="83">
        <v>150</v>
      </c>
      <c r="L11" s="83">
        <v>0</v>
      </c>
      <c r="M11" s="83">
        <v>0</v>
      </c>
      <c r="N11" s="79" t="s">
        <v>3360</v>
      </c>
      <c r="O11" s="79"/>
      <c r="P11" s="79" t="s">
        <v>271</v>
      </c>
      <c r="Q11" s="79"/>
      <c r="R11" s="79" t="s">
        <v>899</v>
      </c>
      <c r="S11" s="79" t="s">
        <v>920</v>
      </c>
      <c r="T11" s="79" t="s">
        <v>921</v>
      </c>
      <c r="U11" s="79" t="s">
        <v>3377</v>
      </c>
      <c r="V11" s="79" t="s">
        <v>935</v>
      </c>
      <c r="W11" s="83">
        <v>80</v>
      </c>
      <c r="X11" s="83">
        <v>80</v>
      </c>
      <c r="Y11" s="83">
        <v>0</v>
      </c>
      <c r="Z11" s="79" t="s">
        <v>973</v>
      </c>
      <c r="AA11" s="47"/>
    </row>
    <row r="12" spans="1:27" s="49" customFormat="1" ht="38.25" customHeight="1">
      <c r="A12" s="144">
        <v>8</v>
      </c>
      <c r="B12" s="144" t="s">
        <v>961</v>
      </c>
      <c r="C12" s="144" t="s">
        <v>926</v>
      </c>
      <c r="D12" s="79" t="s">
        <v>974</v>
      </c>
      <c r="E12" s="79" t="s">
        <v>976</v>
      </c>
      <c r="F12" s="148" t="s">
        <v>977</v>
      </c>
      <c r="G12" s="79" t="s">
        <v>978</v>
      </c>
      <c r="H12" s="79" t="s">
        <v>980</v>
      </c>
      <c r="I12" s="83">
        <v>300</v>
      </c>
      <c r="J12" s="83">
        <v>0</v>
      </c>
      <c r="K12" s="83">
        <v>300</v>
      </c>
      <c r="L12" s="83">
        <v>0</v>
      </c>
      <c r="M12" s="83">
        <v>0</v>
      </c>
      <c r="N12" s="79" t="s">
        <v>3360</v>
      </c>
      <c r="O12" s="79"/>
      <c r="P12" s="79" t="s">
        <v>271</v>
      </c>
      <c r="Q12" s="79"/>
      <c r="R12" s="79" t="s">
        <v>981</v>
      </c>
      <c r="S12" s="79" t="s">
        <v>920</v>
      </c>
      <c r="T12" s="79" t="s">
        <v>982</v>
      </c>
      <c r="U12" s="79" t="s">
        <v>3439</v>
      </c>
      <c r="V12" s="79" t="s">
        <v>935</v>
      </c>
      <c r="W12" s="83">
        <f>SUM(X12:Y12)</f>
        <v>90</v>
      </c>
      <c r="X12" s="83">
        <v>90</v>
      </c>
      <c r="Y12" s="83">
        <v>0</v>
      </c>
      <c r="Z12" s="79" t="s">
        <v>973</v>
      </c>
      <c r="AA12" s="47"/>
    </row>
    <row r="13" spans="1:27" s="50" customFormat="1" ht="50.25" customHeight="1">
      <c r="A13" s="144">
        <v>9</v>
      </c>
      <c r="B13" s="144" t="s">
        <v>925</v>
      </c>
      <c r="C13" s="144" t="s">
        <v>926</v>
      </c>
      <c r="D13" s="79" t="s">
        <v>983</v>
      </c>
      <c r="E13" s="79" t="s">
        <v>984</v>
      </c>
      <c r="F13" s="148" t="s">
        <v>985</v>
      </c>
      <c r="G13" s="79" t="s">
        <v>986</v>
      </c>
      <c r="H13" s="79" t="s">
        <v>987</v>
      </c>
      <c r="I13" s="83">
        <v>250</v>
      </c>
      <c r="J13" s="83">
        <v>0</v>
      </c>
      <c r="K13" s="83">
        <v>250</v>
      </c>
      <c r="L13" s="83">
        <v>0</v>
      </c>
      <c r="M13" s="83">
        <v>0</v>
      </c>
      <c r="N13" s="79" t="s">
        <v>3360</v>
      </c>
      <c r="O13" s="79"/>
      <c r="P13" s="79" t="s">
        <v>261</v>
      </c>
      <c r="Q13" s="79" t="s">
        <v>3369</v>
      </c>
      <c r="R13" s="79" t="s">
        <v>920</v>
      </c>
      <c r="S13" s="79" t="s">
        <v>982</v>
      </c>
      <c r="T13" s="79" t="s">
        <v>922</v>
      </c>
      <c r="U13" s="79" t="s">
        <v>922</v>
      </c>
      <c r="V13" s="79" t="s">
        <v>935</v>
      </c>
      <c r="W13" s="83">
        <v>500</v>
      </c>
      <c r="X13" s="83">
        <v>500</v>
      </c>
      <c r="Y13" s="83">
        <v>0</v>
      </c>
      <c r="Z13" s="79" t="s">
        <v>936</v>
      </c>
      <c r="AA13" s="35"/>
    </row>
    <row r="14" spans="1:27" s="50" customFormat="1" ht="50.25" customHeight="1">
      <c r="A14" s="144">
        <v>10</v>
      </c>
      <c r="B14" s="144" t="s">
        <v>925</v>
      </c>
      <c r="C14" s="144" t="s">
        <v>926</v>
      </c>
      <c r="D14" s="79" t="s">
        <v>988</v>
      </c>
      <c r="E14" s="79" t="s">
        <v>989</v>
      </c>
      <c r="F14" s="148" t="s">
        <v>990</v>
      </c>
      <c r="G14" s="79" t="s">
        <v>986</v>
      </c>
      <c r="H14" s="79" t="s">
        <v>916</v>
      </c>
      <c r="I14" s="83">
        <v>100</v>
      </c>
      <c r="J14" s="83">
        <v>0</v>
      </c>
      <c r="K14" s="83">
        <v>100</v>
      </c>
      <c r="L14" s="83">
        <v>0</v>
      </c>
      <c r="M14" s="83">
        <v>0</v>
      </c>
      <c r="N14" s="79" t="s">
        <v>3360</v>
      </c>
      <c r="O14" s="79"/>
      <c r="P14" s="79" t="s">
        <v>261</v>
      </c>
      <c r="Q14" s="79"/>
      <c r="R14" s="79" t="s">
        <v>920</v>
      </c>
      <c r="S14" s="79" t="s">
        <v>982</v>
      </c>
      <c r="T14" s="79" t="s">
        <v>922</v>
      </c>
      <c r="U14" s="79" t="s">
        <v>922</v>
      </c>
      <c r="V14" s="79" t="s">
        <v>935</v>
      </c>
      <c r="W14" s="83">
        <v>500</v>
      </c>
      <c r="X14" s="83">
        <v>500</v>
      </c>
      <c r="Y14" s="83">
        <v>0</v>
      </c>
      <c r="Z14" s="79" t="s">
        <v>936</v>
      </c>
      <c r="AA14" s="35"/>
    </row>
    <row r="15" spans="1:27" ht="90.75" customHeight="1">
      <c r="A15" s="144">
        <v>11</v>
      </c>
      <c r="B15" s="144" t="s">
        <v>925</v>
      </c>
      <c r="C15" s="144" t="s">
        <v>991</v>
      </c>
      <c r="D15" s="79" t="s">
        <v>992</v>
      </c>
      <c r="E15" s="79" t="s">
        <v>993</v>
      </c>
      <c r="F15" s="148" t="s">
        <v>994</v>
      </c>
      <c r="G15" s="79" t="s">
        <v>995</v>
      </c>
      <c r="H15" s="79" t="s">
        <v>997</v>
      </c>
      <c r="I15" s="83">
        <v>819</v>
      </c>
      <c r="J15" s="83">
        <v>0</v>
      </c>
      <c r="K15" s="83">
        <v>150</v>
      </c>
      <c r="L15" s="83">
        <v>669</v>
      </c>
      <c r="M15" s="83">
        <v>0</v>
      </c>
      <c r="N15" s="79" t="s">
        <v>3360</v>
      </c>
      <c r="O15" s="79"/>
      <c r="P15" s="79" t="s">
        <v>304</v>
      </c>
      <c r="Q15" s="79" t="s">
        <v>3369</v>
      </c>
      <c r="R15" s="79" t="s">
        <v>998</v>
      </c>
      <c r="S15" s="79" t="s">
        <v>920</v>
      </c>
      <c r="T15" s="79" t="s">
        <v>999</v>
      </c>
      <c r="U15" s="79" t="s">
        <v>1000</v>
      </c>
      <c r="V15" s="79" t="s">
        <v>1001</v>
      </c>
      <c r="W15" s="83">
        <f>SUM(X15:Y15)</f>
        <v>480</v>
      </c>
      <c r="X15" s="83">
        <v>480</v>
      </c>
      <c r="Y15" s="83">
        <v>0</v>
      </c>
      <c r="Z15" s="79" t="s">
        <v>1002</v>
      </c>
      <c r="AA15" s="35"/>
    </row>
    <row r="16" spans="1:27" ht="55.5" customHeight="1">
      <c r="A16" s="144">
        <v>12</v>
      </c>
      <c r="B16" s="144" t="s">
        <v>961</v>
      </c>
      <c r="C16" s="144" t="s">
        <v>176</v>
      </c>
      <c r="D16" s="79" t="s">
        <v>1003</v>
      </c>
      <c r="E16" s="79" t="s">
        <v>1004</v>
      </c>
      <c r="F16" s="148" t="s">
        <v>1005</v>
      </c>
      <c r="G16" s="79" t="s">
        <v>1006</v>
      </c>
      <c r="H16" s="79" t="s">
        <v>1007</v>
      </c>
      <c r="I16" s="83">
        <v>90</v>
      </c>
      <c r="J16" s="83">
        <v>0</v>
      </c>
      <c r="K16" s="83">
        <v>0</v>
      </c>
      <c r="L16" s="83">
        <v>90</v>
      </c>
      <c r="M16" s="83">
        <v>0</v>
      </c>
      <c r="N16" s="79" t="s">
        <v>3360</v>
      </c>
      <c r="O16" s="79"/>
      <c r="P16" s="79" t="s">
        <v>271</v>
      </c>
      <c r="Q16" s="79"/>
      <c r="R16" s="79" t="s">
        <v>1008</v>
      </c>
      <c r="S16" s="79" t="s">
        <v>920</v>
      </c>
      <c r="T16" s="79" t="s">
        <v>91</v>
      </c>
      <c r="U16" s="79" t="s">
        <v>1000</v>
      </c>
      <c r="V16" s="79" t="s">
        <v>1001</v>
      </c>
      <c r="W16" s="83">
        <v>100</v>
      </c>
      <c r="X16" s="83">
        <v>100</v>
      </c>
      <c r="Y16" s="83">
        <v>0</v>
      </c>
      <c r="Z16" s="79" t="s">
        <v>1009</v>
      </c>
      <c r="AA16" s="35"/>
    </row>
    <row r="17" spans="1:27" ht="81.75" customHeight="1">
      <c r="A17" s="144">
        <v>13</v>
      </c>
      <c r="B17" s="144" t="s">
        <v>925</v>
      </c>
      <c r="C17" s="144" t="s">
        <v>1010</v>
      </c>
      <c r="D17" s="79" t="s">
        <v>1011</v>
      </c>
      <c r="E17" s="79" t="s">
        <v>1012</v>
      </c>
      <c r="F17" s="148" t="s">
        <v>1013</v>
      </c>
      <c r="G17" s="79" t="s">
        <v>1014</v>
      </c>
      <c r="H17" s="79" t="s">
        <v>1015</v>
      </c>
      <c r="I17" s="83">
        <v>1900</v>
      </c>
      <c r="J17" s="83">
        <v>0</v>
      </c>
      <c r="K17" s="83">
        <v>300</v>
      </c>
      <c r="L17" s="83">
        <v>1600</v>
      </c>
      <c r="M17" s="83">
        <v>0</v>
      </c>
      <c r="N17" s="79" t="s">
        <v>3360</v>
      </c>
      <c r="O17" s="79"/>
      <c r="P17" s="79" t="s">
        <v>1016</v>
      </c>
      <c r="Q17" s="79"/>
      <c r="R17" s="79" t="s">
        <v>1017</v>
      </c>
      <c r="S17" s="152" t="s">
        <v>1018</v>
      </c>
      <c r="T17" s="152" t="s">
        <v>1019</v>
      </c>
      <c r="U17" s="79" t="s">
        <v>3440</v>
      </c>
      <c r="V17" s="79" t="s">
        <v>935</v>
      </c>
      <c r="W17" s="83">
        <f>SUM(X17:Y17)</f>
        <v>0</v>
      </c>
      <c r="X17" s="83" t="s">
        <v>1021</v>
      </c>
      <c r="Y17" s="83" t="s">
        <v>1020</v>
      </c>
      <c r="Z17" s="79" t="s">
        <v>1022</v>
      </c>
      <c r="AA17" s="35"/>
    </row>
    <row r="18" spans="1:27" ht="102" customHeight="1">
      <c r="A18" s="144">
        <v>14</v>
      </c>
      <c r="B18" s="144" t="s">
        <v>961</v>
      </c>
      <c r="C18" s="144" t="s">
        <v>1023</v>
      </c>
      <c r="D18" s="79" t="s">
        <v>1024</v>
      </c>
      <c r="E18" s="79" t="s">
        <v>1025</v>
      </c>
      <c r="F18" s="148" t="s">
        <v>1026</v>
      </c>
      <c r="G18" s="79" t="s">
        <v>1027</v>
      </c>
      <c r="H18" s="79" t="s">
        <v>1028</v>
      </c>
      <c r="I18" s="83">
        <v>500</v>
      </c>
      <c r="J18" s="83">
        <v>0</v>
      </c>
      <c r="K18" s="83">
        <v>200</v>
      </c>
      <c r="L18" s="83">
        <v>300</v>
      </c>
      <c r="M18" s="83">
        <v>0</v>
      </c>
      <c r="N18" s="79" t="s">
        <v>3360</v>
      </c>
      <c r="O18" s="79"/>
      <c r="P18" s="79" t="s">
        <v>247</v>
      </c>
      <c r="Q18" s="79"/>
      <c r="R18" s="79" t="s">
        <v>1029</v>
      </c>
      <c r="S18" s="79" t="s">
        <v>373</v>
      </c>
      <c r="T18" s="79" t="s">
        <v>374</v>
      </c>
      <c r="U18" s="79" t="s">
        <v>3431</v>
      </c>
      <c r="V18" s="79" t="s">
        <v>529</v>
      </c>
      <c r="W18" s="83">
        <v>470</v>
      </c>
      <c r="X18" s="83">
        <v>440</v>
      </c>
      <c r="Y18" s="83">
        <v>30</v>
      </c>
      <c r="Z18" s="79" t="s">
        <v>1029</v>
      </c>
      <c r="AA18" s="35"/>
    </row>
    <row r="19" spans="1:27" ht="48" customHeight="1">
      <c r="A19" s="144">
        <v>15</v>
      </c>
      <c r="B19" s="144" t="s">
        <v>961</v>
      </c>
      <c r="C19" s="144" t="s">
        <v>1030</v>
      </c>
      <c r="D19" s="79" t="s">
        <v>1031</v>
      </c>
      <c r="E19" s="79" t="s">
        <v>1032</v>
      </c>
      <c r="F19" s="148" t="s">
        <v>1033</v>
      </c>
      <c r="G19" s="79" t="s">
        <v>1034</v>
      </c>
      <c r="H19" s="79" t="s">
        <v>1036</v>
      </c>
      <c r="I19" s="83">
        <v>588</v>
      </c>
      <c r="J19" s="83">
        <v>0</v>
      </c>
      <c r="K19" s="83">
        <v>200</v>
      </c>
      <c r="L19" s="83">
        <v>308</v>
      </c>
      <c r="M19" s="83">
        <v>0</v>
      </c>
      <c r="N19" s="79" t="s">
        <v>3360</v>
      </c>
      <c r="O19" s="79"/>
      <c r="P19" s="79" t="s">
        <v>304</v>
      </c>
      <c r="Q19" s="79"/>
      <c r="R19" s="79" t="s">
        <v>1037</v>
      </c>
      <c r="S19" s="79" t="s">
        <v>920</v>
      </c>
      <c r="T19" s="79" t="s">
        <v>374</v>
      </c>
      <c r="U19" s="79" t="s">
        <v>3431</v>
      </c>
      <c r="V19" s="79" t="s">
        <v>1001</v>
      </c>
      <c r="W19" s="83">
        <f>SUM(X19:Y19)</f>
        <v>172</v>
      </c>
      <c r="X19" s="83">
        <v>172</v>
      </c>
      <c r="Y19" s="83">
        <v>0</v>
      </c>
      <c r="Z19" s="79" t="s">
        <v>1038</v>
      </c>
      <c r="AA19" s="35"/>
    </row>
    <row r="20" spans="1:27" s="52" customFormat="1" ht="56.25" customHeight="1">
      <c r="A20" s="144">
        <v>16</v>
      </c>
      <c r="B20" s="144" t="s">
        <v>961</v>
      </c>
      <c r="C20" s="144" t="s">
        <v>1030</v>
      </c>
      <c r="D20" s="79" t="s">
        <v>1039</v>
      </c>
      <c r="E20" s="79" t="s">
        <v>1040</v>
      </c>
      <c r="F20" s="148" t="s">
        <v>1041</v>
      </c>
      <c r="G20" s="79" t="s">
        <v>1042</v>
      </c>
      <c r="H20" s="79" t="s">
        <v>1043</v>
      </c>
      <c r="I20" s="83">
        <v>150</v>
      </c>
      <c r="J20" s="83">
        <v>40</v>
      </c>
      <c r="K20" s="83">
        <v>0</v>
      </c>
      <c r="L20" s="83">
        <v>110</v>
      </c>
      <c r="M20" s="83">
        <v>0</v>
      </c>
      <c r="N20" s="79" t="s">
        <v>3360</v>
      </c>
      <c r="O20" s="79"/>
      <c r="P20" s="79" t="s">
        <v>247</v>
      </c>
      <c r="Q20" s="79"/>
      <c r="R20" s="79" t="s">
        <v>1044</v>
      </c>
      <c r="S20" s="79" t="s">
        <v>920</v>
      </c>
      <c r="T20" s="79" t="s">
        <v>1045</v>
      </c>
      <c r="U20" s="79" t="s">
        <v>922</v>
      </c>
      <c r="V20" s="79" t="s">
        <v>94</v>
      </c>
      <c r="W20" s="83">
        <v>7</v>
      </c>
      <c r="X20" s="83">
        <v>7</v>
      </c>
      <c r="Y20" s="83">
        <v>0</v>
      </c>
      <c r="Z20" s="79" t="s">
        <v>1046</v>
      </c>
      <c r="AA20" s="51"/>
    </row>
    <row r="21" spans="1:27" s="49" customFormat="1" ht="53.25" customHeight="1">
      <c r="A21" s="144">
        <v>17</v>
      </c>
      <c r="B21" s="144" t="s">
        <v>961</v>
      </c>
      <c r="C21" s="144" t="s">
        <v>1047</v>
      </c>
      <c r="D21" s="79" t="s">
        <v>1048</v>
      </c>
      <c r="E21" s="79" t="s">
        <v>1049</v>
      </c>
      <c r="F21" s="148" t="s">
        <v>1050</v>
      </c>
      <c r="G21" s="79" t="s">
        <v>1051</v>
      </c>
      <c r="H21" s="79" t="s">
        <v>1052</v>
      </c>
      <c r="I21" s="83">
        <v>220</v>
      </c>
      <c r="J21" s="161">
        <v>0</v>
      </c>
      <c r="K21" s="161">
        <v>30</v>
      </c>
      <c r="L21" s="161">
        <v>140</v>
      </c>
      <c r="M21" s="161">
        <v>50</v>
      </c>
      <c r="N21" s="79" t="s">
        <v>3360</v>
      </c>
      <c r="O21" s="79"/>
      <c r="P21" s="79" t="s">
        <v>209</v>
      </c>
      <c r="Q21" s="79"/>
      <c r="R21" s="79" t="s">
        <v>1053</v>
      </c>
      <c r="S21" s="79" t="s">
        <v>920</v>
      </c>
      <c r="T21" s="79" t="s">
        <v>183</v>
      </c>
      <c r="U21" s="79" t="s">
        <v>3431</v>
      </c>
      <c r="V21" s="79" t="s">
        <v>1054</v>
      </c>
      <c r="W21" s="83">
        <v>80</v>
      </c>
      <c r="X21" s="83">
        <v>80</v>
      </c>
      <c r="Y21" s="83">
        <v>0</v>
      </c>
      <c r="Z21" s="79" t="s">
        <v>756</v>
      </c>
      <c r="AA21" s="47"/>
    </row>
    <row r="22" spans="1:27" s="53" customFormat="1" ht="77.25" customHeight="1">
      <c r="A22" s="144">
        <v>18</v>
      </c>
      <c r="B22" s="144" t="s">
        <v>925</v>
      </c>
      <c r="C22" s="144" t="s">
        <v>1047</v>
      </c>
      <c r="D22" s="79" t="s">
        <v>1055</v>
      </c>
      <c r="E22" s="79" t="s">
        <v>1056</v>
      </c>
      <c r="F22" s="148" t="s">
        <v>1057</v>
      </c>
      <c r="G22" s="79" t="s">
        <v>1058</v>
      </c>
      <c r="H22" s="79" t="s">
        <v>1059</v>
      </c>
      <c r="I22" s="83">
        <v>700</v>
      </c>
      <c r="J22" s="83">
        <v>0</v>
      </c>
      <c r="K22" s="83">
        <v>200</v>
      </c>
      <c r="L22" s="83">
        <v>500</v>
      </c>
      <c r="M22" s="83">
        <v>0</v>
      </c>
      <c r="N22" s="79" t="s">
        <v>3360</v>
      </c>
      <c r="O22" s="79"/>
      <c r="P22" s="79" t="s">
        <v>304</v>
      </c>
      <c r="Q22" s="79" t="s">
        <v>3370</v>
      </c>
      <c r="R22" s="79" t="s">
        <v>1060</v>
      </c>
      <c r="S22" s="79" t="s">
        <v>920</v>
      </c>
      <c r="T22" s="79" t="s">
        <v>999</v>
      </c>
      <c r="U22" s="79" t="s">
        <v>3432</v>
      </c>
      <c r="V22" s="79" t="s">
        <v>1001</v>
      </c>
      <c r="W22" s="83">
        <v>150</v>
      </c>
      <c r="X22" s="83">
        <v>140</v>
      </c>
      <c r="Y22" s="83">
        <v>10</v>
      </c>
      <c r="Z22" s="79" t="s">
        <v>1061</v>
      </c>
      <c r="AA22" s="47"/>
    </row>
    <row r="23" spans="1:27" s="53" customFormat="1" ht="51" customHeight="1">
      <c r="A23" s="144">
        <v>19</v>
      </c>
      <c r="B23" s="144" t="s">
        <v>961</v>
      </c>
      <c r="C23" s="79" t="s">
        <v>1047</v>
      </c>
      <c r="D23" s="79" t="s">
        <v>1062</v>
      </c>
      <c r="E23" s="79" t="s">
        <v>1063</v>
      </c>
      <c r="F23" s="148" t="s">
        <v>1064</v>
      </c>
      <c r="G23" s="79" t="s">
        <v>1065</v>
      </c>
      <c r="H23" s="79" t="s">
        <v>820</v>
      </c>
      <c r="I23" s="83">
        <v>2350</v>
      </c>
      <c r="J23" s="83">
        <v>0</v>
      </c>
      <c r="K23" s="83">
        <v>0</v>
      </c>
      <c r="L23" s="83">
        <v>2350</v>
      </c>
      <c r="M23" s="83">
        <v>0</v>
      </c>
      <c r="N23" s="79" t="s">
        <v>3360</v>
      </c>
      <c r="O23" s="79"/>
      <c r="P23" s="79" t="s">
        <v>247</v>
      </c>
      <c r="Q23" s="79"/>
      <c r="R23" s="79" t="s">
        <v>1066</v>
      </c>
      <c r="S23" s="79" t="s">
        <v>920</v>
      </c>
      <c r="T23" s="79" t="s">
        <v>921</v>
      </c>
      <c r="U23" s="79" t="s">
        <v>1068</v>
      </c>
      <c r="V23" s="79" t="s">
        <v>1001</v>
      </c>
      <c r="W23" s="83">
        <f>SUM(X23:Y23)</f>
        <v>61.7</v>
      </c>
      <c r="X23" s="83">
        <v>61.7</v>
      </c>
      <c r="Y23" s="83">
        <v>0</v>
      </c>
      <c r="Z23" s="79" t="s">
        <v>1069</v>
      </c>
      <c r="AA23" s="54"/>
    </row>
    <row r="24" spans="1:27" s="55" customFormat="1" ht="53.25" customHeight="1">
      <c r="A24" s="144">
        <v>20</v>
      </c>
      <c r="B24" s="144" t="s">
        <v>925</v>
      </c>
      <c r="C24" s="144" t="s">
        <v>1047</v>
      </c>
      <c r="D24" s="79" t="s">
        <v>1070</v>
      </c>
      <c r="E24" s="79" t="s">
        <v>1071</v>
      </c>
      <c r="F24" s="148" t="s">
        <v>1072</v>
      </c>
      <c r="G24" s="79" t="s">
        <v>1073</v>
      </c>
      <c r="H24" s="79" t="s">
        <v>1059</v>
      </c>
      <c r="I24" s="83">
        <v>475</v>
      </c>
      <c r="J24" s="83">
        <v>0</v>
      </c>
      <c r="K24" s="83">
        <v>200</v>
      </c>
      <c r="L24" s="83">
        <v>275</v>
      </c>
      <c r="M24" s="83">
        <v>0</v>
      </c>
      <c r="N24" s="79" t="s">
        <v>3360</v>
      </c>
      <c r="O24" s="79"/>
      <c r="P24" s="79" t="s">
        <v>261</v>
      </c>
      <c r="Q24" s="79"/>
      <c r="R24" s="79" t="s">
        <v>1074</v>
      </c>
      <c r="S24" s="79" t="s">
        <v>920</v>
      </c>
      <c r="T24" s="79" t="s">
        <v>1075</v>
      </c>
      <c r="U24" s="79" t="s">
        <v>1076</v>
      </c>
      <c r="V24" s="79" t="s">
        <v>466</v>
      </c>
      <c r="W24" s="83">
        <f>SUM(X24:Y24)</f>
        <v>170</v>
      </c>
      <c r="X24" s="83">
        <v>170</v>
      </c>
      <c r="Y24" s="83">
        <v>0</v>
      </c>
      <c r="Z24" s="79" t="s">
        <v>1077</v>
      </c>
      <c r="AA24" s="51"/>
    </row>
    <row r="25" spans="1:27" ht="58.5" customHeight="1">
      <c r="A25" s="144">
        <v>21</v>
      </c>
      <c r="B25" s="144" t="s">
        <v>925</v>
      </c>
      <c r="C25" s="144" t="s">
        <v>1047</v>
      </c>
      <c r="D25" s="79" t="s">
        <v>1078</v>
      </c>
      <c r="E25" s="79" t="s">
        <v>947</v>
      </c>
      <c r="F25" s="148" t="s">
        <v>1079</v>
      </c>
      <c r="G25" s="79" t="s">
        <v>1080</v>
      </c>
      <c r="H25" s="79" t="s">
        <v>1081</v>
      </c>
      <c r="I25" s="83">
        <v>160</v>
      </c>
      <c r="J25" s="83">
        <v>0</v>
      </c>
      <c r="K25" s="83">
        <v>30</v>
      </c>
      <c r="L25" s="83">
        <v>30</v>
      </c>
      <c r="M25" s="83">
        <v>100</v>
      </c>
      <c r="N25" s="79" t="s">
        <v>3360</v>
      </c>
      <c r="O25" s="79"/>
      <c r="P25" s="79" t="s">
        <v>1082</v>
      </c>
      <c r="Q25" s="79"/>
      <c r="R25" s="79" t="s">
        <v>1083</v>
      </c>
      <c r="S25" s="79" t="s">
        <v>920</v>
      </c>
      <c r="T25" s="79" t="s">
        <v>1084</v>
      </c>
      <c r="U25" s="79" t="s">
        <v>3377</v>
      </c>
      <c r="V25" s="79" t="s">
        <v>164</v>
      </c>
      <c r="W25" s="83">
        <v>1</v>
      </c>
      <c r="X25" s="83">
        <v>1</v>
      </c>
      <c r="Y25" s="83">
        <v>0</v>
      </c>
      <c r="Z25" s="79" t="s">
        <v>1085</v>
      </c>
      <c r="AA25" s="35"/>
    </row>
    <row r="26" spans="1:27" ht="68.25" customHeight="1">
      <c r="A26" s="144">
        <v>22</v>
      </c>
      <c r="B26" s="144" t="s">
        <v>925</v>
      </c>
      <c r="C26" s="144" t="s">
        <v>1047</v>
      </c>
      <c r="D26" s="79" t="s">
        <v>1086</v>
      </c>
      <c r="E26" s="79" t="s">
        <v>1088</v>
      </c>
      <c r="F26" s="148" t="s">
        <v>1089</v>
      </c>
      <c r="G26" s="79" t="s">
        <v>1090</v>
      </c>
      <c r="H26" s="79" t="s">
        <v>1091</v>
      </c>
      <c r="I26" s="83">
        <v>400</v>
      </c>
      <c r="J26" s="83">
        <v>0</v>
      </c>
      <c r="K26" s="83">
        <v>50</v>
      </c>
      <c r="L26" s="83">
        <v>0</v>
      </c>
      <c r="M26" s="83">
        <v>350</v>
      </c>
      <c r="N26" s="79" t="s">
        <v>3360</v>
      </c>
      <c r="O26" s="79"/>
      <c r="P26" s="79" t="s">
        <v>918</v>
      </c>
      <c r="Q26" s="79"/>
      <c r="R26" s="79" t="s">
        <v>1092</v>
      </c>
      <c r="S26" s="79" t="s">
        <v>920</v>
      </c>
      <c r="T26" s="79" t="s">
        <v>1093</v>
      </c>
      <c r="U26" s="79" t="s">
        <v>3377</v>
      </c>
      <c r="V26" s="79" t="s">
        <v>164</v>
      </c>
      <c r="W26" s="83">
        <v>50</v>
      </c>
      <c r="X26" s="83">
        <v>50</v>
      </c>
      <c r="Y26" s="83">
        <v>0</v>
      </c>
      <c r="Z26" s="79" t="s">
        <v>1094</v>
      </c>
      <c r="AA26" s="35"/>
    </row>
    <row r="27" spans="1:27" ht="55.5" customHeight="1">
      <c r="A27" s="144">
        <v>23</v>
      </c>
      <c r="B27" s="144" t="s">
        <v>925</v>
      </c>
      <c r="C27" s="144" t="s">
        <v>1047</v>
      </c>
      <c r="D27" s="79" t="s">
        <v>1095</v>
      </c>
      <c r="E27" s="79" t="s">
        <v>947</v>
      </c>
      <c r="F27" s="148" t="s">
        <v>1096</v>
      </c>
      <c r="G27" s="79" t="s">
        <v>1097</v>
      </c>
      <c r="H27" s="79" t="s">
        <v>1098</v>
      </c>
      <c r="I27" s="83">
        <v>220</v>
      </c>
      <c r="J27" s="83">
        <v>0</v>
      </c>
      <c r="K27" s="83">
        <v>30</v>
      </c>
      <c r="L27" s="83">
        <v>140</v>
      </c>
      <c r="M27" s="83">
        <v>50</v>
      </c>
      <c r="N27" s="79" t="s">
        <v>3360</v>
      </c>
      <c r="O27" s="79"/>
      <c r="P27" s="79" t="s">
        <v>918</v>
      </c>
      <c r="Q27" s="79"/>
      <c r="R27" s="79" t="s">
        <v>1099</v>
      </c>
      <c r="S27" s="79" t="s">
        <v>920</v>
      </c>
      <c r="T27" s="79" t="s">
        <v>1100</v>
      </c>
      <c r="U27" s="79" t="s">
        <v>3377</v>
      </c>
      <c r="V27" s="79" t="s">
        <v>935</v>
      </c>
      <c r="W27" s="83">
        <v>80</v>
      </c>
      <c r="X27" s="83">
        <v>80</v>
      </c>
      <c r="Y27" s="83">
        <v>0</v>
      </c>
      <c r="Z27" s="79" t="s">
        <v>1101</v>
      </c>
      <c r="AA27" s="35"/>
    </row>
    <row r="28" spans="1:27" ht="58.5" customHeight="1">
      <c r="A28" s="144">
        <v>24</v>
      </c>
      <c r="B28" s="144" t="s">
        <v>925</v>
      </c>
      <c r="C28" s="144" t="s">
        <v>1047</v>
      </c>
      <c r="D28" s="79" t="s">
        <v>1102</v>
      </c>
      <c r="E28" s="79" t="s">
        <v>1103</v>
      </c>
      <c r="F28" s="148" t="s">
        <v>1104</v>
      </c>
      <c r="G28" s="79" t="s">
        <v>1105</v>
      </c>
      <c r="H28" s="79" t="s">
        <v>1106</v>
      </c>
      <c r="I28" s="83">
        <v>82</v>
      </c>
      <c r="J28" s="83">
        <v>0</v>
      </c>
      <c r="K28" s="83">
        <v>25</v>
      </c>
      <c r="L28" s="83">
        <v>25</v>
      </c>
      <c r="M28" s="83">
        <v>32</v>
      </c>
      <c r="N28" s="79" t="s">
        <v>3360</v>
      </c>
      <c r="O28" s="79"/>
      <c r="P28" s="79" t="s">
        <v>918</v>
      </c>
      <c r="Q28" s="79"/>
      <c r="R28" s="79" t="s">
        <v>1107</v>
      </c>
      <c r="S28" s="79" t="s">
        <v>920</v>
      </c>
      <c r="T28" s="79" t="s">
        <v>1108</v>
      </c>
      <c r="U28" s="79" t="s">
        <v>3377</v>
      </c>
      <c r="V28" s="79" t="s">
        <v>935</v>
      </c>
      <c r="W28" s="83">
        <v>30</v>
      </c>
      <c r="X28" s="83">
        <v>30</v>
      </c>
      <c r="Y28" s="83">
        <v>0</v>
      </c>
      <c r="Z28" s="79" t="s">
        <v>1109</v>
      </c>
      <c r="AA28" s="35"/>
    </row>
    <row r="29" spans="1:27" ht="36.75" customHeight="1"/>
    <row r="30" spans="1:27" ht="36.75" customHeight="1"/>
    <row r="31" spans="1:27" ht="36.75" customHeight="1"/>
    <row r="32" spans="1:27" ht="36.75" customHeight="1"/>
    <row r="33" spans="1:26" s="21" customFormat="1" ht="36.75" customHeight="1">
      <c r="A33" s="18"/>
      <c r="B33" s="19" t="s">
        <v>1110</v>
      </c>
      <c r="C33" s="20"/>
      <c r="D33" s="20"/>
      <c r="E33" s="20"/>
      <c r="F33" s="20"/>
      <c r="G33" s="20"/>
      <c r="H33" s="20"/>
      <c r="I33" s="20"/>
      <c r="J33" s="20"/>
      <c r="K33" s="20"/>
      <c r="L33" s="20"/>
      <c r="M33" s="20"/>
      <c r="N33" s="20"/>
      <c r="O33" s="20"/>
      <c r="P33" s="18" t="s">
        <v>951</v>
      </c>
      <c r="Q33" s="18"/>
      <c r="R33" s="18"/>
      <c r="S33" s="20"/>
      <c r="T33" s="20"/>
      <c r="U33" s="18"/>
      <c r="V33" s="20"/>
      <c r="W33" s="20"/>
      <c r="X33" s="20"/>
      <c r="Y33" s="20"/>
      <c r="Z33" s="20"/>
    </row>
    <row r="34" spans="1:26" s="21" customFormat="1" ht="36.75" customHeight="1">
      <c r="A34" s="22"/>
      <c r="B34" s="23" t="s">
        <v>233</v>
      </c>
      <c r="C34" s="24"/>
      <c r="D34" s="24"/>
      <c r="E34" s="24"/>
      <c r="F34" s="24"/>
      <c r="G34" s="24"/>
      <c r="H34" s="24"/>
      <c r="I34" s="24"/>
      <c r="J34" s="24"/>
      <c r="K34" s="24"/>
      <c r="L34" s="24"/>
      <c r="M34" s="24"/>
      <c r="N34" s="24"/>
      <c r="O34" s="24"/>
      <c r="P34" s="22" t="s">
        <v>917</v>
      </c>
      <c r="Q34" s="22"/>
      <c r="R34" s="22"/>
      <c r="S34" s="24"/>
      <c r="T34" s="24"/>
      <c r="U34" s="22"/>
      <c r="V34" s="24"/>
      <c r="W34" s="24"/>
      <c r="X34" s="24"/>
      <c r="Y34" s="24"/>
      <c r="Z34" s="24"/>
    </row>
    <row r="35" spans="1:26" s="21" customFormat="1" ht="36.75" customHeight="1">
      <c r="A35" s="25"/>
      <c r="B35" s="26" t="s">
        <v>1111</v>
      </c>
      <c r="P35" s="25" t="s">
        <v>1112</v>
      </c>
      <c r="Q35" s="25"/>
      <c r="R35" s="25"/>
      <c r="U35" s="25"/>
    </row>
    <row r="36" spans="1:26" s="21" customFormat="1" ht="36.75" customHeight="1">
      <c r="A36" s="25"/>
      <c r="B36" s="26" t="s">
        <v>885</v>
      </c>
      <c r="P36" s="25" t="s">
        <v>1113</v>
      </c>
      <c r="Q36" s="25"/>
      <c r="R36" s="25"/>
      <c r="U36" s="25"/>
    </row>
    <row r="37" spans="1:26" s="21" customFormat="1" ht="36.75" customHeight="1">
      <c r="A37" s="25"/>
      <c r="B37" s="26" t="s">
        <v>1114</v>
      </c>
      <c r="P37" s="25" t="s">
        <v>1115</v>
      </c>
      <c r="Q37" s="25"/>
      <c r="R37" s="25"/>
      <c r="U37" s="25"/>
    </row>
    <row r="38" spans="1:26" s="21" customFormat="1" ht="36.75" customHeight="1">
      <c r="A38" s="25"/>
      <c r="B38" s="26" t="s">
        <v>1116</v>
      </c>
      <c r="P38" s="25" t="s">
        <v>899</v>
      </c>
      <c r="Q38" s="25"/>
      <c r="R38" s="25"/>
      <c r="U38" s="25"/>
    </row>
    <row r="39" spans="1:26" s="21" customFormat="1" ht="26.25" customHeight="1">
      <c r="A39" s="25"/>
      <c r="B39" s="26" t="s">
        <v>1117</v>
      </c>
      <c r="P39" s="25"/>
      <c r="Q39" s="25"/>
      <c r="R39" s="25"/>
      <c r="U39" s="25"/>
    </row>
    <row r="40" spans="1:26" s="21" customFormat="1" ht="26.25" customHeight="1">
      <c r="A40" s="25"/>
      <c r="B40" s="26" t="s">
        <v>1118</v>
      </c>
      <c r="P40" s="25"/>
      <c r="Q40" s="25"/>
      <c r="R40" s="25"/>
      <c r="U40" s="25"/>
    </row>
    <row r="41" spans="1:26" s="21" customFormat="1" ht="26.25" customHeight="1">
      <c r="A41" s="25"/>
      <c r="B41" s="26" t="s">
        <v>1119</v>
      </c>
      <c r="P41" s="25"/>
      <c r="Q41" s="25"/>
      <c r="R41" s="25"/>
      <c r="U41" s="25"/>
    </row>
    <row r="42" spans="1:26" s="21" customFormat="1" ht="26.25" customHeight="1">
      <c r="A42" s="25"/>
      <c r="B42" s="26"/>
      <c r="P42" s="25"/>
      <c r="Q42" s="25"/>
      <c r="R42" s="25"/>
      <c r="U42" s="25"/>
    </row>
    <row r="43" spans="1:26" s="21" customFormat="1" ht="26.25" customHeight="1">
      <c r="A43" s="25"/>
      <c r="B43" s="26"/>
    </row>
    <row r="44" spans="1:26" s="21" customFormat="1" ht="26.25" customHeight="1">
      <c r="A44" s="25"/>
      <c r="B44" s="26"/>
    </row>
    <row r="45" spans="1:26" s="21" customFormat="1" ht="26.25" customHeight="1">
      <c r="A45" s="25"/>
      <c r="B45" s="26"/>
    </row>
    <row r="46" spans="1:26" s="21" customFormat="1" ht="26.25" customHeight="1">
      <c r="A46" s="25"/>
      <c r="B46" s="26"/>
    </row>
    <row r="47" spans="1:26" s="2" customFormat="1" ht="26.25" customHeight="1">
      <c r="A47" s="15"/>
      <c r="B47" s="16"/>
    </row>
    <row r="48" spans="1:26" s="2" customFormat="1" ht="26.25" customHeight="1">
      <c r="A48" s="15"/>
      <c r="B48" s="16"/>
    </row>
    <row r="49" spans="1:3" s="2" customFormat="1" ht="26.25" customHeight="1">
      <c r="A49" s="15"/>
      <c r="B49" s="16"/>
    </row>
    <row r="50" spans="1:3" s="2" customFormat="1" ht="26.25" customHeight="1">
      <c r="A50" s="15"/>
      <c r="B50" s="15"/>
      <c r="C50" s="15"/>
    </row>
    <row r="51" spans="1:3" s="2" customFormat="1" ht="26.25" customHeight="1">
      <c r="A51" s="15"/>
      <c r="B51" s="15"/>
      <c r="C51" s="15"/>
    </row>
    <row r="52" spans="1:3" s="2" customFormat="1" ht="26.25" customHeight="1">
      <c r="A52" s="15"/>
      <c r="B52" s="15"/>
      <c r="C52" s="15"/>
    </row>
    <row r="53" spans="1:3" s="2" customFormat="1" ht="26.25" customHeight="1">
      <c r="A53" s="15"/>
      <c r="B53" s="15"/>
      <c r="C53" s="15"/>
    </row>
    <row r="54" spans="1:3" s="2" customFormat="1" ht="26.25" customHeight="1">
      <c r="A54" s="15"/>
      <c r="B54" s="15"/>
      <c r="C54" s="15"/>
    </row>
    <row r="55" spans="1:3" s="2" customFormat="1" ht="26.25" customHeight="1">
      <c r="A55" s="15"/>
      <c r="B55" s="15"/>
      <c r="C55" s="15"/>
    </row>
    <row r="56" spans="1:3" s="2" customFormat="1" ht="26.25" customHeight="1">
      <c r="A56" s="15"/>
      <c r="B56" s="15"/>
      <c r="C56" s="15"/>
    </row>
    <row r="57" spans="1:3" s="2" customFormat="1" ht="26.25" customHeight="1">
      <c r="A57" s="15"/>
      <c r="B57" s="15"/>
      <c r="C57" s="15"/>
    </row>
    <row r="58" spans="1:3" s="2" customFormat="1" ht="26.25" customHeight="1">
      <c r="A58" s="15"/>
      <c r="B58" s="15"/>
      <c r="C58" s="15"/>
    </row>
    <row r="59" spans="1:3" s="2" customFormat="1" ht="26.25" customHeight="1">
      <c r="A59" s="15"/>
      <c r="B59" s="15"/>
      <c r="C59" s="15"/>
    </row>
    <row r="60" spans="1:3" s="2" customFormat="1" ht="26.25" customHeight="1">
      <c r="A60" s="15"/>
      <c r="B60" s="15"/>
      <c r="C60" s="15"/>
    </row>
    <row r="61" spans="1:3" s="2" customFormat="1" ht="26.25" customHeight="1">
      <c r="A61" s="15"/>
      <c r="B61" s="15"/>
      <c r="C61" s="15"/>
    </row>
    <row r="62" spans="1:3" s="2" customFormat="1" ht="26.25" customHeight="1">
      <c r="A62" s="15"/>
      <c r="B62" s="15"/>
      <c r="C62" s="15"/>
    </row>
    <row r="63" spans="1:3" s="2" customFormat="1" ht="26.25" customHeight="1">
      <c r="A63" s="15"/>
      <c r="B63" s="15"/>
      <c r="C63" s="15"/>
    </row>
    <row r="64" spans="1:3" s="2" customFormat="1" ht="26.25" customHeight="1">
      <c r="A64" s="15"/>
      <c r="B64" s="15"/>
      <c r="C64" s="15"/>
    </row>
    <row r="65" spans="1:3" s="2" customFormat="1" ht="26.25" customHeight="1">
      <c r="A65" s="15"/>
      <c r="B65" s="15"/>
      <c r="C65" s="15"/>
    </row>
    <row r="66" spans="1:3" s="2" customFormat="1" ht="26.25" customHeight="1">
      <c r="A66" s="15"/>
      <c r="B66" s="15"/>
      <c r="C66" s="15"/>
    </row>
    <row r="67" spans="1:3" s="2" customFormat="1" ht="26.25" customHeight="1">
      <c r="A67" s="15"/>
      <c r="B67" s="15"/>
      <c r="C67" s="15"/>
    </row>
    <row r="68" spans="1:3" s="2" customFormat="1" ht="26.25" customHeight="1">
      <c r="A68" s="15"/>
      <c r="B68" s="15"/>
      <c r="C68" s="15"/>
    </row>
  </sheetData>
  <autoFilter ref="A4:Y28"/>
  <mergeCells count="5">
    <mergeCell ref="A1:Y2"/>
    <mergeCell ref="I3:M3"/>
    <mergeCell ref="N3:O3"/>
    <mergeCell ref="W3:Y3"/>
    <mergeCell ref="A3:E3"/>
  </mergeCells>
  <phoneticPr fontId="5" type="noConversion"/>
  <dataValidations count="11">
    <dataValidation type="list" allowBlank="1" showInputMessage="1" showErrorMessage="1" sqref="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formula1>$B$33:$B$49</formula1>
    </dataValidation>
    <dataValidation type="list" allowBlank="1" showInputMessage="1" showErrorMessage="1" sqref="P5 JL5 TH5 ADD5 AMZ5 AWV5 BGR5 BQN5 CAJ5 CKF5 CUB5 DDX5 DNT5 DXP5 EHL5 ERH5 FBD5 FKZ5 FUV5 GER5 GON5 GYJ5 HIF5 HSB5 IBX5 ILT5 IVP5 JFL5 JPH5 JZD5 KIZ5 KSV5 LCR5 LMN5 LWJ5 MGF5 MQB5 MZX5 NJT5 NTP5 ODL5 ONH5 OXD5 PGZ5 PQV5 QAR5 QKN5 QUJ5 REF5 ROB5 RXX5 SHT5 SRP5 TBL5 TLH5 TVD5 UEZ5 UOV5 UYR5 VIN5 VSJ5 WCF5 WMB5 WVX5 P65541 JL65541 TH65541 ADD65541 AMZ65541 AWV65541 BGR65541 BQN65541 CAJ65541 CKF65541 CUB65541 DDX65541 DNT65541 DXP65541 EHL65541 ERH65541 FBD65541 FKZ65541 FUV65541 GER65541 GON65541 GYJ65541 HIF65541 HSB65541 IBX65541 ILT65541 IVP65541 JFL65541 JPH65541 JZD65541 KIZ65541 KSV65541 LCR65541 LMN65541 LWJ65541 MGF65541 MQB65541 MZX65541 NJT65541 NTP65541 ODL65541 ONH65541 OXD65541 PGZ65541 PQV65541 QAR65541 QKN65541 QUJ65541 REF65541 ROB65541 RXX65541 SHT65541 SRP65541 TBL65541 TLH65541 TVD65541 UEZ65541 UOV65541 UYR65541 VIN65541 VSJ65541 WCF65541 WMB65541 WVX65541 P131077 JL131077 TH131077 ADD131077 AMZ131077 AWV131077 BGR131077 BQN131077 CAJ131077 CKF131077 CUB131077 DDX131077 DNT131077 DXP131077 EHL131077 ERH131077 FBD131077 FKZ131077 FUV131077 GER131077 GON131077 GYJ131077 HIF131077 HSB131077 IBX131077 ILT131077 IVP131077 JFL131077 JPH131077 JZD131077 KIZ131077 KSV131077 LCR131077 LMN131077 LWJ131077 MGF131077 MQB131077 MZX131077 NJT131077 NTP131077 ODL131077 ONH131077 OXD131077 PGZ131077 PQV131077 QAR131077 QKN131077 QUJ131077 REF131077 ROB131077 RXX131077 SHT131077 SRP131077 TBL131077 TLH131077 TVD131077 UEZ131077 UOV131077 UYR131077 VIN131077 VSJ131077 WCF131077 WMB131077 WVX131077 P196613 JL196613 TH196613 ADD196613 AMZ196613 AWV196613 BGR196613 BQN196613 CAJ196613 CKF196613 CUB196613 DDX196613 DNT196613 DXP196613 EHL196613 ERH196613 FBD196613 FKZ196613 FUV196613 GER196613 GON196613 GYJ196613 HIF196613 HSB196613 IBX196613 ILT196613 IVP196613 JFL196613 JPH196613 JZD196613 KIZ196613 KSV196613 LCR196613 LMN196613 LWJ196613 MGF196613 MQB196613 MZX196613 NJT196613 NTP196613 ODL196613 ONH196613 OXD196613 PGZ196613 PQV196613 QAR196613 QKN196613 QUJ196613 REF196613 ROB196613 RXX196613 SHT196613 SRP196613 TBL196613 TLH196613 TVD196613 UEZ196613 UOV196613 UYR196613 VIN196613 VSJ196613 WCF196613 WMB196613 WVX196613 P262149 JL262149 TH262149 ADD262149 AMZ262149 AWV262149 BGR262149 BQN262149 CAJ262149 CKF262149 CUB262149 DDX262149 DNT262149 DXP262149 EHL262149 ERH262149 FBD262149 FKZ262149 FUV262149 GER262149 GON262149 GYJ262149 HIF262149 HSB262149 IBX262149 ILT262149 IVP262149 JFL262149 JPH262149 JZD262149 KIZ262149 KSV262149 LCR262149 LMN262149 LWJ262149 MGF262149 MQB262149 MZX262149 NJT262149 NTP262149 ODL262149 ONH262149 OXD262149 PGZ262149 PQV262149 QAR262149 QKN262149 QUJ262149 REF262149 ROB262149 RXX262149 SHT262149 SRP262149 TBL262149 TLH262149 TVD262149 UEZ262149 UOV262149 UYR262149 VIN262149 VSJ262149 WCF262149 WMB262149 WVX262149 P327685 JL327685 TH327685 ADD327685 AMZ327685 AWV327685 BGR327685 BQN327685 CAJ327685 CKF327685 CUB327685 DDX327685 DNT327685 DXP327685 EHL327685 ERH327685 FBD327685 FKZ327685 FUV327685 GER327685 GON327685 GYJ327685 HIF327685 HSB327685 IBX327685 ILT327685 IVP327685 JFL327685 JPH327685 JZD327685 KIZ327685 KSV327685 LCR327685 LMN327685 LWJ327685 MGF327685 MQB327685 MZX327685 NJT327685 NTP327685 ODL327685 ONH327685 OXD327685 PGZ327685 PQV327685 QAR327685 QKN327685 QUJ327685 REF327685 ROB327685 RXX327685 SHT327685 SRP327685 TBL327685 TLH327685 TVD327685 UEZ327685 UOV327685 UYR327685 VIN327685 VSJ327685 WCF327685 WMB327685 WVX327685 P393221 JL393221 TH393221 ADD393221 AMZ393221 AWV393221 BGR393221 BQN393221 CAJ393221 CKF393221 CUB393221 DDX393221 DNT393221 DXP393221 EHL393221 ERH393221 FBD393221 FKZ393221 FUV393221 GER393221 GON393221 GYJ393221 HIF393221 HSB393221 IBX393221 ILT393221 IVP393221 JFL393221 JPH393221 JZD393221 KIZ393221 KSV393221 LCR393221 LMN393221 LWJ393221 MGF393221 MQB393221 MZX393221 NJT393221 NTP393221 ODL393221 ONH393221 OXD393221 PGZ393221 PQV393221 QAR393221 QKN393221 QUJ393221 REF393221 ROB393221 RXX393221 SHT393221 SRP393221 TBL393221 TLH393221 TVD393221 UEZ393221 UOV393221 UYR393221 VIN393221 VSJ393221 WCF393221 WMB393221 WVX393221 P458757 JL458757 TH458757 ADD458757 AMZ458757 AWV458757 BGR458757 BQN458757 CAJ458757 CKF458757 CUB458757 DDX458757 DNT458757 DXP458757 EHL458757 ERH458757 FBD458757 FKZ458757 FUV458757 GER458757 GON458757 GYJ458757 HIF458757 HSB458757 IBX458757 ILT458757 IVP458757 JFL458757 JPH458757 JZD458757 KIZ458757 KSV458757 LCR458757 LMN458757 LWJ458757 MGF458757 MQB458757 MZX458757 NJT458757 NTP458757 ODL458757 ONH458757 OXD458757 PGZ458757 PQV458757 QAR458757 QKN458757 QUJ458757 REF458757 ROB458757 RXX458757 SHT458757 SRP458757 TBL458757 TLH458757 TVD458757 UEZ458757 UOV458757 UYR458757 VIN458757 VSJ458757 WCF458757 WMB458757 WVX458757 P524293 JL524293 TH524293 ADD524293 AMZ524293 AWV524293 BGR524293 BQN524293 CAJ524293 CKF524293 CUB524293 DDX524293 DNT524293 DXP524293 EHL524293 ERH524293 FBD524293 FKZ524293 FUV524293 GER524293 GON524293 GYJ524293 HIF524293 HSB524293 IBX524293 ILT524293 IVP524293 JFL524293 JPH524293 JZD524293 KIZ524293 KSV524293 LCR524293 LMN524293 LWJ524293 MGF524293 MQB524293 MZX524293 NJT524293 NTP524293 ODL524293 ONH524293 OXD524293 PGZ524293 PQV524293 QAR524293 QKN524293 QUJ524293 REF524293 ROB524293 RXX524293 SHT524293 SRP524293 TBL524293 TLH524293 TVD524293 UEZ524293 UOV524293 UYR524293 VIN524293 VSJ524293 WCF524293 WMB524293 WVX524293 P589829 JL589829 TH589829 ADD589829 AMZ589829 AWV589829 BGR589829 BQN589829 CAJ589829 CKF589829 CUB589829 DDX589829 DNT589829 DXP589829 EHL589829 ERH589829 FBD589829 FKZ589829 FUV589829 GER589829 GON589829 GYJ589829 HIF589829 HSB589829 IBX589829 ILT589829 IVP589829 JFL589829 JPH589829 JZD589829 KIZ589829 KSV589829 LCR589829 LMN589829 LWJ589829 MGF589829 MQB589829 MZX589829 NJT589829 NTP589829 ODL589829 ONH589829 OXD589829 PGZ589829 PQV589829 QAR589829 QKN589829 QUJ589829 REF589829 ROB589829 RXX589829 SHT589829 SRP589829 TBL589829 TLH589829 TVD589829 UEZ589829 UOV589829 UYR589829 VIN589829 VSJ589829 WCF589829 WMB589829 WVX589829 P655365 JL655365 TH655365 ADD655365 AMZ655365 AWV655365 BGR655365 BQN655365 CAJ655365 CKF655365 CUB655365 DDX655365 DNT655365 DXP655365 EHL655365 ERH655365 FBD655365 FKZ655365 FUV655365 GER655365 GON655365 GYJ655365 HIF655365 HSB655365 IBX655365 ILT655365 IVP655365 JFL655365 JPH655365 JZD655365 KIZ655365 KSV655365 LCR655365 LMN655365 LWJ655365 MGF655365 MQB655365 MZX655365 NJT655365 NTP655365 ODL655365 ONH655365 OXD655365 PGZ655365 PQV655365 QAR655365 QKN655365 QUJ655365 REF655365 ROB655365 RXX655365 SHT655365 SRP655365 TBL655365 TLH655365 TVD655365 UEZ655365 UOV655365 UYR655365 VIN655365 VSJ655365 WCF655365 WMB655365 WVX655365 P720901 JL720901 TH720901 ADD720901 AMZ720901 AWV720901 BGR720901 BQN720901 CAJ720901 CKF720901 CUB720901 DDX720901 DNT720901 DXP720901 EHL720901 ERH720901 FBD720901 FKZ720901 FUV720901 GER720901 GON720901 GYJ720901 HIF720901 HSB720901 IBX720901 ILT720901 IVP720901 JFL720901 JPH720901 JZD720901 KIZ720901 KSV720901 LCR720901 LMN720901 LWJ720901 MGF720901 MQB720901 MZX720901 NJT720901 NTP720901 ODL720901 ONH720901 OXD720901 PGZ720901 PQV720901 QAR720901 QKN720901 QUJ720901 REF720901 ROB720901 RXX720901 SHT720901 SRP720901 TBL720901 TLH720901 TVD720901 UEZ720901 UOV720901 UYR720901 VIN720901 VSJ720901 WCF720901 WMB720901 WVX720901 P786437 JL786437 TH786437 ADD786437 AMZ786437 AWV786437 BGR786437 BQN786437 CAJ786437 CKF786437 CUB786437 DDX786437 DNT786437 DXP786437 EHL786437 ERH786437 FBD786437 FKZ786437 FUV786437 GER786437 GON786437 GYJ786437 HIF786437 HSB786437 IBX786437 ILT786437 IVP786437 JFL786437 JPH786437 JZD786437 KIZ786437 KSV786437 LCR786437 LMN786437 LWJ786437 MGF786437 MQB786437 MZX786437 NJT786437 NTP786437 ODL786437 ONH786437 OXD786437 PGZ786437 PQV786437 QAR786437 QKN786437 QUJ786437 REF786437 ROB786437 RXX786437 SHT786437 SRP786437 TBL786437 TLH786437 TVD786437 UEZ786437 UOV786437 UYR786437 VIN786437 VSJ786437 WCF786437 WMB786437 WVX786437 P851973 JL851973 TH851973 ADD851973 AMZ851973 AWV851973 BGR851973 BQN851973 CAJ851973 CKF851973 CUB851973 DDX851973 DNT851973 DXP851973 EHL851973 ERH851973 FBD851973 FKZ851973 FUV851973 GER851973 GON851973 GYJ851973 HIF851973 HSB851973 IBX851973 ILT851973 IVP851973 JFL851973 JPH851973 JZD851973 KIZ851973 KSV851973 LCR851973 LMN851973 LWJ851973 MGF851973 MQB851973 MZX851973 NJT851973 NTP851973 ODL851973 ONH851973 OXD851973 PGZ851973 PQV851973 QAR851973 QKN851973 QUJ851973 REF851973 ROB851973 RXX851973 SHT851973 SRP851973 TBL851973 TLH851973 TVD851973 UEZ851973 UOV851973 UYR851973 VIN851973 VSJ851973 WCF851973 WMB851973 WVX851973 P917509 JL917509 TH917509 ADD917509 AMZ917509 AWV917509 BGR917509 BQN917509 CAJ917509 CKF917509 CUB917509 DDX917509 DNT917509 DXP917509 EHL917509 ERH917509 FBD917509 FKZ917509 FUV917509 GER917509 GON917509 GYJ917509 HIF917509 HSB917509 IBX917509 ILT917509 IVP917509 JFL917509 JPH917509 JZD917509 KIZ917509 KSV917509 LCR917509 LMN917509 LWJ917509 MGF917509 MQB917509 MZX917509 NJT917509 NTP917509 ODL917509 ONH917509 OXD917509 PGZ917509 PQV917509 QAR917509 QKN917509 QUJ917509 REF917509 ROB917509 RXX917509 SHT917509 SRP917509 TBL917509 TLH917509 TVD917509 UEZ917509 UOV917509 UYR917509 VIN917509 VSJ917509 WCF917509 WMB917509 WVX917509 P983045 JL983045 TH983045 ADD983045 AMZ983045 AWV983045 BGR983045 BQN983045 CAJ983045 CKF983045 CUB983045 DDX983045 DNT983045 DXP983045 EHL983045 ERH983045 FBD983045 FKZ983045 FUV983045 GER983045 GON983045 GYJ983045 HIF983045 HSB983045 IBX983045 ILT983045 IVP983045 JFL983045 JPH983045 JZD983045 KIZ983045 KSV983045 LCR983045 LMN983045 LWJ983045 MGF983045 MQB983045 MZX983045 NJT983045 NTP983045 ODL983045 ONH983045 OXD983045 PGZ983045 PQV983045 QAR983045 QKN983045 QUJ983045 REF983045 ROB983045 RXX983045 SHT983045 SRP983045 TBL983045 TLH983045 TVD983045 UEZ983045 UOV983045 UYR983045 VIN983045 VSJ983045 WCF983045 WMB983045 WVX983045">
      <formula1>$P$33:$P$38</formula1>
    </dataValidation>
    <dataValidation type="list" allowBlank="1" showInputMessage="1" showErrorMessage="1" sqref="P7:P10 JL7:JL10 TH7:TH10 ADD7:ADD10 AMZ7:AMZ10 AWV7:AWV10 BGR7:BGR10 BQN7:BQN10 CAJ7:CAJ10 CKF7:CKF10 CUB7:CUB10 DDX7:DDX10 DNT7:DNT10 DXP7:DXP10 EHL7:EHL10 ERH7:ERH10 FBD7:FBD10 FKZ7:FKZ10 FUV7:FUV10 GER7:GER10 GON7:GON10 GYJ7:GYJ10 HIF7:HIF10 HSB7:HSB10 IBX7:IBX10 ILT7:ILT10 IVP7:IVP10 JFL7:JFL10 JPH7:JPH10 JZD7:JZD10 KIZ7:KIZ10 KSV7:KSV10 LCR7:LCR10 LMN7:LMN10 LWJ7:LWJ10 MGF7:MGF10 MQB7:MQB10 MZX7:MZX10 NJT7:NJT10 NTP7:NTP10 ODL7:ODL10 ONH7:ONH10 OXD7:OXD10 PGZ7:PGZ10 PQV7:PQV10 QAR7:QAR10 QKN7:QKN10 QUJ7:QUJ10 REF7:REF10 ROB7:ROB10 RXX7:RXX10 SHT7:SHT10 SRP7:SRP10 TBL7:TBL10 TLH7:TLH10 TVD7:TVD10 UEZ7:UEZ10 UOV7:UOV10 UYR7:UYR10 VIN7:VIN10 VSJ7:VSJ10 WCF7:WCF10 WMB7:WMB10 WVX7:WVX10 P65543:P65546 JL65543:JL65546 TH65543:TH65546 ADD65543:ADD65546 AMZ65543:AMZ65546 AWV65543:AWV65546 BGR65543:BGR65546 BQN65543:BQN65546 CAJ65543:CAJ65546 CKF65543:CKF65546 CUB65543:CUB65546 DDX65543:DDX65546 DNT65543:DNT65546 DXP65543:DXP65546 EHL65543:EHL65546 ERH65543:ERH65546 FBD65543:FBD65546 FKZ65543:FKZ65546 FUV65543:FUV65546 GER65543:GER65546 GON65543:GON65546 GYJ65543:GYJ65546 HIF65543:HIF65546 HSB65543:HSB65546 IBX65543:IBX65546 ILT65543:ILT65546 IVP65543:IVP65546 JFL65543:JFL65546 JPH65543:JPH65546 JZD65543:JZD65546 KIZ65543:KIZ65546 KSV65543:KSV65546 LCR65543:LCR65546 LMN65543:LMN65546 LWJ65543:LWJ65546 MGF65543:MGF65546 MQB65543:MQB65546 MZX65543:MZX65546 NJT65543:NJT65546 NTP65543:NTP65546 ODL65543:ODL65546 ONH65543:ONH65546 OXD65543:OXD65546 PGZ65543:PGZ65546 PQV65543:PQV65546 QAR65543:QAR65546 QKN65543:QKN65546 QUJ65543:QUJ65546 REF65543:REF65546 ROB65543:ROB65546 RXX65543:RXX65546 SHT65543:SHT65546 SRP65543:SRP65546 TBL65543:TBL65546 TLH65543:TLH65546 TVD65543:TVD65546 UEZ65543:UEZ65546 UOV65543:UOV65546 UYR65543:UYR65546 VIN65543:VIN65546 VSJ65543:VSJ65546 WCF65543:WCF65546 WMB65543:WMB65546 WVX65543:WVX65546 P131079:P131082 JL131079:JL131082 TH131079:TH131082 ADD131079:ADD131082 AMZ131079:AMZ131082 AWV131079:AWV131082 BGR131079:BGR131082 BQN131079:BQN131082 CAJ131079:CAJ131082 CKF131079:CKF131082 CUB131079:CUB131082 DDX131079:DDX131082 DNT131079:DNT131082 DXP131079:DXP131082 EHL131079:EHL131082 ERH131079:ERH131082 FBD131079:FBD131082 FKZ131079:FKZ131082 FUV131079:FUV131082 GER131079:GER131082 GON131079:GON131082 GYJ131079:GYJ131082 HIF131079:HIF131082 HSB131079:HSB131082 IBX131079:IBX131082 ILT131079:ILT131082 IVP131079:IVP131082 JFL131079:JFL131082 JPH131079:JPH131082 JZD131079:JZD131082 KIZ131079:KIZ131082 KSV131079:KSV131082 LCR131079:LCR131082 LMN131079:LMN131082 LWJ131079:LWJ131082 MGF131079:MGF131082 MQB131079:MQB131082 MZX131079:MZX131082 NJT131079:NJT131082 NTP131079:NTP131082 ODL131079:ODL131082 ONH131079:ONH131082 OXD131079:OXD131082 PGZ131079:PGZ131082 PQV131079:PQV131082 QAR131079:QAR131082 QKN131079:QKN131082 QUJ131079:QUJ131082 REF131079:REF131082 ROB131079:ROB131082 RXX131079:RXX131082 SHT131079:SHT131082 SRP131079:SRP131082 TBL131079:TBL131082 TLH131079:TLH131082 TVD131079:TVD131082 UEZ131079:UEZ131082 UOV131079:UOV131082 UYR131079:UYR131082 VIN131079:VIN131082 VSJ131079:VSJ131082 WCF131079:WCF131082 WMB131079:WMB131082 WVX131079:WVX131082 P196615:P196618 JL196615:JL196618 TH196615:TH196618 ADD196615:ADD196618 AMZ196615:AMZ196618 AWV196615:AWV196618 BGR196615:BGR196618 BQN196615:BQN196618 CAJ196615:CAJ196618 CKF196615:CKF196618 CUB196615:CUB196618 DDX196615:DDX196618 DNT196615:DNT196618 DXP196615:DXP196618 EHL196615:EHL196618 ERH196615:ERH196618 FBD196615:FBD196618 FKZ196615:FKZ196618 FUV196615:FUV196618 GER196615:GER196618 GON196615:GON196618 GYJ196615:GYJ196618 HIF196615:HIF196618 HSB196615:HSB196618 IBX196615:IBX196618 ILT196615:ILT196618 IVP196615:IVP196618 JFL196615:JFL196618 JPH196615:JPH196618 JZD196615:JZD196618 KIZ196615:KIZ196618 KSV196615:KSV196618 LCR196615:LCR196618 LMN196615:LMN196618 LWJ196615:LWJ196618 MGF196615:MGF196618 MQB196615:MQB196618 MZX196615:MZX196618 NJT196615:NJT196618 NTP196615:NTP196618 ODL196615:ODL196618 ONH196615:ONH196618 OXD196615:OXD196618 PGZ196615:PGZ196618 PQV196615:PQV196618 QAR196615:QAR196618 QKN196615:QKN196618 QUJ196615:QUJ196618 REF196615:REF196618 ROB196615:ROB196618 RXX196615:RXX196618 SHT196615:SHT196618 SRP196615:SRP196618 TBL196615:TBL196618 TLH196615:TLH196618 TVD196615:TVD196618 UEZ196615:UEZ196618 UOV196615:UOV196618 UYR196615:UYR196618 VIN196615:VIN196618 VSJ196615:VSJ196618 WCF196615:WCF196618 WMB196615:WMB196618 WVX196615:WVX196618 P262151:P262154 JL262151:JL262154 TH262151:TH262154 ADD262151:ADD262154 AMZ262151:AMZ262154 AWV262151:AWV262154 BGR262151:BGR262154 BQN262151:BQN262154 CAJ262151:CAJ262154 CKF262151:CKF262154 CUB262151:CUB262154 DDX262151:DDX262154 DNT262151:DNT262154 DXP262151:DXP262154 EHL262151:EHL262154 ERH262151:ERH262154 FBD262151:FBD262154 FKZ262151:FKZ262154 FUV262151:FUV262154 GER262151:GER262154 GON262151:GON262154 GYJ262151:GYJ262154 HIF262151:HIF262154 HSB262151:HSB262154 IBX262151:IBX262154 ILT262151:ILT262154 IVP262151:IVP262154 JFL262151:JFL262154 JPH262151:JPH262154 JZD262151:JZD262154 KIZ262151:KIZ262154 KSV262151:KSV262154 LCR262151:LCR262154 LMN262151:LMN262154 LWJ262151:LWJ262154 MGF262151:MGF262154 MQB262151:MQB262154 MZX262151:MZX262154 NJT262151:NJT262154 NTP262151:NTP262154 ODL262151:ODL262154 ONH262151:ONH262154 OXD262151:OXD262154 PGZ262151:PGZ262154 PQV262151:PQV262154 QAR262151:QAR262154 QKN262151:QKN262154 QUJ262151:QUJ262154 REF262151:REF262154 ROB262151:ROB262154 RXX262151:RXX262154 SHT262151:SHT262154 SRP262151:SRP262154 TBL262151:TBL262154 TLH262151:TLH262154 TVD262151:TVD262154 UEZ262151:UEZ262154 UOV262151:UOV262154 UYR262151:UYR262154 VIN262151:VIN262154 VSJ262151:VSJ262154 WCF262151:WCF262154 WMB262151:WMB262154 WVX262151:WVX262154 P327687:P327690 JL327687:JL327690 TH327687:TH327690 ADD327687:ADD327690 AMZ327687:AMZ327690 AWV327687:AWV327690 BGR327687:BGR327690 BQN327687:BQN327690 CAJ327687:CAJ327690 CKF327687:CKF327690 CUB327687:CUB327690 DDX327687:DDX327690 DNT327687:DNT327690 DXP327687:DXP327690 EHL327687:EHL327690 ERH327687:ERH327690 FBD327687:FBD327690 FKZ327687:FKZ327690 FUV327687:FUV327690 GER327687:GER327690 GON327687:GON327690 GYJ327687:GYJ327690 HIF327687:HIF327690 HSB327687:HSB327690 IBX327687:IBX327690 ILT327687:ILT327690 IVP327687:IVP327690 JFL327687:JFL327690 JPH327687:JPH327690 JZD327687:JZD327690 KIZ327687:KIZ327690 KSV327687:KSV327690 LCR327687:LCR327690 LMN327687:LMN327690 LWJ327687:LWJ327690 MGF327687:MGF327690 MQB327687:MQB327690 MZX327687:MZX327690 NJT327687:NJT327690 NTP327687:NTP327690 ODL327687:ODL327690 ONH327687:ONH327690 OXD327687:OXD327690 PGZ327687:PGZ327690 PQV327687:PQV327690 QAR327687:QAR327690 QKN327687:QKN327690 QUJ327687:QUJ327690 REF327687:REF327690 ROB327687:ROB327690 RXX327687:RXX327690 SHT327687:SHT327690 SRP327687:SRP327690 TBL327687:TBL327690 TLH327687:TLH327690 TVD327687:TVD327690 UEZ327687:UEZ327690 UOV327687:UOV327690 UYR327687:UYR327690 VIN327687:VIN327690 VSJ327687:VSJ327690 WCF327687:WCF327690 WMB327687:WMB327690 WVX327687:WVX327690 P393223:P393226 JL393223:JL393226 TH393223:TH393226 ADD393223:ADD393226 AMZ393223:AMZ393226 AWV393223:AWV393226 BGR393223:BGR393226 BQN393223:BQN393226 CAJ393223:CAJ393226 CKF393223:CKF393226 CUB393223:CUB393226 DDX393223:DDX393226 DNT393223:DNT393226 DXP393223:DXP393226 EHL393223:EHL393226 ERH393223:ERH393226 FBD393223:FBD393226 FKZ393223:FKZ393226 FUV393223:FUV393226 GER393223:GER393226 GON393223:GON393226 GYJ393223:GYJ393226 HIF393223:HIF393226 HSB393223:HSB393226 IBX393223:IBX393226 ILT393223:ILT393226 IVP393223:IVP393226 JFL393223:JFL393226 JPH393223:JPH393226 JZD393223:JZD393226 KIZ393223:KIZ393226 KSV393223:KSV393226 LCR393223:LCR393226 LMN393223:LMN393226 LWJ393223:LWJ393226 MGF393223:MGF393226 MQB393223:MQB393226 MZX393223:MZX393226 NJT393223:NJT393226 NTP393223:NTP393226 ODL393223:ODL393226 ONH393223:ONH393226 OXD393223:OXD393226 PGZ393223:PGZ393226 PQV393223:PQV393226 QAR393223:QAR393226 QKN393223:QKN393226 QUJ393223:QUJ393226 REF393223:REF393226 ROB393223:ROB393226 RXX393223:RXX393226 SHT393223:SHT393226 SRP393223:SRP393226 TBL393223:TBL393226 TLH393223:TLH393226 TVD393223:TVD393226 UEZ393223:UEZ393226 UOV393223:UOV393226 UYR393223:UYR393226 VIN393223:VIN393226 VSJ393223:VSJ393226 WCF393223:WCF393226 WMB393223:WMB393226 WVX393223:WVX393226 P458759:P458762 JL458759:JL458762 TH458759:TH458762 ADD458759:ADD458762 AMZ458759:AMZ458762 AWV458759:AWV458762 BGR458759:BGR458762 BQN458759:BQN458762 CAJ458759:CAJ458762 CKF458759:CKF458762 CUB458759:CUB458762 DDX458759:DDX458762 DNT458759:DNT458762 DXP458759:DXP458762 EHL458759:EHL458762 ERH458759:ERH458762 FBD458759:FBD458762 FKZ458759:FKZ458762 FUV458759:FUV458762 GER458759:GER458762 GON458759:GON458762 GYJ458759:GYJ458762 HIF458759:HIF458762 HSB458759:HSB458762 IBX458759:IBX458762 ILT458759:ILT458762 IVP458759:IVP458762 JFL458759:JFL458762 JPH458759:JPH458762 JZD458759:JZD458762 KIZ458759:KIZ458762 KSV458759:KSV458762 LCR458759:LCR458762 LMN458759:LMN458762 LWJ458759:LWJ458762 MGF458759:MGF458762 MQB458759:MQB458762 MZX458759:MZX458762 NJT458759:NJT458762 NTP458759:NTP458762 ODL458759:ODL458762 ONH458759:ONH458762 OXD458759:OXD458762 PGZ458759:PGZ458762 PQV458759:PQV458762 QAR458759:QAR458762 QKN458759:QKN458762 QUJ458759:QUJ458762 REF458759:REF458762 ROB458759:ROB458762 RXX458759:RXX458762 SHT458759:SHT458762 SRP458759:SRP458762 TBL458759:TBL458762 TLH458759:TLH458762 TVD458759:TVD458762 UEZ458759:UEZ458762 UOV458759:UOV458762 UYR458759:UYR458762 VIN458759:VIN458762 VSJ458759:VSJ458762 WCF458759:WCF458762 WMB458759:WMB458762 WVX458759:WVX458762 P524295:P524298 JL524295:JL524298 TH524295:TH524298 ADD524295:ADD524298 AMZ524295:AMZ524298 AWV524295:AWV524298 BGR524295:BGR524298 BQN524295:BQN524298 CAJ524295:CAJ524298 CKF524295:CKF524298 CUB524295:CUB524298 DDX524295:DDX524298 DNT524295:DNT524298 DXP524295:DXP524298 EHL524295:EHL524298 ERH524295:ERH524298 FBD524295:FBD524298 FKZ524295:FKZ524298 FUV524295:FUV524298 GER524295:GER524298 GON524295:GON524298 GYJ524295:GYJ524298 HIF524295:HIF524298 HSB524295:HSB524298 IBX524295:IBX524298 ILT524295:ILT524298 IVP524295:IVP524298 JFL524295:JFL524298 JPH524295:JPH524298 JZD524295:JZD524298 KIZ524295:KIZ524298 KSV524295:KSV524298 LCR524295:LCR524298 LMN524295:LMN524298 LWJ524295:LWJ524298 MGF524295:MGF524298 MQB524295:MQB524298 MZX524295:MZX524298 NJT524295:NJT524298 NTP524295:NTP524298 ODL524295:ODL524298 ONH524295:ONH524298 OXD524295:OXD524298 PGZ524295:PGZ524298 PQV524295:PQV524298 QAR524295:QAR524298 QKN524295:QKN524298 QUJ524295:QUJ524298 REF524295:REF524298 ROB524295:ROB524298 RXX524295:RXX524298 SHT524295:SHT524298 SRP524295:SRP524298 TBL524295:TBL524298 TLH524295:TLH524298 TVD524295:TVD524298 UEZ524295:UEZ524298 UOV524295:UOV524298 UYR524295:UYR524298 VIN524295:VIN524298 VSJ524295:VSJ524298 WCF524295:WCF524298 WMB524295:WMB524298 WVX524295:WVX524298 P589831:P589834 JL589831:JL589834 TH589831:TH589834 ADD589831:ADD589834 AMZ589831:AMZ589834 AWV589831:AWV589834 BGR589831:BGR589834 BQN589831:BQN589834 CAJ589831:CAJ589834 CKF589831:CKF589834 CUB589831:CUB589834 DDX589831:DDX589834 DNT589831:DNT589834 DXP589831:DXP589834 EHL589831:EHL589834 ERH589831:ERH589834 FBD589831:FBD589834 FKZ589831:FKZ589834 FUV589831:FUV589834 GER589831:GER589834 GON589831:GON589834 GYJ589831:GYJ589834 HIF589831:HIF589834 HSB589831:HSB589834 IBX589831:IBX589834 ILT589831:ILT589834 IVP589831:IVP589834 JFL589831:JFL589834 JPH589831:JPH589834 JZD589831:JZD589834 KIZ589831:KIZ589834 KSV589831:KSV589834 LCR589831:LCR589834 LMN589831:LMN589834 LWJ589831:LWJ589834 MGF589831:MGF589834 MQB589831:MQB589834 MZX589831:MZX589834 NJT589831:NJT589834 NTP589831:NTP589834 ODL589831:ODL589834 ONH589831:ONH589834 OXD589831:OXD589834 PGZ589831:PGZ589834 PQV589831:PQV589834 QAR589831:QAR589834 QKN589831:QKN589834 QUJ589831:QUJ589834 REF589831:REF589834 ROB589831:ROB589834 RXX589831:RXX589834 SHT589831:SHT589834 SRP589831:SRP589834 TBL589831:TBL589834 TLH589831:TLH589834 TVD589831:TVD589834 UEZ589831:UEZ589834 UOV589831:UOV589834 UYR589831:UYR589834 VIN589831:VIN589834 VSJ589831:VSJ589834 WCF589831:WCF589834 WMB589831:WMB589834 WVX589831:WVX589834 P655367:P655370 JL655367:JL655370 TH655367:TH655370 ADD655367:ADD655370 AMZ655367:AMZ655370 AWV655367:AWV655370 BGR655367:BGR655370 BQN655367:BQN655370 CAJ655367:CAJ655370 CKF655367:CKF655370 CUB655367:CUB655370 DDX655367:DDX655370 DNT655367:DNT655370 DXP655367:DXP655370 EHL655367:EHL655370 ERH655367:ERH655370 FBD655367:FBD655370 FKZ655367:FKZ655370 FUV655367:FUV655370 GER655367:GER655370 GON655367:GON655370 GYJ655367:GYJ655370 HIF655367:HIF655370 HSB655367:HSB655370 IBX655367:IBX655370 ILT655367:ILT655370 IVP655367:IVP655370 JFL655367:JFL655370 JPH655367:JPH655370 JZD655367:JZD655370 KIZ655367:KIZ655370 KSV655367:KSV655370 LCR655367:LCR655370 LMN655367:LMN655370 LWJ655367:LWJ655370 MGF655367:MGF655370 MQB655367:MQB655370 MZX655367:MZX655370 NJT655367:NJT655370 NTP655367:NTP655370 ODL655367:ODL655370 ONH655367:ONH655370 OXD655367:OXD655370 PGZ655367:PGZ655370 PQV655367:PQV655370 QAR655367:QAR655370 QKN655367:QKN655370 QUJ655367:QUJ655370 REF655367:REF655370 ROB655367:ROB655370 RXX655367:RXX655370 SHT655367:SHT655370 SRP655367:SRP655370 TBL655367:TBL655370 TLH655367:TLH655370 TVD655367:TVD655370 UEZ655367:UEZ655370 UOV655367:UOV655370 UYR655367:UYR655370 VIN655367:VIN655370 VSJ655367:VSJ655370 WCF655367:WCF655370 WMB655367:WMB655370 WVX655367:WVX655370 P720903:P720906 JL720903:JL720906 TH720903:TH720906 ADD720903:ADD720906 AMZ720903:AMZ720906 AWV720903:AWV720906 BGR720903:BGR720906 BQN720903:BQN720906 CAJ720903:CAJ720906 CKF720903:CKF720906 CUB720903:CUB720906 DDX720903:DDX720906 DNT720903:DNT720906 DXP720903:DXP720906 EHL720903:EHL720906 ERH720903:ERH720906 FBD720903:FBD720906 FKZ720903:FKZ720906 FUV720903:FUV720906 GER720903:GER720906 GON720903:GON720906 GYJ720903:GYJ720906 HIF720903:HIF720906 HSB720903:HSB720906 IBX720903:IBX720906 ILT720903:ILT720906 IVP720903:IVP720906 JFL720903:JFL720906 JPH720903:JPH720906 JZD720903:JZD720906 KIZ720903:KIZ720906 KSV720903:KSV720906 LCR720903:LCR720906 LMN720903:LMN720906 LWJ720903:LWJ720906 MGF720903:MGF720906 MQB720903:MQB720906 MZX720903:MZX720906 NJT720903:NJT720906 NTP720903:NTP720906 ODL720903:ODL720906 ONH720903:ONH720906 OXD720903:OXD720906 PGZ720903:PGZ720906 PQV720903:PQV720906 QAR720903:QAR720906 QKN720903:QKN720906 QUJ720903:QUJ720906 REF720903:REF720906 ROB720903:ROB720906 RXX720903:RXX720906 SHT720903:SHT720906 SRP720903:SRP720906 TBL720903:TBL720906 TLH720903:TLH720906 TVD720903:TVD720906 UEZ720903:UEZ720906 UOV720903:UOV720906 UYR720903:UYR720906 VIN720903:VIN720906 VSJ720903:VSJ720906 WCF720903:WCF720906 WMB720903:WMB720906 WVX720903:WVX720906 P786439:P786442 JL786439:JL786442 TH786439:TH786442 ADD786439:ADD786442 AMZ786439:AMZ786442 AWV786439:AWV786442 BGR786439:BGR786442 BQN786439:BQN786442 CAJ786439:CAJ786442 CKF786439:CKF786442 CUB786439:CUB786442 DDX786439:DDX786442 DNT786439:DNT786442 DXP786439:DXP786442 EHL786439:EHL786442 ERH786439:ERH786442 FBD786439:FBD786442 FKZ786439:FKZ786442 FUV786439:FUV786442 GER786439:GER786442 GON786439:GON786442 GYJ786439:GYJ786442 HIF786439:HIF786442 HSB786439:HSB786442 IBX786439:IBX786442 ILT786439:ILT786442 IVP786439:IVP786442 JFL786439:JFL786442 JPH786439:JPH786442 JZD786439:JZD786442 KIZ786439:KIZ786442 KSV786439:KSV786442 LCR786439:LCR786442 LMN786439:LMN786442 LWJ786439:LWJ786442 MGF786439:MGF786442 MQB786439:MQB786442 MZX786439:MZX786442 NJT786439:NJT786442 NTP786439:NTP786442 ODL786439:ODL786442 ONH786439:ONH786442 OXD786439:OXD786442 PGZ786439:PGZ786442 PQV786439:PQV786442 QAR786439:QAR786442 QKN786439:QKN786442 QUJ786439:QUJ786442 REF786439:REF786442 ROB786439:ROB786442 RXX786439:RXX786442 SHT786439:SHT786442 SRP786439:SRP786442 TBL786439:TBL786442 TLH786439:TLH786442 TVD786439:TVD786442 UEZ786439:UEZ786442 UOV786439:UOV786442 UYR786439:UYR786442 VIN786439:VIN786442 VSJ786439:VSJ786442 WCF786439:WCF786442 WMB786439:WMB786442 WVX786439:WVX786442 P851975:P851978 JL851975:JL851978 TH851975:TH851978 ADD851975:ADD851978 AMZ851975:AMZ851978 AWV851975:AWV851978 BGR851975:BGR851978 BQN851975:BQN851978 CAJ851975:CAJ851978 CKF851975:CKF851978 CUB851975:CUB851978 DDX851975:DDX851978 DNT851975:DNT851978 DXP851975:DXP851978 EHL851975:EHL851978 ERH851975:ERH851978 FBD851975:FBD851978 FKZ851975:FKZ851978 FUV851975:FUV851978 GER851975:GER851978 GON851975:GON851978 GYJ851975:GYJ851978 HIF851975:HIF851978 HSB851975:HSB851978 IBX851975:IBX851978 ILT851975:ILT851978 IVP851975:IVP851978 JFL851975:JFL851978 JPH851975:JPH851978 JZD851975:JZD851978 KIZ851975:KIZ851978 KSV851975:KSV851978 LCR851975:LCR851978 LMN851975:LMN851978 LWJ851975:LWJ851978 MGF851975:MGF851978 MQB851975:MQB851978 MZX851975:MZX851978 NJT851975:NJT851978 NTP851975:NTP851978 ODL851975:ODL851978 ONH851975:ONH851978 OXD851975:OXD851978 PGZ851975:PGZ851978 PQV851975:PQV851978 QAR851975:QAR851978 QKN851975:QKN851978 QUJ851975:QUJ851978 REF851975:REF851978 ROB851975:ROB851978 RXX851975:RXX851978 SHT851975:SHT851978 SRP851975:SRP851978 TBL851975:TBL851978 TLH851975:TLH851978 TVD851975:TVD851978 UEZ851975:UEZ851978 UOV851975:UOV851978 UYR851975:UYR851978 VIN851975:VIN851978 VSJ851975:VSJ851978 WCF851975:WCF851978 WMB851975:WMB851978 WVX851975:WVX851978 P917511:P917514 JL917511:JL917514 TH917511:TH917514 ADD917511:ADD917514 AMZ917511:AMZ917514 AWV917511:AWV917514 BGR917511:BGR917514 BQN917511:BQN917514 CAJ917511:CAJ917514 CKF917511:CKF917514 CUB917511:CUB917514 DDX917511:DDX917514 DNT917511:DNT917514 DXP917511:DXP917514 EHL917511:EHL917514 ERH917511:ERH917514 FBD917511:FBD917514 FKZ917511:FKZ917514 FUV917511:FUV917514 GER917511:GER917514 GON917511:GON917514 GYJ917511:GYJ917514 HIF917511:HIF917514 HSB917511:HSB917514 IBX917511:IBX917514 ILT917511:ILT917514 IVP917511:IVP917514 JFL917511:JFL917514 JPH917511:JPH917514 JZD917511:JZD917514 KIZ917511:KIZ917514 KSV917511:KSV917514 LCR917511:LCR917514 LMN917511:LMN917514 LWJ917511:LWJ917514 MGF917511:MGF917514 MQB917511:MQB917514 MZX917511:MZX917514 NJT917511:NJT917514 NTP917511:NTP917514 ODL917511:ODL917514 ONH917511:ONH917514 OXD917511:OXD917514 PGZ917511:PGZ917514 PQV917511:PQV917514 QAR917511:QAR917514 QKN917511:QKN917514 QUJ917511:QUJ917514 REF917511:REF917514 ROB917511:ROB917514 RXX917511:RXX917514 SHT917511:SHT917514 SRP917511:SRP917514 TBL917511:TBL917514 TLH917511:TLH917514 TVD917511:TVD917514 UEZ917511:UEZ917514 UOV917511:UOV917514 UYR917511:UYR917514 VIN917511:VIN917514 VSJ917511:VSJ917514 WCF917511:WCF917514 WMB917511:WMB917514 WVX917511:WVX917514 P983047:P983050 JL983047:JL983050 TH983047:TH983050 ADD983047:ADD983050 AMZ983047:AMZ983050 AWV983047:AWV983050 BGR983047:BGR983050 BQN983047:BQN983050 CAJ983047:CAJ983050 CKF983047:CKF983050 CUB983047:CUB983050 DDX983047:DDX983050 DNT983047:DNT983050 DXP983047:DXP983050 EHL983047:EHL983050 ERH983047:ERH983050 FBD983047:FBD983050 FKZ983047:FKZ983050 FUV983047:FUV983050 GER983047:GER983050 GON983047:GON983050 GYJ983047:GYJ983050 HIF983047:HIF983050 HSB983047:HSB983050 IBX983047:IBX983050 ILT983047:ILT983050 IVP983047:IVP983050 JFL983047:JFL983050 JPH983047:JPH983050 JZD983047:JZD983050 KIZ983047:KIZ983050 KSV983047:KSV983050 LCR983047:LCR983050 LMN983047:LMN983050 LWJ983047:LWJ983050 MGF983047:MGF983050 MQB983047:MQB983050 MZX983047:MZX983050 NJT983047:NJT983050 NTP983047:NTP983050 ODL983047:ODL983050 ONH983047:ONH983050 OXD983047:OXD983050 PGZ983047:PGZ983050 PQV983047:PQV983050 QAR983047:QAR983050 QKN983047:QKN983050 QUJ983047:QUJ983050 REF983047:REF983050 ROB983047:ROB983050 RXX983047:RXX983050 SHT983047:SHT983050 SRP983047:SRP983050 TBL983047:TBL983050 TLH983047:TLH983050 TVD983047:TVD983050 UEZ983047:UEZ983050 UOV983047:UOV983050 UYR983047:UYR983050 VIN983047:VIN983050 VSJ983047:VSJ983050 WCF983047:WCF983050 WMB983047:WMB983050 WVX983047:WVX983050">
      <formula1>$P$11:$P$21</formula1>
    </dataValidation>
    <dataValidation type="list" allowBlank="1" showInputMessage="1" showErrorMessage="1" sqref="B7:B10 IX7:IX10 ST7:ST10 ACP7:ACP10 AML7:AML10 AWH7:AWH10 BGD7:BGD10 BPZ7:BPZ10 BZV7:BZV10 CJR7:CJR10 CTN7:CTN10 DDJ7:DDJ10 DNF7:DNF10 DXB7:DXB10 EGX7:EGX10 EQT7:EQT10 FAP7:FAP10 FKL7:FKL10 FUH7:FUH10 GED7:GED10 GNZ7:GNZ10 GXV7:GXV10 HHR7:HHR10 HRN7:HRN10 IBJ7:IBJ10 ILF7:ILF10 IVB7:IVB10 JEX7:JEX10 JOT7:JOT10 JYP7:JYP10 KIL7:KIL10 KSH7:KSH10 LCD7:LCD10 LLZ7:LLZ10 LVV7:LVV10 MFR7:MFR10 MPN7:MPN10 MZJ7:MZJ10 NJF7:NJF10 NTB7:NTB10 OCX7:OCX10 OMT7:OMT10 OWP7:OWP10 PGL7:PGL10 PQH7:PQH10 QAD7:QAD10 QJZ7:QJZ10 QTV7:QTV10 RDR7:RDR10 RNN7:RNN10 RXJ7:RXJ10 SHF7:SHF10 SRB7:SRB10 TAX7:TAX10 TKT7:TKT10 TUP7:TUP10 UEL7:UEL10 UOH7:UOH10 UYD7:UYD10 VHZ7:VHZ10 VRV7:VRV10 WBR7:WBR10 WLN7:WLN10 WVJ7:WVJ10 B65543:B65546 IX65543:IX65546 ST65543:ST65546 ACP65543:ACP65546 AML65543:AML65546 AWH65543:AWH65546 BGD65543:BGD65546 BPZ65543:BPZ65546 BZV65543:BZV65546 CJR65543:CJR65546 CTN65543:CTN65546 DDJ65543:DDJ65546 DNF65543:DNF65546 DXB65543:DXB65546 EGX65543:EGX65546 EQT65543:EQT65546 FAP65543:FAP65546 FKL65543:FKL65546 FUH65543:FUH65546 GED65543:GED65546 GNZ65543:GNZ65546 GXV65543:GXV65546 HHR65543:HHR65546 HRN65543:HRN65546 IBJ65543:IBJ65546 ILF65543:ILF65546 IVB65543:IVB65546 JEX65543:JEX65546 JOT65543:JOT65546 JYP65543:JYP65546 KIL65543:KIL65546 KSH65543:KSH65546 LCD65543:LCD65546 LLZ65543:LLZ65546 LVV65543:LVV65546 MFR65543:MFR65546 MPN65543:MPN65546 MZJ65543:MZJ65546 NJF65543:NJF65546 NTB65543:NTB65546 OCX65543:OCX65546 OMT65543:OMT65546 OWP65543:OWP65546 PGL65543:PGL65546 PQH65543:PQH65546 QAD65543:QAD65546 QJZ65543:QJZ65546 QTV65543:QTV65546 RDR65543:RDR65546 RNN65543:RNN65546 RXJ65543:RXJ65546 SHF65543:SHF65546 SRB65543:SRB65546 TAX65543:TAX65546 TKT65543:TKT65546 TUP65543:TUP65546 UEL65543:UEL65546 UOH65543:UOH65546 UYD65543:UYD65546 VHZ65543:VHZ65546 VRV65543:VRV65546 WBR65543:WBR65546 WLN65543:WLN65546 WVJ65543:WVJ65546 B131079:B131082 IX131079:IX131082 ST131079:ST131082 ACP131079:ACP131082 AML131079:AML131082 AWH131079:AWH131082 BGD131079:BGD131082 BPZ131079:BPZ131082 BZV131079:BZV131082 CJR131079:CJR131082 CTN131079:CTN131082 DDJ131079:DDJ131082 DNF131079:DNF131082 DXB131079:DXB131082 EGX131079:EGX131082 EQT131079:EQT131082 FAP131079:FAP131082 FKL131079:FKL131082 FUH131079:FUH131082 GED131079:GED131082 GNZ131079:GNZ131082 GXV131079:GXV131082 HHR131079:HHR131082 HRN131079:HRN131082 IBJ131079:IBJ131082 ILF131079:ILF131082 IVB131079:IVB131082 JEX131079:JEX131082 JOT131079:JOT131082 JYP131079:JYP131082 KIL131079:KIL131082 KSH131079:KSH131082 LCD131079:LCD131082 LLZ131079:LLZ131082 LVV131079:LVV131082 MFR131079:MFR131082 MPN131079:MPN131082 MZJ131079:MZJ131082 NJF131079:NJF131082 NTB131079:NTB131082 OCX131079:OCX131082 OMT131079:OMT131082 OWP131079:OWP131082 PGL131079:PGL131082 PQH131079:PQH131082 QAD131079:QAD131082 QJZ131079:QJZ131082 QTV131079:QTV131082 RDR131079:RDR131082 RNN131079:RNN131082 RXJ131079:RXJ131082 SHF131079:SHF131082 SRB131079:SRB131082 TAX131079:TAX131082 TKT131079:TKT131082 TUP131079:TUP131082 UEL131079:UEL131082 UOH131079:UOH131082 UYD131079:UYD131082 VHZ131079:VHZ131082 VRV131079:VRV131082 WBR131079:WBR131082 WLN131079:WLN131082 WVJ131079:WVJ131082 B196615:B196618 IX196615:IX196618 ST196615:ST196618 ACP196615:ACP196618 AML196615:AML196618 AWH196615:AWH196618 BGD196615:BGD196618 BPZ196615:BPZ196618 BZV196615:BZV196618 CJR196615:CJR196618 CTN196615:CTN196618 DDJ196615:DDJ196618 DNF196615:DNF196618 DXB196615:DXB196618 EGX196615:EGX196618 EQT196615:EQT196618 FAP196615:FAP196618 FKL196615:FKL196618 FUH196615:FUH196618 GED196615:GED196618 GNZ196615:GNZ196618 GXV196615:GXV196618 HHR196615:HHR196618 HRN196615:HRN196618 IBJ196615:IBJ196618 ILF196615:ILF196618 IVB196615:IVB196618 JEX196615:JEX196618 JOT196615:JOT196618 JYP196615:JYP196618 KIL196615:KIL196618 KSH196615:KSH196618 LCD196615:LCD196618 LLZ196615:LLZ196618 LVV196615:LVV196618 MFR196615:MFR196618 MPN196615:MPN196618 MZJ196615:MZJ196618 NJF196615:NJF196618 NTB196615:NTB196618 OCX196615:OCX196618 OMT196615:OMT196618 OWP196615:OWP196618 PGL196615:PGL196618 PQH196615:PQH196618 QAD196615:QAD196618 QJZ196615:QJZ196618 QTV196615:QTV196618 RDR196615:RDR196618 RNN196615:RNN196618 RXJ196615:RXJ196618 SHF196615:SHF196618 SRB196615:SRB196618 TAX196615:TAX196618 TKT196615:TKT196618 TUP196615:TUP196618 UEL196615:UEL196618 UOH196615:UOH196618 UYD196615:UYD196618 VHZ196615:VHZ196618 VRV196615:VRV196618 WBR196615:WBR196618 WLN196615:WLN196618 WVJ196615:WVJ196618 B262151:B262154 IX262151:IX262154 ST262151:ST262154 ACP262151:ACP262154 AML262151:AML262154 AWH262151:AWH262154 BGD262151:BGD262154 BPZ262151:BPZ262154 BZV262151:BZV262154 CJR262151:CJR262154 CTN262151:CTN262154 DDJ262151:DDJ262154 DNF262151:DNF262154 DXB262151:DXB262154 EGX262151:EGX262154 EQT262151:EQT262154 FAP262151:FAP262154 FKL262151:FKL262154 FUH262151:FUH262154 GED262151:GED262154 GNZ262151:GNZ262154 GXV262151:GXV262154 HHR262151:HHR262154 HRN262151:HRN262154 IBJ262151:IBJ262154 ILF262151:ILF262154 IVB262151:IVB262154 JEX262151:JEX262154 JOT262151:JOT262154 JYP262151:JYP262154 KIL262151:KIL262154 KSH262151:KSH262154 LCD262151:LCD262154 LLZ262151:LLZ262154 LVV262151:LVV262154 MFR262151:MFR262154 MPN262151:MPN262154 MZJ262151:MZJ262154 NJF262151:NJF262154 NTB262151:NTB262154 OCX262151:OCX262154 OMT262151:OMT262154 OWP262151:OWP262154 PGL262151:PGL262154 PQH262151:PQH262154 QAD262151:QAD262154 QJZ262151:QJZ262154 QTV262151:QTV262154 RDR262151:RDR262154 RNN262151:RNN262154 RXJ262151:RXJ262154 SHF262151:SHF262154 SRB262151:SRB262154 TAX262151:TAX262154 TKT262151:TKT262154 TUP262151:TUP262154 UEL262151:UEL262154 UOH262151:UOH262154 UYD262151:UYD262154 VHZ262151:VHZ262154 VRV262151:VRV262154 WBR262151:WBR262154 WLN262151:WLN262154 WVJ262151:WVJ262154 B327687:B327690 IX327687:IX327690 ST327687:ST327690 ACP327687:ACP327690 AML327687:AML327690 AWH327687:AWH327690 BGD327687:BGD327690 BPZ327687:BPZ327690 BZV327687:BZV327690 CJR327687:CJR327690 CTN327687:CTN327690 DDJ327687:DDJ327690 DNF327687:DNF327690 DXB327687:DXB327690 EGX327687:EGX327690 EQT327687:EQT327690 FAP327687:FAP327690 FKL327687:FKL327690 FUH327687:FUH327690 GED327687:GED327690 GNZ327687:GNZ327690 GXV327687:GXV327690 HHR327687:HHR327690 HRN327687:HRN327690 IBJ327687:IBJ327690 ILF327687:ILF327690 IVB327687:IVB327690 JEX327687:JEX327690 JOT327687:JOT327690 JYP327687:JYP327690 KIL327687:KIL327690 KSH327687:KSH327690 LCD327687:LCD327690 LLZ327687:LLZ327690 LVV327687:LVV327690 MFR327687:MFR327690 MPN327687:MPN327690 MZJ327687:MZJ327690 NJF327687:NJF327690 NTB327687:NTB327690 OCX327687:OCX327690 OMT327687:OMT327690 OWP327687:OWP327690 PGL327687:PGL327690 PQH327687:PQH327690 QAD327687:QAD327690 QJZ327687:QJZ327690 QTV327687:QTV327690 RDR327687:RDR327690 RNN327687:RNN327690 RXJ327687:RXJ327690 SHF327687:SHF327690 SRB327687:SRB327690 TAX327687:TAX327690 TKT327687:TKT327690 TUP327687:TUP327690 UEL327687:UEL327690 UOH327687:UOH327690 UYD327687:UYD327690 VHZ327687:VHZ327690 VRV327687:VRV327690 WBR327687:WBR327690 WLN327687:WLN327690 WVJ327687:WVJ327690 B393223:B393226 IX393223:IX393226 ST393223:ST393226 ACP393223:ACP393226 AML393223:AML393226 AWH393223:AWH393226 BGD393223:BGD393226 BPZ393223:BPZ393226 BZV393223:BZV393226 CJR393223:CJR393226 CTN393223:CTN393226 DDJ393223:DDJ393226 DNF393223:DNF393226 DXB393223:DXB393226 EGX393223:EGX393226 EQT393223:EQT393226 FAP393223:FAP393226 FKL393223:FKL393226 FUH393223:FUH393226 GED393223:GED393226 GNZ393223:GNZ393226 GXV393223:GXV393226 HHR393223:HHR393226 HRN393223:HRN393226 IBJ393223:IBJ393226 ILF393223:ILF393226 IVB393223:IVB393226 JEX393223:JEX393226 JOT393223:JOT393226 JYP393223:JYP393226 KIL393223:KIL393226 KSH393223:KSH393226 LCD393223:LCD393226 LLZ393223:LLZ393226 LVV393223:LVV393226 MFR393223:MFR393226 MPN393223:MPN393226 MZJ393223:MZJ393226 NJF393223:NJF393226 NTB393223:NTB393226 OCX393223:OCX393226 OMT393223:OMT393226 OWP393223:OWP393226 PGL393223:PGL393226 PQH393223:PQH393226 QAD393223:QAD393226 QJZ393223:QJZ393226 QTV393223:QTV393226 RDR393223:RDR393226 RNN393223:RNN393226 RXJ393223:RXJ393226 SHF393223:SHF393226 SRB393223:SRB393226 TAX393223:TAX393226 TKT393223:TKT393226 TUP393223:TUP393226 UEL393223:UEL393226 UOH393223:UOH393226 UYD393223:UYD393226 VHZ393223:VHZ393226 VRV393223:VRV393226 WBR393223:WBR393226 WLN393223:WLN393226 WVJ393223:WVJ393226 B458759:B458762 IX458759:IX458762 ST458759:ST458762 ACP458759:ACP458762 AML458759:AML458762 AWH458759:AWH458762 BGD458759:BGD458762 BPZ458759:BPZ458762 BZV458759:BZV458762 CJR458759:CJR458762 CTN458759:CTN458762 DDJ458759:DDJ458762 DNF458759:DNF458762 DXB458759:DXB458762 EGX458759:EGX458762 EQT458759:EQT458762 FAP458759:FAP458762 FKL458759:FKL458762 FUH458759:FUH458762 GED458759:GED458762 GNZ458759:GNZ458762 GXV458759:GXV458762 HHR458759:HHR458762 HRN458759:HRN458762 IBJ458759:IBJ458762 ILF458759:ILF458762 IVB458759:IVB458762 JEX458759:JEX458762 JOT458759:JOT458762 JYP458759:JYP458762 KIL458759:KIL458762 KSH458759:KSH458762 LCD458759:LCD458762 LLZ458759:LLZ458762 LVV458759:LVV458762 MFR458759:MFR458762 MPN458759:MPN458762 MZJ458759:MZJ458762 NJF458759:NJF458762 NTB458759:NTB458762 OCX458759:OCX458762 OMT458759:OMT458762 OWP458759:OWP458762 PGL458759:PGL458762 PQH458759:PQH458762 QAD458759:QAD458762 QJZ458759:QJZ458762 QTV458759:QTV458762 RDR458759:RDR458762 RNN458759:RNN458762 RXJ458759:RXJ458762 SHF458759:SHF458762 SRB458759:SRB458762 TAX458759:TAX458762 TKT458759:TKT458762 TUP458759:TUP458762 UEL458759:UEL458762 UOH458759:UOH458762 UYD458759:UYD458762 VHZ458759:VHZ458762 VRV458759:VRV458762 WBR458759:WBR458762 WLN458759:WLN458762 WVJ458759:WVJ458762 B524295:B524298 IX524295:IX524298 ST524295:ST524298 ACP524295:ACP524298 AML524295:AML524298 AWH524295:AWH524298 BGD524295:BGD524298 BPZ524295:BPZ524298 BZV524295:BZV524298 CJR524295:CJR524298 CTN524295:CTN524298 DDJ524295:DDJ524298 DNF524295:DNF524298 DXB524295:DXB524298 EGX524295:EGX524298 EQT524295:EQT524298 FAP524295:FAP524298 FKL524295:FKL524298 FUH524295:FUH524298 GED524295:GED524298 GNZ524295:GNZ524298 GXV524295:GXV524298 HHR524295:HHR524298 HRN524295:HRN524298 IBJ524295:IBJ524298 ILF524295:ILF524298 IVB524295:IVB524298 JEX524295:JEX524298 JOT524295:JOT524298 JYP524295:JYP524298 KIL524295:KIL524298 KSH524295:KSH524298 LCD524295:LCD524298 LLZ524295:LLZ524298 LVV524295:LVV524298 MFR524295:MFR524298 MPN524295:MPN524298 MZJ524295:MZJ524298 NJF524295:NJF524298 NTB524295:NTB524298 OCX524295:OCX524298 OMT524295:OMT524298 OWP524295:OWP524298 PGL524295:PGL524298 PQH524295:PQH524298 QAD524295:QAD524298 QJZ524295:QJZ524298 QTV524295:QTV524298 RDR524295:RDR524298 RNN524295:RNN524298 RXJ524295:RXJ524298 SHF524295:SHF524298 SRB524295:SRB524298 TAX524295:TAX524298 TKT524295:TKT524298 TUP524295:TUP524298 UEL524295:UEL524298 UOH524295:UOH524298 UYD524295:UYD524298 VHZ524295:VHZ524298 VRV524295:VRV524298 WBR524295:WBR524298 WLN524295:WLN524298 WVJ524295:WVJ524298 B589831:B589834 IX589831:IX589834 ST589831:ST589834 ACP589831:ACP589834 AML589831:AML589834 AWH589831:AWH589834 BGD589831:BGD589834 BPZ589831:BPZ589834 BZV589831:BZV589834 CJR589831:CJR589834 CTN589831:CTN589834 DDJ589831:DDJ589834 DNF589831:DNF589834 DXB589831:DXB589834 EGX589831:EGX589834 EQT589831:EQT589834 FAP589831:FAP589834 FKL589831:FKL589834 FUH589831:FUH589834 GED589831:GED589834 GNZ589831:GNZ589834 GXV589831:GXV589834 HHR589831:HHR589834 HRN589831:HRN589834 IBJ589831:IBJ589834 ILF589831:ILF589834 IVB589831:IVB589834 JEX589831:JEX589834 JOT589831:JOT589834 JYP589831:JYP589834 KIL589831:KIL589834 KSH589831:KSH589834 LCD589831:LCD589834 LLZ589831:LLZ589834 LVV589831:LVV589834 MFR589831:MFR589834 MPN589831:MPN589834 MZJ589831:MZJ589834 NJF589831:NJF589834 NTB589831:NTB589834 OCX589831:OCX589834 OMT589831:OMT589834 OWP589831:OWP589834 PGL589831:PGL589834 PQH589831:PQH589834 QAD589831:QAD589834 QJZ589831:QJZ589834 QTV589831:QTV589834 RDR589831:RDR589834 RNN589831:RNN589834 RXJ589831:RXJ589834 SHF589831:SHF589834 SRB589831:SRB589834 TAX589831:TAX589834 TKT589831:TKT589834 TUP589831:TUP589834 UEL589831:UEL589834 UOH589831:UOH589834 UYD589831:UYD589834 VHZ589831:VHZ589834 VRV589831:VRV589834 WBR589831:WBR589834 WLN589831:WLN589834 WVJ589831:WVJ589834 B655367:B655370 IX655367:IX655370 ST655367:ST655370 ACP655367:ACP655370 AML655367:AML655370 AWH655367:AWH655370 BGD655367:BGD655370 BPZ655367:BPZ655370 BZV655367:BZV655370 CJR655367:CJR655370 CTN655367:CTN655370 DDJ655367:DDJ655370 DNF655367:DNF655370 DXB655367:DXB655370 EGX655367:EGX655370 EQT655367:EQT655370 FAP655367:FAP655370 FKL655367:FKL655370 FUH655367:FUH655370 GED655367:GED655370 GNZ655367:GNZ655370 GXV655367:GXV655370 HHR655367:HHR655370 HRN655367:HRN655370 IBJ655367:IBJ655370 ILF655367:ILF655370 IVB655367:IVB655370 JEX655367:JEX655370 JOT655367:JOT655370 JYP655367:JYP655370 KIL655367:KIL655370 KSH655367:KSH655370 LCD655367:LCD655370 LLZ655367:LLZ655370 LVV655367:LVV655370 MFR655367:MFR655370 MPN655367:MPN655370 MZJ655367:MZJ655370 NJF655367:NJF655370 NTB655367:NTB655370 OCX655367:OCX655370 OMT655367:OMT655370 OWP655367:OWP655370 PGL655367:PGL655370 PQH655367:PQH655370 QAD655367:QAD655370 QJZ655367:QJZ655370 QTV655367:QTV655370 RDR655367:RDR655370 RNN655367:RNN655370 RXJ655367:RXJ655370 SHF655367:SHF655370 SRB655367:SRB655370 TAX655367:TAX655370 TKT655367:TKT655370 TUP655367:TUP655370 UEL655367:UEL655370 UOH655367:UOH655370 UYD655367:UYD655370 VHZ655367:VHZ655370 VRV655367:VRV655370 WBR655367:WBR655370 WLN655367:WLN655370 WVJ655367:WVJ655370 B720903:B720906 IX720903:IX720906 ST720903:ST720906 ACP720903:ACP720906 AML720903:AML720906 AWH720903:AWH720906 BGD720903:BGD720906 BPZ720903:BPZ720906 BZV720903:BZV720906 CJR720903:CJR720906 CTN720903:CTN720906 DDJ720903:DDJ720906 DNF720903:DNF720906 DXB720903:DXB720906 EGX720903:EGX720906 EQT720903:EQT720906 FAP720903:FAP720906 FKL720903:FKL720906 FUH720903:FUH720906 GED720903:GED720906 GNZ720903:GNZ720906 GXV720903:GXV720906 HHR720903:HHR720906 HRN720903:HRN720906 IBJ720903:IBJ720906 ILF720903:ILF720906 IVB720903:IVB720906 JEX720903:JEX720906 JOT720903:JOT720906 JYP720903:JYP720906 KIL720903:KIL720906 KSH720903:KSH720906 LCD720903:LCD720906 LLZ720903:LLZ720906 LVV720903:LVV720906 MFR720903:MFR720906 MPN720903:MPN720906 MZJ720903:MZJ720906 NJF720903:NJF720906 NTB720903:NTB720906 OCX720903:OCX720906 OMT720903:OMT720906 OWP720903:OWP720906 PGL720903:PGL720906 PQH720903:PQH720906 QAD720903:QAD720906 QJZ720903:QJZ720906 QTV720903:QTV720906 RDR720903:RDR720906 RNN720903:RNN720906 RXJ720903:RXJ720906 SHF720903:SHF720906 SRB720903:SRB720906 TAX720903:TAX720906 TKT720903:TKT720906 TUP720903:TUP720906 UEL720903:UEL720906 UOH720903:UOH720906 UYD720903:UYD720906 VHZ720903:VHZ720906 VRV720903:VRV720906 WBR720903:WBR720906 WLN720903:WLN720906 WVJ720903:WVJ720906 B786439:B786442 IX786439:IX786442 ST786439:ST786442 ACP786439:ACP786442 AML786439:AML786442 AWH786439:AWH786442 BGD786439:BGD786442 BPZ786439:BPZ786442 BZV786439:BZV786442 CJR786439:CJR786442 CTN786439:CTN786442 DDJ786439:DDJ786442 DNF786439:DNF786442 DXB786439:DXB786442 EGX786439:EGX786442 EQT786439:EQT786442 FAP786439:FAP786442 FKL786439:FKL786442 FUH786439:FUH786442 GED786439:GED786442 GNZ786439:GNZ786442 GXV786439:GXV786442 HHR786439:HHR786442 HRN786439:HRN786442 IBJ786439:IBJ786442 ILF786439:ILF786442 IVB786439:IVB786442 JEX786439:JEX786442 JOT786439:JOT786442 JYP786439:JYP786442 KIL786439:KIL786442 KSH786439:KSH786442 LCD786439:LCD786442 LLZ786439:LLZ786442 LVV786439:LVV786442 MFR786439:MFR786442 MPN786439:MPN786442 MZJ786439:MZJ786442 NJF786439:NJF786442 NTB786439:NTB786442 OCX786439:OCX786442 OMT786439:OMT786442 OWP786439:OWP786442 PGL786439:PGL786442 PQH786439:PQH786442 QAD786439:QAD786442 QJZ786439:QJZ786442 QTV786439:QTV786442 RDR786439:RDR786442 RNN786439:RNN786442 RXJ786439:RXJ786442 SHF786439:SHF786442 SRB786439:SRB786442 TAX786439:TAX786442 TKT786439:TKT786442 TUP786439:TUP786442 UEL786439:UEL786442 UOH786439:UOH786442 UYD786439:UYD786442 VHZ786439:VHZ786442 VRV786439:VRV786442 WBR786439:WBR786442 WLN786439:WLN786442 WVJ786439:WVJ786442 B851975:B851978 IX851975:IX851978 ST851975:ST851978 ACP851975:ACP851978 AML851975:AML851978 AWH851975:AWH851978 BGD851975:BGD851978 BPZ851975:BPZ851978 BZV851975:BZV851978 CJR851975:CJR851978 CTN851975:CTN851978 DDJ851975:DDJ851978 DNF851975:DNF851978 DXB851975:DXB851978 EGX851975:EGX851978 EQT851975:EQT851978 FAP851975:FAP851978 FKL851975:FKL851978 FUH851975:FUH851978 GED851975:GED851978 GNZ851975:GNZ851978 GXV851975:GXV851978 HHR851975:HHR851978 HRN851975:HRN851978 IBJ851975:IBJ851978 ILF851975:ILF851978 IVB851975:IVB851978 JEX851975:JEX851978 JOT851975:JOT851978 JYP851975:JYP851978 KIL851975:KIL851978 KSH851975:KSH851978 LCD851975:LCD851978 LLZ851975:LLZ851978 LVV851975:LVV851978 MFR851975:MFR851978 MPN851975:MPN851978 MZJ851975:MZJ851978 NJF851975:NJF851978 NTB851975:NTB851978 OCX851975:OCX851978 OMT851975:OMT851978 OWP851975:OWP851978 PGL851975:PGL851978 PQH851975:PQH851978 QAD851975:QAD851978 QJZ851975:QJZ851978 QTV851975:QTV851978 RDR851975:RDR851978 RNN851975:RNN851978 RXJ851975:RXJ851978 SHF851975:SHF851978 SRB851975:SRB851978 TAX851975:TAX851978 TKT851975:TKT851978 TUP851975:TUP851978 UEL851975:UEL851978 UOH851975:UOH851978 UYD851975:UYD851978 VHZ851975:VHZ851978 VRV851975:VRV851978 WBR851975:WBR851978 WLN851975:WLN851978 WVJ851975:WVJ851978 B917511:B917514 IX917511:IX917514 ST917511:ST917514 ACP917511:ACP917514 AML917511:AML917514 AWH917511:AWH917514 BGD917511:BGD917514 BPZ917511:BPZ917514 BZV917511:BZV917514 CJR917511:CJR917514 CTN917511:CTN917514 DDJ917511:DDJ917514 DNF917511:DNF917514 DXB917511:DXB917514 EGX917511:EGX917514 EQT917511:EQT917514 FAP917511:FAP917514 FKL917511:FKL917514 FUH917511:FUH917514 GED917511:GED917514 GNZ917511:GNZ917514 GXV917511:GXV917514 HHR917511:HHR917514 HRN917511:HRN917514 IBJ917511:IBJ917514 ILF917511:ILF917514 IVB917511:IVB917514 JEX917511:JEX917514 JOT917511:JOT917514 JYP917511:JYP917514 KIL917511:KIL917514 KSH917511:KSH917514 LCD917511:LCD917514 LLZ917511:LLZ917514 LVV917511:LVV917514 MFR917511:MFR917514 MPN917511:MPN917514 MZJ917511:MZJ917514 NJF917511:NJF917514 NTB917511:NTB917514 OCX917511:OCX917514 OMT917511:OMT917514 OWP917511:OWP917514 PGL917511:PGL917514 PQH917511:PQH917514 QAD917511:QAD917514 QJZ917511:QJZ917514 QTV917511:QTV917514 RDR917511:RDR917514 RNN917511:RNN917514 RXJ917511:RXJ917514 SHF917511:SHF917514 SRB917511:SRB917514 TAX917511:TAX917514 TKT917511:TKT917514 TUP917511:TUP917514 UEL917511:UEL917514 UOH917511:UOH917514 UYD917511:UYD917514 VHZ917511:VHZ917514 VRV917511:VRV917514 WBR917511:WBR917514 WLN917511:WLN917514 WVJ917511:WVJ917514 B983047:B983050 IX983047:IX983050 ST983047:ST983050 ACP983047:ACP983050 AML983047:AML983050 AWH983047:AWH983050 BGD983047:BGD983050 BPZ983047:BPZ983050 BZV983047:BZV983050 CJR983047:CJR983050 CTN983047:CTN983050 DDJ983047:DDJ983050 DNF983047:DNF983050 DXB983047:DXB983050 EGX983047:EGX983050 EQT983047:EQT983050 FAP983047:FAP983050 FKL983047:FKL983050 FUH983047:FUH983050 GED983047:GED983050 GNZ983047:GNZ983050 GXV983047:GXV983050 HHR983047:HHR983050 HRN983047:HRN983050 IBJ983047:IBJ983050 ILF983047:ILF983050 IVB983047:IVB983050 JEX983047:JEX983050 JOT983047:JOT983050 JYP983047:JYP983050 KIL983047:KIL983050 KSH983047:KSH983050 LCD983047:LCD983050 LLZ983047:LLZ983050 LVV983047:LVV983050 MFR983047:MFR983050 MPN983047:MPN983050 MZJ983047:MZJ983050 NJF983047:NJF983050 NTB983047:NTB983050 OCX983047:OCX983050 OMT983047:OMT983050 OWP983047:OWP983050 PGL983047:PGL983050 PQH983047:PQH983050 QAD983047:QAD983050 QJZ983047:QJZ983050 QTV983047:QTV983050 RDR983047:RDR983050 RNN983047:RNN983050 RXJ983047:RXJ983050 SHF983047:SHF983050 SRB983047:SRB983050 TAX983047:TAX983050 TKT983047:TKT983050 TUP983047:TUP983050 UEL983047:UEL983050 UOH983047:UOH983050 UYD983047:UYD983050 VHZ983047:VHZ983050 VRV983047:VRV983050 WBR983047:WBR983050 WLN983047:WLN983050 WVJ983047:WVJ983050">
      <formula1>$B$11:$B$13</formula1>
    </dataValidation>
    <dataValidation type="list" allowBlank="1" showInputMessage="1" showErrorMessage="1" sqref="B11 IX11 ST11 ACP11 AML11 AWH11 BGD11 BPZ11 BZV11 CJR11 CTN11 DDJ11 DNF11 DXB11 EGX11 EQT11 FAP11 FKL11 FUH11 GED11 GNZ11 GXV11 HHR11 HRN11 IBJ11 ILF11 IVB11 JEX11 JOT11 JYP11 KIL11 KSH11 LCD11 LLZ11 LVV11 MFR11 MPN11 MZJ11 NJF11 NTB11 OCX11 OMT11 OWP11 PGL11 PQH11 QAD11 QJZ11 QTV11 RDR11 RNN11 RXJ11 SHF11 SRB11 TAX11 TKT11 TUP11 UEL11 UOH11 UYD11 VHZ11 VRV11 WBR11 WLN11 WVJ11 B65547 IX65547 ST65547 ACP65547 AML65547 AWH65547 BGD65547 BPZ65547 BZV65547 CJR65547 CTN65547 DDJ65547 DNF65547 DXB65547 EGX65547 EQT65547 FAP65547 FKL65547 FUH65547 GED65547 GNZ65547 GXV65547 HHR65547 HRN65547 IBJ65547 ILF65547 IVB65547 JEX65547 JOT65547 JYP65547 KIL65547 KSH65547 LCD65547 LLZ65547 LVV65547 MFR65547 MPN65547 MZJ65547 NJF65547 NTB65547 OCX65547 OMT65547 OWP65547 PGL65547 PQH65547 QAD65547 QJZ65547 QTV65547 RDR65547 RNN65547 RXJ65547 SHF65547 SRB65547 TAX65547 TKT65547 TUP65547 UEL65547 UOH65547 UYD65547 VHZ65547 VRV65547 WBR65547 WLN65547 WVJ65547 B131083 IX131083 ST131083 ACP131083 AML131083 AWH131083 BGD131083 BPZ131083 BZV131083 CJR131083 CTN131083 DDJ131083 DNF131083 DXB131083 EGX131083 EQT131083 FAP131083 FKL131083 FUH131083 GED131083 GNZ131083 GXV131083 HHR131083 HRN131083 IBJ131083 ILF131083 IVB131083 JEX131083 JOT131083 JYP131083 KIL131083 KSH131083 LCD131083 LLZ131083 LVV131083 MFR131083 MPN131083 MZJ131083 NJF131083 NTB131083 OCX131083 OMT131083 OWP131083 PGL131083 PQH131083 QAD131083 QJZ131083 QTV131083 RDR131083 RNN131083 RXJ131083 SHF131083 SRB131083 TAX131083 TKT131083 TUP131083 UEL131083 UOH131083 UYD131083 VHZ131083 VRV131083 WBR131083 WLN131083 WVJ131083 B196619 IX196619 ST196619 ACP196619 AML196619 AWH196619 BGD196619 BPZ196619 BZV196619 CJR196619 CTN196619 DDJ196619 DNF196619 DXB196619 EGX196619 EQT196619 FAP196619 FKL196619 FUH196619 GED196619 GNZ196619 GXV196619 HHR196619 HRN196619 IBJ196619 ILF196619 IVB196619 JEX196619 JOT196619 JYP196619 KIL196619 KSH196619 LCD196619 LLZ196619 LVV196619 MFR196619 MPN196619 MZJ196619 NJF196619 NTB196619 OCX196619 OMT196619 OWP196619 PGL196619 PQH196619 QAD196619 QJZ196619 QTV196619 RDR196619 RNN196619 RXJ196619 SHF196619 SRB196619 TAX196619 TKT196619 TUP196619 UEL196619 UOH196619 UYD196619 VHZ196619 VRV196619 WBR196619 WLN196619 WVJ196619 B262155 IX262155 ST262155 ACP262155 AML262155 AWH262155 BGD262155 BPZ262155 BZV262155 CJR262155 CTN262155 DDJ262155 DNF262155 DXB262155 EGX262155 EQT262155 FAP262155 FKL262155 FUH262155 GED262155 GNZ262155 GXV262155 HHR262155 HRN262155 IBJ262155 ILF262155 IVB262155 JEX262155 JOT262155 JYP262155 KIL262155 KSH262155 LCD262155 LLZ262155 LVV262155 MFR262155 MPN262155 MZJ262155 NJF262155 NTB262155 OCX262155 OMT262155 OWP262155 PGL262155 PQH262155 QAD262155 QJZ262155 QTV262155 RDR262155 RNN262155 RXJ262155 SHF262155 SRB262155 TAX262155 TKT262155 TUP262155 UEL262155 UOH262155 UYD262155 VHZ262155 VRV262155 WBR262155 WLN262155 WVJ262155 B327691 IX327691 ST327691 ACP327691 AML327691 AWH327691 BGD327691 BPZ327691 BZV327691 CJR327691 CTN327691 DDJ327691 DNF327691 DXB327691 EGX327691 EQT327691 FAP327691 FKL327691 FUH327691 GED327691 GNZ327691 GXV327691 HHR327691 HRN327691 IBJ327691 ILF327691 IVB327691 JEX327691 JOT327691 JYP327691 KIL327691 KSH327691 LCD327691 LLZ327691 LVV327691 MFR327691 MPN327691 MZJ327691 NJF327691 NTB327691 OCX327691 OMT327691 OWP327691 PGL327691 PQH327691 QAD327691 QJZ327691 QTV327691 RDR327691 RNN327691 RXJ327691 SHF327691 SRB327691 TAX327691 TKT327691 TUP327691 UEL327691 UOH327691 UYD327691 VHZ327691 VRV327691 WBR327691 WLN327691 WVJ327691 B393227 IX393227 ST393227 ACP393227 AML393227 AWH393227 BGD393227 BPZ393227 BZV393227 CJR393227 CTN393227 DDJ393227 DNF393227 DXB393227 EGX393227 EQT393227 FAP393227 FKL393227 FUH393227 GED393227 GNZ393227 GXV393227 HHR393227 HRN393227 IBJ393227 ILF393227 IVB393227 JEX393227 JOT393227 JYP393227 KIL393227 KSH393227 LCD393227 LLZ393227 LVV393227 MFR393227 MPN393227 MZJ393227 NJF393227 NTB393227 OCX393227 OMT393227 OWP393227 PGL393227 PQH393227 QAD393227 QJZ393227 QTV393227 RDR393227 RNN393227 RXJ393227 SHF393227 SRB393227 TAX393227 TKT393227 TUP393227 UEL393227 UOH393227 UYD393227 VHZ393227 VRV393227 WBR393227 WLN393227 WVJ393227 B458763 IX458763 ST458763 ACP458763 AML458763 AWH458763 BGD458763 BPZ458763 BZV458763 CJR458763 CTN458763 DDJ458763 DNF458763 DXB458763 EGX458763 EQT458763 FAP458763 FKL458763 FUH458763 GED458763 GNZ458763 GXV458763 HHR458763 HRN458763 IBJ458763 ILF458763 IVB458763 JEX458763 JOT458763 JYP458763 KIL458763 KSH458763 LCD458763 LLZ458763 LVV458763 MFR458763 MPN458763 MZJ458763 NJF458763 NTB458763 OCX458763 OMT458763 OWP458763 PGL458763 PQH458763 QAD458763 QJZ458763 QTV458763 RDR458763 RNN458763 RXJ458763 SHF458763 SRB458763 TAX458763 TKT458763 TUP458763 UEL458763 UOH458763 UYD458763 VHZ458763 VRV458763 WBR458763 WLN458763 WVJ458763 B524299 IX524299 ST524299 ACP524299 AML524299 AWH524299 BGD524299 BPZ524299 BZV524299 CJR524299 CTN524299 DDJ524299 DNF524299 DXB524299 EGX524299 EQT524299 FAP524299 FKL524299 FUH524299 GED524299 GNZ524299 GXV524299 HHR524299 HRN524299 IBJ524299 ILF524299 IVB524299 JEX524299 JOT524299 JYP524299 KIL524299 KSH524299 LCD524299 LLZ524299 LVV524299 MFR524299 MPN524299 MZJ524299 NJF524299 NTB524299 OCX524299 OMT524299 OWP524299 PGL524299 PQH524299 QAD524299 QJZ524299 QTV524299 RDR524299 RNN524299 RXJ524299 SHF524299 SRB524299 TAX524299 TKT524299 TUP524299 UEL524299 UOH524299 UYD524299 VHZ524299 VRV524299 WBR524299 WLN524299 WVJ524299 B589835 IX589835 ST589835 ACP589835 AML589835 AWH589835 BGD589835 BPZ589835 BZV589835 CJR589835 CTN589835 DDJ589835 DNF589835 DXB589835 EGX589835 EQT589835 FAP589835 FKL589835 FUH589835 GED589835 GNZ589835 GXV589835 HHR589835 HRN589835 IBJ589835 ILF589835 IVB589835 JEX589835 JOT589835 JYP589835 KIL589835 KSH589835 LCD589835 LLZ589835 LVV589835 MFR589835 MPN589835 MZJ589835 NJF589835 NTB589835 OCX589835 OMT589835 OWP589835 PGL589835 PQH589835 QAD589835 QJZ589835 QTV589835 RDR589835 RNN589835 RXJ589835 SHF589835 SRB589835 TAX589835 TKT589835 TUP589835 UEL589835 UOH589835 UYD589835 VHZ589835 VRV589835 WBR589835 WLN589835 WVJ589835 B655371 IX655371 ST655371 ACP655371 AML655371 AWH655371 BGD655371 BPZ655371 BZV655371 CJR655371 CTN655371 DDJ655371 DNF655371 DXB655371 EGX655371 EQT655371 FAP655371 FKL655371 FUH655371 GED655371 GNZ655371 GXV655371 HHR655371 HRN655371 IBJ655371 ILF655371 IVB655371 JEX655371 JOT655371 JYP655371 KIL655371 KSH655371 LCD655371 LLZ655371 LVV655371 MFR655371 MPN655371 MZJ655371 NJF655371 NTB655371 OCX655371 OMT655371 OWP655371 PGL655371 PQH655371 QAD655371 QJZ655371 QTV655371 RDR655371 RNN655371 RXJ655371 SHF655371 SRB655371 TAX655371 TKT655371 TUP655371 UEL655371 UOH655371 UYD655371 VHZ655371 VRV655371 WBR655371 WLN655371 WVJ655371 B720907 IX720907 ST720907 ACP720907 AML720907 AWH720907 BGD720907 BPZ720907 BZV720907 CJR720907 CTN720907 DDJ720907 DNF720907 DXB720907 EGX720907 EQT720907 FAP720907 FKL720907 FUH720907 GED720907 GNZ720907 GXV720907 HHR720907 HRN720907 IBJ720907 ILF720907 IVB720907 JEX720907 JOT720907 JYP720907 KIL720907 KSH720907 LCD720907 LLZ720907 LVV720907 MFR720907 MPN720907 MZJ720907 NJF720907 NTB720907 OCX720907 OMT720907 OWP720907 PGL720907 PQH720907 QAD720907 QJZ720907 QTV720907 RDR720907 RNN720907 RXJ720907 SHF720907 SRB720907 TAX720907 TKT720907 TUP720907 UEL720907 UOH720907 UYD720907 VHZ720907 VRV720907 WBR720907 WLN720907 WVJ720907 B786443 IX786443 ST786443 ACP786443 AML786443 AWH786443 BGD786443 BPZ786443 BZV786443 CJR786443 CTN786443 DDJ786443 DNF786443 DXB786443 EGX786443 EQT786443 FAP786443 FKL786443 FUH786443 GED786443 GNZ786443 GXV786443 HHR786443 HRN786443 IBJ786443 ILF786443 IVB786443 JEX786443 JOT786443 JYP786443 KIL786443 KSH786443 LCD786443 LLZ786443 LVV786443 MFR786443 MPN786443 MZJ786443 NJF786443 NTB786443 OCX786443 OMT786443 OWP786443 PGL786443 PQH786443 QAD786443 QJZ786443 QTV786443 RDR786443 RNN786443 RXJ786443 SHF786443 SRB786443 TAX786443 TKT786443 TUP786443 UEL786443 UOH786443 UYD786443 VHZ786443 VRV786443 WBR786443 WLN786443 WVJ786443 B851979 IX851979 ST851979 ACP851979 AML851979 AWH851979 BGD851979 BPZ851979 BZV851979 CJR851979 CTN851979 DDJ851979 DNF851979 DXB851979 EGX851979 EQT851979 FAP851979 FKL851979 FUH851979 GED851979 GNZ851979 GXV851979 HHR851979 HRN851979 IBJ851979 ILF851979 IVB851979 JEX851979 JOT851979 JYP851979 KIL851979 KSH851979 LCD851979 LLZ851979 LVV851979 MFR851979 MPN851979 MZJ851979 NJF851979 NTB851979 OCX851979 OMT851979 OWP851979 PGL851979 PQH851979 QAD851979 QJZ851979 QTV851979 RDR851979 RNN851979 RXJ851979 SHF851979 SRB851979 TAX851979 TKT851979 TUP851979 UEL851979 UOH851979 UYD851979 VHZ851979 VRV851979 WBR851979 WLN851979 WVJ851979 B917515 IX917515 ST917515 ACP917515 AML917515 AWH917515 BGD917515 BPZ917515 BZV917515 CJR917515 CTN917515 DDJ917515 DNF917515 DXB917515 EGX917515 EQT917515 FAP917515 FKL917515 FUH917515 GED917515 GNZ917515 GXV917515 HHR917515 HRN917515 IBJ917515 ILF917515 IVB917515 JEX917515 JOT917515 JYP917515 KIL917515 KSH917515 LCD917515 LLZ917515 LVV917515 MFR917515 MPN917515 MZJ917515 NJF917515 NTB917515 OCX917515 OMT917515 OWP917515 PGL917515 PQH917515 QAD917515 QJZ917515 QTV917515 RDR917515 RNN917515 RXJ917515 SHF917515 SRB917515 TAX917515 TKT917515 TUP917515 UEL917515 UOH917515 UYD917515 VHZ917515 VRV917515 WBR917515 WLN917515 WVJ917515 B983051 IX983051 ST983051 ACP983051 AML983051 AWH983051 BGD983051 BPZ983051 BZV983051 CJR983051 CTN983051 DDJ983051 DNF983051 DXB983051 EGX983051 EQT983051 FAP983051 FKL983051 FUH983051 GED983051 GNZ983051 GXV983051 HHR983051 HRN983051 IBJ983051 ILF983051 IVB983051 JEX983051 JOT983051 JYP983051 KIL983051 KSH983051 LCD983051 LLZ983051 LVV983051 MFR983051 MPN983051 MZJ983051 NJF983051 NTB983051 OCX983051 OMT983051 OWP983051 PGL983051 PQH983051 QAD983051 QJZ983051 QTV983051 RDR983051 RNN983051 RXJ983051 SHF983051 SRB983051 TAX983051 TKT983051 TUP983051 UEL983051 UOH983051 UYD983051 VHZ983051 VRV983051 WBR983051 WLN983051 WVJ983051 P11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7 JL65547 TH65547 ADD65547 AMZ65547 AWV65547 BGR65547 BQN65547 CAJ65547 CKF65547 CUB65547 DDX65547 DNT65547 DXP65547 EHL65547 ERH65547 FBD65547 FKZ65547 FUV65547 GER65547 GON65547 GYJ65547 HIF65547 HSB65547 IBX65547 ILT65547 IVP65547 JFL65547 JPH65547 JZD65547 KIZ65547 KSV65547 LCR65547 LMN65547 LWJ65547 MGF65547 MQB65547 MZX65547 NJT65547 NTP65547 ODL65547 ONH65547 OXD65547 PGZ65547 PQV65547 QAR65547 QKN65547 QUJ65547 REF65547 ROB65547 RXX65547 SHT65547 SRP65547 TBL65547 TLH65547 TVD65547 UEZ65547 UOV65547 UYR65547 VIN65547 VSJ65547 WCF65547 WMB65547 WVX65547 P131083 JL131083 TH131083 ADD131083 AMZ131083 AWV131083 BGR131083 BQN131083 CAJ131083 CKF131083 CUB131083 DDX131083 DNT131083 DXP131083 EHL131083 ERH131083 FBD131083 FKZ131083 FUV131083 GER131083 GON131083 GYJ131083 HIF131083 HSB131083 IBX131083 ILT131083 IVP131083 JFL131083 JPH131083 JZD131083 KIZ131083 KSV131083 LCR131083 LMN131083 LWJ131083 MGF131083 MQB131083 MZX131083 NJT131083 NTP131083 ODL131083 ONH131083 OXD131083 PGZ131083 PQV131083 QAR131083 QKN131083 QUJ131083 REF131083 ROB131083 RXX131083 SHT131083 SRP131083 TBL131083 TLH131083 TVD131083 UEZ131083 UOV131083 UYR131083 VIN131083 VSJ131083 WCF131083 WMB131083 WVX131083 P196619 JL196619 TH196619 ADD196619 AMZ196619 AWV196619 BGR196619 BQN196619 CAJ196619 CKF196619 CUB196619 DDX196619 DNT196619 DXP196619 EHL196619 ERH196619 FBD196619 FKZ196619 FUV196619 GER196619 GON196619 GYJ196619 HIF196619 HSB196619 IBX196619 ILT196619 IVP196619 JFL196619 JPH196619 JZD196619 KIZ196619 KSV196619 LCR196619 LMN196619 LWJ196619 MGF196619 MQB196619 MZX196619 NJT196619 NTP196619 ODL196619 ONH196619 OXD196619 PGZ196619 PQV196619 QAR196619 QKN196619 QUJ196619 REF196619 ROB196619 RXX196619 SHT196619 SRP196619 TBL196619 TLH196619 TVD196619 UEZ196619 UOV196619 UYR196619 VIN196619 VSJ196619 WCF196619 WMB196619 WVX196619 P262155 JL262155 TH262155 ADD262155 AMZ262155 AWV262155 BGR262155 BQN262155 CAJ262155 CKF262155 CUB262155 DDX262155 DNT262155 DXP262155 EHL262155 ERH262155 FBD262155 FKZ262155 FUV262155 GER262155 GON262155 GYJ262155 HIF262155 HSB262155 IBX262155 ILT262155 IVP262155 JFL262155 JPH262155 JZD262155 KIZ262155 KSV262155 LCR262155 LMN262155 LWJ262155 MGF262155 MQB262155 MZX262155 NJT262155 NTP262155 ODL262155 ONH262155 OXD262155 PGZ262155 PQV262155 QAR262155 QKN262155 QUJ262155 REF262155 ROB262155 RXX262155 SHT262155 SRP262155 TBL262155 TLH262155 TVD262155 UEZ262155 UOV262155 UYR262155 VIN262155 VSJ262155 WCF262155 WMB262155 WVX262155 P327691 JL327691 TH327691 ADD327691 AMZ327691 AWV327691 BGR327691 BQN327691 CAJ327691 CKF327691 CUB327691 DDX327691 DNT327691 DXP327691 EHL327691 ERH327691 FBD327691 FKZ327691 FUV327691 GER327691 GON327691 GYJ327691 HIF327691 HSB327691 IBX327691 ILT327691 IVP327691 JFL327691 JPH327691 JZD327691 KIZ327691 KSV327691 LCR327691 LMN327691 LWJ327691 MGF327691 MQB327691 MZX327691 NJT327691 NTP327691 ODL327691 ONH327691 OXD327691 PGZ327691 PQV327691 QAR327691 QKN327691 QUJ327691 REF327691 ROB327691 RXX327691 SHT327691 SRP327691 TBL327691 TLH327691 TVD327691 UEZ327691 UOV327691 UYR327691 VIN327691 VSJ327691 WCF327691 WMB327691 WVX327691 P393227 JL393227 TH393227 ADD393227 AMZ393227 AWV393227 BGR393227 BQN393227 CAJ393227 CKF393227 CUB393227 DDX393227 DNT393227 DXP393227 EHL393227 ERH393227 FBD393227 FKZ393227 FUV393227 GER393227 GON393227 GYJ393227 HIF393227 HSB393227 IBX393227 ILT393227 IVP393227 JFL393227 JPH393227 JZD393227 KIZ393227 KSV393227 LCR393227 LMN393227 LWJ393227 MGF393227 MQB393227 MZX393227 NJT393227 NTP393227 ODL393227 ONH393227 OXD393227 PGZ393227 PQV393227 QAR393227 QKN393227 QUJ393227 REF393227 ROB393227 RXX393227 SHT393227 SRP393227 TBL393227 TLH393227 TVD393227 UEZ393227 UOV393227 UYR393227 VIN393227 VSJ393227 WCF393227 WMB393227 WVX393227 P458763 JL458763 TH458763 ADD458763 AMZ458763 AWV458763 BGR458763 BQN458763 CAJ458763 CKF458763 CUB458763 DDX458763 DNT458763 DXP458763 EHL458763 ERH458763 FBD458763 FKZ458763 FUV458763 GER458763 GON458763 GYJ458763 HIF458763 HSB458763 IBX458763 ILT458763 IVP458763 JFL458763 JPH458763 JZD458763 KIZ458763 KSV458763 LCR458763 LMN458763 LWJ458763 MGF458763 MQB458763 MZX458763 NJT458763 NTP458763 ODL458763 ONH458763 OXD458763 PGZ458763 PQV458763 QAR458763 QKN458763 QUJ458763 REF458763 ROB458763 RXX458763 SHT458763 SRP458763 TBL458763 TLH458763 TVD458763 UEZ458763 UOV458763 UYR458763 VIN458763 VSJ458763 WCF458763 WMB458763 WVX458763 P524299 JL524299 TH524299 ADD524299 AMZ524299 AWV524299 BGR524299 BQN524299 CAJ524299 CKF524299 CUB524299 DDX524299 DNT524299 DXP524299 EHL524299 ERH524299 FBD524299 FKZ524299 FUV524299 GER524299 GON524299 GYJ524299 HIF524299 HSB524299 IBX524299 ILT524299 IVP524299 JFL524299 JPH524299 JZD524299 KIZ524299 KSV524299 LCR524299 LMN524299 LWJ524299 MGF524299 MQB524299 MZX524299 NJT524299 NTP524299 ODL524299 ONH524299 OXD524299 PGZ524299 PQV524299 QAR524299 QKN524299 QUJ524299 REF524299 ROB524299 RXX524299 SHT524299 SRP524299 TBL524299 TLH524299 TVD524299 UEZ524299 UOV524299 UYR524299 VIN524299 VSJ524299 WCF524299 WMB524299 WVX524299 P589835 JL589835 TH589835 ADD589835 AMZ589835 AWV589835 BGR589835 BQN589835 CAJ589835 CKF589835 CUB589835 DDX589835 DNT589835 DXP589835 EHL589835 ERH589835 FBD589835 FKZ589835 FUV589835 GER589835 GON589835 GYJ589835 HIF589835 HSB589835 IBX589835 ILT589835 IVP589835 JFL589835 JPH589835 JZD589835 KIZ589835 KSV589835 LCR589835 LMN589835 LWJ589835 MGF589835 MQB589835 MZX589835 NJT589835 NTP589835 ODL589835 ONH589835 OXD589835 PGZ589835 PQV589835 QAR589835 QKN589835 QUJ589835 REF589835 ROB589835 RXX589835 SHT589835 SRP589835 TBL589835 TLH589835 TVD589835 UEZ589835 UOV589835 UYR589835 VIN589835 VSJ589835 WCF589835 WMB589835 WVX589835 P655371 JL655371 TH655371 ADD655371 AMZ655371 AWV655371 BGR655371 BQN655371 CAJ655371 CKF655371 CUB655371 DDX655371 DNT655371 DXP655371 EHL655371 ERH655371 FBD655371 FKZ655371 FUV655371 GER655371 GON655371 GYJ655371 HIF655371 HSB655371 IBX655371 ILT655371 IVP655371 JFL655371 JPH655371 JZD655371 KIZ655371 KSV655371 LCR655371 LMN655371 LWJ655371 MGF655371 MQB655371 MZX655371 NJT655371 NTP655371 ODL655371 ONH655371 OXD655371 PGZ655371 PQV655371 QAR655371 QKN655371 QUJ655371 REF655371 ROB655371 RXX655371 SHT655371 SRP655371 TBL655371 TLH655371 TVD655371 UEZ655371 UOV655371 UYR655371 VIN655371 VSJ655371 WCF655371 WMB655371 WVX655371 P720907 JL720907 TH720907 ADD720907 AMZ720907 AWV720907 BGR720907 BQN720907 CAJ720907 CKF720907 CUB720907 DDX720907 DNT720907 DXP720907 EHL720907 ERH720907 FBD720907 FKZ720907 FUV720907 GER720907 GON720907 GYJ720907 HIF720907 HSB720907 IBX720907 ILT720907 IVP720907 JFL720907 JPH720907 JZD720907 KIZ720907 KSV720907 LCR720907 LMN720907 LWJ720907 MGF720907 MQB720907 MZX720907 NJT720907 NTP720907 ODL720907 ONH720907 OXD720907 PGZ720907 PQV720907 QAR720907 QKN720907 QUJ720907 REF720907 ROB720907 RXX720907 SHT720907 SRP720907 TBL720907 TLH720907 TVD720907 UEZ720907 UOV720907 UYR720907 VIN720907 VSJ720907 WCF720907 WMB720907 WVX720907 P786443 JL786443 TH786443 ADD786443 AMZ786443 AWV786443 BGR786443 BQN786443 CAJ786443 CKF786443 CUB786443 DDX786443 DNT786443 DXP786443 EHL786443 ERH786443 FBD786443 FKZ786443 FUV786443 GER786443 GON786443 GYJ786443 HIF786443 HSB786443 IBX786443 ILT786443 IVP786443 JFL786443 JPH786443 JZD786443 KIZ786443 KSV786443 LCR786443 LMN786443 LWJ786443 MGF786443 MQB786443 MZX786443 NJT786443 NTP786443 ODL786443 ONH786443 OXD786443 PGZ786443 PQV786443 QAR786443 QKN786443 QUJ786443 REF786443 ROB786443 RXX786443 SHT786443 SRP786443 TBL786443 TLH786443 TVD786443 UEZ786443 UOV786443 UYR786443 VIN786443 VSJ786443 WCF786443 WMB786443 WVX786443 P851979 JL851979 TH851979 ADD851979 AMZ851979 AWV851979 BGR851979 BQN851979 CAJ851979 CKF851979 CUB851979 DDX851979 DNT851979 DXP851979 EHL851979 ERH851979 FBD851979 FKZ851979 FUV851979 GER851979 GON851979 GYJ851979 HIF851979 HSB851979 IBX851979 ILT851979 IVP851979 JFL851979 JPH851979 JZD851979 KIZ851979 KSV851979 LCR851979 LMN851979 LWJ851979 MGF851979 MQB851979 MZX851979 NJT851979 NTP851979 ODL851979 ONH851979 OXD851979 PGZ851979 PQV851979 QAR851979 QKN851979 QUJ851979 REF851979 ROB851979 RXX851979 SHT851979 SRP851979 TBL851979 TLH851979 TVD851979 UEZ851979 UOV851979 UYR851979 VIN851979 VSJ851979 WCF851979 WMB851979 WVX851979 P917515 JL917515 TH917515 ADD917515 AMZ917515 AWV917515 BGR917515 BQN917515 CAJ917515 CKF917515 CUB917515 DDX917515 DNT917515 DXP917515 EHL917515 ERH917515 FBD917515 FKZ917515 FUV917515 GER917515 GON917515 GYJ917515 HIF917515 HSB917515 IBX917515 ILT917515 IVP917515 JFL917515 JPH917515 JZD917515 KIZ917515 KSV917515 LCR917515 LMN917515 LWJ917515 MGF917515 MQB917515 MZX917515 NJT917515 NTP917515 ODL917515 ONH917515 OXD917515 PGZ917515 PQV917515 QAR917515 QKN917515 QUJ917515 REF917515 ROB917515 RXX917515 SHT917515 SRP917515 TBL917515 TLH917515 TVD917515 UEZ917515 UOV917515 UYR917515 VIN917515 VSJ917515 WCF917515 WMB917515 WVX917515 P983051 JL983051 TH983051 ADD983051 AMZ983051 AWV983051 BGR983051 BQN983051 CAJ983051 CKF983051 CUB983051 DDX983051 DNT983051 DXP983051 EHL983051 ERH983051 FBD983051 FKZ983051 FUV983051 GER983051 GON983051 GYJ983051 HIF983051 HSB983051 IBX983051 ILT983051 IVP983051 JFL983051 JPH983051 JZD983051 KIZ983051 KSV983051 LCR983051 LMN983051 LWJ983051 MGF983051 MQB983051 MZX983051 NJT983051 NTP983051 ODL983051 ONH983051 OXD983051 PGZ983051 PQV983051 QAR983051 QKN983051 QUJ983051 REF983051 ROB983051 RXX983051 SHT983051 SRP983051 TBL983051 TLH983051 TVD983051 UEZ983051 UOV983051 UYR983051 VIN983051 VSJ983051 WCF983051 WMB983051 WVX983051">
      <formula1>#REF!</formula1>
    </dataValidation>
    <dataValidation type="list" allowBlank="1" showInputMessage="1" showErrorMessage="1" sqref="P13:P14 JL13:JL14 TH13:TH14 ADD13:ADD14 AMZ13:AMZ14 AWV13:AWV14 BGR13:BGR14 BQN13:BQN14 CAJ13:CAJ14 CKF13:CKF14 CUB13:CUB14 DDX13:DDX14 DNT13:DNT14 DXP13:DXP14 EHL13:EHL14 ERH13:ERH14 FBD13:FBD14 FKZ13:FKZ14 FUV13:FUV14 GER13:GER14 GON13:GON14 GYJ13:GYJ14 HIF13:HIF14 HSB13:HSB14 IBX13:IBX14 ILT13:ILT14 IVP13:IVP14 JFL13:JFL14 JPH13:JPH14 JZD13:JZD14 KIZ13:KIZ14 KSV13:KSV14 LCR13:LCR14 LMN13:LMN14 LWJ13:LWJ14 MGF13:MGF14 MQB13:MQB14 MZX13:MZX14 NJT13:NJT14 NTP13:NTP14 ODL13:ODL14 ONH13:ONH14 OXD13:OXD14 PGZ13:PGZ14 PQV13:PQV14 QAR13:QAR14 QKN13:QKN14 QUJ13:QUJ14 REF13:REF14 ROB13:ROB14 RXX13:RXX14 SHT13:SHT14 SRP13:SRP14 TBL13:TBL14 TLH13:TLH14 TVD13:TVD14 UEZ13:UEZ14 UOV13:UOV14 UYR13:UYR14 VIN13:VIN14 VSJ13:VSJ14 WCF13:WCF14 WMB13:WMB14 WVX13:WVX14 P65549:P65550 JL65549:JL65550 TH65549:TH65550 ADD65549:ADD65550 AMZ65549:AMZ65550 AWV65549:AWV65550 BGR65549:BGR65550 BQN65549:BQN65550 CAJ65549:CAJ65550 CKF65549:CKF65550 CUB65549:CUB65550 DDX65549:DDX65550 DNT65549:DNT65550 DXP65549:DXP65550 EHL65549:EHL65550 ERH65549:ERH65550 FBD65549:FBD65550 FKZ65549:FKZ65550 FUV65549:FUV65550 GER65549:GER65550 GON65549:GON65550 GYJ65549:GYJ65550 HIF65549:HIF65550 HSB65549:HSB65550 IBX65549:IBX65550 ILT65549:ILT65550 IVP65549:IVP65550 JFL65549:JFL65550 JPH65549:JPH65550 JZD65549:JZD65550 KIZ65549:KIZ65550 KSV65549:KSV65550 LCR65549:LCR65550 LMN65549:LMN65550 LWJ65549:LWJ65550 MGF65549:MGF65550 MQB65549:MQB65550 MZX65549:MZX65550 NJT65549:NJT65550 NTP65549:NTP65550 ODL65549:ODL65550 ONH65549:ONH65550 OXD65549:OXD65550 PGZ65549:PGZ65550 PQV65549:PQV65550 QAR65549:QAR65550 QKN65549:QKN65550 QUJ65549:QUJ65550 REF65549:REF65550 ROB65549:ROB65550 RXX65549:RXX65550 SHT65549:SHT65550 SRP65549:SRP65550 TBL65549:TBL65550 TLH65549:TLH65550 TVD65549:TVD65550 UEZ65549:UEZ65550 UOV65549:UOV65550 UYR65549:UYR65550 VIN65549:VIN65550 VSJ65549:VSJ65550 WCF65549:WCF65550 WMB65549:WMB65550 WVX65549:WVX65550 P131085:P131086 JL131085:JL131086 TH131085:TH131086 ADD131085:ADD131086 AMZ131085:AMZ131086 AWV131085:AWV131086 BGR131085:BGR131086 BQN131085:BQN131086 CAJ131085:CAJ131086 CKF131085:CKF131086 CUB131085:CUB131086 DDX131085:DDX131086 DNT131085:DNT131086 DXP131085:DXP131086 EHL131085:EHL131086 ERH131085:ERH131086 FBD131085:FBD131086 FKZ131085:FKZ131086 FUV131085:FUV131086 GER131085:GER131086 GON131085:GON131086 GYJ131085:GYJ131086 HIF131085:HIF131086 HSB131085:HSB131086 IBX131085:IBX131086 ILT131085:ILT131086 IVP131085:IVP131086 JFL131085:JFL131086 JPH131085:JPH131086 JZD131085:JZD131086 KIZ131085:KIZ131086 KSV131085:KSV131086 LCR131085:LCR131086 LMN131085:LMN131086 LWJ131085:LWJ131086 MGF131085:MGF131086 MQB131085:MQB131086 MZX131085:MZX131086 NJT131085:NJT131086 NTP131085:NTP131086 ODL131085:ODL131086 ONH131085:ONH131086 OXD131085:OXD131086 PGZ131085:PGZ131086 PQV131085:PQV131086 QAR131085:QAR131086 QKN131085:QKN131086 QUJ131085:QUJ131086 REF131085:REF131086 ROB131085:ROB131086 RXX131085:RXX131086 SHT131085:SHT131086 SRP131085:SRP131086 TBL131085:TBL131086 TLH131085:TLH131086 TVD131085:TVD131086 UEZ131085:UEZ131086 UOV131085:UOV131086 UYR131085:UYR131086 VIN131085:VIN131086 VSJ131085:VSJ131086 WCF131085:WCF131086 WMB131085:WMB131086 WVX131085:WVX131086 P196621:P196622 JL196621:JL196622 TH196621:TH196622 ADD196621:ADD196622 AMZ196621:AMZ196622 AWV196621:AWV196622 BGR196621:BGR196622 BQN196621:BQN196622 CAJ196621:CAJ196622 CKF196621:CKF196622 CUB196621:CUB196622 DDX196621:DDX196622 DNT196621:DNT196622 DXP196621:DXP196622 EHL196621:EHL196622 ERH196621:ERH196622 FBD196621:FBD196622 FKZ196621:FKZ196622 FUV196621:FUV196622 GER196621:GER196622 GON196621:GON196622 GYJ196621:GYJ196622 HIF196621:HIF196622 HSB196621:HSB196622 IBX196621:IBX196622 ILT196621:ILT196622 IVP196621:IVP196622 JFL196621:JFL196622 JPH196621:JPH196622 JZD196621:JZD196622 KIZ196621:KIZ196622 KSV196621:KSV196622 LCR196621:LCR196622 LMN196621:LMN196622 LWJ196621:LWJ196622 MGF196621:MGF196622 MQB196621:MQB196622 MZX196621:MZX196622 NJT196621:NJT196622 NTP196621:NTP196622 ODL196621:ODL196622 ONH196621:ONH196622 OXD196621:OXD196622 PGZ196621:PGZ196622 PQV196621:PQV196622 QAR196621:QAR196622 QKN196621:QKN196622 QUJ196621:QUJ196622 REF196621:REF196622 ROB196621:ROB196622 RXX196621:RXX196622 SHT196621:SHT196622 SRP196621:SRP196622 TBL196621:TBL196622 TLH196621:TLH196622 TVD196621:TVD196622 UEZ196621:UEZ196622 UOV196621:UOV196622 UYR196621:UYR196622 VIN196621:VIN196622 VSJ196621:VSJ196622 WCF196621:WCF196622 WMB196621:WMB196622 WVX196621:WVX196622 P262157:P262158 JL262157:JL262158 TH262157:TH262158 ADD262157:ADD262158 AMZ262157:AMZ262158 AWV262157:AWV262158 BGR262157:BGR262158 BQN262157:BQN262158 CAJ262157:CAJ262158 CKF262157:CKF262158 CUB262157:CUB262158 DDX262157:DDX262158 DNT262157:DNT262158 DXP262157:DXP262158 EHL262157:EHL262158 ERH262157:ERH262158 FBD262157:FBD262158 FKZ262157:FKZ262158 FUV262157:FUV262158 GER262157:GER262158 GON262157:GON262158 GYJ262157:GYJ262158 HIF262157:HIF262158 HSB262157:HSB262158 IBX262157:IBX262158 ILT262157:ILT262158 IVP262157:IVP262158 JFL262157:JFL262158 JPH262157:JPH262158 JZD262157:JZD262158 KIZ262157:KIZ262158 KSV262157:KSV262158 LCR262157:LCR262158 LMN262157:LMN262158 LWJ262157:LWJ262158 MGF262157:MGF262158 MQB262157:MQB262158 MZX262157:MZX262158 NJT262157:NJT262158 NTP262157:NTP262158 ODL262157:ODL262158 ONH262157:ONH262158 OXD262157:OXD262158 PGZ262157:PGZ262158 PQV262157:PQV262158 QAR262157:QAR262158 QKN262157:QKN262158 QUJ262157:QUJ262158 REF262157:REF262158 ROB262157:ROB262158 RXX262157:RXX262158 SHT262157:SHT262158 SRP262157:SRP262158 TBL262157:TBL262158 TLH262157:TLH262158 TVD262157:TVD262158 UEZ262157:UEZ262158 UOV262157:UOV262158 UYR262157:UYR262158 VIN262157:VIN262158 VSJ262157:VSJ262158 WCF262157:WCF262158 WMB262157:WMB262158 WVX262157:WVX262158 P327693:P327694 JL327693:JL327694 TH327693:TH327694 ADD327693:ADD327694 AMZ327693:AMZ327694 AWV327693:AWV327694 BGR327693:BGR327694 BQN327693:BQN327694 CAJ327693:CAJ327694 CKF327693:CKF327694 CUB327693:CUB327694 DDX327693:DDX327694 DNT327693:DNT327694 DXP327693:DXP327694 EHL327693:EHL327694 ERH327693:ERH327694 FBD327693:FBD327694 FKZ327693:FKZ327694 FUV327693:FUV327694 GER327693:GER327694 GON327693:GON327694 GYJ327693:GYJ327694 HIF327693:HIF327694 HSB327693:HSB327694 IBX327693:IBX327694 ILT327693:ILT327694 IVP327693:IVP327694 JFL327693:JFL327694 JPH327693:JPH327694 JZD327693:JZD327694 KIZ327693:KIZ327694 KSV327693:KSV327694 LCR327693:LCR327694 LMN327693:LMN327694 LWJ327693:LWJ327694 MGF327693:MGF327694 MQB327693:MQB327694 MZX327693:MZX327694 NJT327693:NJT327694 NTP327693:NTP327694 ODL327693:ODL327694 ONH327693:ONH327694 OXD327693:OXD327694 PGZ327693:PGZ327694 PQV327693:PQV327694 QAR327693:QAR327694 QKN327693:QKN327694 QUJ327693:QUJ327694 REF327693:REF327694 ROB327693:ROB327694 RXX327693:RXX327694 SHT327693:SHT327694 SRP327693:SRP327694 TBL327693:TBL327694 TLH327693:TLH327694 TVD327693:TVD327694 UEZ327693:UEZ327694 UOV327693:UOV327694 UYR327693:UYR327694 VIN327693:VIN327694 VSJ327693:VSJ327694 WCF327693:WCF327694 WMB327693:WMB327694 WVX327693:WVX327694 P393229:P393230 JL393229:JL393230 TH393229:TH393230 ADD393229:ADD393230 AMZ393229:AMZ393230 AWV393229:AWV393230 BGR393229:BGR393230 BQN393229:BQN393230 CAJ393229:CAJ393230 CKF393229:CKF393230 CUB393229:CUB393230 DDX393229:DDX393230 DNT393229:DNT393230 DXP393229:DXP393230 EHL393229:EHL393230 ERH393229:ERH393230 FBD393229:FBD393230 FKZ393229:FKZ393230 FUV393229:FUV393230 GER393229:GER393230 GON393229:GON393230 GYJ393229:GYJ393230 HIF393229:HIF393230 HSB393229:HSB393230 IBX393229:IBX393230 ILT393229:ILT393230 IVP393229:IVP393230 JFL393229:JFL393230 JPH393229:JPH393230 JZD393229:JZD393230 KIZ393229:KIZ393230 KSV393229:KSV393230 LCR393229:LCR393230 LMN393229:LMN393230 LWJ393229:LWJ393230 MGF393229:MGF393230 MQB393229:MQB393230 MZX393229:MZX393230 NJT393229:NJT393230 NTP393229:NTP393230 ODL393229:ODL393230 ONH393229:ONH393230 OXD393229:OXD393230 PGZ393229:PGZ393230 PQV393229:PQV393230 QAR393229:QAR393230 QKN393229:QKN393230 QUJ393229:QUJ393230 REF393229:REF393230 ROB393229:ROB393230 RXX393229:RXX393230 SHT393229:SHT393230 SRP393229:SRP393230 TBL393229:TBL393230 TLH393229:TLH393230 TVD393229:TVD393230 UEZ393229:UEZ393230 UOV393229:UOV393230 UYR393229:UYR393230 VIN393229:VIN393230 VSJ393229:VSJ393230 WCF393229:WCF393230 WMB393229:WMB393230 WVX393229:WVX393230 P458765:P458766 JL458765:JL458766 TH458765:TH458766 ADD458765:ADD458766 AMZ458765:AMZ458766 AWV458765:AWV458766 BGR458765:BGR458766 BQN458765:BQN458766 CAJ458765:CAJ458766 CKF458765:CKF458766 CUB458765:CUB458766 DDX458765:DDX458766 DNT458765:DNT458766 DXP458765:DXP458766 EHL458765:EHL458766 ERH458765:ERH458766 FBD458765:FBD458766 FKZ458765:FKZ458766 FUV458765:FUV458766 GER458765:GER458766 GON458765:GON458766 GYJ458765:GYJ458766 HIF458765:HIF458766 HSB458765:HSB458766 IBX458765:IBX458766 ILT458765:ILT458766 IVP458765:IVP458766 JFL458765:JFL458766 JPH458765:JPH458766 JZD458765:JZD458766 KIZ458765:KIZ458766 KSV458765:KSV458766 LCR458765:LCR458766 LMN458765:LMN458766 LWJ458765:LWJ458766 MGF458765:MGF458766 MQB458765:MQB458766 MZX458765:MZX458766 NJT458765:NJT458766 NTP458765:NTP458766 ODL458765:ODL458766 ONH458765:ONH458766 OXD458765:OXD458766 PGZ458765:PGZ458766 PQV458765:PQV458766 QAR458765:QAR458766 QKN458765:QKN458766 QUJ458765:QUJ458766 REF458765:REF458766 ROB458765:ROB458766 RXX458765:RXX458766 SHT458765:SHT458766 SRP458765:SRP458766 TBL458765:TBL458766 TLH458765:TLH458766 TVD458765:TVD458766 UEZ458765:UEZ458766 UOV458765:UOV458766 UYR458765:UYR458766 VIN458765:VIN458766 VSJ458765:VSJ458766 WCF458765:WCF458766 WMB458765:WMB458766 WVX458765:WVX458766 P524301:P524302 JL524301:JL524302 TH524301:TH524302 ADD524301:ADD524302 AMZ524301:AMZ524302 AWV524301:AWV524302 BGR524301:BGR524302 BQN524301:BQN524302 CAJ524301:CAJ524302 CKF524301:CKF524302 CUB524301:CUB524302 DDX524301:DDX524302 DNT524301:DNT524302 DXP524301:DXP524302 EHL524301:EHL524302 ERH524301:ERH524302 FBD524301:FBD524302 FKZ524301:FKZ524302 FUV524301:FUV524302 GER524301:GER524302 GON524301:GON524302 GYJ524301:GYJ524302 HIF524301:HIF524302 HSB524301:HSB524302 IBX524301:IBX524302 ILT524301:ILT524302 IVP524301:IVP524302 JFL524301:JFL524302 JPH524301:JPH524302 JZD524301:JZD524302 KIZ524301:KIZ524302 KSV524301:KSV524302 LCR524301:LCR524302 LMN524301:LMN524302 LWJ524301:LWJ524302 MGF524301:MGF524302 MQB524301:MQB524302 MZX524301:MZX524302 NJT524301:NJT524302 NTP524301:NTP524302 ODL524301:ODL524302 ONH524301:ONH524302 OXD524301:OXD524302 PGZ524301:PGZ524302 PQV524301:PQV524302 QAR524301:QAR524302 QKN524301:QKN524302 QUJ524301:QUJ524302 REF524301:REF524302 ROB524301:ROB524302 RXX524301:RXX524302 SHT524301:SHT524302 SRP524301:SRP524302 TBL524301:TBL524302 TLH524301:TLH524302 TVD524301:TVD524302 UEZ524301:UEZ524302 UOV524301:UOV524302 UYR524301:UYR524302 VIN524301:VIN524302 VSJ524301:VSJ524302 WCF524301:WCF524302 WMB524301:WMB524302 WVX524301:WVX524302 P589837:P589838 JL589837:JL589838 TH589837:TH589838 ADD589837:ADD589838 AMZ589837:AMZ589838 AWV589837:AWV589838 BGR589837:BGR589838 BQN589837:BQN589838 CAJ589837:CAJ589838 CKF589837:CKF589838 CUB589837:CUB589838 DDX589837:DDX589838 DNT589837:DNT589838 DXP589837:DXP589838 EHL589837:EHL589838 ERH589837:ERH589838 FBD589837:FBD589838 FKZ589837:FKZ589838 FUV589837:FUV589838 GER589837:GER589838 GON589837:GON589838 GYJ589837:GYJ589838 HIF589837:HIF589838 HSB589837:HSB589838 IBX589837:IBX589838 ILT589837:ILT589838 IVP589837:IVP589838 JFL589837:JFL589838 JPH589837:JPH589838 JZD589837:JZD589838 KIZ589837:KIZ589838 KSV589837:KSV589838 LCR589837:LCR589838 LMN589837:LMN589838 LWJ589837:LWJ589838 MGF589837:MGF589838 MQB589837:MQB589838 MZX589837:MZX589838 NJT589837:NJT589838 NTP589837:NTP589838 ODL589837:ODL589838 ONH589837:ONH589838 OXD589837:OXD589838 PGZ589837:PGZ589838 PQV589837:PQV589838 QAR589837:QAR589838 QKN589837:QKN589838 QUJ589837:QUJ589838 REF589837:REF589838 ROB589837:ROB589838 RXX589837:RXX589838 SHT589837:SHT589838 SRP589837:SRP589838 TBL589837:TBL589838 TLH589837:TLH589838 TVD589837:TVD589838 UEZ589837:UEZ589838 UOV589837:UOV589838 UYR589837:UYR589838 VIN589837:VIN589838 VSJ589837:VSJ589838 WCF589837:WCF589838 WMB589837:WMB589838 WVX589837:WVX589838 P655373:P655374 JL655373:JL655374 TH655373:TH655374 ADD655373:ADD655374 AMZ655373:AMZ655374 AWV655373:AWV655374 BGR655373:BGR655374 BQN655373:BQN655374 CAJ655373:CAJ655374 CKF655373:CKF655374 CUB655373:CUB655374 DDX655373:DDX655374 DNT655373:DNT655374 DXP655373:DXP655374 EHL655373:EHL655374 ERH655373:ERH655374 FBD655373:FBD655374 FKZ655373:FKZ655374 FUV655373:FUV655374 GER655373:GER655374 GON655373:GON655374 GYJ655373:GYJ655374 HIF655373:HIF655374 HSB655373:HSB655374 IBX655373:IBX655374 ILT655373:ILT655374 IVP655373:IVP655374 JFL655373:JFL655374 JPH655373:JPH655374 JZD655373:JZD655374 KIZ655373:KIZ655374 KSV655373:KSV655374 LCR655373:LCR655374 LMN655373:LMN655374 LWJ655373:LWJ655374 MGF655373:MGF655374 MQB655373:MQB655374 MZX655373:MZX655374 NJT655373:NJT655374 NTP655373:NTP655374 ODL655373:ODL655374 ONH655373:ONH655374 OXD655373:OXD655374 PGZ655373:PGZ655374 PQV655373:PQV655374 QAR655373:QAR655374 QKN655373:QKN655374 QUJ655373:QUJ655374 REF655373:REF655374 ROB655373:ROB655374 RXX655373:RXX655374 SHT655373:SHT655374 SRP655373:SRP655374 TBL655373:TBL655374 TLH655373:TLH655374 TVD655373:TVD655374 UEZ655373:UEZ655374 UOV655373:UOV655374 UYR655373:UYR655374 VIN655373:VIN655374 VSJ655373:VSJ655374 WCF655373:WCF655374 WMB655373:WMB655374 WVX655373:WVX655374 P720909:P720910 JL720909:JL720910 TH720909:TH720910 ADD720909:ADD720910 AMZ720909:AMZ720910 AWV720909:AWV720910 BGR720909:BGR720910 BQN720909:BQN720910 CAJ720909:CAJ720910 CKF720909:CKF720910 CUB720909:CUB720910 DDX720909:DDX720910 DNT720909:DNT720910 DXP720909:DXP720910 EHL720909:EHL720910 ERH720909:ERH720910 FBD720909:FBD720910 FKZ720909:FKZ720910 FUV720909:FUV720910 GER720909:GER720910 GON720909:GON720910 GYJ720909:GYJ720910 HIF720909:HIF720910 HSB720909:HSB720910 IBX720909:IBX720910 ILT720909:ILT720910 IVP720909:IVP720910 JFL720909:JFL720910 JPH720909:JPH720910 JZD720909:JZD720910 KIZ720909:KIZ720910 KSV720909:KSV720910 LCR720909:LCR720910 LMN720909:LMN720910 LWJ720909:LWJ720910 MGF720909:MGF720910 MQB720909:MQB720910 MZX720909:MZX720910 NJT720909:NJT720910 NTP720909:NTP720910 ODL720909:ODL720910 ONH720909:ONH720910 OXD720909:OXD720910 PGZ720909:PGZ720910 PQV720909:PQV720910 QAR720909:QAR720910 QKN720909:QKN720910 QUJ720909:QUJ720910 REF720909:REF720910 ROB720909:ROB720910 RXX720909:RXX720910 SHT720909:SHT720910 SRP720909:SRP720910 TBL720909:TBL720910 TLH720909:TLH720910 TVD720909:TVD720910 UEZ720909:UEZ720910 UOV720909:UOV720910 UYR720909:UYR720910 VIN720909:VIN720910 VSJ720909:VSJ720910 WCF720909:WCF720910 WMB720909:WMB720910 WVX720909:WVX720910 P786445:P786446 JL786445:JL786446 TH786445:TH786446 ADD786445:ADD786446 AMZ786445:AMZ786446 AWV786445:AWV786446 BGR786445:BGR786446 BQN786445:BQN786446 CAJ786445:CAJ786446 CKF786445:CKF786446 CUB786445:CUB786446 DDX786445:DDX786446 DNT786445:DNT786446 DXP786445:DXP786446 EHL786445:EHL786446 ERH786445:ERH786446 FBD786445:FBD786446 FKZ786445:FKZ786446 FUV786445:FUV786446 GER786445:GER786446 GON786445:GON786446 GYJ786445:GYJ786446 HIF786445:HIF786446 HSB786445:HSB786446 IBX786445:IBX786446 ILT786445:ILT786446 IVP786445:IVP786446 JFL786445:JFL786446 JPH786445:JPH786446 JZD786445:JZD786446 KIZ786445:KIZ786446 KSV786445:KSV786446 LCR786445:LCR786446 LMN786445:LMN786446 LWJ786445:LWJ786446 MGF786445:MGF786446 MQB786445:MQB786446 MZX786445:MZX786446 NJT786445:NJT786446 NTP786445:NTP786446 ODL786445:ODL786446 ONH786445:ONH786446 OXD786445:OXD786446 PGZ786445:PGZ786446 PQV786445:PQV786446 QAR786445:QAR786446 QKN786445:QKN786446 QUJ786445:QUJ786446 REF786445:REF786446 ROB786445:ROB786446 RXX786445:RXX786446 SHT786445:SHT786446 SRP786445:SRP786446 TBL786445:TBL786446 TLH786445:TLH786446 TVD786445:TVD786446 UEZ786445:UEZ786446 UOV786445:UOV786446 UYR786445:UYR786446 VIN786445:VIN786446 VSJ786445:VSJ786446 WCF786445:WCF786446 WMB786445:WMB786446 WVX786445:WVX786446 P851981:P851982 JL851981:JL851982 TH851981:TH851982 ADD851981:ADD851982 AMZ851981:AMZ851982 AWV851981:AWV851982 BGR851981:BGR851982 BQN851981:BQN851982 CAJ851981:CAJ851982 CKF851981:CKF851982 CUB851981:CUB851982 DDX851981:DDX851982 DNT851981:DNT851982 DXP851981:DXP851982 EHL851981:EHL851982 ERH851981:ERH851982 FBD851981:FBD851982 FKZ851981:FKZ851982 FUV851981:FUV851982 GER851981:GER851982 GON851981:GON851982 GYJ851981:GYJ851982 HIF851981:HIF851982 HSB851981:HSB851982 IBX851981:IBX851982 ILT851981:ILT851982 IVP851981:IVP851982 JFL851981:JFL851982 JPH851981:JPH851982 JZD851981:JZD851982 KIZ851981:KIZ851982 KSV851981:KSV851982 LCR851981:LCR851982 LMN851981:LMN851982 LWJ851981:LWJ851982 MGF851981:MGF851982 MQB851981:MQB851982 MZX851981:MZX851982 NJT851981:NJT851982 NTP851981:NTP851982 ODL851981:ODL851982 ONH851981:ONH851982 OXD851981:OXD851982 PGZ851981:PGZ851982 PQV851981:PQV851982 QAR851981:QAR851982 QKN851981:QKN851982 QUJ851981:QUJ851982 REF851981:REF851982 ROB851981:ROB851982 RXX851981:RXX851982 SHT851981:SHT851982 SRP851981:SRP851982 TBL851981:TBL851982 TLH851981:TLH851982 TVD851981:TVD851982 UEZ851981:UEZ851982 UOV851981:UOV851982 UYR851981:UYR851982 VIN851981:VIN851982 VSJ851981:VSJ851982 WCF851981:WCF851982 WMB851981:WMB851982 WVX851981:WVX851982 P917517:P917518 JL917517:JL917518 TH917517:TH917518 ADD917517:ADD917518 AMZ917517:AMZ917518 AWV917517:AWV917518 BGR917517:BGR917518 BQN917517:BQN917518 CAJ917517:CAJ917518 CKF917517:CKF917518 CUB917517:CUB917518 DDX917517:DDX917518 DNT917517:DNT917518 DXP917517:DXP917518 EHL917517:EHL917518 ERH917517:ERH917518 FBD917517:FBD917518 FKZ917517:FKZ917518 FUV917517:FUV917518 GER917517:GER917518 GON917517:GON917518 GYJ917517:GYJ917518 HIF917517:HIF917518 HSB917517:HSB917518 IBX917517:IBX917518 ILT917517:ILT917518 IVP917517:IVP917518 JFL917517:JFL917518 JPH917517:JPH917518 JZD917517:JZD917518 KIZ917517:KIZ917518 KSV917517:KSV917518 LCR917517:LCR917518 LMN917517:LMN917518 LWJ917517:LWJ917518 MGF917517:MGF917518 MQB917517:MQB917518 MZX917517:MZX917518 NJT917517:NJT917518 NTP917517:NTP917518 ODL917517:ODL917518 ONH917517:ONH917518 OXD917517:OXD917518 PGZ917517:PGZ917518 PQV917517:PQV917518 QAR917517:QAR917518 QKN917517:QKN917518 QUJ917517:QUJ917518 REF917517:REF917518 ROB917517:ROB917518 RXX917517:RXX917518 SHT917517:SHT917518 SRP917517:SRP917518 TBL917517:TBL917518 TLH917517:TLH917518 TVD917517:TVD917518 UEZ917517:UEZ917518 UOV917517:UOV917518 UYR917517:UYR917518 VIN917517:VIN917518 VSJ917517:VSJ917518 WCF917517:WCF917518 WMB917517:WMB917518 WVX917517:WVX917518 P983053:P983054 JL983053:JL983054 TH983053:TH983054 ADD983053:ADD983054 AMZ983053:AMZ983054 AWV983053:AWV983054 BGR983053:BGR983054 BQN983053:BQN983054 CAJ983053:CAJ983054 CKF983053:CKF983054 CUB983053:CUB983054 DDX983053:DDX983054 DNT983053:DNT983054 DXP983053:DXP983054 EHL983053:EHL983054 ERH983053:ERH983054 FBD983053:FBD983054 FKZ983053:FKZ983054 FUV983053:FUV983054 GER983053:GER983054 GON983053:GON983054 GYJ983053:GYJ983054 HIF983053:HIF983054 HSB983053:HSB983054 IBX983053:IBX983054 ILT983053:ILT983054 IVP983053:IVP983054 JFL983053:JFL983054 JPH983053:JPH983054 JZD983053:JZD983054 KIZ983053:KIZ983054 KSV983053:KSV983054 LCR983053:LCR983054 LMN983053:LMN983054 LWJ983053:LWJ983054 MGF983053:MGF983054 MQB983053:MQB983054 MZX983053:MZX983054 NJT983053:NJT983054 NTP983053:NTP983054 ODL983053:ODL983054 ONH983053:ONH983054 OXD983053:OXD983054 PGZ983053:PGZ983054 PQV983053:PQV983054 QAR983053:QAR983054 QKN983053:QKN983054 QUJ983053:QUJ983054 REF983053:REF983054 ROB983053:ROB983054 RXX983053:RXX983054 SHT983053:SHT983054 SRP983053:SRP983054 TBL983053:TBL983054 TLH983053:TLH983054 TVD983053:TVD983054 UEZ983053:UEZ983054 UOV983053:UOV983054 UYR983053:UYR983054 VIN983053:VIN983054 VSJ983053:VSJ983054 WCF983053:WCF983054 WMB983053:WMB983054 WVX983053:WVX983054 B13:B14 IX13:IX14 ST13:ST14 ACP13:ACP14 AML13:AML14 AWH13:AWH14 BGD13:BGD14 BPZ13:BPZ14 BZV13:BZV14 CJR13:CJR14 CTN13:CTN14 DDJ13:DDJ14 DNF13:DNF14 DXB13:DXB14 EGX13:EGX14 EQT13:EQT14 FAP13:FAP14 FKL13:FKL14 FUH13:FUH14 GED13:GED14 GNZ13:GNZ14 GXV13:GXV14 HHR13:HHR14 HRN13:HRN14 IBJ13:IBJ14 ILF13:ILF14 IVB13:IVB14 JEX13:JEX14 JOT13:JOT14 JYP13:JYP14 KIL13:KIL14 KSH13:KSH14 LCD13:LCD14 LLZ13:LLZ14 LVV13:LVV14 MFR13:MFR14 MPN13:MPN14 MZJ13:MZJ14 NJF13:NJF14 NTB13:NTB14 OCX13:OCX14 OMT13:OMT14 OWP13:OWP14 PGL13:PGL14 PQH13:PQH14 QAD13:QAD14 QJZ13:QJZ14 QTV13:QTV14 RDR13:RDR14 RNN13:RNN14 RXJ13:RXJ14 SHF13:SHF14 SRB13:SRB14 TAX13:TAX14 TKT13:TKT14 TUP13:TUP14 UEL13:UEL14 UOH13:UOH14 UYD13:UYD14 VHZ13:VHZ14 VRV13:VRV14 WBR13:WBR14 WLN13:WLN14 WVJ13:WVJ14 B65549:B65550 IX65549:IX65550 ST65549:ST65550 ACP65549:ACP65550 AML65549:AML65550 AWH65549:AWH65550 BGD65549:BGD65550 BPZ65549:BPZ65550 BZV65549:BZV65550 CJR65549:CJR65550 CTN65549:CTN65550 DDJ65549:DDJ65550 DNF65549:DNF65550 DXB65549:DXB65550 EGX65549:EGX65550 EQT65549:EQT65550 FAP65549:FAP65550 FKL65549:FKL65550 FUH65549:FUH65550 GED65549:GED65550 GNZ65549:GNZ65550 GXV65549:GXV65550 HHR65549:HHR65550 HRN65549:HRN65550 IBJ65549:IBJ65550 ILF65549:ILF65550 IVB65549:IVB65550 JEX65549:JEX65550 JOT65549:JOT65550 JYP65549:JYP65550 KIL65549:KIL65550 KSH65549:KSH65550 LCD65549:LCD65550 LLZ65549:LLZ65550 LVV65549:LVV65550 MFR65549:MFR65550 MPN65549:MPN65550 MZJ65549:MZJ65550 NJF65549:NJF65550 NTB65549:NTB65550 OCX65549:OCX65550 OMT65549:OMT65550 OWP65549:OWP65550 PGL65549:PGL65550 PQH65549:PQH65550 QAD65549:QAD65550 QJZ65549:QJZ65550 QTV65549:QTV65550 RDR65549:RDR65550 RNN65549:RNN65550 RXJ65549:RXJ65550 SHF65549:SHF65550 SRB65549:SRB65550 TAX65549:TAX65550 TKT65549:TKT65550 TUP65549:TUP65550 UEL65549:UEL65550 UOH65549:UOH65550 UYD65549:UYD65550 VHZ65549:VHZ65550 VRV65549:VRV65550 WBR65549:WBR65550 WLN65549:WLN65550 WVJ65549:WVJ65550 B131085:B131086 IX131085:IX131086 ST131085:ST131086 ACP131085:ACP131086 AML131085:AML131086 AWH131085:AWH131086 BGD131085:BGD131086 BPZ131085:BPZ131086 BZV131085:BZV131086 CJR131085:CJR131086 CTN131085:CTN131086 DDJ131085:DDJ131086 DNF131085:DNF131086 DXB131085:DXB131086 EGX131085:EGX131086 EQT131085:EQT131086 FAP131085:FAP131086 FKL131085:FKL131086 FUH131085:FUH131086 GED131085:GED131086 GNZ131085:GNZ131086 GXV131085:GXV131086 HHR131085:HHR131086 HRN131085:HRN131086 IBJ131085:IBJ131086 ILF131085:ILF131086 IVB131085:IVB131086 JEX131085:JEX131086 JOT131085:JOT131086 JYP131085:JYP131086 KIL131085:KIL131086 KSH131085:KSH131086 LCD131085:LCD131086 LLZ131085:LLZ131086 LVV131085:LVV131086 MFR131085:MFR131086 MPN131085:MPN131086 MZJ131085:MZJ131086 NJF131085:NJF131086 NTB131085:NTB131086 OCX131085:OCX131086 OMT131085:OMT131086 OWP131085:OWP131086 PGL131085:PGL131086 PQH131085:PQH131086 QAD131085:QAD131086 QJZ131085:QJZ131086 QTV131085:QTV131086 RDR131085:RDR131086 RNN131085:RNN131086 RXJ131085:RXJ131086 SHF131085:SHF131086 SRB131085:SRB131086 TAX131085:TAX131086 TKT131085:TKT131086 TUP131085:TUP131086 UEL131085:UEL131086 UOH131085:UOH131086 UYD131085:UYD131086 VHZ131085:VHZ131086 VRV131085:VRV131086 WBR131085:WBR131086 WLN131085:WLN131086 WVJ131085:WVJ131086 B196621:B196622 IX196621:IX196622 ST196621:ST196622 ACP196621:ACP196622 AML196621:AML196622 AWH196621:AWH196622 BGD196621:BGD196622 BPZ196621:BPZ196622 BZV196621:BZV196622 CJR196621:CJR196622 CTN196621:CTN196622 DDJ196621:DDJ196622 DNF196621:DNF196622 DXB196621:DXB196622 EGX196621:EGX196622 EQT196621:EQT196622 FAP196621:FAP196622 FKL196621:FKL196622 FUH196621:FUH196622 GED196621:GED196622 GNZ196621:GNZ196622 GXV196621:GXV196622 HHR196621:HHR196622 HRN196621:HRN196622 IBJ196621:IBJ196622 ILF196621:ILF196622 IVB196621:IVB196622 JEX196621:JEX196622 JOT196621:JOT196622 JYP196621:JYP196622 KIL196621:KIL196622 KSH196621:KSH196622 LCD196621:LCD196622 LLZ196621:LLZ196622 LVV196621:LVV196622 MFR196621:MFR196622 MPN196621:MPN196622 MZJ196621:MZJ196622 NJF196621:NJF196622 NTB196621:NTB196622 OCX196621:OCX196622 OMT196621:OMT196622 OWP196621:OWP196622 PGL196621:PGL196622 PQH196621:PQH196622 QAD196621:QAD196622 QJZ196621:QJZ196622 QTV196621:QTV196622 RDR196621:RDR196622 RNN196621:RNN196622 RXJ196621:RXJ196622 SHF196621:SHF196622 SRB196621:SRB196622 TAX196621:TAX196622 TKT196621:TKT196622 TUP196621:TUP196622 UEL196621:UEL196622 UOH196621:UOH196622 UYD196621:UYD196622 VHZ196621:VHZ196622 VRV196621:VRV196622 WBR196621:WBR196622 WLN196621:WLN196622 WVJ196621:WVJ196622 B262157:B262158 IX262157:IX262158 ST262157:ST262158 ACP262157:ACP262158 AML262157:AML262158 AWH262157:AWH262158 BGD262157:BGD262158 BPZ262157:BPZ262158 BZV262157:BZV262158 CJR262157:CJR262158 CTN262157:CTN262158 DDJ262157:DDJ262158 DNF262157:DNF262158 DXB262157:DXB262158 EGX262157:EGX262158 EQT262157:EQT262158 FAP262157:FAP262158 FKL262157:FKL262158 FUH262157:FUH262158 GED262157:GED262158 GNZ262157:GNZ262158 GXV262157:GXV262158 HHR262157:HHR262158 HRN262157:HRN262158 IBJ262157:IBJ262158 ILF262157:ILF262158 IVB262157:IVB262158 JEX262157:JEX262158 JOT262157:JOT262158 JYP262157:JYP262158 KIL262157:KIL262158 KSH262157:KSH262158 LCD262157:LCD262158 LLZ262157:LLZ262158 LVV262157:LVV262158 MFR262157:MFR262158 MPN262157:MPN262158 MZJ262157:MZJ262158 NJF262157:NJF262158 NTB262157:NTB262158 OCX262157:OCX262158 OMT262157:OMT262158 OWP262157:OWP262158 PGL262157:PGL262158 PQH262157:PQH262158 QAD262157:QAD262158 QJZ262157:QJZ262158 QTV262157:QTV262158 RDR262157:RDR262158 RNN262157:RNN262158 RXJ262157:RXJ262158 SHF262157:SHF262158 SRB262157:SRB262158 TAX262157:TAX262158 TKT262157:TKT262158 TUP262157:TUP262158 UEL262157:UEL262158 UOH262157:UOH262158 UYD262157:UYD262158 VHZ262157:VHZ262158 VRV262157:VRV262158 WBR262157:WBR262158 WLN262157:WLN262158 WVJ262157:WVJ262158 B327693:B327694 IX327693:IX327694 ST327693:ST327694 ACP327693:ACP327694 AML327693:AML327694 AWH327693:AWH327694 BGD327693:BGD327694 BPZ327693:BPZ327694 BZV327693:BZV327694 CJR327693:CJR327694 CTN327693:CTN327694 DDJ327693:DDJ327694 DNF327693:DNF327694 DXB327693:DXB327694 EGX327693:EGX327694 EQT327693:EQT327694 FAP327693:FAP327694 FKL327693:FKL327694 FUH327693:FUH327694 GED327693:GED327694 GNZ327693:GNZ327694 GXV327693:GXV327694 HHR327693:HHR327694 HRN327693:HRN327694 IBJ327693:IBJ327694 ILF327693:ILF327694 IVB327693:IVB327694 JEX327693:JEX327694 JOT327693:JOT327694 JYP327693:JYP327694 KIL327693:KIL327694 KSH327693:KSH327694 LCD327693:LCD327694 LLZ327693:LLZ327694 LVV327693:LVV327694 MFR327693:MFR327694 MPN327693:MPN327694 MZJ327693:MZJ327694 NJF327693:NJF327694 NTB327693:NTB327694 OCX327693:OCX327694 OMT327693:OMT327694 OWP327693:OWP327694 PGL327693:PGL327694 PQH327693:PQH327694 QAD327693:QAD327694 QJZ327693:QJZ327694 QTV327693:QTV327694 RDR327693:RDR327694 RNN327693:RNN327694 RXJ327693:RXJ327694 SHF327693:SHF327694 SRB327693:SRB327694 TAX327693:TAX327694 TKT327693:TKT327694 TUP327693:TUP327694 UEL327693:UEL327694 UOH327693:UOH327694 UYD327693:UYD327694 VHZ327693:VHZ327694 VRV327693:VRV327694 WBR327693:WBR327694 WLN327693:WLN327694 WVJ327693:WVJ327694 B393229:B393230 IX393229:IX393230 ST393229:ST393230 ACP393229:ACP393230 AML393229:AML393230 AWH393229:AWH393230 BGD393229:BGD393230 BPZ393229:BPZ393230 BZV393229:BZV393230 CJR393229:CJR393230 CTN393229:CTN393230 DDJ393229:DDJ393230 DNF393229:DNF393230 DXB393229:DXB393230 EGX393229:EGX393230 EQT393229:EQT393230 FAP393229:FAP393230 FKL393229:FKL393230 FUH393229:FUH393230 GED393229:GED393230 GNZ393229:GNZ393230 GXV393229:GXV393230 HHR393229:HHR393230 HRN393229:HRN393230 IBJ393229:IBJ393230 ILF393229:ILF393230 IVB393229:IVB393230 JEX393229:JEX393230 JOT393229:JOT393230 JYP393229:JYP393230 KIL393229:KIL393230 KSH393229:KSH393230 LCD393229:LCD393230 LLZ393229:LLZ393230 LVV393229:LVV393230 MFR393229:MFR393230 MPN393229:MPN393230 MZJ393229:MZJ393230 NJF393229:NJF393230 NTB393229:NTB393230 OCX393229:OCX393230 OMT393229:OMT393230 OWP393229:OWP393230 PGL393229:PGL393230 PQH393229:PQH393230 QAD393229:QAD393230 QJZ393229:QJZ393230 QTV393229:QTV393230 RDR393229:RDR393230 RNN393229:RNN393230 RXJ393229:RXJ393230 SHF393229:SHF393230 SRB393229:SRB393230 TAX393229:TAX393230 TKT393229:TKT393230 TUP393229:TUP393230 UEL393229:UEL393230 UOH393229:UOH393230 UYD393229:UYD393230 VHZ393229:VHZ393230 VRV393229:VRV393230 WBR393229:WBR393230 WLN393229:WLN393230 WVJ393229:WVJ393230 B458765:B458766 IX458765:IX458766 ST458765:ST458766 ACP458765:ACP458766 AML458765:AML458766 AWH458765:AWH458766 BGD458765:BGD458766 BPZ458765:BPZ458766 BZV458765:BZV458766 CJR458765:CJR458766 CTN458765:CTN458766 DDJ458765:DDJ458766 DNF458765:DNF458766 DXB458765:DXB458766 EGX458765:EGX458766 EQT458765:EQT458766 FAP458765:FAP458766 FKL458765:FKL458766 FUH458765:FUH458766 GED458765:GED458766 GNZ458765:GNZ458766 GXV458765:GXV458766 HHR458765:HHR458766 HRN458765:HRN458766 IBJ458765:IBJ458766 ILF458765:ILF458766 IVB458765:IVB458766 JEX458765:JEX458766 JOT458765:JOT458766 JYP458765:JYP458766 KIL458765:KIL458766 KSH458765:KSH458766 LCD458765:LCD458766 LLZ458765:LLZ458766 LVV458765:LVV458766 MFR458765:MFR458766 MPN458765:MPN458766 MZJ458765:MZJ458766 NJF458765:NJF458766 NTB458765:NTB458766 OCX458765:OCX458766 OMT458765:OMT458766 OWP458765:OWP458766 PGL458765:PGL458766 PQH458765:PQH458766 QAD458765:QAD458766 QJZ458765:QJZ458766 QTV458765:QTV458766 RDR458765:RDR458766 RNN458765:RNN458766 RXJ458765:RXJ458766 SHF458765:SHF458766 SRB458765:SRB458766 TAX458765:TAX458766 TKT458765:TKT458766 TUP458765:TUP458766 UEL458765:UEL458766 UOH458765:UOH458766 UYD458765:UYD458766 VHZ458765:VHZ458766 VRV458765:VRV458766 WBR458765:WBR458766 WLN458765:WLN458766 WVJ458765:WVJ458766 B524301:B524302 IX524301:IX524302 ST524301:ST524302 ACP524301:ACP524302 AML524301:AML524302 AWH524301:AWH524302 BGD524301:BGD524302 BPZ524301:BPZ524302 BZV524301:BZV524302 CJR524301:CJR524302 CTN524301:CTN524302 DDJ524301:DDJ524302 DNF524301:DNF524302 DXB524301:DXB524302 EGX524301:EGX524302 EQT524301:EQT524302 FAP524301:FAP524302 FKL524301:FKL524302 FUH524301:FUH524302 GED524301:GED524302 GNZ524301:GNZ524302 GXV524301:GXV524302 HHR524301:HHR524302 HRN524301:HRN524302 IBJ524301:IBJ524302 ILF524301:ILF524302 IVB524301:IVB524302 JEX524301:JEX524302 JOT524301:JOT524302 JYP524301:JYP524302 KIL524301:KIL524302 KSH524301:KSH524302 LCD524301:LCD524302 LLZ524301:LLZ524302 LVV524301:LVV524302 MFR524301:MFR524302 MPN524301:MPN524302 MZJ524301:MZJ524302 NJF524301:NJF524302 NTB524301:NTB524302 OCX524301:OCX524302 OMT524301:OMT524302 OWP524301:OWP524302 PGL524301:PGL524302 PQH524301:PQH524302 QAD524301:QAD524302 QJZ524301:QJZ524302 QTV524301:QTV524302 RDR524301:RDR524302 RNN524301:RNN524302 RXJ524301:RXJ524302 SHF524301:SHF524302 SRB524301:SRB524302 TAX524301:TAX524302 TKT524301:TKT524302 TUP524301:TUP524302 UEL524301:UEL524302 UOH524301:UOH524302 UYD524301:UYD524302 VHZ524301:VHZ524302 VRV524301:VRV524302 WBR524301:WBR524302 WLN524301:WLN524302 WVJ524301:WVJ524302 B589837:B589838 IX589837:IX589838 ST589837:ST589838 ACP589837:ACP589838 AML589837:AML589838 AWH589837:AWH589838 BGD589837:BGD589838 BPZ589837:BPZ589838 BZV589837:BZV589838 CJR589837:CJR589838 CTN589837:CTN589838 DDJ589837:DDJ589838 DNF589837:DNF589838 DXB589837:DXB589838 EGX589837:EGX589838 EQT589837:EQT589838 FAP589837:FAP589838 FKL589837:FKL589838 FUH589837:FUH589838 GED589837:GED589838 GNZ589837:GNZ589838 GXV589837:GXV589838 HHR589837:HHR589838 HRN589837:HRN589838 IBJ589837:IBJ589838 ILF589837:ILF589838 IVB589837:IVB589838 JEX589837:JEX589838 JOT589837:JOT589838 JYP589837:JYP589838 KIL589837:KIL589838 KSH589837:KSH589838 LCD589837:LCD589838 LLZ589837:LLZ589838 LVV589837:LVV589838 MFR589837:MFR589838 MPN589837:MPN589838 MZJ589837:MZJ589838 NJF589837:NJF589838 NTB589837:NTB589838 OCX589837:OCX589838 OMT589837:OMT589838 OWP589837:OWP589838 PGL589837:PGL589838 PQH589837:PQH589838 QAD589837:QAD589838 QJZ589837:QJZ589838 QTV589837:QTV589838 RDR589837:RDR589838 RNN589837:RNN589838 RXJ589837:RXJ589838 SHF589837:SHF589838 SRB589837:SRB589838 TAX589837:TAX589838 TKT589837:TKT589838 TUP589837:TUP589838 UEL589837:UEL589838 UOH589837:UOH589838 UYD589837:UYD589838 VHZ589837:VHZ589838 VRV589837:VRV589838 WBR589837:WBR589838 WLN589837:WLN589838 WVJ589837:WVJ589838 B655373:B655374 IX655373:IX655374 ST655373:ST655374 ACP655373:ACP655374 AML655373:AML655374 AWH655373:AWH655374 BGD655373:BGD655374 BPZ655373:BPZ655374 BZV655373:BZV655374 CJR655373:CJR655374 CTN655373:CTN655374 DDJ655373:DDJ655374 DNF655373:DNF655374 DXB655373:DXB655374 EGX655373:EGX655374 EQT655373:EQT655374 FAP655373:FAP655374 FKL655373:FKL655374 FUH655373:FUH655374 GED655373:GED655374 GNZ655373:GNZ655374 GXV655373:GXV655374 HHR655373:HHR655374 HRN655373:HRN655374 IBJ655373:IBJ655374 ILF655373:ILF655374 IVB655373:IVB655374 JEX655373:JEX655374 JOT655373:JOT655374 JYP655373:JYP655374 KIL655373:KIL655374 KSH655373:KSH655374 LCD655373:LCD655374 LLZ655373:LLZ655374 LVV655373:LVV655374 MFR655373:MFR655374 MPN655373:MPN655374 MZJ655373:MZJ655374 NJF655373:NJF655374 NTB655373:NTB655374 OCX655373:OCX655374 OMT655373:OMT655374 OWP655373:OWP655374 PGL655373:PGL655374 PQH655373:PQH655374 QAD655373:QAD655374 QJZ655373:QJZ655374 QTV655373:QTV655374 RDR655373:RDR655374 RNN655373:RNN655374 RXJ655373:RXJ655374 SHF655373:SHF655374 SRB655373:SRB655374 TAX655373:TAX655374 TKT655373:TKT655374 TUP655373:TUP655374 UEL655373:UEL655374 UOH655373:UOH655374 UYD655373:UYD655374 VHZ655373:VHZ655374 VRV655373:VRV655374 WBR655373:WBR655374 WLN655373:WLN655374 WVJ655373:WVJ655374 B720909:B720910 IX720909:IX720910 ST720909:ST720910 ACP720909:ACP720910 AML720909:AML720910 AWH720909:AWH720910 BGD720909:BGD720910 BPZ720909:BPZ720910 BZV720909:BZV720910 CJR720909:CJR720910 CTN720909:CTN720910 DDJ720909:DDJ720910 DNF720909:DNF720910 DXB720909:DXB720910 EGX720909:EGX720910 EQT720909:EQT720910 FAP720909:FAP720910 FKL720909:FKL720910 FUH720909:FUH720910 GED720909:GED720910 GNZ720909:GNZ720910 GXV720909:GXV720910 HHR720909:HHR720910 HRN720909:HRN720910 IBJ720909:IBJ720910 ILF720909:ILF720910 IVB720909:IVB720910 JEX720909:JEX720910 JOT720909:JOT720910 JYP720909:JYP720910 KIL720909:KIL720910 KSH720909:KSH720910 LCD720909:LCD720910 LLZ720909:LLZ720910 LVV720909:LVV720910 MFR720909:MFR720910 MPN720909:MPN720910 MZJ720909:MZJ720910 NJF720909:NJF720910 NTB720909:NTB720910 OCX720909:OCX720910 OMT720909:OMT720910 OWP720909:OWP720910 PGL720909:PGL720910 PQH720909:PQH720910 QAD720909:QAD720910 QJZ720909:QJZ720910 QTV720909:QTV720910 RDR720909:RDR720910 RNN720909:RNN720910 RXJ720909:RXJ720910 SHF720909:SHF720910 SRB720909:SRB720910 TAX720909:TAX720910 TKT720909:TKT720910 TUP720909:TUP720910 UEL720909:UEL720910 UOH720909:UOH720910 UYD720909:UYD720910 VHZ720909:VHZ720910 VRV720909:VRV720910 WBR720909:WBR720910 WLN720909:WLN720910 WVJ720909:WVJ720910 B786445:B786446 IX786445:IX786446 ST786445:ST786446 ACP786445:ACP786446 AML786445:AML786446 AWH786445:AWH786446 BGD786445:BGD786446 BPZ786445:BPZ786446 BZV786445:BZV786446 CJR786445:CJR786446 CTN786445:CTN786446 DDJ786445:DDJ786446 DNF786445:DNF786446 DXB786445:DXB786446 EGX786445:EGX786446 EQT786445:EQT786446 FAP786445:FAP786446 FKL786445:FKL786446 FUH786445:FUH786446 GED786445:GED786446 GNZ786445:GNZ786446 GXV786445:GXV786446 HHR786445:HHR786446 HRN786445:HRN786446 IBJ786445:IBJ786446 ILF786445:ILF786446 IVB786445:IVB786446 JEX786445:JEX786446 JOT786445:JOT786446 JYP786445:JYP786446 KIL786445:KIL786446 KSH786445:KSH786446 LCD786445:LCD786446 LLZ786445:LLZ786446 LVV786445:LVV786446 MFR786445:MFR786446 MPN786445:MPN786446 MZJ786445:MZJ786446 NJF786445:NJF786446 NTB786445:NTB786446 OCX786445:OCX786446 OMT786445:OMT786446 OWP786445:OWP786446 PGL786445:PGL786446 PQH786445:PQH786446 QAD786445:QAD786446 QJZ786445:QJZ786446 QTV786445:QTV786446 RDR786445:RDR786446 RNN786445:RNN786446 RXJ786445:RXJ786446 SHF786445:SHF786446 SRB786445:SRB786446 TAX786445:TAX786446 TKT786445:TKT786446 TUP786445:TUP786446 UEL786445:UEL786446 UOH786445:UOH786446 UYD786445:UYD786446 VHZ786445:VHZ786446 VRV786445:VRV786446 WBR786445:WBR786446 WLN786445:WLN786446 WVJ786445:WVJ786446 B851981:B851982 IX851981:IX851982 ST851981:ST851982 ACP851981:ACP851982 AML851981:AML851982 AWH851981:AWH851982 BGD851981:BGD851982 BPZ851981:BPZ851982 BZV851981:BZV851982 CJR851981:CJR851982 CTN851981:CTN851982 DDJ851981:DDJ851982 DNF851981:DNF851982 DXB851981:DXB851982 EGX851981:EGX851982 EQT851981:EQT851982 FAP851981:FAP851982 FKL851981:FKL851982 FUH851981:FUH851982 GED851981:GED851982 GNZ851981:GNZ851982 GXV851981:GXV851982 HHR851981:HHR851982 HRN851981:HRN851982 IBJ851981:IBJ851982 ILF851981:ILF851982 IVB851981:IVB851982 JEX851981:JEX851982 JOT851981:JOT851982 JYP851981:JYP851982 KIL851981:KIL851982 KSH851981:KSH851982 LCD851981:LCD851982 LLZ851981:LLZ851982 LVV851981:LVV851982 MFR851981:MFR851982 MPN851981:MPN851982 MZJ851981:MZJ851982 NJF851981:NJF851982 NTB851981:NTB851982 OCX851981:OCX851982 OMT851981:OMT851982 OWP851981:OWP851982 PGL851981:PGL851982 PQH851981:PQH851982 QAD851981:QAD851982 QJZ851981:QJZ851982 QTV851981:QTV851982 RDR851981:RDR851982 RNN851981:RNN851982 RXJ851981:RXJ851982 SHF851981:SHF851982 SRB851981:SRB851982 TAX851981:TAX851982 TKT851981:TKT851982 TUP851981:TUP851982 UEL851981:UEL851982 UOH851981:UOH851982 UYD851981:UYD851982 VHZ851981:VHZ851982 VRV851981:VRV851982 WBR851981:WBR851982 WLN851981:WLN851982 WVJ851981:WVJ851982 B917517:B917518 IX917517:IX917518 ST917517:ST917518 ACP917517:ACP917518 AML917517:AML917518 AWH917517:AWH917518 BGD917517:BGD917518 BPZ917517:BPZ917518 BZV917517:BZV917518 CJR917517:CJR917518 CTN917517:CTN917518 DDJ917517:DDJ917518 DNF917517:DNF917518 DXB917517:DXB917518 EGX917517:EGX917518 EQT917517:EQT917518 FAP917517:FAP917518 FKL917517:FKL917518 FUH917517:FUH917518 GED917517:GED917518 GNZ917517:GNZ917518 GXV917517:GXV917518 HHR917517:HHR917518 HRN917517:HRN917518 IBJ917517:IBJ917518 ILF917517:ILF917518 IVB917517:IVB917518 JEX917517:JEX917518 JOT917517:JOT917518 JYP917517:JYP917518 KIL917517:KIL917518 KSH917517:KSH917518 LCD917517:LCD917518 LLZ917517:LLZ917518 LVV917517:LVV917518 MFR917517:MFR917518 MPN917517:MPN917518 MZJ917517:MZJ917518 NJF917517:NJF917518 NTB917517:NTB917518 OCX917517:OCX917518 OMT917517:OMT917518 OWP917517:OWP917518 PGL917517:PGL917518 PQH917517:PQH917518 QAD917517:QAD917518 QJZ917517:QJZ917518 QTV917517:QTV917518 RDR917517:RDR917518 RNN917517:RNN917518 RXJ917517:RXJ917518 SHF917517:SHF917518 SRB917517:SRB917518 TAX917517:TAX917518 TKT917517:TKT917518 TUP917517:TUP917518 UEL917517:UEL917518 UOH917517:UOH917518 UYD917517:UYD917518 VHZ917517:VHZ917518 VRV917517:VRV917518 WBR917517:WBR917518 WLN917517:WLN917518 WVJ917517:WVJ917518 B983053:B983054 IX983053:IX983054 ST983053:ST983054 ACP983053:ACP983054 AML983053:AML983054 AWH983053:AWH983054 BGD983053:BGD983054 BPZ983053:BPZ983054 BZV983053:BZV983054 CJR983053:CJR983054 CTN983053:CTN983054 DDJ983053:DDJ983054 DNF983053:DNF983054 DXB983053:DXB983054 EGX983053:EGX983054 EQT983053:EQT983054 FAP983053:FAP983054 FKL983053:FKL983054 FUH983053:FUH983054 GED983053:GED983054 GNZ983053:GNZ983054 GXV983053:GXV983054 HHR983053:HHR983054 HRN983053:HRN983054 IBJ983053:IBJ983054 ILF983053:ILF983054 IVB983053:IVB983054 JEX983053:JEX983054 JOT983053:JOT983054 JYP983053:JYP983054 KIL983053:KIL983054 KSH983053:KSH983054 LCD983053:LCD983054 LLZ983053:LLZ983054 LVV983053:LVV983054 MFR983053:MFR983054 MPN983053:MPN983054 MZJ983053:MZJ983054 NJF983053:NJF983054 NTB983053:NTB983054 OCX983053:OCX983054 OMT983053:OMT983054 OWP983053:OWP983054 PGL983053:PGL983054 PQH983053:PQH983054 QAD983053:QAD983054 QJZ983053:QJZ983054 QTV983053:QTV983054 RDR983053:RDR983054 RNN983053:RNN983054 RXJ983053:RXJ983054 SHF983053:SHF983054 SRB983053:SRB983054 TAX983053:TAX983054 TKT983053:TKT983054 TUP983053:TUP983054 UEL983053:UEL983054 UOH983053:UOH983054 UYD983053:UYD983054 VHZ983053:VHZ983054 VRV983053:VRV983054 WBR983053:WBR983054 WLN983053:WLN983054 WVJ983053:WVJ983054">
      <formula1>#REF!</formula1>
    </dataValidation>
    <dataValidation type="list" allowBlank="1" showInputMessage="1" showErrorMessage="1" sqref="P18 JL18 TH18 ADD18 AMZ18 AWV18 BGR18 BQN18 CAJ18 CKF18 CUB18 DDX18 DNT18 DXP18 EHL18 ERH18 FBD18 FKZ18 FUV18 GER18 GON18 GYJ18 HIF18 HSB18 IBX18 ILT18 IVP18 JFL18 JPH18 JZD18 KIZ18 KSV18 LCR18 LMN18 LWJ18 MGF18 MQB18 MZX18 NJT18 NTP18 ODL18 ONH18 OXD18 PGZ18 PQV18 QAR18 QKN18 QUJ18 REF18 ROB18 RXX18 SHT18 SRP18 TBL18 TLH18 TVD18 UEZ18 UOV18 UYR18 VIN18 VSJ18 WCF18 WMB18 WVX18 P65554 JL65554 TH65554 ADD65554 AMZ65554 AWV65554 BGR65554 BQN65554 CAJ65554 CKF65554 CUB65554 DDX65554 DNT65554 DXP65554 EHL65554 ERH65554 FBD65554 FKZ65554 FUV65554 GER65554 GON65554 GYJ65554 HIF65554 HSB65554 IBX65554 ILT65554 IVP65554 JFL65554 JPH65554 JZD65554 KIZ65554 KSV65554 LCR65554 LMN65554 LWJ65554 MGF65554 MQB65554 MZX65554 NJT65554 NTP65554 ODL65554 ONH65554 OXD65554 PGZ65554 PQV65554 QAR65554 QKN65554 QUJ65554 REF65554 ROB65554 RXX65554 SHT65554 SRP65554 TBL65554 TLH65554 TVD65554 UEZ65554 UOV65554 UYR65554 VIN65554 VSJ65554 WCF65554 WMB65554 WVX65554 P131090 JL131090 TH131090 ADD131090 AMZ131090 AWV131090 BGR131090 BQN131090 CAJ131090 CKF131090 CUB131090 DDX131090 DNT131090 DXP131090 EHL131090 ERH131090 FBD131090 FKZ131090 FUV131090 GER131090 GON131090 GYJ131090 HIF131090 HSB131090 IBX131090 ILT131090 IVP131090 JFL131090 JPH131090 JZD131090 KIZ131090 KSV131090 LCR131090 LMN131090 LWJ131090 MGF131090 MQB131090 MZX131090 NJT131090 NTP131090 ODL131090 ONH131090 OXD131090 PGZ131090 PQV131090 QAR131090 QKN131090 QUJ131090 REF131090 ROB131090 RXX131090 SHT131090 SRP131090 TBL131090 TLH131090 TVD131090 UEZ131090 UOV131090 UYR131090 VIN131090 VSJ131090 WCF131090 WMB131090 WVX131090 P196626 JL196626 TH196626 ADD196626 AMZ196626 AWV196626 BGR196626 BQN196626 CAJ196626 CKF196626 CUB196626 DDX196626 DNT196626 DXP196626 EHL196626 ERH196626 FBD196626 FKZ196626 FUV196626 GER196626 GON196626 GYJ196626 HIF196626 HSB196626 IBX196626 ILT196626 IVP196626 JFL196626 JPH196626 JZD196626 KIZ196626 KSV196626 LCR196626 LMN196626 LWJ196626 MGF196626 MQB196626 MZX196626 NJT196626 NTP196626 ODL196626 ONH196626 OXD196626 PGZ196626 PQV196626 QAR196626 QKN196626 QUJ196626 REF196626 ROB196626 RXX196626 SHT196626 SRP196626 TBL196626 TLH196626 TVD196626 UEZ196626 UOV196626 UYR196626 VIN196626 VSJ196626 WCF196626 WMB196626 WVX196626 P262162 JL262162 TH262162 ADD262162 AMZ262162 AWV262162 BGR262162 BQN262162 CAJ262162 CKF262162 CUB262162 DDX262162 DNT262162 DXP262162 EHL262162 ERH262162 FBD262162 FKZ262162 FUV262162 GER262162 GON262162 GYJ262162 HIF262162 HSB262162 IBX262162 ILT262162 IVP262162 JFL262162 JPH262162 JZD262162 KIZ262162 KSV262162 LCR262162 LMN262162 LWJ262162 MGF262162 MQB262162 MZX262162 NJT262162 NTP262162 ODL262162 ONH262162 OXD262162 PGZ262162 PQV262162 QAR262162 QKN262162 QUJ262162 REF262162 ROB262162 RXX262162 SHT262162 SRP262162 TBL262162 TLH262162 TVD262162 UEZ262162 UOV262162 UYR262162 VIN262162 VSJ262162 WCF262162 WMB262162 WVX262162 P327698 JL327698 TH327698 ADD327698 AMZ327698 AWV327698 BGR327698 BQN327698 CAJ327698 CKF327698 CUB327698 DDX327698 DNT327698 DXP327698 EHL327698 ERH327698 FBD327698 FKZ327698 FUV327698 GER327698 GON327698 GYJ327698 HIF327698 HSB327698 IBX327698 ILT327698 IVP327698 JFL327698 JPH327698 JZD327698 KIZ327698 KSV327698 LCR327698 LMN327698 LWJ327698 MGF327698 MQB327698 MZX327698 NJT327698 NTP327698 ODL327698 ONH327698 OXD327698 PGZ327698 PQV327698 QAR327698 QKN327698 QUJ327698 REF327698 ROB327698 RXX327698 SHT327698 SRP327698 TBL327698 TLH327698 TVD327698 UEZ327698 UOV327698 UYR327698 VIN327698 VSJ327698 WCF327698 WMB327698 WVX327698 P393234 JL393234 TH393234 ADD393234 AMZ393234 AWV393234 BGR393234 BQN393234 CAJ393234 CKF393234 CUB393234 DDX393234 DNT393234 DXP393234 EHL393234 ERH393234 FBD393234 FKZ393234 FUV393234 GER393234 GON393234 GYJ393234 HIF393234 HSB393234 IBX393234 ILT393234 IVP393234 JFL393234 JPH393234 JZD393234 KIZ393234 KSV393234 LCR393234 LMN393234 LWJ393234 MGF393234 MQB393234 MZX393234 NJT393234 NTP393234 ODL393234 ONH393234 OXD393234 PGZ393234 PQV393234 QAR393234 QKN393234 QUJ393234 REF393234 ROB393234 RXX393234 SHT393234 SRP393234 TBL393234 TLH393234 TVD393234 UEZ393234 UOV393234 UYR393234 VIN393234 VSJ393234 WCF393234 WMB393234 WVX393234 P458770 JL458770 TH458770 ADD458770 AMZ458770 AWV458770 BGR458770 BQN458770 CAJ458770 CKF458770 CUB458770 DDX458770 DNT458770 DXP458770 EHL458770 ERH458770 FBD458770 FKZ458770 FUV458770 GER458770 GON458770 GYJ458770 HIF458770 HSB458770 IBX458770 ILT458770 IVP458770 JFL458770 JPH458770 JZD458770 KIZ458770 KSV458770 LCR458770 LMN458770 LWJ458770 MGF458770 MQB458770 MZX458770 NJT458770 NTP458770 ODL458770 ONH458770 OXD458770 PGZ458770 PQV458770 QAR458770 QKN458770 QUJ458770 REF458770 ROB458770 RXX458770 SHT458770 SRP458770 TBL458770 TLH458770 TVD458770 UEZ458770 UOV458770 UYR458770 VIN458770 VSJ458770 WCF458770 WMB458770 WVX458770 P524306 JL524306 TH524306 ADD524306 AMZ524306 AWV524306 BGR524306 BQN524306 CAJ524306 CKF524306 CUB524306 DDX524306 DNT524306 DXP524306 EHL524306 ERH524306 FBD524306 FKZ524306 FUV524306 GER524306 GON524306 GYJ524306 HIF524306 HSB524306 IBX524306 ILT524306 IVP524306 JFL524306 JPH524306 JZD524306 KIZ524306 KSV524306 LCR524306 LMN524306 LWJ524306 MGF524306 MQB524306 MZX524306 NJT524306 NTP524306 ODL524306 ONH524306 OXD524306 PGZ524306 PQV524306 QAR524306 QKN524306 QUJ524306 REF524306 ROB524306 RXX524306 SHT524306 SRP524306 TBL524306 TLH524306 TVD524306 UEZ524306 UOV524306 UYR524306 VIN524306 VSJ524306 WCF524306 WMB524306 WVX524306 P589842 JL589842 TH589842 ADD589842 AMZ589842 AWV589842 BGR589842 BQN589842 CAJ589842 CKF589842 CUB589842 DDX589842 DNT589842 DXP589842 EHL589842 ERH589842 FBD589842 FKZ589842 FUV589842 GER589842 GON589842 GYJ589842 HIF589842 HSB589842 IBX589842 ILT589842 IVP589842 JFL589842 JPH589842 JZD589842 KIZ589842 KSV589842 LCR589842 LMN589842 LWJ589842 MGF589842 MQB589842 MZX589842 NJT589842 NTP589842 ODL589842 ONH589842 OXD589842 PGZ589842 PQV589842 QAR589842 QKN589842 QUJ589842 REF589842 ROB589842 RXX589842 SHT589842 SRP589842 TBL589842 TLH589842 TVD589842 UEZ589842 UOV589842 UYR589842 VIN589842 VSJ589842 WCF589842 WMB589842 WVX589842 P655378 JL655378 TH655378 ADD655378 AMZ655378 AWV655378 BGR655378 BQN655378 CAJ655378 CKF655378 CUB655378 DDX655378 DNT655378 DXP655378 EHL655378 ERH655378 FBD655378 FKZ655378 FUV655378 GER655378 GON655378 GYJ655378 HIF655378 HSB655378 IBX655378 ILT655378 IVP655378 JFL655378 JPH655378 JZD655378 KIZ655378 KSV655378 LCR655378 LMN655378 LWJ655378 MGF655378 MQB655378 MZX655378 NJT655378 NTP655378 ODL655378 ONH655378 OXD655378 PGZ655378 PQV655378 QAR655378 QKN655378 QUJ655378 REF655378 ROB655378 RXX655378 SHT655378 SRP655378 TBL655378 TLH655378 TVD655378 UEZ655378 UOV655378 UYR655378 VIN655378 VSJ655378 WCF655378 WMB655378 WVX655378 P720914 JL720914 TH720914 ADD720914 AMZ720914 AWV720914 BGR720914 BQN720914 CAJ720914 CKF720914 CUB720914 DDX720914 DNT720914 DXP720914 EHL720914 ERH720914 FBD720914 FKZ720914 FUV720914 GER720914 GON720914 GYJ720914 HIF720914 HSB720914 IBX720914 ILT720914 IVP720914 JFL720914 JPH720914 JZD720914 KIZ720914 KSV720914 LCR720914 LMN720914 LWJ720914 MGF720914 MQB720914 MZX720914 NJT720914 NTP720914 ODL720914 ONH720914 OXD720914 PGZ720914 PQV720914 QAR720914 QKN720914 QUJ720914 REF720914 ROB720914 RXX720914 SHT720914 SRP720914 TBL720914 TLH720914 TVD720914 UEZ720914 UOV720914 UYR720914 VIN720914 VSJ720914 WCF720914 WMB720914 WVX720914 P786450 JL786450 TH786450 ADD786450 AMZ786450 AWV786450 BGR786450 BQN786450 CAJ786450 CKF786450 CUB786450 DDX786450 DNT786450 DXP786450 EHL786450 ERH786450 FBD786450 FKZ786450 FUV786450 GER786450 GON786450 GYJ786450 HIF786450 HSB786450 IBX786450 ILT786450 IVP786450 JFL786450 JPH786450 JZD786450 KIZ786450 KSV786450 LCR786450 LMN786450 LWJ786450 MGF786450 MQB786450 MZX786450 NJT786450 NTP786450 ODL786450 ONH786450 OXD786450 PGZ786450 PQV786450 QAR786450 QKN786450 QUJ786450 REF786450 ROB786450 RXX786450 SHT786450 SRP786450 TBL786450 TLH786450 TVD786450 UEZ786450 UOV786450 UYR786450 VIN786450 VSJ786450 WCF786450 WMB786450 WVX786450 P851986 JL851986 TH851986 ADD851986 AMZ851986 AWV851986 BGR851986 BQN851986 CAJ851986 CKF851986 CUB851986 DDX851986 DNT851986 DXP851986 EHL851986 ERH851986 FBD851986 FKZ851986 FUV851986 GER851986 GON851986 GYJ851986 HIF851986 HSB851986 IBX851986 ILT851986 IVP851986 JFL851986 JPH851986 JZD851986 KIZ851986 KSV851986 LCR851986 LMN851986 LWJ851986 MGF851986 MQB851986 MZX851986 NJT851986 NTP851986 ODL851986 ONH851986 OXD851986 PGZ851986 PQV851986 QAR851986 QKN851986 QUJ851986 REF851986 ROB851986 RXX851986 SHT851986 SRP851986 TBL851986 TLH851986 TVD851986 UEZ851986 UOV851986 UYR851986 VIN851986 VSJ851986 WCF851986 WMB851986 WVX851986 P917522 JL917522 TH917522 ADD917522 AMZ917522 AWV917522 BGR917522 BQN917522 CAJ917522 CKF917522 CUB917522 DDX917522 DNT917522 DXP917522 EHL917522 ERH917522 FBD917522 FKZ917522 FUV917522 GER917522 GON917522 GYJ917522 HIF917522 HSB917522 IBX917522 ILT917522 IVP917522 JFL917522 JPH917522 JZD917522 KIZ917522 KSV917522 LCR917522 LMN917522 LWJ917522 MGF917522 MQB917522 MZX917522 NJT917522 NTP917522 ODL917522 ONH917522 OXD917522 PGZ917522 PQV917522 QAR917522 QKN917522 QUJ917522 REF917522 ROB917522 RXX917522 SHT917522 SRP917522 TBL917522 TLH917522 TVD917522 UEZ917522 UOV917522 UYR917522 VIN917522 VSJ917522 WCF917522 WMB917522 WVX917522 P983058 JL983058 TH983058 ADD983058 AMZ983058 AWV983058 BGR983058 BQN983058 CAJ983058 CKF983058 CUB983058 DDX983058 DNT983058 DXP983058 EHL983058 ERH983058 FBD983058 FKZ983058 FUV983058 GER983058 GON983058 GYJ983058 HIF983058 HSB983058 IBX983058 ILT983058 IVP983058 JFL983058 JPH983058 JZD983058 KIZ983058 KSV983058 LCR983058 LMN983058 LWJ983058 MGF983058 MQB983058 MZX983058 NJT983058 NTP983058 ODL983058 ONH983058 OXD983058 PGZ983058 PQV983058 QAR983058 QKN983058 QUJ983058 REF983058 ROB983058 RXX983058 SHT983058 SRP983058 TBL983058 TLH983058 TVD983058 UEZ983058 UOV983058 UYR983058 VIN983058 VSJ983058 WCF983058 WMB983058 WVX983058 B18 IX18 ST18 ACP18 AML18 AWH18 BGD18 BPZ18 BZV18 CJR18 CTN18 DDJ18 DNF18 DXB18 EGX18 EQT18 FAP18 FKL18 FUH18 GED18 GNZ18 GXV18 HHR18 HRN18 IBJ18 ILF18 IVB18 JEX18 JOT18 JYP18 KIL18 KSH18 LCD18 LLZ18 LVV18 MFR18 MPN18 MZJ18 NJF18 NTB18 OCX18 OMT18 OWP18 PGL18 PQH18 QAD18 QJZ18 QTV18 RDR18 RNN18 RXJ18 SHF18 SRB18 TAX18 TKT18 TUP18 UEL18 UOH18 UYD18 VHZ18 VRV18 WBR18 WLN18 WVJ18 B65554 IX65554 ST65554 ACP65554 AML65554 AWH65554 BGD65554 BPZ65554 BZV65554 CJR65554 CTN65554 DDJ65554 DNF65554 DXB65554 EGX65554 EQT65554 FAP65554 FKL65554 FUH65554 GED65554 GNZ65554 GXV65554 HHR65554 HRN65554 IBJ65554 ILF65554 IVB65554 JEX65554 JOT65554 JYP65554 KIL65554 KSH65554 LCD65554 LLZ65554 LVV65554 MFR65554 MPN65554 MZJ65554 NJF65554 NTB65554 OCX65554 OMT65554 OWP65554 PGL65554 PQH65554 QAD65554 QJZ65554 QTV65554 RDR65554 RNN65554 RXJ65554 SHF65554 SRB65554 TAX65554 TKT65554 TUP65554 UEL65554 UOH65554 UYD65554 VHZ65554 VRV65554 WBR65554 WLN65554 WVJ65554 B131090 IX131090 ST131090 ACP131090 AML131090 AWH131090 BGD131090 BPZ131090 BZV131090 CJR131090 CTN131090 DDJ131090 DNF131090 DXB131090 EGX131090 EQT131090 FAP131090 FKL131090 FUH131090 GED131090 GNZ131090 GXV131090 HHR131090 HRN131090 IBJ131090 ILF131090 IVB131090 JEX131090 JOT131090 JYP131090 KIL131090 KSH131090 LCD131090 LLZ131090 LVV131090 MFR131090 MPN131090 MZJ131090 NJF131090 NTB131090 OCX131090 OMT131090 OWP131090 PGL131090 PQH131090 QAD131090 QJZ131090 QTV131090 RDR131090 RNN131090 RXJ131090 SHF131090 SRB131090 TAX131090 TKT131090 TUP131090 UEL131090 UOH131090 UYD131090 VHZ131090 VRV131090 WBR131090 WLN131090 WVJ131090 B196626 IX196626 ST196626 ACP196626 AML196626 AWH196626 BGD196626 BPZ196626 BZV196626 CJR196626 CTN196626 DDJ196626 DNF196626 DXB196626 EGX196626 EQT196626 FAP196626 FKL196626 FUH196626 GED196626 GNZ196626 GXV196626 HHR196626 HRN196626 IBJ196626 ILF196626 IVB196626 JEX196626 JOT196626 JYP196626 KIL196626 KSH196626 LCD196626 LLZ196626 LVV196626 MFR196626 MPN196626 MZJ196626 NJF196626 NTB196626 OCX196626 OMT196626 OWP196626 PGL196626 PQH196626 QAD196626 QJZ196626 QTV196626 RDR196626 RNN196626 RXJ196626 SHF196626 SRB196626 TAX196626 TKT196626 TUP196626 UEL196626 UOH196626 UYD196626 VHZ196626 VRV196626 WBR196626 WLN196626 WVJ196626 B262162 IX262162 ST262162 ACP262162 AML262162 AWH262162 BGD262162 BPZ262162 BZV262162 CJR262162 CTN262162 DDJ262162 DNF262162 DXB262162 EGX262162 EQT262162 FAP262162 FKL262162 FUH262162 GED262162 GNZ262162 GXV262162 HHR262162 HRN262162 IBJ262162 ILF262162 IVB262162 JEX262162 JOT262162 JYP262162 KIL262162 KSH262162 LCD262162 LLZ262162 LVV262162 MFR262162 MPN262162 MZJ262162 NJF262162 NTB262162 OCX262162 OMT262162 OWP262162 PGL262162 PQH262162 QAD262162 QJZ262162 QTV262162 RDR262162 RNN262162 RXJ262162 SHF262162 SRB262162 TAX262162 TKT262162 TUP262162 UEL262162 UOH262162 UYD262162 VHZ262162 VRV262162 WBR262162 WLN262162 WVJ262162 B327698 IX327698 ST327698 ACP327698 AML327698 AWH327698 BGD327698 BPZ327698 BZV327698 CJR327698 CTN327698 DDJ327698 DNF327698 DXB327698 EGX327698 EQT327698 FAP327698 FKL327698 FUH327698 GED327698 GNZ327698 GXV327698 HHR327698 HRN327698 IBJ327698 ILF327698 IVB327698 JEX327698 JOT327698 JYP327698 KIL327698 KSH327698 LCD327698 LLZ327698 LVV327698 MFR327698 MPN327698 MZJ327698 NJF327698 NTB327698 OCX327698 OMT327698 OWP327698 PGL327698 PQH327698 QAD327698 QJZ327698 QTV327698 RDR327698 RNN327698 RXJ327698 SHF327698 SRB327698 TAX327698 TKT327698 TUP327698 UEL327698 UOH327698 UYD327698 VHZ327698 VRV327698 WBR327698 WLN327698 WVJ327698 B393234 IX393234 ST393234 ACP393234 AML393234 AWH393234 BGD393234 BPZ393234 BZV393234 CJR393234 CTN393234 DDJ393234 DNF393234 DXB393234 EGX393234 EQT393234 FAP393234 FKL393234 FUH393234 GED393234 GNZ393234 GXV393234 HHR393234 HRN393234 IBJ393234 ILF393234 IVB393234 JEX393234 JOT393234 JYP393234 KIL393234 KSH393234 LCD393234 LLZ393234 LVV393234 MFR393234 MPN393234 MZJ393234 NJF393234 NTB393234 OCX393234 OMT393234 OWP393234 PGL393234 PQH393234 QAD393234 QJZ393234 QTV393234 RDR393234 RNN393234 RXJ393234 SHF393234 SRB393234 TAX393234 TKT393234 TUP393234 UEL393234 UOH393234 UYD393234 VHZ393234 VRV393234 WBR393234 WLN393234 WVJ393234 B458770 IX458770 ST458770 ACP458770 AML458770 AWH458770 BGD458770 BPZ458770 BZV458770 CJR458770 CTN458770 DDJ458770 DNF458770 DXB458770 EGX458770 EQT458770 FAP458770 FKL458770 FUH458770 GED458770 GNZ458770 GXV458770 HHR458770 HRN458770 IBJ458770 ILF458770 IVB458770 JEX458770 JOT458770 JYP458770 KIL458770 KSH458770 LCD458770 LLZ458770 LVV458770 MFR458770 MPN458770 MZJ458770 NJF458770 NTB458770 OCX458770 OMT458770 OWP458770 PGL458770 PQH458770 QAD458770 QJZ458770 QTV458770 RDR458770 RNN458770 RXJ458770 SHF458770 SRB458770 TAX458770 TKT458770 TUP458770 UEL458770 UOH458770 UYD458770 VHZ458770 VRV458770 WBR458770 WLN458770 WVJ458770 B524306 IX524306 ST524306 ACP524306 AML524306 AWH524306 BGD524306 BPZ524306 BZV524306 CJR524306 CTN524306 DDJ524306 DNF524306 DXB524306 EGX524306 EQT524306 FAP524306 FKL524306 FUH524306 GED524306 GNZ524306 GXV524306 HHR524306 HRN524306 IBJ524306 ILF524306 IVB524306 JEX524306 JOT524306 JYP524306 KIL524306 KSH524306 LCD524306 LLZ524306 LVV524306 MFR524306 MPN524306 MZJ524306 NJF524306 NTB524306 OCX524306 OMT524306 OWP524306 PGL524306 PQH524306 QAD524306 QJZ524306 QTV524306 RDR524306 RNN524306 RXJ524306 SHF524306 SRB524306 TAX524306 TKT524306 TUP524306 UEL524306 UOH524306 UYD524306 VHZ524306 VRV524306 WBR524306 WLN524306 WVJ524306 B589842 IX589842 ST589842 ACP589842 AML589842 AWH589842 BGD589842 BPZ589842 BZV589842 CJR589842 CTN589842 DDJ589842 DNF589842 DXB589842 EGX589842 EQT589842 FAP589842 FKL589842 FUH589842 GED589842 GNZ589842 GXV589842 HHR589842 HRN589842 IBJ589842 ILF589842 IVB589842 JEX589842 JOT589842 JYP589842 KIL589842 KSH589842 LCD589842 LLZ589842 LVV589842 MFR589842 MPN589842 MZJ589842 NJF589842 NTB589842 OCX589842 OMT589842 OWP589842 PGL589842 PQH589842 QAD589842 QJZ589842 QTV589842 RDR589842 RNN589842 RXJ589842 SHF589842 SRB589842 TAX589842 TKT589842 TUP589842 UEL589842 UOH589842 UYD589842 VHZ589842 VRV589842 WBR589842 WLN589842 WVJ589842 B655378 IX655378 ST655378 ACP655378 AML655378 AWH655378 BGD655378 BPZ655378 BZV655378 CJR655378 CTN655378 DDJ655378 DNF655378 DXB655378 EGX655378 EQT655378 FAP655378 FKL655378 FUH655378 GED655378 GNZ655378 GXV655378 HHR655378 HRN655378 IBJ655378 ILF655378 IVB655378 JEX655378 JOT655378 JYP655378 KIL655378 KSH655378 LCD655378 LLZ655378 LVV655378 MFR655378 MPN655378 MZJ655378 NJF655378 NTB655378 OCX655378 OMT655378 OWP655378 PGL655378 PQH655378 QAD655378 QJZ655378 QTV655378 RDR655378 RNN655378 RXJ655378 SHF655378 SRB655378 TAX655378 TKT655378 TUP655378 UEL655378 UOH655378 UYD655378 VHZ655378 VRV655378 WBR655378 WLN655378 WVJ655378 B720914 IX720914 ST720914 ACP720914 AML720914 AWH720914 BGD720914 BPZ720914 BZV720914 CJR720914 CTN720914 DDJ720914 DNF720914 DXB720914 EGX720914 EQT720914 FAP720914 FKL720914 FUH720914 GED720914 GNZ720914 GXV720914 HHR720914 HRN720914 IBJ720914 ILF720914 IVB720914 JEX720914 JOT720914 JYP720914 KIL720914 KSH720914 LCD720914 LLZ720914 LVV720914 MFR720914 MPN720914 MZJ720914 NJF720914 NTB720914 OCX720914 OMT720914 OWP720914 PGL720914 PQH720914 QAD720914 QJZ720914 QTV720914 RDR720914 RNN720914 RXJ720914 SHF720914 SRB720914 TAX720914 TKT720914 TUP720914 UEL720914 UOH720914 UYD720914 VHZ720914 VRV720914 WBR720914 WLN720914 WVJ720914 B786450 IX786450 ST786450 ACP786450 AML786450 AWH786450 BGD786450 BPZ786450 BZV786450 CJR786450 CTN786450 DDJ786450 DNF786450 DXB786450 EGX786450 EQT786450 FAP786450 FKL786450 FUH786450 GED786450 GNZ786450 GXV786450 HHR786450 HRN786450 IBJ786450 ILF786450 IVB786450 JEX786450 JOT786450 JYP786450 KIL786450 KSH786450 LCD786450 LLZ786450 LVV786450 MFR786450 MPN786450 MZJ786450 NJF786450 NTB786450 OCX786450 OMT786450 OWP786450 PGL786450 PQH786450 QAD786450 QJZ786450 QTV786450 RDR786450 RNN786450 RXJ786450 SHF786450 SRB786450 TAX786450 TKT786450 TUP786450 UEL786450 UOH786450 UYD786450 VHZ786450 VRV786450 WBR786450 WLN786450 WVJ786450 B851986 IX851986 ST851986 ACP851986 AML851986 AWH851986 BGD851986 BPZ851986 BZV851986 CJR851986 CTN851986 DDJ851986 DNF851986 DXB851986 EGX851986 EQT851986 FAP851986 FKL851986 FUH851986 GED851986 GNZ851986 GXV851986 HHR851986 HRN851986 IBJ851986 ILF851986 IVB851986 JEX851986 JOT851986 JYP851986 KIL851986 KSH851986 LCD851986 LLZ851986 LVV851986 MFR851986 MPN851986 MZJ851986 NJF851986 NTB851986 OCX851986 OMT851986 OWP851986 PGL851986 PQH851986 QAD851986 QJZ851986 QTV851986 RDR851986 RNN851986 RXJ851986 SHF851986 SRB851986 TAX851986 TKT851986 TUP851986 UEL851986 UOH851986 UYD851986 VHZ851986 VRV851986 WBR851986 WLN851986 WVJ851986 B917522 IX917522 ST917522 ACP917522 AML917522 AWH917522 BGD917522 BPZ917522 BZV917522 CJR917522 CTN917522 DDJ917522 DNF917522 DXB917522 EGX917522 EQT917522 FAP917522 FKL917522 FUH917522 GED917522 GNZ917522 GXV917522 HHR917522 HRN917522 IBJ917522 ILF917522 IVB917522 JEX917522 JOT917522 JYP917522 KIL917522 KSH917522 LCD917522 LLZ917522 LVV917522 MFR917522 MPN917522 MZJ917522 NJF917522 NTB917522 OCX917522 OMT917522 OWP917522 PGL917522 PQH917522 QAD917522 QJZ917522 QTV917522 RDR917522 RNN917522 RXJ917522 SHF917522 SRB917522 TAX917522 TKT917522 TUP917522 UEL917522 UOH917522 UYD917522 VHZ917522 VRV917522 WBR917522 WLN917522 WVJ917522 B983058 IX983058 ST983058 ACP983058 AML983058 AWH983058 BGD983058 BPZ983058 BZV983058 CJR983058 CTN983058 DDJ983058 DNF983058 DXB983058 EGX983058 EQT983058 FAP983058 FKL983058 FUH983058 GED983058 GNZ983058 GXV983058 HHR983058 HRN983058 IBJ983058 ILF983058 IVB983058 JEX983058 JOT983058 JYP983058 KIL983058 KSH983058 LCD983058 LLZ983058 LVV983058 MFR983058 MPN983058 MZJ983058 NJF983058 NTB983058 OCX983058 OMT983058 OWP983058 PGL983058 PQH983058 QAD983058 QJZ983058 QTV983058 RDR983058 RNN983058 RXJ983058 SHF983058 SRB983058 TAX983058 TKT983058 TUP983058 UEL983058 UOH983058 UYD983058 VHZ983058 VRV983058 WBR983058 WLN983058 WVJ983058">
      <formula1>#REF!</formula1>
    </dataValidation>
    <dataValidation type="list" allowBlank="1" showInputMessage="1" showErrorMessage="1" sqref="WVJ983059:WVJ983064 JL21:JM24 TH21:TI24 ADD21:ADE24 AMZ21:ANA24 AWV21:AWW24 BGR21:BGS24 BQN21:BQO24 CAJ21:CAK24 CKF21:CKG24 CUB21:CUC24 DDX21:DDY24 DNT21:DNU24 DXP21:DXQ24 EHL21:EHM24 ERH21:ERI24 FBD21:FBE24 FKZ21:FLA24 FUV21:FUW24 GER21:GES24 GON21:GOO24 GYJ21:GYK24 HIF21:HIG24 HSB21:HSC24 IBX21:IBY24 ILT21:ILU24 IVP21:IVQ24 JFL21:JFM24 JPH21:JPI24 JZD21:JZE24 KIZ21:KJA24 KSV21:KSW24 LCR21:LCS24 LMN21:LMO24 LWJ21:LWK24 MGF21:MGG24 MQB21:MQC24 MZX21:MZY24 NJT21:NJU24 NTP21:NTQ24 ODL21:ODM24 ONH21:ONI24 OXD21:OXE24 PGZ21:PHA24 PQV21:PQW24 QAR21:QAS24 QKN21:QKO24 QUJ21:QUK24 REF21:REG24 ROB21:ROC24 RXX21:RXY24 SHT21:SHU24 SRP21:SRQ24 TBL21:TBM24 TLH21:TLI24 TVD21:TVE24 UEZ21:UFA24 UOV21:UOW24 UYR21:UYS24 VIN21:VIO24 VSJ21:VSK24 WCF21:WCG24 WMB21:WMC24 WVX21:WVY24 P65557:Q65560 JL65557:JM65560 TH65557:TI65560 ADD65557:ADE65560 AMZ65557:ANA65560 AWV65557:AWW65560 BGR65557:BGS65560 BQN65557:BQO65560 CAJ65557:CAK65560 CKF65557:CKG65560 CUB65557:CUC65560 DDX65557:DDY65560 DNT65557:DNU65560 DXP65557:DXQ65560 EHL65557:EHM65560 ERH65557:ERI65560 FBD65557:FBE65560 FKZ65557:FLA65560 FUV65557:FUW65560 GER65557:GES65560 GON65557:GOO65560 GYJ65557:GYK65560 HIF65557:HIG65560 HSB65557:HSC65560 IBX65557:IBY65560 ILT65557:ILU65560 IVP65557:IVQ65560 JFL65557:JFM65560 JPH65557:JPI65560 JZD65557:JZE65560 KIZ65557:KJA65560 KSV65557:KSW65560 LCR65557:LCS65560 LMN65557:LMO65560 LWJ65557:LWK65560 MGF65557:MGG65560 MQB65557:MQC65560 MZX65557:MZY65560 NJT65557:NJU65560 NTP65557:NTQ65560 ODL65557:ODM65560 ONH65557:ONI65560 OXD65557:OXE65560 PGZ65557:PHA65560 PQV65557:PQW65560 QAR65557:QAS65560 QKN65557:QKO65560 QUJ65557:QUK65560 REF65557:REG65560 ROB65557:ROC65560 RXX65557:RXY65560 SHT65557:SHU65560 SRP65557:SRQ65560 TBL65557:TBM65560 TLH65557:TLI65560 TVD65557:TVE65560 UEZ65557:UFA65560 UOV65557:UOW65560 UYR65557:UYS65560 VIN65557:VIO65560 VSJ65557:VSK65560 WCF65557:WCG65560 WMB65557:WMC65560 WVX65557:WVY65560 P131093:Q131096 JL131093:JM131096 TH131093:TI131096 ADD131093:ADE131096 AMZ131093:ANA131096 AWV131093:AWW131096 BGR131093:BGS131096 BQN131093:BQO131096 CAJ131093:CAK131096 CKF131093:CKG131096 CUB131093:CUC131096 DDX131093:DDY131096 DNT131093:DNU131096 DXP131093:DXQ131096 EHL131093:EHM131096 ERH131093:ERI131096 FBD131093:FBE131096 FKZ131093:FLA131096 FUV131093:FUW131096 GER131093:GES131096 GON131093:GOO131096 GYJ131093:GYK131096 HIF131093:HIG131096 HSB131093:HSC131096 IBX131093:IBY131096 ILT131093:ILU131096 IVP131093:IVQ131096 JFL131093:JFM131096 JPH131093:JPI131096 JZD131093:JZE131096 KIZ131093:KJA131096 KSV131093:KSW131096 LCR131093:LCS131096 LMN131093:LMO131096 LWJ131093:LWK131096 MGF131093:MGG131096 MQB131093:MQC131096 MZX131093:MZY131096 NJT131093:NJU131096 NTP131093:NTQ131096 ODL131093:ODM131096 ONH131093:ONI131096 OXD131093:OXE131096 PGZ131093:PHA131096 PQV131093:PQW131096 QAR131093:QAS131096 QKN131093:QKO131096 QUJ131093:QUK131096 REF131093:REG131096 ROB131093:ROC131096 RXX131093:RXY131096 SHT131093:SHU131096 SRP131093:SRQ131096 TBL131093:TBM131096 TLH131093:TLI131096 TVD131093:TVE131096 UEZ131093:UFA131096 UOV131093:UOW131096 UYR131093:UYS131096 VIN131093:VIO131096 VSJ131093:VSK131096 WCF131093:WCG131096 WMB131093:WMC131096 WVX131093:WVY131096 P196629:Q196632 JL196629:JM196632 TH196629:TI196632 ADD196629:ADE196632 AMZ196629:ANA196632 AWV196629:AWW196632 BGR196629:BGS196632 BQN196629:BQO196632 CAJ196629:CAK196632 CKF196629:CKG196632 CUB196629:CUC196632 DDX196629:DDY196632 DNT196629:DNU196632 DXP196629:DXQ196632 EHL196629:EHM196632 ERH196629:ERI196632 FBD196629:FBE196632 FKZ196629:FLA196632 FUV196629:FUW196632 GER196629:GES196632 GON196629:GOO196632 GYJ196629:GYK196632 HIF196629:HIG196632 HSB196629:HSC196632 IBX196629:IBY196632 ILT196629:ILU196632 IVP196629:IVQ196632 JFL196629:JFM196632 JPH196629:JPI196632 JZD196629:JZE196632 KIZ196629:KJA196632 KSV196629:KSW196632 LCR196629:LCS196632 LMN196629:LMO196632 LWJ196629:LWK196632 MGF196629:MGG196632 MQB196629:MQC196632 MZX196629:MZY196632 NJT196629:NJU196632 NTP196629:NTQ196632 ODL196629:ODM196632 ONH196629:ONI196632 OXD196629:OXE196632 PGZ196629:PHA196632 PQV196629:PQW196632 QAR196629:QAS196632 QKN196629:QKO196632 QUJ196629:QUK196632 REF196629:REG196632 ROB196629:ROC196632 RXX196629:RXY196632 SHT196629:SHU196632 SRP196629:SRQ196632 TBL196629:TBM196632 TLH196629:TLI196632 TVD196629:TVE196632 UEZ196629:UFA196632 UOV196629:UOW196632 UYR196629:UYS196632 VIN196629:VIO196632 VSJ196629:VSK196632 WCF196629:WCG196632 WMB196629:WMC196632 WVX196629:WVY196632 P262165:Q262168 JL262165:JM262168 TH262165:TI262168 ADD262165:ADE262168 AMZ262165:ANA262168 AWV262165:AWW262168 BGR262165:BGS262168 BQN262165:BQO262168 CAJ262165:CAK262168 CKF262165:CKG262168 CUB262165:CUC262168 DDX262165:DDY262168 DNT262165:DNU262168 DXP262165:DXQ262168 EHL262165:EHM262168 ERH262165:ERI262168 FBD262165:FBE262168 FKZ262165:FLA262168 FUV262165:FUW262168 GER262165:GES262168 GON262165:GOO262168 GYJ262165:GYK262168 HIF262165:HIG262168 HSB262165:HSC262168 IBX262165:IBY262168 ILT262165:ILU262168 IVP262165:IVQ262168 JFL262165:JFM262168 JPH262165:JPI262168 JZD262165:JZE262168 KIZ262165:KJA262168 KSV262165:KSW262168 LCR262165:LCS262168 LMN262165:LMO262168 LWJ262165:LWK262168 MGF262165:MGG262168 MQB262165:MQC262168 MZX262165:MZY262168 NJT262165:NJU262168 NTP262165:NTQ262168 ODL262165:ODM262168 ONH262165:ONI262168 OXD262165:OXE262168 PGZ262165:PHA262168 PQV262165:PQW262168 QAR262165:QAS262168 QKN262165:QKO262168 QUJ262165:QUK262168 REF262165:REG262168 ROB262165:ROC262168 RXX262165:RXY262168 SHT262165:SHU262168 SRP262165:SRQ262168 TBL262165:TBM262168 TLH262165:TLI262168 TVD262165:TVE262168 UEZ262165:UFA262168 UOV262165:UOW262168 UYR262165:UYS262168 VIN262165:VIO262168 VSJ262165:VSK262168 WCF262165:WCG262168 WMB262165:WMC262168 WVX262165:WVY262168 P327701:Q327704 JL327701:JM327704 TH327701:TI327704 ADD327701:ADE327704 AMZ327701:ANA327704 AWV327701:AWW327704 BGR327701:BGS327704 BQN327701:BQO327704 CAJ327701:CAK327704 CKF327701:CKG327704 CUB327701:CUC327704 DDX327701:DDY327704 DNT327701:DNU327704 DXP327701:DXQ327704 EHL327701:EHM327704 ERH327701:ERI327704 FBD327701:FBE327704 FKZ327701:FLA327704 FUV327701:FUW327704 GER327701:GES327704 GON327701:GOO327704 GYJ327701:GYK327704 HIF327701:HIG327704 HSB327701:HSC327704 IBX327701:IBY327704 ILT327701:ILU327704 IVP327701:IVQ327704 JFL327701:JFM327704 JPH327701:JPI327704 JZD327701:JZE327704 KIZ327701:KJA327704 KSV327701:KSW327704 LCR327701:LCS327704 LMN327701:LMO327704 LWJ327701:LWK327704 MGF327701:MGG327704 MQB327701:MQC327704 MZX327701:MZY327704 NJT327701:NJU327704 NTP327701:NTQ327704 ODL327701:ODM327704 ONH327701:ONI327704 OXD327701:OXE327704 PGZ327701:PHA327704 PQV327701:PQW327704 QAR327701:QAS327704 QKN327701:QKO327704 QUJ327701:QUK327704 REF327701:REG327704 ROB327701:ROC327704 RXX327701:RXY327704 SHT327701:SHU327704 SRP327701:SRQ327704 TBL327701:TBM327704 TLH327701:TLI327704 TVD327701:TVE327704 UEZ327701:UFA327704 UOV327701:UOW327704 UYR327701:UYS327704 VIN327701:VIO327704 VSJ327701:VSK327704 WCF327701:WCG327704 WMB327701:WMC327704 WVX327701:WVY327704 P393237:Q393240 JL393237:JM393240 TH393237:TI393240 ADD393237:ADE393240 AMZ393237:ANA393240 AWV393237:AWW393240 BGR393237:BGS393240 BQN393237:BQO393240 CAJ393237:CAK393240 CKF393237:CKG393240 CUB393237:CUC393240 DDX393237:DDY393240 DNT393237:DNU393240 DXP393237:DXQ393240 EHL393237:EHM393240 ERH393237:ERI393240 FBD393237:FBE393240 FKZ393237:FLA393240 FUV393237:FUW393240 GER393237:GES393240 GON393237:GOO393240 GYJ393237:GYK393240 HIF393237:HIG393240 HSB393237:HSC393240 IBX393237:IBY393240 ILT393237:ILU393240 IVP393237:IVQ393240 JFL393237:JFM393240 JPH393237:JPI393240 JZD393237:JZE393240 KIZ393237:KJA393240 KSV393237:KSW393240 LCR393237:LCS393240 LMN393237:LMO393240 LWJ393237:LWK393240 MGF393237:MGG393240 MQB393237:MQC393240 MZX393237:MZY393240 NJT393237:NJU393240 NTP393237:NTQ393240 ODL393237:ODM393240 ONH393237:ONI393240 OXD393237:OXE393240 PGZ393237:PHA393240 PQV393237:PQW393240 QAR393237:QAS393240 QKN393237:QKO393240 QUJ393237:QUK393240 REF393237:REG393240 ROB393237:ROC393240 RXX393237:RXY393240 SHT393237:SHU393240 SRP393237:SRQ393240 TBL393237:TBM393240 TLH393237:TLI393240 TVD393237:TVE393240 UEZ393237:UFA393240 UOV393237:UOW393240 UYR393237:UYS393240 VIN393237:VIO393240 VSJ393237:VSK393240 WCF393237:WCG393240 WMB393237:WMC393240 WVX393237:WVY393240 P458773:Q458776 JL458773:JM458776 TH458773:TI458776 ADD458773:ADE458776 AMZ458773:ANA458776 AWV458773:AWW458776 BGR458773:BGS458776 BQN458773:BQO458776 CAJ458773:CAK458776 CKF458773:CKG458776 CUB458773:CUC458776 DDX458773:DDY458776 DNT458773:DNU458776 DXP458773:DXQ458776 EHL458773:EHM458776 ERH458773:ERI458776 FBD458773:FBE458776 FKZ458773:FLA458776 FUV458773:FUW458776 GER458773:GES458776 GON458773:GOO458776 GYJ458773:GYK458776 HIF458773:HIG458776 HSB458773:HSC458776 IBX458773:IBY458776 ILT458773:ILU458776 IVP458773:IVQ458776 JFL458773:JFM458776 JPH458773:JPI458776 JZD458773:JZE458776 KIZ458773:KJA458776 KSV458773:KSW458776 LCR458773:LCS458776 LMN458773:LMO458776 LWJ458773:LWK458776 MGF458773:MGG458776 MQB458773:MQC458776 MZX458773:MZY458776 NJT458773:NJU458776 NTP458773:NTQ458776 ODL458773:ODM458776 ONH458773:ONI458776 OXD458773:OXE458776 PGZ458773:PHA458776 PQV458773:PQW458776 QAR458773:QAS458776 QKN458773:QKO458776 QUJ458773:QUK458776 REF458773:REG458776 ROB458773:ROC458776 RXX458773:RXY458776 SHT458773:SHU458776 SRP458773:SRQ458776 TBL458773:TBM458776 TLH458773:TLI458776 TVD458773:TVE458776 UEZ458773:UFA458776 UOV458773:UOW458776 UYR458773:UYS458776 VIN458773:VIO458776 VSJ458773:VSK458776 WCF458773:WCG458776 WMB458773:WMC458776 WVX458773:WVY458776 P524309:Q524312 JL524309:JM524312 TH524309:TI524312 ADD524309:ADE524312 AMZ524309:ANA524312 AWV524309:AWW524312 BGR524309:BGS524312 BQN524309:BQO524312 CAJ524309:CAK524312 CKF524309:CKG524312 CUB524309:CUC524312 DDX524309:DDY524312 DNT524309:DNU524312 DXP524309:DXQ524312 EHL524309:EHM524312 ERH524309:ERI524312 FBD524309:FBE524312 FKZ524309:FLA524312 FUV524309:FUW524312 GER524309:GES524312 GON524309:GOO524312 GYJ524309:GYK524312 HIF524309:HIG524312 HSB524309:HSC524312 IBX524309:IBY524312 ILT524309:ILU524312 IVP524309:IVQ524312 JFL524309:JFM524312 JPH524309:JPI524312 JZD524309:JZE524312 KIZ524309:KJA524312 KSV524309:KSW524312 LCR524309:LCS524312 LMN524309:LMO524312 LWJ524309:LWK524312 MGF524309:MGG524312 MQB524309:MQC524312 MZX524309:MZY524312 NJT524309:NJU524312 NTP524309:NTQ524312 ODL524309:ODM524312 ONH524309:ONI524312 OXD524309:OXE524312 PGZ524309:PHA524312 PQV524309:PQW524312 QAR524309:QAS524312 QKN524309:QKO524312 QUJ524309:QUK524312 REF524309:REG524312 ROB524309:ROC524312 RXX524309:RXY524312 SHT524309:SHU524312 SRP524309:SRQ524312 TBL524309:TBM524312 TLH524309:TLI524312 TVD524309:TVE524312 UEZ524309:UFA524312 UOV524309:UOW524312 UYR524309:UYS524312 VIN524309:VIO524312 VSJ524309:VSK524312 WCF524309:WCG524312 WMB524309:WMC524312 WVX524309:WVY524312 P589845:Q589848 JL589845:JM589848 TH589845:TI589848 ADD589845:ADE589848 AMZ589845:ANA589848 AWV589845:AWW589848 BGR589845:BGS589848 BQN589845:BQO589848 CAJ589845:CAK589848 CKF589845:CKG589848 CUB589845:CUC589848 DDX589845:DDY589848 DNT589845:DNU589848 DXP589845:DXQ589848 EHL589845:EHM589848 ERH589845:ERI589848 FBD589845:FBE589848 FKZ589845:FLA589848 FUV589845:FUW589848 GER589845:GES589848 GON589845:GOO589848 GYJ589845:GYK589848 HIF589845:HIG589848 HSB589845:HSC589848 IBX589845:IBY589848 ILT589845:ILU589848 IVP589845:IVQ589848 JFL589845:JFM589848 JPH589845:JPI589848 JZD589845:JZE589848 KIZ589845:KJA589848 KSV589845:KSW589848 LCR589845:LCS589848 LMN589845:LMO589848 LWJ589845:LWK589848 MGF589845:MGG589848 MQB589845:MQC589848 MZX589845:MZY589848 NJT589845:NJU589848 NTP589845:NTQ589848 ODL589845:ODM589848 ONH589845:ONI589848 OXD589845:OXE589848 PGZ589845:PHA589848 PQV589845:PQW589848 QAR589845:QAS589848 QKN589845:QKO589848 QUJ589845:QUK589848 REF589845:REG589848 ROB589845:ROC589848 RXX589845:RXY589848 SHT589845:SHU589848 SRP589845:SRQ589848 TBL589845:TBM589848 TLH589845:TLI589848 TVD589845:TVE589848 UEZ589845:UFA589848 UOV589845:UOW589848 UYR589845:UYS589848 VIN589845:VIO589848 VSJ589845:VSK589848 WCF589845:WCG589848 WMB589845:WMC589848 WVX589845:WVY589848 P655381:Q655384 JL655381:JM655384 TH655381:TI655384 ADD655381:ADE655384 AMZ655381:ANA655384 AWV655381:AWW655384 BGR655381:BGS655384 BQN655381:BQO655384 CAJ655381:CAK655384 CKF655381:CKG655384 CUB655381:CUC655384 DDX655381:DDY655384 DNT655381:DNU655384 DXP655381:DXQ655384 EHL655381:EHM655384 ERH655381:ERI655384 FBD655381:FBE655384 FKZ655381:FLA655384 FUV655381:FUW655384 GER655381:GES655384 GON655381:GOO655384 GYJ655381:GYK655384 HIF655381:HIG655384 HSB655381:HSC655384 IBX655381:IBY655384 ILT655381:ILU655384 IVP655381:IVQ655384 JFL655381:JFM655384 JPH655381:JPI655384 JZD655381:JZE655384 KIZ655381:KJA655384 KSV655381:KSW655384 LCR655381:LCS655384 LMN655381:LMO655384 LWJ655381:LWK655384 MGF655381:MGG655384 MQB655381:MQC655384 MZX655381:MZY655384 NJT655381:NJU655384 NTP655381:NTQ655384 ODL655381:ODM655384 ONH655381:ONI655384 OXD655381:OXE655384 PGZ655381:PHA655384 PQV655381:PQW655384 QAR655381:QAS655384 QKN655381:QKO655384 QUJ655381:QUK655384 REF655381:REG655384 ROB655381:ROC655384 RXX655381:RXY655384 SHT655381:SHU655384 SRP655381:SRQ655384 TBL655381:TBM655384 TLH655381:TLI655384 TVD655381:TVE655384 UEZ655381:UFA655384 UOV655381:UOW655384 UYR655381:UYS655384 VIN655381:VIO655384 VSJ655381:VSK655384 WCF655381:WCG655384 WMB655381:WMC655384 WVX655381:WVY655384 P720917:Q720920 JL720917:JM720920 TH720917:TI720920 ADD720917:ADE720920 AMZ720917:ANA720920 AWV720917:AWW720920 BGR720917:BGS720920 BQN720917:BQO720920 CAJ720917:CAK720920 CKF720917:CKG720920 CUB720917:CUC720920 DDX720917:DDY720920 DNT720917:DNU720920 DXP720917:DXQ720920 EHL720917:EHM720920 ERH720917:ERI720920 FBD720917:FBE720920 FKZ720917:FLA720920 FUV720917:FUW720920 GER720917:GES720920 GON720917:GOO720920 GYJ720917:GYK720920 HIF720917:HIG720920 HSB720917:HSC720920 IBX720917:IBY720920 ILT720917:ILU720920 IVP720917:IVQ720920 JFL720917:JFM720920 JPH720917:JPI720920 JZD720917:JZE720920 KIZ720917:KJA720920 KSV720917:KSW720920 LCR720917:LCS720920 LMN720917:LMO720920 LWJ720917:LWK720920 MGF720917:MGG720920 MQB720917:MQC720920 MZX720917:MZY720920 NJT720917:NJU720920 NTP720917:NTQ720920 ODL720917:ODM720920 ONH720917:ONI720920 OXD720917:OXE720920 PGZ720917:PHA720920 PQV720917:PQW720920 QAR720917:QAS720920 QKN720917:QKO720920 QUJ720917:QUK720920 REF720917:REG720920 ROB720917:ROC720920 RXX720917:RXY720920 SHT720917:SHU720920 SRP720917:SRQ720920 TBL720917:TBM720920 TLH720917:TLI720920 TVD720917:TVE720920 UEZ720917:UFA720920 UOV720917:UOW720920 UYR720917:UYS720920 VIN720917:VIO720920 VSJ720917:VSK720920 WCF720917:WCG720920 WMB720917:WMC720920 WVX720917:WVY720920 P786453:Q786456 JL786453:JM786456 TH786453:TI786456 ADD786453:ADE786456 AMZ786453:ANA786456 AWV786453:AWW786456 BGR786453:BGS786456 BQN786453:BQO786456 CAJ786453:CAK786456 CKF786453:CKG786456 CUB786453:CUC786456 DDX786453:DDY786456 DNT786453:DNU786456 DXP786453:DXQ786456 EHL786453:EHM786456 ERH786453:ERI786456 FBD786453:FBE786456 FKZ786453:FLA786456 FUV786453:FUW786456 GER786453:GES786456 GON786453:GOO786456 GYJ786453:GYK786456 HIF786453:HIG786456 HSB786453:HSC786456 IBX786453:IBY786456 ILT786453:ILU786456 IVP786453:IVQ786456 JFL786453:JFM786456 JPH786453:JPI786456 JZD786453:JZE786456 KIZ786453:KJA786456 KSV786453:KSW786456 LCR786453:LCS786456 LMN786453:LMO786456 LWJ786453:LWK786456 MGF786453:MGG786456 MQB786453:MQC786456 MZX786453:MZY786456 NJT786453:NJU786456 NTP786453:NTQ786456 ODL786453:ODM786456 ONH786453:ONI786456 OXD786453:OXE786456 PGZ786453:PHA786456 PQV786453:PQW786456 QAR786453:QAS786456 QKN786453:QKO786456 QUJ786453:QUK786456 REF786453:REG786456 ROB786453:ROC786456 RXX786453:RXY786456 SHT786453:SHU786456 SRP786453:SRQ786456 TBL786453:TBM786456 TLH786453:TLI786456 TVD786453:TVE786456 UEZ786453:UFA786456 UOV786453:UOW786456 UYR786453:UYS786456 VIN786453:VIO786456 VSJ786453:VSK786456 WCF786453:WCG786456 WMB786453:WMC786456 WVX786453:WVY786456 P851989:Q851992 JL851989:JM851992 TH851989:TI851992 ADD851989:ADE851992 AMZ851989:ANA851992 AWV851989:AWW851992 BGR851989:BGS851992 BQN851989:BQO851992 CAJ851989:CAK851992 CKF851989:CKG851992 CUB851989:CUC851992 DDX851989:DDY851992 DNT851989:DNU851992 DXP851989:DXQ851992 EHL851989:EHM851992 ERH851989:ERI851992 FBD851989:FBE851992 FKZ851989:FLA851992 FUV851989:FUW851992 GER851989:GES851992 GON851989:GOO851992 GYJ851989:GYK851992 HIF851989:HIG851992 HSB851989:HSC851992 IBX851989:IBY851992 ILT851989:ILU851992 IVP851989:IVQ851992 JFL851989:JFM851992 JPH851989:JPI851992 JZD851989:JZE851992 KIZ851989:KJA851992 KSV851989:KSW851992 LCR851989:LCS851992 LMN851989:LMO851992 LWJ851989:LWK851992 MGF851989:MGG851992 MQB851989:MQC851992 MZX851989:MZY851992 NJT851989:NJU851992 NTP851989:NTQ851992 ODL851989:ODM851992 ONH851989:ONI851992 OXD851989:OXE851992 PGZ851989:PHA851992 PQV851989:PQW851992 QAR851989:QAS851992 QKN851989:QKO851992 QUJ851989:QUK851992 REF851989:REG851992 ROB851989:ROC851992 RXX851989:RXY851992 SHT851989:SHU851992 SRP851989:SRQ851992 TBL851989:TBM851992 TLH851989:TLI851992 TVD851989:TVE851992 UEZ851989:UFA851992 UOV851989:UOW851992 UYR851989:UYS851992 VIN851989:VIO851992 VSJ851989:VSK851992 WCF851989:WCG851992 WMB851989:WMC851992 WVX851989:WVY851992 P917525:Q917528 JL917525:JM917528 TH917525:TI917528 ADD917525:ADE917528 AMZ917525:ANA917528 AWV917525:AWW917528 BGR917525:BGS917528 BQN917525:BQO917528 CAJ917525:CAK917528 CKF917525:CKG917528 CUB917525:CUC917528 DDX917525:DDY917528 DNT917525:DNU917528 DXP917525:DXQ917528 EHL917525:EHM917528 ERH917525:ERI917528 FBD917525:FBE917528 FKZ917525:FLA917528 FUV917525:FUW917528 GER917525:GES917528 GON917525:GOO917528 GYJ917525:GYK917528 HIF917525:HIG917528 HSB917525:HSC917528 IBX917525:IBY917528 ILT917525:ILU917528 IVP917525:IVQ917528 JFL917525:JFM917528 JPH917525:JPI917528 JZD917525:JZE917528 KIZ917525:KJA917528 KSV917525:KSW917528 LCR917525:LCS917528 LMN917525:LMO917528 LWJ917525:LWK917528 MGF917525:MGG917528 MQB917525:MQC917528 MZX917525:MZY917528 NJT917525:NJU917528 NTP917525:NTQ917528 ODL917525:ODM917528 ONH917525:ONI917528 OXD917525:OXE917528 PGZ917525:PHA917528 PQV917525:PQW917528 QAR917525:QAS917528 QKN917525:QKO917528 QUJ917525:QUK917528 REF917525:REG917528 ROB917525:ROC917528 RXX917525:RXY917528 SHT917525:SHU917528 SRP917525:SRQ917528 TBL917525:TBM917528 TLH917525:TLI917528 TVD917525:TVE917528 UEZ917525:UFA917528 UOV917525:UOW917528 UYR917525:UYS917528 VIN917525:VIO917528 VSJ917525:VSK917528 WCF917525:WCG917528 WMB917525:WMC917528 WVX917525:WVY917528 P983061:Q983064 JL983061:JM983064 TH983061:TI983064 ADD983061:ADE983064 AMZ983061:ANA983064 AWV983061:AWW983064 BGR983061:BGS983064 BQN983061:BQO983064 CAJ983061:CAK983064 CKF983061:CKG983064 CUB983061:CUC983064 DDX983061:DDY983064 DNT983061:DNU983064 DXP983061:DXQ983064 EHL983061:EHM983064 ERH983061:ERI983064 FBD983061:FBE983064 FKZ983061:FLA983064 FUV983061:FUW983064 GER983061:GES983064 GON983061:GOO983064 GYJ983061:GYK983064 HIF983061:HIG983064 HSB983061:HSC983064 IBX983061:IBY983064 ILT983061:ILU983064 IVP983061:IVQ983064 JFL983061:JFM983064 JPH983061:JPI983064 JZD983061:JZE983064 KIZ983061:KJA983064 KSV983061:KSW983064 LCR983061:LCS983064 LMN983061:LMO983064 LWJ983061:LWK983064 MGF983061:MGG983064 MQB983061:MQC983064 MZX983061:MZY983064 NJT983061:NJU983064 NTP983061:NTQ983064 ODL983061:ODM983064 ONH983061:ONI983064 OXD983061:OXE983064 PGZ983061:PHA983064 PQV983061:PQW983064 QAR983061:QAS983064 QKN983061:QKO983064 QUJ983061:QUK983064 REF983061:REG983064 ROB983061:ROC983064 RXX983061:RXY983064 SHT983061:SHU983064 SRP983061:SRQ983064 TBL983061:TBM983064 TLH983061:TLI983064 TVD983061:TVE983064 UEZ983061:UFA983064 UOV983061:UOW983064 UYR983061:UYS983064 VIN983061:VIO983064 VSJ983061:VSK983064 WCF983061:WCG983064 WMB983061:WMC983064 WVX983061:WVY983064 JL19:JL20 TH19:TH20 ADD19:ADD20 AMZ19:AMZ20 AWV19:AWV20 BGR19:BGR20 BQN19:BQN20 CAJ19:CAJ20 CKF19:CKF20 CUB19:CUB20 DDX19:DDX20 DNT19:DNT20 DXP19:DXP20 EHL19:EHL20 ERH19:ERH20 FBD19:FBD20 FKZ19:FKZ20 FUV19:FUV20 GER19:GER20 GON19:GON20 GYJ19:GYJ20 HIF19:HIF20 HSB19:HSB20 IBX19:IBX20 ILT19:ILT20 IVP19:IVP20 JFL19:JFL20 JPH19:JPH20 JZD19:JZD20 KIZ19:KIZ20 KSV19:KSV20 LCR19:LCR20 LMN19:LMN20 LWJ19:LWJ20 MGF19:MGF20 MQB19:MQB20 MZX19:MZX20 NJT19:NJT20 NTP19:NTP20 ODL19:ODL20 ONH19:ONH20 OXD19:OXD20 PGZ19:PGZ20 PQV19:PQV20 QAR19:QAR20 QKN19:QKN20 QUJ19:QUJ20 REF19:REF20 ROB19:ROB20 RXX19:RXX20 SHT19:SHT20 SRP19:SRP20 TBL19:TBL20 TLH19:TLH20 TVD19:TVD20 UEZ19:UEZ20 UOV19:UOV20 UYR19:UYR20 VIN19:VIN20 VSJ19:VSJ20 WCF19:WCF20 WMB19:WMB20 WVX19:WVX20 P65555:P65556 JL65555:JL65556 TH65555:TH65556 ADD65555:ADD65556 AMZ65555:AMZ65556 AWV65555:AWV65556 BGR65555:BGR65556 BQN65555:BQN65556 CAJ65555:CAJ65556 CKF65555:CKF65556 CUB65555:CUB65556 DDX65555:DDX65556 DNT65555:DNT65556 DXP65555:DXP65556 EHL65555:EHL65556 ERH65555:ERH65556 FBD65555:FBD65556 FKZ65555:FKZ65556 FUV65555:FUV65556 GER65555:GER65556 GON65555:GON65556 GYJ65555:GYJ65556 HIF65555:HIF65556 HSB65555:HSB65556 IBX65555:IBX65556 ILT65555:ILT65556 IVP65555:IVP65556 JFL65555:JFL65556 JPH65555:JPH65556 JZD65555:JZD65556 KIZ65555:KIZ65556 KSV65555:KSV65556 LCR65555:LCR65556 LMN65555:LMN65556 LWJ65555:LWJ65556 MGF65555:MGF65556 MQB65555:MQB65556 MZX65555:MZX65556 NJT65555:NJT65556 NTP65555:NTP65556 ODL65555:ODL65556 ONH65555:ONH65556 OXD65555:OXD65556 PGZ65555:PGZ65556 PQV65555:PQV65556 QAR65555:QAR65556 QKN65555:QKN65556 QUJ65555:QUJ65556 REF65555:REF65556 ROB65555:ROB65556 RXX65555:RXX65556 SHT65555:SHT65556 SRP65555:SRP65556 TBL65555:TBL65556 TLH65555:TLH65556 TVD65555:TVD65556 UEZ65555:UEZ65556 UOV65555:UOV65556 UYR65555:UYR65556 VIN65555:VIN65556 VSJ65555:VSJ65556 WCF65555:WCF65556 WMB65555:WMB65556 WVX65555:WVX65556 P131091:P131092 JL131091:JL131092 TH131091:TH131092 ADD131091:ADD131092 AMZ131091:AMZ131092 AWV131091:AWV131092 BGR131091:BGR131092 BQN131091:BQN131092 CAJ131091:CAJ131092 CKF131091:CKF131092 CUB131091:CUB131092 DDX131091:DDX131092 DNT131091:DNT131092 DXP131091:DXP131092 EHL131091:EHL131092 ERH131091:ERH131092 FBD131091:FBD131092 FKZ131091:FKZ131092 FUV131091:FUV131092 GER131091:GER131092 GON131091:GON131092 GYJ131091:GYJ131092 HIF131091:HIF131092 HSB131091:HSB131092 IBX131091:IBX131092 ILT131091:ILT131092 IVP131091:IVP131092 JFL131091:JFL131092 JPH131091:JPH131092 JZD131091:JZD131092 KIZ131091:KIZ131092 KSV131091:KSV131092 LCR131091:LCR131092 LMN131091:LMN131092 LWJ131091:LWJ131092 MGF131091:MGF131092 MQB131091:MQB131092 MZX131091:MZX131092 NJT131091:NJT131092 NTP131091:NTP131092 ODL131091:ODL131092 ONH131091:ONH131092 OXD131091:OXD131092 PGZ131091:PGZ131092 PQV131091:PQV131092 QAR131091:QAR131092 QKN131091:QKN131092 QUJ131091:QUJ131092 REF131091:REF131092 ROB131091:ROB131092 RXX131091:RXX131092 SHT131091:SHT131092 SRP131091:SRP131092 TBL131091:TBL131092 TLH131091:TLH131092 TVD131091:TVD131092 UEZ131091:UEZ131092 UOV131091:UOV131092 UYR131091:UYR131092 VIN131091:VIN131092 VSJ131091:VSJ131092 WCF131091:WCF131092 WMB131091:WMB131092 WVX131091:WVX131092 P196627:P196628 JL196627:JL196628 TH196627:TH196628 ADD196627:ADD196628 AMZ196627:AMZ196628 AWV196627:AWV196628 BGR196627:BGR196628 BQN196627:BQN196628 CAJ196627:CAJ196628 CKF196627:CKF196628 CUB196627:CUB196628 DDX196627:DDX196628 DNT196627:DNT196628 DXP196627:DXP196628 EHL196627:EHL196628 ERH196627:ERH196628 FBD196627:FBD196628 FKZ196627:FKZ196628 FUV196627:FUV196628 GER196627:GER196628 GON196627:GON196628 GYJ196627:GYJ196628 HIF196627:HIF196628 HSB196627:HSB196628 IBX196627:IBX196628 ILT196627:ILT196628 IVP196627:IVP196628 JFL196627:JFL196628 JPH196627:JPH196628 JZD196627:JZD196628 KIZ196627:KIZ196628 KSV196627:KSV196628 LCR196627:LCR196628 LMN196627:LMN196628 LWJ196627:LWJ196628 MGF196627:MGF196628 MQB196627:MQB196628 MZX196627:MZX196628 NJT196627:NJT196628 NTP196627:NTP196628 ODL196627:ODL196628 ONH196627:ONH196628 OXD196627:OXD196628 PGZ196627:PGZ196628 PQV196627:PQV196628 QAR196627:QAR196628 QKN196627:QKN196628 QUJ196627:QUJ196628 REF196627:REF196628 ROB196627:ROB196628 RXX196627:RXX196628 SHT196627:SHT196628 SRP196627:SRP196628 TBL196627:TBL196628 TLH196627:TLH196628 TVD196627:TVD196628 UEZ196627:UEZ196628 UOV196627:UOV196628 UYR196627:UYR196628 VIN196627:VIN196628 VSJ196627:VSJ196628 WCF196627:WCF196628 WMB196627:WMB196628 WVX196627:WVX196628 P262163:P262164 JL262163:JL262164 TH262163:TH262164 ADD262163:ADD262164 AMZ262163:AMZ262164 AWV262163:AWV262164 BGR262163:BGR262164 BQN262163:BQN262164 CAJ262163:CAJ262164 CKF262163:CKF262164 CUB262163:CUB262164 DDX262163:DDX262164 DNT262163:DNT262164 DXP262163:DXP262164 EHL262163:EHL262164 ERH262163:ERH262164 FBD262163:FBD262164 FKZ262163:FKZ262164 FUV262163:FUV262164 GER262163:GER262164 GON262163:GON262164 GYJ262163:GYJ262164 HIF262163:HIF262164 HSB262163:HSB262164 IBX262163:IBX262164 ILT262163:ILT262164 IVP262163:IVP262164 JFL262163:JFL262164 JPH262163:JPH262164 JZD262163:JZD262164 KIZ262163:KIZ262164 KSV262163:KSV262164 LCR262163:LCR262164 LMN262163:LMN262164 LWJ262163:LWJ262164 MGF262163:MGF262164 MQB262163:MQB262164 MZX262163:MZX262164 NJT262163:NJT262164 NTP262163:NTP262164 ODL262163:ODL262164 ONH262163:ONH262164 OXD262163:OXD262164 PGZ262163:PGZ262164 PQV262163:PQV262164 QAR262163:QAR262164 QKN262163:QKN262164 QUJ262163:QUJ262164 REF262163:REF262164 ROB262163:ROB262164 RXX262163:RXX262164 SHT262163:SHT262164 SRP262163:SRP262164 TBL262163:TBL262164 TLH262163:TLH262164 TVD262163:TVD262164 UEZ262163:UEZ262164 UOV262163:UOV262164 UYR262163:UYR262164 VIN262163:VIN262164 VSJ262163:VSJ262164 WCF262163:WCF262164 WMB262163:WMB262164 WVX262163:WVX262164 P327699:P327700 JL327699:JL327700 TH327699:TH327700 ADD327699:ADD327700 AMZ327699:AMZ327700 AWV327699:AWV327700 BGR327699:BGR327700 BQN327699:BQN327700 CAJ327699:CAJ327700 CKF327699:CKF327700 CUB327699:CUB327700 DDX327699:DDX327700 DNT327699:DNT327700 DXP327699:DXP327700 EHL327699:EHL327700 ERH327699:ERH327700 FBD327699:FBD327700 FKZ327699:FKZ327700 FUV327699:FUV327700 GER327699:GER327700 GON327699:GON327700 GYJ327699:GYJ327700 HIF327699:HIF327700 HSB327699:HSB327700 IBX327699:IBX327700 ILT327699:ILT327700 IVP327699:IVP327700 JFL327699:JFL327700 JPH327699:JPH327700 JZD327699:JZD327700 KIZ327699:KIZ327700 KSV327699:KSV327700 LCR327699:LCR327700 LMN327699:LMN327700 LWJ327699:LWJ327700 MGF327699:MGF327700 MQB327699:MQB327700 MZX327699:MZX327700 NJT327699:NJT327700 NTP327699:NTP327700 ODL327699:ODL327700 ONH327699:ONH327700 OXD327699:OXD327700 PGZ327699:PGZ327700 PQV327699:PQV327700 QAR327699:QAR327700 QKN327699:QKN327700 QUJ327699:QUJ327700 REF327699:REF327700 ROB327699:ROB327700 RXX327699:RXX327700 SHT327699:SHT327700 SRP327699:SRP327700 TBL327699:TBL327700 TLH327699:TLH327700 TVD327699:TVD327700 UEZ327699:UEZ327700 UOV327699:UOV327700 UYR327699:UYR327700 VIN327699:VIN327700 VSJ327699:VSJ327700 WCF327699:WCF327700 WMB327699:WMB327700 WVX327699:WVX327700 P393235:P393236 JL393235:JL393236 TH393235:TH393236 ADD393235:ADD393236 AMZ393235:AMZ393236 AWV393235:AWV393236 BGR393235:BGR393236 BQN393235:BQN393236 CAJ393235:CAJ393236 CKF393235:CKF393236 CUB393235:CUB393236 DDX393235:DDX393236 DNT393235:DNT393236 DXP393235:DXP393236 EHL393235:EHL393236 ERH393235:ERH393236 FBD393235:FBD393236 FKZ393235:FKZ393236 FUV393235:FUV393236 GER393235:GER393236 GON393235:GON393236 GYJ393235:GYJ393236 HIF393235:HIF393236 HSB393235:HSB393236 IBX393235:IBX393236 ILT393235:ILT393236 IVP393235:IVP393236 JFL393235:JFL393236 JPH393235:JPH393236 JZD393235:JZD393236 KIZ393235:KIZ393236 KSV393235:KSV393236 LCR393235:LCR393236 LMN393235:LMN393236 LWJ393235:LWJ393236 MGF393235:MGF393236 MQB393235:MQB393236 MZX393235:MZX393236 NJT393235:NJT393236 NTP393235:NTP393236 ODL393235:ODL393236 ONH393235:ONH393236 OXD393235:OXD393236 PGZ393235:PGZ393236 PQV393235:PQV393236 QAR393235:QAR393236 QKN393235:QKN393236 QUJ393235:QUJ393236 REF393235:REF393236 ROB393235:ROB393236 RXX393235:RXX393236 SHT393235:SHT393236 SRP393235:SRP393236 TBL393235:TBL393236 TLH393235:TLH393236 TVD393235:TVD393236 UEZ393235:UEZ393236 UOV393235:UOV393236 UYR393235:UYR393236 VIN393235:VIN393236 VSJ393235:VSJ393236 WCF393235:WCF393236 WMB393235:WMB393236 WVX393235:WVX393236 P458771:P458772 JL458771:JL458772 TH458771:TH458772 ADD458771:ADD458772 AMZ458771:AMZ458772 AWV458771:AWV458772 BGR458771:BGR458772 BQN458771:BQN458772 CAJ458771:CAJ458772 CKF458771:CKF458772 CUB458771:CUB458772 DDX458771:DDX458772 DNT458771:DNT458772 DXP458771:DXP458772 EHL458771:EHL458772 ERH458771:ERH458772 FBD458771:FBD458772 FKZ458771:FKZ458772 FUV458771:FUV458772 GER458771:GER458772 GON458771:GON458772 GYJ458771:GYJ458772 HIF458771:HIF458772 HSB458771:HSB458772 IBX458771:IBX458772 ILT458771:ILT458772 IVP458771:IVP458772 JFL458771:JFL458772 JPH458771:JPH458772 JZD458771:JZD458772 KIZ458771:KIZ458772 KSV458771:KSV458772 LCR458771:LCR458772 LMN458771:LMN458772 LWJ458771:LWJ458772 MGF458771:MGF458772 MQB458771:MQB458772 MZX458771:MZX458772 NJT458771:NJT458772 NTP458771:NTP458772 ODL458771:ODL458772 ONH458771:ONH458772 OXD458771:OXD458772 PGZ458771:PGZ458772 PQV458771:PQV458772 QAR458771:QAR458772 QKN458771:QKN458772 QUJ458771:QUJ458772 REF458771:REF458772 ROB458771:ROB458772 RXX458771:RXX458772 SHT458771:SHT458772 SRP458771:SRP458772 TBL458771:TBL458772 TLH458771:TLH458772 TVD458771:TVD458772 UEZ458771:UEZ458772 UOV458771:UOV458772 UYR458771:UYR458772 VIN458771:VIN458772 VSJ458771:VSJ458772 WCF458771:WCF458772 WMB458771:WMB458772 WVX458771:WVX458772 P524307:P524308 JL524307:JL524308 TH524307:TH524308 ADD524307:ADD524308 AMZ524307:AMZ524308 AWV524307:AWV524308 BGR524307:BGR524308 BQN524307:BQN524308 CAJ524307:CAJ524308 CKF524307:CKF524308 CUB524307:CUB524308 DDX524307:DDX524308 DNT524307:DNT524308 DXP524307:DXP524308 EHL524307:EHL524308 ERH524307:ERH524308 FBD524307:FBD524308 FKZ524307:FKZ524308 FUV524307:FUV524308 GER524307:GER524308 GON524307:GON524308 GYJ524307:GYJ524308 HIF524307:HIF524308 HSB524307:HSB524308 IBX524307:IBX524308 ILT524307:ILT524308 IVP524307:IVP524308 JFL524307:JFL524308 JPH524307:JPH524308 JZD524307:JZD524308 KIZ524307:KIZ524308 KSV524307:KSV524308 LCR524307:LCR524308 LMN524307:LMN524308 LWJ524307:LWJ524308 MGF524307:MGF524308 MQB524307:MQB524308 MZX524307:MZX524308 NJT524307:NJT524308 NTP524307:NTP524308 ODL524307:ODL524308 ONH524307:ONH524308 OXD524307:OXD524308 PGZ524307:PGZ524308 PQV524307:PQV524308 QAR524307:QAR524308 QKN524307:QKN524308 QUJ524307:QUJ524308 REF524307:REF524308 ROB524307:ROB524308 RXX524307:RXX524308 SHT524307:SHT524308 SRP524307:SRP524308 TBL524307:TBL524308 TLH524307:TLH524308 TVD524307:TVD524308 UEZ524307:UEZ524308 UOV524307:UOV524308 UYR524307:UYR524308 VIN524307:VIN524308 VSJ524307:VSJ524308 WCF524307:WCF524308 WMB524307:WMB524308 WVX524307:WVX524308 P589843:P589844 JL589843:JL589844 TH589843:TH589844 ADD589843:ADD589844 AMZ589843:AMZ589844 AWV589843:AWV589844 BGR589843:BGR589844 BQN589843:BQN589844 CAJ589843:CAJ589844 CKF589843:CKF589844 CUB589843:CUB589844 DDX589843:DDX589844 DNT589843:DNT589844 DXP589843:DXP589844 EHL589843:EHL589844 ERH589843:ERH589844 FBD589843:FBD589844 FKZ589843:FKZ589844 FUV589843:FUV589844 GER589843:GER589844 GON589843:GON589844 GYJ589843:GYJ589844 HIF589843:HIF589844 HSB589843:HSB589844 IBX589843:IBX589844 ILT589843:ILT589844 IVP589843:IVP589844 JFL589843:JFL589844 JPH589843:JPH589844 JZD589843:JZD589844 KIZ589843:KIZ589844 KSV589843:KSV589844 LCR589843:LCR589844 LMN589843:LMN589844 LWJ589843:LWJ589844 MGF589843:MGF589844 MQB589843:MQB589844 MZX589843:MZX589844 NJT589843:NJT589844 NTP589843:NTP589844 ODL589843:ODL589844 ONH589843:ONH589844 OXD589843:OXD589844 PGZ589843:PGZ589844 PQV589843:PQV589844 QAR589843:QAR589844 QKN589843:QKN589844 QUJ589843:QUJ589844 REF589843:REF589844 ROB589843:ROB589844 RXX589843:RXX589844 SHT589843:SHT589844 SRP589843:SRP589844 TBL589843:TBL589844 TLH589843:TLH589844 TVD589843:TVD589844 UEZ589843:UEZ589844 UOV589843:UOV589844 UYR589843:UYR589844 VIN589843:VIN589844 VSJ589843:VSJ589844 WCF589843:WCF589844 WMB589843:WMB589844 WVX589843:WVX589844 P655379:P655380 JL655379:JL655380 TH655379:TH655380 ADD655379:ADD655380 AMZ655379:AMZ655380 AWV655379:AWV655380 BGR655379:BGR655380 BQN655379:BQN655380 CAJ655379:CAJ655380 CKF655379:CKF655380 CUB655379:CUB655380 DDX655379:DDX655380 DNT655379:DNT655380 DXP655379:DXP655380 EHL655379:EHL655380 ERH655379:ERH655380 FBD655379:FBD655380 FKZ655379:FKZ655380 FUV655379:FUV655380 GER655379:GER655380 GON655379:GON655380 GYJ655379:GYJ655380 HIF655379:HIF655380 HSB655379:HSB655380 IBX655379:IBX655380 ILT655379:ILT655380 IVP655379:IVP655380 JFL655379:JFL655380 JPH655379:JPH655380 JZD655379:JZD655380 KIZ655379:KIZ655380 KSV655379:KSV655380 LCR655379:LCR655380 LMN655379:LMN655380 LWJ655379:LWJ655380 MGF655379:MGF655380 MQB655379:MQB655380 MZX655379:MZX655380 NJT655379:NJT655380 NTP655379:NTP655380 ODL655379:ODL655380 ONH655379:ONH655380 OXD655379:OXD655380 PGZ655379:PGZ655380 PQV655379:PQV655380 QAR655379:QAR655380 QKN655379:QKN655380 QUJ655379:QUJ655380 REF655379:REF655380 ROB655379:ROB655380 RXX655379:RXX655380 SHT655379:SHT655380 SRP655379:SRP655380 TBL655379:TBL655380 TLH655379:TLH655380 TVD655379:TVD655380 UEZ655379:UEZ655380 UOV655379:UOV655380 UYR655379:UYR655380 VIN655379:VIN655380 VSJ655379:VSJ655380 WCF655379:WCF655380 WMB655379:WMB655380 WVX655379:WVX655380 P720915:P720916 JL720915:JL720916 TH720915:TH720916 ADD720915:ADD720916 AMZ720915:AMZ720916 AWV720915:AWV720916 BGR720915:BGR720916 BQN720915:BQN720916 CAJ720915:CAJ720916 CKF720915:CKF720916 CUB720915:CUB720916 DDX720915:DDX720916 DNT720915:DNT720916 DXP720915:DXP720916 EHL720915:EHL720916 ERH720915:ERH720916 FBD720915:FBD720916 FKZ720915:FKZ720916 FUV720915:FUV720916 GER720915:GER720916 GON720915:GON720916 GYJ720915:GYJ720916 HIF720915:HIF720916 HSB720915:HSB720916 IBX720915:IBX720916 ILT720915:ILT720916 IVP720915:IVP720916 JFL720915:JFL720916 JPH720915:JPH720916 JZD720915:JZD720916 KIZ720915:KIZ720916 KSV720915:KSV720916 LCR720915:LCR720916 LMN720915:LMN720916 LWJ720915:LWJ720916 MGF720915:MGF720916 MQB720915:MQB720916 MZX720915:MZX720916 NJT720915:NJT720916 NTP720915:NTP720916 ODL720915:ODL720916 ONH720915:ONH720916 OXD720915:OXD720916 PGZ720915:PGZ720916 PQV720915:PQV720916 QAR720915:QAR720916 QKN720915:QKN720916 QUJ720915:QUJ720916 REF720915:REF720916 ROB720915:ROB720916 RXX720915:RXX720916 SHT720915:SHT720916 SRP720915:SRP720916 TBL720915:TBL720916 TLH720915:TLH720916 TVD720915:TVD720916 UEZ720915:UEZ720916 UOV720915:UOV720916 UYR720915:UYR720916 VIN720915:VIN720916 VSJ720915:VSJ720916 WCF720915:WCF720916 WMB720915:WMB720916 WVX720915:WVX720916 P786451:P786452 JL786451:JL786452 TH786451:TH786452 ADD786451:ADD786452 AMZ786451:AMZ786452 AWV786451:AWV786452 BGR786451:BGR786452 BQN786451:BQN786452 CAJ786451:CAJ786452 CKF786451:CKF786452 CUB786451:CUB786452 DDX786451:DDX786452 DNT786451:DNT786452 DXP786451:DXP786452 EHL786451:EHL786452 ERH786451:ERH786452 FBD786451:FBD786452 FKZ786451:FKZ786452 FUV786451:FUV786452 GER786451:GER786452 GON786451:GON786452 GYJ786451:GYJ786452 HIF786451:HIF786452 HSB786451:HSB786452 IBX786451:IBX786452 ILT786451:ILT786452 IVP786451:IVP786452 JFL786451:JFL786452 JPH786451:JPH786452 JZD786451:JZD786452 KIZ786451:KIZ786452 KSV786451:KSV786452 LCR786451:LCR786452 LMN786451:LMN786452 LWJ786451:LWJ786452 MGF786451:MGF786452 MQB786451:MQB786452 MZX786451:MZX786452 NJT786451:NJT786452 NTP786451:NTP786452 ODL786451:ODL786452 ONH786451:ONH786452 OXD786451:OXD786452 PGZ786451:PGZ786452 PQV786451:PQV786452 QAR786451:QAR786452 QKN786451:QKN786452 QUJ786451:QUJ786452 REF786451:REF786452 ROB786451:ROB786452 RXX786451:RXX786452 SHT786451:SHT786452 SRP786451:SRP786452 TBL786451:TBL786452 TLH786451:TLH786452 TVD786451:TVD786452 UEZ786451:UEZ786452 UOV786451:UOV786452 UYR786451:UYR786452 VIN786451:VIN786452 VSJ786451:VSJ786452 WCF786451:WCF786452 WMB786451:WMB786452 WVX786451:WVX786452 P851987:P851988 JL851987:JL851988 TH851987:TH851988 ADD851987:ADD851988 AMZ851987:AMZ851988 AWV851987:AWV851988 BGR851987:BGR851988 BQN851987:BQN851988 CAJ851987:CAJ851988 CKF851987:CKF851988 CUB851987:CUB851988 DDX851987:DDX851988 DNT851987:DNT851988 DXP851987:DXP851988 EHL851987:EHL851988 ERH851987:ERH851988 FBD851987:FBD851988 FKZ851987:FKZ851988 FUV851987:FUV851988 GER851987:GER851988 GON851987:GON851988 GYJ851987:GYJ851988 HIF851987:HIF851988 HSB851987:HSB851988 IBX851987:IBX851988 ILT851987:ILT851988 IVP851987:IVP851988 JFL851987:JFL851988 JPH851987:JPH851988 JZD851987:JZD851988 KIZ851987:KIZ851988 KSV851987:KSV851988 LCR851987:LCR851988 LMN851987:LMN851988 LWJ851987:LWJ851988 MGF851987:MGF851988 MQB851987:MQB851988 MZX851987:MZX851988 NJT851987:NJT851988 NTP851987:NTP851988 ODL851987:ODL851988 ONH851987:ONH851988 OXD851987:OXD851988 PGZ851987:PGZ851988 PQV851987:PQV851988 QAR851987:QAR851988 QKN851987:QKN851988 QUJ851987:QUJ851988 REF851987:REF851988 ROB851987:ROB851988 RXX851987:RXX851988 SHT851987:SHT851988 SRP851987:SRP851988 TBL851987:TBL851988 TLH851987:TLH851988 TVD851987:TVD851988 UEZ851987:UEZ851988 UOV851987:UOV851988 UYR851987:UYR851988 VIN851987:VIN851988 VSJ851987:VSJ851988 WCF851987:WCF851988 WMB851987:WMB851988 WVX851987:WVX851988 P917523:P917524 JL917523:JL917524 TH917523:TH917524 ADD917523:ADD917524 AMZ917523:AMZ917524 AWV917523:AWV917524 BGR917523:BGR917524 BQN917523:BQN917524 CAJ917523:CAJ917524 CKF917523:CKF917524 CUB917523:CUB917524 DDX917523:DDX917524 DNT917523:DNT917524 DXP917523:DXP917524 EHL917523:EHL917524 ERH917523:ERH917524 FBD917523:FBD917524 FKZ917523:FKZ917524 FUV917523:FUV917524 GER917523:GER917524 GON917523:GON917524 GYJ917523:GYJ917524 HIF917523:HIF917524 HSB917523:HSB917524 IBX917523:IBX917524 ILT917523:ILT917524 IVP917523:IVP917524 JFL917523:JFL917524 JPH917523:JPH917524 JZD917523:JZD917524 KIZ917523:KIZ917524 KSV917523:KSV917524 LCR917523:LCR917524 LMN917523:LMN917524 LWJ917523:LWJ917524 MGF917523:MGF917524 MQB917523:MQB917524 MZX917523:MZX917524 NJT917523:NJT917524 NTP917523:NTP917524 ODL917523:ODL917524 ONH917523:ONH917524 OXD917523:OXD917524 PGZ917523:PGZ917524 PQV917523:PQV917524 QAR917523:QAR917524 QKN917523:QKN917524 QUJ917523:QUJ917524 REF917523:REF917524 ROB917523:ROB917524 RXX917523:RXX917524 SHT917523:SHT917524 SRP917523:SRP917524 TBL917523:TBL917524 TLH917523:TLH917524 TVD917523:TVD917524 UEZ917523:UEZ917524 UOV917523:UOV917524 UYR917523:UYR917524 VIN917523:VIN917524 VSJ917523:VSJ917524 WCF917523:WCF917524 WMB917523:WMB917524 WVX917523:WVX917524 P983059:P983060 JL983059:JL983060 TH983059:TH983060 ADD983059:ADD983060 AMZ983059:AMZ983060 AWV983059:AWV983060 BGR983059:BGR983060 BQN983059:BQN983060 CAJ983059:CAJ983060 CKF983059:CKF983060 CUB983059:CUB983060 DDX983059:DDX983060 DNT983059:DNT983060 DXP983059:DXP983060 EHL983059:EHL983060 ERH983059:ERH983060 FBD983059:FBD983060 FKZ983059:FKZ983060 FUV983059:FUV983060 GER983059:GER983060 GON983059:GON983060 GYJ983059:GYJ983060 HIF983059:HIF983060 HSB983059:HSB983060 IBX983059:IBX983060 ILT983059:ILT983060 IVP983059:IVP983060 JFL983059:JFL983060 JPH983059:JPH983060 JZD983059:JZD983060 KIZ983059:KIZ983060 KSV983059:KSV983060 LCR983059:LCR983060 LMN983059:LMN983060 LWJ983059:LWJ983060 MGF983059:MGF983060 MQB983059:MQB983060 MZX983059:MZX983060 NJT983059:NJT983060 NTP983059:NTP983060 ODL983059:ODL983060 ONH983059:ONH983060 OXD983059:OXD983060 PGZ983059:PGZ983060 PQV983059:PQV983060 QAR983059:QAR983060 QKN983059:QKN983060 QUJ983059:QUJ983060 REF983059:REF983060 ROB983059:ROB983060 RXX983059:RXX983060 SHT983059:SHT983060 SRP983059:SRP983060 TBL983059:TBL983060 TLH983059:TLH983060 TVD983059:TVD983060 UEZ983059:UEZ983060 UOV983059:UOV983060 UYR983059:UYR983060 VIN983059:VIN983060 VSJ983059:VSJ983060 WCF983059:WCF983060 WMB983059:WMB983060 WVX983059:WVX983060 B19:B24 IX19:IX24 ST19:ST24 ACP19:ACP24 AML19:AML24 AWH19:AWH24 BGD19:BGD24 BPZ19:BPZ24 BZV19:BZV24 CJR19:CJR24 CTN19:CTN24 DDJ19:DDJ24 DNF19:DNF24 DXB19:DXB24 EGX19:EGX24 EQT19:EQT24 FAP19:FAP24 FKL19:FKL24 FUH19:FUH24 GED19:GED24 GNZ19:GNZ24 GXV19:GXV24 HHR19:HHR24 HRN19:HRN24 IBJ19:IBJ24 ILF19:ILF24 IVB19:IVB24 JEX19:JEX24 JOT19:JOT24 JYP19:JYP24 KIL19:KIL24 KSH19:KSH24 LCD19:LCD24 LLZ19:LLZ24 LVV19:LVV24 MFR19:MFR24 MPN19:MPN24 MZJ19:MZJ24 NJF19:NJF24 NTB19:NTB24 OCX19:OCX24 OMT19:OMT24 OWP19:OWP24 PGL19:PGL24 PQH19:PQH24 QAD19:QAD24 QJZ19:QJZ24 QTV19:QTV24 RDR19:RDR24 RNN19:RNN24 RXJ19:RXJ24 SHF19:SHF24 SRB19:SRB24 TAX19:TAX24 TKT19:TKT24 TUP19:TUP24 UEL19:UEL24 UOH19:UOH24 UYD19:UYD24 VHZ19:VHZ24 VRV19:VRV24 WBR19:WBR24 WLN19:WLN24 WVJ19:WVJ24 B65555:B65560 IX65555:IX65560 ST65555:ST65560 ACP65555:ACP65560 AML65555:AML65560 AWH65555:AWH65560 BGD65555:BGD65560 BPZ65555:BPZ65560 BZV65555:BZV65560 CJR65555:CJR65560 CTN65555:CTN65560 DDJ65555:DDJ65560 DNF65555:DNF65560 DXB65555:DXB65560 EGX65555:EGX65560 EQT65555:EQT65560 FAP65555:FAP65560 FKL65555:FKL65560 FUH65555:FUH65560 GED65555:GED65560 GNZ65555:GNZ65560 GXV65555:GXV65560 HHR65555:HHR65560 HRN65555:HRN65560 IBJ65555:IBJ65560 ILF65555:ILF65560 IVB65555:IVB65560 JEX65555:JEX65560 JOT65555:JOT65560 JYP65555:JYP65560 KIL65555:KIL65560 KSH65555:KSH65560 LCD65555:LCD65560 LLZ65555:LLZ65560 LVV65555:LVV65560 MFR65555:MFR65560 MPN65555:MPN65560 MZJ65555:MZJ65560 NJF65555:NJF65560 NTB65555:NTB65560 OCX65555:OCX65560 OMT65555:OMT65560 OWP65555:OWP65560 PGL65555:PGL65560 PQH65555:PQH65560 QAD65555:QAD65560 QJZ65555:QJZ65560 QTV65555:QTV65560 RDR65555:RDR65560 RNN65555:RNN65560 RXJ65555:RXJ65560 SHF65555:SHF65560 SRB65555:SRB65560 TAX65555:TAX65560 TKT65555:TKT65560 TUP65555:TUP65560 UEL65555:UEL65560 UOH65555:UOH65560 UYD65555:UYD65560 VHZ65555:VHZ65560 VRV65555:VRV65560 WBR65555:WBR65560 WLN65555:WLN65560 WVJ65555:WVJ65560 B131091:B131096 IX131091:IX131096 ST131091:ST131096 ACP131091:ACP131096 AML131091:AML131096 AWH131091:AWH131096 BGD131091:BGD131096 BPZ131091:BPZ131096 BZV131091:BZV131096 CJR131091:CJR131096 CTN131091:CTN131096 DDJ131091:DDJ131096 DNF131091:DNF131096 DXB131091:DXB131096 EGX131091:EGX131096 EQT131091:EQT131096 FAP131091:FAP131096 FKL131091:FKL131096 FUH131091:FUH131096 GED131091:GED131096 GNZ131091:GNZ131096 GXV131091:GXV131096 HHR131091:HHR131096 HRN131091:HRN131096 IBJ131091:IBJ131096 ILF131091:ILF131096 IVB131091:IVB131096 JEX131091:JEX131096 JOT131091:JOT131096 JYP131091:JYP131096 KIL131091:KIL131096 KSH131091:KSH131096 LCD131091:LCD131096 LLZ131091:LLZ131096 LVV131091:LVV131096 MFR131091:MFR131096 MPN131091:MPN131096 MZJ131091:MZJ131096 NJF131091:NJF131096 NTB131091:NTB131096 OCX131091:OCX131096 OMT131091:OMT131096 OWP131091:OWP131096 PGL131091:PGL131096 PQH131091:PQH131096 QAD131091:QAD131096 QJZ131091:QJZ131096 QTV131091:QTV131096 RDR131091:RDR131096 RNN131091:RNN131096 RXJ131091:RXJ131096 SHF131091:SHF131096 SRB131091:SRB131096 TAX131091:TAX131096 TKT131091:TKT131096 TUP131091:TUP131096 UEL131091:UEL131096 UOH131091:UOH131096 UYD131091:UYD131096 VHZ131091:VHZ131096 VRV131091:VRV131096 WBR131091:WBR131096 WLN131091:WLN131096 WVJ131091:WVJ131096 B196627:B196632 IX196627:IX196632 ST196627:ST196632 ACP196627:ACP196632 AML196627:AML196632 AWH196627:AWH196632 BGD196627:BGD196632 BPZ196627:BPZ196632 BZV196627:BZV196632 CJR196627:CJR196632 CTN196627:CTN196632 DDJ196627:DDJ196632 DNF196627:DNF196632 DXB196627:DXB196632 EGX196627:EGX196632 EQT196627:EQT196632 FAP196627:FAP196632 FKL196627:FKL196632 FUH196627:FUH196632 GED196627:GED196632 GNZ196627:GNZ196632 GXV196627:GXV196632 HHR196627:HHR196632 HRN196627:HRN196632 IBJ196627:IBJ196632 ILF196627:ILF196632 IVB196627:IVB196632 JEX196627:JEX196632 JOT196627:JOT196632 JYP196627:JYP196632 KIL196627:KIL196632 KSH196627:KSH196632 LCD196627:LCD196632 LLZ196627:LLZ196632 LVV196627:LVV196632 MFR196627:MFR196632 MPN196627:MPN196632 MZJ196627:MZJ196632 NJF196627:NJF196632 NTB196627:NTB196632 OCX196627:OCX196632 OMT196627:OMT196632 OWP196627:OWP196632 PGL196627:PGL196632 PQH196627:PQH196632 QAD196627:QAD196632 QJZ196627:QJZ196632 QTV196627:QTV196632 RDR196627:RDR196632 RNN196627:RNN196632 RXJ196627:RXJ196632 SHF196627:SHF196632 SRB196627:SRB196632 TAX196627:TAX196632 TKT196627:TKT196632 TUP196627:TUP196632 UEL196627:UEL196632 UOH196627:UOH196632 UYD196627:UYD196632 VHZ196627:VHZ196632 VRV196627:VRV196632 WBR196627:WBR196632 WLN196627:WLN196632 WVJ196627:WVJ196632 B262163:B262168 IX262163:IX262168 ST262163:ST262168 ACP262163:ACP262168 AML262163:AML262168 AWH262163:AWH262168 BGD262163:BGD262168 BPZ262163:BPZ262168 BZV262163:BZV262168 CJR262163:CJR262168 CTN262163:CTN262168 DDJ262163:DDJ262168 DNF262163:DNF262168 DXB262163:DXB262168 EGX262163:EGX262168 EQT262163:EQT262168 FAP262163:FAP262168 FKL262163:FKL262168 FUH262163:FUH262168 GED262163:GED262168 GNZ262163:GNZ262168 GXV262163:GXV262168 HHR262163:HHR262168 HRN262163:HRN262168 IBJ262163:IBJ262168 ILF262163:ILF262168 IVB262163:IVB262168 JEX262163:JEX262168 JOT262163:JOT262168 JYP262163:JYP262168 KIL262163:KIL262168 KSH262163:KSH262168 LCD262163:LCD262168 LLZ262163:LLZ262168 LVV262163:LVV262168 MFR262163:MFR262168 MPN262163:MPN262168 MZJ262163:MZJ262168 NJF262163:NJF262168 NTB262163:NTB262168 OCX262163:OCX262168 OMT262163:OMT262168 OWP262163:OWP262168 PGL262163:PGL262168 PQH262163:PQH262168 QAD262163:QAD262168 QJZ262163:QJZ262168 QTV262163:QTV262168 RDR262163:RDR262168 RNN262163:RNN262168 RXJ262163:RXJ262168 SHF262163:SHF262168 SRB262163:SRB262168 TAX262163:TAX262168 TKT262163:TKT262168 TUP262163:TUP262168 UEL262163:UEL262168 UOH262163:UOH262168 UYD262163:UYD262168 VHZ262163:VHZ262168 VRV262163:VRV262168 WBR262163:WBR262168 WLN262163:WLN262168 WVJ262163:WVJ262168 B327699:B327704 IX327699:IX327704 ST327699:ST327704 ACP327699:ACP327704 AML327699:AML327704 AWH327699:AWH327704 BGD327699:BGD327704 BPZ327699:BPZ327704 BZV327699:BZV327704 CJR327699:CJR327704 CTN327699:CTN327704 DDJ327699:DDJ327704 DNF327699:DNF327704 DXB327699:DXB327704 EGX327699:EGX327704 EQT327699:EQT327704 FAP327699:FAP327704 FKL327699:FKL327704 FUH327699:FUH327704 GED327699:GED327704 GNZ327699:GNZ327704 GXV327699:GXV327704 HHR327699:HHR327704 HRN327699:HRN327704 IBJ327699:IBJ327704 ILF327699:ILF327704 IVB327699:IVB327704 JEX327699:JEX327704 JOT327699:JOT327704 JYP327699:JYP327704 KIL327699:KIL327704 KSH327699:KSH327704 LCD327699:LCD327704 LLZ327699:LLZ327704 LVV327699:LVV327704 MFR327699:MFR327704 MPN327699:MPN327704 MZJ327699:MZJ327704 NJF327699:NJF327704 NTB327699:NTB327704 OCX327699:OCX327704 OMT327699:OMT327704 OWP327699:OWP327704 PGL327699:PGL327704 PQH327699:PQH327704 QAD327699:QAD327704 QJZ327699:QJZ327704 QTV327699:QTV327704 RDR327699:RDR327704 RNN327699:RNN327704 RXJ327699:RXJ327704 SHF327699:SHF327704 SRB327699:SRB327704 TAX327699:TAX327704 TKT327699:TKT327704 TUP327699:TUP327704 UEL327699:UEL327704 UOH327699:UOH327704 UYD327699:UYD327704 VHZ327699:VHZ327704 VRV327699:VRV327704 WBR327699:WBR327704 WLN327699:WLN327704 WVJ327699:WVJ327704 B393235:B393240 IX393235:IX393240 ST393235:ST393240 ACP393235:ACP393240 AML393235:AML393240 AWH393235:AWH393240 BGD393235:BGD393240 BPZ393235:BPZ393240 BZV393235:BZV393240 CJR393235:CJR393240 CTN393235:CTN393240 DDJ393235:DDJ393240 DNF393235:DNF393240 DXB393235:DXB393240 EGX393235:EGX393240 EQT393235:EQT393240 FAP393235:FAP393240 FKL393235:FKL393240 FUH393235:FUH393240 GED393235:GED393240 GNZ393235:GNZ393240 GXV393235:GXV393240 HHR393235:HHR393240 HRN393235:HRN393240 IBJ393235:IBJ393240 ILF393235:ILF393240 IVB393235:IVB393240 JEX393235:JEX393240 JOT393235:JOT393240 JYP393235:JYP393240 KIL393235:KIL393240 KSH393235:KSH393240 LCD393235:LCD393240 LLZ393235:LLZ393240 LVV393235:LVV393240 MFR393235:MFR393240 MPN393235:MPN393240 MZJ393235:MZJ393240 NJF393235:NJF393240 NTB393235:NTB393240 OCX393235:OCX393240 OMT393235:OMT393240 OWP393235:OWP393240 PGL393235:PGL393240 PQH393235:PQH393240 QAD393235:QAD393240 QJZ393235:QJZ393240 QTV393235:QTV393240 RDR393235:RDR393240 RNN393235:RNN393240 RXJ393235:RXJ393240 SHF393235:SHF393240 SRB393235:SRB393240 TAX393235:TAX393240 TKT393235:TKT393240 TUP393235:TUP393240 UEL393235:UEL393240 UOH393235:UOH393240 UYD393235:UYD393240 VHZ393235:VHZ393240 VRV393235:VRV393240 WBR393235:WBR393240 WLN393235:WLN393240 WVJ393235:WVJ393240 B458771:B458776 IX458771:IX458776 ST458771:ST458776 ACP458771:ACP458776 AML458771:AML458776 AWH458771:AWH458776 BGD458771:BGD458776 BPZ458771:BPZ458776 BZV458771:BZV458776 CJR458771:CJR458776 CTN458771:CTN458776 DDJ458771:DDJ458776 DNF458771:DNF458776 DXB458771:DXB458776 EGX458771:EGX458776 EQT458771:EQT458776 FAP458771:FAP458776 FKL458771:FKL458776 FUH458771:FUH458776 GED458771:GED458776 GNZ458771:GNZ458776 GXV458771:GXV458776 HHR458771:HHR458776 HRN458771:HRN458776 IBJ458771:IBJ458776 ILF458771:ILF458776 IVB458771:IVB458776 JEX458771:JEX458776 JOT458771:JOT458776 JYP458771:JYP458776 KIL458771:KIL458776 KSH458771:KSH458776 LCD458771:LCD458776 LLZ458771:LLZ458776 LVV458771:LVV458776 MFR458771:MFR458776 MPN458771:MPN458776 MZJ458771:MZJ458776 NJF458771:NJF458776 NTB458771:NTB458776 OCX458771:OCX458776 OMT458771:OMT458776 OWP458771:OWP458776 PGL458771:PGL458776 PQH458771:PQH458776 QAD458771:QAD458776 QJZ458771:QJZ458776 QTV458771:QTV458776 RDR458771:RDR458776 RNN458771:RNN458776 RXJ458771:RXJ458776 SHF458771:SHF458776 SRB458771:SRB458776 TAX458771:TAX458776 TKT458771:TKT458776 TUP458771:TUP458776 UEL458771:UEL458776 UOH458771:UOH458776 UYD458771:UYD458776 VHZ458771:VHZ458776 VRV458771:VRV458776 WBR458771:WBR458776 WLN458771:WLN458776 WVJ458771:WVJ458776 B524307:B524312 IX524307:IX524312 ST524307:ST524312 ACP524307:ACP524312 AML524307:AML524312 AWH524307:AWH524312 BGD524307:BGD524312 BPZ524307:BPZ524312 BZV524307:BZV524312 CJR524307:CJR524312 CTN524307:CTN524312 DDJ524307:DDJ524312 DNF524307:DNF524312 DXB524307:DXB524312 EGX524307:EGX524312 EQT524307:EQT524312 FAP524307:FAP524312 FKL524307:FKL524312 FUH524307:FUH524312 GED524307:GED524312 GNZ524307:GNZ524312 GXV524307:GXV524312 HHR524307:HHR524312 HRN524307:HRN524312 IBJ524307:IBJ524312 ILF524307:ILF524312 IVB524307:IVB524312 JEX524307:JEX524312 JOT524307:JOT524312 JYP524307:JYP524312 KIL524307:KIL524312 KSH524307:KSH524312 LCD524307:LCD524312 LLZ524307:LLZ524312 LVV524307:LVV524312 MFR524307:MFR524312 MPN524307:MPN524312 MZJ524307:MZJ524312 NJF524307:NJF524312 NTB524307:NTB524312 OCX524307:OCX524312 OMT524307:OMT524312 OWP524307:OWP524312 PGL524307:PGL524312 PQH524307:PQH524312 QAD524307:QAD524312 QJZ524307:QJZ524312 QTV524307:QTV524312 RDR524307:RDR524312 RNN524307:RNN524312 RXJ524307:RXJ524312 SHF524307:SHF524312 SRB524307:SRB524312 TAX524307:TAX524312 TKT524307:TKT524312 TUP524307:TUP524312 UEL524307:UEL524312 UOH524307:UOH524312 UYD524307:UYD524312 VHZ524307:VHZ524312 VRV524307:VRV524312 WBR524307:WBR524312 WLN524307:WLN524312 WVJ524307:WVJ524312 B589843:B589848 IX589843:IX589848 ST589843:ST589848 ACP589843:ACP589848 AML589843:AML589848 AWH589843:AWH589848 BGD589843:BGD589848 BPZ589843:BPZ589848 BZV589843:BZV589848 CJR589843:CJR589848 CTN589843:CTN589848 DDJ589843:DDJ589848 DNF589843:DNF589848 DXB589843:DXB589848 EGX589843:EGX589848 EQT589843:EQT589848 FAP589843:FAP589848 FKL589843:FKL589848 FUH589843:FUH589848 GED589843:GED589848 GNZ589843:GNZ589848 GXV589843:GXV589848 HHR589843:HHR589848 HRN589843:HRN589848 IBJ589843:IBJ589848 ILF589843:ILF589848 IVB589843:IVB589848 JEX589843:JEX589848 JOT589843:JOT589848 JYP589843:JYP589848 KIL589843:KIL589848 KSH589843:KSH589848 LCD589843:LCD589848 LLZ589843:LLZ589848 LVV589843:LVV589848 MFR589843:MFR589848 MPN589843:MPN589848 MZJ589843:MZJ589848 NJF589843:NJF589848 NTB589843:NTB589848 OCX589843:OCX589848 OMT589843:OMT589848 OWP589843:OWP589848 PGL589843:PGL589848 PQH589843:PQH589848 QAD589843:QAD589848 QJZ589843:QJZ589848 QTV589843:QTV589848 RDR589843:RDR589848 RNN589843:RNN589848 RXJ589843:RXJ589848 SHF589843:SHF589848 SRB589843:SRB589848 TAX589843:TAX589848 TKT589843:TKT589848 TUP589843:TUP589848 UEL589843:UEL589848 UOH589843:UOH589848 UYD589843:UYD589848 VHZ589843:VHZ589848 VRV589843:VRV589848 WBR589843:WBR589848 WLN589843:WLN589848 WVJ589843:WVJ589848 B655379:B655384 IX655379:IX655384 ST655379:ST655384 ACP655379:ACP655384 AML655379:AML655384 AWH655379:AWH655384 BGD655379:BGD655384 BPZ655379:BPZ655384 BZV655379:BZV655384 CJR655379:CJR655384 CTN655379:CTN655384 DDJ655379:DDJ655384 DNF655379:DNF655384 DXB655379:DXB655384 EGX655379:EGX655384 EQT655379:EQT655384 FAP655379:FAP655384 FKL655379:FKL655384 FUH655379:FUH655384 GED655379:GED655384 GNZ655379:GNZ655384 GXV655379:GXV655384 HHR655379:HHR655384 HRN655379:HRN655384 IBJ655379:IBJ655384 ILF655379:ILF655384 IVB655379:IVB655384 JEX655379:JEX655384 JOT655379:JOT655384 JYP655379:JYP655384 KIL655379:KIL655384 KSH655379:KSH655384 LCD655379:LCD655384 LLZ655379:LLZ655384 LVV655379:LVV655384 MFR655379:MFR655384 MPN655379:MPN655384 MZJ655379:MZJ655384 NJF655379:NJF655384 NTB655379:NTB655384 OCX655379:OCX655384 OMT655379:OMT655384 OWP655379:OWP655384 PGL655379:PGL655384 PQH655379:PQH655384 QAD655379:QAD655384 QJZ655379:QJZ655384 QTV655379:QTV655384 RDR655379:RDR655384 RNN655379:RNN655384 RXJ655379:RXJ655384 SHF655379:SHF655384 SRB655379:SRB655384 TAX655379:TAX655384 TKT655379:TKT655384 TUP655379:TUP655384 UEL655379:UEL655384 UOH655379:UOH655384 UYD655379:UYD655384 VHZ655379:VHZ655384 VRV655379:VRV655384 WBR655379:WBR655384 WLN655379:WLN655384 WVJ655379:WVJ655384 B720915:B720920 IX720915:IX720920 ST720915:ST720920 ACP720915:ACP720920 AML720915:AML720920 AWH720915:AWH720920 BGD720915:BGD720920 BPZ720915:BPZ720920 BZV720915:BZV720920 CJR720915:CJR720920 CTN720915:CTN720920 DDJ720915:DDJ720920 DNF720915:DNF720920 DXB720915:DXB720920 EGX720915:EGX720920 EQT720915:EQT720920 FAP720915:FAP720920 FKL720915:FKL720920 FUH720915:FUH720920 GED720915:GED720920 GNZ720915:GNZ720920 GXV720915:GXV720920 HHR720915:HHR720920 HRN720915:HRN720920 IBJ720915:IBJ720920 ILF720915:ILF720920 IVB720915:IVB720920 JEX720915:JEX720920 JOT720915:JOT720920 JYP720915:JYP720920 KIL720915:KIL720920 KSH720915:KSH720920 LCD720915:LCD720920 LLZ720915:LLZ720920 LVV720915:LVV720920 MFR720915:MFR720920 MPN720915:MPN720920 MZJ720915:MZJ720920 NJF720915:NJF720920 NTB720915:NTB720920 OCX720915:OCX720920 OMT720915:OMT720920 OWP720915:OWP720920 PGL720915:PGL720920 PQH720915:PQH720920 QAD720915:QAD720920 QJZ720915:QJZ720920 QTV720915:QTV720920 RDR720915:RDR720920 RNN720915:RNN720920 RXJ720915:RXJ720920 SHF720915:SHF720920 SRB720915:SRB720920 TAX720915:TAX720920 TKT720915:TKT720920 TUP720915:TUP720920 UEL720915:UEL720920 UOH720915:UOH720920 UYD720915:UYD720920 VHZ720915:VHZ720920 VRV720915:VRV720920 WBR720915:WBR720920 WLN720915:WLN720920 WVJ720915:WVJ720920 B786451:B786456 IX786451:IX786456 ST786451:ST786456 ACP786451:ACP786456 AML786451:AML786456 AWH786451:AWH786456 BGD786451:BGD786456 BPZ786451:BPZ786456 BZV786451:BZV786456 CJR786451:CJR786456 CTN786451:CTN786456 DDJ786451:DDJ786456 DNF786451:DNF786456 DXB786451:DXB786456 EGX786451:EGX786456 EQT786451:EQT786456 FAP786451:FAP786456 FKL786451:FKL786456 FUH786451:FUH786456 GED786451:GED786456 GNZ786451:GNZ786456 GXV786451:GXV786456 HHR786451:HHR786456 HRN786451:HRN786456 IBJ786451:IBJ786456 ILF786451:ILF786456 IVB786451:IVB786456 JEX786451:JEX786456 JOT786451:JOT786456 JYP786451:JYP786456 KIL786451:KIL786456 KSH786451:KSH786456 LCD786451:LCD786456 LLZ786451:LLZ786456 LVV786451:LVV786456 MFR786451:MFR786456 MPN786451:MPN786456 MZJ786451:MZJ786456 NJF786451:NJF786456 NTB786451:NTB786456 OCX786451:OCX786456 OMT786451:OMT786456 OWP786451:OWP786456 PGL786451:PGL786456 PQH786451:PQH786456 QAD786451:QAD786456 QJZ786451:QJZ786456 QTV786451:QTV786456 RDR786451:RDR786456 RNN786451:RNN786456 RXJ786451:RXJ786456 SHF786451:SHF786456 SRB786451:SRB786456 TAX786451:TAX786456 TKT786451:TKT786456 TUP786451:TUP786456 UEL786451:UEL786456 UOH786451:UOH786456 UYD786451:UYD786456 VHZ786451:VHZ786456 VRV786451:VRV786456 WBR786451:WBR786456 WLN786451:WLN786456 WVJ786451:WVJ786456 B851987:B851992 IX851987:IX851992 ST851987:ST851992 ACP851987:ACP851992 AML851987:AML851992 AWH851987:AWH851992 BGD851987:BGD851992 BPZ851987:BPZ851992 BZV851987:BZV851992 CJR851987:CJR851992 CTN851987:CTN851992 DDJ851987:DDJ851992 DNF851987:DNF851992 DXB851987:DXB851992 EGX851987:EGX851992 EQT851987:EQT851992 FAP851987:FAP851992 FKL851987:FKL851992 FUH851987:FUH851992 GED851987:GED851992 GNZ851987:GNZ851992 GXV851987:GXV851992 HHR851987:HHR851992 HRN851987:HRN851992 IBJ851987:IBJ851992 ILF851987:ILF851992 IVB851987:IVB851992 JEX851987:JEX851992 JOT851987:JOT851992 JYP851987:JYP851992 KIL851987:KIL851992 KSH851987:KSH851992 LCD851987:LCD851992 LLZ851987:LLZ851992 LVV851987:LVV851992 MFR851987:MFR851992 MPN851987:MPN851992 MZJ851987:MZJ851992 NJF851987:NJF851992 NTB851987:NTB851992 OCX851987:OCX851992 OMT851987:OMT851992 OWP851987:OWP851992 PGL851987:PGL851992 PQH851987:PQH851992 QAD851987:QAD851992 QJZ851987:QJZ851992 QTV851987:QTV851992 RDR851987:RDR851992 RNN851987:RNN851992 RXJ851987:RXJ851992 SHF851987:SHF851992 SRB851987:SRB851992 TAX851987:TAX851992 TKT851987:TKT851992 TUP851987:TUP851992 UEL851987:UEL851992 UOH851987:UOH851992 UYD851987:UYD851992 VHZ851987:VHZ851992 VRV851987:VRV851992 WBR851987:WBR851992 WLN851987:WLN851992 WVJ851987:WVJ851992 B917523:B917528 IX917523:IX917528 ST917523:ST917528 ACP917523:ACP917528 AML917523:AML917528 AWH917523:AWH917528 BGD917523:BGD917528 BPZ917523:BPZ917528 BZV917523:BZV917528 CJR917523:CJR917528 CTN917523:CTN917528 DDJ917523:DDJ917528 DNF917523:DNF917528 DXB917523:DXB917528 EGX917523:EGX917528 EQT917523:EQT917528 FAP917523:FAP917528 FKL917523:FKL917528 FUH917523:FUH917528 GED917523:GED917528 GNZ917523:GNZ917528 GXV917523:GXV917528 HHR917523:HHR917528 HRN917523:HRN917528 IBJ917523:IBJ917528 ILF917523:ILF917528 IVB917523:IVB917528 JEX917523:JEX917528 JOT917523:JOT917528 JYP917523:JYP917528 KIL917523:KIL917528 KSH917523:KSH917528 LCD917523:LCD917528 LLZ917523:LLZ917528 LVV917523:LVV917528 MFR917523:MFR917528 MPN917523:MPN917528 MZJ917523:MZJ917528 NJF917523:NJF917528 NTB917523:NTB917528 OCX917523:OCX917528 OMT917523:OMT917528 OWP917523:OWP917528 PGL917523:PGL917528 PQH917523:PQH917528 QAD917523:QAD917528 QJZ917523:QJZ917528 QTV917523:QTV917528 RDR917523:RDR917528 RNN917523:RNN917528 RXJ917523:RXJ917528 SHF917523:SHF917528 SRB917523:SRB917528 TAX917523:TAX917528 TKT917523:TKT917528 TUP917523:TUP917528 UEL917523:UEL917528 UOH917523:UOH917528 UYD917523:UYD917528 VHZ917523:VHZ917528 VRV917523:VRV917528 WBR917523:WBR917528 WLN917523:WLN917528 WVJ917523:WVJ917528 B983059:B983064 IX983059:IX983064 ST983059:ST983064 ACP983059:ACP983064 AML983059:AML983064 AWH983059:AWH983064 BGD983059:BGD983064 BPZ983059:BPZ983064 BZV983059:BZV983064 CJR983059:CJR983064 CTN983059:CTN983064 DDJ983059:DDJ983064 DNF983059:DNF983064 DXB983059:DXB983064 EGX983059:EGX983064 EQT983059:EQT983064 FAP983059:FAP983064 FKL983059:FKL983064 FUH983059:FUH983064 GED983059:GED983064 GNZ983059:GNZ983064 GXV983059:GXV983064 HHR983059:HHR983064 HRN983059:HRN983064 IBJ983059:IBJ983064 ILF983059:ILF983064 IVB983059:IVB983064 JEX983059:JEX983064 JOT983059:JOT983064 JYP983059:JYP983064 KIL983059:KIL983064 KSH983059:KSH983064 LCD983059:LCD983064 LLZ983059:LLZ983064 LVV983059:LVV983064 MFR983059:MFR983064 MPN983059:MPN983064 MZJ983059:MZJ983064 NJF983059:NJF983064 NTB983059:NTB983064 OCX983059:OCX983064 OMT983059:OMT983064 OWP983059:OWP983064 PGL983059:PGL983064 PQH983059:PQH983064 QAD983059:QAD983064 QJZ983059:QJZ983064 QTV983059:QTV983064 RDR983059:RDR983064 RNN983059:RNN983064 RXJ983059:RXJ983064 SHF983059:SHF983064 SRB983059:SRB983064 TAX983059:TAX983064 TKT983059:TKT983064 TUP983059:TUP983064 UEL983059:UEL983064 UOH983059:UOH983064 UYD983059:UYD983064 VHZ983059:VHZ983064 VRV983059:VRV983064 WBR983059:WBR983064 WLN983059:WLN983064 P19:P24 Q21 Q23:Q24">
      <formula1>#REF!</formula1>
    </dataValidation>
    <dataValidation type="list" allowBlank="1" showInputMessage="1" showErrorMessage="1" sqref="P15:P17 JL15:JL17 TH15:TH17 ADD15:ADD17 AMZ15:AMZ17 AWV15:AWV17 BGR15:BGR17 BQN15:BQN17 CAJ15:CAJ17 CKF15:CKF17 CUB15:CUB17 DDX15:DDX17 DNT15:DNT17 DXP15:DXP17 EHL15:EHL17 ERH15:ERH17 FBD15:FBD17 FKZ15:FKZ17 FUV15:FUV17 GER15:GER17 GON15:GON17 GYJ15:GYJ17 HIF15:HIF17 HSB15:HSB17 IBX15:IBX17 ILT15:ILT17 IVP15:IVP17 JFL15:JFL17 JPH15:JPH17 JZD15:JZD17 KIZ15:KIZ17 KSV15:KSV17 LCR15:LCR17 LMN15:LMN17 LWJ15:LWJ17 MGF15:MGF17 MQB15:MQB17 MZX15:MZX17 NJT15:NJT17 NTP15:NTP17 ODL15:ODL17 ONH15:ONH17 OXD15:OXD17 PGZ15:PGZ17 PQV15:PQV17 QAR15:QAR17 QKN15:QKN17 QUJ15:QUJ17 REF15:REF17 ROB15:ROB17 RXX15:RXX17 SHT15:SHT17 SRP15:SRP17 TBL15:TBL17 TLH15:TLH17 TVD15:TVD17 UEZ15:UEZ17 UOV15:UOV17 UYR15:UYR17 VIN15:VIN17 VSJ15:VSJ17 WCF15:WCF17 WMB15:WMB17 WVX15:WVX17 P65551:P65553 JL65551:JL65553 TH65551:TH65553 ADD65551:ADD65553 AMZ65551:AMZ65553 AWV65551:AWV65553 BGR65551:BGR65553 BQN65551:BQN65553 CAJ65551:CAJ65553 CKF65551:CKF65553 CUB65551:CUB65553 DDX65551:DDX65553 DNT65551:DNT65553 DXP65551:DXP65553 EHL65551:EHL65553 ERH65551:ERH65553 FBD65551:FBD65553 FKZ65551:FKZ65553 FUV65551:FUV65553 GER65551:GER65553 GON65551:GON65553 GYJ65551:GYJ65553 HIF65551:HIF65553 HSB65551:HSB65553 IBX65551:IBX65553 ILT65551:ILT65553 IVP65551:IVP65553 JFL65551:JFL65553 JPH65551:JPH65553 JZD65551:JZD65553 KIZ65551:KIZ65553 KSV65551:KSV65553 LCR65551:LCR65553 LMN65551:LMN65553 LWJ65551:LWJ65553 MGF65551:MGF65553 MQB65551:MQB65553 MZX65551:MZX65553 NJT65551:NJT65553 NTP65551:NTP65553 ODL65551:ODL65553 ONH65551:ONH65553 OXD65551:OXD65553 PGZ65551:PGZ65553 PQV65551:PQV65553 QAR65551:QAR65553 QKN65551:QKN65553 QUJ65551:QUJ65553 REF65551:REF65553 ROB65551:ROB65553 RXX65551:RXX65553 SHT65551:SHT65553 SRP65551:SRP65553 TBL65551:TBL65553 TLH65551:TLH65553 TVD65551:TVD65553 UEZ65551:UEZ65553 UOV65551:UOV65553 UYR65551:UYR65553 VIN65551:VIN65553 VSJ65551:VSJ65553 WCF65551:WCF65553 WMB65551:WMB65553 WVX65551:WVX65553 P131087:P131089 JL131087:JL131089 TH131087:TH131089 ADD131087:ADD131089 AMZ131087:AMZ131089 AWV131087:AWV131089 BGR131087:BGR131089 BQN131087:BQN131089 CAJ131087:CAJ131089 CKF131087:CKF131089 CUB131087:CUB131089 DDX131087:DDX131089 DNT131087:DNT131089 DXP131087:DXP131089 EHL131087:EHL131089 ERH131087:ERH131089 FBD131087:FBD131089 FKZ131087:FKZ131089 FUV131087:FUV131089 GER131087:GER131089 GON131087:GON131089 GYJ131087:GYJ131089 HIF131087:HIF131089 HSB131087:HSB131089 IBX131087:IBX131089 ILT131087:ILT131089 IVP131087:IVP131089 JFL131087:JFL131089 JPH131087:JPH131089 JZD131087:JZD131089 KIZ131087:KIZ131089 KSV131087:KSV131089 LCR131087:LCR131089 LMN131087:LMN131089 LWJ131087:LWJ131089 MGF131087:MGF131089 MQB131087:MQB131089 MZX131087:MZX131089 NJT131087:NJT131089 NTP131087:NTP131089 ODL131087:ODL131089 ONH131087:ONH131089 OXD131087:OXD131089 PGZ131087:PGZ131089 PQV131087:PQV131089 QAR131087:QAR131089 QKN131087:QKN131089 QUJ131087:QUJ131089 REF131087:REF131089 ROB131087:ROB131089 RXX131087:RXX131089 SHT131087:SHT131089 SRP131087:SRP131089 TBL131087:TBL131089 TLH131087:TLH131089 TVD131087:TVD131089 UEZ131087:UEZ131089 UOV131087:UOV131089 UYR131087:UYR131089 VIN131087:VIN131089 VSJ131087:VSJ131089 WCF131087:WCF131089 WMB131087:WMB131089 WVX131087:WVX131089 P196623:P196625 JL196623:JL196625 TH196623:TH196625 ADD196623:ADD196625 AMZ196623:AMZ196625 AWV196623:AWV196625 BGR196623:BGR196625 BQN196623:BQN196625 CAJ196623:CAJ196625 CKF196623:CKF196625 CUB196623:CUB196625 DDX196623:DDX196625 DNT196623:DNT196625 DXP196623:DXP196625 EHL196623:EHL196625 ERH196623:ERH196625 FBD196623:FBD196625 FKZ196623:FKZ196625 FUV196623:FUV196625 GER196623:GER196625 GON196623:GON196625 GYJ196623:GYJ196625 HIF196623:HIF196625 HSB196623:HSB196625 IBX196623:IBX196625 ILT196623:ILT196625 IVP196623:IVP196625 JFL196623:JFL196625 JPH196623:JPH196625 JZD196623:JZD196625 KIZ196623:KIZ196625 KSV196623:KSV196625 LCR196623:LCR196625 LMN196623:LMN196625 LWJ196623:LWJ196625 MGF196623:MGF196625 MQB196623:MQB196625 MZX196623:MZX196625 NJT196623:NJT196625 NTP196623:NTP196625 ODL196623:ODL196625 ONH196623:ONH196625 OXD196623:OXD196625 PGZ196623:PGZ196625 PQV196623:PQV196625 QAR196623:QAR196625 QKN196623:QKN196625 QUJ196623:QUJ196625 REF196623:REF196625 ROB196623:ROB196625 RXX196623:RXX196625 SHT196623:SHT196625 SRP196623:SRP196625 TBL196623:TBL196625 TLH196623:TLH196625 TVD196623:TVD196625 UEZ196623:UEZ196625 UOV196623:UOV196625 UYR196623:UYR196625 VIN196623:VIN196625 VSJ196623:VSJ196625 WCF196623:WCF196625 WMB196623:WMB196625 WVX196623:WVX196625 P262159:P262161 JL262159:JL262161 TH262159:TH262161 ADD262159:ADD262161 AMZ262159:AMZ262161 AWV262159:AWV262161 BGR262159:BGR262161 BQN262159:BQN262161 CAJ262159:CAJ262161 CKF262159:CKF262161 CUB262159:CUB262161 DDX262159:DDX262161 DNT262159:DNT262161 DXP262159:DXP262161 EHL262159:EHL262161 ERH262159:ERH262161 FBD262159:FBD262161 FKZ262159:FKZ262161 FUV262159:FUV262161 GER262159:GER262161 GON262159:GON262161 GYJ262159:GYJ262161 HIF262159:HIF262161 HSB262159:HSB262161 IBX262159:IBX262161 ILT262159:ILT262161 IVP262159:IVP262161 JFL262159:JFL262161 JPH262159:JPH262161 JZD262159:JZD262161 KIZ262159:KIZ262161 KSV262159:KSV262161 LCR262159:LCR262161 LMN262159:LMN262161 LWJ262159:LWJ262161 MGF262159:MGF262161 MQB262159:MQB262161 MZX262159:MZX262161 NJT262159:NJT262161 NTP262159:NTP262161 ODL262159:ODL262161 ONH262159:ONH262161 OXD262159:OXD262161 PGZ262159:PGZ262161 PQV262159:PQV262161 QAR262159:QAR262161 QKN262159:QKN262161 QUJ262159:QUJ262161 REF262159:REF262161 ROB262159:ROB262161 RXX262159:RXX262161 SHT262159:SHT262161 SRP262159:SRP262161 TBL262159:TBL262161 TLH262159:TLH262161 TVD262159:TVD262161 UEZ262159:UEZ262161 UOV262159:UOV262161 UYR262159:UYR262161 VIN262159:VIN262161 VSJ262159:VSJ262161 WCF262159:WCF262161 WMB262159:WMB262161 WVX262159:WVX262161 P327695:P327697 JL327695:JL327697 TH327695:TH327697 ADD327695:ADD327697 AMZ327695:AMZ327697 AWV327695:AWV327697 BGR327695:BGR327697 BQN327695:BQN327697 CAJ327695:CAJ327697 CKF327695:CKF327697 CUB327695:CUB327697 DDX327695:DDX327697 DNT327695:DNT327697 DXP327695:DXP327697 EHL327695:EHL327697 ERH327695:ERH327697 FBD327695:FBD327697 FKZ327695:FKZ327697 FUV327695:FUV327697 GER327695:GER327697 GON327695:GON327697 GYJ327695:GYJ327697 HIF327695:HIF327697 HSB327695:HSB327697 IBX327695:IBX327697 ILT327695:ILT327697 IVP327695:IVP327697 JFL327695:JFL327697 JPH327695:JPH327697 JZD327695:JZD327697 KIZ327695:KIZ327697 KSV327695:KSV327697 LCR327695:LCR327697 LMN327695:LMN327697 LWJ327695:LWJ327697 MGF327695:MGF327697 MQB327695:MQB327697 MZX327695:MZX327697 NJT327695:NJT327697 NTP327695:NTP327697 ODL327695:ODL327697 ONH327695:ONH327697 OXD327695:OXD327697 PGZ327695:PGZ327697 PQV327695:PQV327697 QAR327695:QAR327697 QKN327695:QKN327697 QUJ327695:QUJ327697 REF327695:REF327697 ROB327695:ROB327697 RXX327695:RXX327697 SHT327695:SHT327697 SRP327695:SRP327697 TBL327695:TBL327697 TLH327695:TLH327697 TVD327695:TVD327697 UEZ327695:UEZ327697 UOV327695:UOV327697 UYR327695:UYR327697 VIN327695:VIN327697 VSJ327695:VSJ327697 WCF327695:WCF327697 WMB327695:WMB327697 WVX327695:WVX327697 P393231:P393233 JL393231:JL393233 TH393231:TH393233 ADD393231:ADD393233 AMZ393231:AMZ393233 AWV393231:AWV393233 BGR393231:BGR393233 BQN393231:BQN393233 CAJ393231:CAJ393233 CKF393231:CKF393233 CUB393231:CUB393233 DDX393231:DDX393233 DNT393231:DNT393233 DXP393231:DXP393233 EHL393231:EHL393233 ERH393231:ERH393233 FBD393231:FBD393233 FKZ393231:FKZ393233 FUV393231:FUV393233 GER393231:GER393233 GON393231:GON393233 GYJ393231:GYJ393233 HIF393231:HIF393233 HSB393231:HSB393233 IBX393231:IBX393233 ILT393231:ILT393233 IVP393231:IVP393233 JFL393231:JFL393233 JPH393231:JPH393233 JZD393231:JZD393233 KIZ393231:KIZ393233 KSV393231:KSV393233 LCR393231:LCR393233 LMN393231:LMN393233 LWJ393231:LWJ393233 MGF393231:MGF393233 MQB393231:MQB393233 MZX393231:MZX393233 NJT393231:NJT393233 NTP393231:NTP393233 ODL393231:ODL393233 ONH393231:ONH393233 OXD393231:OXD393233 PGZ393231:PGZ393233 PQV393231:PQV393233 QAR393231:QAR393233 QKN393231:QKN393233 QUJ393231:QUJ393233 REF393231:REF393233 ROB393231:ROB393233 RXX393231:RXX393233 SHT393231:SHT393233 SRP393231:SRP393233 TBL393231:TBL393233 TLH393231:TLH393233 TVD393231:TVD393233 UEZ393231:UEZ393233 UOV393231:UOV393233 UYR393231:UYR393233 VIN393231:VIN393233 VSJ393231:VSJ393233 WCF393231:WCF393233 WMB393231:WMB393233 WVX393231:WVX393233 P458767:P458769 JL458767:JL458769 TH458767:TH458769 ADD458767:ADD458769 AMZ458767:AMZ458769 AWV458767:AWV458769 BGR458767:BGR458769 BQN458767:BQN458769 CAJ458767:CAJ458769 CKF458767:CKF458769 CUB458767:CUB458769 DDX458767:DDX458769 DNT458767:DNT458769 DXP458767:DXP458769 EHL458767:EHL458769 ERH458767:ERH458769 FBD458767:FBD458769 FKZ458767:FKZ458769 FUV458767:FUV458769 GER458767:GER458769 GON458767:GON458769 GYJ458767:GYJ458769 HIF458767:HIF458769 HSB458767:HSB458769 IBX458767:IBX458769 ILT458767:ILT458769 IVP458767:IVP458769 JFL458767:JFL458769 JPH458767:JPH458769 JZD458767:JZD458769 KIZ458767:KIZ458769 KSV458767:KSV458769 LCR458767:LCR458769 LMN458767:LMN458769 LWJ458767:LWJ458769 MGF458767:MGF458769 MQB458767:MQB458769 MZX458767:MZX458769 NJT458767:NJT458769 NTP458767:NTP458769 ODL458767:ODL458769 ONH458767:ONH458769 OXD458767:OXD458769 PGZ458767:PGZ458769 PQV458767:PQV458769 QAR458767:QAR458769 QKN458767:QKN458769 QUJ458767:QUJ458769 REF458767:REF458769 ROB458767:ROB458769 RXX458767:RXX458769 SHT458767:SHT458769 SRP458767:SRP458769 TBL458767:TBL458769 TLH458767:TLH458769 TVD458767:TVD458769 UEZ458767:UEZ458769 UOV458767:UOV458769 UYR458767:UYR458769 VIN458767:VIN458769 VSJ458767:VSJ458769 WCF458767:WCF458769 WMB458767:WMB458769 WVX458767:WVX458769 P524303:P524305 JL524303:JL524305 TH524303:TH524305 ADD524303:ADD524305 AMZ524303:AMZ524305 AWV524303:AWV524305 BGR524303:BGR524305 BQN524303:BQN524305 CAJ524303:CAJ524305 CKF524303:CKF524305 CUB524303:CUB524305 DDX524303:DDX524305 DNT524303:DNT524305 DXP524303:DXP524305 EHL524303:EHL524305 ERH524303:ERH524305 FBD524303:FBD524305 FKZ524303:FKZ524305 FUV524303:FUV524305 GER524303:GER524305 GON524303:GON524305 GYJ524303:GYJ524305 HIF524303:HIF524305 HSB524303:HSB524305 IBX524303:IBX524305 ILT524303:ILT524305 IVP524303:IVP524305 JFL524303:JFL524305 JPH524303:JPH524305 JZD524303:JZD524305 KIZ524303:KIZ524305 KSV524303:KSV524305 LCR524303:LCR524305 LMN524303:LMN524305 LWJ524303:LWJ524305 MGF524303:MGF524305 MQB524303:MQB524305 MZX524303:MZX524305 NJT524303:NJT524305 NTP524303:NTP524305 ODL524303:ODL524305 ONH524303:ONH524305 OXD524303:OXD524305 PGZ524303:PGZ524305 PQV524303:PQV524305 QAR524303:QAR524305 QKN524303:QKN524305 QUJ524303:QUJ524305 REF524303:REF524305 ROB524303:ROB524305 RXX524303:RXX524305 SHT524303:SHT524305 SRP524303:SRP524305 TBL524303:TBL524305 TLH524303:TLH524305 TVD524303:TVD524305 UEZ524303:UEZ524305 UOV524303:UOV524305 UYR524303:UYR524305 VIN524303:VIN524305 VSJ524303:VSJ524305 WCF524303:WCF524305 WMB524303:WMB524305 WVX524303:WVX524305 P589839:P589841 JL589839:JL589841 TH589839:TH589841 ADD589839:ADD589841 AMZ589839:AMZ589841 AWV589839:AWV589841 BGR589839:BGR589841 BQN589839:BQN589841 CAJ589839:CAJ589841 CKF589839:CKF589841 CUB589839:CUB589841 DDX589839:DDX589841 DNT589839:DNT589841 DXP589839:DXP589841 EHL589839:EHL589841 ERH589839:ERH589841 FBD589839:FBD589841 FKZ589839:FKZ589841 FUV589839:FUV589841 GER589839:GER589841 GON589839:GON589841 GYJ589839:GYJ589841 HIF589839:HIF589841 HSB589839:HSB589841 IBX589839:IBX589841 ILT589839:ILT589841 IVP589839:IVP589841 JFL589839:JFL589841 JPH589839:JPH589841 JZD589839:JZD589841 KIZ589839:KIZ589841 KSV589839:KSV589841 LCR589839:LCR589841 LMN589839:LMN589841 LWJ589839:LWJ589841 MGF589839:MGF589841 MQB589839:MQB589841 MZX589839:MZX589841 NJT589839:NJT589841 NTP589839:NTP589841 ODL589839:ODL589841 ONH589839:ONH589841 OXD589839:OXD589841 PGZ589839:PGZ589841 PQV589839:PQV589841 QAR589839:QAR589841 QKN589839:QKN589841 QUJ589839:QUJ589841 REF589839:REF589841 ROB589839:ROB589841 RXX589839:RXX589841 SHT589839:SHT589841 SRP589839:SRP589841 TBL589839:TBL589841 TLH589839:TLH589841 TVD589839:TVD589841 UEZ589839:UEZ589841 UOV589839:UOV589841 UYR589839:UYR589841 VIN589839:VIN589841 VSJ589839:VSJ589841 WCF589839:WCF589841 WMB589839:WMB589841 WVX589839:WVX589841 P655375:P655377 JL655375:JL655377 TH655375:TH655377 ADD655375:ADD655377 AMZ655375:AMZ655377 AWV655375:AWV655377 BGR655375:BGR655377 BQN655375:BQN655377 CAJ655375:CAJ655377 CKF655375:CKF655377 CUB655375:CUB655377 DDX655375:DDX655377 DNT655375:DNT655377 DXP655375:DXP655377 EHL655375:EHL655377 ERH655375:ERH655377 FBD655375:FBD655377 FKZ655375:FKZ655377 FUV655375:FUV655377 GER655375:GER655377 GON655375:GON655377 GYJ655375:GYJ655377 HIF655375:HIF655377 HSB655375:HSB655377 IBX655375:IBX655377 ILT655375:ILT655377 IVP655375:IVP655377 JFL655375:JFL655377 JPH655375:JPH655377 JZD655375:JZD655377 KIZ655375:KIZ655377 KSV655375:KSV655377 LCR655375:LCR655377 LMN655375:LMN655377 LWJ655375:LWJ655377 MGF655375:MGF655377 MQB655375:MQB655377 MZX655375:MZX655377 NJT655375:NJT655377 NTP655375:NTP655377 ODL655375:ODL655377 ONH655375:ONH655377 OXD655375:OXD655377 PGZ655375:PGZ655377 PQV655375:PQV655377 QAR655375:QAR655377 QKN655375:QKN655377 QUJ655375:QUJ655377 REF655375:REF655377 ROB655375:ROB655377 RXX655375:RXX655377 SHT655375:SHT655377 SRP655375:SRP655377 TBL655375:TBL655377 TLH655375:TLH655377 TVD655375:TVD655377 UEZ655375:UEZ655377 UOV655375:UOV655377 UYR655375:UYR655377 VIN655375:VIN655377 VSJ655375:VSJ655377 WCF655375:WCF655377 WMB655375:WMB655377 WVX655375:WVX655377 P720911:P720913 JL720911:JL720913 TH720911:TH720913 ADD720911:ADD720913 AMZ720911:AMZ720913 AWV720911:AWV720913 BGR720911:BGR720913 BQN720911:BQN720913 CAJ720911:CAJ720913 CKF720911:CKF720913 CUB720911:CUB720913 DDX720911:DDX720913 DNT720911:DNT720913 DXP720911:DXP720913 EHL720911:EHL720913 ERH720911:ERH720913 FBD720911:FBD720913 FKZ720911:FKZ720913 FUV720911:FUV720913 GER720911:GER720913 GON720911:GON720913 GYJ720911:GYJ720913 HIF720911:HIF720913 HSB720911:HSB720913 IBX720911:IBX720913 ILT720911:ILT720913 IVP720911:IVP720913 JFL720911:JFL720913 JPH720911:JPH720913 JZD720911:JZD720913 KIZ720911:KIZ720913 KSV720911:KSV720913 LCR720911:LCR720913 LMN720911:LMN720913 LWJ720911:LWJ720913 MGF720911:MGF720913 MQB720911:MQB720913 MZX720911:MZX720913 NJT720911:NJT720913 NTP720911:NTP720913 ODL720911:ODL720913 ONH720911:ONH720913 OXD720911:OXD720913 PGZ720911:PGZ720913 PQV720911:PQV720913 QAR720911:QAR720913 QKN720911:QKN720913 QUJ720911:QUJ720913 REF720911:REF720913 ROB720911:ROB720913 RXX720911:RXX720913 SHT720911:SHT720913 SRP720911:SRP720913 TBL720911:TBL720913 TLH720911:TLH720913 TVD720911:TVD720913 UEZ720911:UEZ720913 UOV720911:UOV720913 UYR720911:UYR720913 VIN720911:VIN720913 VSJ720911:VSJ720913 WCF720911:WCF720913 WMB720911:WMB720913 WVX720911:WVX720913 P786447:P786449 JL786447:JL786449 TH786447:TH786449 ADD786447:ADD786449 AMZ786447:AMZ786449 AWV786447:AWV786449 BGR786447:BGR786449 BQN786447:BQN786449 CAJ786447:CAJ786449 CKF786447:CKF786449 CUB786447:CUB786449 DDX786447:DDX786449 DNT786447:DNT786449 DXP786447:DXP786449 EHL786447:EHL786449 ERH786447:ERH786449 FBD786447:FBD786449 FKZ786447:FKZ786449 FUV786447:FUV786449 GER786447:GER786449 GON786447:GON786449 GYJ786447:GYJ786449 HIF786447:HIF786449 HSB786447:HSB786449 IBX786447:IBX786449 ILT786447:ILT786449 IVP786447:IVP786449 JFL786447:JFL786449 JPH786447:JPH786449 JZD786447:JZD786449 KIZ786447:KIZ786449 KSV786447:KSV786449 LCR786447:LCR786449 LMN786447:LMN786449 LWJ786447:LWJ786449 MGF786447:MGF786449 MQB786447:MQB786449 MZX786447:MZX786449 NJT786447:NJT786449 NTP786447:NTP786449 ODL786447:ODL786449 ONH786447:ONH786449 OXD786447:OXD786449 PGZ786447:PGZ786449 PQV786447:PQV786449 QAR786447:QAR786449 QKN786447:QKN786449 QUJ786447:QUJ786449 REF786447:REF786449 ROB786447:ROB786449 RXX786447:RXX786449 SHT786447:SHT786449 SRP786447:SRP786449 TBL786447:TBL786449 TLH786447:TLH786449 TVD786447:TVD786449 UEZ786447:UEZ786449 UOV786447:UOV786449 UYR786447:UYR786449 VIN786447:VIN786449 VSJ786447:VSJ786449 WCF786447:WCF786449 WMB786447:WMB786449 WVX786447:WVX786449 P851983:P851985 JL851983:JL851985 TH851983:TH851985 ADD851983:ADD851985 AMZ851983:AMZ851985 AWV851983:AWV851985 BGR851983:BGR851985 BQN851983:BQN851985 CAJ851983:CAJ851985 CKF851983:CKF851985 CUB851983:CUB851985 DDX851983:DDX851985 DNT851983:DNT851985 DXP851983:DXP851985 EHL851983:EHL851985 ERH851983:ERH851985 FBD851983:FBD851985 FKZ851983:FKZ851985 FUV851983:FUV851985 GER851983:GER851985 GON851983:GON851985 GYJ851983:GYJ851985 HIF851983:HIF851985 HSB851983:HSB851985 IBX851983:IBX851985 ILT851983:ILT851985 IVP851983:IVP851985 JFL851983:JFL851985 JPH851983:JPH851985 JZD851983:JZD851985 KIZ851983:KIZ851985 KSV851983:KSV851985 LCR851983:LCR851985 LMN851983:LMN851985 LWJ851983:LWJ851985 MGF851983:MGF851985 MQB851983:MQB851985 MZX851983:MZX851985 NJT851983:NJT851985 NTP851983:NTP851985 ODL851983:ODL851985 ONH851983:ONH851985 OXD851983:OXD851985 PGZ851983:PGZ851985 PQV851983:PQV851985 QAR851983:QAR851985 QKN851983:QKN851985 QUJ851983:QUJ851985 REF851983:REF851985 ROB851983:ROB851985 RXX851983:RXX851985 SHT851983:SHT851985 SRP851983:SRP851985 TBL851983:TBL851985 TLH851983:TLH851985 TVD851983:TVD851985 UEZ851983:UEZ851985 UOV851983:UOV851985 UYR851983:UYR851985 VIN851983:VIN851985 VSJ851983:VSJ851985 WCF851983:WCF851985 WMB851983:WMB851985 WVX851983:WVX851985 P917519:P917521 JL917519:JL917521 TH917519:TH917521 ADD917519:ADD917521 AMZ917519:AMZ917521 AWV917519:AWV917521 BGR917519:BGR917521 BQN917519:BQN917521 CAJ917519:CAJ917521 CKF917519:CKF917521 CUB917519:CUB917521 DDX917519:DDX917521 DNT917519:DNT917521 DXP917519:DXP917521 EHL917519:EHL917521 ERH917519:ERH917521 FBD917519:FBD917521 FKZ917519:FKZ917521 FUV917519:FUV917521 GER917519:GER917521 GON917519:GON917521 GYJ917519:GYJ917521 HIF917519:HIF917521 HSB917519:HSB917521 IBX917519:IBX917521 ILT917519:ILT917521 IVP917519:IVP917521 JFL917519:JFL917521 JPH917519:JPH917521 JZD917519:JZD917521 KIZ917519:KIZ917521 KSV917519:KSV917521 LCR917519:LCR917521 LMN917519:LMN917521 LWJ917519:LWJ917521 MGF917519:MGF917521 MQB917519:MQB917521 MZX917519:MZX917521 NJT917519:NJT917521 NTP917519:NTP917521 ODL917519:ODL917521 ONH917519:ONH917521 OXD917519:OXD917521 PGZ917519:PGZ917521 PQV917519:PQV917521 QAR917519:QAR917521 QKN917519:QKN917521 QUJ917519:QUJ917521 REF917519:REF917521 ROB917519:ROB917521 RXX917519:RXX917521 SHT917519:SHT917521 SRP917519:SRP917521 TBL917519:TBL917521 TLH917519:TLH917521 TVD917519:TVD917521 UEZ917519:UEZ917521 UOV917519:UOV917521 UYR917519:UYR917521 VIN917519:VIN917521 VSJ917519:VSJ917521 WCF917519:WCF917521 WMB917519:WMB917521 WVX917519:WVX917521 P983055:P983057 JL983055:JL983057 TH983055:TH983057 ADD983055:ADD983057 AMZ983055:AMZ983057 AWV983055:AWV983057 BGR983055:BGR983057 BQN983055:BQN983057 CAJ983055:CAJ983057 CKF983055:CKF983057 CUB983055:CUB983057 DDX983055:DDX983057 DNT983055:DNT983057 DXP983055:DXP983057 EHL983055:EHL983057 ERH983055:ERH983057 FBD983055:FBD983057 FKZ983055:FKZ983057 FUV983055:FUV983057 GER983055:GER983057 GON983055:GON983057 GYJ983055:GYJ983057 HIF983055:HIF983057 HSB983055:HSB983057 IBX983055:IBX983057 ILT983055:ILT983057 IVP983055:IVP983057 JFL983055:JFL983057 JPH983055:JPH983057 JZD983055:JZD983057 KIZ983055:KIZ983057 KSV983055:KSV983057 LCR983055:LCR983057 LMN983055:LMN983057 LWJ983055:LWJ983057 MGF983055:MGF983057 MQB983055:MQB983057 MZX983055:MZX983057 NJT983055:NJT983057 NTP983055:NTP983057 ODL983055:ODL983057 ONH983055:ONH983057 OXD983055:OXD983057 PGZ983055:PGZ983057 PQV983055:PQV983057 QAR983055:QAR983057 QKN983055:QKN983057 QUJ983055:QUJ983057 REF983055:REF983057 ROB983055:ROB983057 RXX983055:RXX983057 SHT983055:SHT983057 SRP983055:SRP983057 TBL983055:TBL983057 TLH983055:TLH983057 TVD983055:TVD983057 UEZ983055:UEZ983057 UOV983055:UOV983057 UYR983055:UYR983057 VIN983055:VIN983057 VSJ983055:VSJ983057 WCF983055:WCF983057 WMB983055:WMB983057 WVX983055:WVX983057 P12:Q12 JL12:JM12 TH12:TI12 ADD12:ADE12 AMZ12:ANA12 AWV12:AWW12 BGR12:BGS12 BQN12:BQO12 CAJ12:CAK12 CKF12:CKG12 CUB12:CUC12 DDX12:DDY12 DNT12:DNU12 DXP12:DXQ12 EHL12:EHM12 ERH12:ERI12 FBD12:FBE12 FKZ12:FLA12 FUV12:FUW12 GER12:GES12 GON12:GOO12 GYJ12:GYK12 HIF12:HIG12 HSB12:HSC12 IBX12:IBY12 ILT12:ILU12 IVP12:IVQ12 JFL12:JFM12 JPH12:JPI12 JZD12:JZE12 KIZ12:KJA12 KSV12:KSW12 LCR12:LCS12 LMN12:LMO12 LWJ12:LWK12 MGF12:MGG12 MQB12:MQC12 MZX12:MZY12 NJT12:NJU12 NTP12:NTQ12 ODL12:ODM12 ONH12:ONI12 OXD12:OXE12 PGZ12:PHA12 PQV12:PQW12 QAR12:QAS12 QKN12:QKO12 QUJ12:QUK12 REF12:REG12 ROB12:ROC12 RXX12:RXY12 SHT12:SHU12 SRP12:SRQ12 TBL12:TBM12 TLH12:TLI12 TVD12:TVE12 UEZ12:UFA12 UOV12:UOW12 UYR12:UYS12 VIN12:VIO12 VSJ12:VSK12 WCF12:WCG12 WMB12:WMC12 WVX12:WVY12 P65548:Q65548 JL65548:JM65548 TH65548:TI65548 ADD65548:ADE65548 AMZ65548:ANA65548 AWV65548:AWW65548 BGR65548:BGS65548 BQN65548:BQO65548 CAJ65548:CAK65548 CKF65548:CKG65548 CUB65548:CUC65548 DDX65548:DDY65548 DNT65548:DNU65548 DXP65548:DXQ65548 EHL65548:EHM65548 ERH65548:ERI65548 FBD65548:FBE65548 FKZ65548:FLA65548 FUV65548:FUW65548 GER65548:GES65548 GON65548:GOO65548 GYJ65548:GYK65548 HIF65548:HIG65548 HSB65548:HSC65548 IBX65548:IBY65548 ILT65548:ILU65548 IVP65548:IVQ65548 JFL65548:JFM65548 JPH65548:JPI65548 JZD65548:JZE65548 KIZ65548:KJA65548 KSV65548:KSW65548 LCR65548:LCS65548 LMN65548:LMO65548 LWJ65548:LWK65548 MGF65548:MGG65548 MQB65548:MQC65548 MZX65548:MZY65548 NJT65548:NJU65548 NTP65548:NTQ65548 ODL65548:ODM65548 ONH65548:ONI65548 OXD65548:OXE65548 PGZ65548:PHA65548 PQV65548:PQW65548 QAR65548:QAS65548 QKN65548:QKO65548 QUJ65548:QUK65548 REF65548:REG65548 ROB65548:ROC65548 RXX65548:RXY65548 SHT65548:SHU65548 SRP65548:SRQ65548 TBL65548:TBM65548 TLH65548:TLI65548 TVD65548:TVE65548 UEZ65548:UFA65548 UOV65548:UOW65548 UYR65548:UYS65548 VIN65548:VIO65548 VSJ65548:VSK65548 WCF65548:WCG65548 WMB65548:WMC65548 WVX65548:WVY65548 P131084:Q131084 JL131084:JM131084 TH131084:TI131084 ADD131084:ADE131084 AMZ131084:ANA131084 AWV131084:AWW131084 BGR131084:BGS131084 BQN131084:BQO131084 CAJ131084:CAK131084 CKF131084:CKG131084 CUB131084:CUC131084 DDX131084:DDY131084 DNT131084:DNU131084 DXP131084:DXQ131084 EHL131084:EHM131084 ERH131084:ERI131084 FBD131084:FBE131084 FKZ131084:FLA131084 FUV131084:FUW131084 GER131084:GES131084 GON131084:GOO131084 GYJ131084:GYK131084 HIF131084:HIG131084 HSB131084:HSC131084 IBX131084:IBY131084 ILT131084:ILU131084 IVP131084:IVQ131084 JFL131084:JFM131084 JPH131084:JPI131084 JZD131084:JZE131084 KIZ131084:KJA131084 KSV131084:KSW131084 LCR131084:LCS131084 LMN131084:LMO131084 LWJ131084:LWK131084 MGF131084:MGG131084 MQB131084:MQC131084 MZX131084:MZY131084 NJT131084:NJU131084 NTP131084:NTQ131084 ODL131084:ODM131084 ONH131084:ONI131084 OXD131084:OXE131084 PGZ131084:PHA131084 PQV131084:PQW131084 QAR131084:QAS131084 QKN131084:QKO131084 QUJ131084:QUK131084 REF131084:REG131084 ROB131084:ROC131084 RXX131084:RXY131084 SHT131084:SHU131084 SRP131084:SRQ131084 TBL131084:TBM131084 TLH131084:TLI131084 TVD131084:TVE131084 UEZ131084:UFA131084 UOV131084:UOW131084 UYR131084:UYS131084 VIN131084:VIO131084 VSJ131084:VSK131084 WCF131084:WCG131084 WMB131084:WMC131084 WVX131084:WVY131084 P196620:Q196620 JL196620:JM196620 TH196620:TI196620 ADD196620:ADE196620 AMZ196620:ANA196620 AWV196620:AWW196620 BGR196620:BGS196620 BQN196620:BQO196620 CAJ196620:CAK196620 CKF196620:CKG196620 CUB196620:CUC196620 DDX196620:DDY196620 DNT196620:DNU196620 DXP196620:DXQ196620 EHL196620:EHM196620 ERH196620:ERI196620 FBD196620:FBE196620 FKZ196620:FLA196620 FUV196620:FUW196620 GER196620:GES196620 GON196620:GOO196620 GYJ196620:GYK196620 HIF196620:HIG196620 HSB196620:HSC196620 IBX196620:IBY196620 ILT196620:ILU196620 IVP196620:IVQ196620 JFL196620:JFM196620 JPH196620:JPI196620 JZD196620:JZE196620 KIZ196620:KJA196620 KSV196620:KSW196620 LCR196620:LCS196620 LMN196620:LMO196620 LWJ196620:LWK196620 MGF196620:MGG196620 MQB196620:MQC196620 MZX196620:MZY196620 NJT196620:NJU196620 NTP196620:NTQ196620 ODL196620:ODM196620 ONH196620:ONI196620 OXD196620:OXE196620 PGZ196620:PHA196620 PQV196620:PQW196620 QAR196620:QAS196620 QKN196620:QKO196620 QUJ196620:QUK196620 REF196620:REG196620 ROB196620:ROC196620 RXX196620:RXY196620 SHT196620:SHU196620 SRP196620:SRQ196620 TBL196620:TBM196620 TLH196620:TLI196620 TVD196620:TVE196620 UEZ196620:UFA196620 UOV196620:UOW196620 UYR196620:UYS196620 VIN196620:VIO196620 VSJ196620:VSK196620 WCF196620:WCG196620 WMB196620:WMC196620 WVX196620:WVY196620 P262156:Q262156 JL262156:JM262156 TH262156:TI262156 ADD262156:ADE262156 AMZ262156:ANA262156 AWV262156:AWW262156 BGR262156:BGS262156 BQN262156:BQO262156 CAJ262156:CAK262156 CKF262156:CKG262156 CUB262156:CUC262156 DDX262156:DDY262156 DNT262156:DNU262156 DXP262156:DXQ262156 EHL262156:EHM262156 ERH262156:ERI262156 FBD262156:FBE262156 FKZ262156:FLA262156 FUV262156:FUW262156 GER262156:GES262156 GON262156:GOO262156 GYJ262156:GYK262156 HIF262156:HIG262156 HSB262156:HSC262156 IBX262156:IBY262156 ILT262156:ILU262156 IVP262156:IVQ262156 JFL262156:JFM262156 JPH262156:JPI262156 JZD262156:JZE262156 KIZ262156:KJA262156 KSV262156:KSW262156 LCR262156:LCS262156 LMN262156:LMO262156 LWJ262156:LWK262156 MGF262156:MGG262156 MQB262156:MQC262156 MZX262156:MZY262156 NJT262156:NJU262156 NTP262156:NTQ262156 ODL262156:ODM262156 ONH262156:ONI262156 OXD262156:OXE262156 PGZ262156:PHA262156 PQV262156:PQW262156 QAR262156:QAS262156 QKN262156:QKO262156 QUJ262156:QUK262156 REF262156:REG262156 ROB262156:ROC262156 RXX262156:RXY262156 SHT262156:SHU262156 SRP262156:SRQ262156 TBL262156:TBM262156 TLH262156:TLI262156 TVD262156:TVE262156 UEZ262156:UFA262156 UOV262156:UOW262156 UYR262156:UYS262156 VIN262156:VIO262156 VSJ262156:VSK262156 WCF262156:WCG262156 WMB262156:WMC262156 WVX262156:WVY262156 P327692:Q327692 JL327692:JM327692 TH327692:TI327692 ADD327692:ADE327692 AMZ327692:ANA327692 AWV327692:AWW327692 BGR327692:BGS327692 BQN327692:BQO327692 CAJ327692:CAK327692 CKF327692:CKG327692 CUB327692:CUC327692 DDX327692:DDY327692 DNT327692:DNU327692 DXP327692:DXQ327692 EHL327692:EHM327692 ERH327692:ERI327692 FBD327692:FBE327692 FKZ327692:FLA327692 FUV327692:FUW327692 GER327692:GES327692 GON327692:GOO327692 GYJ327692:GYK327692 HIF327692:HIG327692 HSB327692:HSC327692 IBX327692:IBY327692 ILT327692:ILU327692 IVP327692:IVQ327692 JFL327692:JFM327692 JPH327692:JPI327692 JZD327692:JZE327692 KIZ327692:KJA327692 KSV327692:KSW327692 LCR327692:LCS327692 LMN327692:LMO327692 LWJ327692:LWK327692 MGF327692:MGG327692 MQB327692:MQC327692 MZX327692:MZY327692 NJT327692:NJU327692 NTP327692:NTQ327692 ODL327692:ODM327692 ONH327692:ONI327692 OXD327692:OXE327692 PGZ327692:PHA327692 PQV327692:PQW327692 QAR327692:QAS327692 QKN327692:QKO327692 QUJ327692:QUK327692 REF327692:REG327692 ROB327692:ROC327692 RXX327692:RXY327692 SHT327692:SHU327692 SRP327692:SRQ327692 TBL327692:TBM327692 TLH327692:TLI327692 TVD327692:TVE327692 UEZ327692:UFA327692 UOV327692:UOW327692 UYR327692:UYS327692 VIN327692:VIO327692 VSJ327692:VSK327692 WCF327692:WCG327692 WMB327692:WMC327692 WVX327692:WVY327692 P393228:Q393228 JL393228:JM393228 TH393228:TI393228 ADD393228:ADE393228 AMZ393228:ANA393228 AWV393228:AWW393228 BGR393228:BGS393228 BQN393228:BQO393228 CAJ393228:CAK393228 CKF393228:CKG393228 CUB393228:CUC393228 DDX393228:DDY393228 DNT393228:DNU393228 DXP393228:DXQ393228 EHL393228:EHM393228 ERH393228:ERI393228 FBD393228:FBE393228 FKZ393228:FLA393228 FUV393228:FUW393228 GER393228:GES393228 GON393228:GOO393228 GYJ393228:GYK393228 HIF393228:HIG393228 HSB393228:HSC393228 IBX393228:IBY393228 ILT393228:ILU393228 IVP393228:IVQ393228 JFL393228:JFM393228 JPH393228:JPI393228 JZD393228:JZE393228 KIZ393228:KJA393228 KSV393228:KSW393228 LCR393228:LCS393228 LMN393228:LMO393228 LWJ393228:LWK393228 MGF393228:MGG393228 MQB393228:MQC393228 MZX393228:MZY393228 NJT393228:NJU393228 NTP393228:NTQ393228 ODL393228:ODM393228 ONH393228:ONI393228 OXD393228:OXE393228 PGZ393228:PHA393228 PQV393228:PQW393228 QAR393228:QAS393228 QKN393228:QKO393228 QUJ393228:QUK393228 REF393228:REG393228 ROB393228:ROC393228 RXX393228:RXY393228 SHT393228:SHU393228 SRP393228:SRQ393228 TBL393228:TBM393228 TLH393228:TLI393228 TVD393228:TVE393228 UEZ393228:UFA393228 UOV393228:UOW393228 UYR393228:UYS393228 VIN393228:VIO393228 VSJ393228:VSK393228 WCF393228:WCG393228 WMB393228:WMC393228 WVX393228:WVY393228 P458764:Q458764 JL458764:JM458764 TH458764:TI458764 ADD458764:ADE458764 AMZ458764:ANA458764 AWV458764:AWW458764 BGR458764:BGS458764 BQN458764:BQO458764 CAJ458764:CAK458764 CKF458764:CKG458764 CUB458764:CUC458764 DDX458764:DDY458764 DNT458764:DNU458764 DXP458764:DXQ458764 EHL458764:EHM458764 ERH458764:ERI458764 FBD458764:FBE458764 FKZ458764:FLA458764 FUV458764:FUW458764 GER458764:GES458764 GON458764:GOO458764 GYJ458764:GYK458764 HIF458764:HIG458764 HSB458764:HSC458764 IBX458764:IBY458764 ILT458764:ILU458764 IVP458764:IVQ458764 JFL458764:JFM458764 JPH458764:JPI458764 JZD458764:JZE458764 KIZ458764:KJA458764 KSV458764:KSW458764 LCR458764:LCS458764 LMN458764:LMO458764 LWJ458764:LWK458764 MGF458764:MGG458764 MQB458764:MQC458764 MZX458764:MZY458764 NJT458764:NJU458764 NTP458764:NTQ458764 ODL458764:ODM458764 ONH458764:ONI458764 OXD458764:OXE458764 PGZ458764:PHA458764 PQV458764:PQW458764 QAR458764:QAS458764 QKN458764:QKO458764 QUJ458764:QUK458764 REF458764:REG458764 ROB458764:ROC458764 RXX458764:RXY458764 SHT458764:SHU458764 SRP458764:SRQ458764 TBL458764:TBM458764 TLH458764:TLI458764 TVD458764:TVE458764 UEZ458764:UFA458764 UOV458764:UOW458764 UYR458764:UYS458764 VIN458764:VIO458764 VSJ458764:VSK458764 WCF458764:WCG458764 WMB458764:WMC458764 WVX458764:WVY458764 P524300:Q524300 JL524300:JM524300 TH524300:TI524300 ADD524300:ADE524300 AMZ524300:ANA524300 AWV524300:AWW524300 BGR524300:BGS524300 BQN524300:BQO524300 CAJ524300:CAK524300 CKF524300:CKG524300 CUB524300:CUC524300 DDX524300:DDY524300 DNT524300:DNU524300 DXP524300:DXQ524300 EHL524300:EHM524300 ERH524300:ERI524300 FBD524300:FBE524300 FKZ524300:FLA524300 FUV524300:FUW524300 GER524300:GES524300 GON524300:GOO524300 GYJ524300:GYK524300 HIF524300:HIG524300 HSB524300:HSC524300 IBX524300:IBY524300 ILT524300:ILU524300 IVP524300:IVQ524300 JFL524300:JFM524300 JPH524300:JPI524300 JZD524300:JZE524300 KIZ524300:KJA524300 KSV524300:KSW524300 LCR524300:LCS524300 LMN524300:LMO524300 LWJ524300:LWK524300 MGF524300:MGG524300 MQB524300:MQC524300 MZX524300:MZY524300 NJT524300:NJU524300 NTP524300:NTQ524300 ODL524300:ODM524300 ONH524300:ONI524300 OXD524300:OXE524300 PGZ524300:PHA524300 PQV524300:PQW524300 QAR524300:QAS524300 QKN524300:QKO524300 QUJ524300:QUK524300 REF524300:REG524300 ROB524300:ROC524300 RXX524300:RXY524300 SHT524300:SHU524300 SRP524300:SRQ524300 TBL524300:TBM524300 TLH524300:TLI524300 TVD524300:TVE524300 UEZ524300:UFA524300 UOV524300:UOW524300 UYR524300:UYS524300 VIN524300:VIO524300 VSJ524300:VSK524300 WCF524300:WCG524300 WMB524300:WMC524300 WVX524300:WVY524300 P589836:Q589836 JL589836:JM589836 TH589836:TI589836 ADD589836:ADE589836 AMZ589836:ANA589836 AWV589836:AWW589836 BGR589836:BGS589836 BQN589836:BQO589836 CAJ589836:CAK589836 CKF589836:CKG589836 CUB589836:CUC589836 DDX589836:DDY589836 DNT589836:DNU589836 DXP589836:DXQ589836 EHL589836:EHM589836 ERH589836:ERI589836 FBD589836:FBE589836 FKZ589836:FLA589836 FUV589836:FUW589836 GER589836:GES589836 GON589836:GOO589836 GYJ589836:GYK589836 HIF589836:HIG589836 HSB589836:HSC589836 IBX589836:IBY589836 ILT589836:ILU589836 IVP589836:IVQ589836 JFL589836:JFM589836 JPH589836:JPI589836 JZD589836:JZE589836 KIZ589836:KJA589836 KSV589836:KSW589836 LCR589836:LCS589836 LMN589836:LMO589836 LWJ589836:LWK589836 MGF589836:MGG589836 MQB589836:MQC589836 MZX589836:MZY589836 NJT589836:NJU589836 NTP589836:NTQ589836 ODL589836:ODM589836 ONH589836:ONI589836 OXD589836:OXE589836 PGZ589836:PHA589836 PQV589836:PQW589836 QAR589836:QAS589836 QKN589836:QKO589836 QUJ589836:QUK589836 REF589836:REG589836 ROB589836:ROC589836 RXX589836:RXY589836 SHT589836:SHU589836 SRP589836:SRQ589836 TBL589836:TBM589836 TLH589836:TLI589836 TVD589836:TVE589836 UEZ589836:UFA589836 UOV589836:UOW589836 UYR589836:UYS589836 VIN589836:VIO589836 VSJ589836:VSK589836 WCF589836:WCG589836 WMB589836:WMC589836 WVX589836:WVY589836 P655372:Q655372 JL655372:JM655372 TH655372:TI655372 ADD655372:ADE655372 AMZ655372:ANA655372 AWV655372:AWW655372 BGR655372:BGS655372 BQN655372:BQO655372 CAJ655372:CAK655372 CKF655372:CKG655372 CUB655372:CUC655372 DDX655372:DDY655372 DNT655372:DNU655372 DXP655372:DXQ655372 EHL655372:EHM655372 ERH655372:ERI655372 FBD655372:FBE655372 FKZ655372:FLA655372 FUV655372:FUW655372 GER655372:GES655372 GON655372:GOO655372 GYJ655372:GYK655372 HIF655372:HIG655372 HSB655372:HSC655372 IBX655372:IBY655372 ILT655372:ILU655372 IVP655372:IVQ655372 JFL655372:JFM655372 JPH655372:JPI655372 JZD655372:JZE655372 KIZ655372:KJA655372 KSV655372:KSW655372 LCR655372:LCS655372 LMN655372:LMO655372 LWJ655372:LWK655372 MGF655372:MGG655372 MQB655372:MQC655372 MZX655372:MZY655372 NJT655372:NJU655372 NTP655372:NTQ655372 ODL655372:ODM655372 ONH655372:ONI655372 OXD655372:OXE655372 PGZ655372:PHA655372 PQV655372:PQW655372 QAR655372:QAS655372 QKN655372:QKO655372 QUJ655372:QUK655372 REF655372:REG655372 ROB655372:ROC655372 RXX655372:RXY655372 SHT655372:SHU655372 SRP655372:SRQ655372 TBL655372:TBM655372 TLH655372:TLI655372 TVD655372:TVE655372 UEZ655372:UFA655372 UOV655372:UOW655372 UYR655372:UYS655372 VIN655372:VIO655372 VSJ655372:VSK655372 WCF655372:WCG655372 WMB655372:WMC655372 WVX655372:WVY655372 P720908:Q720908 JL720908:JM720908 TH720908:TI720908 ADD720908:ADE720908 AMZ720908:ANA720908 AWV720908:AWW720908 BGR720908:BGS720908 BQN720908:BQO720908 CAJ720908:CAK720908 CKF720908:CKG720908 CUB720908:CUC720908 DDX720908:DDY720908 DNT720908:DNU720908 DXP720908:DXQ720908 EHL720908:EHM720908 ERH720908:ERI720908 FBD720908:FBE720908 FKZ720908:FLA720908 FUV720908:FUW720908 GER720908:GES720908 GON720908:GOO720908 GYJ720908:GYK720908 HIF720908:HIG720908 HSB720908:HSC720908 IBX720908:IBY720908 ILT720908:ILU720908 IVP720908:IVQ720908 JFL720908:JFM720908 JPH720908:JPI720908 JZD720908:JZE720908 KIZ720908:KJA720908 KSV720908:KSW720908 LCR720908:LCS720908 LMN720908:LMO720908 LWJ720908:LWK720908 MGF720908:MGG720908 MQB720908:MQC720908 MZX720908:MZY720908 NJT720908:NJU720908 NTP720908:NTQ720908 ODL720908:ODM720908 ONH720908:ONI720908 OXD720908:OXE720908 PGZ720908:PHA720908 PQV720908:PQW720908 QAR720908:QAS720908 QKN720908:QKO720908 QUJ720908:QUK720908 REF720908:REG720908 ROB720908:ROC720908 RXX720908:RXY720908 SHT720908:SHU720908 SRP720908:SRQ720908 TBL720908:TBM720908 TLH720908:TLI720908 TVD720908:TVE720908 UEZ720908:UFA720908 UOV720908:UOW720908 UYR720908:UYS720908 VIN720908:VIO720908 VSJ720908:VSK720908 WCF720908:WCG720908 WMB720908:WMC720908 WVX720908:WVY720908 P786444:Q786444 JL786444:JM786444 TH786444:TI786444 ADD786444:ADE786444 AMZ786444:ANA786444 AWV786444:AWW786444 BGR786444:BGS786444 BQN786444:BQO786444 CAJ786444:CAK786444 CKF786444:CKG786444 CUB786444:CUC786444 DDX786444:DDY786444 DNT786444:DNU786444 DXP786444:DXQ786444 EHL786444:EHM786444 ERH786444:ERI786444 FBD786444:FBE786444 FKZ786444:FLA786444 FUV786444:FUW786444 GER786444:GES786444 GON786444:GOO786444 GYJ786444:GYK786444 HIF786444:HIG786444 HSB786444:HSC786444 IBX786444:IBY786444 ILT786444:ILU786444 IVP786444:IVQ786444 JFL786444:JFM786444 JPH786444:JPI786444 JZD786444:JZE786444 KIZ786444:KJA786444 KSV786444:KSW786444 LCR786444:LCS786444 LMN786444:LMO786444 LWJ786444:LWK786444 MGF786444:MGG786444 MQB786444:MQC786444 MZX786444:MZY786444 NJT786444:NJU786444 NTP786444:NTQ786444 ODL786444:ODM786444 ONH786444:ONI786444 OXD786444:OXE786444 PGZ786444:PHA786444 PQV786444:PQW786444 QAR786444:QAS786444 QKN786444:QKO786444 QUJ786444:QUK786444 REF786444:REG786444 ROB786444:ROC786444 RXX786444:RXY786444 SHT786444:SHU786444 SRP786444:SRQ786444 TBL786444:TBM786444 TLH786444:TLI786444 TVD786444:TVE786444 UEZ786444:UFA786444 UOV786444:UOW786444 UYR786444:UYS786444 VIN786444:VIO786444 VSJ786444:VSK786444 WCF786444:WCG786444 WMB786444:WMC786444 WVX786444:WVY786444 P851980:Q851980 JL851980:JM851980 TH851980:TI851980 ADD851980:ADE851980 AMZ851980:ANA851980 AWV851980:AWW851980 BGR851980:BGS851980 BQN851980:BQO851980 CAJ851980:CAK851980 CKF851980:CKG851980 CUB851980:CUC851980 DDX851980:DDY851980 DNT851980:DNU851980 DXP851980:DXQ851980 EHL851980:EHM851980 ERH851980:ERI851980 FBD851980:FBE851980 FKZ851980:FLA851980 FUV851980:FUW851980 GER851980:GES851980 GON851980:GOO851980 GYJ851980:GYK851980 HIF851980:HIG851980 HSB851980:HSC851980 IBX851980:IBY851980 ILT851980:ILU851980 IVP851980:IVQ851980 JFL851980:JFM851980 JPH851980:JPI851980 JZD851980:JZE851980 KIZ851980:KJA851980 KSV851980:KSW851980 LCR851980:LCS851980 LMN851980:LMO851980 LWJ851980:LWK851980 MGF851980:MGG851980 MQB851980:MQC851980 MZX851980:MZY851980 NJT851980:NJU851980 NTP851980:NTQ851980 ODL851980:ODM851980 ONH851980:ONI851980 OXD851980:OXE851980 PGZ851980:PHA851980 PQV851980:PQW851980 QAR851980:QAS851980 QKN851980:QKO851980 QUJ851980:QUK851980 REF851980:REG851980 ROB851980:ROC851980 RXX851980:RXY851980 SHT851980:SHU851980 SRP851980:SRQ851980 TBL851980:TBM851980 TLH851980:TLI851980 TVD851980:TVE851980 UEZ851980:UFA851980 UOV851980:UOW851980 UYR851980:UYS851980 VIN851980:VIO851980 VSJ851980:VSK851980 WCF851980:WCG851980 WMB851980:WMC851980 WVX851980:WVY851980 P917516:Q917516 JL917516:JM917516 TH917516:TI917516 ADD917516:ADE917516 AMZ917516:ANA917516 AWV917516:AWW917516 BGR917516:BGS917516 BQN917516:BQO917516 CAJ917516:CAK917516 CKF917516:CKG917516 CUB917516:CUC917516 DDX917516:DDY917516 DNT917516:DNU917516 DXP917516:DXQ917516 EHL917516:EHM917516 ERH917516:ERI917516 FBD917516:FBE917516 FKZ917516:FLA917516 FUV917516:FUW917516 GER917516:GES917516 GON917516:GOO917516 GYJ917516:GYK917516 HIF917516:HIG917516 HSB917516:HSC917516 IBX917516:IBY917516 ILT917516:ILU917516 IVP917516:IVQ917516 JFL917516:JFM917516 JPH917516:JPI917516 JZD917516:JZE917516 KIZ917516:KJA917516 KSV917516:KSW917516 LCR917516:LCS917516 LMN917516:LMO917516 LWJ917516:LWK917516 MGF917516:MGG917516 MQB917516:MQC917516 MZX917516:MZY917516 NJT917516:NJU917516 NTP917516:NTQ917516 ODL917516:ODM917516 ONH917516:ONI917516 OXD917516:OXE917516 PGZ917516:PHA917516 PQV917516:PQW917516 QAR917516:QAS917516 QKN917516:QKO917516 QUJ917516:QUK917516 REF917516:REG917516 ROB917516:ROC917516 RXX917516:RXY917516 SHT917516:SHU917516 SRP917516:SRQ917516 TBL917516:TBM917516 TLH917516:TLI917516 TVD917516:TVE917516 UEZ917516:UFA917516 UOV917516:UOW917516 UYR917516:UYS917516 VIN917516:VIO917516 VSJ917516:VSK917516 WCF917516:WCG917516 WMB917516:WMC917516 WVX917516:WVY917516 P983052:Q983052 JL983052:JM983052 TH983052:TI983052 ADD983052:ADE983052 AMZ983052:ANA983052 AWV983052:AWW983052 BGR983052:BGS983052 BQN983052:BQO983052 CAJ983052:CAK983052 CKF983052:CKG983052 CUB983052:CUC983052 DDX983052:DDY983052 DNT983052:DNU983052 DXP983052:DXQ983052 EHL983052:EHM983052 ERH983052:ERI983052 FBD983052:FBE983052 FKZ983052:FLA983052 FUV983052:FUW983052 GER983052:GES983052 GON983052:GOO983052 GYJ983052:GYK983052 HIF983052:HIG983052 HSB983052:HSC983052 IBX983052:IBY983052 ILT983052:ILU983052 IVP983052:IVQ983052 JFL983052:JFM983052 JPH983052:JPI983052 JZD983052:JZE983052 KIZ983052:KJA983052 KSV983052:KSW983052 LCR983052:LCS983052 LMN983052:LMO983052 LWJ983052:LWK983052 MGF983052:MGG983052 MQB983052:MQC983052 MZX983052:MZY983052 NJT983052:NJU983052 NTP983052:NTQ983052 ODL983052:ODM983052 ONH983052:ONI983052 OXD983052:OXE983052 PGZ983052:PHA983052 PQV983052:PQW983052 QAR983052:QAS983052 QKN983052:QKO983052 QUJ983052:QUK983052 REF983052:REG983052 ROB983052:ROC983052 RXX983052:RXY983052 SHT983052:SHU983052 SRP983052:SRQ983052 TBL983052:TBM983052 TLH983052:TLI983052 TVD983052:TVE983052 UEZ983052:UFA983052 UOV983052:UOW983052 UYR983052:UYS983052 VIN983052:VIO983052 VSJ983052:VSK983052 WCF983052:WCG983052 WMB983052:WMC983052 WVX983052:WVY983052 P6 JL6 TH6 ADD6 AMZ6 AWV6 BGR6 BQN6 CAJ6 CKF6 CUB6 DDX6 DNT6 DXP6 EHL6 ERH6 FBD6 FKZ6 FUV6 GER6 GON6 GYJ6 HIF6 HSB6 IBX6 ILT6 IVP6 JFL6 JPH6 JZD6 KIZ6 KSV6 LCR6 LMN6 LWJ6 MGF6 MQB6 MZX6 NJT6 NTP6 ODL6 ONH6 OXD6 PGZ6 PQV6 QAR6 QKN6 QUJ6 REF6 ROB6 RXX6 SHT6 SRP6 TBL6 TLH6 TVD6 UEZ6 UOV6 UYR6 VIN6 VSJ6 WCF6 WMB6 WVX6 P65542 JL65542 TH65542 ADD65542 AMZ65542 AWV65542 BGR65542 BQN65542 CAJ65542 CKF65542 CUB65542 DDX65542 DNT65542 DXP65542 EHL65542 ERH65542 FBD65542 FKZ65542 FUV65542 GER65542 GON65542 GYJ65542 HIF65542 HSB65542 IBX65542 ILT65542 IVP65542 JFL65542 JPH65542 JZD65542 KIZ65542 KSV65542 LCR65542 LMN65542 LWJ65542 MGF65542 MQB65542 MZX65542 NJT65542 NTP65542 ODL65542 ONH65542 OXD65542 PGZ65542 PQV65542 QAR65542 QKN65542 QUJ65542 REF65542 ROB65542 RXX65542 SHT65542 SRP65542 TBL65542 TLH65542 TVD65542 UEZ65542 UOV65542 UYR65542 VIN65542 VSJ65542 WCF65542 WMB65542 WVX65542 P131078 JL131078 TH131078 ADD131078 AMZ131078 AWV131078 BGR131078 BQN131078 CAJ131078 CKF131078 CUB131078 DDX131078 DNT131078 DXP131078 EHL131078 ERH131078 FBD131078 FKZ131078 FUV131078 GER131078 GON131078 GYJ131078 HIF131078 HSB131078 IBX131078 ILT131078 IVP131078 JFL131078 JPH131078 JZD131078 KIZ131078 KSV131078 LCR131078 LMN131078 LWJ131078 MGF131078 MQB131078 MZX131078 NJT131078 NTP131078 ODL131078 ONH131078 OXD131078 PGZ131078 PQV131078 QAR131078 QKN131078 QUJ131078 REF131078 ROB131078 RXX131078 SHT131078 SRP131078 TBL131078 TLH131078 TVD131078 UEZ131078 UOV131078 UYR131078 VIN131078 VSJ131078 WCF131078 WMB131078 WVX131078 P196614 JL196614 TH196614 ADD196614 AMZ196614 AWV196614 BGR196614 BQN196614 CAJ196614 CKF196614 CUB196614 DDX196614 DNT196614 DXP196614 EHL196614 ERH196614 FBD196614 FKZ196614 FUV196614 GER196614 GON196614 GYJ196614 HIF196614 HSB196614 IBX196614 ILT196614 IVP196614 JFL196614 JPH196614 JZD196614 KIZ196614 KSV196614 LCR196614 LMN196614 LWJ196614 MGF196614 MQB196614 MZX196614 NJT196614 NTP196614 ODL196614 ONH196614 OXD196614 PGZ196614 PQV196614 QAR196614 QKN196614 QUJ196614 REF196614 ROB196614 RXX196614 SHT196614 SRP196614 TBL196614 TLH196614 TVD196614 UEZ196614 UOV196614 UYR196614 VIN196614 VSJ196614 WCF196614 WMB196614 WVX196614 P262150 JL262150 TH262150 ADD262150 AMZ262150 AWV262150 BGR262150 BQN262150 CAJ262150 CKF262150 CUB262150 DDX262150 DNT262150 DXP262150 EHL262150 ERH262150 FBD262150 FKZ262150 FUV262150 GER262150 GON262150 GYJ262150 HIF262150 HSB262150 IBX262150 ILT262150 IVP262150 JFL262150 JPH262150 JZD262150 KIZ262150 KSV262150 LCR262150 LMN262150 LWJ262150 MGF262150 MQB262150 MZX262150 NJT262150 NTP262150 ODL262150 ONH262150 OXD262150 PGZ262150 PQV262150 QAR262150 QKN262150 QUJ262150 REF262150 ROB262150 RXX262150 SHT262150 SRP262150 TBL262150 TLH262150 TVD262150 UEZ262150 UOV262150 UYR262150 VIN262150 VSJ262150 WCF262150 WMB262150 WVX262150 P327686 JL327686 TH327686 ADD327686 AMZ327686 AWV327686 BGR327686 BQN327686 CAJ327686 CKF327686 CUB327686 DDX327686 DNT327686 DXP327686 EHL327686 ERH327686 FBD327686 FKZ327686 FUV327686 GER327686 GON327686 GYJ327686 HIF327686 HSB327686 IBX327686 ILT327686 IVP327686 JFL327686 JPH327686 JZD327686 KIZ327686 KSV327686 LCR327686 LMN327686 LWJ327686 MGF327686 MQB327686 MZX327686 NJT327686 NTP327686 ODL327686 ONH327686 OXD327686 PGZ327686 PQV327686 QAR327686 QKN327686 QUJ327686 REF327686 ROB327686 RXX327686 SHT327686 SRP327686 TBL327686 TLH327686 TVD327686 UEZ327686 UOV327686 UYR327686 VIN327686 VSJ327686 WCF327686 WMB327686 WVX327686 P393222 JL393222 TH393222 ADD393222 AMZ393222 AWV393222 BGR393222 BQN393222 CAJ393222 CKF393222 CUB393222 DDX393222 DNT393222 DXP393222 EHL393222 ERH393222 FBD393222 FKZ393222 FUV393222 GER393222 GON393222 GYJ393222 HIF393222 HSB393222 IBX393222 ILT393222 IVP393222 JFL393222 JPH393222 JZD393222 KIZ393222 KSV393222 LCR393222 LMN393222 LWJ393222 MGF393222 MQB393222 MZX393222 NJT393222 NTP393222 ODL393222 ONH393222 OXD393222 PGZ393222 PQV393222 QAR393222 QKN393222 QUJ393222 REF393222 ROB393222 RXX393222 SHT393222 SRP393222 TBL393222 TLH393222 TVD393222 UEZ393222 UOV393222 UYR393222 VIN393222 VSJ393222 WCF393222 WMB393222 WVX393222 P458758 JL458758 TH458758 ADD458758 AMZ458758 AWV458758 BGR458758 BQN458758 CAJ458758 CKF458758 CUB458758 DDX458758 DNT458758 DXP458758 EHL458758 ERH458758 FBD458758 FKZ458758 FUV458758 GER458758 GON458758 GYJ458758 HIF458758 HSB458758 IBX458758 ILT458758 IVP458758 JFL458758 JPH458758 JZD458758 KIZ458758 KSV458758 LCR458758 LMN458758 LWJ458758 MGF458758 MQB458758 MZX458758 NJT458758 NTP458758 ODL458758 ONH458758 OXD458758 PGZ458758 PQV458758 QAR458758 QKN458758 QUJ458758 REF458758 ROB458758 RXX458758 SHT458758 SRP458758 TBL458758 TLH458758 TVD458758 UEZ458758 UOV458758 UYR458758 VIN458758 VSJ458758 WCF458758 WMB458758 WVX458758 P524294 JL524294 TH524294 ADD524294 AMZ524294 AWV524294 BGR524294 BQN524294 CAJ524294 CKF524294 CUB524294 DDX524294 DNT524294 DXP524294 EHL524294 ERH524294 FBD524294 FKZ524294 FUV524294 GER524294 GON524294 GYJ524294 HIF524294 HSB524294 IBX524294 ILT524294 IVP524294 JFL524294 JPH524294 JZD524294 KIZ524294 KSV524294 LCR524294 LMN524294 LWJ524294 MGF524294 MQB524294 MZX524294 NJT524294 NTP524294 ODL524294 ONH524294 OXD524294 PGZ524294 PQV524294 QAR524294 QKN524294 QUJ524294 REF524294 ROB524294 RXX524294 SHT524294 SRP524294 TBL524294 TLH524294 TVD524294 UEZ524294 UOV524294 UYR524294 VIN524294 VSJ524294 WCF524294 WMB524294 WVX524294 P589830 JL589830 TH589830 ADD589830 AMZ589830 AWV589830 BGR589830 BQN589830 CAJ589830 CKF589830 CUB589830 DDX589830 DNT589830 DXP589830 EHL589830 ERH589830 FBD589830 FKZ589830 FUV589830 GER589830 GON589830 GYJ589830 HIF589830 HSB589830 IBX589830 ILT589830 IVP589830 JFL589830 JPH589830 JZD589830 KIZ589830 KSV589830 LCR589830 LMN589830 LWJ589830 MGF589830 MQB589830 MZX589830 NJT589830 NTP589830 ODL589830 ONH589830 OXD589830 PGZ589830 PQV589830 QAR589830 QKN589830 QUJ589830 REF589830 ROB589830 RXX589830 SHT589830 SRP589830 TBL589830 TLH589830 TVD589830 UEZ589830 UOV589830 UYR589830 VIN589830 VSJ589830 WCF589830 WMB589830 WVX589830 P655366 JL655366 TH655366 ADD655366 AMZ655366 AWV655366 BGR655366 BQN655366 CAJ655366 CKF655366 CUB655366 DDX655366 DNT655366 DXP655366 EHL655366 ERH655366 FBD655366 FKZ655366 FUV655366 GER655366 GON655366 GYJ655366 HIF655366 HSB655366 IBX655366 ILT655366 IVP655366 JFL655366 JPH655366 JZD655366 KIZ655366 KSV655366 LCR655366 LMN655366 LWJ655366 MGF655366 MQB655366 MZX655366 NJT655366 NTP655366 ODL655366 ONH655366 OXD655366 PGZ655366 PQV655366 QAR655366 QKN655366 QUJ655366 REF655366 ROB655366 RXX655366 SHT655366 SRP655366 TBL655366 TLH655366 TVD655366 UEZ655366 UOV655366 UYR655366 VIN655366 VSJ655366 WCF655366 WMB655366 WVX655366 P720902 JL720902 TH720902 ADD720902 AMZ720902 AWV720902 BGR720902 BQN720902 CAJ720902 CKF720902 CUB720902 DDX720902 DNT720902 DXP720902 EHL720902 ERH720902 FBD720902 FKZ720902 FUV720902 GER720902 GON720902 GYJ720902 HIF720902 HSB720902 IBX720902 ILT720902 IVP720902 JFL720902 JPH720902 JZD720902 KIZ720902 KSV720902 LCR720902 LMN720902 LWJ720902 MGF720902 MQB720902 MZX720902 NJT720902 NTP720902 ODL720902 ONH720902 OXD720902 PGZ720902 PQV720902 QAR720902 QKN720902 QUJ720902 REF720902 ROB720902 RXX720902 SHT720902 SRP720902 TBL720902 TLH720902 TVD720902 UEZ720902 UOV720902 UYR720902 VIN720902 VSJ720902 WCF720902 WMB720902 WVX720902 P786438 JL786438 TH786438 ADD786438 AMZ786438 AWV786438 BGR786438 BQN786438 CAJ786438 CKF786438 CUB786438 DDX786438 DNT786438 DXP786438 EHL786438 ERH786438 FBD786438 FKZ786438 FUV786438 GER786438 GON786438 GYJ786438 HIF786438 HSB786438 IBX786438 ILT786438 IVP786438 JFL786438 JPH786438 JZD786438 KIZ786438 KSV786438 LCR786438 LMN786438 LWJ786438 MGF786438 MQB786438 MZX786438 NJT786438 NTP786438 ODL786438 ONH786438 OXD786438 PGZ786438 PQV786438 QAR786438 QKN786438 QUJ786438 REF786438 ROB786438 RXX786438 SHT786438 SRP786438 TBL786438 TLH786438 TVD786438 UEZ786438 UOV786438 UYR786438 VIN786438 VSJ786438 WCF786438 WMB786438 WVX786438 P851974 JL851974 TH851974 ADD851974 AMZ851974 AWV851974 BGR851974 BQN851974 CAJ851974 CKF851974 CUB851974 DDX851974 DNT851974 DXP851974 EHL851974 ERH851974 FBD851974 FKZ851974 FUV851974 GER851974 GON851974 GYJ851974 HIF851974 HSB851974 IBX851974 ILT851974 IVP851974 JFL851974 JPH851974 JZD851974 KIZ851974 KSV851974 LCR851974 LMN851974 LWJ851974 MGF851974 MQB851974 MZX851974 NJT851974 NTP851974 ODL851974 ONH851974 OXD851974 PGZ851974 PQV851974 QAR851974 QKN851974 QUJ851974 REF851974 ROB851974 RXX851974 SHT851974 SRP851974 TBL851974 TLH851974 TVD851974 UEZ851974 UOV851974 UYR851974 VIN851974 VSJ851974 WCF851974 WMB851974 WVX851974 P917510 JL917510 TH917510 ADD917510 AMZ917510 AWV917510 BGR917510 BQN917510 CAJ917510 CKF917510 CUB917510 DDX917510 DNT917510 DXP917510 EHL917510 ERH917510 FBD917510 FKZ917510 FUV917510 GER917510 GON917510 GYJ917510 HIF917510 HSB917510 IBX917510 ILT917510 IVP917510 JFL917510 JPH917510 JZD917510 KIZ917510 KSV917510 LCR917510 LMN917510 LWJ917510 MGF917510 MQB917510 MZX917510 NJT917510 NTP917510 ODL917510 ONH917510 OXD917510 PGZ917510 PQV917510 QAR917510 QKN917510 QUJ917510 REF917510 ROB917510 RXX917510 SHT917510 SRP917510 TBL917510 TLH917510 TVD917510 UEZ917510 UOV917510 UYR917510 VIN917510 VSJ917510 WCF917510 WMB917510 WVX917510 P983046 JL983046 TH983046 ADD983046 AMZ983046 AWV983046 BGR983046 BQN983046 CAJ983046 CKF983046 CUB983046 DDX983046 DNT983046 DXP983046 EHL983046 ERH983046 FBD983046 FKZ983046 FUV983046 GER983046 GON983046 GYJ983046 HIF983046 HSB983046 IBX983046 ILT983046 IVP983046 JFL983046 JPH983046 JZD983046 KIZ983046 KSV983046 LCR983046 LMN983046 LWJ983046 MGF983046 MQB983046 MZX983046 NJT983046 NTP983046 ODL983046 ONH983046 OXD983046 PGZ983046 PQV983046 QAR983046 QKN983046 QUJ983046 REF983046 ROB983046 RXX983046 SHT983046 SRP983046 TBL983046 TLH983046 TVD983046 UEZ983046 UOV983046 UYR983046 VIN983046 VSJ983046 WCF983046 WMB983046 WVX983046">
      <formula1>$P$36:$P$41</formula1>
    </dataValidation>
    <dataValidation type="list" allowBlank="1" showInputMessage="1" showErrorMessage="1" sqref="B15:B17 IX15:IX17 ST15:ST17 ACP15:ACP17 AML15:AML17 AWH15:AWH17 BGD15:BGD17 BPZ15:BPZ17 BZV15:BZV17 CJR15:CJR17 CTN15:CTN17 DDJ15:DDJ17 DNF15:DNF17 DXB15:DXB17 EGX15:EGX17 EQT15:EQT17 FAP15:FAP17 FKL15:FKL17 FUH15:FUH17 GED15:GED17 GNZ15:GNZ17 GXV15:GXV17 HHR15:HHR17 HRN15:HRN17 IBJ15:IBJ17 ILF15:ILF17 IVB15:IVB17 JEX15:JEX17 JOT15:JOT17 JYP15:JYP17 KIL15:KIL17 KSH15:KSH17 LCD15:LCD17 LLZ15:LLZ17 LVV15:LVV17 MFR15:MFR17 MPN15:MPN17 MZJ15:MZJ17 NJF15:NJF17 NTB15:NTB17 OCX15:OCX17 OMT15:OMT17 OWP15:OWP17 PGL15:PGL17 PQH15:PQH17 QAD15:QAD17 QJZ15:QJZ17 QTV15:QTV17 RDR15:RDR17 RNN15:RNN17 RXJ15:RXJ17 SHF15:SHF17 SRB15:SRB17 TAX15:TAX17 TKT15:TKT17 TUP15:TUP17 UEL15:UEL17 UOH15:UOH17 UYD15:UYD17 VHZ15:VHZ17 VRV15:VRV17 WBR15:WBR17 WLN15:WLN17 WVJ15:WVJ17 B65551:B65553 IX65551:IX65553 ST65551:ST65553 ACP65551:ACP65553 AML65551:AML65553 AWH65551:AWH65553 BGD65551:BGD65553 BPZ65551:BPZ65553 BZV65551:BZV65553 CJR65551:CJR65553 CTN65551:CTN65553 DDJ65551:DDJ65553 DNF65551:DNF65553 DXB65551:DXB65553 EGX65551:EGX65553 EQT65551:EQT65553 FAP65551:FAP65553 FKL65551:FKL65553 FUH65551:FUH65553 GED65551:GED65553 GNZ65551:GNZ65553 GXV65551:GXV65553 HHR65551:HHR65553 HRN65551:HRN65553 IBJ65551:IBJ65553 ILF65551:ILF65553 IVB65551:IVB65553 JEX65551:JEX65553 JOT65551:JOT65553 JYP65551:JYP65553 KIL65551:KIL65553 KSH65551:KSH65553 LCD65551:LCD65553 LLZ65551:LLZ65553 LVV65551:LVV65553 MFR65551:MFR65553 MPN65551:MPN65553 MZJ65551:MZJ65553 NJF65551:NJF65553 NTB65551:NTB65553 OCX65551:OCX65553 OMT65551:OMT65553 OWP65551:OWP65553 PGL65551:PGL65553 PQH65551:PQH65553 QAD65551:QAD65553 QJZ65551:QJZ65553 QTV65551:QTV65553 RDR65551:RDR65553 RNN65551:RNN65553 RXJ65551:RXJ65553 SHF65551:SHF65553 SRB65551:SRB65553 TAX65551:TAX65553 TKT65551:TKT65553 TUP65551:TUP65553 UEL65551:UEL65553 UOH65551:UOH65553 UYD65551:UYD65553 VHZ65551:VHZ65553 VRV65551:VRV65553 WBR65551:WBR65553 WLN65551:WLN65553 WVJ65551:WVJ65553 B131087:B131089 IX131087:IX131089 ST131087:ST131089 ACP131087:ACP131089 AML131087:AML131089 AWH131087:AWH131089 BGD131087:BGD131089 BPZ131087:BPZ131089 BZV131087:BZV131089 CJR131087:CJR131089 CTN131087:CTN131089 DDJ131087:DDJ131089 DNF131087:DNF131089 DXB131087:DXB131089 EGX131087:EGX131089 EQT131087:EQT131089 FAP131087:FAP131089 FKL131087:FKL131089 FUH131087:FUH131089 GED131087:GED131089 GNZ131087:GNZ131089 GXV131087:GXV131089 HHR131087:HHR131089 HRN131087:HRN131089 IBJ131087:IBJ131089 ILF131087:ILF131089 IVB131087:IVB131089 JEX131087:JEX131089 JOT131087:JOT131089 JYP131087:JYP131089 KIL131087:KIL131089 KSH131087:KSH131089 LCD131087:LCD131089 LLZ131087:LLZ131089 LVV131087:LVV131089 MFR131087:MFR131089 MPN131087:MPN131089 MZJ131087:MZJ131089 NJF131087:NJF131089 NTB131087:NTB131089 OCX131087:OCX131089 OMT131087:OMT131089 OWP131087:OWP131089 PGL131087:PGL131089 PQH131087:PQH131089 QAD131087:QAD131089 QJZ131087:QJZ131089 QTV131087:QTV131089 RDR131087:RDR131089 RNN131087:RNN131089 RXJ131087:RXJ131089 SHF131087:SHF131089 SRB131087:SRB131089 TAX131087:TAX131089 TKT131087:TKT131089 TUP131087:TUP131089 UEL131087:UEL131089 UOH131087:UOH131089 UYD131087:UYD131089 VHZ131087:VHZ131089 VRV131087:VRV131089 WBR131087:WBR131089 WLN131087:WLN131089 WVJ131087:WVJ131089 B196623:B196625 IX196623:IX196625 ST196623:ST196625 ACP196623:ACP196625 AML196623:AML196625 AWH196623:AWH196625 BGD196623:BGD196625 BPZ196623:BPZ196625 BZV196623:BZV196625 CJR196623:CJR196625 CTN196623:CTN196625 DDJ196623:DDJ196625 DNF196623:DNF196625 DXB196623:DXB196625 EGX196623:EGX196625 EQT196623:EQT196625 FAP196623:FAP196625 FKL196623:FKL196625 FUH196623:FUH196625 GED196623:GED196625 GNZ196623:GNZ196625 GXV196623:GXV196625 HHR196623:HHR196625 HRN196623:HRN196625 IBJ196623:IBJ196625 ILF196623:ILF196625 IVB196623:IVB196625 JEX196623:JEX196625 JOT196623:JOT196625 JYP196623:JYP196625 KIL196623:KIL196625 KSH196623:KSH196625 LCD196623:LCD196625 LLZ196623:LLZ196625 LVV196623:LVV196625 MFR196623:MFR196625 MPN196623:MPN196625 MZJ196623:MZJ196625 NJF196623:NJF196625 NTB196623:NTB196625 OCX196623:OCX196625 OMT196623:OMT196625 OWP196623:OWP196625 PGL196623:PGL196625 PQH196623:PQH196625 QAD196623:QAD196625 QJZ196623:QJZ196625 QTV196623:QTV196625 RDR196623:RDR196625 RNN196623:RNN196625 RXJ196623:RXJ196625 SHF196623:SHF196625 SRB196623:SRB196625 TAX196623:TAX196625 TKT196623:TKT196625 TUP196623:TUP196625 UEL196623:UEL196625 UOH196623:UOH196625 UYD196623:UYD196625 VHZ196623:VHZ196625 VRV196623:VRV196625 WBR196623:WBR196625 WLN196623:WLN196625 WVJ196623:WVJ196625 B262159:B262161 IX262159:IX262161 ST262159:ST262161 ACP262159:ACP262161 AML262159:AML262161 AWH262159:AWH262161 BGD262159:BGD262161 BPZ262159:BPZ262161 BZV262159:BZV262161 CJR262159:CJR262161 CTN262159:CTN262161 DDJ262159:DDJ262161 DNF262159:DNF262161 DXB262159:DXB262161 EGX262159:EGX262161 EQT262159:EQT262161 FAP262159:FAP262161 FKL262159:FKL262161 FUH262159:FUH262161 GED262159:GED262161 GNZ262159:GNZ262161 GXV262159:GXV262161 HHR262159:HHR262161 HRN262159:HRN262161 IBJ262159:IBJ262161 ILF262159:ILF262161 IVB262159:IVB262161 JEX262159:JEX262161 JOT262159:JOT262161 JYP262159:JYP262161 KIL262159:KIL262161 KSH262159:KSH262161 LCD262159:LCD262161 LLZ262159:LLZ262161 LVV262159:LVV262161 MFR262159:MFR262161 MPN262159:MPN262161 MZJ262159:MZJ262161 NJF262159:NJF262161 NTB262159:NTB262161 OCX262159:OCX262161 OMT262159:OMT262161 OWP262159:OWP262161 PGL262159:PGL262161 PQH262159:PQH262161 QAD262159:QAD262161 QJZ262159:QJZ262161 QTV262159:QTV262161 RDR262159:RDR262161 RNN262159:RNN262161 RXJ262159:RXJ262161 SHF262159:SHF262161 SRB262159:SRB262161 TAX262159:TAX262161 TKT262159:TKT262161 TUP262159:TUP262161 UEL262159:UEL262161 UOH262159:UOH262161 UYD262159:UYD262161 VHZ262159:VHZ262161 VRV262159:VRV262161 WBR262159:WBR262161 WLN262159:WLN262161 WVJ262159:WVJ262161 B327695:B327697 IX327695:IX327697 ST327695:ST327697 ACP327695:ACP327697 AML327695:AML327697 AWH327695:AWH327697 BGD327695:BGD327697 BPZ327695:BPZ327697 BZV327695:BZV327697 CJR327695:CJR327697 CTN327695:CTN327697 DDJ327695:DDJ327697 DNF327695:DNF327697 DXB327695:DXB327697 EGX327695:EGX327697 EQT327695:EQT327697 FAP327695:FAP327697 FKL327695:FKL327697 FUH327695:FUH327697 GED327695:GED327697 GNZ327695:GNZ327697 GXV327695:GXV327697 HHR327695:HHR327697 HRN327695:HRN327697 IBJ327695:IBJ327697 ILF327695:ILF327697 IVB327695:IVB327697 JEX327695:JEX327697 JOT327695:JOT327697 JYP327695:JYP327697 KIL327695:KIL327697 KSH327695:KSH327697 LCD327695:LCD327697 LLZ327695:LLZ327697 LVV327695:LVV327697 MFR327695:MFR327697 MPN327695:MPN327697 MZJ327695:MZJ327697 NJF327695:NJF327697 NTB327695:NTB327697 OCX327695:OCX327697 OMT327695:OMT327697 OWP327695:OWP327697 PGL327695:PGL327697 PQH327695:PQH327697 QAD327695:QAD327697 QJZ327695:QJZ327697 QTV327695:QTV327697 RDR327695:RDR327697 RNN327695:RNN327697 RXJ327695:RXJ327697 SHF327695:SHF327697 SRB327695:SRB327697 TAX327695:TAX327697 TKT327695:TKT327697 TUP327695:TUP327697 UEL327695:UEL327697 UOH327695:UOH327697 UYD327695:UYD327697 VHZ327695:VHZ327697 VRV327695:VRV327697 WBR327695:WBR327697 WLN327695:WLN327697 WVJ327695:WVJ327697 B393231:B393233 IX393231:IX393233 ST393231:ST393233 ACP393231:ACP393233 AML393231:AML393233 AWH393231:AWH393233 BGD393231:BGD393233 BPZ393231:BPZ393233 BZV393231:BZV393233 CJR393231:CJR393233 CTN393231:CTN393233 DDJ393231:DDJ393233 DNF393231:DNF393233 DXB393231:DXB393233 EGX393231:EGX393233 EQT393231:EQT393233 FAP393231:FAP393233 FKL393231:FKL393233 FUH393231:FUH393233 GED393231:GED393233 GNZ393231:GNZ393233 GXV393231:GXV393233 HHR393231:HHR393233 HRN393231:HRN393233 IBJ393231:IBJ393233 ILF393231:ILF393233 IVB393231:IVB393233 JEX393231:JEX393233 JOT393231:JOT393233 JYP393231:JYP393233 KIL393231:KIL393233 KSH393231:KSH393233 LCD393231:LCD393233 LLZ393231:LLZ393233 LVV393231:LVV393233 MFR393231:MFR393233 MPN393231:MPN393233 MZJ393231:MZJ393233 NJF393231:NJF393233 NTB393231:NTB393233 OCX393231:OCX393233 OMT393231:OMT393233 OWP393231:OWP393233 PGL393231:PGL393233 PQH393231:PQH393233 QAD393231:QAD393233 QJZ393231:QJZ393233 QTV393231:QTV393233 RDR393231:RDR393233 RNN393231:RNN393233 RXJ393231:RXJ393233 SHF393231:SHF393233 SRB393231:SRB393233 TAX393231:TAX393233 TKT393231:TKT393233 TUP393231:TUP393233 UEL393231:UEL393233 UOH393231:UOH393233 UYD393231:UYD393233 VHZ393231:VHZ393233 VRV393231:VRV393233 WBR393231:WBR393233 WLN393231:WLN393233 WVJ393231:WVJ393233 B458767:B458769 IX458767:IX458769 ST458767:ST458769 ACP458767:ACP458769 AML458767:AML458769 AWH458767:AWH458769 BGD458767:BGD458769 BPZ458767:BPZ458769 BZV458767:BZV458769 CJR458767:CJR458769 CTN458767:CTN458769 DDJ458767:DDJ458769 DNF458767:DNF458769 DXB458767:DXB458769 EGX458767:EGX458769 EQT458767:EQT458769 FAP458767:FAP458769 FKL458767:FKL458769 FUH458767:FUH458769 GED458767:GED458769 GNZ458767:GNZ458769 GXV458767:GXV458769 HHR458767:HHR458769 HRN458767:HRN458769 IBJ458767:IBJ458769 ILF458767:ILF458769 IVB458767:IVB458769 JEX458767:JEX458769 JOT458767:JOT458769 JYP458767:JYP458769 KIL458767:KIL458769 KSH458767:KSH458769 LCD458767:LCD458769 LLZ458767:LLZ458769 LVV458767:LVV458769 MFR458767:MFR458769 MPN458767:MPN458769 MZJ458767:MZJ458769 NJF458767:NJF458769 NTB458767:NTB458769 OCX458767:OCX458769 OMT458767:OMT458769 OWP458767:OWP458769 PGL458767:PGL458769 PQH458767:PQH458769 QAD458767:QAD458769 QJZ458767:QJZ458769 QTV458767:QTV458769 RDR458767:RDR458769 RNN458767:RNN458769 RXJ458767:RXJ458769 SHF458767:SHF458769 SRB458767:SRB458769 TAX458767:TAX458769 TKT458767:TKT458769 TUP458767:TUP458769 UEL458767:UEL458769 UOH458767:UOH458769 UYD458767:UYD458769 VHZ458767:VHZ458769 VRV458767:VRV458769 WBR458767:WBR458769 WLN458767:WLN458769 WVJ458767:WVJ458769 B524303:B524305 IX524303:IX524305 ST524303:ST524305 ACP524303:ACP524305 AML524303:AML524305 AWH524303:AWH524305 BGD524303:BGD524305 BPZ524303:BPZ524305 BZV524303:BZV524305 CJR524303:CJR524305 CTN524303:CTN524305 DDJ524303:DDJ524305 DNF524303:DNF524305 DXB524303:DXB524305 EGX524303:EGX524305 EQT524303:EQT524305 FAP524303:FAP524305 FKL524303:FKL524305 FUH524303:FUH524305 GED524303:GED524305 GNZ524303:GNZ524305 GXV524303:GXV524305 HHR524303:HHR524305 HRN524303:HRN524305 IBJ524303:IBJ524305 ILF524303:ILF524305 IVB524303:IVB524305 JEX524303:JEX524305 JOT524303:JOT524305 JYP524303:JYP524305 KIL524303:KIL524305 KSH524303:KSH524305 LCD524303:LCD524305 LLZ524303:LLZ524305 LVV524303:LVV524305 MFR524303:MFR524305 MPN524303:MPN524305 MZJ524303:MZJ524305 NJF524303:NJF524305 NTB524303:NTB524305 OCX524303:OCX524305 OMT524303:OMT524305 OWP524303:OWP524305 PGL524303:PGL524305 PQH524303:PQH524305 QAD524303:QAD524305 QJZ524303:QJZ524305 QTV524303:QTV524305 RDR524303:RDR524305 RNN524303:RNN524305 RXJ524303:RXJ524305 SHF524303:SHF524305 SRB524303:SRB524305 TAX524303:TAX524305 TKT524303:TKT524305 TUP524303:TUP524305 UEL524303:UEL524305 UOH524303:UOH524305 UYD524303:UYD524305 VHZ524303:VHZ524305 VRV524303:VRV524305 WBR524303:WBR524305 WLN524303:WLN524305 WVJ524303:WVJ524305 B589839:B589841 IX589839:IX589841 ST589839:ST589841 ACP589839:ACP589841 AML589839:AML589841 AWH589839:AWH589841 BGD589839:BGD589841 BPZ589839:BPZ589841 BZV589839:BZV589841 CJR589839:CJR589841 CTN589839:CTN589841 DDJ589839:DDJ589841 DNF589839:DNF589841 DXB589839:DXB589841 EGX589839:EGX589841 EQT589839:EQT589841 FAP589839:FAP589841 FKL589839:FKL589841 FUH589839:FUH589841 GED589839:GED589841 GNZ589839:GNZ589841 GXV589839:GXV589841 HHR589839:HHR589841 HRN589839:HRN589841 IBJ589839:IBJ589841 ILF589839:ILF589841 IVB589839:IVB589841 JEX589839:JEX589841 JOT589839:JOT589841 JYP589839:JYP589841 KIL589839:KIL589841 KSH589839:KSH589841 LCD589839:LCD589841 LLZ589839:LLZ589841 LVV589839:LVV589841 MFR589839:MFR589841 MPN589839:MPN589841 MZJ589839:MZJ589841 NJF589839:NJF589841 NTB589839:NTB589841 OCX589839:OCX589841 OMT589839:OMT589841 OWP589839:OWP589841 PGL589839:PGL589841 PQH589839:PQH589841 QAD589839:QAD589841 QJZ589839:QJZ589841 QTV589839:QTV589841 RDR589839:RDR589841 RNN589839:RNN589841 RXJ589839:RXJ589841 SHF589839:SHF589841 SRB589839:SRB589841 TAX589839:TAX589841 TKT589839:TKT589841 TUP589839:TUP589841 UEL589839:UEL589841 UOH589839:UOH589841 UYD589839:UYD589841 VHZ589839:VHZ589841 VRV589839:VRV589841 WBR589839:WBR589841 WLN589839:WLN589841 WVJ589839:WVJ589841 B655375:B655377 IX655375:IX655377 ST655375:ST655377 ACP655375:ACP655377 AML655375:AML655377 AWH655375:AWH655377 BGD655375:BGD655377 BPZ655375:BPZ655377 BZV655375:BZV655377 CJR655375:CJR655377 CTN655375:CTN655377 DDJ655375:DDJ655377 DNF655375:DNF655377 DXB655375:DXB655377 EGX655375:EGX655377 EQT655375:EQT655377 FAP655375:FAP655377 FKL655375:FKL655377 FUH655375:FUH655377 GED655375:GED655377 GNZ655375:GNZ655377 GXV655375:GXV655377 HHR655375:HHR655377 HRN655375:HRN655377 IBJ655375:IBJ655377 ILF655375:ILF655377 IVB655375:IVB655377 JEX655375:JEX655377 JOT655375:JOT655377 JYP655375:JYP655377 KIL655375:KIL655377 KSH655375:KSH655377 LCD655375:LCD655377 LLZ655375:LLZ655377 LVV655375:LVV655377 MFR655375:MFR655377 MPN655375:MPN655377 MZJ655375:MZJ655377 NJF655375:NJF655377 NTB655375:NTB655377 OCX655375:OCX655377 OMT655375:OMT655377 OWP655375:OWP655377 PGL655375:PGL655377 PQH655375:PQH655377 QAD655375:QAD655377 QJZ655375:QJZ655377 QTV655375:QTV655377 RDR655375:RDR655377 RNN655375:RNN655377 RXJ655375:RXJ655377 SHF655375:SHF655377 SRB655375:SRB655377 TAX655375:TAX655377 TKT655375:TKT655377 TUP655375:TUP655377 UEL655375:UEL655377 UOH655375:UOH655377 UYD655375:UYD655377 VHZ655375:VHZ655377 VRV655375:VRV655377 WBR655375:WBR655377 WLN655375:WLN655377 WVJ655375:WVJ655377 B720911:B720913 IX720911:IX720913 ST720911:ST720913 ACP720911:ACP720913 AML720911:AML720913 AWH720911:AWH720913 BGD720911:BGD720913 BPZ720911:BPZ720913 BZV720911:BZV720913 CJR720911:CJR720913 CTN720911:CTN720913 DDJ720911:DDJ720913 DNF720911:DNF720913 DXB720911:DXB720913 EGX720911:EGX720913 EQT720911:EQT720913 FAP720911:FAP720913 FKL720911:FKL720913 FUH720911:FUH720913 GED720911:GED720913 GNZ720911:GNZ720913 GXV720911:GXV720913 HHR720911:HHR720913 HRN720911:HRN720913 IBJ720911:IBJ720913 ILF720911:ILF720913 IVB720911:IVB720913 JEX720911:JEX720913 JOT720911:JOT720913 JYP720911:JYP720913 KIL720911:KIL720913 KSH720911:KSH720913 LCD720911:LCD720913 LLZ720911:LLZ720913 LVV720911:LVV720913 MFR720911:MFR720913 MPN720911:MPN720913 MZJ720911:MZJ720913 NJF720911:NJF720913 NTB720911:NTB720913 OCX720911:OCX720913 OMT720911:OMT720913 OWP720911:OWP720913 PGL720911:PGL720913 PQH720911:PQH720913 QAD720911:QAD720913 QJZ720911:QJZ720913 QTV720911:QTV720913 RDR720911:RDR720913 RNN720911:RNN720913 RXJ720911:RXJ720913 SHF720911:SHF720913 SRB720911:SRB720913 TAX720911:TAX720913 TKT720911:TKT720913 TUP720911:TUP720913 UEL720911:UEL720913 UOH720911:UOH720913 UYD720911:UYD720913 VHZ720911:VHZ720913 VRV720911:VRV720913 WBR720911:WBR720913 WLN720911:WLN720913 WVJ720911:WVJ720913 B786447:B786449 IX786447:IX786449 ST786447:ST786449 ACP786447:ACP786449 AML786447:AML786449 AWH786447:AWH786449 BGD786447:BGD786449 BPZ786447:BPZ786449 BZV786447:BZV786449 CJR786447:CJR786449 CTN786447:CTN786449 DDJ786447:DDJ786449 DNF786447:DNF786449 DXB786447:DXB786449 EGX786447:EGX786449 EQT786447:EQT786449 FAP786447:FAP786449 FKL786447:FKL786449 FUH786447:FUH786449 GED786447:GED786449 GNZ786447:GNZ786449 GXV786447:GXV786449 HHR786447:HHR786449 HRN786447:HRN786449 IBJ786447:IBJ786449 ILF786447:ILF786449 IVB786447:IVB786449 JEX786447:JEX786449 JOT786447:JOT786449 JYP786447:JYP786449 KIL786447:KIL786449 KSH786447:KSH786449 LCD786447:LCD786449 LLZ786447:LLZ786449 LVV786447:LVV786449 MFR786447:MFR786449 MPN786447:MPN786449 MZJ786447:MZJ786449 NJF786447:NJF786449 NTB786447:NTB786449 OCX786447:OCX786449 OMT786447:OMT786449 OWP786447:OWP786449 PGL786447:PGL786449 PQH786447:PQH786449 QAD786447:QAD786449 QJZ786447:QJZ786449 QTV786447:QTV786449 RDR786447:RDR786449 RNN786447:RNN786449 RXJ786447:RXJ786449 SHF786447:SHF786449 SRB786447:SRB786449 TAX786447:TAX786449 TKT786447:TKT786449 TUP786447:TUP786449 UEL786447:UEL786449 UOH786447:UOH786449 UYD786447:UYD786449 VHZ786447:VHZ786449 VRV786447:VRV786449 WBR786447:WBR786449 WLN786447:WLN786449 WVJ786447:WVJ786449 B851983:B851985 IX851983:IX851985 ST851983:ST851985 ACP851983:ACP851985 AML851983:AML851985 AWH851983:AWH851985 BGD851983:BGD851985 BPZ851983:BPZ851985 BZV851983:BZV851985 CJR851983:CJR851985 CTN851983:CTN851985 DDJ851983:DDJ851985 DNF851983:DNF851985 DXB851983:DXB851985 EGX851983:EGX851985 EQT851983:EQT851985 FAP851983:FAP851985 FKL851983:FKL851985 FUH851983:FUH851985 GED851983:GED851985 GNZ851983:GNZ851985 GXV851983:GXV851985 HHR851983:HHR851985 HRN851983:HRN851985 IBJ851983:IBJ851985 ILF851983:ILF851985 IVB851983:IVB851985 JEX851983:JEX851985 JOT851983:JOT851985 JYP851983:JYP851985 KIL851983:KIL851985 KSH851983:KSH851985 LCD851983:LCD851985 LLZ851983:LLZ851985 LVV851983:LVV851985 MFR851983:MFR851985 MPN851983:MPN851985 MZJ851983:MZJ851985 NJF851983:NJF851985 NTB851983:NTB851985 OCX851983:OCX851985 OMT851983:OMT851985 OWP851983:OWP851985 PGL851983:PGL851985 PQH851983:PQH851985 QAD851983:QAD851985 QJZ851983:QJZ851985 QTV851983:QTV851985 RDR851983:RDR851985 RNN851983:RNN851985 RXJ851983:RXJ851985 SHF851983:SHF851985 SRB851983:SRB851985 TAX851983:TAX851985 TKT851983:TKT851985 TUP851983:TUP851985 UEL851983:UEL851985 UOH851983:UOH851985 UYD851983:UYD851985 VHZ851983:VHZ851985 VRV851983:VRV851985 WBR851983:WBR851985 WLN851983:WLN851985 WVJ851983:WVJ851985 B917519:B917521 IX917519:IX917521 ST917519:ST917521 ACP917519:ACP917521 AML917519:AML917521 AWH917519:AWH917521 BGD917519:BGD917521 BPZ917519:BPZ917521 BZV917519:BZV917521 CJR917519:CJR917521 CTN917519:CTN917521 DDJ917519:DDJ917521 DNF917519:DNF917521 DXB917519:DXB917521 EGX917519:EGX917521 EQT917519:EQT917521 FAP917519:FAP917521 FKL917519:FKL917521 FUH917519:FUH917521 GED917519:GED917521 GNZ917519:GNZ917521 GXV917519:GXV917521 HHR917519:HHR917521 HRN917519:HRN917521 IBJ917519:IBJ917521 ILF917519:ILF917521 IVB917519:IVB917521 JEX917519:JEX917521 JOT917519:JOT917521 JYP917519:JYP917521 KIL917519:KIL917521 KSH917519:KSH917521 LCD917519:LCD917521 LLZ917519:LLZ917521 LVV917519:LVV917521 MFR917519:MFR917521 MPN917519:MPN917521 MZJ917519:MZJ917521 NJF917519:NJF917521 NTB917519:NTB917521 OCX917519:OCX917521 OMT917519:OMT917521 OWP917519:OWP917521 PGL917519:PGL917521 PQH917519:PQH917521 QAD917519:QAD917521 QJZ917519:QJZ917521 QTV917519:QTV917521 RDR917519:RDR917521 RNN917519:RNN917521 RXJ917519:RXJ917521 SHF917519:SHF917521 SRB917519:SRB917521 TAX917519:TAX917521 TKT917519:TKT917521 TUP917519:TUP917521 UEL917519:UEL917521 UOH917519:UOH917521 UYD917519:UYD917521 VHZ917519:VHZ917521 VRV917519:VRV917521 WBR917519:WBR917521 WLN917519:WLN917521 WVJ917519:WVJ917521 B983055:B983057 IX983055:IX983057 ST983055:ST983057 ACP983055:ACP983057 AML983055:AML983057 AWH983055:AWH983057 BGD983055:BGD983057 BPZ983055:BPZ983057 BZV983055:BZV983057 CJR983055:CJR983057 CTN983055:CTN983057 DDJ983055:DDJ983057 DNF983055:DNF983057 DXB983055:DXB983057 EGX983055:EGX983057 EQT983055:EQT983057 FAP983055:FAP983057 FKL983055:FKL983057 FUH983055:FUH983057 GED983055:GED983057 GNZ983055:GNZ983057 GXV983055:GXV983057 HHR983055:HHR983057 HRN983055:HRN983057 IBJ983055:IBJ983057 ILF983055:ILF983057 IVB983055:IVB983057 JEX983055:JEX983057 JOT983055:JOT983057 JYP983055:JYP983057 KIL983055:KIL983057 KSH983055:KSH983057 LCD983055:LCD983057 LLZ983055:LLZ983057 LVV983055:LVV983057 MFR983055:MFR983057 MPN983055:MPN983057 MZJ983055:MZJ983057 NJF983055:NJF983057 NTB983055:NTB983057 OCX983055:OCX983057 OMT983055:OMT983057 OWP983055:OWP983057 PGL983055:PGL983057 PQH983055:PQH983057 QAD983055:QAD983057 QJZ983055:QJZ983057 QTV983055:QTV983057 RDR983055:RDR983057 RNN983055:RNN983057 RXJ983055:RXJ983057 SHF983055:SHF983057 SRB983055:SRB983057 TAX983055:TAX983057 TKT983055:TKT983057 TUP983055:TUP983057 UEL983055:UEL983057 UOH983055:UOH983057 UYD983055:UYD983057 VHZ983055:VHZ983057 VRV983055:VRV983057 WBR983055:WBR983057 WLN983055:WLN983057 WVJ983055:WVJ983057 B12 IX12 ST12 ACP12 AML12 AWH12 BGD12 BPZ12 BZV12 CJR12 CTN12 DDJ12 DNF12 DXB12 EGX12 EQT12 FAP12 FKL12 FUH12 GED12 GNZ12 GXV12 HHR12 HRN12 IBJ12 ILF12 IVB12 JEX12 JOT12 JYP12 KIL12 KSH12 LCD12 LLZ12 LVV12 MFR12 MPN12 MZJ12 NJF12 NTB12 OCX12 OMT12 OWP12 PGL12 PQH12 QAD12 QJZ12 QTV12 RDR12 RNN12 RXJ12 SHF12 SRB12 TAX12 TKT12 TUP12 UEL12 UOH12 UYD12 VHZ12 VRV12 WBR12 WLN12 WVJ12 B65548 IX65548 ST65548 ACP65548 AML65548 AWH65548 BGD65548 BPZ65548 BZV65548 CJR65548 CTN65548 DDJ65548 DNF65548 DXB65548 EGX65548 EQT65548 FAP65548 FKL65548 FUH65548 GED65548 GNZ65548 GXV65548 HHR65548 HRN65548 IBJ65548 ILF65548 IVB65548 JEX65548 JOT65548 JYP65548 KIL65548 KSH65548 LCD65548 LLZ65548 LVV65548 MFR65548 MPN65548 MZJ65548 NJF65548 NTB65548 OCX65548 OMT65548 OWP65548 PGL65548 PQH65548 QAD65548 QJZ65548 QTV65548 RDR65548 RNN65548 RXJ65548 SHF65548 SRB65548 TAX65548 TKT65548 TUP65548 UEL65548 UOH65548 UYD65548 VHZ65548 VRV65548 WBR65548 WLN65548 WVJ65548 B131084 IX131084 ST131084 ACP131084 AML131084 AWH131084 BGD131084 BPZ131084 BZV131084 CJR131084 CTN131084 DDJ131084 DNF131084 DXB131084 EGX131084 EQT131084 FAP131084 FKL131084 FUH131084 GED131084 GNZ131084 GXV131084 HHR131084 HRN131084 IBJ131084 ILF131084 IVB131084 JEX131084 JOT131084 JYP131084 KIL131084 KSH131084 LCD131084 LLZ131084 LVV131084 MFR131084 MPN131084 MZJ131084 NJF131084 NTB131084 OCX131084 OMT131084 OWP131084 PGL131084 PQH131084 QAD131084 QJZ131084 QTV131084 RDR131084 RNN131084 RXJ131084 SHF131084 SRB131084 TAX131084 TKT131084 TUP131084 UEL131084 UOH131084 UYD131084 VHZ131084 VRV131084 WBR131084 WLN131084 WVJ131084 B196620 IX196620 ST196620 ACP196620 AML196620 AWH196620 BGD196620 BPZ196620 BZV196620 CJR196620 CTN196620 DDJ196620 DNF196620 DXB196620 EGX196620 EQT196620 FAP196620 FKL196620 FUH196620 GED196620 GNZ196620 GXV196620 HHR196620 HRN196620 IBJ196620 ILF196620 IVB196620 JEX196620 JOT196620 JYP196620 KIL196620 KSH196620 LCD196620 LLZ196620 LVV196620 MFR196620 MPN196620 MZJ196620 NJF196620 NTB196620 OCX196620 OMT196620 OWP196620 PGL196620 PQH196620 QAD196620 QJZ196620 QTV196620 RDR196620 RNN196620 RXJ196620 SHF196620 SRB196620 TAX196620 TKT196620 TUP196620 UEL196620 UOH196620 UYD196620 VHZ196620 VRV196620 WBR196620 WLN196620 WVJ196620 B262156 IX262156 ST262156 ACP262156 AML262156 AWH262156 BGD262156 BPZ262156 BZV262156 CJR262156 CTN262156 DDJ262156 DNF262156 DXB262156 EGX262156 EQT262156 FAP262156 FKL262156 FUH262156 GED262156 GNZ262156 GXV262156 HHR262156 HRN262156 IBJ262156 ILF262156 IVB262156 JEX262156 JOT262156 JYP262156 KIL262156 KSH262156 LCD262156 LLZ262156 LVV262156 MFR262156 MPN262156 MZJ262156 NJF262156 NTB262156 OCX262156 OMT262156 OWP262156 PGL262156 PQH262156 QAD262156 QJZ262156 QTV262156 RDR262156 RNN262156 RXJ262156 SHF262156 SRB262156 TAX262156 TKT262156 TUP262156 UEL262156 UOH262156 UYD262156 VHZ262156 VRV262156 WBR262156 WLN262156 WVJ262156 B327692 IX327692 ST327692 ACP327692 AML327692 AWH327692 BGD327692 BPZ327692 BZV327692 CJR327692 CTN327692 DDJ327692 DNF327692 DXB327692 EGX327692 EQT327692 FAP327692 FKL327692 FUH327692 GED327692 GNZ327692 GXV327692 HHR327692 HRN327692 IBJ327692 ILF327692 IVB327692 JEX327692 JOT327692 JYP327692 KIL327692 KSH327692 LCD327692 LLZ327692 LVV327692 MFR327692 MPN327692 MZJ327692 NJF327692 NTB327692 OCX327692 OMT327692 OWP327692 PGL327692 PQH327692 QAD327692 QJZ327692 QTV327692 RDR327692 RNN327692 RXJ327692 SHF327692 SRB327692 TAX327692 TKT327692 TUP327692 UEL327692 UOH327692 UYD327692 VHZ327692 VRV327692 WBR327692 WLN327692 WVJ327692 B393228 IX393228 ST393228 ACP393228 AML393228 AWH393228 BGD393228 BPZ393228 BZV393228 CJR393228 CTN393228 DDJ393228 DNF393228 DXB393228 EGX393228 EQT393228 FAP393228 FKL393228 FUH393228 GED393228 GNZ393228 GXV393228 HHR393228 HRN393228 IBJ393228 ILF393228 IVB393228 JEX393228 JOT393228 JYP393228 KIL393228 KSH393228 LCD393228 LLZ393228 LVV393228 MFR393228 MPN393228 MZJ393228 NJF393228 NTB393228 OCX393228 OMT393228 OWP393228 PGL393228 PQH393228 QAD393228 QJZ393228 QTV393228 RDR393228 RNN393228 RXJ393228 SHF393228 SRB393228 TAX393228 TKT393228 TUP393228 UEL393228 UOH393228 UYD393228 VHZ393228 VRV393228 WBR393228 WLN393228 WVJ393228 B458764 IX458764 ST458764 ACP458764 AML458764 AWH458764 BGD458764 BPZ458764 BZV458764 CJR458764 CTN458764 DDJ458764 DNF458764 DXB458764 EGX458764 EQT458764 FAP458764 FKL458764 FUH458764 GED458764 GNZ458764 GXV458764 HHR458764 HRN458764 IBJ458764 ILF458764 IVB458764 JEX458764 JOT458764 JYP458764 KIL458764 KSH458764 LCD458764 LLZ458764 LVV458764 MFR458764 MPN458764 MZJ458764 NJF458764 NTB458764 OCX458764 OMT458764 OWP458764 PGL458764 PQH458764 QAD458764 QJZ458764 QTV458764 RDR458764 RNN458764 RXJ458764 SHF458764 SRB458764 TAX458764 TKT458764 TUP458764 UEL458764 UOH458764 UYD458764 VHZ458764 VRV458764 WBR458764 WLN458764 WVJ458764 B524300 IX524300 ST524300 ACP524300 AML524300 AWH524300 BGD524300 BPZ524300 BZV524300 CJR524300 CTN524300 DDJ524300 DNF524300 DXB524300 EGX524300 EQT524300 FAP524300 FKL524300 FUH524300 GED524300 GNZ524300 GXV524300 HHR524300 HRN524300 IBJ524300 ILF524300 IVB524300 JEX524300 JOT524300 JYP524300 KIL524300 KSH524300 LCD524300 LLZ524300 LVV524300 MFR524300 MPN524300 MZJ524300 NJF524300 NTB524300 OCX524300 OMT524300 OWP524300 PGL524300 PQH524300 QAD524300 QJZ524300 QTV524300 RDR524300 RNN524300 RXJ524300 SHF524300 SRB524300 TAX524300 TKT524300 TUP524300 UEL524300 UOH524300 UYD524300 VHZ524300 VRV524300 WBR524300 WLN524300 WVJ524300 B589836 IX589836 ST589836 ACP589836 AML589836 AWH589836 BGD589836 BPZ589836 BZV589836 CJR589836 CTN589836 DDJ589836 DNF589836 DXB589836 EGX589836 EQT589836 FAP589836 FKL589836 FUH589836 GED589836 GNZ589836 GXV589836 HHR589836 HRN589836 IBJ589836 ILF589836 IVB589836 JEX589836 JOT589836 JYP589836 KIL589836 KSH589836 LCD589836 LLZ589836 LVV589836 MFR589836 MPN589836 MZJ589836 NJF589836 NTB589836 OCX589836 OMT589836 OWP589836 PGL589836 PQH589836 QAD589836 QJZ589836 QTV589836 RDR589836 RNN589836 RXJ589836 SHF589836 SRB589836 TAX589836 TKT589836 TUP589836 UEL589836 UOH589836 UYD589836 VHZ589836 VRV589836 WBR589836 WLN589836 WVJ589836 B655372 IX655372 ST655372 ACP655372 AML655372 AWH655372 BGD655372 BPZ655372 BZV655372 CJR655372 CTN655372 DDJ655372 DNF655372 DXB655372 EGX655372 EQT655372 FAP655372 FKL655372 FUH655372 GED655372 GNZ655372 GXV655372 HHR655372 HRN655372 IBJ655372 ILF655372 IVB655372 JEX655372 JOT655372 JYP655372 KIL655372 KSH655372 LCD655372 LLZ655372 LVV655372 MFR655372 MPN655372 MZJ655372 NJF655372 NTB655372 OCX655372 OMT655372 OWP655372 PGL655372 PQH655372 QAD655372 QJZ655372 QTV655372 RDR655372 RNN655372 RXJ655372 SHF655372 SRB655372 TAX655372 TKT655372 TUP655372 UEL655372 UOH655372 UYD655372 VHZ655372 VRV655372 WBR655372 WLN655372 WVJ655372 B720908 IX720908 ST720908 ACP720908 AML720908 AWH720908 BGD720908 BPZ720908 BZV720908 CJR720908 CTN720908 DDJ720908 DNF720908 DXB720908 EGX720908 EQT720908 FAP720908 FKL720908 FUH720908 GED720908 GNZ720908 GXV720908 HHR720908 HRN720908 IBJ720908 ILF720908 IVB720908 JEX720908 JOT720908 JYP720908 KIL720908 KSH720908 LCD720908 LLZ720908 LVV720908 MFR720908 MPN720908 MZJ720908 NJF720908 NTB720908 OCX720908 OMT720908 OWP720908 PGL720908 PQH720908 QAD720908 QJZ720908 QTV720908 RDR720908 RNN720908 RXJ720908 SHF720908 SRB720908 TAX720908 TKT720908 TUP720908 UEL720908 UOH720908 UYD720908 VHZ720908 VRV720908 WBR720908 WLN720908 WVJ720908 B786444 IX786444 ST786444 ACP786444 AML786444 AWH786444 BGD786444 BPZ786444 BZV786444 CJR786444 CTN786444 DDJ786444 DNF786444 DXB786444 EGX786444 EQT786444 FAP786444 FKL786444 FUH786444 GED786444 GNZ786444 GXV786444 HHR786444 HRN786444 IBJ786444 ILF786444 IVB786444 JEX786444 JOT786444 JYP786444 KIL786444 KSH786444 LCD786444 LLZ786444 LVV786444 MFR786444 MPN786444 MZJ786444 NJF786444 NTB786444 OCX786444 OMT786444 OWP786444 PGL786444 PQH786444 QAD786444 QJZ786444 QTV786444 RDR786444 RNN786444 RXJ786444 SHF786444 SRB786444 TAX786444 TKT786444 TUP786444 UEL786444 UOH786444 UYD786444 VHZ786444 VRV786444 WBR786444 WLN786444 WVJ786444 B851980 IX851980 ST851980 ACP851980 AML851980 AWH851980 BGD851980 BPZ851980 BZV851980 CJR851980 CTN851980 DDJ851980 DNF851980 DXB851980 EGX851980 EQT851980 FAP851980 FKL851980 FUH851980 GED851980 GNZ851980 GXV851980 HHR851980 HRN851980 IBJ851980 ILF851980 IVB851980 JEX851980 JOT851980 JYP851980 KIL851980 KSH851980 LCD851980 LLZ851980 LVV851980 MFR851980 MPN851980 MZJ851980 NJF851980 NTB851980 OCX851980 OMT851980 OWP851980 PGL851980 PQH851980 QAD851980 QJZ851980 QTV851980 RDR851980 RNN851980 RXJ851980 SHF851980 SRB851980 TAX851980 TKT851980 TUP851980 UEL851980 UOH851980 UYD851980 VHZ851980 VRV851980 WBR851980 WLN851980 WVJ851980 B917516 IX917516 ST917516 ACP917516 AML917516 AWH917516 BGD917516 BPZ917516 BZV917516 CJR917516 CTN917516 DDJ917516 DNF917516 DXB917516 EGX917516 EQT917516 FAP917516 FKL917516 FUH917516 GED917516 GNZ917516 GXV917516 HHR917516 HRN917516 IBJ917516 ILF917516 IVB917516 JEX917516 JOT917516 JYP917516 KIL917516 KSH917516 LCD917516 LLZ917516 LVV917516 MFR917516 MPN917516 MZJ917516 NJF917516 NTB917516 OCX917516 OMT917516 OWP917516 PGL917516 PQH917516 QAD917516 QJZ917516 QTV917516 RDR917516 RNN917516 RXJ917516 SHF917516 SRB917516 TAX917516 TKT917516 TUP917516 UEL917516 UOH917516 UYD917516 VHZ917516 VRV917516 WBR917516 WLN917516 WVJ917516 B983052 IX983052 ST983052 ACP983052 AML983052 AWH983052 BGD983052 BPZ983052 BZV983052 CJR983052 CTN983052 DDJ983052 DNF983052 DXB983052 EGX983052 EQT983052 FAP983052 FKL983052 FUH983052 GED983052 GNZ983052 GXV983052 HHR983052 HRN983052 IBJ983052 ILF983052 IVB983052 JEX983052 JOT983052 JYP983052 KIL983052 KSH983052 LCD983052 LLZ983052 LVV983052 MFR983052 MPN983052 MZJ983052 NJF983052 NTB983052 OCX983052 OMT983052 OWP983052 PGL983052 PQH983052 QAD983052 QJZ983052 QTV983052 RDR983052 RNN983052 RXJ983052 SHF983052 SRB983052 TAX983052 TKT983052 TUP983052 UEL983052 UOH983052 UYD983052 VHZ983052 VRV983052 WBR983052 WLN983052 WVJ983052 B6 IX6 ST6 ACP6 AML6 AWH6 BGD6 BPZ6 BZV6 CJR6 CTN6 DDJ6 DNF6 DXB6 EGX6 EQT6 FAP6 FKL6 FUH6 GED6 GNZ6 GXV6 HHR6 HRN6 IBJ6 ILF6 IVB6 JEX6 JOT6 JYP6 KIL6 KSH6 LCD6 LLZ6 LVV6 MFR6 MPN6 MZJ6 NJF6 NTB6 OCX6 OMT6 OWP6 PGL6 PQH6 QAD6 QJZ6 QTV6 RDR6 RNN6 RXJ6 SHF6 SRB6 TAX6 TKT6 TUP6 UEL6 UOH6 UYD6 VHZ6 VRV6 WBR6 WLN6 WVJ6 B65542 IX65542 ST65542 ACP65542 AML65542 AWH65542 BGD65542 BPZ65542 BZV65542 CJR65542 CTN65542 DDJ65542 DNF65542 DXB65542 EGX65542 EQT65542 FAP65542 FKL65542 FUH65542 GED65542 GNZ65542 GXV65542 HHR65542 HRN65542 IBJ65542 ILF65542 IVB65542 JEX65542 JOT65542 JYP65542 KIL65542 KSH65542 LCD65542 LLZ65542 LVV65542 MFR65542 MPN65542 MZJ65542 NJF65542 NTB65542 OCX65542 OMT65542 OWP65542 PGL65542 PQH65542 QAD65542 QJZ65542 QTV65542 RDR65542 RNN65542 RXJ65542 SHF65542 SRB65542 TAX65542 TKT65542 TUP65542 UEL65542 UOH65542 UYD65542 VHZ65542 VRV65542 WBR65542 WLN65542 WVJ65542 B131078 IX131078 ST131078 ACP131078 AML131078 AWH131078 BGD131078 BPZ131078 BZV131078 CJR131078 CTN131078 DDJ131078 DNF131078 DXB131078 EGX131078 EQT131078 FAP131078 FKL131078 FUH131078 GED131078 GNZ131078 GXV131078 HHR131078 HRN131078 IBJ131078 ILF131078 IVB131078 JEX131078 JOT131078 JYP131078 KIL131078 KSH131078 LCD131078 LLZ131078 LVV131078 MFR131078 MPN131078 MZJ131078 NJF131078 NTB131078 OCX131078 OMT131078 OWP131078 PGL131078 PQH131078 QAD131078 QJZ131078 QTV131078 RDR131078 RNN131078 RXJ131078 SHF131078 SRB131078 TAX131078 TKT131078 TUP131078 UEL131078 UOH131078 UYD131078 VHZ131078 VRV131078 WBR131078 WLN131078 WVJ131078 B196614 IX196614 ST196614 ACP196614 AML196614 AWH196614 BGD196614 BPZ196614 BZV196614 CJR196614 CTN196614 DDJ196614 DNF196614 DXB196614 EGX196614 EQT196614 FAP196614 FKL196614 FUH196614 GED196614 GNZ196614 GXV196614 HHR196614 HRN196614 IBJ196614 ILF196614 IVB196614 JEX196614 JOT196614 JYP196614 KIL196614 KSH196614 LCD196614 LLZ196614 LVV196614 MFR196614 MPN196614 MZJ196614 NJF196614 NTB196614 OCX196614 OMT196614 OWP196614 PGL196614 PQH196614 QAD196614 QJZ196614 QTV196614 RDR196614 RNN196614 RXJ196614 SHF196614 SRB196614 TAX196614 TKT196614 TUP196614 UEL196614 UOH196614 UYD196614 VHZ196614 VRV196614 WBR196614 WLN196614 WVJ196614 B262150 IX262150 ST262150 ACP262150 AML262150 AWH262150 BGD262150 BPZ262150 BZV262150 CJR262150 CTN262150 DDJ262150 DNF262150 DXB262150 EGX262150 EQT262150 FAP262150 FKL262150 FUH262150 GED262150 GNZ262150 GXV262150 HHR262150 HRN262150 IBJ262150 ILF262150 IVB262150 JEX262150 JOT262150 JYP262150 KIL262150 KSH262150 LCD262150 LLZ262150 LVV262150 MFR262150 MPN262150 MZJ262150 NJF262150 NTB262150 OCX262150 OMT262150 OWP262150 PGL262150 PQH262150 QAD262150 QJZ262150 QTV262150 RDR262150 RNN262150 RXJ262150 SHF262150 SRB262150 TAX262150 TKT262150 TUP262150 UEL262150 UOH262150 UYD262150 VHZ262150 VRV262150 WBR262150 WLN262150 WVJ262150 B327686 IX327686 ST327686 ACP327686 AML327686 AWH327686 BGD327686 BPZ327686 BZV327686 CJR327686 CTN327686 DDJ327686 DNF327686 DXB327686 EGX327686 EQT327686 FAP327686 FKL327686 FUH327686 GED327686 GNZ327686 GXV327686 HHR327686 HRN327686 IBJ327686 ILF327686 IVB327686 JEX327686 JOT327686 JYP327686 KIL327686 KSH327686 LCD327686 LLZ327686 LVV327686 MFR327686 MPN327686 MZJ327686 NJF327686 NTB327686 OCX327686 OMT327686 OWP327686 PGL327686 PQH327686 QAD327686 QJZ327686 QTV327686 RDR327686 RNN327686 RXJ327686 SHF327686 SRB327686 TAX327686 TKT327686 TUP327686 UEL327686 UOH327686 UYD327686 VHZ327686 VRV327686 WBR327686 WLN327686 WVJ327686 B393222 IX393222 ST393222 ACP393222 AML393222 AWH393222 BGD393222 BPZ393222 BZV393222 CJR393222 CTN393222 DDJ393222 DNF393222 DXB393222 EGX393222 EQT393222 FAP393222 FKL393222 FUH393222 GED393222 GNZ393222 GXV393222 HHR393222 HRN393222 IBJ393222 ILF393222 IVB393222 JEX393222 JOT393222 JYP393222 KIL393222 KSH393222 LCD393222 LLZ393222 LVV393222 MFR393222 MPN393222 MZJ393222 NJF393222 NTB393222 OCX393222 OMT393222 OWP393222 PGL393222 PQH393222 QAD393222 QJZ393222 QTV393222 RDR393222 RNN393222 RXJ393222 SHF393222 SRB393222 TAX393222 TKT393222 TUP393222 UEL393222 UOH393222 UYD393222 VHZ393222 VRV393222 WBR393222 WLN393222 WVJ393222 B458758 IX458758 ST458758 ACP458758 AML458758 AWH458758 BGD458758 BPZ458758 BZV458758 CJR458758 CTN458758 DDJ458758 DNF458758 DXB458758 EGX458758 EQT458758 FAP458758 FKL458758 FUH458758 GED458758 GNZ458758 GXV458758 HHR458758 HRN458758 IBJ458758 ILF458758 IVB458758 JEX458758 JOT458758 JYP458758 KIL458758 KSH458758 LCD458758 LLZ458758 LVV458758 MFR458758 MPN458758 MZJ458758 NJF458758 NTB458758 OCX458758 OMT458758 OWP458758 PGL458758 PQH458758 QAD458758 QJZ458758 QTV458758 RDR458758 RNN458758 RXJ458758 SHF458758 SRB458758 TAX458758 TKT458758 TUP458758 UEL458758 UOH458758 UYD458758 VHZ458758 VRV458758 WBR458758 WLN458758 WVJ458758 B524294 IX524294 ST524294 ACP524294 AML524294 AWH524294 BGD524294 BPZ524294 BZV524294 CJR524294 CTN524294 DDJ524294 DNF524294 DXB524294 EGX524294 EQT524294 FAP524294 FKL524294 FUH524294 GED524294 GNZ524294 GXV524294 HHR524294 HRN524294 IBJ524294 ILF524294 IVB524294 JEX524294 JOT524294 JYP524294 KIL524294 KSH524294 LCD524294 LLZ524294 LVV524294 MFR524294 MPN524294 MZJ524294 NJF524294 NTB524294 OCX524294 OMT524294 OWP524294 PGL524294 PQH524294 QAD524294 QJZ524294 QTV524294 RDR524294 RNN524294 RXJ524294 SHF524294 SRB524294 TAX524294 TKT524294 TUP524294 UEL524294 UOH524294 UYD524294 VHZ524294 VRV524294 WBR524294 WLN524294 WVJ524294 B589830 IX589830 ST589830 ACP589830 AML589830 AWH589830 BGD589830 BPZ589830 BZV589830 CJR589830 CTN589830 DDJ589830 DNF589830 DXB589830 EGX589830 EQT589830 FAP589830 FKL589830 FUH589830 GED589830 GNZ589830 GXV589830 HHR589830 HRN589830 IBJ589830 ILF589830 IVB589830 JEX589830 JOT589830 JYP589830 KIL589830 KSH589830 LCD589830 LLZ589830 LVV589830 MFR589830 MPN589830 MZJ589830 NJF589830 NTB589830 OCX589830 OMT589830 OWP589830 PGL589830 PQH589830 QAD589830 QJZ589830 QTV589830 RDR589830 RNN589830 RXJ589830 SHF589830 SRB589830 TAX589830 TKT589830 TUP589830 UEL589830 UOH589830 UYD589830 VHZ589830 VRV589830 WBR589830 WLN589830 WVJ589830 B655366 IX655366 ST655366 ACP655366 AML655366 AWH655366 BGD655366 BPZ655366 BZV655366 CJR655366 CTN655366 DDJ655366 DNF655366 DXB655366 EGX655366 EQT655366 FAP655366 FKL655366 FUH655366 GED655366 GNZ655366 GXV655366 HHR655366 HRN655366 IBJ655366 ILF655366 IVB655366 JEX655366 JOT655366 JYP655366 KIL655366 KSH655366 LCD655366 LLZ655366 LVV655366 MFR655366 MPN655366 MZJ655366 NJF655366 NTB655366 OCX655366 OMT655366 OWP655366 PGL655366 PQH655366 QAD655366 QJZ655366 QTV655366 RDR655366 RNN655366 RXJ655366 SHF655366 SRB655366 TAX655366 TKT655366 TUP655366 UEL655366 UOH655366 UYD655366 VHZ655366 VRV655366 WBR655366 WLN655366 WVJ655366 B720902 IX720902 ST720902 ACP720902 AML720902 AWH720902 BGD720902 BPZ720902 BZV720902 CJR720902 CTN720902 DDJ720902 DNF720902 DXB720902 EGX720902 EQT720902 FAP720902 FKL720902 FUH720902 GED720902 GNZ720902 GXV720902 HHR720902 HRN720902 IBJ720902 ILF720902 IVB720902 JEX720902 JOT720902 JYP720902 KIL720902 KSH720902 LCD720902 LLZ720902 LVV720902 MFR720902 MPN720902 MZJ720902 NJF720902 NTB720902 OCX720902 OMT720902 OWP720902 PGL720902 PQH720902 QAD720902 QJZ720902 QTV720902 RDR720902 RNN720902 RXJ720902 SHF720902 SRB720902 TAX720902 TKT720902 TUP720902 UEL720902 UOH720902 UYD720902 VHZ720902 VRV720902 WBR720902 WLN720902 WVJ720902 B786438 IX786438 ST786438 ACP786438 AML786438 AWH786438 BGD786438 BPZ786438 BZV786438 CJR786438 CTN786438 DDJ786438 DNF786438 DXB786438 EGX786438 EQT786438 FAP786438 FKL786438 FUH786438 GED786438 GNZ786438 GXV786438 HHR786438 HRN786438 IBJ786438 ILF786438 IVB786438 JEX786438 JOT786438 JYP786438 KIL786438 KSH786438 LCD786438 LLZ786438 LVV786438 MFR786438 MPN786438 MZJ786438 NJF786438 NTB786438 OCX786438 OMT786438 OWP786438 PGL786438 PQH786438 QAD786438 QJZ786438 QTV786438 RDR786438 RNN786438 RXJ786438 SHF786438 SRB786438 TAX786438 TKT786438 TUP786438 UEL786438 UOH786438 UYD786438 VHZ786438 VRV786438 WBR786438 WLN786438 WVJ786438 B851974 IX851974 ST851974 ACP851974 AML851974 AWH851974 BGD851974 BPZ851974 BZV851974 CJR851974 CTN851974 DDJ851974 DNF851974 DXB851974 EGX851974 EQT851974 FAP851974 FKL851974 FUH851974 GED851974 GNZ851974 GXV851974 HHR851974 HRN851974 IBJ851974 ILF851974 IVB851974 JEX851974 JOT851974 JYP851974 KIL851974 KSH851974 LCD851974 LLZ851974 LVV851974 MFR851974 MPN851974 MZJ851974 NJF851974 NTB851974 OCX851974 OMT851974 OWP851974 PGL851974 PQH851974 QAD851974 QJZ851974 QTV851974 RDR851974 RNN851974 RXJ851974 SHF851974 SRB851974 TAX851974 TKT851974 TUP851974 UEL851974 UOH851974 UYD851974 VHZ851974 VRV851974 WBR851974 WLN851974 WVJ851974 B917510 IX917510 ST917510 ACP917510 AML917510 AWH917510 BGD917510 BPZ917510 BZV917510 CJR917510 CTN917510 DDJ917510 DNF917510 DXB917510 EGX917510 EQT917510 FAP917510 FKL917510 FUH917510 GED917510 GNZ917510 GXV917510 HHR917510 HRN917510 IBJ917510 ILF917510 IVB917510 JEX917510 JOT917510 JYP917510 KIL917510 KSH917510 LCD917510 LLZ917510 LVV917510 MFR917510 MPN917510 MZJ917510 NJF917510 NTB917510 OCX917510 OMT917510 OWP917510 PGL917510 PQH917510 QAD917510 QJZ917510 QTV917510 RDR917510 RNN917510 RXJ917510 SHF917510 SRB917510 TAX917510 TKT917510 TUP917510 UEL917510 UOH917510 UYD917510 VHZ917510 VRV917510 WBR917510 WLN917510 WVJ917510 B983046 IX983046 ST983046 ACP983046 AML983046 AWH983046 BGD983046 BPZ983046 BZV983046 CJR983046 CTN983046 DDJ983046 DNF983046 DXB983046 EGX983046 EQT983046 FAP983046 FKL983046 FUH983046 GED983046 GNZ983046 GXV983046 HHR983046 HRN983046 IBJ983046 ILF983046 IVB983046 JEX983046 JOT983046 JYP983046 KIL983046 KSH983046 LCD983046 LLZ983046 LVV983046 MFR983046 MPN983046 MZJ983046 NJF983046 NTB983046 OCX983046 OMT983046 OWP983046 PGL983046 PQH983046 QAD983046 QJZ983046 QTV983046 RDR983046 RNN983046 RXJ983046 SHF983046 SRB983046 TAX983046 TKT983046 TUP983046 UEL983046 UOH983046 UYD983046 VHZ983046 VRV983046 WBR983046 WLN983046 WVJ983046">
      <formula1>$B$36:$B$52</formula1>
    </dataValidation>
    <dataValidation type="list" allowBlank="1" showInputMessage="1" showErrorMessage="1" sqref="B25:B28 IX25:IX28 ST25:ST28 ACP25:ACP28 AML25:AML28 AWH25:AWH28 BGD25:BGD28 BPZ25:BPZ28 BZV25:BZV28 CJR25:CJR28 CTN25:CTN28 DDJ25:DDJ28 DNF25:DNF28 DXB25:DXB28 EGX25:EGX28 EQT25:EQT28 FAP25:FAP28 FKL25:FKL28 FUH25:FUH28 GED25:GED28 GNZ25:GNZ28 GXV25:GXV28 HHR25:HHR28 HRN25:HRN28 IBJ25:IBJ28 ILF25:ILF28 IVB25:IVB28 JEX25:JEX28 JOT25:JOT28 JYP25:JYP28 KIL25:KIL28 KSH25:KSH28 LCD25:LCD28 LLZ25:LLZ28 LVV25:LVV28 MFR25:MFR28 MPN25:MPN28 MZJ25:MZJ28 NJF25:NJF28 NTB25:NTB28 OCX25:OCX28 OMT25:OMT28 OWP25:OWP28 PGL25:PGL28 PQH25:PQH28 QAD25:QAD28 QJZ25:QJZ28 QTV25:QTV28 RDR25:RDR28 RNN25:RNN28 RXJ25:RXJ28 SHF25:SHF28 SRB25:SRB28 TAX25:TAX28 TKT25:TKT28 TUP25:TUP28 UEL25:UEL28 UOH25:UOH28 UYD25:UYD28 VHZ25:VHZ28 VRV25:VRV28 WBR25:WBR28 WLN25:WLN28 WVJ25:WVJ28 B65561:B65564 IX65561:IX65564 ST65561:ST65564 ACP65561:ACP65564 AML65561:AML65564 AWH65561:AWH65564 BGD65561:BGD65564 BPZ65561:BPZ65564 BZV65561:BZV65564 CJR65561:CJR65564 CTN65561:CTN65564 DDJ65561:DDJ65564 DNF65561:DNF65564 DXB65561:DXB65564 EGX65561:EGX65564 EQT65561:EQT65564 FAP65561:FAP65564 FKL65561:FKL65564 FUH65561:FUH65564 GED65561:GED65564 GNZ65561:GNZ65564 GXV65561:GXV65564 HHR65561:HHR65564 HRN65561:HRN65564 IBJ65561:IBJ65564 ILF65561:ILF65564 IVB65561:IVB65564 JEX65561:JEX65564 JOT65561:JOT65564 JYP65561:JYP65564 KIL65561:KIL65564 KSH65561:KSH65564 LCD65561:LCD65564 LLZ65561:LLZ65564 LVV65561:LVV65564 MFR65561:MFR65564 MPN65561:MPN65564 MZJ65561:MZJ65564 NJF65561:NJF65564 NTB65561:NTB65564 OCX65561:OCX65564 OMT65561:OMT65564 OWP65561:OWP65564 PGL65561:PGL65564 PQH65561:PQH65564 QAD65561:QAD65564 QJZ65561:QJZ65564 QTV65561:QTV65564 RDR65561:RDR65564 RNN65561:RNN65564 RXJ65561:RXJ65564 SHF65561:SHF65564 SRB65561:SRB65564 TAX65561:TAX65564 TKT65561:TKT65564 TUP65561:TUP65564 UEL65561:UEL65564 UOH65561:UOH65564 UYD65561:UYD65564 VHZ65561:VHZ65564 VRV65561:VRV65564 WBR65561:WBR65564 WLN65561:WLN65564 WVJ65561:WVJ65564 B131097:B131100 IX131097:IX131100 ST131097:ST131100 ACP131097:ACP131100 AML131097:AML131100 AWH131097:AWH131100 BGD131097:BGD131100 BPZ131097:BPZ131100 BZV131097:BZV131100 CJR131097:CJR131100 CTN131097:CTN131100 DDJ131097:DDJ131100 DNF131097:DNF131100 DXB131097:DXB131100 EGX131097:EGX131100 EQT131097:EQT131100 FAP131097:FAP131100 FKL131097:FKL131100 FUH131097:FUH131100 GED131097:GED131100 GNZ131097:GNZ131100 GXV131097:GXV131100 HHR131097:HHR131100 HRN131097:HRN131100 IBJ131097:IBJ131100 ILF131097:ILF131100 IVB131097:IVB131100 JEX131097:JEX131100 JOT131097:JOT131100 JYP131097:JYP131100 KIL131097:KIL131100 KSH131097:KSH131100 LCD131097:LCD131100 LLZ131097:LLZ131100 LVV131097:LVV131100 MFR131097:MFR131100 MPN131097:MPN131100 MZJ131097:MZJ131100 NJF131097:NJF131100 NTB131097:NTB131100 OCX131097:OCX131100 OMT131097:OMT131100 OWP131097:OWP131100 PGL131097:PGL131100 PQH131097:PQH131100 QAD131097:QAD131100 QJZ131097:QJZ131100 QTV131097:QTV131100 RDR131097:RDR131100 RNN131097:RNN131100 RXJ131097:RXJ131100 SHF131097:SHF131100 SRB131097:SRB131100 TAX131097:TAX131100 TKT131097:TKT131100 TUP131097:TUP131100 UEL131097:UEL131100 UOH131097:UOH131100 UYD131097:UYD131100 VHZ131097:VHZ131100 VRV131097:VRV131100 WBR131097:WBR131100 WLN131097:WLN131100 WVJ131097:WVJ131100 B196633:B196636 IX196633:IX196636 ST196633:ST196636 ACP196633:ACP196636 AML196633:AML196636 AWH196633:AWH196636 BGD196633:BGD196636 BPZ196633:BPZ196636 BZV196633:BZV196636 CJR196633:CJR196636 CTN196633:CTN196636 DDJ196633:DDJ196636 DNF196633:DNF196636 DXB196633:DXB196636 EGX196633:EGX196636 EQT196633:EQT196636 FAP196633:FAP196636 FKL196633:FKL196636 FUH196633:FUH196636 GED196633:GED196636 GNZ196633:GNZ196636 GXV196633:GXV196636 HHR196633:HHR196636 HRN196633:HRN196636 IBJ196633:IBJ196636 ILF196633:ILF196636 IVB196633:IVB196636 JEX196633:JEX196636 JOT196633:JOT196636 JYP196633:JYP196636 KIL196633:KIL196636 KSH196633:KSH196636 LCD196633:LCD196636 LLZ196633:LLZ196636 LVV196633:LVV196636 MFR196633:MFR196636 MPN196633:MPN196636 MZJ196633:MZJ196636 NJF196633:NJF196636 NTB196633:NTB196636 OCX196633:OCX196636 OMT196633:OMT196636 OWP196633:OWP196636 PGL196633:PGL196636 PQH196633:PQH196636 QAD196633:QAD196636 QJZ196633:QJZ196636 QTV196633:QTV196636 RDR196633:RDR196636 RNN196633:RNN196636 RXJ196633:RXJ196636 SHF196633:SHF196636 SRB196633:SRB196636 TAX196633:TAX196636 TKT196633:TKT196636 TUP196633:TUP196636 UEL196633:UEL196636 UOH196633:UOH196636 UYD196633:UYD196636 VHZ196633:VHZ196636 VRV196633:VRV196636 WBR196633:WBR196636 WLN196633:WLN196636 WVJ196633:WVJ196636 B262169:B262172 IX262169:IX262172 ST262169:ST262172 ACP262169:ACP262172 AML262169:AML262172 AWH262169:AWH262172 BGD262169:BGD262172 BPZ262169:BPZ262172 BZV262169:BZV262172 CJR262169:CJR262172 CTN262169:CTN262172 DDJ262169:DDJ262172 DNF262169:DNF262172 DXB262169:DXB262172 EGX262169:EGX262172 EQT262169:EQT262172 FAP262169:FAP262172 FKL262169:FKL262172 FUH262169:FUH262172 GED262169:GED262172 GNZ262169:GNZ262172 GXV262169:GXV262172 HHR262169:HHR262172 HRN262169:HRN262172 IBJ262169:IBJ262172 ILF262169:ILF262172 IVB262169:IVB262172 JEX262169:JEX262172 JOT262169:JOT262172 JYP262169:JYP262172 KIL262169:KIL262172 KSH262169:KSH262172 LCD262169:LCD262172 LLZ262169:LLZ262172 LVV262169:LVV262172 MFR262169:MFR262172 MPN262169:MPN262172 MZJ262169:MZJ262172 NJF262169:NJF262172 NTB262169:NTB262172 OCX262169:OCX262172 OMT262169:OMT262172 OWP262169:OWP262172 PGL262169:PGL262172 PQH262169:PQH262172 QAD262169:QAD262172 QJZ262169:QJZ262172 QTV262169:QTV262172 RDR262169:RDR262172 RNN262169:RNN262172 RXJ262169:RXJ262172 SHF262169:SHF262172 SRB262169:SRB262172 TAX262169:TAX262172 TKT262169:TKT262172 TUP262169:TUP262172 UEL262169:UEL262172 UOH262169:UOH262172 UYD262169:UYD262172 VHZ262169:VHZ262172 VRV262169:VRV262172 WBR262169:WBR262172 WLN262169:WLN262172 WVJ262169:WVJ262172 B327705:B327708 IX327705:IX327708 ST327705:ST327708 ACP327705:ACP327708 AML327705:AML327708 AWH327705:AWH327708 BGD327705:BGD327708 BPZ327705:BPZ327708 BZV327705:BZV327708 CJR327705:CJR327708 CTN327705:CTN327708 DDJ327705:DDJ327708 DNF327705:DNF327708 DXB327705:DXB327708 EGX327705:EGX327708 EQT327705:EQT327708 FAP327705:FAP327708 FKL327705:FKL327708 FUH327705:FUH327708 GED327705:GED327708 GNZ327705:GNZ327708 GXV327705:GXV327708 HHR327705:HHR327708 HRN327705:HRN327708 IBJ327705:IBJ327708 ILF327705:ILF327708 IVB327705:IVB327708 JEX327705:JEX327708 JOT327705:JOT327708 JYP327705:JYP327708 KIL327705:KIL327708 KSH327705:KSH327708 LCD327705:LCD327708 LLZ327705:LLZ327708 LVV327705:LVV327708 MFR327705:MFR327708 MPN327705:MPN327708 MZJ327705:MZJ327708 NJF327705:NJF327708 NTB327705:NTB327708 OCX327705:OCX327708 OMT327705:OMT327708 OWP327705:OWP327708 PGL327705:PGL327708 PQH327705:PQH327708 QAD327705:QAD327708 QJZ327705:QJZ327708 QTV327705:QTV327708 RDR327705:RDR327708 RNN327705:RNN327708 RXJ327705:RXJ327708 SHF327705:SHF327708 SRB327705:SRB327708 TAX327705:TAX327708 TKT327705:TKT327708 TUP327705:TUP327708 UEL327705:UEL327708 UOH327705:UOH327708 UYD327705:UYD327708 VHZ327705:VHZ327708 VRV327705:VRV327708 WBR327705:WBR327708 WLN327705:WLN327708 WVJ327705:WVJ327708 B393241:B393244 IX393241:IX393244 ST393241:ST393244 ACP393241:ACP393244 AML393241:AML393244 AWH393241:AWH393244 BGD393241:BGD393244 BPZ393241:BPZ393244 BZV393241:BZV393244 CJR393241:CJR393244 CTN393241:CTN393244 DDJ393241:DDJ393244 DNF393241:DNF393244 DXB393241:DXB393244 EGX393241:EGX393244 EQT393241:EQT393244 FAP393241:FAP393244 FKL393241:FKL393244 FUH393241:FUH393244 GED393241:GED393244 GNZ393241:GNZ393244 GXV393241:GXV393244 HHR393241:HHR393244 HRN393241:HRN393244 IBJ393241:IBJ393244 ILF393241:ILF393244 IVB393241:IVB393244 JEX393241:JEX393244 JOT393241:JOT393244 JYP393241:JYP393244 KIL393241:KIL393244 KSH393241:KSH393244 LCD393241:LCD393244 LLZ393241:LLZ393244 LVV393241:LVV393244 MFR393241:MFR393244 MPN393241:MPN393244 MZJ393241:MZJ393244 NJF393241:NJF393244 NTB393241:NTB393244 OCX393241:OCX393244 OMT393241:OMT393244 OWP393241:OWP393244 PGL393241:PGL393244 PQH393241:PQH393244 QAD393241:QAD393244 QJZ393241:QJZ393244 QTV393241:QTV393244 RDR393241:RDR393244 RNN393241:RNN393244 RXJ393241:RXJ393244 SHF393241:SHF393244 SRB393241:SRB393244 TAX393241:TAX393244 TKT393241:TKT393244 TUP393241:TUP393244 UEL393241:UEL393244 UOH393241:UOH393244 UYD393241:UYD393244 VHZ393241:VHZ393244 VRV393241:VRV393244 WBR393241:WBR393244 WLN393241:WLN393244 WVJ393241:WVJ393244 B458777:B458780 IX458777:IX458780 ST458777:ST458780 ACP458777:ACP458780 AML458777:AML458780 AWH458777:AWH458780 BGD458777:BGD458780 BPZ458777:BPZ458780 BZV458777:BZV458780 CJR458777:CJR458780 CTN458777:CTN458780 DDJ458777:DDJ458780 DNF458777:DNF458780 DXB458777:DXB458780 EGX458777:EGX458780 EQT458777:EQT458780 FAP458777:FAP458780 FKL458777:FKL458780 FUH458777:FUH458780 GED458777:GED458780 GNZ458777:GNZ458780 GXV458777:GXV458780 HHR458777:HHR458780 HRN458777:HRN458780 IBJ458777:IBJ458780 ILF458777:ILF458780 IVB458777:IVB458780 JEX458777:JEX458780 JOT458777:JOT458780 JYP458777:JYP458780 KIL458777:KIL458780 KSH458777:KSH458780 LCD458777:LCD458780 LLZ458777:LLZ458780 LVV458777:LVV458780 MFR458777:MFR458780 MPN458777:MPN458780 MZJ458777:MZJ458780 NJF458777:NJF458780 NTB458777:NTB458780 OCX458777:OCX458780 OMT458777:OMT458780 OWP458777:OWP458780 PGL458777:PGL458780 PQH458777:PQH458780 QAD458777:QAD458780 QJZ458777:QJZ458780 QTV458777:QTV458780 RDR458777:RDR458780 RNN458777:RNN458780 RXJ458777:RXJ458780 SHF458777:SHF458780 SRB458777:SRB458780 TAX458777:TAX458780 TKT458777:TKT458780 TUP458777:TUP458780 UEL458777:UEL458780 UOH458777:UOH458780 UYD458777:UYD458780 VHZ458777:VHZ458780 VRV458777:VRV458780 WBR458777:WBR458780 WLN458777:WLN458780 WVJ458777:WVJ458780 B524313:B524316 IX524313:IX524316 ST524313:ST524316 ACP524313:ACP524316 AML524313:AML524316 AWH524313:AWH524316 BGD524313:BGD524316 BPZ524313:BPZ524316 BZV524313:BZV524316 CJR524313:CJR524316 CTN524313:CTN524316 DDJ524313:DDJ524316 DNF524313:DNF524316 DXB524313:DXB524316 EGX524313:EGX524316 EQT524313:EQT524316 FAP524313:FAP524316 FKL524313:FKL524316 FUH524313:FUH524316 GED524313:GED524316 GNZ524313:GNZ524316 GXV524313:GXV524316 HHR524313:HHR524316 HRN524313:HRN524316 IBJ524313:IBJ524316 ILF524313:ILF524316 IVB524313:IVB524316 JEX524313:JEX524316 JOT524313:JOT524316 JYP524313:JYP524316 KIL524313:KIL524316 KSH524313:KSH524316 LCD524313:LCD524316 LLZ524313:LLZ524316 LVV524313:LVV524316 MFR524313:MFR524316 MPN524313:MPN524316 MZJ524313:MZJ524316 NJF524313:NJF524316 NTB524313:NTB524316 OCX524313:OCX524316 OMT524313:OMT524316 OWP524313:OWP524316 PGL524313:PGL524316 PQH524313:PQH524316 QAD524313:QAD524316 QJZ524313:QJZ524316 QTV524313:QTV524316 RDR524313:RDR524316 RNN524313:RNN524316 RXJ524313:RXJ524316 SHF524313:SHF524316 SRB524313:SRB524316 TAX524313:TAX524316 TKT524313:TKT524316 TUP524313:TUP524316 UEL524313:UEL524316 UOH524313:UOH524316 UYD524313:UYD524316 VHZ524313:VHZ524316 VRV524313:VRV524316 WBR524313:WBR524316 WLN524313:WLN524316 WVJ524313:WVJ524316 B589849:B589852 IX589849:IX589852 ST589849:ST589852 ACP589849:ACP589852 AML589849:AML589852 AWH589849:AWH589852 BGD589849:BGD589852 BPZ589849:BPZ589852 BZV589849:BZV589852 CJR589849:CJR589852 CTN589849:CTN589852 DDJ589849:DDJ589852 DNF589849:DNF589852 DXB589849:DXB589852 EGX589849:EGX589852 EQT589849:EQT589852 FAP589849:FAP589852 FKL589849:FKL589852 FUH589849:FUH589852 GED589849:GED589852 GNZ589849:GNZ589852 GXV589849:GXV589852 HHR589849:HHR589852 HRN589849:HRN589852 IBJ589849:IBJ589852 ILF589849:ILF589852 IVB589849:IVB589852 JEX589849:JEX589852 JOT589849:JOT589852 JYP589849:JYP589852 KIL589849:KIL589852 KSH589849:KSH589852 LCD589849:LCD589852 LLZ589849:LLZ589852 LVV589849:LVV589852 MFR589849:MFR589852 MPN589849:MPN589852 MZJ589849:MZJ589852 NJF589849:NJF589852 NTB589849:NTB589852 OCX589849:OCX589852 OMT589849:OMT589852 OWP589849:OWP589852 PGL589849:PGL589852 PQH589849:PQH589852 QAD589849:QAD589852 QJZ589849:QJZ589852 QTV589849:QTV589852 RDR589849:RDR589852 RNN589849:RNN589852 RXJ589849:RXJ589852 SHF589849:SHF589852 SRB589849:SRB589852 TAX589849:TAX589852 TKT589849:TKT589852 TUP589849:TUP589852 UEL589849:UEL589852 UOH589849:UOH589852 UYD589849:UYD589852 VHZ589849:VHZ589852 VRV589849:VRV589852 WBR589849:WBR589852 WLN589849:WLN589852 WVJ589849:WVJ589852 B655385:B655388 IX655385:IX655388 ST655385:ST655388 ACP655385:ACP655388 AML655385:AML655388 AWH655385:AWH655388 BGD655385:BGD655388 BPZ655385:BPZ655388 BZV655385:BZV655388 CJR655385:CJR655388 CTN655385:CTN655388 DDJ655385:DDJ655388 DNF655385:DNF655388 DXB655385:DXB655388 EGX655385:EGX655388 EQT655385:EQT655388 FAP655385:FAP655388 FKL655385:FKL655388 FUH655385:FUH655388 GED655385:GED655388 GNZ655385:GNZ655388 GXV655385:GXV655388 HHR655385:HHR655388 HRN655385:HRN655388 IBJ655385:IBJ655388 ILF655385:ILF655388 IVB655385:IVB655388 JEX655385:JEX655388 JOT655385:JOT655388 JYP655385:JYP655388 KIL655385:KIL655388 KSH655385:KSH655388 LCD655385:LCD655388 LLZ655385:LLZ655388 LVV655385:LVV655388 MFR655385:MFR655388 MPN655385:MPN655388 MZJ655385:MZJ655388 NJF655385:NJF655388 NTB655385:NTB655388 OCX655385:OCX655388 OMT655385:OMT655388 OWP655385:OWP655388 PGL655385:PGL655388 PQH655385:PQH655388 QAD655385:QAD655388 QJZ655385:QJZ655388 QTV655385:QTV655388 RDR655385:RDR655388 RNN655385:RNN655388 RXJ655385:RXJ655388 SHF655385:SHF655388 SRB655385:SRB655388 TAX655385:TAX655388 TKT655385:TKT655388 TUP655385:TUP655388 UEL655385:UEL655388 UOH655385:UOH655388 UYD655385:UYD655388 VHZ655385:VHZ655388 VRV655385:VRV655388 WBR655385:WBR655388 WLN655385:WLN655388 WVJ655385:WVJ655388 B720921:B720924 IX720921:IX720924 ST720921:ST720924 ACP720921:ACP720924 AML720921:AML720924 AWH720921:AWH720924 BGD720921:BGD720924 BPZ720921:BPZ720924 BZV720921:BZV720924 CJR720921:CJR720924 CTN720921:CTN720924 DDJ720921:DDJ720924 DNF720921:DNF720924 DXB720921:DXB720924 EGX720921:EGX720924 EQT720921:EQT720924 FAP720921:FAP720924 FKL720921:FKL720924 FUH720921:FUH720924 GED720921:GED720924 GNZ720921:GNZ720924 GXV720921:GXV720924 HHR720921:HHR720924 HRN720921:HRN720924 IBJ720921:IBJ720924 ILF720921:ILF720924 IVB720921:IVB720924 JEX720921:JEX720924 JOT720921:JOT720924 JYP720921:JYP720924 KIL720921:KIL720924 KSH720921:KSH720924 LCD720921:LCD720924 LLZ720921:LLZ720924 LVV720921:LVV720924 MFR720921:MFR720924 MPN720921:MPN720924 MZJ720921:MZJ720924 NJF720921:NJF720924 NTB720921:NTB720924 OCX720921:OCX720924 OMT720921:OMT720924 OWP720921:OWP720924 PGL720921:PGL720924 PQH720921:PQH720924 QAD720921:QAD720924 QJZ720921:QJZ720924 QTV720921:QTV720924 RDR720921:RDR720924 RNN720921:RNN720924 RXJ720921:RXJ720924 SHF720921:SHF720924 SRB720921:SRB720924 TAX720921:TAX720924 TKT720921:TKT720924 TUP720921:TUP720924 UEL720921:UEL720924 UOH720921:UOH720924 UYD720921:UYD720924 VHZ720921:VHZ720924 VRV720921:VRV720924 WBR720921:WBR720924 WLN720921:WLN720924 WVJ720921:WVJ720924 B786457:B786460 IX786457:IX786460 ST786457:ST786460 ACP786457:ACP786460 AML786457:AML786460 AWH786457:AWH786460 BGD786457:BGD786460 BPZ786457:BPZ786460 BZV786457:BZV786460 CJR786457:CJR786460 CTN786457:CTN786460 DDJ786457:DDJ786460 DNF786457:DNF786460 DXB786457:DXB786460 EGX786457:EGX786460 EQT786457:EQT786460 FAP786457:FAP786460 FKL786457:FKL786460 FUH786457:FUH786460 GED786457:GED786460 GNZ786457:GNZ786460 GXV786457:GXV786460 HHR786457:HHR786460 HRN786457:HRN786460 IBJ786457:IBJ786460 ILF786457:ILF786460 IVB786457:IVB786460 JEX786457:JEX786460 JOT786457:JOT786460 JYP786457:JYP786460 KIL786457:KIL786460 KSH786457:KSH786460 LCD786457:LCD786460 LLZ786457:LLZ786460 LVV786457:LVV786460 MFR786457:MFR786460 MPN786457:MPN786460 MZJ786457:MZJ786460 NJF786457:NJF786460 NTB786457:NTB786460 OCX786457:OCX786460 OMT786457:OMT786460 OWP786457:OWP786460 PGL786457:PGL786460 PQH786457:PQH786460 QAD786457:QAD786460 QJZ786457:QJZ786460 QTV786457:QTV786460 RDR786457:RDR786460 RNN786457:RNN786460 RXJ786457:RXJ786460 SHF786457:SHF786460 SRB786457:SRB786460 TAX786457:TAX786460 TKT786457:TKT786460 TUP786457:TUP786460 UEL786457:UEL786460 UOH786457:UOH786460 UYD786457:UYD786460 VHZ786457:VHZ786460 VRV786457:VRV786460 WBR786457:WBR786460 WLN786457:WLN786460 WVJ786457:WVJ786460 B851993:B851996 IX851993:IX851996 ST851993:ST851996 ACP851993:ACP851996 AML851993:AML851996 AWH851993:AWH851996 BGD851993:BGD851996 BPZ851993:BPZ851996 BZV851993:BZV851996 CJR851993:CJR851996 CTN851993:CTN851996 DDJ851993:DDJ851996 DNF851993:DNF851996 DXB851993:DXB851996 EGX851993:EGX851996 EQT851993:EQT851996 FAP851993:FAP851996 FKL851993:FKL851996 FUH851993:FUH851996 GED851993:GED851996 GNZ851993:GNZ851996 GXV851993:GXV851996 HHR851993:HHR851996 HRN851993:HRN851996 IBJ851993:IBJ851996 ILF851993:ILF851996 IVB851993:IVB851996 JEX851993:JEX851996 JOT851993:JOT851996 JYP851993:JYP851996 KIL851993:KIL851996 KSH851993:KSH851996 LCD851993:LCD851996 LLZ851993:LLZ851996 LVV851993:LVV851996 MFR851993:MFR851996 MPN851993:MPN851996 MZJ851993:MZJ851996 NJF851993:NJF851996 NTB851993:NTB851996 OCX851993:OCX851996 OMT851993:OMT851996 OWP851993:OWP851996 PGL851993:PGL851996 PQH851993:PQH851996 QAD851993:QAD851996 QJZ851993:QJZ851996 QTV851993:QTV851996 RDR851993:RDR851996 RNN851993:RNN851996 RXJ851993:RXJ851996 SHF851993:SHF851996 SRB851993:SRB851996 TAX851993:TAX851996 TKT851993:TKT851996 TUP851993:TUP851996 UEL851993:UEL851996 UOH851993:UOH851996 UYD851993:UYD851996 VHZ851993:VHZ851996 VRV851993:VRV851996 WBR851993:WBR851996 WLN851993:WLN851996 WVJ851993:WVJ851996 B917529:B917532 IX917529:IX917532 ST917529:ST917532 ACP917529:ACP917532 AML917529:AML917532 AWH917529:AWH917532 BGD917529:BGD917532 BPZ917529:BPZ917532 BZV917529:BZV917532 CJR917529:CJR917532 CTN917529:CTN917532 DDJ917529:DDJ917532 DNF917529:DNF917532 DXB917529:DXB917532 EGX917529:EGX917532 EQT917529:EQT917532 FAP917529:FAP917532 FKL917529:FKL917532 FUH917529:FUH917532 GED917529:GED917532 GNZ917529:GNZ917532 GXV917529:GXV917532 HHR917529:HHR917532 HRN917529:HRN917532 IBJ917529:IBJ917532 ILF917529:ILF917532 IVB917529:IVB917532 JEX917529:JEX917532 JOT917529:JOT917532 JYP917529:JYP917532 KIL917529:KIL917532 KSH917529:KSH917532 LCD917529:LCD917532 LLZ917529:LLZ917532 LVV917529:LVV917532 MFR917529:MFR917532 MPN917529:MPN917532 MZJ917529:MZJ917532 NJF917529:NJF917532 NTB917529:NTB917532 OCX917529:OCX917532 OMT917529:OMT917532 OWP917529:OWP917532 PGL917529:PGL917532 PQH917529:PQH917532 QAD917529:QAD917532 QJZ917529:QJZ917532 QTV917529:QTV917532 RDR917529:RDR917532 RNN917529:RNN917532 RXJ917529:RXJ917532 SHF917529:SHF917532 SRB917529:SRB917532 TAX917529:TAX917532 TKT917529:TKT917532 TUP917529:TUP917532 UEL917529:UEL917532 UOH917529:UOH917532 UYD917529:UYD917532 VHZ917529:VHZ917532 VRV917529:VRV917532 WBR917529:WBR917532 WLN917529:WLN917532 WVJ917529:WVJ917532 B983065:B983068 IX983065:IX983068 ST983065:ST983068 ACP983065:ACP983068 AML983065:AML983068 AWH983065:AWH983068 BGD983065:BGD983068 BPZ983065:BPZ983068 BZV983065:BZV983068 CJR983065:CJR983068 CTN983065:CTN983068 DDJ983065:DDJ983068 DNF983065:DNF983068 DXB983065:DXB983068 EGX983065:EGX983068 EQT983065:EQT983068 FAP983065:FAP983068 FKL983065:FKL983068 FUH983065:FUH983068 GED983065:GED983068 GNZ983065:GNZ983068 GXV983065:GXV983068 HHR983065:HHR983068 HRN983065:HRN983068 IBJ983065:IBJ983068 ILF983065:ILF983068 IVB983065:IVB983068 JEX983065:JEX983068 JOT983065:JOT983068 JYP983065:JYP983068 KIL983065:KIL983068 KSH983065:KSH983068 LCD983065:LCD983068 LLZ983065:LLZ983068 LVV983065:LVV983068 MFR983065:MFR983068 MPN983065:MPN983068 MZJ983065:MZJ983068 NJF983065:NJF983068 NTB983065:NTB983068 OCX983065:OCX983068 OMT983065:OMT983068 OWP983065:OWP983068 PGL983065:PGL983068 PQH983065:PQH983068 QAD983065:QAD983068 QJZ983065:QJZ983068 QTV983065:QTV983068 RDR983065:RDR983068 RNN983065:RNN983068 RXJ983065:RXJ983068 SHF983065:SHF983068 SRB983065:SRB983068 TAX983065:TAX983068 TKT983065:TKT983068 TUP983065:TUP983068 UEL983065:UEL983068 UOH983065:UOH983068 UYD983065:UYD983068 VHZ983065:VHZ983068 VRV983065:VRV983068 WBR983065:WBR983068 WLN983065:WLN983068 WVJ983065:WVJ983068">
      <formula1>$B$8:$B$8</formula1>
    </dataValidation>
  </dataValidations>
  <pageMargins left="0.19685039370078741" right="0.19685039370078741" top="0.35433070866141736" bottom="0.19685039370078741" header="0.19685039370078741" footer="0.19685039370078741"/>
  <pageSetup paperSize="9" scale="44" orientation="landscape" r:id="rId1"/>
  <headerFooter alignWithMargins="0"/>
  <rowBreaks count="1" manualBreakCount="1">
    <brk id="20" max="2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7"/>
  <sheetViews>
    <sheetView zoomScale="90" zoomScaleNormal="90" zoomScaleSheetLayoutView="90" workbookViewId="0">
      <pane ySplit="4" topLeftCell="A5" activePane="bottomLeft" state="frozen"/>
      <selection pane="bottomLeft" activeCell="F7" sqref="F7"/>
    </sheetView>
  </sheetViews>
  <sheetFormatPr defaultRowHeight="13.5"/>
  <cols>
    <col min="1" max="1" width="5.109375" style="6" customWidth="1"/>
    <col min="2" max="2" width="12.33203125" style="6" customWidth="1"/>
    <col min="3" max="3" width="9.109375" style="6" customWidth="1"/>
    <col min="4" max="4" width="17.6640625" style="1" customWidth="1"/>
    <col min="5" max="5" width="12.109375" style="1" customWidth="1"/>
    <col min="6" max="6" width="42" style="1" customWidth="1"/>
    <col min="7" max="7" width="25.109375" style="1" customWidth="1"/>
    <col min="8" max="8" width="12.21875" style="1" customWidth="1"/>
    <col min="9" max="9" width="14.21875" style="1" customWidth="1"/>
    <col min="10" max="13" width="7.6640625" style="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6" width="12.21875" style="1" customWidth="1"/>
    <col min="27" max="16384" width="8.88671875" style="1"/>
  </cols>
  <sheetData>
    <row r="1" spans="1:27" ht="29.25" customHeight="1">
      <c r="A1" s="304" t="s">
        <v>1120</v>
      </c>
      <c r="B1" s="304"/>
      <c r="C1" s="304"/>
      <c r="D1" s="304"/>
      <c r="E1" s="304"/>
      <c r="F1" s="304"/>
      <c r="G1" s="304"/>
      <c r="H1" s="304"/>
      <c r="I1" s="304"/>
      <c r="J1" s="304"/>
      <c r="K1" s="304"/>
      <c r="L1" s="304"/>
      <c r="M1" s="304"/>
      <c r="N1" s="304"/>
      <c r="O1" s="304"/>
      <c r="P1" s="304"/>
      <c r="Q1" s="304"/>
      <c r="R1" s="304"/>
      <c r="S1" s="304"/>
      <c r="T1" s="304"/>
      <c r="U1" s="304"/>
      <c r="V1" s="304"/>
      <c r="W1" s="304"/>
      <c r="X1" s="304"/>
      <c r="Y1" s="304"/>
      <c r="Z1" s="137"/>
    </row>
    <row r="2" spans="1:27"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38"/>
    </row>
    <row r="3" spans="1:27" s="2" customFormat="1" ht="51.75" customHeight="1">
      <c r="A3" s="311" t="s">
        <v>4996</v>
      </c>
      <c r="B3" s="311"/>
      <c r="C3" s="311"/>
      <c r="D3" s="311"/>
      <c r="E3" s="311"/>
      <c r="F3" s="138"/>
      <c r="G3" s="138"/>
      <c r="H3" s="138"/>
      <c r="I3" s="305" t="s">
        <v>4021</v>
      </c>
      <c r="J3" s="305"/>
      <c r="K3" s="305"/>
      <c r="L3" s="305"/>
      <c r="M3" s="305"/>
      <c r="N3" s="306" t="s">
        <v>6417</v>
      </c>
      <c r="O3" s="307"/>
      <c r="P3" s="40"/>
      <c r="Q3" s="40"/>
      <c r="R3" s="140"/>
      <c r="S3" s="140"/>
      <c r="T3" s="140"/>
      <c r="U3" s="140"/>
      <c r="V3" s="140"/>
      <c r="W3" s="312" t="s">
        <v>1121</v>
      </c>
      <c r="X3" s="312"/>
      <c r="Y3" s="312"/>
      <c r="Z3" s="140"/>
      <c r="AA3" s="17"/>
    </row>
    <row r="4" spans="1:27" ht="39.75" customHeight="1">
      <c r="A4" s="141" t="s">
        <v>1122</v>
      </c>
      <c r="B4" s="141" t="s">
        <v>1123</v>
      </c>
      <c r="C4" s="141" t="s">
        <v>1124</v>
      </c>
      <c r="D4" s="141" t="s">
        <v>1125</v>
      </c>
      <c r="E4" s="142" t="s">
        <v>1126</v>
      </c>
      <c r="F4" s="141" t="s">
        <v>55</v>
      </c>
      <c r="G4" s="142" t="s">
        <v>1127</v>
      </c>
      <c r="H4" s="142" t="s">
        <v>1128</v>
      </c>
      <c r="I4" s="142" t="s">
        <v>1129</v>
      </c>
      <c r="J4" s="142" t="s">
        <v>1130</v>
      </c>
      <c r="K4" s="142" t="s">
        <v>1131</v>
      </c>
      <c r="L4" s="142" t="s">
        <v>1132</v>
      </c>
      <c r="M4" s="142" t="s">
        <v>1133</v>
      </c>
      <c r="N4" s="142" t="s">
        <v>1134</v>
      </c>
      <c r="O4" s="142" t="s">
        <v>1135</v>
      </c>
      <c r="P4" s="142" t="s">
        <v>4971</v>
      </c>
      <c r="Q4" s="142" t="s">
        <v>42</v>
      </c>
      <c r="R4" s="143" t="s">
        <v>1136</v>
      </c>
      <c r="S4" s="143" t="s">
        <v>1137</v>
      </c>
      <c r="T4" s="143" t="s">
        <v>1138</v>
      </c>
      <c r="U4" s="143" t="s">
        <v>6415</v>
      </c>
      <c r="V4" s="143" t="s">
        <v>33</v>
      </c>
      <c r="W4" s="143" t="s">
        <v>1139</v>
      </c>
      <c r="X4" s="143" t="s">
        <v>1140</v>
      </c>
      <c r="Y4" s="143" t="s">
        <v>1141</v>
      </c>
      <c r="Z4" s="143" t="s">
        <v>34</v>
      </c>
    </row>
    <row r="5" spans="1:27" ht="107.25" customHeight="1">
      <c r="A5" s="144">
        <v>1</v>
      </c>
      <c r="B5" s="79" t="s">
        <v>1142</v>
      </c>
      <c r="C5" s="79" t="s">
        <v>3361</v>
      </c>
      <c r="D5" s="79" t="s">
        <v>1143</v>
      </c>
      <c r="E5" s="79" t="s">
        <v>1144</v>
      </c>
      <c r="F5" s="152" t="s">
        <v>1145</v>
      </c>
      <c r="G5" s="79" t="s">
        <v>1146</v>
      </c>
      <c r="H5" s="79" t="s">
        <v>1148</v>
      </c>
      <c r="I5" s="83">
        <f>SUM(J5:M5)</f>
        <v>900</v>
      </c>
      <c r="J5" s="83">
        <v>0</v>
      </c>
      <c r="K5" s="83">
        <v>900</v>
      </c>
      <c r="L5" s="83">
        <v>0</v>
      </c>
      <c r="M5" s="83">
        <v>0</v>
      </c>
      <c r="N5" s="79" t="s">
        <v>3360</v>
      </c>
      <c r="O5" s="79"/>
      <c r="P5" s="79" t="s">
        <v>1149</v>
      </c>
      <c r="Q5" s="79" t="s">
        <v>1150</v>
      </c>
      <c r="R5" s="79" t="s">
        <v>1151</v>
      </c>
      <c r="S5" s="79" t="s">
        <v>108</v>
      </c>
      <c r="T5" s="79" t="s">
        <v>1152</v>
      </c>
      <c r="U5" s="79" t="s">
        <v>1153</v>
      </c>
      <c r="V5" s="79" t="s">
        <v>1154</v>
      </c>
      <c r="W5" s="197">
        <v>150</v>
      </c>
      <c r="X5" s="197">
        <v>150</v>
      </c>
      <c r="Y5" s="83">
        <v>0</v>
      </c>
      <c r="Z5" s="79" t="s">
        <v>1155</v>
      </c>
    </row>
    <row r="6" spans="1:27" ht="38.25" customHeight="1">
      <c r="A6" s="144">
        <v>2</v>
      </c>
      <c r="B6" s="145" t="s">
        <v>1142</v>
      </c>
      <c r="C6" s="145" t="s">
        <v>3361</v>
      </c>
      <c r="D6" s="79" t="s">
        <v>1156</v>
      </c>
      <c r="E6" s="79" t="s">
        <v>1144</v>
      </c>
      <c r="F6" s="148" t="s">
        <v>1157</v>
      </c>
      <c r="G6" s="79" t="s">
        <v>1146</v>
      </c>
      <c r="H6" s="79" t="s">
        <v>1158</v>
      </c>
      <c r="I6" s="83">
        <v>80</v>
      </c>
      <c r="J6" s="83">
        <v>0</v>
      </c>
      <c r="K6" s="83">
        <v>80</v>
      </c>
      <c r="L6" s="83">
        <v>0</v>
      </c>
      <c r="M6" s="83">
        <v>0</v>
      </c>
      <c r="N6" s="79" t="s">
        <v>3357</v>
      </c>
      <c r="O6" s="79"/>
      <c r="P6" s="79" t="s">
        <v>1159</v>
      </c>
      <c r="Q6" s="79" t="s">
        <v>1160</v>
      </c>
      <c r="R6" s="79" t="s">
        <v>1161</v>
      </c>
      <c r="S6" s="79" t="s">
        <v>1162</v>
      </c>
      <c r="T6" s="79" t="s">
        <v>1152</v>
      </c>
      <c r="U6" s="79" t="s">
        <v>1163</v>
      </c>
      <c r="V6" s="79" t="s">
        <v>1154</v>
      </c>
      <c r="W6" s="83">
        <v>150</v>
      </c>
      <c r="X6" s="197">
        <v>150</v>
      </c>
      <c r="Y6" s="83">
        <v>0</v>
      </c>
      <c r="Z6" s="79" t="s">
        <v>1155</v>
      </c>
    </row>
    <row r="7" spans="1:27" ht="48">
      <c r="A7" s="144">
        <v>3</v>
      </c>
      <c r="B7" s="145" t="s">
        <v>1142</v>
      </c>
      <c r="C7" s="145" t="s">
        <v>3361</v>
      </c>
      <c r="D7" s="145" t="s">
        <v>1164</v>
      </c>
      <c r="E7" s="147" t="s">
        <v>1166</v>
      </c>
      <c r="F7" s="154" t="s">
        <v>1167</v>
      </c>
      <c r="G7" s="145" t="s">
        <v>1168</v>
      </c>
      <c r="H7" s="145" t="s">
        <v>1169</v>
      </c>
      <c r="I7" s="83">
        <v>190</v>
      </c>
      <c r="J7" s="197">
        <v>0</v>
      </c>
      <c r="K7" s="197">
        <v>190</v>
      </c>
      <c r="L7" s="197">
        <v>0</v>
      </c>
      <c r="M7" s="197">
        <v>0</v>
      </c>
      <c r="N7" s="147" t="s">
        <v>252</v>
      </c>
      <c r="O7" s="147"/>
      <c r="P7" s="147" t="s">
        <v>1170</v>
      </c>
      <c r="Q7" s="147" t="s">
        <v>1171</v>
      </c>
      <c r="R7" s="147" t="s">
        <v>1172</v>
      </c>
      <c r="S7" s="147" t="s">
        <v>1173</v>
      </c>
      <c r="T7" s="79" t="s">
        <v>1174</v>
      </c>
      <c r="U7" s="145" t="s">
        <v>3435</v>
      </c>
      <c r="V7" s="147" t="s">
        <v>1175</v>
      </c>
      <c r="W7" s="197">
        <v>29</v>
      </c>
      <c r="X7" s="197">
        <v>29</v>
      </c>
      <c r="Y7" s="83">
        <v>0</v>
      </c>
      <c r="Z7" s="79"/>
    </row>
    <row r="8" spans="1:27" ht="36.75" customHeight="1"/>
    <row r="9" spans="1:27" ht="36.75" customHeight="1"/>
    <row r="10" spans="1:27" ht="36.75" customHeight="1"/>
    <row r="11" spans="1:27" ht="36.75" customHeight="1"/>
    <row r="12" spans="1:27" s="21" customFormat="1" ht="36.75" customHeight="1">
      <c r="A12" s="18"/>
      <c r="B12" s="19" t="s">
        <v>35</v>
      </c>
      <c r="C12" s="20"/>
      <c r="D12" s="20"/>
      <c r="E12" s="20"/>
      <c r="F12" s="20"/>
      <c r="G12" s="20"/>
      <c r="H12" s="20"/>
      <c r="I12" s="20"/>
      <c r="J12" s="20"/>
      <c r="K12" s="20"/>
      <c r="L12" s="20"/>
      <c r="M12" s="20"/>
      <c r="N12" s="20"/>
      <c r="O12" s="20"/>
      <c r="P12" s="18" t="s">
        <v>1176</v>
      </c>
      <c r="Q12" s="18"/>
      <c r="R12" s="18"/>
      <c r="S12" s="20"/>
      <c r="T12" s="20"/>
      <c r="U12" s="18"/>
      <c r="V12" s="20"/>
      <c r="W12" s="20"/>
      <c r="X12" s="20"/>
      <c r="Y12" s="20"/>
      <c r="Z12" s="20"/>
    </row>
    <row r="13" spans="1:27" s="21" customFormat="1" ht="36.75" customHeight="1">
      <c r="A13" s="22"/>
      <c r="B13" s="23" t="s">
        <v>79</v>
      </c>
      <c r="C13" s="24"/>
      <c r="D13" s="24"/>
      <c r="E13" s="24"/>
      <c r="F13" s="24"/>
      <c r="G13" s="24"/>
      <c r="H13" s="24"/>
      <c r="I13" s="24"/>
      <c r="J13" s="24"/>
      <c r="K13" s="24"/>
      <c r="L13" s="24"/>
      <c r="M13" s="24"/>
      <c r="N13" s="24"/>
      <c r="O13" s="24"/>
      <c r="P13" s="22" t="s">
        <v>1177</v>
      </c>
      <c r="Q13" s="22"/>
      <c r="R13" s="22"/>
      <c r="S13" s="24"/>
      <c r="T13" s="24"/>
      <c r="U13" s="22"/>
      <c r="V13" s="24"/>
      <c r="W13" s="24"/>
      <c r="X13" s="24"/>
      <c r="Y13" s="24"/>
      <c r="Z13" s="24"/>
    </row>
    <row r="14" spans="1:27" s="21" customFormat="1" ht="36.75" customHeight="1">
      <c r="A14" s="25"/>
      <c r="B14" s="26" t="s">
        <v>1178</v>
      </c>
      <c r="P14" s="25" t="s">
        <v>1179</v>
      </c>
      <c r="Q14" s="25"/>
      <c r="R14" s="25"/>
      <c r="U14" s="25"/>
    </row>
    <row r="15" spans="1:27" s="21" customFormat="1" ht="36.75" customHeight="1">
      <c r="A15" s="25"/>
      <c r="B15" s="26" t="s">
        <v>1180</v>
      </c>
      <c r="P15" s="25" t="s">
        <v>1181</v>
      </c>
      <c r="Q15" s="25"/>
      <c r="R15" s="25"/>
      <c r="U15" s="25"/>
    </row>
    <row r="16" spans="1:27" s="21" customFormat="1" ht="36.75" customHeight="1">
      <c r="A16" s="25"/>
      <c r="B16" s="26" t="s">
        <v>1114</v>
      </c>
      <c r="P16" s="25" t="s">
        <v>1182</v>
      </c>
      <c r="Q16" s="25"/>
      <c r="R16" s="25"/>
      <c r="U16" s="25"/>
    </row>
    <row r="17" spans="1:21" s="21" customFormat="1" ht="36.75" customHeight="1">
      <c r="A17" s="25"/>
      <c r="B17" s="26" t="s">
        <v>1183</v>
      </c>
      <c r="P17" s="25" t="s">
        <v>1184</v>
      </c>
      <c r="Q17" s="25"/>
      <c r="R17" s="25"/>
      <c r="U17" s="25"/>
    </row>
    <row r="18" spans="1:21" s="21" customFormat="1" ht="26.25" customHeight="1">
      <c r="A18" s="25"/>
      <c r="B18" s="26" t="s">
        <v>1185</v>
      </c>
      <c r="P18" s="25"/>
      <c r="Q18" s="25"/>
      <c r="R18" s="25"/>
      <c r="U18" s="25"/>
    </row>
    <row r="19" spans="1:21" s="21" customFormat="1" ht="26.25" customHeight="1">
      <c r="A19" s="25"/>
      <c r="B19" s="26" t="s">
        <v>1186</v>
      </c>
      <c r="P19" s="25"/>
      <c r="Q19" s="25"/>
      <c r="R19" s="25"/>
      <c r="U19" s="25"/>
    </row>
    <row r="20" spans="1:21" s="21" customFormat="1" ht="26.25" customHeight="1">
      <c r="A20" s="25"/>
      <c r="B20" s="26" t="s">
        <v>1187</v>
      </c>
      <c r="P20" s="25"/>
      <c r="Q20" s="25"/>
      <c r="R20" s="25"/>
      <c r="U20" s="25"/>
    </row>
    <row r="21" spans="1:21" s="21" customFormat="1" ht="26.25" customHeight="1">
      <c r="A21" s="25"/>
      <c r="B21" s="26" t="s">
        <v>1188</v>
      </c>
      <c r="P21" s="25"/>
      <c r="Q21" s="25"/>
      <c r="R21" s="25"/>
      <c r="U21" s="25"/>
    </row>
    <row r="22" spans="1:21" s="21" customFormat="1" ht="26.25" customHeight="1">
      <c r="A22" s="25"/>
      <c r="B22" s="26" t="s">
        <v>1189</v>
      </c>
    </row>
    <row r="23" spans="1:21" s="21" customFormat="1" ht="26.25" customHeight="1">
      <c r="A23" s="25"/>
      <c r="B23" s="26" t="s">
        <v>1190</v>
      </c>
    </row>
    <row r="24" spans="1:21" s="21" customFormat="1" ht="26.25" customHeight="1">
      <c r="A24" s="25"/>
      <c r="B24" s="26" t="s">
        <v>1191</v>
      </c>
    </row>
    <row r="25" spans="1:21" s="21" customFormat="1" ht="26.25" customHeight="1">
      <c r="A25" s="25"/>
      <c r="B25" s="26" t="s">
        <v>1192</v>
      </c>
    </row>
    <row r="26" spans="1:21" s="2" customFormat="1" ht="26.25" customHeight="1">
      <c r="A26" s="15"/>
      <c r="B26" s="16"/>
    </row>
    <row r="27" spans="1:21" s="2" customFormat="1" ht="26.25" customHeight="1">
      <c r="A27" s="15"/>
      <c r="B27" s="16"/>
    </row>
    <row r="28" spans="1:21" s="2" customFormat="1" ht="26.25" customHeight="1">
      <c r="A28" s="15"/>
      <c r="B28" s="16"/>
    </row>
    <row r="29" spans="1:21" s="2" customFormat="1" ht="26.25" customHeight="1">
      <c r="A29" s="15"/>
      <c r="B29" s="15"/>
      <c r="C29" s="15"/>
    </row>
    <row r="30" spans="1:21" s="2" customFormat="1" ht="26.25" customHeight="1">
      <c r="A30" s="15"/>
      <c r="B30" s="15"/>
      <c r="C30" s="15"/>
    </row>
    <row r="31" spans="1:21" s="2" customFormat="1" ht="26.25" customHeight="1">
      <c r="A31" s="15"/>
      <c r="B31" s="15"/>
      <c r="C31" s="15"/>
    </row>
    <row r="32" spans="1:21" s="2" customFormat="1" ht="26.25" customHeight="1">
      <c r="A32" s="15"/>
      <c r="B32" s="15"/>
      <c r="C32" s="15"/>
    </row>
    <row r="33" spans="1:3" s="2" customFormat="1" ht="26.25" customHeight="1">
      <c r="A33" s="15"/>
      <c r="B33" s="15"/>
      <c r="C33" s="15"/>
    </row>
    <row r="34" spans="1:3" s="2" customFormat="1" ht="26.25" customHeight="1">
      <c r="A34" s="15"/>
      <c r="B34" s="15"/>
      <c r="C34" s="15"/>
    </row>
    <row r="35" spans="1:3" s="2" customFormat="1" ht="26.25" customHeight="1">
      <c r="A35" s="15"/>
      <c r="B35" s="15"/>
      <c r="C35" s="15"/>
    </row>
    <row r="36" spans="1:3" s="2" customFormat="1" ht="26.25" customHeight="1">
      <c r="A36" s="15"/>
      <c r="B36" s="15"/>
      <c r="C36" s="15"/>
    </row>
    <row r="37" spans="1:3" s="2" customFormat="1" ht="26.25" customHeight="1">
      <c r="A37" s="15"/>
      <c r="B37" s="15"/>
      <c r="C37" s="15"/>
    </row>
    <row r="38" spans="1:3" s="2" customFormat="1" ht="26.25" customHeight="1">
      <c r="A38" s="15"/>
      <c r="B38" s="15"/>
      <c r="C38" s="15"/>
    </row>
    <row r="39" spans="1:3" s="2" customFormat="1" ht="26.25" customHeight="1">
      <c r="A39" s="15"/>
      <c r="B39" s="15"/>
      <c r="C39" s="15"/>
    </row>
    <row r="40" spans="1:3" s="2" customFormat="1" ht="26.25" customHeight="1">
      <c r="A40" s="15"/>
      <c r="B40" s="15"/>
      <c r="C40" s="15"/>
    </row>
    <row r="41" spans="1:3" s="2" customFormat="1" ht="26.25" customHeight="1">
      <c r="A41" s="15"/>
      <c r="B41" s="15"/>
      <c r="C41" s="15"/>
    </row>
    <row r="42" spans="1:3" s="2" customFormat="1" ht="26.25" customHeight="1">
      <c r="A42" s="15"/>
      <c r="B42" s="15"/>
      <c r="C42" s="15"/>
    </row>
    <row r="43" spans="1:3" s="2" customFormat="1" ht="26.25" customHeight="1">
      <c r="A43" s="15"/>
      <c r="B43" s="15"/>
      <c r="C43" s="15"/>
    </row>
    <row r="44" spans="1:3" s="2" customFormat="1" ht="26.25" customHeight="1">
      <c r="A44" s="15"/>
      <c r="B44" s="15"/>
      <c r="C44" s="15"/>
    </row>
    <row r="45" spans="1:3" s="2" customFormat="1" ht="26.25" customHeight="1">
      <c r="A45" s="15"/>
      <c r="B45" s="15"/>
      <c r="C45" s="15"/>
    </row>
    <row r="46" spans="1:3" s="2" customFormat="1" ht="26.25" customHeight="1">
      <c r="A46" s="15"/>
      <c r="B46" s="15"/>
      <c r="C46" s="15"/>
    </row>
    <row r="47" spans="1:3" s="2" customFormat="1" ht="26.25" customHeight="1">
      <c r="A47" s="15"/>
      <c r="B47" s="15"/>
      <c r="C47" s="15"/>
    </row>
  </sheetData>
  <autoFilter ref="A4:Y7"/>
  <mergeCells count="5">
    <mergeCell ref="A1:Y2"/>
    <mergeCell ref="I3:M3"/>
    <mergeCell ref="N3:O3"/>
    <mergeCell ref="W3:Y3"/>
    <mergeCell ref="A3:E3"/>
  </mergeCells>
  <phoneticPr fontId="5" type="noConversion"/>
  <dataValidations count="2">
    <dataValidation type="list" allowBlank="1" showInputMessage="1" showErrorMessage="1" sqref="B5">
      <formula1>$B$12:$B$28</formula1>
    </dataValidation>
    <dataValidation type="list" allowBlank="1" showInputMessage="1" showErrorMessage="1" sqref="B6:B7">
      <formula1>#REF!</formula1>
    </dataValidation>
  </dataValidations>
  <pageMargins left="0.19685039370078741" right="0.19685039370078741" top="0.35433070866141736" bottom="0.19685039370078741" header="0.19685039370078741" footer="0.19685039370078741"/>
  <pageSetup paperSize="9" scale="44"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32"/>
  <sheetViews>
    <sheetView zoomScale="90" zoomScaleNormal="90" zoomScaleSheetLayoutView="90" workbookViewId="0">
      <pane ySplit="4" topLeftCell="A57" activePane="bottomLeft" state="frozen"/>
      <selection pane="bottomLeft" activeCell="F61" sqref="F61"/>
    </sheetView>
  </sheetViews>
  <sheetFormatPr defaultRowHeight="13.5"/>
  <cols>
    <col min="1" max="1" width="5.109375" style="6" customWidth="1"/>
    <col min="2" max="2" width="12.33203125" style="6" customWidth="1"/>
    <col min="3" max="3" width="9.109375" style="6" customWidth="1"/>
    <col min="4" max="4" width="17.6640625" style="1" customWidth="1"/>
    <col min="5" max="5" width="12.109375" style="1" customWidth="1"/>
    <col min="6" max="6" width="42" style="3" customWidth="1"/>
    <col min="7" max="7" width="25.109375" style="1" customWidth="1"/>
    <col min="8" max="8" width="12.21875" style="1" customWidth="1"/>
    <col min="9" max="9" width="14.21875" style="63" customWidth="1"/>
    <col min="10" max="13" width="7.6640625" style="63"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2" width="12.21875" style="1" customWidth="1"/>
    <col min="23" max="25" width="12.21875" style="63" customWidth="1"/>
    <col min="26" max="26" width="12.21875" style="6" customWidth="1"/>
    <col min="27" max="16384" width="8.88671875" style="1"/>
  </cols>
  <sheetData>
    <row r="1" spans="1:26" ht="29.25" customHeight="1">
      <c r="A1" s="304" t="s">
        <v>1194</v>
      </c>
      <c r="B1" s="304"/>
      <c r="C1" s="304"/>
      <c r="D1" s="304"/>
      <c r="E1" s="304"/>
      <c r="F1" s="304"/>
      <c r="G1" s="304"/>
      <c r="H1" s="304"/>
      <c r="I1" s="304"/>
      <c r="J1" s="304"/>
      <c r="K1" s="304"/>
      <c r="L1" s="304"/>
      <c r="M1" s="304"/>
      <c r="N1" s="304"/>
      <c r="O1" s="304"/>
      <c r="P1" s="304"/>
      <c r="Q1" s="304"/>
      <c r="R1" s="304"/>
      <c r="S1" s="304"/>
      <c r="T1" s="304"/>
      <c r="U1" s="304"/>
      <c r="V1" s="304"/>
      <c r="W1" s="304"/>
      <c r="X1" s="304"/>
      <c r="Y1" s="304"/>
      <c r="Z1" s="208"/>
    </row>
    <row r="2" spans="1:26"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39"/>
    </row>
    <row r="3" spans="1:26" s="57" customFormat="1" ht="58.5" customHeight="1">
      <c r="A3" s="311" t="s">
        <v>4991</v>
      </c>
      <c r="B3" s="311"/>
      <c r="C3" s="311"/>
      <c r="D3" s="311"/>
      <c r="E3" s="311"/>
      <c r="F3" s="210"/>
      <c r="G3" s="209"/>
      <c r="H3" s="209"/>
      <c r="I3" s="305" t="s">
        <v>4021</v>
      </c>
      <c r="J3" s="305"/>
      <c r="K3" s="305"/>
      <c r="L3" s="305"/>
      <c r="M3" s="305"/>
      <c r="N3" s="306" t="s">
        <v>6417</v>
      </c>
      <c r="O3" s="307"/>
      <c r="P3" s="56"/>
      <c r="Q3" s="56"/>
      <c r="R3" s="211"/>
      <c r="S3" s="211"/>
      <c r="T3" s="211"/>
      <c r="U3" s="211"/>
      <c r="V3" s="211"/>
      <c r="W3" s="317" t="s">
        <v>43</v>
      </c>
      <c r="X3" s="317"/>
      <c r="Y3" s="317"/>
      <c r="Z3" s="212"/>
    </row>
    <row r="4" spans="1:26" s="58" customFormat="1" ht="39.75" customHeight="1">
      <c r="A4" s="141" t="s">
        <v>1195</v>
      </c>
      <c r="B4" s="141" t="s">
        <v>1196</v>
      </c>
      <c r="C4" s="141" t="s">
        <v>51</v>
      </c>
      <c r="D4" s="141" t="s">
        <v>1197</v>
      </c>
      <c r="E4" s="142" t="s">
        <v>45</v>
      </c>
      <c r="F4" s="141" t="s">
        <v>55</v>
      </c>
      <c r="G4" s="142" t="s">
        <v>1198</v>
      </c>
      <c r="H4" s="142" t="s">
        <v>59</v>
      </c>
      <c r="I4" s="142" t="s">
        <v>44</v>
      </c>
      <c r="J4" s="142" t="s">
        <v>1199</v>
      </c>
      <c r="K4" s="142" t="s">
        <v>1200</v>
      </c>
      <c r="L4" s="142" t="s">
        <v>481</v>
      </c>
      <c r="M4" s="142" t="s">
        <v>39</v>
      </c>
      <c r="N4" s="142" t="s">
        <v>1201</v>
      </c>
      <c r="O4" s="142" t="s">
        <v>1202</v>
      </c>
      <c r="P4" s="142" t="s">
        <v>4971</v>
      </c>
      <c r="Q4" s="142" t="s">
        <v>1203</v>
      </c>
      <c r="R4" s="143" t="s">
        <v>1204</v>
      </c>
      <c r="S4" s="143" t="s">
        <v>1205</v>
      </c>
      <c r="T4" s="143" t="s">
        <v>32</v>
      </c>
      <c r="U4" s="143" t="s">
        <v>6415</v>
      </c>
      <c r="V4" s="143" t="s">
        <v>33</v>
      </c>
      <c r="W4" s="143" t="s">
        <v>1206</v>
      </c>
      <c r="X4" s="143" t="s">
        <v>1207</v>
      </c>
      <c r="Y4" s="143" t="s">
        <v>1208</v>
      </c>
      <c r="Z4" s="143" t="s">
        <v>1209</v>
      </c>
    </row>
    <row r="5" spans="1:26" s="58" customFormat="1" ht="132">
      <c r="A5" s="146">
        <v>1</v>
      </c>
      <c r="B5" s="146" t="s">
        <v>1210</v>
      </c>
      <c r="C5" s="84" t="s">
        <v>1211</v>
      </c>
      <c r="D5" s="84" t="s">
        <v>1212</v>
      </c>
      <c r="E5" s="84" t="s">
        <v>1213</v>
      </c>
      <c r="F5" s="154" t="s">
        <v>1214</v>
      </c>
      <c r="G5" s="84" t="s">
        <v>1215</v>
      </c>
      <c r="H5" s="84" t="s">
        <v>1216</v>
      </c>
      <c r="I5" s="213">
        <f>SUM(J5:L5)</f>
        <v>1562</v>
      </c>
      <c r="J5" s="213">
        <v>110</v>
      </c>
      <c r="K5" s="213">
        <v>55</v>
      </c>
      <c r="L5" s="213">
        <v>1397</v>
      </c>
      <c r="M5" s="213">
        <v>0</v>
      </c>
      <c r="N5" s="84" t="s">
        <v>151</v>
      </c>
      <c r="O5" s="84" t="s">
        <v>1217</v>
      </c>
      <c r="P5" s="84" t="s">
        <v>140</v>
      </c>
      <c r="Q5" s="84" t="s">
        <v>745</v>
      </c>
      <c r="R5" s="84" t="s">
        <v>1218</v>
      </c>
      <c r="S5" s="84" t="s">
        <v>845</v>
      </c>
      <c r="T5" s="84" t="s">
        <v>1219</v>
      </c>
      <c r="U5" s="84" t="s">
        <v>3441</v>
      </c>
      <c r="V5" s="84" t="s">
        <v>1220</v>
      </c>
      <c r="W5" s="213">
        <f t="shared" ref="W5:W15" si="0">SUM(X5:Y5)</f>
        <v>548</v>
      </c>
      <c r="X5" s="213">
        <v>513</v>
      </c>
      <c r="Y5" s="213">
        <v>35</v>
      </c>
      <c r="Z5" s="84" t="s">
        <v>114</v>
      </c>
    </row>
    <row r="6" spans="1:26" s="58" customFormat="1" ht="48">
      <c r="A6" s="146">
        <v>2</v>
      </c>
      <c r="B6" s="146" t="s">
        <v>40</v>
      </c>
      <c r="C6" s="146" t="s">
        <v>1221</v>
      </c>
      <c r="D6" s="84" t="s">
        <v>1222</v>
      </c>
      <c r="E6" s="84" t="s">
        <v>1223</v>
      </c>
      <c r="F6" s="154" t="s">
        <v>1224</v>
      </c>
      <c r="G6" s="84" t="s">
        <v>1225</v>
      </c>
      <c r="H6" s="84" t="s">
        <v>193</v>
      </c>
      <c r="I6" s="213">
        <f>SUM(J6:M6)</f>
        <v>1595</v>
      </c>
      <c r="J6" s="213">
        <v>320</v>
      </c>
      <c r="K6" s="213">
        <v>160</v>
      </c>
      <c r="L6" s="213">
        <v>160</v>
      </c>
      <c r="M6" s="213">
        <v>955</v>
      </c>
      <c r="N6" s="84" t="s">
        <v>1226</v>
      </c>
      <c r="O6" s="84" t="s">
        <v>426</v>
      </c>
      <c r="P6" s="84" t="s">
        <v>247</v>
      </c>
      <c r="Q6" s="84" t="s">
        <v>3373</v>
      </c>
      <c r="R6" s="84" t="s">
        <v>1227</v>
      </c>
      <c r="S6" s="84" t="s">
        <v>108</v>
      </c>
      <c r="T6" s="84" t="s">
        <v>91</v>
      </c>
      <c r="U6" s="84" t="s">
        <v>1228</v>
      </c>
      <c r="V6" s="75" t="s">
        <v>1229</v>
      </c>
      <c r="W6" s="213">
        <f t="shared" si="0"/>
        <v>71</v>
      </c>
      <c r="X6" s="213">
        <v>71</v>
      </c>
      <c r="Y6" s="213">
        <v>0</v>
      </c>
      <c r="Z6" s="84" t="s">
        <v>1230</v>
      </c>
    </row>
    <row r="7" spans="1:26" s="58" customFormat="1" ht="36">
      <c r="A7" s="146">
        <v>3</v>
      </c>
      <c r="B7" s="146" t="s">
        <v>40</v>
      </c>
      <c r="C7" s="146" t="s">
        <v>1231</v>
      </c>
      <c r="D7" s="84" t="s">
        <v>1232</v>
      </c>
      <c r="E7" s="84" t="s">
        <v>1233</v>
      </c>
      <c r="F7" s="154" t="s">
        <v>1234</v>
      </c>
      <c r="G7" s="84" t="s">
        <v>1235</v>
      </c>
      <c r="H7" s="84" t="s">
        <v>1236</v>
      </c>
      <c r="I7" s="213">
        <v>100</v>
      </c>
      <c r="J7" s="182">
        <v>0</v>
      </c>
      <c r="K7" s="182">
        <v>0</v>
      </c>
      <c r="L7" s="213">
        <v>100</v>
      </c>
      <c r="M7" s="213">
        <v>0</v>
      </c>
      <c r="N7" s="84" t="s">
        <v>3371</v>
      </c>
      <c r="O7" s="84"/>
      <c r="P7" s="84" t="s">
        <v>87</v>
      </c>
      <c r="Q7" s="84"/>
      <c r="R7" s="84" t="s">
        <v>1238</v>
      </c>
      <c r="S7" s="84" t="s">
        <v>1239</v>
      </c>
      <c r="T7" s="84" t="s">
        <v>1219</v>
      </c>
      <c r="U7" s="84" t="s">
        <v>3441</v>
      </c>
      <c r="V7" s="84" t="s">
        <v>212</v>
      </c>
      <c r="W7" s="213">
        <f t="shared" si="0"/>
        <v>40</v>
      </c>
      <c r="X7" s="213">
        <v>40</v>
      </c>
      <c r="Y7" s="213">
        <v>0</v>
      </c>
      <c r="Z7" s="84" t="s">
        <v>1240</v>
      </c>
    </row>
    <row r="8" spans="1:26" s="58" customFormat="1" ht="24">
      <c r="A8" s="146">
        <v>4</v>
      </c>
      <c r="B8" s="146" t="s">
        <v>791</v>
      </c>
      <c r="C8" s="146" t="s">
        <v>1231</v>
      </c>
      <c r="D8" s="84" t="s">
        <v>1241</v>
      </c>
      <c r="E8" s="84" t="s">
        <v>1242</v>
      </c>
      <c r="F8" s="154" t="s">
        <v>1243</v>
      </c>
      <c r="G8" s="84" t="s">
        <v>1244</v>
      </c>
      <c r="H8" s="84" t="s">
        <v>1245</v>
      </c>
      <c r="I8" s="213">
        <v>100</v>
      </c>
      <c r="J8" s="182">
        <v>0</v>
      </c>
      <c r="K8" s="182">
        <v>0</v>
      </c>
      <c r="L8" s="213">
        <v>100</v>
      </c>
      <c r="M8" s="213">
        <v>0</v>
      </c>
      <c r="N8" s="84" t="s">
        <v>3371</v>
      </c>
      <c r="O8" s="84"/>
      <c r="P8" s="84" t="s">
        <v>1246</v>
      </c>
      <c r="Q8" s="84"/>
      <c r="R8" s="84" t="s">
        <v>1247</v>
      </c>
      <c r="S8" s="84" t="s">
        <v>108</v>
      </c>
      <c r="T8" s="84" t="s">
        <v>183</v>
      </c>
      <c r="U8" s="84" t="s">
        <v>3441</v>
      </c>
      <c r="V8" s="84" t="s">
        <v>212</v>
      </c>
      <c r="W8" s="213">
        <f t="shared" si="0"/>
        <v>40</v>
      </c>
      <c r="X8" s="213">
        <v>40</v>
      </c>
      <c r="Y8" s="213">
        <v>0</v>
      </c>
      <c r="Z8" s="84" t="s">
        <v>1240</v>
      </c>
    </row>
    <row r="9" spans="1:26" s="58" customFormat="1" ht="36">
      <c r="A9" s="146">
        <v>5</v>
      </c>
      <c r="B9" s="146" t="s">
        <v>1210</v>
      </c>
      <c r="C9" s="146" t="s">
        <v>1231</v>
      </c>
      <c r="D9" s="84" t="s">
        <v>1248</v>
      </c>
      <c r="E9" s="84" t="s">
        <v>1249</v>
      </c>
      <c r="F9" s="154" t="s">
        <v>1250</v>
      </c>
      <c r="G9" s="84" t="s">
        <v>1251</v>
      </c>
      <c r="H9" s="84" t="s">
        <v>1252</v>
      </c>
      <c r="I9" s="213">
        <v>680</v>
      </c>
      <c r="J9" s="182">
        <v>0</v>
      </c>
      <c r="K9" s="213">
        <v>21</v>
      </c>
      <c r="L9" s="213">
        <v>669</v>
      </c>
      <c r="M9" s="213">
        <v>0</v>
      </c>
      <c r="N9" s="84" t="s">
        <v>3371</v>
      </c>
      <c r="O9" s="84"/>
      <c r="P9" s="84" t="s">
        <v>1246</v>
      </c>
      <c r="Q9" s="84"/>
      <c r="R9" s="84" t="s">
        <v>1253</v>
      </c>
      <c r="S9" s="84" t="s">
        <v>1239</v>
      </c>
      <c r="T9" s="84" t="s">
        <v>1254</v>
      </c>
      <c r="U9" s="84" t="s">
        <v>3441</v>
      </c>
      <c r="V9" s="84" t="s">
        <v>1220</v>
      </c>
      <c r="W9" s="213">
        <f t="shared" si="0"/>
        <v>120</v>
      </c>
      <c r="X9" s="213">
        <v>119</v>
      </c>
      <c r="Y9" s="213">
        <v>1</v>
      </c>
      <c r="Z9" s="84" t="s">
        <v>1255</v>
      </c>
    </row>
    <row r="10" spans="1:26" s="58" customFormat="1" ht="36">
      <c r="A10" s="146">
        <v>6</v>
      </c>
      <c r="B10" s="146" t="s">
        <v>40</v>
      </c>
      <c r="C10" s="146" t="s">
        <v>1231</v>
      </c>
      <c r="D10" s="84" t="s">
        <v>1256</v>
      </c>
      <c r="E10" s="84" t="s">
        <v>1257</v>
      </c>
      <c r="F10" s="154" t="s">
        <v>1258</v>
      </c>
      <c r="G10" s="84" t="s">
        <v>1259</v>
      </c>
      <c r="H10" s="84" t="s">
        <v>1260</v>
      </c>
      <c r="I10" s="213">
        <v>100</v>
      </c>
      <c r="J10" s="182">
        <v>0</v>
      </c>
      <c r="K10" s="182">
        <v>0</v>
      </c>
      <c r="L10" s="213">
        <v>100</v>
      </c>
      <c r="M10" s="213">
        <v>0</v>
      </c>
      <c r="N10" s="84" t="s">
        <v>3371</v>
      </c>
      <c r="O10" s="84"/>
      <c r="P10" s="84" t="s">
        <v>37</v>
      </c>
      <c r="Q10" s="84"/>
      <c r="R10" s="84" t="s">
        <v>1261</v>
      </c>
      <c r="S10" s="84" t="s">
        <v>1239</v>
      </c>
      <c r="T10" s="84" t="s">
        <v>1219</v>
      </c>
      <c r="U10" s="84" t="s">
        <v>3441</v>
      </c>
      <c r="V10" s="84" t="s">
        <v>1262</v>
      </c>
      <c r="W10" s="213">
        <f t="shared" si="0"/>
        <v>37</v>
      </c>
      <c r="X10" s="213">
        <v>37</v>
      </c>
      <c r="Y10" s="213">
        <v>0</v>
      </c>
      <c r="Z10" s="84" t="s">
        <v>1263</v>
      </c>
    </row>
    <row r="11" spans="1:26" s="58" customFormat="1" ht="48">
      <c r="A11" s="146">
        <v>7</v>
      </c>
      <c r="B11" s="146" t="s">
        <v>40</v>
      </c>
      <c r="C11" s="146" t="s">
        <v>1265</v>
      </c>
      <c r="D11" s="84" t="s">
        <v>1266</v>
      </c>
      <c r="E11" s="84" t="s">
        <v>734</v>
      </c>
      <c r="F11" s="104" t="s">
        <v>1267</v>
      </c>
      <c r="G11" s="75" t="s">
        <v>1268</v>
      </c>
      <c r="H11" s="75" t="s">
        <v>1269</v>
      </c>
      <c r="I11" s="213">
        <v>720</v>
      </c>
      <c r="J11" s="213">
        <v>80</v>
      </c>
      <c r="K11" s="213">
        <v>40</v>
      </c>
      <c r="L11" s="213">
        <v>600</v>
      </c>
      <c r="M11" s="213">
        <v>0</v>
      </c>
      <c r="N11" s="84" t="s">
        <v>151</v>
      </c>
      <c r="O11" s="84" t="s">
        <v>1270</v>
      </c>
      <c r="P11" s="84" t="s">
        <v>261</v>
      </c>
      <c r="Q11" s="84" t="s">
        <v>2277</v>
      </c>
      <c r="R11" s="84" t="s">
        <v>1271</v>
      </c>
      <c r="S11" s="84" t="s">
        <v>108</v>
      </c>
      <c r="T11" s="84" t="s">
        <v>183</v>
      </c>
      <c r="U11" s="84" t="s">
        <v>3441</v>
      </c>
      <c r="V11" s="84" t="s">
        <v>164</v>
      </c>
      <c r="W11" s="213">
        <f t="shared" si="0"/>
        <v>128</v>
      </c>
      <c r="X11" s="213">
        <v>128</v>
      </c>
      <c r="Y11" s="213">
        <v>0</v>
      </c>
      <c r="Z11" s="84" t="s">
        <v>1272</v>
      </c>
    </row>
    <row r="12" spans="1:26" s="58" customFormat="1" ht="48">
      <c r="A12" s="146">
        <v>8</v>
      </c>
      <c r="B12" s="146" t="s">
        <v>1210</v>
      </c>
      <c r="C12" s="146" t="s">
        <v>1264</v>
      </c>
      <c r="D12" s="84" t="s">
        <v>1273</v>
      </c>
      <c r="E12" s="84" t="s">
        <v>1274</v>
      </c>
      <c r="F12" s="104" t="s">
        <v>1275</v>
      </c>
      <c r="G12" s="75" t="s">
        <v>1276</v>
      </c>
      <c r="H12" s="75" t="s">
        <v>1277</v>
      </c>
      <c r="I12" s="213">
        <v>150</v>
      </c>
      <c r="J12" s="182">
        <v>0</v>
      </c>
      <c r="K12" s="182">
        <v>0</v>
      </c>
      <c r="L12" s="213">
        <v>150</v>
      </c>
      <c r="M12" s="213">
        <v>0</v>
      </c>
      <c r="N12" s="84" t="s">
        <v>3371</v>
      </c>
      <c r="O12" s="84"/>
      <c r="P12" s="84" t="s">
        <v>247</v>
      </c>
      <c r="Q12" s="84"/>
      <c r="R12" s="84" t="s">
        <v>1278</v>
      </c>
      <c r="S12" s="84" t="s">
        <v>108</v>
      </c>
      <c r="T12" s="84" t="s">
        <v>1279</v>
      </c>
      <c r="U12" s="84" t="s">
        <v>3390</v>
      </c>
      <c r="V12" s="84" t="s">
        <v>212</v>
      </c>
      <c r="W12" s="213">
        <f t="shared" si="0"/>
        <v>15</v>
      </c>
      <c r="X12" s="213">
        <v>15</v>
      </c>
      <c r="Y12" s="213">
        <v>0</v>
      </c>
      <c r="Z12" s="84" t="s">
        <v>114</v>
      </c>
    </row>
    <row r="13" spans="1:26" s="58" customFormat="1" ht="60">
      <c r="A13" s="146">
        <v>9</v>
      </c>
      <c r="B13" s="146" t="s">
        <v>1280</v>
      </c>
      <c r="C13" s="146" t="s">
        <v>1281</v>
      </c>
      <c r="D13" s="84" t="s">
        <v>1282</v>
      </c>
      <c r="E13" s="84" t="s">
        <v>1283</v>
      </c>
      <c r="F13" s="104" t="s">
        <v>1284</v>
      </c>
      <c r="G13" s="75" t="s">
        <v>1285</v>
      </c>
      <c r="H13" s="75" t="s">
        <v>1286</v>
      </c>
      <c r="I13" s="213">
        <v>500</v>
      </c>
      <c r="J13" s="182">
        <v>0</v>
      </c>
      <c r="K13" s="182">
        <v>0</v>
      </c>
      <c r="L13" s="213">
        <v>500</v>
      </c>
      <c r="M13" s="213">
        <v>0</v>
      </c>
      <c r="N13" s="84" t="s">
        <v>3371</v>
      </c>
      <c r="O13" s="84"/>
      <c r="P13" s="84" t="s">
        <v>247</v>
      </c>
      <c r="Q13" s="84"/>
      <c r="R13" s="84" t="s">
        <v>1287</v>
      </c>
      <c r="S13" s="84" t="s">
        <v>108</v>
      </c>
      <c r="T13" s="84" t="s">
        <v>1288</v>
      </c>
      <c r="U13" s="84" t="s">
        <v>1289</v>
      </c>
      <c r="V13" s="84" t="s">
        <v>1220</v>
      </c>
      <c r="W13" s="213">
        <f t="shared" si="0"/>
        <v>570</v>
      </c>
      <c r="X13" s="213">
        <v>570</v>
      </c>
      <c r="Y13" s="213">
        <v>0</v>
      </c>
      <c r="Z13" s="84" t="s">
        <v>1255</v>
      </c>
    </row>
    <row r="14" spans="1:26" s="58" customFormat="1" ht="60">
      <c r="A14" s="146">
        <v>10</v>
      </c>
      <c r="B14" s="102" t="s">
        <v>40</v>
      </c>
      <c r="C14" s="102" t="s">
        <v>1290</v>
      </c>
      <c r="D14" s="75" t="s">
        <v>1291</v>
      </c>
      <c r="E14" s="75" t="s">
        <v>1292</v>
      </c>
      <c r="F14" s="104" t="s">
        <v>1293</v>
      </c>
      <c r="G14" s="75" t="s">
        <v>1294</v>
      </c>
      <c r="H14" s="75" t="s">
        <v>129</v>
      </c>
      <c r="I14" s="182">
        <v>365</v>
      </c>
      <c r="J14" s="182">
        <v>0</v>
      </c>
      <c r="K14" s="182">
        <v>0</v>
      </c>
      <c r="L14" s="182">
        <v>365</v>
      </c>
      <c r="M14" s="182">
        <v>0</v>
      </c>
      <c r="N14" s="84" t="s">
        <v>3371</v>
      </c>
      <c r="O14" s="214"/>
      <c r="P14" s="75" t="s">
        <v>1295</v>
      </c>
      <c r="Q14" s="75"/>
      <c r="R14" s="75" t="s">
        <v>1296</v>
      </c>
      <c r="S14" s="75" t="s">
        <v>108</v>
      </c>
      <c r="T14" s="75" t="s">
        <v>222</v>
      </c>
      <c r="U14" s="84" t="s">
        <v>3441</v>
      </c>
      <c r="V14" s="75" t="s">
        <v>212</v>
      </c>
      <c r="W14" s="213">
        <f t="shared" si="0"/>
        <v>0</v>
      </c>
      <c r="X14" s="213">
        <v>0</v>
      </c>
      <c r="Y14" s="213">
        <v>0</v>
      </c>
      <c r="Z14" s="75" t="s">
        <v>1297</v>
      </c>
    </row>
    <row r="15" spans="1:26" s="58" customFormat="1" ht="48">
      <c r="A15" s="146">
        <v>11</v>
      </c>
      <c r="B15" s="102" t="s">
        <v>1210</v>
      </c>
      <c r="C15" s="102" t="s">
        <v>1298</v>
      </c>
      <c r="D15" s="75" t="s">
        <v>1299</v>
      </c>
      <c r="E15" s="75" t="s">
        <v>1300</v>
      </c>
      <c r="F15" s="104" t="s">
        <v>1301</v>
      </c>
      <c r="G15" s="75" t="s">
        <v>1302</v>
      </c>
      <c r="H15" s="75" t="s">
        <v>1303</v>
      </c>
      <c r="I15" s="182">
        <v>280</v>
      </c>
      <c r="J15" s="182">
        <v>0</v>
      </c>
      <c r="K15" s="182">
        <v>0</v>
      </c>
      <c r="L15" s="182">
        <v>280</v>
      </c>
      <c r="M15" s="182">
        <v>0</v>
      </c>
      <c r="N15" s="84" t="s">
        <v>3371</v>
      </c>
      <c r="O15" s="214"/>
      <c r="P15" s="75" t="s">
        <v>140</v>
      </c>
      <c r="Q15" s="75"/>
      <c r="R15" s="75" t="s">
        <v>1304</v>
      </c>
      <c r="S15" s="75" t="s">
        <v>108</v>
      </c>
      <c r="T15" s="75" t="s">
        <v>1305</v>
      </c>
      <c r="U15" s="84" t="s">
        <v>3441</v>
      </c>
      <c r="V15" s="75" t="s">
        <v>212</v>
      </c>
      <c r="W15" s="213">
        <f t="shared" si="0"/>
        <v>0</v>
      </c>
      <c r="X15" s="213">
        <v>0</v>
      </c>
      <c r="Y15" s="213">
        <v>0</v>
      </c>
      <c r="Z15" s="75" t="s">
        <v>1306</v>
      </c>
    </row>
    <row r="16" spans="1:26" s="58" customFormat="1" ht="60">
      <c r="A16" s="146">
        <v>12</v>
      </c>
      <c r="B16" s="146" t="s">
        <v>40</v>
      </c>
      <c r="C16" s="146" t="s">
        <v>1307</v>
      </c>
      <c r="D16" s="84" t="s">
        <v>1308</v>
      </c>
      <c r="E16" s="84" t="s">
        <v>1309</v>
      </c>
      <c r="F16" s="154" t="s">
        <v>3428</v>
      </c>
      <c r="G16" s="84" t="s">
        <v>1310</v>
      </c>
      <c r="H16" s="84" t="s">
        <v>1311</v>
      </c>
      <c r="I16" s="213">
        <v>600</v>
      </c>
      <c r="J16" s="182">
        <v>0</v>
      </c>
      <c r="K16" s="182">
        <v>0</v>
      </c>
      <c r="L16" s="213">
        <v>600</v>
      </c>
      <c r="M16" s="182">
        <v>0</v>
      </c>
      <c r="N16" s="84" t="s">
        <v>3371</v>
      </c>
      <c r="O16" s="84"/>
      <c r="P16" s="84" t="s">
        <v>5</v>
      </c>
      <c r="Q16" s="84"/>
      <c r="R16" s="84" t="s">
        <v>1312</v>
      </c>
      <c r="S16" s="84" t="s">
        <v>108</v>
      </c>
      <c r="T16" s="84" t="s">
        <v>222</v>
      </c>
      <c r="U16" s="84" t="s">
        <v>3391</v>
      </c>
      <c r="V16" s="84" t="s">
        <v>212</v>
      </c>
      <c r="W16" s="213">
        <v>78.3</v>
      </c>
      <c r="X16" s="213">
        <v>77.7</v>
      </c>
      <c r="Y16" s="213">
        <v>0.6</v>
      </c>
      <c r="Z16" s="84" t="s">
        <v>1313</v>
      </c>
    </row>
    <row r="17" spans="1:26" s="58" customFormat="1" ht="96">
      <c r="A17" s="146">
        <v>13</v>
      </c>
      <c r="B17" s="146" t="s">
        <v>40</v>
      </c>
      <c r="C17" s="146" t="s">
        <v>1307</v>
      </c>
      <c r="D17" s="75" t="s">
        <v>1314</v>
      </c>
      <c r="E17" s="75" t="s">
        <v>1315</v>
      </c>
      <c r="F17" s="154" t="s">
        <v>1316</v>
      </c>
      <c r="G17" s="75" t="s">
        <v>1317</v>
      </c>
      <c r="H17" s="75" t="s">
        <v>1318</v>
      </c>
      <c r="I17" s="213">
        <v>200</v>
      </c>
      <c r="J17" s="182">
        <v>0</v>
      </c>
      <c r="K17" s="182">
        <v>0</v>
      </c>
      <c r="L17" s="213">
        <v>200</v>
      </c>
      <c r="M17" s="182">
        <v>0</v>
      </c>
      <c r="N17" s="84" t="s">
        <v>3371</v>
      </c>
      <c r="O17" s="84"/>
      <c r="P17" s="84" t="s">
        <v>1319</v>
      </c>
      <c r="Q17" s="84"/>
      <c r="R17" s="84" t="s">
        <v>1320</v>
      </c>
      <c r="S17" s="75" t="s">
        <v>1321</v>
      </c>
      <c r="T17" s="75" t="s">
        <v>183</v>
      </c>
      <c r="U17" s="84" t="s">
        <v>3441</v>
      </c>
      <c r="V17" s="75" t="s">
        <v>212</v>
      </c>
      <c r="W17" s="213">
        <v>25</v>
      </c>
      <c r="X17" s="213">
        <v>25</v>
      </c>
      <c r="Y17" s="213">
        <v>0</v>
      </c>
      <c r="Z17" s="84" t="s">
        <v>1322</v>
      </c>
    </row>
    <row r="18" spans="1:26" s="58" customFormat="1" ht="24">
      <c r="A18" s="146">
        <v>14</v>
      </c>
      <c r="B18" s="146" t="s">
        <v>1210</v>
      </c>
      <c r="C18" s="146" t="s">
        <v>1307</v>
      </c>
      <c r="D18" s="75" t="s">
        <v>1323</v>
      </c>
      <c r="E18" s="75" t="s">
        <v>1324</v>
      </c>
      <c r="F18" s="154" t="s">
        <v>1325</v>
      </c>
      <c r="G18" s="75" t="s">
        <v>1326</v>
      </c>
      <c r="H18" s="75" t="s">
        <v>1327</v>
      </c>
      <c r="I18" s="213">
        <v>150</v>
      </c>
      <c r="J18" s="182">
        <v>0</v>
      </c>
      <c r="K18" s="182">
        <v>0</v>
      </c>
      <c r="L18" s="213">
        <v>150</v>
      </c>
      <c r="M18" s="182">
        <v>0</v>
      </c>
      <c r="N18" s="84" t="s">
        <v>3371</v>
      </c>
      <c r="O18" s="84"/>
      <c r="P18" s="84" t="s">
        <v>140</v>
      </c>
      <c r="Q18" s="84"/>
      <c r="R18" s="84" t="s">
        <v>1328</v>
      </c>
      <c r="S18" s="75" t="s">
        <v>108</v>
      </c>
      <c r="T18" s="75" t="s">
        <v>1305</v>
      </c>
      <c r="U18" s="84" t="s">
        <v>3441</v>
      </c>
      <c r="V18" s="75" t="s">
        <v>323</v>
      </c>
      <c r="W18" s="213">
        <v>46</v>
      </c>
      <c r="X18" s="213">
        <v>46</v>
      </c>
      <c r="Y18" s="213">
        <v>0</v>
      </c>
      <c r="Z18" s="84" t="s">
        <v>1329</v>
      </c>
    </row>
    <row r="19" spans="1:26" s="58" customFormat="1" ht="48">
      <c r="A19" s="146">
        <v>15</v>
      </c>
      <c r="B19" s="146" t="s">
        <v>40</v>
      </c>
      <c r="C19" s="146" t="s">
        <v>1330</v>
      </c>
      <c r="D19" s="84" t="s">
        <v>1331</v>
      </c>
      <c r="E19" s="84" t="s">
        <v>1332</v>
      </c>
      <c r="F19" s="154" t="s">
        <v>1333</v>
      </c>
      <c r="G19" s="84" t="s">
        <v>1334</v>
      </c>
      <c r="H19" s="84">
        <v>2000</v>
      </c>
      <c r="I19" s="213"/>
      <c r="J19" s="182">
        <v>0</v>
      </c>
      <c r="K19" s="213">
        <v>150</v>
      </c>
      <c r="L19" s="182">
        <v>0</v>
      </c>
      <c r="M19" s="182">
        <v>0</v>
      </c>
      <c r="N19" s="84" t="s">
        <v>3371</v>
      </c>
      <c r="O19" s="84"/>
      <c r="P19" s="84" t="s">
        <v>261</v>
      </c>
      <c r="Q19" s="84"/>
      <c r="R19" s="84" t="s">
        <v>1335</v>
      </c>
      <c r="S19" s="84" t="s">
        <v>1239</v>
      </c>
      <c r="T19" s="84" t="s">
        <v>1219</v>
      </c>
      <c r="U19" s="84" t="s">
        <v>3377</v>
      </c>
      <c r="V19" s="84" t="s">
        <v>94</v>
      </c>
      <c r="W19" s="213">
        <f>SUM(X19:Y19)</f>
        <v>203</v>
      </c>
      <c r="X19" s="213">
        <v>200</v>
      </c>
      <c r="Y19" s="213">
        <v>3</v>
      </c>
      <c r="Z19" s="84" t="s">
        <v>756</v>
      </c>
    </row>
    <row r="20" spans="1:26" s="58" customFormat="1" ht="36">
      <c r="A20" s="146">
        <v>16</v>
      </c>
      <c r="B20" s="102" t="s">
        <v>40</v>
      </c>
      <c r="C20" s="102" t="s">
        <v>1330</v>
      </c>
      <c r="D20" s="75" t="s">
        <v>1336</v>
      </c>
      <c r="E20" s="75" t="s">
        <v>1337</v>
      </c>
      <c r="F20" s="104" t="s">
        <v>1338</v>
      </c>
      <c r="G20" s="75" t="s">
        <v>1339</v>
      </c>
      <c r="H20" s="75" t="s">
        <v>1340</v>
      </c>
      <c r="I20" s="182">
        <f>SUBTOTAL(9,J20:M20)</f>
        <v>873</v>
      </c>
      <c r="J20" s="182">
        <v>0</v>
      </c>
      <c r="K20" s="182">
        <v>0</v>
      </c>
      <c r="L20" s="182">
        <v>575</v>
      </c>
      <c r="M20" s="182">
        <v>298</v>
      </c>
      <c r="N20" s="84" t="s">
        <v>3371</v>
      </c>
      <c r="O20" s="215"/>
      <c r="P20" s="75" t="s">
        <v>1341</v>
      </c>
      <c r="Q20" s="75"/>
      <c r="R20" s="84" t="s">
        <v>1342</v>
      </c>
      <c r="S20" s="84" t="s">
        <v>1239</v>
      </c>
      <c r="T20" s="75" t="s">
        <v>1305</v>
      </c>
      <c r="U20" s="84" t="s">
        <v>3377</v>
      </c>
      <c r="V20" s="216" t="s">
        <v>1262</v>
      </c>
      <c r="W20" s="213">
        <v>418</v>
      </c>
      <c r="X20" s="213">
        <v>418</v>
      </c>
      <c r="Y20" s="213">
        <v>0</v>
      </c>
      <c r="Z20" s="84" t="s">
        <v>4980</v>
      </c>
    </row>
    <row r="21" spans="1:26" s="58" customFormat="1" ht="24">
      <c r="A21" s="146">
        <v>17</v>
      </c>
      <c r="B21" s="146" t="s">
        <v>1343</v>
      </c>
      <c r="C21" s="146" t="s">
        <v>1344</v>
      </c>
      <c r="D21" s="84" t="s">
        <v>1345</v>
      </c>
      <c r="E21" s="84" t="s">
        <v>1346</v>
      </c>
      <c r="F21" s="154" t="s">
        <v>1347</v>
      </c>
      <c r="G21" s="84" t="s">
        <v>1348</v>
      </c>
      <c r="H21" s="84" t="s">
        <v>1349</v>
      </c>
      <c r="I21" s="213">
        <v>40</v>
      </c>
      <c r="J21" s="182">
        <v>0</v>
      </c>
      <c r="K21" s="182">
        <v>0</v>
      </c>
      <c r="L21" s="213">
        <v>40</v>
      </c>
      <c r="M21" s="182">
        <v>0</v>
      </c>
      <c r="N21" s="84" t="s">
        <v>3371</v>
      </c>
      <c r="O21" s="84"/>
      <c r="P21" s="84" t="s">
        <v>436</v>
      </c>
      <c r="Q21" s="84"/>
      <c r="R21" s="84" t="s">
        <v>1350</v>
      </c>
      <c r="S21" s="84" t="s">
        <v>108</v>
      </c>
      <c r="T21" s="84" t="s">
        <v>1351</v>
      </c>
      <c r="U21" s="84" t="s">
        <v>3441</v>
      </c>
      <c r="V21" s="84" t="s">
        <v>284</v>
      </c>
      <c r="W21" s="213">
        <v>35</v>
      </c>
      <c r="X21" s="213">
        <v>35</v>
      </c>
      <c r="Y21" s="213">
        <v>0</v>
      </c>
      <c r="Z21" s="84" t="s">
        <v>1352</v>
      </c>
    </row>
    <row r="22" spans="1:26" s="58" customFormat="1" ht="72">
      <c r="A22" s="146">
        <v>18</v>
      </c>
      <c r="B22" s="146" t="s">
        <v>1210</v>
      </c>
      <c r="C22" s="146" t="s">
        <v>1353</v>
      </c>
      <c r="D22" s="84" t="s">
        <v>1354</v>
      </c>
      <c r="E22" s="84" t="s">
        <v>1355</v>
      </c>
      <c r="F22" s="154" t="s">
        <v>1356</v>
      </c>
      <c r="G22" s="84" t="s">
        <v>1357</v>
      </c>
      <c r="H22" s="84" t="s">
        <v>1035</v>
      </c>
      <c r="I22" s="213">
        <v>75</v>
      </c>
      <c r="J22" s="182">
        <v>0</v>
      </c>
      <c r="K22" s="213">
        <v>75</v>
      </c>
      <c r="L22" s="182">
        <v>0</v>
      </c>
      <c r="M22" s="182">
        <v>0</v>
      </c>
      <c r="N22" s="84" t="s">
        <v>3371</v>
      </c>
      <c r="O22" s="84"/>
      <c r="P22" s="84" t="s">
        <v>1295</v>
      </c>
      <c r="Q22" s="84"/>
      <c r="R22" s="84" t="s">
        <v>1358</v>
      </c>
      <c r="S22" s="84" t="s">
        <v>1239</v>
      </c>
      <c r="T22" s="84" t="s">
        <v>1219</v>
      </c>
      <c r="U22" s="84" t="s">
        <v>3377</v>
      </c>
      <c r="V22" s="84" t="s">
        <v>1220</v>
      </c>
      <c r="W22" s="213">
        <f>SUM(X22:Y22)</f>
        <v>5</v>
      </c>
      <c r="X22" s="213">
        <v>4.5</v>
      </c>
      <c r="Y22" s="213">
        <v>0.5</v>
      </c>
      <c r="Z22" s="84" t="s">
        <v>1255</v>
      </c>
    </row>
    <row r="23" spans="1:26" s="58" customFormat="1" ht="48">
      <c r="A23" s="146">
        <v>19</v>
      </c>
      <c r="B23" s="146" t="s">
        <v>791</v>
      </c>
      <c r="C23" s="146" t="s">
        <v>1359</v>
      </c>
      <c r="D23" s="84" t="s">
        <v>1360</v>
      </c>
      <c r="E23" s="84" t="s">
        <v>1361</v>
      </c>
      <c r="F23" s="154" t="s">
        <v>1362</v>
      </c>
      <c r="G23" s="84" t="s">
        <v>1363</v>
      </c>
      <c r="H23" s="84" t="s">
        <v>1364</v>
      </c>
      <c r="I23" s="213">
        <f>SUM(J23:M23)</f>
        <v>180</v>
      </c>
      <c r="J23" s="182">
        <v>0</v>
      </c>
      <c r="K23" s="182">
        <v>0</v>
      </c>
      <c r="L23" s="213">
        <v>150</v>
      </c>
      <c r="M23" s="213">
        <v>30</v>
      </c>
      <c r="N23" s="84" t="s">
        <v>3371</v>
      </c>
      <c r="O23" s="84"/>
      <c r="P23" s="84" t="s">
        <v>1365</v>
      </c>
      <c r="Q23" s="84"/>
      <c r="R23" s="84" t="s">
        <v>1366</v>
      </c>
      <c r="S23" s="84" t="s">
        <v>1367</v>
      </c>
      <c r="T23" s="84" t="s">
        <v>1368</v>
      </c>
      <c r="U23" s="84" t="s">
        <v>3441</v>
      </c>
      <c r="V23" s="84" t="s">
        <v>1262</v>
      </c>
      <c r="W23" s="213">
        <f>SUM(X23:Y23)</f>
        <v>105</v>
      </c>
      <c r="X23" s="213">
        <v>100</v>
      </c>
      <c r="Y23" s="213">
        <v>5</v>
      </c>
      <c r="Z23" s="84" t="s">
        <v>1370</v>
      </c>
    </row>
    <row r="24" spans="1:26" s="58" customFormat="1" ht="60">
      <c r="A24" s="146">
        <v>20</v>
      </c>
      <c r="B24" s="146" t="s">
        <v>791</v>
      </c>
      <c r="C24" s="146" t="s">
        <v>1371</v>
      </c>
      <c r="D24" s="84" t="s">
        <v>1372</v>
      </c>
      <c r="E24" s="84" t="s">
        <v>1373</v>
      </c>
      <c r="F24" s="154" t="s">
        <v>1374</v>
      </c>
      <c r="G24" s="84" t="s">
        <v>1375</v>
      </c>
      <c r="H24" s="84" t="s">
        <v>1376</v>
      </c>
      <c r="I24" s="213">
        <v>700</v>
      </c>
      <c r="J24" s="213">
        <v>200</v>
      </c>
      <c r="K24" s="213">
        <v>100</v>
      </c>
      <c r="L24" s="213">
        <v>400</v>
      </c>
      <c r="M24" s="182">
        <v>0</v>
      </c>
      <c r="N24" s="84" t="s">
        <v>1377</v>
      </c>
      <c r="O24" s="84" t="s">
        <v>1378</v>
      </c>
      <c r="P24" s="84" t="s">
        <v>1181</v>
      </c>
      <c r="Q24" s="84" t="s">
        <v>3374</v>
      </c>
      <c r="R24" s="84" t="s">
        <v>1379</v>
      </c>
      <c r="S24" s="84" t="s">
        <v>1367</v>
      </c>
      <c r="T24" s="84" t="s">
        <v>1254</v>
      </c>
      <c r="U24" s="84" t="s">
        <v>3377</v>
      </c>
      <c r="V24" s="84" t="s">
        <v>164</v>
      </c>
      <c r="W24" s="213">
        <v>412</v>
      </c>
      <c r="X24" s="213">
        <v>405</v>
      </c>
      <c r="Y24" s="213">
        <v>7</v>
      </c>
      <c r="Z24" s="84" t="s">
        <v>1380</v>
      </c>
    </row>
    <row r="25" spans="1:26" s="58" customFormat="1" ht="60">
      <c r="A25" s="146">
        <v>21</v>
      </c>
      <c r="B25" s="146" t="s">
        <v>791</v>
      </c>
      <c r="C25" s="146" t="s">
        <v>1381</v>
      </c>
      <c r="D25" s="84" t="s">
        <v>1382</v>
      </c>
      <c r="E25" s="84" t="s">
        <v>1383</v>
      </c>
      <c r="F25" s="154" t="s">
        <v>1384</v>
      </c>
      <c r="G25" s="84" t="s">
        <v>1385</v>
      </c>
      <c r="H25" s="84" t="s">
        <v>1387</v>
      </c>
      <c r="I25" s="213">
        <v>260</v>
      </c>
      <c r="J25" s="182">
        <v>0</v>
      </c>
      <c r="K25" s="182">
        <v>0</v>
      </c>
      <c r="L25" s="213">
        <v>98</v>
      </c>
      <c r="M25" s="213">
        <v>162</v>
      </c>
      <c r="N25" s="84" t="s">
        <v>3371</v>
      </c>
      <c r="O25" s="84"/>
      <c r="P25" s="84" t="s">
        <v>1341</v>
      </c>
      <c r="Q25" s="84"/>
      <c r="R25" s="84" t="s">
        <v>1389</v>
      </c>
      <c r="S25" s="84" t="s">
        <v>312</v>
      </c>
      <c r="T25" s="84" t="s">
        <v>1390</v>
      </c>
      <c r="U25" s="84" t="s">
        <v>3441</v>
      </c>
      <c r="V25" s="84" t="s">
        <v>466</v>
      </c>
      <c r="W25" s="213">
        <f>SUM(X25:Y25)</f>
        <v>15.2</v>
      </c>
      <c r="X25" s="213">
        <v>14.2</v>
      </c>
      <c r="Y25" s="213">
        <v>1</v>
      </c>
      <c r="Z25" s="146"/>
    </row>
    <row r="26" spans="1:26" s="58" customFormat="1" ht="48">
      <c r="A26" s="146">
        <v>22</v>
      </c>
      <c r="B26" s="146" t="s">
        <v>791</v>
      </c>
      <c r="C26" s="146" t="s">
        <v>1391</v>
      </c>
      <c r="D26" s="84" t="s">
        <v>1392</v>
      </c>
      <c r="E26" s="84" t="s">
        <v>1393</v>
      </c>
      <c r="F26" s="154" t="s">
        <v>4981</v>
      </c>
      <c r="G26" s="84" t="s">
        <v>1394</v>
      </c>
      <c r="H26" s="84" t="s">
        <v>1395</v>
      </c>
      <c r="I26" s="213">
        <v>120</v>
      </c>
      <c r="J26" s="182">
        <v>0</v>
      </c>
      <c r="K26" s="213">
        <v>120</v>
      </c>
      <c r="L26" s="182">
        <v>0</v>
      </c>
      <c r="M26" s="182">
        <v>0</v>
      </c>
      <c r="N26" s="84" t="s">
        <v>3371</v>
      </c>
      <c r="O26" s="84"/>
      <c r="P26" s="84" t="s">
        <v>1396</v>
      </c>
      <c r="Q26" s="84"/>
      <c r="R26" s="84" t="s">
        <v>1397</v>
      </c>
      <c r="S26" s="84" t="s">
        <v>845</v>
      </c>
      <c r="T26" s="84" t="s">
        <v>1398</v>
      </c>
      <c r="U26" s="84" t="s">
        <v>3441</v>
      </c>
      <c r="V26" s="84" t="s">
        <v>1399</v>
      </c>
      <c r="W26" s="213">
        <f>SUM(X26:Y26)</f>
        <v>31</v>
      </c>
      <c r="X26" s="213">
        <v>31</v>
      </c>
      <c r="Y26" s="213">
        <v>0</v>
      </c>
      <c r="Z26" s="84" t="s">
        <v>1400</v>
      </c>
    </row>
    <row r="27" spans="1:26" s="58" customFormat="1" ht="36">
      <c r="A27" s="146">
        <v>23</v>
      </c>
      <c r="B27" s="146" t="s">
        <v>791</v>
      </c>
      <c r="C27" s="146" t="s">
        <v>1401</v>
      </c>
      <c r="D27" s="84" t="s">
        <v>1402</v>
      </c>
      <c r="E27" s="84" t="s">
        <v>1403</v>
      </c>
      <c r="F27" s="154" t="s">
        <v>1404</v>
      </c>
      <c r="G27" s="84" t="s">
        <v>1405</v>
      </c>
      <c r="H27" s="84" t="s">
        <v>1406</v>
      </c>
      <c r="I27" s="213">
        <v>213</v>
      </c>
      <c r="J27" s="213">
        <v>170</v>
      </c>
      <c r="K27" s="213">
        <v>13</v>
      </c>
      <c r="L27" s="213">
        <v>30</v>
      </c>
      <c r="M27" s="182">
        <v>0</v>
      </c>
      <c r="N27" s="84" t="s">
        <v>1407</v>
      </c>
      <c r="O27" s="84" t="s">
        <v>1408</v>
      </c>
      <c r="P27" s="84" t="s">
        <v>436</v>
      </c>
      <c r="Q27" s="84"/>
      <c r="R27" s="84" t="s">
        <v>1409</v>
      </c>
      <c r="S27" s="84" t="s">
        <v>312</v>
      </c>
      <c r="T27" s="84" t="s">
        <v>1410</v>
      </c>
      <c r="U27" s="84" t="s">
        <v>294</v>
      </c>
      <c r="V27" s="84" t="s">
        <v>466</v>
      </c>
      <c r="W27" s="213">
        <v>4.7</v>
      </c>
      <c r="X27" s="213">
        <v>4.5</v>
      </c>
      <c r="Y27" s="213">
        <v>0</v>
      </c>
      <c r="Z27" s="84" t="s">
        <v>1411</v>
      </c>
    </row>
    <row r="28" spans="1:26" s="58" customFormat="1" ht="24">
      <c r="A28" s="146">
        <v>24</v>
      </c>
      <c r="B28" s="102" t="s">
        <v>1210</v>
      </c>
      <c r="C28" s="102" t="s">
        <v>1413</v>
      </c>
      <c r="D28" s="75" t="s">
        <v>1414</v>
      </c>
      <c r="E28" s="75" t="s">
        <v>1415</v>
      </c>
      <c r="F28" s="104" t="s">
        <v>1416</v>
      </c>
      <c r="G28" s="75" t="s">
        <v>1417</v>
      </c>
      <c r="H28" s="75" t="s">
        <v>1418</v>
      </c>
      <c r="I28" s="213">
        <f>SUM(J28:M28)</f>
        <v>53</v>
      </c>
      <c r="J28" s="182">
        <v>0</v>
      </c>
      <c r="K28" s="182">
        <v>0</v>
      </c>
      <c r="L28" s="213">
        <v>8</v>
      </c>
      <c r="M28" s="213">
        <v>45</v>
      </c>
      <c r="N28" s="84" t="s">
        <v>3371</v>
      </c>
      <c r="O28" s="217"/>
      <c r="P28" s="75" t="s">
        <v>1159</v>
      </c>
      <c r="Q28" s="75"/>
      <c r="R28" s="75" t="s">
        <v>1419</v>
      </c>
      <c r="S28" s="75" t="s">
        <v>1239</v>
      </c>
      <c r="T28" s="75" t="s">
        <v>1420</v>
      </c>
      <c r="U28" s="84" t="s">
        <v>3441</v>
      </c>
      <c r="V28" s="84" t="s">
        <v>1220</v>
      </c>
      <c r="W28" s="213">
        <f>SUM(X28:Y28)</f>
        <v>75</v>
      </c>
      <c r="X28" s="213">
        <v>75</v>
      </c>
      <c r="Y28" s="86">
        <v>0</v>
      </c>
      <c r="Z28" s="84" t="s">
        <v>1421</v>
      </c>
    </row>
    <row r="29" spans="1:26" s="58" customFormat="1" ht="36">
      <c r="A29" s="146">
        <v>25</v>
      </c>
      <c r="B29" s="102" t="s">
        <v>791</v>
      </c>
      <c r="C29" s="102" t="s">
        <v>1422</v>
      </c>
      <c r="D29" s="75" t="s">
        <v>1423</v>
      </c>
      <c r="E29" s="75" t="s">
        <v>1415</v>
      </c>
      <c r="F29" s="104" t="s">
        <v>1424</v>
      </c>
      <c r="G29" s="75" t="s">
        <v>1425</v>
      </c>
      <c r="H29" s="75" t="s">
        <v>1376</v>
      </c>
      <c r="I29" s="213">
        <f>SUM(J29:M29)</f>
        <v>53</v>
      </c>
      <c r="J29" s="182">
        <v>0</v>
      </c>
      <c r="K29" s="182">
        <v>0</v>
      </c>
      <c r="L29" s="213">
        <v>8</v>
      </c>
      <c r="M29" s="213">
        <v>45</v>
      </c>
      <c r="N29" s="84" t="s">
        <v>3371</v>
      </c>
      <c r="O29" s="217"/>
      <c r="P29" s="75" t="s">
        <v>1426</v>
      </c>
      <c r="Q29" s="75"/>
      <c r="R29" s="75" t="s">
        <v>1419</v>
      </c>
      <c r="S29" s="75" t="s">
        <v>1239</v>
      </c>
      <c r="T29" s="75" t="s">
        <v>1219</v>
      </c>
      <c r="U29" s="84" t="s">
        <v>3441</v>
      </c>
      <c r="V29" s="84" t="s">
        <v>1220</v>
      </c>
      <c r="W29" s="213">
        <f t="shared" ref="W29:W31" si="1">SUM(X29:Y29)</f>
        <v>43</v>
      </c>
      <c r="X29" s="213">
        <v>43</v>
      </c>
      <c r="Y29" s="86">
        <v>0</v>
      </c>
      <c r="Z29" s="84" t="s">
        <v>1427</v>
      </c>
    </row>
    <row r="30" spans="1:26" s="58" customFormat="1" ht="60">
      <c r="A30" s="146">
        <v>26</v>
      </c>
      <c r="B30" s="102" t="s">
        <v>40</v>
      </c>
      <c r="C30" s="102" t="s">
        <v>1422</v>
      </c>
      <c r="D30" s="75" t="s">
        <v>1428</v>
      </c>
      <c r="E30" s="75" t="s">
        <v>1429</v>
      </c>
      <c r="F30" s="104" t="s">
        <v>1430</v>
      </c>
      <c r="G30" s="75" t="s">
        <v>1431</v>
      </c>
      <c r="H30" s="75" t="s">
        <v>1432</v>
      </c>
      <c r="I30" s="182">
        <v>360</v>
      </c>
      <c r="J30" s="182">
        <v>0</v>
      </c>
      <c r="K30" s="182">
        <v>0</v>
      </c>
      <c r="L30" s="182">
        <v>360</v>
      </c>
      <c r="M30" s="182">
        <v>0</v>
      </c>
      <c r="N30" s="84" t="s">
        <v>3371</v>
      </c>
      <c r="O30" s="217"/>
      <c r="P30" s="75" t="s">
        <v>140</v>
      </c>
      <c r="Q30" s="75"/>
      <c r="R30" s="75" t="s">
        <v>1433</v>
      </c>
      <c r="S30" s="75" t="s">
        <v>108</v>
      </c>
      <c r="T30" s="75" t="s">
        <v>1434</v>
      </c>
      <c r="U30" s="84" t="s">
        <v>3441</v>
      </c>
      <c r="V30" s="75" t="s">
        <v>1262</v>
      </c>
      <c r="W30" s="213">
        <f t="shared" si="1"/>
        <v>104</v>
      </c>
      <c r="X30" s="213">
        <v>104</v>
      </c>
      <c r="Y30" s="86">
        <v>0</v>
      </c>
      <c r="Z30" s="75" t="s">
        <v>1435</v>
      </c>
    </row>
    <row r="31" spans="1:26" s="58" customFormat="1" ht="60">
      <c r="A31" s="146">
        <v>27</v>
      </c>
      <c r="B31" s="146" t="s">
        <v>1210</v>
      </c>
      <c r="C31" s="146" t="s">
        <v>1412</v>
      </c>
      <c r="D31" s="84" t="s">
        <v>1436</v>
      </c>
      <c r="E31" s="84" t="s">
        <v>1437</v>
      </c>
      <c r="F31" s="154" t="s">
        <v>1438</v>
      </c>
      <c r="G31" s="84" t="s">
        <v>1439</v>
      </c>
      <c r="H31" s="84" t="s">
        <v>290</v>
      </c>
      <c r="I31" s="213">
        <v>4510</v>
      </c>
      <c r="J31" s="213">
        <v>700</v>
      </c>
      <c r="K31" s="213">
        <v>700</v>
      </c>
      <c r="L31" s="213">
        <v>2400</v>
      </c>
      <c r="M31" s="213">
        <v>710</v>
      </c>
      <c r="N31" s="84" t="s">
        <v>3372</v>
      </c>
      <c r="O31" s="217" t="s">
        <v>1440</v>
      </c>
      <c r="P31" s="84" t="s">
        <v>247</v>
      </c>
      <c r="Q31" s="84"/>
      <c r="R31" s="84" t="s">
        <v>1441</v>
      </c>
      <c r="S31" s="84" t="s">
        <v>108</v>
      </c>
      <c r="T31" s="84" t="s">
        <v>91</v>
      </c>
      <c r="U31" s="84" t="s">
        <v>1442</v>
      </c>
      <c r="V31" s="84" t="s">
        <v>94</v>
      </c>
      <c r="W31" s="213">
        <f t="shared" si="1"/>
        <v>445</v>
      </c>
      <c r="X31" s="213">
        <v>445</v>
      </c>
      <c r="Y31" s="86">
        <v>0</v>
      </c>
      <c r="Z31" s="84" t="s">
        <v>1443</v>
      </c>
    </row>
    <row r="32" spans="1:26" s="58" customFormat="1" ht="48">
      <c r="A32" s="146">
        <v>28</v>
      </c>
      <c r="B32" s="146" t="s">
        <v>40</v>
      </c>
      <c r="C32" s="146" t="s">
        <v>1412</v>
      </c>
      <c r="D32" s="84" t="s">
        <v>1444</v>
      </c>
      <c r="E32" s="84" t="s">
        <v>1445</v>
      </c>
      <c r="F32" s="104" t="s">
        <v>1446</v>
      </c>
      <c r="G32" s="75" t="s">
        <v>1447</v>
      </c>
      <c r="H32" s="75" t="s">
        <v>1448</v>
      </c>
      <c r="I32" s="213">
        <f>SUM(J32:M32)</f>
        <v>610</v>
      </c>
      <c r="J32" s="182">
        <v>0</v>
      </c>
      <c r="K32" s="182">
        <v>0</v>
      </c>
      <c r="L32" s="213">
        <v>500</v>
      </c>
      <c r="M32" s="213">
        <v>110</v>
      </c>
      <c r="N32" s="84" t="s">
        <v>3371</v>
      </c>
      <c r="O32" s="217"/>
      <c r="P32" s="84" t="s">
        <v>247</v>
      </c>
      <c r="Q32" s="84"/>
      <c r="R32" s="84" t="s">
        <v>1449</v>
      </c>
      <c r="S32" s="84" t="s">
        <v>108</v>
      </c>
      <c r="T32" s="84" t="s">
        <v>385</v>
      </c>
      <c r="U32" s="84" t="s">
        <v>3378</v>
      </c>
      <c r="V32" s="84" t="s">
        <v>94</v>
      </c>
      <c r="W32" s="213">
        <f>SUM(X32:Y32)</f>
        <v>97</v>
      </c>
      <c r="X32" s="213">
        <v>97</v>
      </c>
      <c r="Y32" s="86">
        <v>0</v>
      </c>
      <c r="Z32" s="84" t="s">
        <v>1450</v>
      </c>
    </row>
    <row r="33" spans="1:26" s="58" customFormat="1" ht="48">
      <c r="A33" s="146">
        <v>29</v>
      </c>
      <c r="B33" s="146" t="s">
        <v>1343</v>
      </c>
      <c r="C33" s="146" t="s">
        <v>1451</v>
      </c>
      <c r="D33" s="84" t="s">
        <v>1452</v>
      </c>
      <c r="E33" s="84" t="s">
        <v>1453</v>
      </c>
      <c r="F33" s="154" t="s">
        <v>1454</v>
      </c>
      <c r="G33" s="84" t="s">
        <v>1455</v>
      </c>
      <c r="H33" s="84" t="s">
        <v>1456</v>
      </c>
      <c r="I33" s="218">
        <v>1393</v>
      </c>
      <c r="J33" s="213">
        <v>135</v>
      </c>
      <c r="K33" s="213">
        <v>200</v>
      </c>
      <c r="L33" s="213">
        <v>960</v>
      </c>
      <c r="M33" s="213">
        <v>98</v>
      </c>
      <c r="N33" s="84" t="s">
        <v>151</v>
      </c>
      <c r="O33" s="217" t="s">
        <v>1457</v>
      </c>
      <c r="P33" s="84" t="s">
        <v>1319</v>
      </c>
      <c r="Q33" s="84"/>
      <c r="R33" s="84" t="s">
        <v>1458</v>
      </c>
      <c r="S33" s="84" t="s">
        <v>1239</v>
      </c>
      <c r="T33" s="84" t="s">
        <v>91</v>
      </c>
      <c r="U33" s="75" t="s">
        <v>3379</v>
      </c>
      <c r="V33" s="84" t="s">
        <v>1220</v>
      </c>
      <c r="W33" s="213">
        <v>83</v>
      </c>
      <c r="X33" s="213">
        <v>83</v>
      </c>
      <c r="Y33" s="86">
        <v>0</v>
      </c>
      <c r="Z33" s="84" t="s">
        <v>1459</v>
      </c>
    </row>
    <row r="34" spans="1:26" s="58" customFormat="1" ht="60">
      <c r="A34" s="146">
        <v>30</v>
      </c>
      <c r="B34" s="146" t="s">
        <v>1343</v>
      </c>
      <c r="C34" s="146" t="s">
        <v>1460</v>
      </c>
      <c r="D34" s="84" t="s">
        <v>1461</v>
      </c>
      <c r="E34" s="84" t="s">
        <v>1462</v>
      </c>
      <c r="F34" s="154" t="s">
        <v>1463</v>
      </c>
      <c r="G34" s="84" t="s">
        <v>1464</v>
      </c>
      <c r="H34" s="84" t="s">
        <v>1216</v>
      </c>
      <c r="I34" s="213">
        <v>198</v>
      </c>
      <c r="J34" s="182">
        <v>0</v>
      </c>
      <c r="K34" s="182">
        <v>0</v>
      </c>
      <c r="L34" s="213">
        <v>198</v>
      </c>
      <c r="M34" s="182">
        <v>0</v>
      </c>
      <c r="N34" s="84" t="s">
        <v>3371</v>
      </c>
      <c r="O34" s="84"/>
      <c r="P34" s="84" t="s">
        <v>261</v>
      </c>
      <c r="Q34" s="84"/>
      <c r="R34" s="84" t="s">
        <v>1465</v>
      </c>
      <c r="S34" s="84" t="s">
        <v>373</v>
      </c>
      <c r="T34" s="84" t="s">
        <v>1466</v>
      </c>
      <c r="U34" s="84" t="s">
        <v>595</v>
      </c>
      <c r="V34" s="84" t="s">
        <v>1467</v>
      </c>
      <c r="W34" s="213">
        <v>95</v>
      </c>
      <c r="X34" s="213">
        <v>95</v>
      </c>
      <c r="Y34" s="213">
        <v>0</v>
      </c>
      <c r="Z34" s="84" t="s">
        <v>1468</v>
      </c>
    </row>
    <row r="35" spans="1:26" s="58" customFormat="1" ht="48">
      <c r="A35" s="146">
        <v>31</v>
      </c>
      <c r="B35" s="146" t="s">
        <v>1343</v>
      </c>
      <c r="C35" s="146" t="s">
        <v>1460</v>
      </c>
      <c r="D35" s="84" t="s">
        <v>1469</v>
      </c>
      <c r="E35" s="84" t="s">
        <v>1470</v>
      </c>
      <c r="F35" s="154" t="s">
        <v>1471</v>
      </c>
      <c r="G35" s="84" t="s">
        <v>1464</v>
      </c>
      <c r="H35" s="84" t="s">
        <v>423</v>
      </c>
      <c r="I35" s="213">
        <v>204</v>
      </c>
      <c r="J35" s="182">
        <v>0</v>
      </c>
      <c r="K35" s="182">
        <v>0</v>
      </c>
      <c r="L35" s="213">
        <v>204</v>
      </c>
      <c r="M35" s="182">
        <v>0</v>
      </c>
      <c r="N35" s="84" t="s">
        <v>3371</v>
      </c>
      <c r="O35" s="84"/>
      <c r="P35" s="84" t="s">
        <v>261</v>
      </c>
      <c r="Q35" s="84"/>
      <c r="R35" s="84" t="s">
        <v>1472</v>
      </c>
      <c r="S35" s="84" t="s">
        <v>373</v>
      </c>
      <c r="T35" s="84" t="s">
        <v>1466</v>
      </c>
      <c r="U35" s="84" t="s">
        <v>595</v>
      </c>
      <c r="V35" s="84" t="s">
        <v>1467</v>
      </c>
      <c r="W35" s="213">
        <v>200</v>
      </c>
      <c r="X35" s="213">
        <v>200</v>
      </c>
      <c r="Y35" s="213">
        <v>0</v>
      </c>
      <c r="Z35" s="84" t="s">
        <v>1468</v>
      </c>
    </row>
    <row r="36" spans="1:26" s="58" customFormat="1" ht="36">
      <c r="A36" s="146">
        <v>32</v>
      </c>
      <c r="B36" s="102" t="s">
        <v>40</v>
      </c>
      <c r="C36" s="102" t="s">
        <v>1473</v>
      </c>
      <c r="D36" s="75" t="s">
        <v>1474</v>
      </c>
      <c r="E36" s="75" t="s">
        <v>1475</v>
      </c>
      <c r="F36" s="104" t="s">
        <v>1476</v>
      </c>
      <c r="G36" s="75" t="s">
        <v>1477</v>
      </c>
      <c r="H36" s="75" t="s">
        <v>171</v>
      </c>
      <c r="I36" s="182">
        <v>60</v>
      </c>
      <c r="J36" s="182">
        <v>0</v>
      </c>
      <c r="K36" s="182">
        <v>60</v>
      </c>
      <c r="L36" s="182">
        <v>0</v>
      </c>
      <c r="M36" s="182">
        <v>0</v>
      </c>
      <c r="N36" s="84" t="s">
        <v>3371</v>
      </c>
      <c r="O36" s="84"/>
      <c r="P36" s="84" t="s">
        <v>1426</v>
      </c>
      <c r="Q36" s="84"/>
      <c r="R36" s="84" t="s">
        <v>628</v>
      </c>
      <c r="S36" s="84" t="s">
        <v>1239</v>
      </c>
      <c r="T36" s="84" t="s">
        <v>1478</v>
      </c>
      <c r="U36" s="84" t="s">
        <v>3441</v>
      </c>
      <c r="V36" s="84" t="s">
        <v>1262</v>
      </c>
      <c r="W36" s="213">
        <f>SUM(X36:Y36)</f>
        <v>85</v>
      </c>
      <c r="X36" s="213">
        <v>85</v>
      </c>
      <c r="Y36" s="213">
        <v>0</v>
      </c>
      <c r="Z36" s="84" t="s">
        <v>1255</v>
      </c>
    </row>
    <row r="37" spans="1:26" s="58" customFormat="1" ht="48">
      <c r="A37" s="146">
        <v>33</v>
      </c>
      <c r="B37" s="102" t="s">
        <v>40</v>
      </c>
      <c r="C37" s="102" t="s">
        <v>1473</v>
      </c>
      <c r="D37" s="75" t="s">
        <v>1479</v>
      </c>
      <c r="E37" s="75" t="s">
        <v>840</v>
      </c>
      <c r="F37" s="104" t="s">
        <v>1480</v>
      </c>
      <c r="G37" s="75" t="s">
        <v>1481</v>
      </c>
      <c r="H37" s="75" t="s">
        <v>1483</v>
      </c>
      <c r="I37" s="182">
        <v>600</v>
      </c>
      <c r="J37" s="182">
        <v>0</v>
      </c>
      <c r="K37" s="182">
        <v>600</v>
      </c>
      <c r="L37" s="182">
        <v>0</v>
      </c>
      <c r="M37" s="182">
        <v>0</v>
      </c>
      <c r="N37" s="84" t="s">
        <v>3371</v>
      </c>
      <c r="O37" s="84"/>
      <c r="P37" s="84" t="s">
        <v>1426</v>
      </c>
      <c r="Q37" s="84"/>
      <c r="R37" s="84" t="s">
        <v>1484</v>
      </c>
      <c r="S37" s="84" t="s">
        <v>1239</v>
      </c>
      <c r="T37" s="84" t="s">
        <v>385</v>
      </c>
      <c r="U37" s="84" t="s">
        <v>3441</v>
      </c>
      <c r="V37" s="84" t="s">
        <v>212</v>
      </c>
      <c r="W37" s="213">
        <f>SUM(X37:Y37)</f>
        <v>355</v>
      </c>
      <c r="X37" s="213">
        <v>355</v>
      </c>
      <c r="Y37" s="213">
        <v>0</v>
      </c>
      <c r="Z37" s="84" t="s">
        <v>114</v>
      </c>
    </row>
    <row r="38" spans="1:26" s="58" customFormat="1" ht="84">
      <c r="A38" s="146">
        <v>34</v>
      </c>
      <c r="B38" s="146" t="s">
        <v>1210</v>
      </c>
      <c r="C38" s="146" t="s">
        <v>1485</v>
      </c>
      <c r="D38" s="84" t="s">
        <v>1486</v>
      </c>
      <c r="E38" s="84" t="s">
        <v>1487</v>
      </c>
      <c r="F38" s="154" t="s">
        <v>1488</v>
      </c>
      <c r="G38" s="84" t="s">
        <v>1489</v>
      </c>
      <c r="H38" s="84" t="s">
        <v>1490</v>
      </c>
      <c r="I38" s="213">
        <v>2000</v>
      </c>
      <c r="J38" s="182">
        <v>0</v>
      </c>
      <c r="K38" s="182">
        <v>0</v>
      </c>
      <c r="L38" s="213">
        <v>2000</v>
      </c>
      <c r="M38" s="182">
        <v>0</v>
      </c>
      <c r="N38" s="84" t="s">
        <v>3371</v>
      </c>
      <c r="O38" s="84"/>
      <c r="P38" s="84" t="s">
        <v>1319</v>
      </c>
      <c r="Q38" s="84"/>
      <c r="R38" s="84" t="s">
        <v>96</v>
      </c>
      <c r="S38" s="84" t="s">
        <v>1239</v>
      </c>
      <c r="T38" s="84" t="s">
        <v>385</v>
      </c>
      <c r="U38" s="84" t="s">
        <v>3377</v>
      </c>
      <c r="V38" s="84" t="s">
        <v>212</v>
      </c>
      <c r="W38" s="213">
        <v>316</v>
      </c>
      <c r="X38" s="213">
        <v>316</v>
      </c>
      <c r="Y38" s="213">
        <v>0</v>
      </c>
      <c r="Z38" s="84" t="s">
        <v>1491</v>
      </c>
    </row>
    <row r="39" spans="1:26" s="58" customFormat="1" ht="48">
      <c r="A39" s="146">
        <v>35</v>
      </c>
      <c r="B39" s="102" t="s">
        <v>1343</v>
      </c>
      <c r="C39" s="102" t="s">
        <v>1492</v>
      </c>
      <c r="D39" s="75" t="s">
        <v>1493</v>
      </c>
      <c r="E39" s="75" t="s">
        <v>1494</v>
      </c>
      <c r="F39" s="104" t="s">
        <v>1495</v>
      </c>
      <c r="G39" s="75" t="s">
        <v>1496</v>
      </c>
      <c r="H39" s="75" t="s">
        <v>1497</v>
      </c>
      <c r="I39" s="182">
        <v>300</v>
      </c>
      <c r="J39" s="182">
        <v>0</v>
      </c>
      <c r="K39" s="182">
        <v>0</v>
      </c>
      <c r="L39" s="182">
        <v>300</v>
      </c>
      <c r="M39" s="182">
        <v>0</v>
      </c>
      <c r="N39" s="84" t="s">
        <v>3371</v>
      </c>
      <c r="O39" s="75"/>
      <c r="P39" s="75" t="s">
        <v>209</v>
      </c>
      <c r="Q39" s="75"/>
      <c r="R39" s="75" t="s">
        <v>1498</v>
      </c>
      <c r="S39" s="75" t="s">
        <v>1499</v>
      </c>
      <c r="T39" s="75" t="s">
        <v>1500</v>
      </c>
      <c r="U39" s="84" t="s">
        <v>3377</v>
      </c>
      <c r="V39" s="75" t="s">
        <v>1501</v>
      </c>
      <c r="W39" s="182">
        <v>170</v>
      </c>
      <c r="X39" s="182">
        <v>169.9</v>
      </c>
      <c r="Y39" s="182">
        <v>0</v>
      </c>
      <c r="Z39" s="75" t="s">
        <v>1502</v>
      </c>
    </row>
    <row r="40" spans="1:26" s="58" customFormat="1" ht="48">
      <c r="A40" s="146">
        <v>36</v>
      </c>
      <c r="B40" s="146" t="s">
        <v>1210</v>
      </c>
      <c r="C40" s="146" t="s">
        <v>1485</v>
      </c>
      <c r="D40" s="84" t="s">
        <v>1503</v>
      </c>
      <c r="E40" s="84" t="s">
        <v>1504</v>
      </c>
      <c r="F40" s="154" t="s">
        <v>1505</v>
      </c>
      <c r="G40" s="84" t="s">
        <v>1506</v>
      </c>
      <c r="H40" s="219" t="s">
        <v>1507</v>
      </c>
      <c r="I40" s="213">
        <v>1100</v>
      </c>
      <c r="J40" s="182">
        <v>0</v>
      </c>
      <c r="K40" s="182">
        <v>0</v>
      </c>
      <c r="L40" s="213">
        <v>1100</v>
      </c>
      <c r="M40" s="182">
        <v>0</v>
      </c>
      <c r="N40" s="84" t="s">
        <v>3371</v>
      </c>
      <c r="O40" s="84"/>
      <c r="P40" s="84" t="s">
        <v>1295</v>
      </c>
      <c r="Q40" s="84"/>
      <c r="R40" s="84" t="s">
        <v>1508</v>
      </c>
      <c r="S40" s="84" t="s">
        <v>108</v>
      </c>
      <c r="T40" s="84" t="s">
        <v>385</v>
      </c>
      <c r="U40" s="84" t="s">
        <v>3377</v>
      </c>
      <c r="V40" s="84" t="s">
        <v>212</v>
      </c>
      <c r="W40" s="213">
        <v>45</v>
      </c>
      <c r="X40" s="213">
        <v>44</v>
      </c>
      <c r="Y40" s="213">
        <v>1</v>
      </c>
      <c r="Z40" s="146" t="s">
        <v>1509</v>
      </c>
    </row>
    <row r="41" spans="1:26" s="58" customFormat="1" ht="48">
      <c r="A41" s="146">
        <v>37</v>
      </c>
      <c r="B41" s="146" t="s">
        <v>40</v>
      </c>
      <c r="C41" s="146" t="s">
        <v>1485</v>
      </c>
      <c r="D41" s="84" t="s">
        <v>1510</v>
      </c>
      <c r="E41" s="84" t="s">
        <v>1511</v>
      </c>
      <c r="F41" s="154" t="s">
        <v>1512</v>
      </c>
      <c r="G41" s="84" t="s">
        <v>1513</v>
      </c>
      <c r="H41" s="84" t="s">
        <v>1514</v>
      </c>
      <c r="I41" s="213">
        <v>285</v>
      </c>
      <c r="J41" s="182">
        <v>0</v>
      </c>
      <c r="K41" s="182">
        <v>0</v>
      </c>
      <c r="L41" s="213">
        <v>285</v>
      </c>
      <c r="M41" s="182">
        <v>0</v>
      </c>
      <c r="N41" s="84" t="s">
        <v>3371</v>
      </c>
      <c r="O41" s="84"/>
      <c r="P41" s="84" t="s">
        <v>87</v>
      </c>
      <c r="Q41" s="84"/>
      <c r="R41" s="84" t="s">
        <v>1515</v>
      </c>
      <c r="S41" s="84" t="s">
        <v>1239</v>
      </c>
      <c r="T41" s="84" t="s">
        <v>1219</v>
      </c>
      <c r="U41" s="84" t="s">
        <v>3441</v>
      </c>
      <c r="V41" s="84" t="s">
        <v>94</v>
      </c>
      <c r="W41" s="213">
        <f>SUM(X41:Y41)</f>
        <v>43</v>
      </c>
      <c r="X41" s="213">
        <v>43</v>
      </c>
      <c r="Y41" s="213">
        <v>0</v>
      </c>
      <c r="Z41" s="84" t="s">
        <v>1516</v>
      </c>
    </row>
    <row r="42" spans="1:26" s="58" customFormat="1" ht="48">
      <c r="A42" s="146">
        <v>38</v>
      </c>
      <c r="B42" s="146" t="s">
        <v>1210</v>
      </c>
      <c r="C42" s="146" t="s">
        <v>1517</v>
      </c>
      <c r="D42" s="84" t="s">
        <v>1518</v>
      </c>
      <c r="E42" s="84" t="s">
        <v>1519</v>
      </c>
      <c r="F42" s="154" t="s">
        <v>1520</v>
      </c>
      <c r="G42" s="75" t="s">
        <v>1521</v>
      </c>
      <c r="H42" s="84" t="s">
        <v>1522</v>
      </c>
      <c r="I42" s="213">
        <v>1620</v>
      </c>
      <c r="J42" s="213">
        <v>80</v>
      </c>
      <c r="K42" s="213">
        <v>40</v>
      </c>
      <c r="L42" s="213">
        <v>1500</v>
      </c>
      <c r="M42" s="182">
        <v>0</v>
      </c>
      <c r="N42" s="84" t="s">
        <v>151</v>
      </c>
      <c r="O42" s="84" t="s">
        <v>426</v>
      </c>
      <c r="P42" s="84" t="s">
        <v>304</v>
      </c>
      <c r="Q42" s="84"/>
      <c r="R42" s="84" t="s">
        <v>1523</v>
      </c>
      <c r="S42" s="84" t="s">
        <v>108</v>
      </c>
      <c r="T42" s="84" t="s">
        <v>1478</v>
      </c>
      <c r="U42" s="84" t="s">
        <v>1524</v>
      </c>
      <c r="V42" s="84" t="s">
        <v>212</v>
      </c>
      <c r="W42" s="213">
        <f>SUM(X42:Y42)</f>
        <v>754</v>
      </c>
      <c r="X42" s="213">
        <v>750</v>
      </c>
      <c r="Y42" s="213">
        <v>4</v>
      </c>
      <c r="Z42" s="84" t="s">
        <v>1525</v>
      </c>
    </row>
    <row r="43" spans="1:26" s="58" customFormat="1" ht="60">
      <c r="A43" s="146">
        <v>39</v>
      </c>
      <c r="B43" s="146" t="s">
        <v>1210</v>
      </c>
      <c r="C43" s="146" t="s">
        <v>1517</v>
      </c>
      <c r="D43" s="84" t="s">
        <v>1526</v>
      </c>
      <c r="E43" s="84" t="s">
        <v>1527</v>
      </c>
      <c r="F43" s="154" t="s">
        <v>1528</v>
      </c>
      <c r="G43" s="84" t="s">
        <v>1529</v>
      </c>
      <c r="H43" s="84" t="s">
        <v>1530</v>
      </c>
      <c r="I43" s="213">
        <v>200</v>
      </c>
      <c r="J43" s="182">
        <v>0</v>
      </c>
      <c r="K43" s="182">
        <v>0</v>
      </c>
      <c r="L43" s="213">
        <v>200</v>
      </c>
      <c r="M43" s="182">
        <v>0</v>
      </c>
      <c r="N43" s="84" t="s">
        <v>3371</v>
      </c>
      <c r="O43" s="84"/>
      <c r="P43" s="84" t="s">
        <v>436</v>
      </c>
      <c r="Q43" s="84"/>
      <c r="R43" s="84" t="s">
        <v>1531</v>
      </c>
      <c r="S43" s="84" t="s">
        <v>108</v>
      </c>
      <c r="T43" s="84" t="s">
        <v>1219</v>
      </c>
      <c r="U43" s="84" t="s">
        <v>3441</v>
      </c>
      <c r="V43" s="84" t="s">
        <v>1262</v>
      </c>
      <c r="W43" s="213">
        <f>SUM(X43:Y43)</f>
        <v>4</v>
      </c>
      <c r="X43" s="213">
        <v>3.5</v>
      </c>
      <c r="Y43" s="213">
        <v>0.5</v>
      </c>
      <c r="Z43" s="84" t="s">
        <v>1532</v>
      </c>
    </row>
    <row r="44" spans="1:26" s="59" customFormat="1" ht="57" customHeight="1">
      <c r="A44" s="146">
        <v>40</v>
      </c>
      <c r="B44" s="146" t="s">
        <v>40</v>
      </c>
      <c r="C44" s="146" t="s">
        <v>1533</v>
      </c>
      <c r="D44" s="84" t="s">
        <v>1534</v>
      </c>
      <c r="E44" s="84" t="s">
        <v>1535</v>
      </c>
      <c r="F44" s="154" t="s">
        <v>1536</v>
      </c>
      <c r="G44" s="84" t="s">
        <v>1537</v>
      </c>
      <c r="H44" s="84" t="s">
        <v>1538</v>
      </c>
      <c r="I44" s="213">
        <v>450</v>
      </c>
      <c r="J44" s="182">
        <v>0</v>
      </c>
      <c r="K44" s="182">
        <v>0</v>
      </c>
      <c r="L44" s="213">
        <v>450</v>
      </c>
      <c r="M44" s="182">
        <v>0</v>
      </c>
      <c r="N44" s="84" t="s">
        <v>3371</v>
      </c>
      <c r="O44" s="84"/>
      <c r="P44" s="84" t="s">
        <v>247</v>
      </c>
      <c r="Q44" s="84"/>
      <c r="R44" s="84" t="s">
        <v>1540</v>
      </c>
      <c r="S44" s="84" t="s">
        <v>1239</v>
      </c>
      <c r="T44" s="84" t="s">
        <v>385</v>
      </c>
      <c r="U44" s="84" t="s">
        <v>1541</v>
      </c>
      <c r="V44" s="84" t="s">
        <v>1262</v>
      </c>
      <c r="W44" s="213">
        <v>45</v>
      </c>
      <c r="X44" s="213">
        <v>45</v>
      </c>
      <c r="Y44" s="213">
        <v>0</v>
      </c>
      <c r="Z44" s="84" t="s">
        <v>1542</v>
      </c>
    </row>
    <row r="45" spans="1:26" s="59" customFormat="1" ht="57" customHeight="1">
      <c r="A45" s="146">
        <v>41</v>
      </c>
      <c r="B45" s="146" t="s">
        <v>1210</v>
      </c>
      <c r="C45" s="146" t="s">
        <v>1517</v>
      </c>
      <c r="D45" s="84" t="s">
        <v>1543</v>
      </c>
      <c r="E45" s="84" t="s">
        <v>1544</v>
      </c>
      <c r="F45" s="154" t="s">
        <v>1545</v>
      </c>
      <c r="G45" s="84" t="s">
        <v>1537</v>
      </c>
      <c r="H45" s="84" t="s">
        <v>1386</v>
      </c>
      <c r="I45" s="213">
        <v>153</v>
      </c>
      <c r="J45" s="182">
        <v>0</v>
      </c>
      <c r="K45" s="182">
        <v>0</v>
      </c>
      <c r="L45" s="213">
        <v>153</v>
      </c>
      <c r="M45" s="182">
        <v>0</v>
      </c>
      <c r="N45" s="84" t="s">
        <v>3371</v>
      </c>
      <c r="O45" s="84"/>
      <c r="P45" s="84" t="s">
        <v>247</v>
      </c>
      <c r="Q45" s="84"/>
      <c r="R45" s="84" t="s">
        <v>1546</v>
      </c>
      <c r="S45" s="84" t="s">
        <v>312</v>
      </c>
      <c r="T45" s="84" t="s">
        <v>1547</v>
      </c>
      <c r="U45" s="84" t="s">
        <v>1548</v>
      </c>
      <c r="V45" s="84" t="s">
        <v>1262</v>
      </c>
      <c r="W45" s="213">
        <f t="shared" ref="W45:W50" si="2">SUM(X45:Y45)</f>
        <v>40</v>
      </c>
      <c r="X45" s="213">
        <v>40</v>
      </c>
      <c r="Y45" s="213">
        <v>0</v>
      </c>
      <c r="Z45" s="84" t="s">
        <v>1549</v>
      </c>
    </row>
    <row r="46" spans="1:26" s="59" customFormat="1" ht="57" customHeight="1">
      <c r="A46" s="146">
        <v>42</v>
      </c>
      <c r="B46" s="146" t="s">
        <v>1550</v>
      </c>
      <c r="C46" s="146" t="s">
        <v>1533</v>
      </c>
      <c r="D46" s="84" t="s">
        <v>1551</v>
      </c>
      <c r="E46" s="84" t="s">
        <v>1552</v>
      </c>
      <c r="F46" s="154" t="s">
        <v>1553</v>
      </c>
      <c r="G46" s="84" t="s">
        <v>1554</v>
      </c>
      <c r="H46" s="84" t="s">
        <v>1555</v>
      </c>
      <c r="I46" s="213">
        <v>200</v>
      </c>
      <c r="J46" s="182">
        <v>0</v>
      </c>
      <c r="K46" s="182">
        <v>0</v>
      </c>
      <c r="L46" s="213">
        <v>130</v>
      </c>
      <c r="M46" s="213">
        <v>70</v>
      </c>
      <c r="N46" s="84" t="s">
        <v>3371</v>
      </c>
      <c r="O46" s="84"/>
      <c r="P46" s="84" t="s">
        <v>247</v>
      </c>
      <c r="Q46" s="84"/>
      <c r="R46" s="84" t="s">
        <v>1556</v>
      </c>
      <c r="S46" s="84" t="s">
        <v>108</v>
      </c>
      <c r="T46" s="84" t="s">
        <v>1557</v>
      </c>
      <c r="U46" s="84" t="s">
        <v>1558</v>
      </c>
      <c r="V46" s="84" t="s">
        <v>1262</v>
      </c>
      <c r="W46" s="213">
        <f t="shared" si="2"/>
        <v>20</v>
      </c>
      <c r="X46" s="213">
        <v>20</v>
      </c>
      <c r="Y46" s="213">
        <v>0</v>
      </c>
      <c r="Z46" s="84" t="s">
        <v>1559</v>
      </c>
    </row>
    <row r="47" spans="1:26" s="59" customFormat="1" ht="57" customHeight="1">
      <c r="A47" s="146">
        <v>43</v>
      </c>
      <c r="B47" s="146" t="s">
        <v>1210</v>
      </c>
      <c r="C47" s="146" t="s">
        <v>1533</v>
      </c>
      <c r="D47" s="84" t="s">
        <v>1560</v>
      </c>
      <c r="E47" s="84" t="s">
        <v>1561</v>
      </c>
      <c r="F47" s="154" t="s">
        <v>1562</v>
      </c>
      <c r="G47" s="84" t="s">
        <v>1563</v>
      </c>
      <c r="H47" s="84" t="s">
        <v>1490</v>
      </c>
      <c r="I47" s="213">
        <v>150</v>
      </c>
      <c r="J47" s="182">
        <v>0</v>
      </c>
      <c r="K47" s="182">
        <v>0</v>
      </c>
      <c r="L47" s="213">
        <v>150</v>
      </c>
      <c r="M47" s="182">
        <v>0</v>
      </c>
      <c r="N47" s="84" t="s">
        <v>3371</v>
      </c>
      <c r="O47" s="84"/>
      <c r="P47" s="84" t="s">
        <v>261</v>
      </c>
      <c r="Q47" s="84"/>
      <c r="R47" s="84" t="s">
        <v>1564</v>
      </c>
      <c r="S47" s="84" t="s">
        <v>108</v>
      </c>
      <c r="T47" s="84" t="s">
        <v>364</v>
      </c>
      <c r="U47" s="84" t="s">
        <v>93</v>
      </c>
      <c r="V47" s="84" t="s">
        <v>1220</v>
      </c>
      <c r="W47" s="213">
        <f t="shared" si="2"/>
        <v>80</v>
      </c>
      <c r="X47" s="213">
        <v>80</v>
      </c>
      <c r="Y47" s="213">
        <v>0</v>
      </c>
      <c r="Z47" s="84" t="s">
        <v>114</v>
      </c>
    </row>
    <row r="48" spans="1:26" s="59" customFormat="1" ht="57" customHeight="1">
      <c r="A48" s="146">
        <v>44</v>
      </c>
      <c r="B48" s="146" t="s">
        <v>1550</v>
      </c>
      <c r="C48" s="146" t="s">
        <v>1517</v>
      </c>
      <c r="D48" s="84" t="s">
        <v>1565</v>
      </c>
      <c r="E48" s="84" t="s">
        <v>1566</v>
      </c>
      <c r="F48" s="154" t="s">
        <v>1567</v>
      </c>
      <c r="G48" s="84" t="s">
        <v>1568</v>
      </c>
      <c r="H48" s="84" t="s">
        <v>1569</v>
      </c>
      <c r="I48" s="213">
        <v>50</v>
      </c>
      <c r="J48" s="182">
        <v>0</v>
      </c>
      <c r="K48" s="182">
        <v>0</v>
      </c>
      <c r="L48" s="213">
        <v>50</v>
      </c>
      <c r="M48" s="182">
        <v>0</v>
      </c>
      <c r="N48" s="84" t="s">
        <v>3371</v>
      </c>
      <c r="O48" s="84"/>
      <c r="P48" s="84" t="s">
        <v>788</v>
      </c>
      <c r="Q48" s="84"/>
      <c r="R48" s="84" t="s">
        <v>1570</v>
      </c>
      <c r="S48" s="84" t="s">
        <v>108</v>
      </c>
      <c r="T48" s="84" t="s">
        <v>1571</v>
      </c>
      <c r="U48" s="84" t="s">
        <v>1289</v>
      </c>
      <c r="V48" s="84" t="s">
        <v>94</v>
      </c>
      <c r="W48" s="213">
        <f t="shared" si="2"/>
        <v>3</v>
      </c>
      <c r="X48" s="213">
        <v>3</v>
      </c>
      <c r="Y48" s="213">
        <v>0</v>
      </c>
      <c r="Z48" s="84" t="s">
        <v>1572</v>
      </c>
    </row>
    <row r="49" spans="1:26" s="59" customFormat="1" ht="57" customHeight="1">
      <c r="A49" s="146">
        <v>45</v>
      </c>
      <c r="B49" s="146" t="s">
        <v>40</v>
      </c>
      <c r="C49" s="146" t="s">
        <v>1517</v>
      </c>
      <c r="D49" s="84" t="s">
        <v>1573</v>
      </c>
      <c r="E49" s="84" t="s">
        <v>1574</v>
      </c>
      <c r="F49" s="154" t="s">
        <v>1575</v>
      </c>
      <c r="G49" s="84" t="s">
        <v>1568</v>
      </c>
      <c r="H49" s="84" t="s">
        <v>1576</v>
      </c>
      <c r="I49" s="213">
        <v>90</v>
      </c>
      <c r="J49" s="182">
        <v>0</v>
      </c>
      <c r="K49" s="182">
        <v>0</v>
      </c>
      <c r="L49" s="213">
        <v>90</v>
      </c>
      <c r="M49" s="182">
        <v>0</v>
      </c>
      <c r="N49" s="84" t="s">
        <v>3371</v>
      </c>
      <c r="O49" s="84"/>
      <c r="P49" s="84" t="s">
        <v>1426</v>
      </c>
      <c r="Q49" s="84"/>
      <c r="R49" s="84" t="s">
        <v>1577</v>
      </c>
      <c r="S49" s="84" t="s">
        <v>108</v>
      </c>
      <c r="T49" s="84" t="s">
        <v>251</v>
      </c>
      <c r="U49" s="84" t="s">
        <v>1289</v>
      </c>
      <c r="V49" s="84" t="s">
        <v>94</v>
      </c>
      <c r="W49" s="213">
        <f t="shared" si="2"/>
        <v>20</v>
      </c>
      <c r="X49" s="213">
        <v>20</v>
      </c>
      <c r="Y49" s="213">
        <v>0</v>
      </c>
      <c r="Z49" s="84" t="s">
        <v>1578</v>
      </c>
    </row>
    <row r="50" spans="1:26" s="59" customFormat="1" ht="57" customHeight="1">
      <c r="A50" s="146">
        <v>46</v>
      </c>
      <c r="B50" s="146" t="s">
        <v>40</v>
      </c>
      <c r="C50" s="146" t="s">
        <v>1517</v>
      </c>
      <c r="D50" s="84" t="s">
        <v>1579</v>
      </c>
      <c r="E50" s="84" t="s">
        <v>1580</v>
      </c>
      <c r="F50" s="154" t="s">
        <v>1581</v>
      </c>
      <c r="G50" s="84" t="s">
        <v>1582</v>
      </c>
      <c r="H50" s="84" t="s">
        <v>129</v>
      </c>
      <c r="I50" s="213">
        <v>50</v>
      </c>
      <c r="J50" s="182">
        <v>0</v>
      </c>
      <c r="K50" s="182">
        <v>0</v>
      </c>
      <c r="L50" s="213">
        <v>50</v>
      </c>
      <c r="M50" s="182">
        <v>0</v>
      </c>
      <c r="N50" s="84" t="s">
        <v>3371</v>
      </c>
      <c r="O50" s="84"/>
      <c r="P50" s="84" t="s">
        <v>436</v>
      </c>
      <c r="Q50" s="84"/>
      <c r="R50" s="84" t="s">
        <v>1583</v>
      </c>
      <c r="S50" s="84" t="s">
        <v>1239</v>
      </c>
      <c r="T50" s="84" t="s">
        <v>1571</v>
      </c>
      <c r="U50" s="84" t="s">
        <v>1289</v>
      </c>
      <c r="V50" s="84" t="s">
        <v>94</v>
      </c>
      <c r="W50" s="213">
        <f t="shared" si="2"/>
        <v>5</v>
      </c>
      <c r="X50" s="213">
        <v>5</v>
      </c>
      <c r="Y50" s="213">
        <v>0</v>
      </c>
      <c r="Z50" s="84" t="s">
        <v>1255</v>
      </c>
    </row>
    <row r="51" spans="1:26" s="59" customFormat="1" ht="108">
      <c r="A51" s="146">
        <v>47</v>
      </c>
      <c r="B51" s="146" t="s">
        <v>40</v>
      </c>
      <c r="C51" s="146" t="s">
        <v>1585</v>
      </c>
      <c r="D51" s="84" t="s">
        <v>1586</v>
      </c>
      <c r="E51" s="84" t="s">
        <v>1587</v>
      </c>
      <c r="F51" s="154" t="s">
        <v>1588</v>
      </c>
      <c r="G51" s="75" t="s">
        <v>1589</v>
      </c>
      <c r="H51" s="75" t="s">
        <v>1590</v>
      </c>
      <c r="I51" s="213">
        <v>1039</v>
      </c>
      <c r="J51" s="213">
        <v>250</v>
      </c>
      <c r="K51" s="182">
        <v>0</v>
      </c>
      <c r="L51" s="213">
        <v>649</v>
      </c>
      <c r="M51" s="213">
        <v>140</v>
      </c>
      <c r="N51" s="84" t="s">
        <v>3371</v>
      </c>
      <c r="O51" s="84"/>
      <c r="P51" s="75" t="s">
        <v>1319</v>
      </c>
      <c r="Q51" s="84"/>
      <c r="R51" s="84" t="s">
        <v>1591</v>
      </c>
      <c r="S51" s="84" t="s">
        <v>108</v>
      </c>
      <c r="T51" s="75" t="s">
        <v>1592</v>
      </c>
      <c r="U51" s="75" t="s">
        <v>3380</v>
      </c>
      <c r="V51" s="75" t="s">
        <v>1220</v>
      </c>
      <c r="W51" s="213">
        <v>96</v>
      </c>
      <c r="X51" s="213">
        <v>93</v>
      </c>
      <c r="Y51" s="213">
        <v>3</v>
      </c>
      <c r="Z51" s="75" t="s">
        <v>1593</v>
      </c>
    </row>
    <row r="52" spans="1:26" s="59" customFormat="1" ht="48">
      <c r="A52" s="146">
        <v>48</v>
      </c>
      <c r="B52" s="146" t="s">
        <v>40</v>
      </c>
      <c r="C52" s="146" t="s">
        <v>1584</v>
      </c>
      <c r="D52" s="146" t="s">
        <v>1594</v>
      </c>
      <c r="E52" s="84" t="s">
        <v>1595</v>
      </c>
      <c r="F52" s="154" t="s">
        <v>1596</v>
      </c>
      <c r="G52" s="75" t="s">
        <v>1597</v>
      </c>
      <c r="H52" s="75" t="s">
        <v>1598</v>
      </c>
      <c r="I52" s="213">
        <v>200</v>
      </c>
      <c r="J52" s="182">
        <v>0</v>
      </c>
      <c r="K52" s="182">
        <v>0</v>
      </c>
      <c r="L52" s="213">
        <v>200</v>
      </c>
      <c r="M52" s="182">
        <v>0</v>
      </c>
      <c r="N52" s="84" t="s">
        <v>3371</v>
      </c>
      <c r="O52" s="84"/>
      <c r="P52" s="75" t="s">
        <v>1295</v>
      </c>
      <c r="Q52" s="84"/>
      <c r="R52" s="84" t="s">
        <v>1599</v>
      </c>
      <c r="S52" s="84" t="s">
        <v>1239</v>
      </c>
      <c r="T52" s="75" t="s">
        <v>1434</v>
      </c>
      <c r="U52" s="75" t="s">
        <v>3381</v>
      </c>
      <c r="V52" s="75" t="s">
        <v>1220</v>
      </c>
      <c r="W52" s="213">
        <v>14</v>
      </c>
      <c r="X52" s="213">
        <v>14</v>
      </c>
      <c r="Y52" s="213">
        <v>0</v>
      </c>
      <c r="Z52" s="75" t="s">
        <v>1600</v>
      </c>
    </row>
    <row r="53" spans="1:26" s="59" customFormat="1" ht="48">
      <c r="A53" s="146">
        <v>49</v>
      </c>
      <c r="B53" s="146" t="s">
        <v>1343</v>
      </c>
      <c r="C53" s="146" t="s">
        <v>1602</v>
      </c>
      <c r="D53" s="84" t="s">
        <v>1603</v>
      </c>
      <c r="E53" s="84" t="s">
        <v>1604</v>
      </c>
      <c r="F53" s="154" t="s">
        <v>1605</v>
      </c>
      <c r="G53" s="84" t="s">
        <v>1606</v>
      </c>
      <c r="H53" s="84" t="s">
        <v>423</v>
      </c>
      <c r="I53" s="213">
        <v>150</v>
      </c>
      <c r="J53" s="182">
        <v>0</v>
      </c>
      <c r="K53" s="182">
        <v>0</v>
      </c>
      <c r="L53" s="213">
        <v>150</v>
      </c>
      <c r="M53" s="182">
        <v>0</v>
      </c>
      <c r="N53" s="84" t="s">
        <v>3371</v>
      </c>
      <c r="O53" s="84"/>
      <c r="P53" s="84" t="s">
        <v>247</v>
      </c>
      <c r="Q53" s="84"/>
      <c r="R53" s="84" t="s">
        <v>1607</v>
      </c>
      <c r="S53" s="84" t="s">
        <v>1239</v>
      </c>
      <c r="T53" s="84" t="s">
        <v>1571</v>
      </c>
      <c r="U53" s="84" t="s">
        <v>1289</v>
      </c>
      <c r="V53" s="84" t="s">
        <v>466</v>
      </c>
      <c r="W53" s="213">
        <f>SUM(X53:Y53)</f>
        <v>45</v>
      </c>
      <c r="X53" s="213">
        <v>45</v>
      </c>
      <c r="Y53" s="213">
        <v>0</v>
      </c>
      <c r="Z53" s="84" t="s">
        <v>1608</v>
      </c>
    </row>
    <row r="54" spans="1:26" s="59" customFormat="1" ht="48">
      <c r="A54" s="146">
        <v>50</v>
      </c>
      <c r="B54" s="146" t="s">
        <v>1550</v>
      </c>
      <c r="C54" s="146" t="s">
        <v>1609</v>
      </c>
      <c r="D54" s="146" t="s">
        <v>1610</v>
      </c>
      <c r="E54" s="84" t="s">
        <v>946</v>
      </c>
      <c r="F54" s="154" t="s">
        <v>1611</v>
      </c>
      <c r="G54" s="84" t="s">
        <v>1613</v>
      </c>
      <c r="H54" s="84" t="s">
        <v>1303</v>
      </c>
      <c r="I54" s="218">
        <v>150</v>
      </c>
      <c r="J54" s="182">
        <v>0</v>
      </c>
      <c r="K54" s="218">
        <v>150</v>
      </c>
      <c r="L54" s="182">
        <v>0</v>
      </c>
      <c r="M54" s="182">
        <v>0</v>
      </c>
      <c r="N54" s="84" t="s">
        <v>3371</v>
      </c>
      <c r="O54" s="84"/>
      <c r="P54" s="84" t="s">
        <v>1295</v>
      </c>
      <c r="Q54" s="84"/>
      <c r="R54" s="84" t="s">
        <v>1615</v>
      </c>
      <c r="S54" s="84" t="s">
        <v>108</v>
      </c>
      <c r="T54" s="84" t="s">
        <v>1617</v>
      </c>
      <c r="U54" s="84" t="s">
        <v>3441</v>
      </c>
      <c r="V54" s="84" t="s">
        <v>212</v>
      </c>
      <c r="W54" s="213">
        <v>35</v>
      </c>
      <c r="X54" s="218">
        <v>35</v>
      </c>
      <c r="Y54" s="218">
        <v>0</v>
      </c>
      <c r="Z54" s="84" t="s">
        <v>1618</v>
      </c>
    </row>
    <row r="55" spans="1:26" s="59" customFormat="1" ht="36">
      <c r="A55" s="146">
        <v>51</v>
      </c>
      <c r="B55" s="146" t="s">
        <v>1343</v>
      </c>
      <c r="C55" s="146" t="s">
        <v>1601</v>
      </c>
      <c r="D55" s="84" t="s">
        <v>1619</v>
      </c>
      <c r="E55" s="84" t="s">
        <v>1621</v>
      </c>
      <c r="F55" s="154" t="s">
        <v>1622</v>
      </c>
      <c r="G55" s="84" t="s">
        <v>1612</v>
      </c>
      <c r="H55" s="84" t="s">
        <v>1623</v>
      </c>
      <c r="I55" s="213">
        <v>40</v>
      </c>
      <c r="J55" s="182">
        <v>0</v>
      </c>
      <c r="K55" s="213">
        <v>40</v>
      </c>
      <c r="L55" s="182">
        <v>0</v>
      </c>
      <c r="M55" s="182">
        <v>0</v>
      </c>
      <c r="N55" s="84" t="s">
        <v>3371</v>
      </c>
      <c r="O55" s="84"/>
      <c r="P55" s="84" t="s">
        <v>5</v>
      </c>
      <c r="Q55" s="84"/>
      <c r="R55" s="84" t="s">
        <v>1614</v>
      </c>
      <c r="S55" s="84" t="s">
        <v>1239</v>
      </c>
      <c r="T55" s="84" t="s">
        <v>1617</v>
      </c>
      <c r="U55" s="84" t="s">
        <v>3441</v>
      </c>
      <c r="V55" s="84" t="s">
        <v>1262</v>
      </c>
      <c r="W55" s="213">
        <v>0.8</v>
      </c>
      <c r="X55" s="213">
        <v>0.8</v>
      </c>
      <c r="Y55" s="213">
        <v>0</v>
      </c>
      <c r="Z55" s="84" t="s">
        <v>417</v>
      </c>
    </row>
    <row r="56" spans="1:26" s="59" customFormat="1" ht="24">
      <c r="A56" s="146">
        <v>52</v>
      </c>
      <c r="B56" s="146" t="s">
        <v>1343</v>
      </c>
      <c r="C56" s="146" t="s">
        <v>1602</v>
      </c>
      <c r="D56" s="84" t="s">
        <v>1624</v>
      </c>
      <c r="E56" s="84" t="s">
        <v>1621</v>
      </c>
      <c r="F56" s="154" t="s">
        <v>1625</v>
      </c>
      <c r="G56" s="84" t="s">
        <v>1612</v>
      </c>
      <c r="H56" s="84" t="s">
        <v>1626</v>
      </c>
      <c r="I56" s="213">
        <v>20</v>
      </c>
      <c r="J56" s="182">
        <v>0</v>
      </c>
      <c r="K56" s="213">
        <v>20</v>
      </c>
      <c r="L56" s="182">
        <v>0</v>
      </c>
      <c r="M56" s="182">
        <v>0</v>
      </c>
      <c r="N56" s="84" t="s">
        <v>3371</v>
      </c>
      <c r="O56" s="84"/>
      <c r="P56" s="84" t="s">
        <v>140</v>
      </c>
      <c r="Q56" s="84"/>
      <c r="R56" s="84" t="s">
        <v>1615</v>
      </c>
      <c r="S56" s="84" t="s">
        <v>108</v>
      </c>
      <c r="T56" s="84" t="s">
        <v>1616</v>
      </c>
      <c r="U56" s="84" t="s">
        <v>3441</v>
      </c>
      <c r="V56" s="84" t="s">
        <v>212</v>
      </c>
      <c r="W56" s="213">
        <v>0.8</v>
      </c>
      <c r="X56" s="213">
        <v>0.8</v>
      </c>
      <c r="Y56" s="213">
        <v>0</v>
      </c>
      <c r="Z56" s="84" t="s">
        <v>1627</v>
      </c>
    </row>
    <row r="57" spans="1:26" s="59" customFormat="1" ht="36">
      <c r="A57" s="146">
        <v>53</v>
      </c>
      <c r="B57" s="146" t="s">
        <v>1210</v>
      </c>
      <c r="C57" s="146" t="s">
        <v>1602</v>
      </c>
      <c r="D57" s="75" t="s">
        <v>1628</v>
      </c>
      <c r="E57" s="84" t="s">
        <v>1629</v>
      </c>
      <c r="F57" s="154" t="s">
        <v>1630</v>
      </c>
      <c r="G57" s="84" t="s">
        <v>1631</v>
      </c>
      <c r="H57" s="75" t="s">
        <v>1303</v>
      </c>
      <c r="I57" s="218">
        <v>80</v>
      </c>
      <c r="J57" s="182">
        <v>0</v>
      </c>
      <c r="K57" s="218">
        <v>80</v>
      </c>
      <c r="L57" s="182">
        <v>0</v>
      </c>
      <c r="M57" s="182">
        <v>0</v>
      </c>
      <c r="N57" s="84" t="s">
        <v>3371</v>
      </c>
      <c r="O57" s="84"/>
      <c r="P57" s="84" t="s">
        <v>140</v>
      </c>
      <c r="Q57" s="84"/>
      <c r="R57" s="84" t="s">
        <v>1614</v>
      </c>
      <c r="S57" s="84" t="s">
        <v>108</v>
      </c>
      <c r="T57" s="84" t="s">
        <v>1279</v>
      </c>
      <c r="U57" s="84" t="s">
        <v>3441</v>
      </c>
      <c r="V57" s="84" t="s">
        <v>1262</v>
      </c>
      <c r="W57" s="213">
        <v>5</v>
      </c>
      <c r="X57" s="218">
        <v>5</v>
      </c>
      <c r="Y57" s="218">
        <v>0</v>
      </c>
      <c r="Z57" s="84" t="s">
        <v>1632</v>
      </c>
    </row>
    <row r="58" spans="1:26" s="58" customFormat="1" ht="36">
      <c r="A58" s="146">
        <v>54</v>
      </c>
      <c r="B58" s="146" t="s">
        <v>40</v>
      </c>
      <c r="C58" s="146" t="s">
        <v>1602</v>
      </c>
      <c r="D58" s="84" t="s">
        <v>1633</v>
      </c>
      <c r="E58" s="84" t="s">
        <v>1634</v>
      </c>
      <c r="F58" s="154" t="s">
        <v>1635</v>
      </c>
      <c r="G58" s="84" t="s">
        <v>1636</v>
      </c>
      <c r="H58" s="84" t="s">
        <v>230</v>
      </c>
      <c r="I58" s="213">
        <v>150</v>
      </c>
      <c r="J58" s="182">
        <v>0</v>
      </c>
      <c r="K58" s="213">
        <v>150</v>
      </c>
      <c r="L58" s="182">
        <v>0</v>
      </c>
      <c r="M58" s="182">
        <v>0</v>
      </c>
      <c r="N58" s="84" t="s">
        <v>3371</v>
      </c>
      <c r="O58" s="84"/>
      <c r="P58" s="84" t="s">
        <v>1319</v>
      </c>
      <c r="Q58" s="84"/>
      <c r="R58" s="84" t="s">
        <v>1614</v>
      </c>
      <c r="S58" s="84" t="s">
        <v>108</v>
      </c>
      <c r="T58" s="84" t="s">
        <v>251</v>
      </c>
      <c r="U58" s="84" t="s">
        <v>93</v>
      </c>
      <c r="V58" s="84" t="s">
        <v>212</v>
      </c>
      <c r="W58" s="213">
        <v>2</v>
      </c>
      <c r="X58" s="213">
        <v>2</v>
      </c>
      <c r="Y58" s="213">
        <v>0</v>
      </c>
      <c r="Z58" s="84" t="s">
        <v>1637</v>
      </c>
    </row>
    <row r="59" spans="1:26" s="58" customFormat="1" ht="36">
      <c r="A59" s="146">
        <v>55</v>
      </c>
      <c r="B59" s="102" t="s">
        <v>1210</v>
      </c>
      <c r="C59" s="102" t="s">
        <v>1602</v>
      </c>
      <c r="D59" s="75" t="s">
        <v>1638</v>
      </c>
      <c r="E59" s="75" t="s">
        <v>1640</v>
      </c>
      <c r="F59" s="104" t="s">
        <v>1641</v>
      </c>
      <c r="G59" s="75" t="s">
        <v>1642</v>
      </c>
      <c r="H59" s="75" t="s">
        <v>129</v>
      </c>
      <c r="I59" s="182">
        <v>150</v>
      </c>
      <c r="J59" s="182">
        <v>0</v>
      </c>
      <c r="K59" s="182">
        <v>150</v>
      </c>
      <c r="L59" s="182">
        <v>0</v>
      </c>
      <c r="M59" s="182">
        <v>0</v>
      </c>
      <c r="N59" s="84" t="s">
        <v>3371</v>
      </c>
      <c r="O59" s="146"/>
      <c r="P59" s="75" t="s">
        <v>37</v>
      </c>
      <c r="Q59" s="75"/>
      <c r="R59" s="75" t="s">
        <v>1643</v>
      </c>
      <c r="S59" s="75" t="s">
        <v>108</v>
      </c>
      <c r="T59" s="75" t="s">
        <v>251</v>
      </c>
      <c r="U59" s="75" t="s">
        <v>1289</v>
      </c>
      <c r="V59" s="75" t="s">
        <v>1220</v>
      </c>
      <c r="W59" s="213">
        <f>SUM(X59:Y59)</f>
        <v>20</v>
      </c>
      <c r="X59" s="213">
        <v>20</v>
      </c>
      <c r="Y59" s="213">
        <v>0</v>
      </c>
      <c r="Z59" s="75" t="s">
        <v>1644</v>
      </c>
    </row>
    <row r="60" spans="1:26" s="58" customFormat="1" ht="48">
      <c r="A60" s="146">
        <v>56</v>
      </c>
      <c r="B60" s="102" t="s">
        <v>1210</v>
      </c>
      <c r="C60" s="102" t="s">
        <v>1601</v>
      </c>
      <c r="D60" s="75" t="s">
        <v>1645</v>
      </c>
      <c r="E60" s="75" t="s">
        <v>1646</v>
      </c>
      <c r="F60" s="104" t="s">
        <v>1647</v>
      </c>
      <c r="G60" s="75" t="s">
        <v>1648</v>
      </c>
      <c r="H60" s="75" t="s">
        <v>1514</v>
      </c>
      <c r="I60" s="182">
        <v>20</v>
      </c>
      <c r="J60" s="182">
        <v>0</v>
      </c>
      <c r="K60" s="182">
        <v>20</v>
      </c>
      <c r="L60" s="182">
        <v>0</v>
      </c>
      <c r="M60" s="182">
        <v>0</v>
      </c>
      <c r="N60" s="84" t="s">
        <v>3371</v>
      </c>
      <c r="O60" s="146"/>
      <c r="P60" s="75" t="s">
        <v>1426</v>
      </c>
      <c r="Q60" s="75"/>
      <c r="R60" s="75" t="s">
        <v>1650</v>
      </c>
      <c r="S60" s="75" t="s">
        <v>108</v>
      </c>
      <c r="T60" s="75" t="s">
        <v>1571</v>
      </c>
      <c r="U60" s="75" t="s">
        <v>93</v>
      </c>
      <c r="V60" s="75" t="s">
        <v>1262</v>
      </c>
      <c r="W60" s="213">
        <v>5</v>
      </c>
      <c r="X60" s="213">
        <v>4</v>
      </c>
      <c r="Y60" s="213">
        <v>1</v>
      </c>
      <c r="Z60" s="75" t="s">
        <v>1644</v>
      </c>
    </row>
    <row r="61" spans="1:26" s="58" customFormat="1" ht="24">
      <c r="A61" s="146">
        <v>57</v>
      </c>
      <c r="B61" s="102" t="s">
        <v>40</v>
      </c>
      <c r="C61" s="102" t="s">
        <v>1602</v>
      </c>
      <c r="D61" s="75" t="s">
        <v>1651</v>
      </c>
      <c r="E61" s="75" t="s">
        <v>1652</v>
      </c>
      <c r="F61" s="104" t="s">
        <v>1653</v>
      </c>
      <c r="G61" s="75" t="s">
        <v>1654</v>
      </c>
      <c r="H61" s="75" t="s">
        <v>1656</v>
      </c>
      <c r="I61" s="182">
        <v>50</v>
      </c>
      <c r="J61" s="182">
        <v>0</v>
      </c>
      <c r="K61" s="182">
        <v>20</v>
      </c>
      <c r="L61" s="182">
        <v>30</v>
      </c>
      <c r="M61" s="182">
        <v>0</v>
      </c>
      <c r="N61" s="84" t="s">
        <v>3371</v>
      </c>
      <c r="O61" s="146"/>
      <c r="P61" s="75" t="s">
        <v>37</v>
      </c>
      <c r="Q61" s="75"/>
      <c r="R61" s="75" t="s">
        <v>1657</v>
      </c>
      <c r="S61" s="75" t="s">
        <v>108</v>
      </c>
      <c r="T61" s="75" t="s">
        <v>1571</v>
      </c>
      <c r="U61" s="75" t="s">
        <v>1289</v>
      </c>
      <c r="V61" s="75" t="s">
        <v>1220</v>
      </c>
      <c r="W61" s="213">
        <v>40</v>
      </c>
      <c r="X61" s="213">
        <v>40</v>
      </c>
      <c r="Y61" s="182">
        <v>0</v>
      </c>
      <c r="Z61" s="84" t="s">
        <v>1658</v>
      </c>
    </row>
    <row r="62" spans="1:26" s="58" customFormat="1" ht="60">
      <c r="A62" s="146">
        <v>58</v>
      </c>
      <c r="B62" s="102" t="s">
        <v>1210</v>
      </c>
      <c r="C62" s="102" t="s">
        <v>1602</v>
      </c>
      <c r="D62" s="75" t="s">
        <v>1659</v>
      </c>
      <c r="E62" s="75" t="s">
        <v>1660</v>
      </c>
      <c r="F62" s="104" t="s">
        <v>1661</v>
      </c>
      <c r="G62" s="75" t="s">
        <v>1662</v>
      </c>
      <c r="H62" s="75" t="s">
        <v>230</v>
      </c>
      <c r="I62" s="182">
        <v>200</v>
      </c>
      <c r="J62" s="182">
        <v>0</v>
      </c>
      <c r="K62" s="182">
        <v>200</v>
      </c>
      <c r="L62" s="182">
        <v>0</v>
      </c>
      <c r="M62" s="182">
        <v>0</v>
      </c>
      <c r="N62" s="84" t="s">
        <v>3371</v>
      </c>
      <c r="O62" s="146"/>
      <c r="P62" s="75" t="s">
        <v>1182</v>
      </c>
      <c r="Q62" s="75"/>
      <c r="R62" s="75" t="s">
        <v>1663</v>
      </c>
      <c r="S62" s="75" t="s">
        <v>108</v>
      </c>
      <c r="T62" s="75" t="s">
        <v>1571</v>
      </c>
      <c r="U62" s="75" t="s">
        <v>1289</v>
      </c>
      <c r="V62" s="75" t="s">
        <v>212</v>
      </c>
      <c r="W62" s="213">
        <v>55</v>
      </c>
      <c r="X62" s="213">
        <v>55</v>
      </c>
      <c r="Y62" s="182">
        <v>0</v>
      </c>
      <c r="Z62" s="84" t="s">
        <v>1664</v>
      </c>
    </row>
    <row r="63" spans="1:26" s="58" customFormat="1" ht="72">
      <c r="A63" s="146">
        <v>59</v>
      </c>
      <c r="B63" s="146" t="s">
        <v>1343</v>
      </c>
      <c r="C63" s="146" t="s">
        <v>1665</v>
      </c>
      <c r="D63" s="84" t="s">
        <v>1666</v>
      </c>
      <c r="E63" s="84" t="s">
        <v>1667</v>
      </c>
      <c r="F63" s="104" t="s">
        <v>1668</v>
      </c>
      <c r="G63" s="84" t="s">
        <v>7070</v>
      </c>
      <c r="H63" s="84" t="s">
        <v>1286</v>
      </c>
      <c r="I63" s="213">
        <v>70</v>
      </c>
      <c r="J63" s="182">
        <v>0</v>
      </c>
      <c r="K63" s="182">
        <v>0</v>
      </c>
      <c r="L63" s="213">
        <v>70</v>
      </c>
      <c r="M63" s="182">
        <v>0</v>
      </c>
      <c r="N63" s="84" t="s">
        <v>3371</v>
      </c>
      <c r="O63" s="84"/>
      <c r="P63" s="84" t="s">
        <v>261</v>
      </c>
      <c r="Q63" s="84"/>
      <c r="R63" s="84" t="s">
        <v>628</v>
      </c>
      <c r="S63" s="84" t="s">
        <v>1239</v>
      </c>
      <c r="T63" s="84" t="s">
        <v>183</v>
      </c>
      <c r="U63" s="84" t="s">
        <v>3441</v>
      </c>
      <c r="V63" s="84" t="s">
        <v>1220</v>
      </c>
      <c r="W63" s="213">
        <f>SUM(X63:Y63)</f>
        <v>100</v>
      </c>
      <c r="X63" s="213">
        <v>90</v>
      </c>
      <c r="Y63" s="213">
        <v>10</v>
      </c>
      <c r="Z63" s="84" t="s">
        <v>1669</v>
      </c>
    </row>
    <row r="64" spans="1:26" s="58" customFormat="1" ht="60">
      <c r="A64" s="146">
        <v>60</v>
      </c>
      <c r="B64" s="146" t="s">
        <v>1343</v>
      </c>
      <c r="C64" s="146" t="s">
        <v>1670</v>
      </c>
      <c r="D64" s="84" t="s">
        <v>1671</v>
      </c>
      <c r="E64" s="84" t="s">
        <v>1672</v>
      </c>
      <c r="F64" s="154" t="s">
        <v>1673</v>
      </c>
      <c r="G64" s="84" t="s">
        <v>1674</v>
      </c>
      <c r="H64" s="84" t="s">
        <v>1623</v>
      </c>
      <c r="I64" s="213">
        <f>SUM(J64:M64)</f>
        <v>819</v>
      </c>
      <c r="J64" s="182">
        <v>0</v>
      </c>
      <c r="K64" s="182">
        <v>0</v>
      </c>
      <c r="L64" s="213">
        <v>719</v>
      </c>
      <c r="M64" s="213">
        <v>100</v>
      </c>
      <c r="N64" s="84" t="s">
        <v>3371</v>
      </c>
      <c r="O64" s="84"/>
      <c r="P64" s="84" t="s">
        <v>209</v>
      </c>
      <c r="Q64" s="84"/>
      <c r="R64" s="84" t="s">
        <v>1675</v>
      </c>
      <c r="S64" s="84" t="s">
        <v>1239</v>
      </c>
      <c r="T64" s="84" t="s">
        <v>385</v>
      </c>
      <c r="U64" s="84" t="s">
        <v>3382</v>
      </c>
      <c r="V64" s="84" t="s">
        <v>94</v>
      </c>
      <c r="W64" s="213">
        <f>SUM(X64:Y64)</f>
        <v>328</v>
      </c>
      <c r="X64" s="213">
        <v>328</v>
      </c>
      <c r="Y64" s="213">
        <v>0</v>
      </c>
      <c r="Z64" s="84" t="s">
        <v>1676</v>
      </c>
    </row>
    <row r="65" spans="1:26" s="58" customFormat="1" ht="36">
      <c r="A65" s="146">
        <v>61</v>
      </c>
      <c r="B65" s="146" t="s">
        <v>1343</v>
      </c>
      <c r="C65" s="146" t="s">
        <v>1670</v>
      </c>
      <c r="D65" s="84" t="s">
        <v>1677</v>
      </c>
      <c r="E65" s="84" t="s">
        <v>1678</v>
      </c>
      <c r="F65" s="104" t="s">
        <v>1679</v>
      </c>
      <c r="G65" s="84" t="s">
        <v>1680</v>
      </c>
      <c r="H65" s="84" t="s">
        <v>1681</v>
      </c>
      <c r="I65" s="213">
        <v>160</v>
      </c>
      <c r="J65" s="182">
        <v>0</v>
      </c>
      <c r="K65" s="182">
        <v>0</v>
      </c>
      <c r="L65" s="213">
        <v>100</v>
      </c>
      <c r="M65" s="213">
        <v>60</v>
      </c>
      <c r="N65" s="84" t="s">
        <v>3371</v>
      </c>
      <c r="O65" s="84"/>
      <c r="P65" s="84" t="s">
        <v>209</v>
      </c>
      <c r="Q65" s="84"/>
      <c r="R65" s="84" t="s">
        <v>1682</v>
      </c>
      <c r="S65" s="84" t="s">
        <v>108</v>
      </c>
      <c r="T65" s="84" t="s">
        <v>1219</v>
      </c>
      <c r="U65" s="84" t="s">
        <v>3377</v>
      </c>
      <c r="V65" s="84" t="s">
        <v>323</v>
      </c>
      <c r="W65" s="213">
        <f>SUM(X65:Y65)</f>
        <v>100</v>
      </c>
      <c r="X65" s="213">
        <v>100</v>
      </c>
      <c r="Y65" s="213">
        <v>0</v>
      </c>
      <c r="Z65" s="84" t="s">
        <v>114</v>
      </c>
    </row>
    <row r="66" spans="1:26" s="58" customFormat="1" ht="84">
      <c r="A66" s="146">
        <v>62</v>
      </c>
      <c r="B66" s="146" t="s">
        <v>1343</v>
      </c>
      <c r="C66" s="146" t="s">
        <v>1665</v>
      </c>
      <c r="D66" s="84" t="s">
        <v>1683</v>
      </c>
      <c r="E66" s="84" t="s">
        <v>1684</v>
      </c>
      <c r="F66" s="154" t="s">
        <v>1685</v>
      </c>
      <c r="G66" s="84" t="s">
        <v>1686</v>
      </c>
      <c r="H66" s="84" t="s">
        <v>1687</v>
      </c>
      <c r="I66" s="213">
        <f>SUM(J66:M66)</f>
        <v>928</v>
      </c>
      <c r="J66" s="213">
        <v>80</v>
      </c>
      <c r="K66" s="213">
        <v>40</v>
      </c>
      <c r="L66" s="213">
        <v>808</v>
      </c>
      <c r="M66" s="182">
        <v>0</v>
      </c>
      <c r="N66" s="84" t="s">
        <v>151</v>
      </c>
      <c r="O66" s="84" t="s">
        <v>426</v>
      </c>
      <c r="P66" s="84" t="s">
        <v>209</v>
      </c>
      <c r="Q66" s="84" t="s">
        <v>2277</v>
      </c>
      <c r="R66" s="84" t="s">
        <v>1688</v>
      </c>
      <c r="S66" s="84" t="s">
        <v>1239</v>
      </c>
      <c r="T66" s="84" t="s">
        <v>1478</v>
      </c>
      <c r="U66" s="84" t="s">
        <v>3383</v>
      </c>
      <c r="V66" s="84" t="s">
        <v>94</v>
      </c>
      <c r="W66" s="213">
        <f>SUM(X66:Y66)</f>
        <v>205</v>
      </c>
      <c r="X66" s="213">
        <v>201</v>
      </c>
      <c r="Y66" s="213">
        <v>4</v>
      </c>
      <c r="Z66" s="84" t="s">
        <v>1689</v>
      </c>
    </row>
    <row r="67" spans="1:26" s="58" customFormat="1" ht="24">
      <c r="A67" s="146">
        <v>63</v>
      </c>
      <c r="B67" s="146" t="s">
        <v>1210</v>
      </c>
      <c r="C67" s="146" t="s">
        <v>1670</v>
      </c>
      <c r="D67" s="84" t="s">
        <v>1690</v>
      </c>
      <c r="E67" s="84" t="s">
        <v>1691</v>
      </c>
      <c r="F67" s="154" t="s">
        <v>1692</v>
      </c>
      <c r="G67" s="84" t="s">
        <v>1693</v>
      </c>
      <c r="H67" s="84" t="s">
        <v>1694</v>
      </c>
      <c r="I67" s="213">
        <v>100</v>
      </c>
      <c r="J67" s="213">
        <v>300</v>
      </c>
      <c r="K67" s="213">
        <v>700</v>
      </c>
      <c r="L67" s="182">
        <v>0</v>
      </c>
      <c r="M67" s="182">
        <v>0</v>
      </c>
      <c r="N67" s="84" t="s">
        <v>1226</v>
      </c>
      <c r="O67" s="84" t="s">
        <v>1695</v>
      </c>
      <c r="P67" s="84" t="s">
        <v>5</v>
      </c>
      <c r="Q67" s="84"/>
      <c r="R67" s="84" t="s">
        <v>1696</v>
      </c>
      <c r="S67" s="84" t="s">
        <v>1239</v>
      </c>
      <c r="T67" s="84" t="s">
        <v>1697</v>
      </c>
      <c r="U67" s="84" t="s">
        <v>1289</v>
      </c>
      <c r="V67" s="84" t="s">
        <v>323</v>
      </c>
      <c r="W67" s="213">
        <f>SUM(X67:Y67)</f>
        <v>3</v>
      </c>
      <c r="X67" s="213">
        <v>3</v>
      </c>
      <c r="Y67" s="213">
        <v>0</v>
      </c>
      <c r="Z67" s="84" t="s">
        <v>1698</v>
      </c>
    </row>
    <row r="68" spans="1:26" s="58" customFormat="1" ht="36">
      <c r="A68" s="146">
        <v>64</v>
      </c>
      <c r="B68" s="102" t="s">
        <v>40</v>
      </c>
      <c r="C68" s="146" t="s">
        <v>1699</v>
      </c>
      <c r="D68" s="84" t="s">
        <v>1700</v>
      </c>
      <c r="E68" s="84" t="s">
        <v>1701</v>
      </c>
      <c r="F68" s="154" t="s">
        <v>1702</v>
      </c>
      <c r="G68" s="84" t="s">
        <v>1703</v>
      </c>
      <c r="H68" s="84" t="s">
        <v>1704</v>
      </c>
      <c r="I68" s="213">
        <v>400</v>
      </c>
      <c r="J68" s="182">
        <v>0</v>
      </c>
      <c r="K68" s="182">
        <v>0</v>
      </c>
      <c r="L68" s="213">
        <v>400</v>
      </c>
      <c r="M68" s="182">
        <v>0</v>
      </c>
      <c r="N68" s="84" t="s">
        <v>3371</v>
      </c>
      <c r="O68" s="84"/>
      <c r="P68" s="84" t="s">
        <v>209</v>
      </c>
      <c r="Q68" s="84"/>
      <c r="R68" s="84" t="s">
        <v>1388</v>
      </c>
      <c r="S68" s="84" t="s">
        <v>1239</v>
      </c>
      <c r="T68" s="84" t="s">
        <v>183</v>
      </c>
      <c r="U68" s="84" t="s">
        <v>3431</v>
      </c>
      <c r="V68" s="84">
        <v>100</v>
      </c>
      <c r="W68" s="213">
        <v>120</v>
      </c>
      <c r="X68" s="213">
        <v>0</v>
      </c>
      <c r="Y68" s="86">
        <v>0</v>
      </c>
      <c r="Z68" s="84" t="s">
        <v>1705</v>
      </c>
    </row>
    <row r="69" spans="1:26" s="58" customFormat="1" ht="36">
      <c r="A69" s="146">
        <v>65</v>
      </c>
      <c r="B69" s="102" t="s">
        <v>40</v>
      </c>
      <c r="C69" s="146" t="s">
        <v>1699</v>
      </c>
      <c r="D69" s="84" t="s">
        <v>1706</v>
      </c>
      <c r="E69" s="84" t="s">
        <v>1707</v>
      </c>
      <c r="F69" s="154" t="s">
        <v>1708</v>
      </c>
      <c r="G69" s="84" t="s">
        <v>1709</v>
      </c>
      <c r="H69" s="84" t="s">
        <v>1710</v>
      </c>
      <c r="I69" s="213">
        <v>420</v>
      </c>
      <c r="J69" s="182">
        <v>0</v>
      </c>
      <c r="K69" s="182">
        <v>0</v>
      </c>
      <c r="L69" s="213">
        <v>420</v>
      </c>
      <c r="M69" s="182">
        <v>0</v>
      </c>
      <c r="N69" s="84" t="s">
        <v>3371</v>
      </c>
      <c r="O69" s="84"/>
      <c r="P69" s="84" t="s">
        <v>209</v>
      </c>
      <c r="Q69" s="84" t="s">
        <v>2342</v>
      </c>
      <c r="R69" s="84" t="s">
        <v>1711</v>
      </c>
      <c r="S69" s="84" t="s">
        <v>108</v>
      </c>
      <c r="T69" s="84" t="s">
        <v>183</v>
      </c>
      <c r="U69" s="84" t="s">
        <v>3431</v>
      </c>
      <c r="V69" s="84">
        <f t="shared" ref="V69" si="3">SUM(W69:X69)</f>
        <v>150</v>
      </c>
      <c r="W69" s="213">
        <v>150</v>
      </c>
      <c r="X69" s="213">
        <v>0</v>
      </c>
      <c r="Y69" s="86">
        <v>0</v>
      </c>
      <c r="Z69" s="84" t="s">
        <v>1712</v>
      </c>
    </row>
    <row r="70" spans="1:26" s="58" customFormat="1" ht="60">
      <c r="A70" s="146">
        <v>66</v>
      </c>
      <c r="B70" s="102" t="s">
        <v>40</v>
      </c>
      <c r="C70" s="102" t="s">
        <v>1699</v>
      </c>
      <c r="D70" s="75" t="s">
        <v>1713</v>
      </c>
      <c r="E70" s="75" t="s">
        <v>1714</v>
      </c>
      <c r="F70" s="104" t="s">
        <v>1715</v>
      </c>
      <c r="G70" s="75" t="s">
        <v>1716</v>
      </c>
      <c r="H70" s="75" t="s">
        <v>941</v>
      </c>
      <c r="I70" s="182">
        <v>295</v>
      </c>
      <c r="J70" s="182">
        <v>160</v>
      </c>
      <c r="K70" s="182">
        <v>0</v>
      </c>
      <c r="L70" s="182">
        <v>75</v>
      </c>
      <c r="M70" s="182">
        <v>60</v>
      </c>
      <c r="N70" s="84" t="s">
        <v>3371</v>
      </c>
      <c r="O70" s="146"/>
      <c r="P70" s="75" t="s">
        <v>140</v>
      </c>
      <c r="Q70" s="75"/>
      <c r="R70" s="75" t="s">
        <v>1717</v>
      </c>
      <c r="S70" s="75" t="s">
        <v>312</v>
      </c>
      <c r="T70" s="75" t="s">
        <v>1719</v>
      </c>
      <c r="U70" s="84" t="s">
        <v>3431</v>
      </c>
      <c r="V70" s="75" t="s">
        <v>466</v>
      </c>
      <c r="W70" s="213">
        <v>90</v>
      </c>
      <c r="X70" s="213">
        <v>90</v>
      </c>
      <c r="Y70" s="86">
        <v>0</v>
      </c>
      <c r="Z70" s="75" t="s">
        <v>1720</v>
      </c>
    </row>
    <row r="71" spans="1:26" s="58" customFormat="1" ht="56.25" customHeight="1">
      <c r="A71" s="146">
        <v>67</v>
      </c>
      <c r="B71" s="102" t="s">
        <v>1210</v>
      </c>
      <c r="C71" s="102" t="s">
        <v>1699</v>
      </c>
      <c r="D71" s="75" t="s">
        <v>1721</v>
      </c>
      <c r="E71" s="75" t="s">
        <v>1722</v>
      </c>
      <c r="F71" s="104" t="s">
        <v>1723</v>
      </c>
      <c r="G71" s="75" t="s">
        <v>1724</v>
      </c>
      <c r="H71" s="75" t="s">
        <v>1725</v>
      </c>
      <c r="I71" s="182">
        <v>84</v>
      </c>
      <c r="J71" s="182">
        <v>0</v>
      </c>
      <c r="K71" s="182">
        <v>0</v>
      </c>
      <c r="L71" s="182">
        <v>84</v>
      </c>
      <c r="M71" s="182">
        <v>0</v>
      </c>
      <c r="N71" s="84" t="s">
        <v>3371</v>
      </c>
      <c r="O71" s="146"/>
      <c r="P71" s="75" t="s">
        <v>140</v>
      </c>
      <c r="Q71" s="75"/>
      <c r="R71" s="75" t="s">
        <v>1726</v>
      </c>
      <c r="S71" s="75" t="s">
        <v>1239</v>
      </c>
      <c r="T71" s="75" t="s">
        <v>91</v>
      </c>
      <c r="U71" s="75" t="s">
        <v>3384</v>
      </c>
      <c r="V71" s="75" t="s">
        <v>1262</v>
      </c>
      <c r="W71" s="213">
        <v>100</v>
      </c>
      <c r="X71" s="213">
        <v>100</v>
      </c>
      <c r="Y71" s="86">
        <v>0</v>
      </c>
      <c r="Z71" s="75" t="s">
        <v>1727</v>
      </c>
    </row>
    <row r="72" spans="1:26" s="58" customFormat="1" ht="108">
      <c r="A72" s="146">
        <v>68</v>
      </c>
      <c r="B72" s="102" t="s">
        <v>40</v>
      </c>
      <c r="C72" s="102" t="s">
        <v>1728</v>
      </c>
      <c r="D72" s="75" t="s">
        <v>1729</v>
      </c>
      <c r="E72" s="75" t="s">
        <v>1730</v>
      </c>
      <c r="F72" s="104" t="s">
        <v>1731</v>
      </c>
      <c r="G72" s="75" t="s">
        <v>1732</v>
      </c>
      <c r="H72" s="75" t="s">
        <v>351</v>
      </c>
      <c r="I72" s="182">
        <v>580</v>
      </c>
      <c r="J72" s="182">
        <v>0</v>
      </c>
      <c r="K72" s="182">
        <v>0</v>
      </c>
      <c r="L72" s="182">
        <v>380</v>
      </c>
      <c r="M72" s="182">
        <v>200</v>
      </c>
      <c r="N72" s="84" t="s">
        <v>3371</v>
      </c>
      <c r="O72" s="146"/>
      <c r="P72" s="75" t="s">
        <v>1319</v>
      </c>
      <c r="Q72" s="75"/>
      <c r="R72" s="75" t="s">
        <v>1717</v>
      </c>
      <c r="S72" s="75" t="s">
        <v>1239</v>
      </c>
      <c r="T72" s="75" t="s">
        <v>1733</v>
      </c>
      <c r="U72" s="84" t="s">
        <v>3431</v>
      </c>
      <c r="V72" s="75" t="s">
        <v>1734</v>
      </c>
      <c r="W72" s="213">
        <v>150</v>
      </c>
      <c r="X72" s="213">
        <v>150</v>
      </c>
      <c r="Y72" s="86">
        <v>0</v>
      </c>
      <c r="Z72" s="75" t="s">
        <v>1720</v>
      </c>
    </row>
    <row r="73" spans="1:26" s="58" customFormat="1" ht="48">
      <c r="A73" s="146">
        <v>69</v>
      </c>
      <c r="B73" s="102" t="s">
        <v>40</v>
      </c>
      <c r="C73" s="102" t="s">
        <v>1728</v>
      </c>
      <c r="D73" s="75" t="s">
        <v>1735</v>
      </c>
      <c r="E73" s="75" t="s">
        <v>1736</v>
      </c>
      <c r="F73" s="104" t="s">
        <v>1737</v>
      </c>
      <c r="G73" s="75" t="s">
        <v>1738</v>
      </c>
      <c r="H73" s="75" t="s">
        <v>626</v>
      </c>
      <c r="I73" s="182">
        <v>1790</v>
      </c>
      <c r="J73" s="182">
        <v>70</v>
      </c>
      <c r="K73" s="182">
        <v>1190</v>
      </c>
      <c r="L73" s="182">
        <v>220</v>
      </c>
      <c r="M73" s="182">
        <v>310</v>
      </c>
      <c r="N73" s="84" t="s">
        <v>3371</v>
      </c>
      <c r="O73" s="146"/>
      <c r="P73" s="75" t="s">
        <v>140</v>
      </c>
      <c r="Q73" s="75"/>
      <c r="R73" s="75" t="s">
        <v>1740</v>
      </c>
      <c r="S73" s="75" t="s">
        <v>1239</v>
      </c>
      <c r="T73" s="75" t="s">
        <v>3386</v>
      </c>
      <c r="U73" s="75" t="s">
        <v>3385</v>
      </c>
      <c r="V73" s="75" t="s">
        <v>212</v>
      </c>
      <c r="W73" s="213">
        <v>15</v>
      </c>
      <c r="X73" s="213">
        <v>15</v>
      </c>
      <c r="Y73" s="86">
        <v>0</v>
      </c>
      <c r="Z73" s="75" t="s">
        <v>1741</v>
      </c>
    </row>
    <row r="74" spans="1:26" s="58" customFormat="1" ht="60">
      <c r="A74" s="146">
        <v>70</v>
      </c>
      <c r="B74" s="102" t="s">
        <v>40</v>
      </c>
      <c r="C74" s="102" t="s">
        <v>1742</v>
      </c>
      <c r="D74" s="75" t="s">
        <v>1743</v>
      </c>
      <c r="E74" s="75" t="s">
        <v>1744</v>
      </c>
      <c r="F74" s="104" t="s">
        <v>1745</v>
      </c>
      <c r="G74" s="75" t="s">
        <v>1746</v>
      </c>
      <c r="H74" s="75" t="s">
        <v>1747</v>
      </c>
      <c r="I74" s="182">
        <v>200</v>
      </c>
      <c r="J74" s="182">
        <v>0</v>
      </c>
      <c r="K74" s="182">
        <v>200</v>
      </c>
      <c r="L74" s="182">
        <v>0</v>
      </c>
      <c r="M74" s="182">
        <v>0</v>
      </c>
      <c r="N74" s="84" t="s">
        <v>3371</v>
      </c>
      <c r="O74" s="75"/>
      <c r="P74" s="75" t="s">
        <v>5</v>
      </c>
      <c r="Q74" s="75"/>
      <c r="R74" s="75" t="s">
        <v>1748</v>
      </c>
      <c r="S74" s="75" t="s">
        <v>108</v>
      </c>
      <c r="T74" s="75" t="s">
        <v>343</v>
      </c>
      <c r="U74" s="75" t="s">
        <v>294</v>
      </c>
      <c r="V74" s="75" t="s">
        <v>212</v>
      </c>
      <c r="W74" s="213">
        <v>15</v>
      </c>
      <c r="X74" s="213">
        <v>14</v>
      </c>
      <c r="Y74" s="86">
        <v>0</v>
      </c>
      <c r="Z74" s="75" t="s">
        <v>1749</v>
      </c>
    </row>
    <row r="75" spans="1:26" s="58" customFormat="1" ht="48">
      <c r="A75" s="146">
        <v>71</v>
      </c>
      <c r="B75" s="102" t="s">
        <v>1210</v>
      </c>
      <c r="C75" s="102" t="s">
        <v>1750</v>
      </c>
      <c r="D75" s="75" t="s">
        <v>1751</v>
      </c>
      <c r="E75" s="75" t="s">
        <v>975</v>
      </c>
      <c r="F75" s="104" t="s">
        <v>1752</v>
      </c>
      <c r="G75" s="75" t="s">
        <v>1753</v>
      </c>
      <c r="H75" s="75" t="s">
        <v>1754</v>
      </c>
      <c r="I75" s="182">
        <v>570</v>
      </c>
      <c r="J75" s="182">
        <v>0</v>
      </c>
      <c r="K75" s="182">
        <v>0</v>
      </c>
      <c r="L75" s="182">
        <v>570</v>
      </c>
      <c r="M75" s="182">
        <v>0</v>
      </c>
      <c r="N75" s="84" t="s">
        <v>3371</v>
      </c>
      <c r="O75" s="84"/>
      <c r="P75" s="75" t="s">
        <v>1176</v>
      </c>
      <c r="Q75" s="75"/>
      <c r="R75" s="75" t="s">
        <v>1755</v>
      </c>
      <c r="S75" s="75" t="s">
        <v>1239</v>
      </c>
      <c r="T75" s="75" t="s">
        <v>385</v>
      </c>
      <c r="U75" s="75" t="s">
        <v>1756</v>
      </c>
      <c r="V75" s="84" t="s">
        <v>94</v>
      </c>
      <c r="W75" s="218">
        <v>60</v>
      </c>
      <c r="X75" s="218">
        <v>60</v>
      </c>
      <c r="Y75" s="182">
        <v>0</v>
      </c>
      <c r="Z75" s="75" t="s">
        <v>1757</v>
      </c>
    </row>
    <row r="76" spans="1:26" s="58" customFormat="1" ht="36">
      <c r="A76" s="146">
        <v>72</v>
      </c>
      <c r="B76" s="102" t="s">
        <v>40</v>
      </c>
      <c r="C76" s="102" t="s">
        <v>1759</v>
      </c>
      <c r="D76" s="75" t="s">
        <v>1760</v>
      </c>
      <c r="E76" s="75" t="s">
        <v>1761</v>
      </c>
      <c r="F76" s="104" t="s">
        <v>1762</v>
      </c>
      <c r="G76" s="75" t="s">
        <v>1763</v>
      </c>
      <c r="H76" s="75" t="s">
        <v>1764</v>
      </c>
      <c r="I76" s="182">
        <v>400</v>
      </c>
      <c r="J76" s="182">
        <v>0</v>
      </c>
      <c r="K76" s="182">
        <v>0</v>
      </c>
      <c r="L76" s="182">
        <v>400</v>
      </c>
      <c r="M76" s="182">
        <v>0</v>
      </c>
      <c r="N76" s="84" t="s">
        <v>3371</v>
      </c>
      <c r="O76" s="84"/>
      <c r="P76" s="75" t="s">
        <v>87</v>
      </c>
      <c r="Q76" s="75"/>
      <c r="R76" s="75" t="s">
        <v>1342</v>
      </c>
      <c r="S76" s="75" t="s">
        <v>1239</v>
      </c>
      <c r="T76" s="75" t="s">
        <v>1219</v>
      </c>
      <c r="U76" s="75" t="s">
        <v>294</v>
      </c>
      <c r="V76" s="75" t="s">
        <v>1765</v>
      </c>
      <c r="W76" s="218">
        <v>192</v>
      </c>
      <c r="X76" s="218">
        <v>192</v>
      </c>
      <c r="Y76" s="182">
        <v>0</v>
      </c>
      <c r="Z76" s="84" t="s">
        <v>1766</v>
      </c>
    </row>
    <row r="77" spans="1:26" s="58" customFormat="1" ht="108">
      <c r="A77" s="146">
        <v>73</v>
      </c>
      <c r="B77" s="146" t="s">
        <v>1210</v>
      </c>
      <c r="C77" s="146" t="s">
        <v>1759</v>
      </c>
      <c r="D77" s="84" t="s">
        <v>1767</v>
      </c>
      <c r="E77" s="84" t="s">
        <v>946</v>
      </c>
      <c r="F77" s="154" t="s">
        <v>1768</v>
      </c>
      <c r="G77" s="84" t="s">
        <v>1769</v>
      </c>
      <c r="H77" s="84" t="s">
        <v>1538</v>
      </c>
      <c r="I77" s="213">
        <f>SUM(J77:M77)</f>
        <v>295</v>
      </c>
      <c r="J77" s="182">
        <v>0</v>
      </c>
      <c r="K77" s="182">
        <v>0</v>
      </c>
      <c r="L77" s="213">
        <v>295</v>
      </c>
      <c r="M77" s="182">
        <v>0</v>
      </c>
      <c r="N77" s="84" t="s">
        <v>3371</v>
      </c>
      <c r="O77" s="84"/>
      <c r="P77" s="84" t="s">
        <v>5</v>
      </c>
      <c r="Q77" s="75"/>
      <c r="R77" s="75" t="s">
        <v>1770</v>
      </c>
      <c r="S77" s="75" t="s">
        <v>108</v>
      </c>
      <c r="T77" s="75" t="s">
        <v>1305</v>
      </c>
      <c r="U77" s="84" t="s">
        <v>3431</v>
      </c>
      <c r="V77" s="75" t="s">
        <v>1771</v>
      </c>
      <c r="W77" s="213">
        <f>SUM(X77:Y77)</f>
        <v>220</v>
      </c>
      <c r="X77" s="218">
        <v>215</v>
      </c>
      <c r="Y77" s="218">
        <v>5</v>
      </c>
      <c r="Z77" s="84" t="s">
        <v>1772</v>
      </c>
    </row>
    <row r="78" spans="1:26" s="58" customFormat="1" ht="36">
      <c r="A78" s="146">
        <v>74</v>
      </c>
      <c r="B78" s="146" t="s">
        <v>1210</v>
      </c>
      <c r="C78" s="146" t="s">
        <v>1758</v>
      </c>
      <c r="D78" s="84" t="s">
        <v>1773</v>
      </c>
      <c r="E78" s="84" t="s">
        <v>1774</v>
      </c>
      <c r="F78" s="154" t="s">
        <v>1775</v>
      </c>
      <c r="G78" s="75" t="s">
        <v>1776</v>
      </c>
      <c r="H78" s="84" t="s">
        <v>1245</v>
      </c>
      <c r="I78" s="213">
        <v>120</v>
      </c>
      <c r="J78" s="182">
        <v>0</v>
      </c>
      <c r="K78" s="182">
        <v>0</v>
      </c>
      <c r="L78" s="213">
        <v>80</v>
      </c>
      <c r="M78" s="213">
        <v>40</v>
      </c>
      <c r="N78" s="84" t="s">
        <v>3371</v>
      </c>
      <c r="O78" s="84"/>
      <c r="P78" s="84" t="s">
        <v>209</v>
      </c>
      <c r="Q78" s="75"/>
      <c r="R78" s="84" t="s">
        <v>1777</v>
      </c>
      <c r="S78" s="84" t="s">
        <v>108</v>
      </c>
      <c r="T78" s="84" t="s">
        <v>1390</v>
      </c>
      <c r="U78" s="84" t="s">
        <v>3431</v>
      </c>
      <c r="V78" s="75" t="s">
        <v>1765</v>
      </c>
      <c r="W78" s="213">
        <f>SUM(X78:Y78)</f>
        <v>300</v>
      </c>
      <c r="X78" s="213">
        <v>299</v>
      </c>
      <c r="Y78" s="213">
        <v>1</v>
      </c>
      <c r="Z78" s="84" t="s">
        <v>1778</v>
      </c>
    </row>
    <row r="79" spans="1:26" s="58" customFormat="1" ht="24">
      <c r="A79" s="146">
        <v>75</v>
      </c>
      <c r="B79" s="146" t="s">
        <v>1210</v>
      </c>
      <c r="C79" s="146" t="s">
        <v>1779</v>
      </c>
      <c r="D79" s="84" t="s">
        <v>1780</v>
      </c>
      <c r="E79" s="84" t="s">
        <v>1781</v>
      </c>
      <c r="F79" s="154" t="s">
        <v>1782</v>
      </c>
      <c r="G79" s="84" t="s">
        <v>1783</v>
      </c>
      <c r="H79" s="84" t="s">
        <v>1785</v>
      </c>
      <c r="I79" s="213">
        <v>280</v>
      </c>
      <c r="J79" s="182">
        <v>0</v>
      </c>
      <c r="K79" s="182">
        <v>0</v>
      </c>
      <c r="L79" s="213">
        <v>280</v>
      </c>
      <c r="M79" s="182">
        <v>0</v>
      </c>
      <c r="N79" s="84" t="s">
        <v>3371</v>
      </c>
      <c r="O79" s="84"/>
      <c r="P79" s="84" t="s">
        <v>5</v>
      </c>
      <c r="Q79" s="84"/>
      <c r="R79" s="84" t="s">
        <v>1786</v>
      </c>
      <c r="S79" s="84" t="s">
        <v>108</v>
      </c>
      <c r="T79" s="84" t="s">
        <v>723</v>
      </c>
      <c r="U79" s="84" t="s">
        <v>93</v>
      </c>
      <c r="V79" s="84" t="s">
        <v>1220</v>
      </c>
      <c r="W79" s="213">
        <f>SUM(X79:Y79)</f>
        <v>0</v>
      </c>
      <c r="X79" s="213" t="s">
        <v>1787</v>
      </c>
      <c r="Y79" s="213" t="s">
        <v>1788</v>
      </c>
      <c r="Z79" s="84" t="s">
        <v>124</v>
      </c>
    </row>
    <row r="80" spans="1:26" s="58" customFormat="1" ht="36">
      <c r="A80" s="146">
        <v>76</v>
      </c>
      <c r="B80" s="102" t="s">
        <v>40</v>
      </c>
      <c r="C80" s="102" t="s">
        <v>1789</v>
      </c>
      <c r="D80" s="75" t="s">
        <v>1790</v>
      </c>
      <c r="E80" s="75" t="s">
        <v>1791</v>
      </c>
      <c r="F80" s="104" t="s">
        <v>1792</v>
      </c>
      <c r="G80" s="75" t="s">
        <v>1793</v>
      </c>
      <c r="H80" s="75" t="s">
        <v>712</v>
      </c>
      <c r="I80" s="182">
        <v>290</v>
      </c>
      <c r="J80" s="182">
        <v>0</v>
      </c>
      <c r="K80" s="182">
        <v>0</v>
      </c>
      <c r="L80" s="182">
        <v>290</v>
      </c>
      <c r="M80" s="182">
        <v>0</v>
      </c>
      <c r="N80" s="84" t="s">
        <v>3371</v>
      </c>
      <c r="O80" s="214"/>
      <c r="P80" s="75" t="s">
        <v>1177</v>
      </c>
      <c r="Q80" s="75"/>
      <c r="R80" s="75" t="s">
        <v>1794</v>
      </c>
      <c r="S80" s="75" t="s">
        <v>108</v>
      </c>
      <c r="T80" s="75" t="s">
        <v>91</v>
      </c>
      <c r="U80" s="75" t="s">
        <v>1795</v>
      </c>
      <c r="V80" s="84" t="s">
        <v>212</v>
      </c>
      <c r="W80" s="182">
        <v>30.4</v>
      </c>
      <c r="X80" s="182">
        <v>30.3</v>
      </c>
      <c r="Y80" s="182">
        <v>0</v>
      </c>
      <c r="Z80" s="84" t="s">
        <v>1796</v>
      </c>
    </row>
    <row r="81" spans="1:26" s="58" customFormat="1" ht="36">
      <c r="A81" s="146">
        <v>77</v>
      </c>
      <c r="B81" s="146" t="s">
        <v>1343</v>
      </c>
      <c r="C81" s="146" t="s">
        <v>1789</v>
      </c>
      <c r="D81" s="84" t="s">
        <v>1797</v>
      </c>
      <c r="E81" s="84" t="s">
        <v>1798</v>
      </c>
      <c r="F81" s="154" t="s">
        <v>1799</v>
      </c>
      <c r="G81" s="84" t="s">
        <v>1800</v>
      </c>
      <c r="H81" s="84" t="s">
        <v>1801</v>
      </c>
      <c r="I81" s="213">
        <v>90</v>
      </c>
      <c r="J81" s="182">
        <v>0</v>
      </c>
      <c r="K81" s="182">
        <v>0</v>
      </c>
      <c r="L81" s="213">
        <v>90</v>
      </c>
      <c r="M81" s="182">
        <v>0</v>
      </c>
      <c r="N81" s="84" t="s">
        <v>3371</v>
      </c>
      <c r="O81" s="84"/>
      <c r="P81" s="84" t="s">
        <v>247</v>
      </c>
      <c r="Q81" s="75"/>
      <c r="R81" s="84" t="s">
        <v>1802</v>
      </c>
      <c r="S81" s="84" t="s">
        <v>108</v>
      </c>
      <c r="T81" s="84" t="s">
        <v>1803</v>
      </c>
      <c r="U81" s="84" t="s">
        <v>1804</v>
      </c>
      <c r="V81" s="84" t="s">
        <v>212</v>
      </c>
      <c r="W81" s="213">
        <f>SUM(X81:Y81)</f>
        <v>5</v>
      </c>
      <c r="X81" s="213">
        <v>5</v>
      </c>
      <c r="Y81" s="213">
        <v>0</v>
      </c>
      <c r="Z81" s="84" t="s">
        <v>1805</v>
      </c>
    </row>
    <row r="82" spans="1:26" s="58" customFormat="1" ht="36">
      <c r="A82" s="146">
        <v>78</v>
      </c>
      <c r="B82" s="102" t="s">
        <v>40</v>
      </c>
      <c r="C82" s="102" t="s">
        <v>1789</v>
      </c>
      <c r="D82" s="75" t="s">
        <v>1806</v>
      </c>
      <c r="E82" s="75" t="s">
        <v>1807</v>
      </c>
      <c r="F82" s="104" t="s">
        <v>1808</v>
      </c>
      <c r="G82" s="75" t="s">
        <v>1810</v>
      </c>
      <c r="H82" s="75" t="s">
        <v>1811</v>
      </c>
      <c r="I82" s="182">
        <v>100</v>
      </c>
      <c r="J82" s="182">
        <v>0</v>
      </c>
      <c r="K82" s="182">
        <v>100</v>
      </c>
      <c r="L82" s="182">
        <v>0</v>
      </c>
      <c r="M82" s="182">
        <v>0</v>
      </c>
      <c r="N82" s="84" t="s">
        <v>3371</v>
      </c>
      <c r="O82" s="146"/>
      <c r="P82" s="75" t="s">
        <v>140</v>
      </c>
      <c r="Q82" s="75"/>
      <c r="R82" s="75" t="s">
        <v>1812</v>
      </c>
      <c r="S82" s="75" t="s">
        <v>312</v>
      </c>
      <c r="T82" s="75" t="s">
        <v>1813</v>
      </c>
      <c r="U82" s="84" t="s">
        <v>3431</v>
      </c>
      <c r="V82" s="75" t="s">
        <v>1262</v>
      </c>
      <c r="W82" s="213">
        <f>SUM(X82:Y82)</f>
        <v>30</v>
      </c>
      <c r="X82" s="213">
        <v>28</v>
      </c>
      <c r="Y82" s="213">
        <v>2</v>
      </c>
      <c r="Z82" s="75" t="s">
        <v>1814</v>
      </c>
    </row>
    <row r="83" spans="1:26" s="58" customFormat="1" ht="36">
      <c r="A83" s="146">
        <v>79</v>
      </c>
      <c r="B83" s="102" t="s">
        <v>1550</v>
      </c>
      <c r="C83" s="102" t="s">
        <v>1789</v>
      </c>
      <c r="D83" s="75" t="s">
        <v>1815</v>
      </c>
      <c r="E83" s="75" t="s">
        <v>1816</v>
      </c>
      <c r="F83" s="104" t="s">
        <v>1817</v>
      </c>
      <c r="G83" s="75" t="s">
        <v>1809</v>
      </c>
      <c r="H83" s="75" t="s">
        <v>1818</v>
      </c>
      <c r="I83" s="182">
        <v>100</v>
      </c>
      <c r="J83" s="182">
        <v>0</v>
      </c>
      <c r="K83" s="182">
        <v>100</v>
      </c>
      <c r="L83" s="182">
        <v>0</v>
      </c>
      <c r="M83" s="182">
        <v>0</v>
      </c>
      <c r="N83" s="84" t="s">
        <v>3371</v>
      </c>
      <c r="O83" s="146"/>
      <c r="P83" s="75" t="s">
        <v>1319</v>
      </c>
      <c r="Q83" s="75"/>
      <c r="R83" s="75" t="s">
        <v>1812</v>
      </c>
      <c r="S83" s="75" t="s">
        <v>1239</v>
      </c>
      <c r="T83" s="75" t="s">
        <v>1813</v>
      </c>
      <c r="U83" s="84" t="s">
        <v>3431</v>
      </c>
      <c r="V83" s="75" t="s">
        <v>1262</v>
      </c>
      <c r="W83" s="213">
        <f>SUM(X83:Y83)</f>
        <v>21</v>
      </c>
      <c r="X83" s="213">
        <v>20</v>
      </c>
      <c r="Y83" s="213">
        <v>1</v>
      </c>
      <c r="Z83" s="75" t="s">
        <v>1819</v>
      </c>
    </row>
    <row r="84" spans="1:26" s="58" customFormat="1" ht="48">
      <c r="A84" s="146">
        <v>80</v>
      </c>
      <c r="B84" s="146" t="s">
        <v>1343</v>
      </c>
      <c r="C84" s="146" t="s">
        <v>1821</v>
      </c>
      <c r="D84" s="84" t="s">
        <v>1822</v>
      </c>
      <c r="E84" s="84" t="s">
        <v>1823</v>
      </c>
      <c r="F84" s="154" t="s">
        <v>1824</v>
      </c>
      <c r="G84" s="84" t="s">
        <v>1825</v>
      </c>
      <c r="H84" s="84" t="s">
        <v>351</v>
      </c>
      <c r="I84" s="213">
        <v>570</v>
      </c>
      <c r="J84" s="182">
        <v>0</v>
      </c>
      <c r="K84" s="213">
        <v>21</v>
      </c>
      <c r="L84" s="213">
        <v>549</v>
      </c>
      <c r="M84" s="182">
        <v>0</v>
      </c>
      <c r="N84" s="84" t="s">
        <v>3371</v>
      </c>
      <c r="O84" s="84"/>
      <c r="P84" s="84" t="s">
        <v>247</v>
      </c>
      <c r="Q84" s="84"/>
      <c r="R84" s="75" t="s">
        <v>1826</v>
      </c>
      <c r="S84" s="84" t="s">
        <v>312</v>
      </c>
      <c r="T84" s="84" t="s">
        <v>1718</v>
      </c>
      <c r="U84" s="84" t="s">
        <v>3431</v>
      </c>
      <c r="V84" s="84" t="s">
        <v>1262</v>
      </c>
      <c r="W84" s="213">
        <v>500</v>
      </c>
      <c r="X84" s="213">
        <v>500</v>
      </c>
      <c r="Y84" s="213">
        <v>0</v>
      </c>
      <c r="Z84" s="84" t="s">
        <v>1827</v>
      </c>
    </row>
    <row r="85" spans="1:26" s="58" customFormat="1" ht="36">
      <c r="A85" s="146">
        <v>81</v>
      </c>
      <c r="B85" s="146" t="s">
        <v>1343</v>
      </c>
      <c r="C85" s="146" t="s">
        <v>1820</v>
      </c>
      <c r="D85" s="75" t="s">
        <v>1828</v>
      </c>
      <c r="E85" s="75" t="s">
        <v>1829</v>
      </c>
      <c r="F85" s="104" t="s">
        <v>1830</v>
      </c>
      <c r="G85" s="75" t="s">
        <v>1832</v>
      </c>
      <c r="H85" s="75" t="s">
        <v>1833</v>
      </c>
      <c r="I85" s="182">
        <v>200</v>
      </c>
      <c r="J85" s="182">
        <v>0</v>
      </c>
      <c r="K85" s="182"/>
      <c r="L85" s="182">
        <v>200</v>
      </c>
      <c r="M85" s="182">
        <v>0</v>
      </c>
      <c r="N85" s="84" t="s">
        <v>3371</v>
      </c>
      <c r="O85" s="84"/>
      <c r="P85" s="75" t="s">
        <v>140</v>
      </c>
      <c r="Q85" s="214"/>
      <c r="R85" s="75" t="s">
        <v>1834</v>
      </c>
      <c r="S85" s="75" t="s">
        <v>108</v>
      </c>
      <c r="T85" s="75" t="s">
        <v>1835</v>
      </c>
      <c r="U85" s="84" t="s">
        <v>3431</v>
      </c>
      <c r="V85" s="75" t="s">
        <v>1220</v>
      </c>
      <c r="W85" s="213">
        <v>100</v>
      </c>
      <c r="X85" s="213">
        <v>100</v>
      </c>
      <c r="Y85" s="213">
        <v>0</v>
      </c>
      <c r="Z85" s="84" t="s">
        <v>1836</v>
      </c>
    </row>
    <row r="86" spans="1:26" s="58" customFormat="1" ht="48">
      <c r="A86" s="146">
        <v>82</v>
      </c>
      <c r="B86" s="146" t="s">
        <v>1343</v>
      </c>
      <c r="C86" s="146" t="s">
        <v>1821</v>
      </c>
      <c r="D86" s="84" t="s">
        <v>1837</v>
      </c>
      <c r="E86" s="84" t="s">
        <v>1838</v>
      </c>
      <c r="F86" s="154" t="s">
        <v>1824</v>
      </c>
      <c r="G86" s="84" t="s">
        <v>1825</v>
      </c>
      <c r="H86" s="84" t="s">
        <v>1833</v>
      </c>
      <c r="I86" s="213">
        <v>570</v>
      </c>
      <c r="J86" s="182">
        <v>0</v>
      </c>
      <c r="K86" s="213">
        <v>21</v>
      </c>
      <c r="L86" s="213">
        <v>549</v>
      </c>
      <c r="M86" s="182">
        <v>0</v>
      </c>
      <c r="N86" s="84" t="s">
        <v>3371</v>
      </c>
      <c r="O86" s="84"/>
      <c r="P86" s="84" t="s">
        <v>247</v>
      </c>
      <c r="Q86" s="84"/>
      <c r="R86" s="75" t="s">
        <v>1839</v>
      </c>
      <c r="S86" s="84" t="s">
        <v>108</v>
      </c>
      <c r="T86" s="84" t="s">
        <v>1719</v>
      </c>
      <c r="U86" s="84" t="s">
        <v>3431</v>
      </c>
      <c r="V86" s="84" t="s">
        <v>1262</v>
      </c>
      <c r="W86" s="213">
        <v>500</v>
      </c>
      <c r="X86" s="213">
        <v>500</v>
      </c>
      <c r="Y86" s="213">
        <v>0</v>
      </c>
      <c r="Z86" s="84" t="s">
        <v>1840</v>
      </c>
    </row>
    <row r="87" spans="1:26" s="58" customFormat="1" ht="36">
      <c r="A87" s="146">
        <v>83</v>
      </c>
      <c r="B87" s="146" t="s">
        <v>1343</v>
      </c>
      <c r="C87" s="146" t="s">
        <v>1820</v>
      </c>
      <c r="D87" s="75" t="s">
        <v>1828</v>
      </c>
      <c r="E87" s="75" t="s">
        <v>1841</v>
      </c>
      <c r="F87" s="104" t="s">
        <v>1830</v>
      </c>
      <c r="G87" s="75" t="s">
        <v>1831</v>
      </c>
      <c r="H87" s="75" t="s">
        <v>351</v>
      </c>
      <c r="I87" s="182">
        <v>200</v>
      </c>
      <c r="J87" s="182">
        <v>0</v>
      </c>
      <c r="K87" s="182">
        <v>0</v>
      </c>
      <c r="L87" s="182">
        <v>200</v>
      </c>
      <c r="M87" s="182">
        <v>0</v>
      </c>
      <c r="N87" s="84" t="s">
        <v>3371</v>
      </c>
      <c r="O87" s="84"/>
      <c r="P87" s="75" t="s">
        <v>1177</v>
      </c>
      <c r="Q87" s="214"/>
      <c r="R87" s="75" t="s">
        <v>195</v>
      </c>
      <c r="S87" s="75" t="s">
        <v>1239</v>
      </c>
      <c r="T87" s="75" t="s">
        <v>1835</v>
      </c>
      <c r="U87" s="84" t="s">
        <v>3431</v>
      </c>
      <c r="V87" s="75" t="s">
        <v>1220</v>
      </c>
      <c r="W87" s="213">
        <v>100</v>
      </c>
      <c r="X87" s="213">
        <v>100</v>
      </c>
      <c r="Y87" s="213">
        <v>0</v>
      </c>
      <c r="Z87" s="84" t="s">
        <v>1836</v>
      </c>
    </row>
    <row r="88" spans="1:26" s="58" customFormat="1" ht="24">
      <c r="A88" s="146">
        <v>84</v>
      </c>
      <c r="B88" s="146" t="s">
        <v>40</v>
      </c>
      <c r="C88" s="146" t="s">
        <v>1842</v>
      </c>
      <c r="D88" s="84" t="s">
        <v>1843</v>
      </c>
      <c r="E88" s="84" t="s">
        <v>1844</v>
      </c>
      <c r="F88" s="154" t="s">
        <v>1845</v>
      </c>
      <c r="G88" s="84" t="s">
        <v>1846</v>
      </c>
      <c r="H88" s="84" t="s">
        <v>1847</v>
      </c>
      <c r="I88" s="213">
        <v>500</v>
      </c>
      <c r="J88" s="182">
        <v>0</v>
      </c>
      <c r="K88" s="213">
        <v>150</v>
      </c>
      <c r="L88" s="213">
        <v>350</v>
      </c>
      <c r="M88" s="182">
        <v>0</v>
      </c>
      <c r="N88" s="84" t="s">
        <v>3371</v>
      </c>
      <c r="O88" s="84"/>
      <c r="P88" s="84" t="s">
        <v>247</v>
      </c>
      <c r="Q88" s="84"/>
      <c r="R88" s="84" t="s">
        <v>1848</v>
      </c>
      <c r="S88" s="84" t="s">
        <v>312</v>
      </c>
      <c r="T88" s="84" t="s">
        <v>1219</v>
      </c>
      <c r="U88" s="84" t="s">
        <v>3389</v>
      </c>
      <c r="V88" s="84" t="s">
        <v>1262</v>
      </c>
      <c r="W88" s="213">
        <v>50</v>
      </c>
      <c r="X88" s="213">
        <v>45</v>
      </c>
      <c r="Y88" s="213">
        <v>5</v>
      </c>
      <c r="Z88" s="84" t="s">
        <v>1849</v>
      </c>
    </row>
    <row r="89" spans="1:26" s="58" customFormat="1" ht="48">
      <c r="A89" s="146">
        <v>85</v>
      </c>
      <c r="B89" s="146" t="s">
        <v>40</v>
      </c>
      <c r="C89" s="146" t="s">
        <v>1850</v>
      </c>
      <c r="D89" s="84" t="s">
        <v>1851</v>
      </c>
      <c r="E89" s="84" t="s">
        <v>1852</v>
      </c>
      <c r="F89" s="154" t="s">
        <v>1853</v>
      </c>
      <c r="G89" s="75" t="s">
        <v>1854</v>
      </c>
      <c r="H89" s="75" t="s">
        <v>1855</v>
      </c>
      <c r="I89" s="213">
        <v>1150</v>
      </c>
      <c r="J89" s="182">
        <v>0</v>
      </c>
      <c r="K89" s="182">
        <v>0</v>
      </c>
      <c r="L89" s="213">
        <v>1150</v>
      </c>
      <c r="M89" s="182">
        <v>0</v>
      </c>
      <c r="N89" s="84" t="s">
        <v>3371</v>
      </c>
      <c r="O89" s="84"/>
      <c r="P89" s="84" t="s">
        <v>140</v>
      </c>
      <c r="Q89" s="84"/>
      <c r="R89" s="84"/>
      <c r="S89" s="84" t="s">
        <v>312</v>
      </c>
      <c r="T89" s="84" t="s">
        <v>1478</v>
      </c>
      <c r="U89" s="84" t="s">
        <v>3388</v>
      </c>
      <c r="V89" s="84" t="s">
        <v>212</v>
      </c>
      <c r="W89" s="213">
        <v>250</v>
      </c>
      <c r="X89" s="213" t="s">
        <v>3358</v>
      </c>
      <c r="Y89" s="213" t="s">
        <v>3376</v>
      </c>
      <c r="Z89" s="75" t="s">
        <v>1856</v>
      </c>
    </row>
    <row r="90" spans="1:26" s="58" customFormat="1" ht="48">
      <c r="A90" s="146">
        <v>86</v>
      </c>
      <c r="B90" s="146" t="s">
        <v>1210</v>
      </c>
      <c r="C90" s="146" t="s">
        <v>1857</v>
      </c>
      <c r="D90" s="84" t="s">
        <v>1858</v>
      </c>
      <c r="E90" s="84" t="s">
        <v>1859</v>
      </c>
      <c r="F90" s="154" t="s">
        <v>1860</v>
      </c>
      <c r="G90" s="75" t="s">
        <v>1861</v>
      </c>
      <c r="H90" s="75" t="s">
        <v>230</v>
      </c>
      <c r="I90" s="213">
        <v>75</v>
      </c>
      <c r="J90" s="182">
        <v>0</v>
      </c>
      <c r="K90" s="182">
        <v>0</v>
      </c>
      <c r="L90" s="213">
        <v>75</v>
      </c>
      <c r="M90" s="182">
        <v>0</v>
      </c>
      <c r="N90" s="84" t="s">
        <v>3371</v>
      </c>
      <c r="O90" s="84"/>
      <c r="P90" s="84" t="s">
        <v>1319</v>
      </c>
      <c r="Q90" s="84"/>
      <c r="R90" s="84" t="s">
        <v>1862</v>
      </c>
      <c r="S90" s="84" t="s">
        <v>312</v>
      </c>
      <c r="T90" s="84" t="s">
        <v>1863</v>
      </c>
      <c r="U90" s="84" t="s">
        <v>294</v>
      </c>
      <c r="V90" s="84" t="s">
        <v>1262</v>
      </c>
      <c r="W90" s="213">
        <v>3</v>
      </c>
      <c r="X90" s="213">
        <v>3</v>
      </c>
      <c r="Y90" s="213">
        <v>0</v>
      </c>
      <c r="Z90" s="75" t="s">
        <v>1864</v>
      </c>
    </row>
    <row r="91" spans="1:26" s="58" customFormat="1" ht="48">
      <c r="A91" s="146">
        <v>87</v>
      </c>
      <c r="B91" s="146" t="s">
        <v>1343</v>
      </c>
      <c r="C91" s="146" t="s">
        <v>1865</v>
      </c>
      <c r="D91" s="84" t="s">
        <v>1866</v>
      </c>
      <c r="E91" s="84" t="s">
        <v>1867</v>
      </c>
      <c r="F91" s="104" t="s">
        <v>1868</v>
      </c>
      <c r="G91" s="75" t="s">
        <v>1869</v>
      </c>
      <c r="H91" s="75" t="s">
        <v>1870</v>
      </c>
      <c r="I91" s="213">
        <v>993</v>
      </c>
      <c r="J91" s="182">
        <v>0</v>
      </c>
      <c r="K91" s="182">
        <v>0</v>
      </c>
      <c r="L91" s="213">
        <v>993</v>
      </c>
      <c r="M91" s="182">
        <v>0</v>
      </c>
      <c r="N91" s="84" t="s">
        <v>3371</v>
      </c>
      <c r="O91" s="84"/>
      <c r="P91" s="84" t="s">
        <v>304</v>
      </c>
      <c r="Q91" s="84"/>
      <c r="R91" s="84" t="s">
        <v>1871</v>
      </c>
      <c r="S91" s="84" t="s">
        <v>1239</v>
      </c>
      <c r="T91" s="84" t="s">
        <v>1873</v>
      </c>
      <c r="U91" s="75" t="s">
        <v>3387</v>
      </c>
      <c r="V91" s="84" t="s">
        <v>164</v>
      </c>
      <c r="W91" s="213">
        <f>SUM(X91:Y91)</f>
        <v>113</v>
      </c>
      <c r="X91" s="213">
        <v>113</v>
      </c>
      <c r="Y91" s="213">
        <v>0</v>
      </c>
      <c r="Z91" s="84" t="s">
        <v>1871</v>
      </c>
    </row>
    <row r="92" spans="1:26" s="58" customFormat="1" ht="36">
      <c r="A92" s="146">
        <v>88</v>
      </c>
      <c r="B92" s="146" t="s">
        <v>1343</v>
      </c>
      <c r="C92" s="146" t="s">
        <v>1865</v>
      </c>
      <c r="D92" s="75" t="s">
        <v>1874</v>
      </c>
      <c r="E92" s="84" t="s">
        <v>1875</v>
      </c>
      <c r="F92" s="104" t="s">
        <v>1876</v>
      </c>
      <c r="G92" s="75" t="s">
        <v>1877</v>
      </c>
      <c r="H92" s="75" t="s">
        <v>1878</v>
      </c>
      <c r="I92" s="213">
        <f>K92+L92</f>
        <v>808</v>
      </c>
      <c r="J92" s="182">
        <v>0</v>
      </c>
      <c r="K92" s="213">
        <v>34</v>
      </c>
      <c r="L92" s="213">
        <v>774</v>
      </c>
      <c r="M92" s="182">
        <v>0</v>
      </c>
      <c r="N92" s="84" t="s">
        <v>3371</v>
      </c>
      <c r="O92" s="84"/>
      <c r="P92" s="84" t="s">
        <v>304</v>
      </c>
      <c r="Q92" s="84"/>
      <c r="R92" s="84" t="s">
        <v>1879</v>
      </c>
      <c r="S92" s="84" t="s">
        <v>1239</v>
      </c>
      <c r="T92" s="84" t="s">
        <v>1872</v>
      </c>
      <c r="U92" s="75" t="s">
        <v>3387</v>
      </c>
      <c r="V92" s="84" t="s">
        <v>1220</v>
      </c>
      <c r="W92" s="213">
        <f>SUM(X92:Y92)</f>
        <v>252</v>
      </c>
      <c r="X92" s="213">
        <v>248</v>
      </c>
      <c r="Y92" s="213">
        <v>4</v>
      </c>
      <c r="Z92" s="84" t="s">
        <v>1879</v>
      </c>
    </row>
    <row r="93" spans="1:26" s="58" customFormat="1" ht="60">
      <c r="A93" s="146">
        <v>89</v>
      </c>
      <c r="B93" s="102" t="s">
        <v>1210</v>
      </c>
      <c r="C93" s="102" t="s">
        <v>1881</v>
      </c>
      <c r="D93" s="75" t="s">
        <v>1882</v>
      </c>
      <c r="E93" s="75" t="s">
        <v>1883</v>
      </c>
      <c r="F93" s="104" t="s">
        <v>1884</v>
      </c>
      <c r="G93" s="75" t="s">
        <v>1885</v>
      </c>
      <c r="H93" s="75" t="s">
        <v>1886</v>
      </c>
      <c r="I93" s="182">
        <f>SUM(J93:M93)</f>
        <v>1100</v>
      </c>
      <c r="J93" s="182">
        <v>0</v>
      </c>
      <c r="K93" s="182">
        <v>0</v>
      </c>
      <c r="L93" s="182">
        <v>1100</v>
      </c>
      <c r="M93" s="182">
        <v>0</v>
      </c>
      <c r="N93" s="84" t="s">
        <v>3371</v>
      </c>
      <c r="O93" s="84"/>
      <c r="P93" s="75" t="s">
        <v>140</v>
      </c>
      <c r="Q93" s="75"/>
      <c r="R93" s="75" t="s">
        <v>1887</v>
      </c>
      <c r="S93" s="75" t="s">
        <v>108</v>
      </c>
      <c r="T93" s="75" t="s">
        <v>1547</v>
      </c>
      <c r="U93" s="75" t="s">
        <v>1888</v>
      </c>
      <c r="V93" s="75" t="s">
        <v>212</v>
      </c>
      <c r="W93" s="213">
        <v>750</v>
      </c>
      <c r="X93" s="213">
        <v>750</v>
      </c>
      <c r="Y93" s="213">
        <v>0</v>
      </c>
      <c r="Z93" s="75" t="s">
        <v>1889</v>
      </c>
    </row>
    <row r="94" spans="1:26" s="58" customFormat="1" ht="36">
      <c r="A94" s="146">
        <v>90</v>
      </c>
      <c r="B94" s="102" t="s">
        <v>40</v>
      </c>
      <c r="C94" s="102" t="s">
        <v>1880</v>
      </c>
      <c r="D94" s="75" t="s">
        <v>1890</v>
      </c>
      <c r="E94" s="75" t="s">
        <v>1891</v>
      </c>
      <c r="F94" s="104" t="s">
        <v>1892</v>
      </c>
      <c r="G94" s="75" t="s">
        <v>1893</v>
      </c>
      <c r="H94" s="75" t="s">
        <v>1894</v>
      </c>
      <c r="I94" s="182">
        <f>SUM(J94:M94)</f>
        <v>120</v>
      </c>
      <c r="J94" s="182">
        <v>0</v>
      </c>
      <c r="K94" s="182">
        <v>0</v>
      </c>
      <c r="L94" s="182">
        <v>120</v>
      </c>
      <c r="M94" s="182">
        <v>0</v>
      </c>
      <c r="N94" s="84" t="s">
        <v>3371</v>
      </c>
      <c r="O94" s="146"/>
      <c r="P94" s="75" t="s">
        <v>1177</v>
      </c>
      <c r="Q94" s="75"/>
      <c r="R94" s="75" t="s">
        <v>1614</v>
      </c>
      <c r="S94" s="75" t="s">
        <v>1239</v>
      </c>
      <c r="T94" s="75" t="s">
        <v>91</v>
      </c>
      <c r="U94" s="84" t="s">
        <v>3431</v>
      </c>
      <c r="V94" s="75" t="s">
        <v>1262</v>
      </c>
      <c r="W94" s="213">
        <v>10</v>
      </c>
      <c r="X94" s="213">
        <v>10</v>
      </c>
      <c r="Y94" s="213">
        <v>0</v>
      </c>
      <c r="Z94" s="75" t="s">
        <v>133</v>
      </c>
    </row>
    <row r="95" spans="1:26" s="58" customFormat="1" ht="36">
      <c r="A95" s="146">
        <v>91</v>
      </c>
      <c r="B95" s="102" t="s">
        <v>1210</v>
      </c>
      <c r="C95" s="102" t="s">
        <v>1881</v>
      </c>
      <c r="D95" s="75" t="s">
        <v>1895</v>
      </c>
      <c r="E95" s="75" t="s">
        <v>1896</v>
      </c>
      <c r="F95" s="104" t="s">
        <v>1897</v>
      </c>
      <c r="G95" s="75" t="s">
        <v>1898</v>
      </c>
      <c r="H95" s="75" t="s">
        <v>1899</v>
      </c>
      <c r="I95" s="182">
        <v>77</v>
      </c>
      <c r="J95" s="182">
        <v>0</v>
      </c>
      <c r="K95" s="182">
        <v>0</v>
      </c>
      <c r="L95" s="182">
        <v>0</v>
      </c>
      <c r="M95" s="182">
        <v>0</v>
      </c>
      <c r="N95" s="84" t="s">
        <v>3371</v>
      </c>
      <c r="O95" s="84"/>
      <c r="P95" s="75" t="s">
        <v>1319</v>
      </c>
      <c r="Q95" s="75"/>
      <c r="R95" s="75" t="s">
        <v>1900</v>
      </c>
      <c r="S95" s="75" t="s">
        <v>312</v>
      </c>
      <c r="T95" s="75" t="s">
        <v>1434</v>
      </c>
      <c r="U95" s="84" t="s">
        <v>3431</v>
      </c>
      <c r="V95" s="75" t="s">
        <v>466</v>
      </c>
      <c r="W95" s="213">
        <v>24</v>
      </c>
      <c r="X95" s="213">
        <v>24</v>
      </c>
      <c r="Y95" s="213">
        <v>0</v>
      </c>
      <c r="Z95" s="75" t="s">
        <v>1901</v>
      </c>
    </row>
    <row r="96" spans="1:26" s="58" customFormat="1" ht="72">
      <c r="A96" s="146">
        <v>92</v>
      </c>
      <c r="B96" s="146" t="s">
        <v>1343</v>
      </c>
      <c r="C96" s="146" t="s">
        <v>1881</v>
      </c>
      <c r="D96" s="84" t="s">
        <v>1902</v>
      </c>
      <c r="E96" s="84" t="s">
        <v>1903</v>
      </c>
      <c r="F96" s="154" t="s">
        <v>1904</v>
      </c>
      <c r="G96" s="84" t="s">
        <v>1905</v>
      </c>
      <c r="H96" s="84" t="s">
        <v>1785</v>
      </c>
      <c r="I96" s="213">
        <f>SUM(J96:M96)</f>
        <v>290</v>
      </c>
      <c r="J96" s="213">
        <v>145</v>
      </c>
      <c r="K96" s="182">
        <v>0</v>
      </c>
      <c r="L96" s="213">
        <v>145</v>
      </c>
      <c r="M96" s="182">
        <v>0</v>
      </c>
      <c r="N96" s="84" t="s">
        <v>151</v>
      </c>
      <c r="O96" s="84" t="s">
        <v>3375</v>
      </c>
      <c r="P96" s="84" t="s">
        <v>247</v>
      </c>
      <c r="Q96" s="75"/>
      <c r="R96" s="84" t="s">
        <v>1906</v>
      </c>
      <c r="S96" s="84" t="s">
        <v>108</v>
      </c>
      <c r="T96" s="84" t="s">
        <v>1907</v>
      </c>
      <c r="U96" s="84" t="s">
        <v>93</v>
      </c>
      <c r="V96" s="84" t="s">
        <v>1908</v>
      </c>
      <c r="W96" s="213" t="s">
        <v>3358</v>
      </c>
      <c r="X96" s="213" t="s">
        <v>3358</v>
      </c>
      <c r="Y96" s="213" t="s">
        <v>3358</v>
      </c>
      <c r="Z96" s="84" t="s">
        <v>633</v>
      </c>
    </row>
    <row r="97" spans="1:26" s="58" customFormat="1" ht="48">
      <c r="A97" s="146">
        <v>93</v>
      </c>
      <c r="B97" s="146" t="s">
        <v>1550</v>
      </c>
      <c r="C97" s="146" t="s">
        <v>1909</v>
      </c>
      <c r="D97" s="84" t="s">
        <v>1910</v>
      </c>
      <c r="E97" s="84" t="s">
        <v>1911</v>
      </c>
      <c r="F97" s="154" t="s">
        <v>1912</v>
      </c>
      <c r="G97" s="84" t="s">
        <v>1913</v>
      </c>
      <c r="H97" s="84" t="s">
        <v>1914</v>
      </c>
      <c r="I97" s="213">
        <v>100</v>
      </c>
      <c r="J97" s="182">
        <v>0</v>
      </c>
      <c r="K97" s="213">
        <v>100</v>
      </c>
      <c r="L97" s="182">
        <v>0</v>
      </c>
      <c r="M97" s="182">
        <v>0</v>
      </c>
      <c r="N97" s="84" t="s">
        <v>3371</v>
      </c>
      <c r="O97" s="84"/>
      <c r="P97" s="84" t="s">
        <v>247</v>
      </c>
      <c r="Q97" s="84"/>
      <c r="R97" s="84" t="s">
        <v>1915</v>
      </c>
      <c r="S97" s="84" t="s">
        <v>1239</v>
      </c>
      <c r="T97" s="84" t="s">
        <v>723</v>
      </c>
      <c r="U97" s="84" t="s">
        <v>93</v>
      </c>
      <c r="V97" s="84" t="s">
        <v>94</v>
      </c>
      <c r="W97" s="213">
        <f>SUM(X97:Y97)</f>
        <v>2</v>
      </c>
      <c r="X97" s="213">
        <v>2</v>
      </c>
      <c r="Y97" s="213">
        <v>0</v>
      </c>
      <c r="Z97" s="84" t="s">
        <v>1916</v>
      </c>
    </row>
    <row r="98" spans="1:26" s="58" customFormat="1" ht="48">
      <c r="A98" s="146">
        <v>94</v>
      </c>
      <c r="B98" s="146" t="s">
        <v>1343</v>
      </c>
      <c r="C98" s="146" t="s">
        <v>1917</v>
      </c>
      <c r="D98" s="84" t="s">
        <v>1918</v>
      </c>
      <c r="E98" s="84" t="s">
        <v>1919</v>
      </c>
      <c r="F98" s="154" t="s">
        <v>1920</v>
      </c>
      <c r="G98" s="75" t="s">
        <v>1921</v>
      </c>
      <c r="H98" s="84" t="s">
        <v>1922</v>
      </c>
      <c r="I98" s="213">
        <v>250</v>
      </c>
      <c r="J98" s="182">
        <v>0</v>
      </c>
      <c r="K98" s="182">
        <v>0</v>
      </c>
      <c r="L98" s="213">
        <v>250</v>
      </c>
      <c r="M98" s="182">
        <v>0</v>
      </c>
      <c r="N98" s="84" t="s">
        <v>3371</v>
      </c>
      <c r="O98" s="84"/>
      <c r="P98" s="84" t="s">
        <v>247</v>
      </c>
      <c r="Q98" s="84"/>
      <c r="R98" s="84" t="s">
        <v>1923</v>
      </c>
      <c r="S98" s="84" t="s">
        <v>373</v>
      </c>
      <c r="T98" s="84" t="s">
        <v>814</v>
      </c>
      <c r="U98" s="84" t="s">
        <v>93</v>
      </c>
      <c r="V98" s="84" t="s">
        <v>1924</v>
      </c>
      <c r="W98" s="213">
        <v>15</v>
      </c>
      <c r="X98" s="213">
        <v>15</v>
      </c>
      <c r="Y98" s="213">
        <v>0</v>
      </c>
      <c r="Z98" s="84" t="s">
        <v>1925</v>
      </c>
    </row>
    <row r="99" spans="1:26" s="21" customFormat="1" ht="36.75" customHeight="1">
      <c r="A99" s="25"/>
      <c r="B99" s="26"/>
      <c r="F99" s="60"/>
      <c r="I99" s="61"/>
      <c r="J99" s="61"/>
      <c r="K99" s="61"/>
      <c r="L99" s="61"/>
      <c r="M99" s="61"/>
      <c r="P99" s="25"/>
      <c r="Q99" s="25"/>
      <c r="R99" s="25"/>
      <c r="U99" s="25"/>
      <c r="W99" s="61"/>
      <c r="X99" s="61"/>
      <c r="Y99" s="61"/>
      <c r="Z99" s="25"/>
    </row>
    <row r="100" spans="1:26" s="21" customFormat="1" ht="36.75" customHeight="1">
      <c r="A100" s="25"/>
      <c r="B100" s="26"/>
      <c r="F100" s="60"/>
      <c r="I100" s="61"/>
      <c r="J100" s="61"/>
      <c r="K100" s="61"/>
      <c r="L100" s="61"/>
      <c r="M100" s="61"/>
      <c r="P100" s="25"/>
      <c r="Q100" s="25"/>
      <c r="R100" s="25"/>
      <c r="U100" s="25"/>
      <c r="W100" s="61"/>
      <c r="X100" s="61"/>
      <c r="Y100" s="61"/>
      <c r="Z100" s="25"/>
    </row>
    <row r="101" spans="1:26" s="21" customFormat="1" ht="36.75" customHeight="1">
      <c r="A101" s="25"/>
      <c r="B101" s="26"/>
      <c r="F101" s="60"/>
      <c r="I101" s="61"/>
      <c r="J101" s="61"/>
      <c r="K101" s="61"/>
      <c r="L101" s="61"/>
      <c r="M101" s="61"/>
      <c r="P101" s="25"/>
      <c r="Q101" s="25"/>
      <c r="R101" s="25"/>
      <c r="U101" s="25"/>
      <c r="W101" s="61"/>
      <c r="X101" s="61"/>
      <c r="Y101" s="61"/>
      <c r="Z101" s="25"/>
    </row>
    <row r="102" spans="1:26" s="21" customFormat="1" ht="36.75" customHeight="1">
      <c r="A102" s="25"/>
      <c r="B102" s="26"/>
      <c r="F102" s="60"/>
      <c r="I102" s="61"/>
      <c r="J102" s="61"/>
      <c r="K102" s="61"/>
      <c r="L102" s="61"/>
      <c r="M102" s="61"/>
      <c r="P102" s="25"/>
      <c r="Q102" s="25"/>
      <c r="R102" s="25"/>
      <c r="U102" s="25"/>
      <c r="W102" s="61"/>
      <c r="X102" s="61"/>
      <c r="Y102" s="61"/>
      <c r="Z102" s="25"/>
    </row>
    <row r="103" spans="1:26" s="21" customFormat="1" ht="26.25" customHeight="1">
      <c r="A103" s="25"/>
      <c r="B103" s="26"/>
      <c r="F103" s="60"/>
      <c r="I103" s="61"/>
      <c r="J103" s="61"/>
      <c r="K103" s="61"/>
      <c r="L103" s="61"/>
      <c r="M103" s="61"/>
      <c r="P103" s="25"/>
      <c r="Q103" s="25"/>
      <c r="R103" s="25"/>
      <c r="U103" s="25"/>
      <c r="W103" s="61"/>
      <c r="X103" s="61"/>
      <c r="Y103" s="61"/>
      <c r="Z103" s="25"/>
    </row>
    <row r="104" spans="1:26" s="21" customFormat="1" ht="26.25" customHeight="1">
      <c r="A104" s="25"/>
      <c r="B104" s="26"/>
      <c r="F104" s="60"/>
      <c r="I104" s="61"/>
      <c r="J104" s="61"/>
      <c r="K104" s="61"/>
      <c r="L104" s="61"/>
      <c r="M104" s="61"/>
      <c r="P104" s="25"/>
      <c r="Q104" s="25"/>
      <c r="R104" s="25"/>
      <c r="U104" s="25"/>
      <c r="W104" s="61"/>
      <c r="X104" s="61"/>
      <c r="Y104" s="61"/>
      <c r="Z104" s="25"/>
    </row>
    <row r="105" spans="1:26" s="21" customFormat="1" ht="26.25" customHeight="1">
      <c r="A105" s="25"/>
      <c r="B105" s="26"/>
      <c r="F105" s="60"/>
      <c r="I105" s="61"/>
      <c r="J105" s="61"/>
      <c r="K105" s="61"/>
      <c r="L105" s="61"/>
      <c r="M105" s="61"/>
      <c r="P105" s="25"/>
      <c r="Q105" s="25"/>
      <c r="R105" s="25"/>
      <c r="U105" s="25"/>
      <c r="W105" s="61"/>
      <c r="X105" s="61"/>
      <c r="Y105" s="61"/>
      <c r="Z105" s="25"/>
    </row>
    <row r="106" spans="1:26" s="21" customFormat="1" ht="26.25" customHeight="1">
      <c r="A106" s="25"/>
      <c r="B106" s="26"/>
      <c r="F106" s="60"/>
      <c r="I106" s="61"/>
      <c r="J106" s="61"/>
      <c r="K106" s="61"/>
      <c r="L106" s="61"/>
      <c r="M106" s="61"/>
      <c r="P106" s="25"/>
      <c r="Q106" s="25"/>
      <c r="R106" s="25"/>
      <c r="U106" s="25"/>
      <c r="W106" s="61"/>
      <c r="X106" s="61"/>
      <c r="Y106" s="61"/>
      <c r="Z106" s="25"/>
    </row>
    <row r="107" spans="1:26" s="21" customFormat="1" ht="26.25" customHeight="1">
      <c r="A107" s="25"/>
      <c r="B107" s="26"/>
      <c r="F107" s="60"/>
      <c r="I107" s="61"/>
      <c r="J107" s="61"/>
      <c r="K107" s="61"/>
      <c r="L107" s="61"/>
      <c r="M107" s="61"/>
      <c r="W107" s="61"/>
      <c r="X107" s="61"/>
      <c r="Y107" s="61"/>
      <c r="Z107" s="25"/>
    </row>
    <row r="108" spans="1:26" s="21" customFormat="1" ht="26.25" customHeight="1">
      <c r="A108" s="25"/>
      <c r="B108" s="26"/>
      <c r="F108" s="60"/>
      <c r="I108" s="61"/>
      <c r="J108" s="61"/>
      <c r="K108" s="61"/>
      <c r="L108" s="61"/>
      <c r="M108" s="61"/>
      <c r="W108" s="61"/>
      <c r="X108" s="61"/>
      <c r="Y108" s="61"/>
      <c r="Z108" s="25"/>
    </row>
    <row r="109" spans="1:26" s="21" customFormat="1" ht="26.25" customHeight="1">
      <c r="A109" s="25"/>
      <c r="B109" s="26"/>
      <c r="F109" s="60"/>
      <c r="I109" s="61"/>
      <c r="J109" s="61"/>
      <c r="K109" s="61"/>
      <c r="L109" s="61"/>
      <c r="M109" s="61"/>
      <c r="W109" s="61"/>
      <c r="X109" s="61"/>
      <c r="Y109" s="61"/>
      <c r="Z109" s="25"/>
    </row>
    <row r="110" spans="1:26" s="21" customFormat="1" ht="26.25" customHeight="1">
      <c r="A110" s="25"/>
      <c r="B110" s="26"/>
      <c r="F110" s="60"/>
      <c r="I110" s="61"/>
      <c r="J110" s="61"/>
      <c r="K110" s="61"/>
      <c r="L110" s="61"/>
      <c r="M110" s="61"/>
      <c r="W110" s="61"/>
      <c r="X110" s="61"/>
      <c r="Y110" s="61"/>
      <c r="Z110" s="25"/>
    </row>
    <row r="111" spans="1:26" s="2" customFormat="1" ht="26.25" customHeight="1">
      <c r="A111" s="15"/>
      <c r="B111" s="16"/>
      <c r="F111" s="43"/>
      <c r="I111" s="62"/>
      <c r="J111" s="62"/>
      <c r="K111" s="62"/>
      <c r="L111" s="62"/>
      <c r="M111" s="62"/>
      <c r="W111" s="62"/>
      <c r="X111" s="62"/>
      <c r="Y111" s="62"/>
      <c r="Z111" s="15"/>
    </row>
    <row r="112" spans="1:26" s="2" customFormat="1" ht="26.25" customHeight="1">
      <c r="A112" s="15"/>
      <c r="B112" s="16"/>
      <c r="F112" s="43"/>
      <c r="I112" s="62"/>
      <c r="J112" s="62"/>
      <c r="K112" s="62"/>
      <c r="L112" s="62"/>
      <c r="M112" s="62"/>
      <c r="W112" s="62"/>
      <c r="X112" s="62"/>
      <c r="Y112" s="62"/>
      <c r="Z112" s="15"/>
    </row>
    <row r="113" spans="1:26" s="2" customFormat="1" ht="26.25" customHeight="1">
      <c r="A113" s="15"/>
      <c r="B113" s="16"/>
      <c r="F113" s="43"/>
      <c r="I113" s="62"/>
      <c r="J113" s="62"/>
      <c r="K113" s="62"/>
      <c r="L113" s="62"/>
      <c r="M113" s="62"/>
      <c r="W113" s="62"/>
      <c r="X113" s="62"/>
      <c r="Y113" s="62"/>
      <c r="Z113" s="15"/>
    </row>
    <row r="114" spans="1:26" s="2" customFormat="1" ht="26.25" customHeight="1">
      <c r="A114" s="15"/>
      <c r="B114" s="15"/>
      <c r="C114" s="15"/>
      <c r="F114" s="43"/>
      <c r="I114" s="62"/>
      <c r="J114" s="62"/>
      <c r="K114" s="62"/>
      <c r="L114" s="62"/>
      <c r="M114" s="62"/>
      <c r="W114" s="62"/>
      <c r="X114" s="62"/>
      <c r="Y114" s="62"/>
      <c r="Z114" s="15"/>
    </row>
    <row r="115" spans="1:26" s="2" customFormat="1" ht="26.25" customHeight="1">
      <c r="A115" s="15"/>
      <c r="B115" s="15"/>
      <c r="C115" s="15"/>
      <c r="F115" s="43"/>
      <c r="I115" s="62"/>
      <c r="J115" s="62"/>
      <c r="K115" s="62"/>
      <c r="L115" s="62"/>
      <c r="M115" s="62"/>
      <c r="W115" s="62"/>
      <c r="X115" s="62"/>
      <c r="Y115" s="62"/>
      <c r="Z115" s="15"/>
    </row>
    <row r="116" spans="1:26" s="2" customFormat="1" ht="26.25" customHeight="1">
      <c r="A116" s="15"/>
      <c r="B116" s="15"/>
      <c r="C116" s="15"/>
      <c r="F116" s="43"/>
      <c r="I116" s="62"/>
      <c r="J116" s="62"/>
      <c r="K116" s="62"/>
      <c r="L116" s="62"/>
      <c r="M116" s="62"/>
      <c r="W116" s="62"/>
      <c r="X116" s="62"/>
      <c r="Y116" s="62"/>
      <c r="Z116" s="15"/>
    </row>
    <row r="117" spans="1:26" s="2" customFormat="1" ht="26.25" customHeight="1">
      <c r="A117" s="15"/>
      <c r="B117" s="15"/>
      <c r="C117" s="15"/>
      <c r="F117" s="43"/>
      <c r="I117" s="62"/>
      <c r="J117" s="62"/>
      <c r="K117" s="62"/>
      <c r="L117" s="62"/>
      <c r="M117" s="62"/>
      <c r="W117" s="62"/>
      <c r="X117" s="62"/>
      <c r="Y117" s="62"/>
      <c r="Z117" s="15"/>
    </row>
    <row r="118" spans="1:26" s="2" customFormat="1" ht="26.25" customHeight="1">
      <c r="A118" s="15"/>
      <c r="B118" s="15"/>
      <c r="C118" s="15"/>
      <c r="F118" s="43"/>
      <c r="I118" s="62"/>
      <c r="J118" s="62"/>
      <c r="K118" s="62"/>
      <c r="L118" s="62"/>
      <c r="M118" s="62"/>
      <c r="W118" s="62"/>
      <c r="X118" s="62"/>
      <c r="Y118" s="62"/>
      <c r="Z118" s="15"/>
    </row>
    <row r="119" spans="1:26" s="2" customFormat="1" ht="26.25" customHeight="1">
      <c r="A119" s="15"/>
      <c r="B119" s="15"/>
      <c r="C119" s="15"/>
      <c r="F119" s="43"/>
      <c r="I119" s="62"/>
      <c r="J119" s="62"/>
      <c r="K119" s="62"/>
      <c r="L119" s="62"/>
      <c r="M119" s="62"/>
      <c r="W119" s="62"/>
      <c r="X119" s="62"/>
      <c r="Y119" s="62"/>
      <c r="Z119" s="15"/>
    </row>
    <row r="120" spans="1:26" s="2" customFormat="1" ht="26.25" customHeight="1">
      <c r="A120" s="15"/>
      <c r="B120" s="15"/>
      <c r="C120" s="15"/>
      <c r="F120" s="43"/>
      <c r="I120" s="62"/>
      <c r="J120" s="62"/>
      <c r="K120" s="62"/>
      <c r="L120" s="62"/>
      <c r="M120" s="62"/>
      <c r="W120" s="62"/>
      <c r="X120" s="62"/>
      <c r="Y120" s="62"/>
      <c r="Z120" s="15"/>
    </row>
    <row r="121" spans="1:26" s="2" customFormat="1" ht="26.25" customHeight="1">
      <c r="A121" s="15"/>
      <c r="B121" s="15"/>
      <c r="C121" s="15"/>
      <c r="F121" s="43"/>
      <c r="I121" s="62"/>
      <c r="J121" s="62"/>
      <c r="K121" s="62"/>
      <c r="L121" s="62"/>
      <c r="M121" s="62"/>
      <c r="W121" s="62"/>
      <c r="X121" s="62"/>
      <c r="Y121" s="62"/>
      <c r="Z121" s="15"/>
    </row>
    <row r="122" spans="1:26" s="2" customFormat="1" ht="26.25" customHeight="1">
      <c r="A122" s="15"/>
      <c r="B122" s="15"/>
      <c r="C122" s="15"/>
      <c r="F122" s="43"/>
      <c r="I122" s="62"/>
      <c r="J122" s="62"/>
      <c r="K122" s="62"/>
      <c r="L122" s="62"/>
      <c r="M122" s="62"/>
      <c r="W122" s="62"/>
      <c r="X122" s="62"/>
      <c r="Y122" s="62"/>
      <c r="Z122" s="15"/>
    </row>
    <row r="123" spans="1:26" s="2" customFormat="1" ht="26.25" customHeight="1">
      <c r="A123" s="15"/>
      <c r="B123" s="15"/>
      <c r="C123" s="15"/>
      <c r="F123" s="43"/>
      <c r="I123" s="62"/>
      <c r="J123" s="62"/>
      <c r="K123" s="62"/>
      <c r="L123" s="62"/>
      <c r="M123" s="62"/>
      <c r="W123" s="62"/>
      <c r="X123" s="62"/>
      <c r="Y123" s="62"/>
      <c r="Z123" s="15"/>
    </row>
    <row r="124" spans="1:26" s="2" customFormat="1" ht="26.25" customHeight="1">
      <c r="A124" s="15"/>
      <c r="B124" s="15"/>
      <c r="C124" s="15"/>
      <c r="F124" s="43"/>
      <c r="I124" s="62"/>
      <c r="J124" s="62"/>
      <c r="K124" s="62"/>
      <c r="L124" s="62"/>
      <c r="M124" s="62"/>
      <c r="W124" s="62"/>
      <c r="X124" s="62"/>
      <c r="Y124" s="62"/>
      <c r="Z124" s="15"/>
    </row>
    <row r="125" spans="1:26" s="2" customFormat="1" ht="26.25" customHeight="1">
      <c r="A125" s="15"/>
      <c r="B125" s="15"/>
      <c r="C125" s="15"/>
      <c r="F125" s="43"/>
      <c r="I125" s="62"/>
      <c r="J125" s="62"/>
      <c r="K125" s="62"/>
      <c r="L125" s="62"/>
      <c r="M125" s="62"/>
      <c r="W125" s="62"/>
      <c r="X125" s="62"/>
      <c r="Y125" s="62"/>
      <c r="Z125" s="15"/>
    </row>
    <row r="126" spans="1:26" s="2" customFormat="1" ht="26.25" customHeight="1">
      <c r="A126" s="15"/>
      <c r="B126" s="15"/>
      <c r="C126" s="15"/>
      <c r="F126" s="43"/>
      <c r="I126" s="62"/>
      <c r="J126" s="62"/>
      <c r="K126" s="62"/>
      <c r="L126" s="62"/>
      <c r="M126" s="62"/>
      <c r="W126" s="62"/>
      <c r="X126" s="62"/>
      <c r="Y126" s="62"/>
      <c r="Z126" s="15"/>
    </row>
    <row r="127" spans="1:26" s="2" customFormat="1" ht="26.25" customHeight="1">
      <c r="A127" s="15"/>
      <c r="B127" s="15"/>
      <c r="C127" s="15"/>
      <c r="F127" s="43"/>
      <c r="I127" s="62"/>
      <c r="J127" s="62"/>
      <c r="K127" s="62"/>
      <c r="L127" s="62"/>
      <c r="M127" s="62"/>
      <c r="W127" s="62"/>
      <c r="X127" s="62"/>
      <c r="Y127" s="62"/>
      <c r="Z127" s="15"/>
    </row>
    <row r="128" spans="1:26" s="2" customFormat="1" ht="26.25" customHeight="1">
      <c r="A128" s="15"/>
      <c r="B128" s="15"/>
      <c r="C128" s="15"/>
      <c r="F128" s="43"/>
      <c r="I128" s="62"/>
      <c r="J128" s="62"/>
      <c r="K128" s="62"/>
      <c r="L128" s="62"/>
      <c r="M128" s="62"/>
      <c r="W128" s="62"/>
      <c r="X128" s="62"/>
      <c r="Y128" s="62"/>
      <c r="Z128" s="15"/>
    </row>
    <row r="129" spans="1:26" s="2" customFormat="1" ht="26.25" customHeight="1">
      <c r="A129" s="15"/>
      <c r="B129" s="15"/>
      <c r="C129" s="15"/>
      <c r="F129" s="43"/>
      <c r="I129" s="62"/>
      <c r="J129" s="62"/>
      <c r="K129" s="62"/>
      <c r="L129" s="62"/>
      <c r="M129" s="62"/>
      <c r="W129" s="62"/>
      <c r="X129" s="62"/>
      <c r="Y129" s="62"/>
      <c r="Z129" s="15"/>
    </row>
    <row r="130" spans="1:26" s="2" customFormat="1" ht="26.25" customHeight="1">
      <c r="A130" s="15"/>
      <c r="B130" s="15"/>
      <c r="C130" s="15"/>
      <c r="F130" s="43"/>
      <c r="I130" s="62"/>
      <c r="J130" s="62"/>
      <c r="K130" s="62"/>
      <c r="L130" s="62"/>
      <c r="M130" s="62"/>
      <c r="W130" s="62"/>
      <c r="X130" s="62"/>
      <c r="Y130" s="62"/>
      <c r="Z130" s="15"/>
    </row>
    <row r="131" spans="1:26" s="2" customFormat="1" ht="26.25" customHeight="1">
      <c r="A131" s="15"/>
      <c r="B131" s="15"/>
      <c r="C131" s="15"/>
      <c r="F131" s="43"/>
      <c r="I131" s="62"/>
      <c r="J131" s="62"/>
      <c r="K131" s="62"/>
      <c r="L131" s="62"/>
      <c r="M131" s="62"/>
      <c r="W131" s="62"/>
      <c r="X131" s="62"/>
      <c r="Y131" s="62"/>
      <c r="Z131" s="15"/>
    </row>
    <row r="132" spans="1:26" s="2" customFormat="1" ht="26.25" customHeight="1">
      <c r="A132" s="15"/>
      <c r="B132" s="15"/>
      <c r="C132" s="15"/>
      <c r="F132" s="43"/>
      <c r="I132" s="62"/>
      <c r="J132" s="62"/>
      <c r="K132" s="62"/>
      <c r="L132" s="62"/>
      <c r="M132" s="62"/>
      <c r="W132" s="62"/>
      <c r="X132" s="62"/>
      <c r="Y132" s="62"/>
      <c r="Z132" s="15"/>
    </row>
  </sheetData>
  <autoFilter ref="A4:Y98"/>
  <mergeCells count="5">
    <mergeCell ref="A1:Y2"/>
    <mergeCell ref="I3:M3"/>
    <mergeCell ref="N3:O3"/>
    <mergeCell ref="W3:Y3"/>
    <mergeCell ref="A3:E3"/>
  </mergeCells>
  <phoneticPr fontId="5" type="noConversion"/>
  <dataValidations count="30">
    <dataValidation type="list" allowBlank="1" showInputMessage="1" showErrorMessage="1" sqref="P32:Q33">
      <formula1>$P$204:$P$209</formula1>
    </dataValidation>
    <dataValidation type="list" allowBlank="1" showInputMessage="1" showErrorMessage="1" sqref="P31:Q31">
      <formula1>$P$203:$P$208</formula1>
    </dataValidation>
    <dataValidation type="list" allowBlank="1" showInputMessage="1" showErrorMessage="1" sqref="P42:Q50">
      <formula1>$P$99:$P$103</formula1>
    </dataValidation>
    <dataValidation type="list" allowBlank="1" showInputMessage="1" showErrorMessage="1" sqref="B42:B50">
      <formula1>$B$99:$B$114</formula1>
    </dataValidation>
    <dataValidation type="list" allowBlank="1" showInputMessage="1" showErrorMessage="1" sqref="B31">
      <formula1>$B$99:$B$112</formula1>
    </dataValidation>
    <dataValidation type="list" allowBlank="1" showInputMessage="1" showErrorMessage="1" sqref="B7:B10 B91:B92 B88 B32:B35">
      <formula1>$B$99:$B$113</formula1>
    </dataValidation>
    <dataValidation type="list" allowBlank="1" showInputMessage="1" showErrorMessage="1" sqref="P7:Q10 P91:Q92 P88:Q88 P34:Q35">
      <formula1>$P$99:$P$102</formula1>
    </dataValidation>
    <dataValidation type="list" allowBlank="1" showInputMessage="1" showErrorMessage="1" sqref="P96">
      <formula1>$P$13:$P$18</formula1>
    </dataValidation>
    <dataValidation type="list" allowBlank="1" showInputMessage="1" showErrorMessage="1" sqref="B96">
      <formula1>$B$13:$B$29</formula1>
    </dataValidation>
    <dataValidation type="list" allowBlank="1" showInputMessage="1" showErrorMessage="1" sqref="P79">
      <formula1>$P$9:$P$14</formula1>
    </dataValidation>
    <dataValidation type="list" allowBlank="1" showInputMessage="1" showErrorMessage="1" sqref="B79">
      <formula1>$B$9:$B$22</formula1>
    </dataValidation>
    <dataValidation type="list" allowBlank="1" showInputMessage="1" showErrorMessage="1" sqref="B63">
      <formula1>$B$9:$B$9</formula1>
    </dataValidation>
    <dataValidation type="list" allowBlank="1" showInputMessage="1" showErrorMessage="1" sqref="P63">
      <formula1>$P$9:$P$9</formula1>
    </dataValidation>
    <dataValidation type="list" allowBlank="1" showInputMessage="1" showErrorMessage="1" sqref="P53:Q53 P58">
      <formula1>$P$18:$P$23</formula1>
    </dataValidation>
    <dataValidation type="list" allowBlank="1" showInputMessage="1" showErrorMessage="1" sqref="B53 B58">
      <formula1>$B$18:$B$34</formula1>
    </dataValidation>
    <dataValidation type="list" allowBlank="1" showInputMessage="1" showErrorMessage="1" sqref="B55:B56">
      <formula1>$B$10:$B$13</formula1>
    </dataValidation>
    <dataValidation type="list" allowBlank="1" showInputMessage="1" showErrorMessage="1" sqref="P55:P56">
      <formula1>$P$10:$P$13</formula1>
    </dataValidation>
    <dataValidation type="list" allowBlank="1" showInputMessage="1" showErrorMessage="1" sqref="B51:B52">
      <formula1>$B$11:$B$27</formula1>
    </dataValidation>
    <dataValidation type="list" allowBlank="1" showInputMessage="1" showErrorMessage="1" sqref="P41">
      <formula1>$O$100:$O$105</formula1>
    </dataValidation>
    <dataValidation type="list" allowBlank="1" showInputMessage="1" showErrorMessage="1" sqref="P26:Q26">
      <formula1>$P$10:$P$15</formula1>
    </dataValidation>
    <dataValidation type="list" allowBlank="1" showInputMessage="1" showErrorMessage="1" sqref="B26">
      <formula1>$B$10:$B$26</formula1>
    </dataValidation>
    <dataValidation type="list" allowBlank="1" showInputMessage="1" showErrorMessage="1" sqref="P23 P25">
      <formula1>$O$10:$O$10</formula1>
    </dataValidation>
    <dataValidation type="list" allowBlank="1" showInputMessage="1" showErrorMessage="1" sqref="B21">
      <formula1>$B$99:$B$115</formula1>
    </dataValidation>
    <dataValidation type="list" allowBlank="1" showInputMessage="1" showErrorMessage="1" sqref="P21:Q21">
      <formula1>$P$99:$P$104</formula1>
    </dataValidation>
    <dataValidation type="list" allowBlank="1" showInputMessage="1" showErrorMessage="1" sqref="P16:P18 P77:P78">
      <formula1>$P$12:$P$17</formula1>
    </dataValidation>
    <dataValidation type="list" allowBlank="1" showInputMessage="1" showErrorMessage="1" sqref="B16:B18 B77:B78">
      <formula1>$B$12:$B$28</formula1>
    </dataValidation>
    <dataValidation type="list" allowBlank="1" showInputMessage="1" showErrorMessage="1" sqref="P11:P12 P97:Q98 P86:Q86 P84:Q84 P81 P68:P69 P27:Q27 Q12">
      <formula1>$P$100:$P$105</formula1>
    </dataValidation>
    <dataValidation type="list" allowBlank="1" showInputMessage="1" showErrorMessage="1" sqref="B11:B12 B97:B98 B84:B87 B81 B41 B27">
      <formula1>$B$100:$B$116</formula1>
    </dataValidation>
    <dataValidation type="list" allowBlank="1" showInputMessage="1" showErrorMessage="1" sqref="B6">
      <formula1>$B$6:$B$15</formula1>
    </dataValidation>
    <dataValidation type="list" allowBlank="1" showInputMessage="1" showErrorMessage="1" sqref="B5 B13:B15 P13:Q13 P14:P15 P24 Q23 Q25 B22:B25 P22 B19:B20 P20 P19:Q19 P93:P95 B28:B30 B36:B39 P36:Q37 P30:Q30 P39 B59:B62 B54 P6 B57 B93:B95 P59:P61 P66 P64 P65:Q65 P67:Q67 P75:P76 P80 B80 P82:P83 B82:B83 P85 P87 P89:P90 B89:B90 B64:B76">
      <formula1>#REF!</formula1>
    </dataValidation>
  </dataValidations>
  <pageMargins left="0.19685039370078741" right="0.19685039370078741" top="0.35433070866141736" bottom="0.19685039370078741" header="0.19685039370078741" footer="0.19685039370078741"/>
  <pageSetup paperSize="9" scale="44" orientation="landscape" r:id="rId1"/>
  <headerFooter alignWithMargins="0"/>
  <rowBreaks count="3" manualBreakCount="3">
    <brk id="17" max="20" man="1"/>
    <brk id="30" max="20" man="1"/>
    <brk id="43" max="1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95"/>
  <sheetViews>
    <sheetView topLeftCell="A17" zoomScale="90" zoomScaleNormal="90" zoomScaleSheetLayoutView="90" workbookViewId="0">
      <selection activeCell="F24" sqref="F24"/>
    </sheetView>
  </sheetViews>
  <sheetFormatPr defaultRowHeight="13.5"/>
  <cols>
    <col min="1" max="1" width="5.109375" style="6" customWidth="1"/>
    <col min="2" max="2" width="12.33203125" style="6" customWidth="1"/>
    <col min="3" max="3" width="9.109375" style="6" customWidth="1"/>
    <col min="4" max="4" width="17.6640625" style="1" customWidth="1"/>
    <col min="5" max="5" width="12.109375" style="1" customWidth="1"/>
    <col min="6" max="6" width="42" style="1" customWidth="1"/>
    <col min="7" max="7" width="25.109375" style="1" customWidth="1"/>
    <col min="8" max="8" width="12.21875" style="1" customWidth="1"/>
    <col min="9" max="9" width="14.21875" style="1" customWidth="1"/>
    <col min="10" max="11" width="7.6640625" style="1" customWidth="1"/>
    <col min="12" max="12" width="12.6640625" style="1" bestFit="1" customWidth="1"/>
    <col min="13" max="13" width="7.6640625" style="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6" width="12.21875" style="1" customWidth="1"/>
    <col min="27" max="16384" width="8.88671875" style="1"/>
  </cols>
  <sheetData>
    <row r="1" spans="1:27" ht="29.25" customHeight="1">
      <c r="A1" s="304" t="s">
        <v>3425</v>
      </c>
      <c r="B1" s="304"/>
      <c r="C1" s="304"/>
      <c r="D1" s="304"/>
      <c r="E1" s="304"/>
      <c r="F1" s="304"/>
      <c r="G1" s="304"/>
      <c r="H1" s="304"/>
      <c r="I1" s="304"/>
      <c r="J1" s="304"/>
      <c r="K1" s="304"/>
      <c r="L1" s="304"/>
      <c r="M1" s="304"/>
      <c r="N1" s="304"/>
      <c r="O1" s="304"/>
      <c r="P1" s="304"/>
      <c r="Q1" s="304"/>
      <c r="R1" s="304"/>
      <c r="S1" s="304"/>
      <c r="T1" s="304"/>
      <c r="U1" s="304"/>
      <c r="V1" s="304"/>
      <c r="W1" s="304"/>
      <c r="X1" s="304"/>
      <c r="Y1" s="304"/>
    </row>
    <row r="2" spans="1:27"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row>
    <row r="3" spans="1:27" s="2" customFormat="1" ht="17.25" customHeight="1">
      <c r="A3" s="74"/>
      <c r="B3" s="74"/>
      <c r="C3" s="74"/>
      <c r="D3" s="74"/>
      <c r="E3" s="74"/>
      <c r="F3" s="74"/>
      <c r="G3" s="74"/>
      <c r="H3" s="74"/>
      <c r="I3" s="74"/>
      <c r="J3" s="74"/>
      <c r="K3" s="74"/>
      <c r="L3" s="74"/>
      <c r="M3" s="74"/>
      <c r="N3" s="74"/>
      <c r="O3" s="74"/>
      <c r="P3" s="74"/>
      <c r="Q3" s="74"/>
      <c r="R3" s="74"/>
      <c r="S3" s="74"/>
      <c r="T3" s="74"/>
      <c r="U3" s="74"/>
      <c r="V3" s="74"/>
      <c r="W3" s="74"/>
      <c r="X3" s="74"/>
      <c r="Y3" s="74"/>
    </row>
    <row r="4" spans="1:27" s="2" customFormat="1" ht="57" customHeight="1">
      <c r="A4" s="311" t="s">
        <v>4990</v>
      </c>
      <c r="B4" s="311"/>
      <c r="C4" s="311"/>
      <c r="D4" s="311"/>
      <c r="E4" s="311"/>
      <c r="F4" s="138"/>
      <c r="G4" s="138"/>
      <c r="H4" s="138"/>
      <c r="I4" s="305" t="s">
        <v>4021</v>
      </c>
      <c r="J4" s="305"/>
      <c r="K4" s="305"/>
      <c r="L4" s="305"/>
      <c r="M4" s="305"/>
      <c r="N4" s="306" t="s">
        <v>6417</v>
      </c>
      <c r="O4" s="307"/>
      <c r="P4" s="40"/>
      <c r="Q4" s="40"/>
      <c r="R4" s="140"/>
      <c r="S4" s="140"/>
      <c r="T4" s="140"/>
      <c r="U4" s="140"/>
      <c r="V4" s="140"/>
      <c r="W4" s="312" t="s">
        <v>43</v>
      </c>
      <c r="X4" s="312"/>
      <c r="Y4" s="312"/>
      <c r="Z4" s="140"/>
      <c r="AA4" s="17"/>
    </row>
    <row r="5" spans="1:27" ht="39.75" customHeight="1">
      <c r="A5" s="141" t="s">
        <v>0</v>
      </c>
      <c r="B5" s="141" t="s">
        <v>2</v>
      </c>
      <c r="C5" s="141" t="s">
        <v>51</v>
      </c>
      <c r="D5" s="141" t="s">
        <v>1</v>
      </c>
      <c r="E5" s="142" t="s">
        <v>45</v>
      </c>
      <c r="F5" s="141" t="s">
        <v>55</v>
      </c>
      <c r="G5" s="142" t="s">
        <v>57</v>
      </c>
      <c r="H5" s="142" t="s">
        <v>1926</v>
      </c>
      <c r="I5" s="142" t="s">
        <v>1927</v>
      </c>
      <c r="J5" s="142" t="s">
        <v>3</v>
      </c>
      <c r="K5" s="142" t="s">
        <v>4</v>
      </c>
      <c r="L5" s="142" t="s">
        <v>481</v>
      </c>
      <c r="M5" s="142" t="s">
        <v>39</v>
      </c>
      <c r="N5" s="142" t="s">
        <v>484</v>
      </c>
      <c r="O5" s="142" t="s">
        <v>67</v>
      </c>
      <c r="P5" s="142" t="s">
        <v>4971</v>
      </c>
      <c r="Q5" s="142" t="s">
        <v>1928</v>
      </c>
      <c r="R5" s="143" t="s">
        <v>30</v>
      </c>
      <c r="S5" s="143" t="s">
        <v>31</v>
      </c>
      <c r="T5" s="143" t="s">
        <v>32</v>
      </c>
      <c r="U5" s="143" t="s">
        <v>6415</v>
      </c>
      <c r="V5" s="143" t="s">
        <v>33</v>
      </c>
      <c r="W5" s="143" t="s">
        <v>41</v>
      </c>
      <c r="X5" s="143" t="s">
        <v>1929</v>
      </c>
      <c r="Y5" s="143" t="s">
        <v>1930</v>
      </c>
      <c r="Z5" s="143" t="s">
        <v>34</v>
      </c>
    </row>
    <row r="6" spans="1:27" s="58" customFormat="1" ht="43.5" customHeight="1">
      <c r="A6" s="146">
        <v>1</v>
      </c>
      <c r="B6" s="146" t="s">
        <v>792</v>
      </c>
      <c r="C6" s="84" t="s">
        <v>1931</v>
      </c>
      <c r="D6" s="84" t="s">
        <v>1932</v>
      </c>
      <c r="E6" s="84" t="s">
        <v>1933</v>
      </c>
      <c r="F6" s="85" t="s">
        <v>1934</v>
      </c>
      <c r="G6" s="84" t="s">
        <v>1935</v>
      </c>
      <c r="H6" s="84" t="s">
        <v>1936</v>
      </c>
      <c r="I6" s="83">
        <f>SUM(J6:M6)</f>
        <v>625</v>
      </c>
      <c r="J6" s="83">
        <v>80</v>
      </c>
      <c r="K6" s="83">
        <v>24</v>
      </c>
      <c r="L6" s="83">
        <v>500</v>
      </c>
      <c r="M6" s="83">
        <v>21</v>
      </c>
      <c r="N6" s="79" t="s">
        <v>151</v>
      </c>
      <c r="O6" s="79" t="s">
        <v>426</v>
      </c>
      <c r="P6" s="84" t="s">
        <v>140</v>
      </c>
      <c r="Q6" s="84" t="s">
        <v>1938</v>
      </c>
      <c r="R6" s="84" t="s">
        <v>1939</v>
      </c>
      <c r="S6" s="84" t="s">
        <v>108</v>
      </c>
      <c r="T6" s="79" t="s">
        <v>385</v>
      </c>
      <c r="U6" s="79" t="s">
        <v>3394</v>
      </c>
      <c r="V6" s="79" t="s">
        <v>212</v>
      </c>
      <c r="W6" s="83">
        <v>110</v>
      </c>
      <c r="X6" s="83">
        <v>102</v>
      </c>
      <c r="Y6" s="83">
        <v>8</v>
      </c>
      <c r="Z6" s="84" t="s">
        <v>1940</v>
      </c>
    </row>
    <row r="7" spans="1:27" s="58" customFormat="1" ht="74.25" customHeight="1">
      <c r="A7" s="146">
        <v>2</v>
      </c>
      <c r="B7" s="146" t="s">
        <v>1941</v>
      </c>
      <c r="C7" s="146" t="s">
        <v>1942</v>
      </c>
      <c r="D7" s="84" t="s">
        <v>1943</v>
      </c>
      <c r="E7" s="84" t="s">
        <v>1944</v>
      </c>
      <c r="F7" s="85" t="s">
        <v>1945</v>
      </c>
      <c r="G7" s="84" t="s">
        <v>1946</v>
      </c>
      <c r="H7" s="84" t="s">
        <v>1947</v>
      </c>
      <c r="I7" s="86">
        <v>110</v>
      </c>
      <c r="J7" s="86">
        <v>0</v>
      </c>
      <c r="K7" s="83">
        <v>0</v>
      </c>
      <c r="L7" s="86">
        <v>110</v>
      </c>
      <c r="M7" s="83">
        <v>0</v>
      </c>
      <c r="N7" s="84"/>
      <c r="O7" s="84"/>
      <c r="P7" s="84" t="s">
        <v>140</v>
      </c>
      <c r="Q7" s="84"/>
      <c r="R7" s="84" t="s">
        <v>1948</v>
      </c>
      <c r="S7" s="84" t="s">
        <v>108</v>
      </c>
      <c r="T7" s="84" t="s">
        <v>1351</v>
      </c>
      <c r="U7" s="84" t="s">
        <v>1949</v>
      </c>
      <c r="V7" s="84" t="s">
        <v>264</v>
      </c>
      <c r="W7" s="86">
        <v>7.6</v>
      </c>
      <c r="X7" s="86">
        <v>7.6</v>
      </c>
      <c r="Y7" s="86">
        <v>0</v>
      </c>
      <c r="Z7" s="84" t="s">
        <v>1950</v>
      </c>
    </row>
    <row r="8" spans="1:27" s="58" customFormat="1" ht="58.5" customHeight="1">
      <c r="A8" s="146">
        <v>3</v>
      </c>
      <c r="B8" s="146" t="s">
        <v>1187</v>
      </c>
      <c r="C8" s="146" t="s">
        <v>1951</v>
      </c>
      <c r="D8" s="84" t="s">
        <v>1952</v>
      </c>
      <c r="E8" s="75" t="s">
        <v>1953</v>
      </c>
      <c r="F8" s="85" t="s">
        <v>1954</v>
      </c>
      <c r="G8" s="84" t="s">
        <v>1955</v>
      </c>
      <c r="H8" s="84" t="s">
        <v>1376</v>
      </c>
      <c r="I8" s="86">
        <v>180</v>
      </c>
      <c r="J8" s="86">
        <v>0</v>
      </c>
      <c r="K8" s="83">
        <v>0</v>
      </c>
      <c r="L8" s="86">
        <v>180</v>
      </c>
      <c r="M8" s="83">
        <v>0</v>
      </c>
      <c r="N8" s="84"/>
      <c r="O8" s="84"/>
      <c r="P8" s="84" t="s">
        <v>1177</v>
      </c>
      <c r="Q8" s="84"/>
      <c r="R8" s="84" t="s">
        <v>1539</v>
      </c>
      <c r="S8" s="84" t="s">
        <v>845</v>
      </c>
      <c r="T8" s="84" t="s">
        <v>91</v>
      </c>
      <c r="U8" s="84" t="s">
        <v>3393</v>
      </c>
      <c r="V8" s="84" t="s">
        <v>164</v>
      </c>
      <c r="W8" s="86">
        <v>18</v>
      </c>
      <c r="X8" s="86">
        <v>18</v>
      </c>
      <c r="Y8" s="86">
        <v>0</v>
      </c>
      <c r="Z8" s="84" t="s">
        <v>1957</v>
      </c>
    </row>
    <row r="9" spans="1:27" ht="38.25" customHeight="1">
      <c r="A9" s="146">
        <v>4</v>
      </c>
      <c r="B9" s="144" t="s">
        <v>792</v>
      </c>
      <c r="C9" s="144" t="s">
        <v>1931</v>
      </c>
      <c r="D9" s="79" t="s">
        <v>1958</v>
      </c>
      <c r="E9" s="79" t="s">
        <v>1959</v>
      </c>
      <c r="F9" s="148" t="s">
        <v>1960</v>
      </c>
      <c r="G9" s="79" t="s">
        <v>1962</v>
      </c>
      <c r="H9" s="79" t="s">
        <v>1784</v>
      </c>
      <c r="I9" s="83">
        <v>1000</v>
      </c>
      <c r="J9" s="83">
        <v>500</v>
      </c>
      <c r="K9" s="83">
        <v>150</v>
      </c>
      <c r="L9" s="83">
        <v>350</v>
      </c>
      <c r="M9" s="83">
        <v>0</v>
      </c>
      <c r="N9" s="79" t="s">
        <v>425</v>
      </c>
      <c r="O9" s="79" t="s">
        <v>1963</v>
      </c>
      <c r="P9" s="79" t="s">
        <v>247</v>
      </c>
      <c r="Q9" s="79"/>
      <c r="R9" s="79" t="s">
        <v>1964</v>
      </c>
      <c r="S9" s="79" t="s">
        <v>1184</v>
      </c>
      <c r="T9" s="79" t="s">
        <v>1965</v>
      </c>
      <c r="U9" s="79" t="s">
        <v>1966</v>
      </c>
      <c r="V9" s="79" t="s">
        <v>94</v>
      </c>
      <c r="W9" s="83" t="s">
        <v>3411</v>
      </c>
      <c r="X9" s="83" t="s">
        <v>3411</v>
      </c>
      <c r="Y9" s="83" t="s">
        <v>3411</v>
      </c>
      <c r="Z9" s="79" t="s">
        <v>611</v>
      </c>
    </row>
    <row r="10" spans="1:27" ht="93.75" customHeight="1">
      <c r="A10" s="146">
        <v>5</v>
      </c>
      <c r="B10" s="144" t="s">
        <v>1187</v>
      </c>
      <c r="C10" s="144" t="s">
        <v>1942</v>
      </c>
      <c r="D10" s="79" t="s">
        <v>1967</v>
      </c>
      <c r="E10" s="79" t="s">
        <v>1968</v>
      </c>
      <c r="F10" s="148" t="s">
        <v>1969</v>
      </c>
      <c r="G10" s="79" t="s">
        <v>1970</v>
      </c>
      <c r="H10" s="79" t="s">
        <v>1971</v>
      </c>
      <c r="I10" s="83">
        <v>410</v>
      </c>
      <c r="J10" s="83">
        <v>0</v>
      </c>
      <c r="K10" s="83">
        <v>0</v>
      </c>
      <c r="L10" s="83">
        <v>410</v>
      </c>
      <c r="M10" s="83">
        <v>0</v>
      </c>
      <c r="N10" s="79"/>
      <c r="O10" s="79"/>
      <c r="P10" s="79" t="s">
        <v>209</v>
      </c>
      <c r="Q10" s="79"/>
      <c r="R10" s="79" t="s">
        <v>1972</v>
      </c>
      <c r="S10" s="79" t="s">
        <v>845</v>
      </c>
      <c r="T10" s="79" t="s">
        <v>183</v>
      </c>
      <c r="U10" s="79" t="s">
        <v>3395</v>
      </c>
      <c r="V10" s="79" t="s">
        <v>212</v>
      </c>
      <c r="W10" s="83">
        <f>SUM(X10:Y10)</f>
        <v>280</v>
      </c>
      <c r="X10" s="83">
        <v>280</v>
      </c>
      <c r="Y10" s="83">
        <v>0</v>
      </c>
      <c r="Z10" s="79" t="s">
        <v>1973</v>
      </c>
    </row>
    <row r="11" spans="1:27" ht="38.25" customHeight="1">
      <c r="A11" s="146">
        <v>6</v>
      </c>
      <c r="B11" s="144" t="s">
        <v>1941</v>
      </c>
      <c r="C11" s="144" t="s">
        <v>1931</v>
      </c>
      <c r="D11" s="79" t="s">
        <v>1974</v>
      </c>
      <c r="E11" s="79" t="s">
        <v>1975</v>
      </c>
      <c r="F11" s="148" t="s">
        <v>1976</v>
      </c>
      <c r="G11" s="79" t="s">
        <v>1977</v>
      </c>
      <c r="H11" s="79" t="s">
        <v>230</v>
      </c>
      <c r="I11" s="83">
        <v>400</v>
      </c>
      <c r="J11" s="83">
        <v>0</v>
      </c>
      <c r="K11" s="83">
        <v>0</v>
      </c>
      <c r="L11" s="83">
        <v>400</v>
      </c>
      <c r="M11" s="83">
        <v>0</v>
      </c>
      <c r="N11" s="79"/>
      <c r="O11" s="79"/>
      <c r="P11" s="79" t="s">
        <v>247</v>
      </c>
      <c r="Q11" s="79"/>
      <c r="R11" s="79" t="s">
        <v>1978</v>
      </c>
      <c r="S11" s="79" t="s">
        <v>108</v>
      </c>
      <c r="T11" s="79" t="s">
        <v>1979</v>
      </c>
      <c r="U11" s="84" t="s">
        <v>3393</v>
      </c>
      <c r="V11" s="79" t="s">
        <v>212</v>
      </c>
      <c r="W11" s="83">
        <v>65</v>
      </c>
      <c r="X11" s="83">
        <v>65</v>
      </c>
      <c r="Y11" s="83">
        <v>0</v>
      </c>
      <c r="Z11" s="79" t="s">
        <v>1980</v>
      </c>
    </row>
    <row r="12" spans="1:27" s="58" customFormat="1" ht="45.75" customHeight="1">
      <c r="A12" s="146">
        <v>7</v>
      </c>
      <c r="B12" s="146" t="s">
        <v>793</v>
      </c>
      <c r="C12" s="84" t="s">
        <v>1931</v>
      </c>
      <c r="D12" s="84" t="s">
        <v>1981</v>
      </c>
      <c r="E12" s="84" t="s">
        <v>1982</v>
      </c>
      <c r="F12" s="198" t="s">
        <v>1983</v>
      </c>
      <c r="G12" s="84" t="s">
        <v>1984</v>
      </c>
      <c r="H12" s="84" t="s">
        <v>1985</v>
      </c>
      <c r="I12" s="86">
        <v>100</v>
      </c>
      <c r="J12" s="86">
        <v>0</v>
      </c>
      <c r="K12" s="86">
        <v>50</v>
      </c>
      <c r="L12" s="86">
        <v>50</v>
      </c>
      <c r="M12" s="83">
        <v>0</v>
      </c>
      <c r="N12" s="84"/>
      <c r="O12" s="84"/>
      <c r="P12" s="84" t="s">
        <v>1177</v>
      </c>
      <c r="Q12" s="84"/>
      <c r="R12" s="84" t="s">
        <v>1986</v>
      </c>
      <c r="S12" s="84" t="s">
        <v>108</v>
      </c>
      <c r="T12" s="84" t="s">
        <v>385</v>
      </c>
      <c r="U12" s="84" t="s">
        <v>3396</v>
      </c>
      <c r="V12" s="84" t="s">
        <v>94</v>
      </c>
      <c r="W12" s="86">
        <v>48</v>
      </c>
      <c r="X12" s="86">
        <v>48</v>
      </c>
      <c r="Y12" s="86">
        <v>0</v>
      </c>
      <c r="Z12" s="84" t="s">
        <v>1956</v>
      </c>
    </row>
    <row r="13" spans="1:27" ht="89.25" customHeight="1">
      <c r="A13" s="146">
        <v>8</v>
      </c>
      <c r="B13" s="144" t="s">
        <v>793</v>
      </c>
      <c r="C13" s="144" t="s">
        <v>1931</v>
      </c>
      <c r="D13" s="79" t="s">
        <v>1987</v>
      </c>
      <c r="E13" s="79" t="s">
        <v>1988</v>
      </c>
      <c r="F13" s="148" t="s">
        <v>1989</v>
      </c>
      <c r="G13" s="79" t="s">
        <v>1961</v>
      </c>
      <c r="H13" s="79" t="s">
        <v>1990</v>
      </c>
      <c r="I13" s="83">
        <v>550</v>
      </c>
      <c r="J13" s="83">
        <v>0</v>
      </c>
      <c r="K13" s="83">
        <v>0</v>
      </c>
      <c r="L13" s="83">
        <v>550</v>
      </c>
      <c r="M13" s="83">
        <v>0</v>
      </c>
      <c r="N13" s="79"/>
      <c r="O13" s="79"/>
      <c r="P13" s="79" t="s">
        <v>271</v>
      </c>
      <c r="Q13" s="79"/>
      <c r="R13" s="79" t="s">
        <v>1991</v>
      </c>
      <c r="S13" s="79" t="s">
        <v>108</v>
      </c>
      <c r="T13" s="79" t="s">
        <v>1965</v>
      </c>
      <c r="U13" s="79" t="s">
        <v>93</v>
      </c>
      <c r="V13" s="79" t="s">
        <v>94</v>
      </c>
      <c r="W13" s="83">
        <f t="shared" ref="W13" si="0">SUM(X13:Y13)</f>
        <v>220</v>
      </c>
      <c r="X13" s="83">
        <v>220</v>
      </c>
      <c r="Y13" s="83">
        <v>0</v>
      </c>
      <c r="Z13" s="79" t="s">
        <v>114</v>
      </c>
    </row>
    <row r="14" spans="1:27" ht="59.25" customHeight="1">
      <c r="A14" s="146">
        <v>9</v>
      </c>
      <c r="B14" s="144" t="s">
        <v>1992</v>
      </c>
      <c r="C14" s="144" t="s">
        <v>1994</v>
      </c>
      <c r="D14" s="79" t="s">
        <v>1995</v>
      </c>
      <c r="E14" s="79" t="s">
        <v>1996</v>
      </c>
      <c r="F14" s="156" t="s">
        <v>1997</v>
      </c>
      <c r="G14" s="145" t="s">
        <v>1998</v>
      </c>
      <c r="H14" s="79" t="s">
        <v>1784</v>
      </c>
      <c r="I14" s="83">
        <v>2500</v>
      </c>
      <c r="J14" s="83">
        <v>1250</v>
      </c>
      <c r="K14" s="83">
        <v>375</v>
      </c>
      <c r="L14" s="83">
        <v>875</v>
      </c>
      <c r="M14" s="83">
        <v>0</v>
      </c>
      <c r="N14" s="79" t="s">
        <v>151</v>
      </c>
      <c r="O14" s="79" t="s">
        <v>1999</v>
      </c>
      <c r="P14" s="79" t="s">
        <v>247</v>
      </c>
      <c r="Q14" s="79"/>
      <c r="R14" s="79" t="s">
        <v>2000</v>
      </c>
      <c r="S14" s="79" t="s">
        <v>39</v>
      </c>
      <c r="T14" s="79" t="s">
        <v>1547</v>
      </c>
      <c r="U14" s="79" t="s">
        <v>2001</v>
      </c>
      <c r="V14" s="79" t="s">
        <v>466</v>
      </c>
      <c r="W14" s="83" t="s">
        <v>3411</v>
      </c>
      <c r="X14" s="83" t="s">
        <v>3411</v>
      </c>
      <c r="Y14" s="83" t="s">
        <v>3411</v>
      </c>
      <c r="Z14" s="79" t="s">
        <v>2002</v>
      </c>
    </row>
    <row r="15" spans="1:27" ht="48">
      <c r="A15" s="146">
        <v>10</v>
      </c>
      <c r="B15" s="144" t="s">
        <v>1992</v>
      </c>
      <c r="C15" s="144" t="s">
        <v>1994</v>
      </c>
      <c r="D15" s="79" t="s">
        <v>2003</v>
      </c>
      <c r="E15" s="79" t="s">
        <v>2004</v>
      </c>
      <c r="F15" s="156" t="s">
        <v>2005</v>
      </c>
      <c r="G15" s="145" t="s">
        <v>2006</v>
      </c>
      <c r="H15" s="79" t="s">
        <v>1784</v>
      </c>
      <c r="I15" s="83">
        <v>150</v>
      </c>
      <c r="J15" s="83">
        <v>75</v>
      </c>
      <c r="K15" s="83">
        <v>22.5</v>
      </c>
      <c r="L15" s="83">
        <v>52.5</v>
      </c>
      <c r="M15" s="83">
        <v>0</v>
      </c>
      <c r="N15" s="79" t="s">
        <v>151</v>
      </c>
      <c r="O15" s="79" t="s">
        <v>1999</v>
      </c>
      <c r="P15" s="79" t="s">
        <v>247</v>
      </c>
      <c r="Q15" s="79"/>
      <c r="R15" s="79" t="s">
        <v>2007</v>
      </c>
      <c r="S15" s="79" t="s">
        <v>39</v>
      </c>
      <c r="T15" s="79" t="s">
        <v>91</v>
      </c>
      <c r="U15" s="79" t="s">
        <v>2008</v>
      </c>
      <c r="V15" s="79" t="s">
        <v>212</v>
      </c>
      <c r="W15" s="83" t="s">
        <v>3411</v>
      </c>
      <c r="X15" s="83" t="s">
        <v>3411</v>
      </c>
      <c r="Y15" s="83" t="s">
        <v>3411</v>
      </c>
      <c r="Z15" s="79" t="s">
        <v>2009</v>
      </c>
    </row>
    <row r="16" spans="1:27" ht="48">
      <c r="A16" s="146">
        <v>11</v>
      </c>
      <c r="B16" s="144" t="s">
        <v>1992</v>
      </c>
      <c r="C16" s="144" t="s">
        <v>1993</v>
      </c>
      <c r="D16" s="79" t="s">
        <v>2010</v>
      </c>
      <c r="E16" s="79" t="s">
        <v>2011</v>
      </c>
      <c r="F16" s="156" t="s">
        <v>2012</v>
      </c>
      <c r="G16" s="145" t="s">
        <v>2013</v>
      </c>
      <c r="H16" s="145" t="s">
        <v>753</v>
      </c>
      <c r="I16" s="83">
        <v>250</v>
      </c>
      <c r="J16" s="83">
        <v>0</v>
      </c>
      <c r="K16" s="83">
        <v>60</v>
      </c>
      <c r="L16" s="83">
        <v>190</v>
      </c>
      <c r="M16" s="83">
        <v>0</v>
      </c>
      <c r="N16" s="79"/>
      <c r="O16" s="79"/>
      <c r="P16" s="79" t="s">
        <v>247</v>
      </c>
      <c r="Q16" s="79"/>
      <c r="R16" s="79" t="s">
        <v>2014</v>
      </c>
      <c r="S16" s="79" t="s">
        <v>312</v>
      </c>
      <c r="T16" s="79" t="s">
        <v>91</v>
      </c>
      <c r="U16" s="79" t="s">
        <v>2015</v>
      </c>
      <c r="V16" s="79" t="s">
        <v>212</v>
      </c>
      <c r="W16" s="83">
        <v>259</v>
      </c>
      <c r="X16" s="83">
        <v>259</v>
      </c>
      <c r="Y16" s="83">
        <v>0</v>
      </c>
      <c r="Z16" s="79" t="s">
        <v>114</v>
      </c>
    </row>
    <row r="17" spans="1:26" ht="38.25" customHeight="1">
      <c r="A17" s="146">
        <v>12</v>
      </c>
      <c r="B17" s="144" t="s">
        <v>1992</v>
      </c>
      <c r="C17" s="144" t="s">
        <v>1993</v>
      </c>
      <c r="D17" s="79" t="s">
        <v>2016</v>
      </c>
      <c r="E17" s="79" t="s">
        <v>651</v>
      </c>
      <c r="F17" s="148" t="s">
        <v>2017</v>
      </c>
      <c r="G17" s="79" t="s">
        <v>2018</v>
      </c>
      <c r="H17" s="79" t="s">
        <v>2019</v>
      </c>
      <c r="I17" s="83">
        <v>54</v>
      </c>
      <c r="J17" s="83">
        <v>0</v>
      </c>
      <c r="K17" s="83">
        <v>0</v>
      </c>
      <c r="L17" s="83">
        <v>10</v>
      </c>
      <c r="M17" s="83">
        <v>44</v>
      </c>
      <c r="N17" s="79"/>
      <c r="O17" s="79"/>
      <c r="P17" s="79" t="s">
        <v>436</v>
      </c>
      <c r="Q17" s="79"/>
      <c r="R17" s="79" t="s">
        <v>2020</v>
      </c>
      <c r="S17" s="79" t="s">
        <v>108</v>
      </c>
      <c r="T17" s="79" t="s">
        <v>2021</v>
      </c>
      <c r="U17" s="79" t="s">
        <v>2022</v>
      </c>
      <c r="V17" s="79" t="s">
        <v>212</v>
      </c>
      <c r="W17" s="83">
        <f t="shared" ref="W17" si="1">SUM(X17:Y17)</f>
        <v>4</v>
      </c>
      <c r="X17" s="83">
        <v>4</v>
      </c>
      <c r="Y17" s="83">
        <v>0</v>
      </c>
      <c r="Z17" s="79" t="s">
        <v>114</v>
      </c>
    </row>
    <row r="18" spans="1:26" ht="62.25" customHeight="1">
      <c r="A18" s="146">
        <v>13</v>
      </c>
      <c r="B18" s="144" t="s">
        <v>1992</v>
      </c>
      <c r="C18" s="144" t="s">
        <v>1993</v>
      </c>
      <c r="D18" s="79" t="s">
        <v>2023</v>
      </c>
      <c r="E18" s="79" t="s">
        <v>2024</v>
      </c>
      <c r="F18" s="156" t="s">
        <v>2025</v>
      </c>
      <c r="G18" s="145" t="s">
        <v>2026</v>
      </c>
      <c r="H18" s="145" t="s">
        <v>351</v>
      </c>
      <c r="I18" s="83">
        <v>1560</v>
      </c>
      <c r="J18" s="83">
        <v>80</v>
      </c>
      <c r="K18" s="83">
        <v>24</v>
      </c>
      <c r="L18" s="83">
        <v>1456</v>
      </c>
      <c r="M18" s="83">
        <v>0</v>
      </c>
      <c r="N18" s="79" t="s">
        <v>151</v>
      </c>
      <c r="O18" s="79" t="s">
        <v>2027</v>
      </c>
      <c r="P18" s="79" t="s">
        <v>247</v>
      </c>
      <c r="Q18" s="79" t="s">
        <v>2028</v>
      </c>
      <c r="R18" s="79" t="s">
        <v>2029</v>
      </c>
      <c r="S18" s="79" t="s">
        <v>108</v>
      </c>
      <c r="T18" s="79" t="s">
        <v>2030</v>
      </c>
      <c r="U18" s="79" t="s">
        <v>2001</v>
      </c>
      <c r="V18" s="79" t="s">
        <v>212</v>
      </c>
      <c r="W18" s="83">
        <v>513</v>
      </c>
      <c r="X18" s="83">
        <v>513</v>
      </c>
      <c r="Y18" s="83">
        <v>0</v>
      </c>
      <c r="Z18" s="79" t="s">
        <v>133</v>
      </c>
    </row>
    <row r="19" spans="1:26" ht="75.75" customHeight="1">
      <c r="A19" s="146">
        <v>14</v>
      </c>
      <c r="B19" s="144" t="s">
        <v>1992</v>
      </c>
      <c r="C19" s="80" t="s">
        <v>2031</v>
      </c>
      <c r="D19" s="79" t="s">
        <v>2032</v>
      </c>
      <c r="E19" s="185" t="s">
        <v>2033</v>
      </c>
      <c r="F19" s="199" t="s">
        <v>2034</v>
      </c>
      <c r="G19" s="79" t="s">
        <v>2035</v>
      </c>
      <c r="H19" s="79" t="s">
        <v>820</v>
      </c>
      <c r="I19" s="83">
        <v>1604</v>
      </c>
      <c r="J19" s="161">
        <v>802</v>
      </c>
      <c r="K19" s="161">
        <v>240.6</v>
      </c>
      <c r="L19" s="161">
        <v>561.4</v>
      </c>
      <c r="M19" s="83">
        <v>0</v>
      </c>
      <c r="N19" s="144" t="s">
        <v>2036</v>
      </c>
      <c r="O19" s="79" t="s">
        <v>2037</v>
      </c>
      <c r="P19" s="79" t="s">
        <v>140</v>
      </c>
      <c r="Q19" s="79"/>
      <c r="R19" s="79" t="s">
        <v>2038</v>
      </c>
      <c r="S19" s="79" t="s">
        <v>2039</v>
      </c>
      <c r="T19" s="79" t="s">
        <v>2040</v>
      </c>
      <c r="U19" s="84" t="s">
        <v>3393</v>
      </c>
      <c r="V19" s="79" t="s">
        <v>2041</v>
      </c>
      <c r="W19" s="83">
        <f t="shared" ref="W19" si="2">SUM(X19:Y19)</f>
        <v>80</v>
      </c>
      <c r="X19" s="83">
        <v>70</v>
      </c>
      <c r="Y19" s="83">
        <v>10</v>
      </c>
      <c r="Z19" s="79" t="s">
        <v>2042</v>
      </c>
    </row>
    <row r="20" spans="1:26" ht="86.25" customHeight="1">
      <c r="A20" s="146">
        <v>15</v>
      </c>
      <c r="B20" s="144" t="s">
        <v>792</v>
      </c>
      <c r="C20" s="79" t="s">
        <v>2031</v>
      </c>
      <c r="D20" s="79" t="s">
        <v>2043</v>
      </c>
      <c r="E20" s="80" t="s">
        <v>2033</v>
      </c>
      <c r="F20" s="148" t="s">
        <v>2044</v>
      </c>
      <c r="G20" s="79" t="s">
        <v>2045</v>
      </c>
      <c r="H20" s="79" t="s">
        <v>230</v>
      </c>
      <c r="I20" s="83">
        <v>432</v>
      </c>
      <c r="J20" s="83">
        <v>216</v>
      </c>
      <c r="K20" s="83">
        <v>64.8</v>
      </c>
      <c r="L20" s="83">
        <v>151.19999999999999</v>
      </c>
      <c r="M20" s="83">
        <v>0</v>
      </c>
      <c r="N20" s="79" t="s">
        <v>151</v>
      </c>
      <c r="O20" s="79" t="s">
        <v>2046</v>
      </c>
      <c r="P20" s="79" t="s">
        <v>140</v>
      </c>
      <c r="Q20" s="79"/>
      <c r="R20" s="79" t="s">
        <v>2047</v>
      </c>
      <c r="S20" s="79" t="s">
        <v>2048</v>
      </c>
      <c r="T20" s="79" t="s">
        <v>251</v>
      </c>
      <c r="U20" s="79" t="s">
        <v>2049</v>
      </c>
      <c r="V20" s="79" t="s">
        <v>323</v>
      </c>
      <c r="W20" s="83">
        <f>SUM(X20:Y20)</f>
        <v>120</v>
      </c>
      <c r="X20" s="83">
        <v>100</v>
      </c>
      <c r="Y20" s="83">
        <v>20</v>
      </c>
      <c r="Z20" s="79" t="s">
        <v>2051</v>
      </c>
    </row>
    <row r="21" spans="1:26" ht="38.25" customHeight="1">
      <c r="A21" s="146">
        <v>16</v>
      </c>
      <c r="B21" s="144" t="s">
        <v>1992</v>
      </c>
      <c r="C21" s="144" t="s">
        <v>2031</v>
      </c>
      <c r="D21" s="79" t="s">
        <v>2052</v>
      </c>
      <c r="E21" s="75" t="s">
        <v>2053</v>
      </c>
      <c r="F21" s="104" t="s">
        <v>2054</v>
      </c>
      <c r="G21" s="200" t="s">
        <v>2055</v>
      </c>
      <c r="H21" s="200" t="s">
        <v>2056</v>
      </c>
      <c r="I21" s="83">
        <v>174.9</v>
      </c>
      <c r="J21" s="86">
        <v>0</v>
      </c>
      <c r="K21" s="83">
        <v>0</v>
      </c>
      <c r="L21" s="83">
        <v>174.9</v>
      </c>
      <c r="M21" s="83">
        <v>0</v>
      </c>
      <c r="N21" s="144"/>
      <c r="O21" s="144"/>
      <c r="P21" s="84" t="s">
        <v>788</v>
      </c>
      <c r="Q21" s="79"/>
      <c r="R21" s="84" t="s">
        <v>2057</v>
      </c>
      <c r="S21" s="84" t="s">
        <v>108</v>
      </c>
      <c r="T21" s="201" t="s">
        <v>251</v>
      </c>
      <c r="U21" s="84" t="s">
        <v>93</v>
      </c>
      <c r="V21" s="84" t="s">
        <v>94</v>
      </c>
      <c r="W21" s="83">
        <f>SUM(X21:Y21)</f>
        <v>350</v>
      </c>
      <c r="X21" s="86">
        <v>349</v>
      </c>
      <c r="Y21" s="83">
        <v>1</v>
      </c>
      <c r="Z21" s="79" t="s">
        <v>2058</v>
      </c>
    </row>
    <row r="22" spans="1:26" ht="38.25" customHeight="1">
      <c r="A22" s="146">
        <v>17</v>
      </c>
      <c r="B22" s="144" t="s">
        <v>1992</v>
      </c>
      <c r="C22" s="144" t="s">
        <v>2031</v>
      </c>
      <c r="D22" s="79" t="s">
        <v>2059</v>
      </c>
      <c r="E22" s="80" t="s">
        <v>2060</v>
      </c>
      <c r="F22" s="148" t="s">
        <v>2061</v>
      </c>
      <c r="G22" s="172" t="s">
        <v>7071</v>
      </c>
      <c r="H22" s="79" t="s">
        <v>149</v>
      </c>
      <c r="I22" s="83">
        <f>SUM(J22:M22)</f>
        <v>13.3</v>
      </c>
      <c r="J22" s="83">
        <v>0</v>
      </c>
      <c r="K22" s="83">
        <v>0</v>
      </c>
      <c r="L22" s="83">
        <v>8</v>
      </c>
      <c r="M22" s="83">
        <v>5.3</v>
      </c>
      <c r="N22" s="79"/>
      <c r="O22" s="79"/>
      <c r="P22" s="79" t="s">
        <v>209</v>
      </c>
      <c r="Q22" s="79"/>
      <c r="R22" s="79" t="s">
        <v>2062</v>
      </c>
      <c r="S22" s="79" t="s">
        <v>108</v>
      </c>
      <c r="T22" s="79" t="s">
        <v>630</v>
      </c>
      <c r="U22" s="84" t="s">
        <v>3393</v>
      </c>
      <c r="V22" s="79" t="s">
        <v>212</v>
      </c>
      <c r="W22" s="83">
        <f>SUM(X22:X22)</f>
        <v>6.7</v>
      </c>
      <c r="X22" s="83">
        <v>6.7</v>
      </c>
      <c r="Y22" s="83">
        <v>0</v>
      </c>
      <c r="Z22" s="79" t="s">
        <v>756</v>
      </c>
    </row>
    <row r="23" spans="1:26" ht="59.25" customHeight="1">
      <c r="A23" s="146">
        <v>18</v>
      </c>
      <c r="B23" s="144" t="s">
        <v>1992</v>
      </c>
      <c r="C23" s="144" t="s">
        <v>2031</v>
      </c>
      <c r="D23" s="79" t="s">
        <v>2063</v>
      </c>
      <c r="E23" s="80" t="s">
        <v>2064</v>
      </c>
      <c r="F23" s="148" t="s">
        <v>2065</v>
      </c>
      <c r="G23" s="79" t="s">
        <v>2066</v>
      </c>
      <c r="H23" s="79" t="s">
        <v>2067</v>
      </c>
      <c r="I23" s="83">
        <f>SUM(J23:M23)</f>
        <v>1900</v>
      </c>
      <c r="J23" s="83">
        <v>100</v>
      </c>
      <c r="K23" s="83">
        <v>295</v>
      </c>
      <c r="L23" s="83">
        <v>1346</v>
      </c>
      <c r="M23" s="83">
        <v>159</v>
      </c>
      <c r="N23" s="79" t="s">
        <v>151</v>
      </c>
      <c r="O23" s="79" t="s">
        <v>524</v>
      </c>
      <c r="P23" s="79" t="s">
        <v>247</v>
      </c>
      <c r="Q23" s="79"/>
      <c r="R23" s="79" t="s">
        <v>1900</v>
      </c>
      <c r="S23" s="79" t="s">
        <v>108</v>
      </c>
      <c r="T23" s="79" t="s">
        <v>2068</v>
      </c>
      <c r="U23" s="79" t="s">
        <v>2069</v>
      </c>
      <c r="V23" s="79" t="s">
        <v>323</v>
      </c>
      <c r="W23" s="83">
        <f>SUM(X23:Y23)</f>
        <v>1050</v>
      </c>
      <c r="X23" s="83">
        <v>1000</v>
      </c>
      <c r="Y23" s="83">
        <v>50</v>
      </c>
      <c r="Z23" s="79" t="s">
        <v>2070</v>
      </c>
    </row>
    <row r="24" spans="1:26" ht="47.25" customHeight="1">
      <c r="A24" s="146">
        <v>19</v>
      </c>
      <c r="B24" s="144" t="s">
        <v>1992</v>
      </c>
      <c r="C24" s="144" t="s">
        <v>2031</v>
      </c>
      <c r="D24" s="79" t="s">
        <v>2071</v>
      </c>
      <c r="E24" s="80" t="s">
        <v>2072</v>
      </c>
      <c r="F24" s="148" t="s">
        <v>2073</v>
      </c>
      <c r="G24" s="79" t="s">
        <v>2074</v>
      </c>
      <c r="H24" s="79" t="s">
        <v>2075</v>
      </c>
      <c r="I24" s="83">
        <f>SUM(J24:M24)</f>
        <v>13.3</v>
      </c>
      <c r="J24" s="83">
        <v>0</v>
      </c>
      <c r="K24" s="83">
        <v>0</v>
      </c>
      <c r="L24" s="83">
        <v>8</v>
      </c>
      <c r="M24" s="83">
        <v>5.3</v>
      </c>
      <c r="N24" s="79"/>
      <c r="O24" s="79"/>
      <c r="P24" s="79" t="s">
        <v>261</v>
      </c>
      <c r="Q24" s="79"/>
      <c r="R24" s="79" t="s">
        <v>2076</v>
      </c>
      <c r="S24" s="79" t="s">
        <v>108</v>
      </c>
      <c r="T24" s="79" t="s">
        <v>2077</v>
      </c>
      <c r="U24" s="84" t="s">
        <v>3393</v>
      </c>
      <c r="V24" s="79" t="s">
        <v>212</v>
      </c>
      <c r="W24" s="83">
        <f>SUM(X24:X24)</f>
        <v>3.8</v>
      </c>
      <c r="X24" s="83">
        <v>3.8</v>
      </c>
      <c r="Y24" s="83">
        <v>0</v>
      </c>
      <c r="Z24" s="79" t="s">
        <v>756</v>
      </c>
    </row>
    <row r="25" spans="1:26" ht="38.25" customHeight="1">
      <c r="A25" s="146">
        <v>20</v>
      </c>
      <c r="B25" s="144" t="s">
        <v>2078</v>
      </c>
      <c r="C25" s="144" t="s">
        <v>2031</v>
      </c>
      <c r="D25" s="79" t="s">
        <v>2079</v>
      </c>
      <c r="E25" s="80" t="s">
        <v>2080</v>
      </c>
      <c r="F25" s="148" t="s">
        <v>2081</v>
      </c>
      <c r="G25" s="79" t="s">
        <v>2082</v>
      </c>
      <c r="H25" s="79" t="s">
        <v>193</v>
      </c>
      <c r="I25" s="83">
        <v>21</v>
      </c>
      <c r="J25" s="83">
        <v>0</v>
      </c>
      <c r="K25" s="83">
        <v>0</v>
      </c>
      <c r="L25" s="83">
        <v>13</v>
      </c>
      <c r="M25" s="83">
        <v>8</v>
      </c>
      <c r="N25" s="79"/>
      <c r="O25" s="79"/>
      <c r="P25" s="79" t="s">
        <v>2083</v>
      </c>
      <c r="Q25" s="79"/>
      <c r="R25" s="79" t="s">
        <v>2084</v>
      </c>
      <c r="S25" s="79" t="s">
        <v>108</v>
      </c>
      <c r="T25" s="79" t="s">
        <v>630</v>
      </c>
      <c r="U25" s="84" t="s">
        <v>3393</v>
      </c>
      <c r="V25" s="79" t="s">
        <v>2085</v>
      </c>
      <c r="W25" s="83">
        <f>SUM(X25:Y25)</f>
        <v>25</v>
      </c>
      <c r="X25" s="83">
        <v>25</v>
      </c>
      <c r="Y25" s="83">
        <v>0</v>
      </c>
      <c r="Z25" s="79" t="s">
        <v>96</v>
      </c>
    </row>
    <row r="26" spans="1:26" ht="38.25" customHeight="1">
      <c r="A26" s="146">
        <v>21</v>
      </c>
      <c r="B26" s="144" t="s">
        <v>1992</v>
      </c>
      <c r="C26" s="144" t="s">
        <v>2031</v>
      </c>
      <c r="D26" s="79" t="s">
        <v>2086</v>
      </c>
      <c r="E26" s="80" t="s">
        <v>2087</v>
      </c>
      <c r="F26" s="202" t="s">
        <v>2088</v>
      </c>
      <c r="G26" s="79" t="s">
        <v>2089</v>
      </c>
      <c r="H26" s="79" t="s">
        <v>2090</v>
      </c>
      <c r="I26" s="86">
        <f>SUM(J26:M26)</f>
        <v>350.7</v>
      </c>
      <c r="J26" s="161">
        <v>0</v>
      </c>
      <c r="K26" s="83">
        <v>0</v>
      </c>
      <c r="L26" s="203">
        <v>350.7</v>
      </c>
      <c r="M26" s="83">
        <v>0</v>
      </c>
      <c r="N26" s="79"/>
      <c r="O26" s="79"/>
      <c r="P26" s="79" t="s">
        <v>436</v>
      </c>
      <c r="Q26" s="79"/>
      <c r="R26" s="79" t="s">
        <v>96</v>
      </c>
      <c r="S26" s="79" t="s">
        <v>312</v>
      </c>
      <c r="T26" s="79" t="s">
        <v>251</v>
      </c>
      <c r="U26" s="79" t="s">
        <v>93</v>
      </c>
      <c r="V26" s="79" t="s">
        <v>94</v>
      </c>
      <c r="W26" s="83">
        <f>SUM(X26:Y26)</f>
        <v>32</v>
      </c>
      <c r="X26" s="83">
        <v>31</v>
      </c>
      <c r="Y26" s="83">
        <v>1</v>
      </c>
      <c r="Z26" s="79" t="s">
        <v>2091</v>
      </c>
    </row>
    <row r="27" spans="1:26" ht="38.25" customHeight="1">
      <c r="A27" s="146">
        <v>22</v>
      </c>
      <c r="B27" s="144" t="s">
        <v>792</v>
      </c>
      <c r="C27" s="144" t="s">
        <v>2031</v>
      </c>
      <c r="D27" s="79" t="s">
        <v>2092</v>
      </c>
      <c r="E27" s="80" t="s">
        <v>2093</v>
      </c>
      <c r="F27" s="148" t="s">
        <v>2094</v>
      </c>
      <c r="G27" s="79" t="s">
        <v>2095</v>
      </c>
      <c r="H27" s="79" t="s">
        <v>2096</v>
      </c>
      <c r="I27" s="83">
        <v>75</v>
      </c>
      <c r="J27" s="83">
        <v>0</v>
      </c>
      <c r="K27" s="83">
        <v>0</v>
      </c>
      <c r="L27" s="83">
        <v>60</v>
      </c>
      <c r="M27" s="83">
        <v>15</v>
      </c>
      <c r="N27" s="79"/>
      <c r="O27" s="79"/>
      <c r="P27" s="79" t="s">
        <v>87</v>
      </c>
      <c r="Q27" s="79"/>
      <c r="R27" s="79" t="s">
        <v>2097</v>
      </c>
      <c r="S27" s="79" t="s">
        <v>108</v>
      </c>
      <c r="T27" s="79" t="s">
        <v>630</v>
      </c>
      <c r="U27" s="84" t="s">
        <v>3393</v>
      </c>
      <c r="V27" s="79" t="s">
        <v>212</v>
      </c>
      <c r="W27" s="83">
        <f>SUM(X27:Y27)</f>
        <v>100</v>
      </c>
      <c r="X27" s="83">
        <v>100</v>
      </c>
      <c r="Y27" s="83">
        <v>0</v>
      </c>
      <c r="Z27" s="79" t="s">
        <v>2098</v>
      </c>
    </row>
    <row r="28" spans="1:26" ht="38.25" customHeight="1">
      <c r="A28" s="146">
        <v>23</v>
      </c>
      <c r="B28" s="84" t="s">
        <v>1992</v>
      </c>
      <c r="C28" s="84" t="s">
        <v>2099</v>
      </c>
      <c r="D28" s="84" t="s">
        <v>2100</v>
      </c>
      <c r="E28" s="75" t="s">
        <v>2101</v>
      </c>
      <c r="F28" s="85" t="s">
        <v>2102</v>
      </c>
      <c r="G28" s="84" t="s">
        <v>2103</v>
      </c>
      <c r="H28" s="84" t="s">
        <v>626</v>
      </c>
      <c r="I28" s="86">
        <f>SUM(J28:M28)</f>
        <v>340</v>
      </c>
      <c r="J28" s="86">
        <v>0</v>
      </c>
      <c r="K28" s="86">
        <v>40</v>
      </c>
      <c r="L28" s="86">
        <v>300</v>
      </c>
      <c r="M28" s="83">
        <v>0</v>
      </c>
      <c r="N28" s="204"/>
      <c r="O28" s="84"/>
      <c r="P28" s="84" t="s">
        <v>140</v>
      </c>
      <c r="Q28" s="79" t="s">
        <v>248</v>
      </c>
      <c r="R28" s="84" t="s">
        <v>272</v>
      </c>
      <c r="S28" s="84" t="s">
        <v>108</v>
      </c>
      <c r="T28" s="84" t="s">
        <v>183</v>
      </c>
      <c r="U28" s="84" t="s">
        <v>873</v>
      </c>
      <c r="V28" s="84" t="s">
        <v>212</v>
      </c>
      <c r="W28" s="83">
        <f>SUM(X28:Y28)</f>
        <v>510</v>
      </c>
      <c r="X28" s="83">
        <v>507</v>
      </c>
      <c r="Y28" s="83">
        <v>3</v>
      </c>
      <c r="Z28" s="79" t="s">
        <v>2050</v>
      </c>
    </row>
    <row r="29" spans="1:26" s="2" customFormat="1" ht="33.75" customHeight="1">
      <c r="A29" s="146">
        <v>24</v>
      </c>
      <c r="B29" s="144" t="s">
        <v>792</v>
      </c>
      <c r="C29" s="144" t="s">
        <v>2031</v>
      </c>
      <c r="D29" s="79" t="s">
        <v>2104</v>
      </c>
      <c r="E29" s="79" t="s">
        <v>2105</v>
      </c>
      <c r="F29" s="148" t="s">
        <v>2106</v>
      </c>
      <c r="G29" s="79" t="s">
        <v>2107</v>
      </c>
      <c r="H29" s="79" t="s">
        <v>2108</v>
      </c>
      <c r="I29" s="83">
        <v>20</v>
      </c>
      <c r="J29" s="83">
        <v>9</v>
      </c>
      <c r="K29" s="83">
        <v>0</v>
      </c>
      <c r="L29" s="83">
        <v>8</v>
      </c>
      <c r="M29" s="83">
        <v>3</v>
      </c>
      <c r="N29" s="79" t="s">
        <v>3392</v>
      </c>
      <c r="O29" s="79" t="s">
        <v>2109</v>
      </c>
      <c r="P29" s="79" t="s">
        <v>87</v>
      </c>
      <c r="Q29" s="79"/>
      <c r="R29" s="79" t="s">
        <v>2110</v>
      </c>
      <c r="S29" s="79" t="s">
        <v>108</v>
      </c>
      <c r="T29" s="79" t="s">
        <v>251</v>
      </c>
      <c r="U29" s="79" t="s">
        <v>93</v>
      </c>
      <c r="V29" s="79" t="s">
        <v>94</v>
      </c>
      <c r="W29" s="83">
        <v>84</v>
      </c>
      <c r="X29" s="83">
        <v>84</v>
      </c>
      <c r="Y29" s="83">
        <v>0</v>
      </c>
      <c r="Z29" s="79" t="s">
        <v>186</v>
      </c>
    </row>
    <row r="30" spans="1:26" ht="53.25" customHeight="1">
      <c r="A30" s="146">
        <v>25</v>
      </c>
      <c r="B30" s="144" t="s">
        <v>1992</v>
      </c>
      <c r="C30" s="144" t="s">
        <v>2111</v>
      </c>
      <c r="D30" s="79" t="s">
        <v>2112</v>
      </c>
      <c r="E30" s="79" t="s">
        <v>946</v>
      </c>
      <c r="F30" s="148" t="s">
        <v>2113</v>
      </c>
      <c r="G30" s="79" t="s">
        <v>2114</v>
      </c>
      <c r="H30" s="79" t="s">
        <v>2115</v>
      </c>
      <c r="I30" s="83">
        <v>290</v>
      </c>
      <c r="J30" s="83">
        <v>0</v>
      </c>
      <c r="K30" s="83">
        <v>0</v>
      </c>
      <c r="L30" s="83">
        <v>290</v>
      </c>
      <c r="M30" s="83">
        <v>0</v>
      </c>
      <c r="N30" s="79"/>
      <c r="O30" s="79"/>
      <c r="P30" s="79" t="s">
        <v>436</v>
      </c>
      <c r="Q30" s="79"/>
      <c r="R30" s="79" t="s">
        <v>2116</v>
      </c>
      <c r="S30" s="79" t="s">
        <v>108</v>
      </c>
      <c r="T30" s="79" t="s">
        <v>568</v>
      </c>
      <c r="U30" s="79" t="s">
        <v>93</v>
      </c>
      <c r="V30" s="79" t="s">
        <v>568</v>
      </c>
      <c r="W30" s="83">
        <f t="shared" ref="W30" si="3">SUM(X30:Y30)</f>
        <v>149.5</v>
      </c>
      <c r="X30" s="83">
        <v>149</v>
      </c>
      <c r="Y30" s="83">
        <v>0.5</v>
      </c>
      <c r="Z30" s="79" t="s">
        <v>2117</v>
      </c>
    </row>
    <row r="31" spans="1:26" ht="54" customHeight="1">
      <c r="A31" s="146">
        <v>26</v>
      </c>
      <c r="B31" s="144" t="s">
        <v>1992</v>
      </c>
      <c r="C31" s="144" t="s">
        <v>2118</v>
      </c>
      <c r="D31" s="79" t="s">
        <v>4977</v>
      </c>
      <c r="E31" s="79" t="s">
        <v>2119</v>
      </c>
      <c r="F31" s="148" t="s">
        <v>2120</v>
      </c>
      <c r="G31" s="79" t="s">
        <v>2121</v>
      </c>
      <c r="H31" s="79" t="s">
        <v>2122</v>
      </c>
      <c r="I31" s="83">
        <v>120</v>
      </c>
      <c r="J31" s="83">
        <v>0</v>
      </c>
      <c r="K31" s="83">
        <v>0</v>
      </c>
      <c r="L31" s="83">
        <v>100</v>
      </c>
      <c r="M31" s="83">
        <v>20</v>
      </c>
      <c r="N31" s="79"/>
      <c r="O31" s="79"/>
      <c r="P31" s="79" t="s">
        <v>209</v>
      </c>
      <c r="Q31" s="79"/>
      <c r="R31" s="79" t="s">
        <v>2123</v>
      </c>
      <c r="S31" s="79" t="s">
        <v>373</v>
      </c>
      <c r="T31" s="79" t="s">
        <v>2124</v>
      </c>
      <c r="U31" s="79" t="s">
        <v>595</v>
      </c>
      <c r="V31" s="79" t="s">
        <v>2124</v>
      </c>
      <c r="W31" s="83" t="s">
        <v>3412</v>
      </c>
      <c r="X31" s="83"/>
      <c r="Y31" s="83"/>
      <c r="Z31" s="79" t="s">
        <v>2125</v>
      </c>
    </row>
    <row r="32" spans="1:26" ht="77.25" customHeight="1">
      <c r="A32" s="146">
        <v>27</v>
      </c>
      <c r="B32" s="144" t="s">
        <v>1992</v>
      </c>
      <c r="C32" s="144" t="s">
        <v>2126</v>
      </c>
      <c r="D32" s="79" t="s">
        <v>2127</v>
      </c>
      <c r="E32" s="79" t="s">
        <v>2128</v>
      </c>
      <c r="F32" s="148" t="s">
        <v>2129</v>
      </c>
      <c r="G32" s="79" t="s">
        <v>2130</v>
      </c>
      <c r="H32" s="79" t="s">
        <v>2131</v>
      </c>
      <c r="I32" s="83">
        <v>1324</v>
      </c>
      <c r="J32" s="83">
        <v>0</v>
      </c>
      <c r="K32" s="83">
        <v>0</v>
      </c>
      <c r="L32" s="83">
        <v>1174</v>
      </c>
      <c r="M32" s="83">
        <v>150</v>
      </c>
      <c r="N32" s="79"/>
      <c r="O32" s="79"/>
      <c r="P32" s="79" t="s">
        <v>261</v>
      </c>
      <c r="Q32" s="79" t="s">
        <v>2132</v>
      </c>
      <c r="R32" s="79" t="s">
        <v>2133</v>
      </c>
      <c r="S32" s="79" t="s">
        <v>2134</v>
      </c>
      <c r="T32" s="79" t="s">
        <v>2135</v>
      </c>
      <c r="U32" s="79" t="s">
        <v>595</v>
      </c>
      <c r="V32" s="79" t="s">
        <v>2136</v>
      </c>
      <c r="W32" s="83">
        <f>SUM(X32:Y32)</f>
        <v>524</v>
      </c>
      <c r="X32" s="83">
        <v>524</v>
      </c>
      <c r="Y32" s="83">
        <v>0</v>
      </c>
      <c r="Z32" s="79" t="s">
        <v>2137</v>
      </c>
    </row>
    <row r="33" spans="1:26" ht="87" customHeight="1">
      <c r="A33" s="146">
        <v>28</v>
      </c>
      <c r="B33" s="144" t="s">
        <v>1992</v>
      </c>
      <c r="C33" s="144" t="s">
        <v>2126</v>
      </c>
      <c r="D33" s="150" t="s">
        <v>3426</v>
      </c>
      <c r="E33" s="79" t="s">
        <v>2138</v>
      </c>
      <c r="F33" s="148" t="s">
        <v>2139</v>
      </c>
      <c r="G33" s="79" t="s">
        <v>2130</v>
      </c>
      <c r="H33" s="79" t="s">
        <v>2141</v>
      </c>
      <c r="I33" s="83">
        <v>1145</v>
      </c>
      <c r="J33" s="83">
        <v>572</v>
      </c>
      <c r="K33" s="83">
        <v>172</v>
      </c>
      <c r="L33" s="83">
        <v>401</v>
      </c>
      <c r="M33" s="83">
        <v>0</v>
      </c>
      <c r="N33" s="79" t="s">
        <v>2142</v>
      </c>
      <c r="O33" s="79" t="s">
        <v>2143</v>
      </c>
      <c r="P33" s="79" t="s">
        <v>261</v>
      </c>
      <c r="Q33" s="79"/>
      <c r="R33" s="79" t="s">
        <v>2144</v>
      </c>
      <c r="S33" s="79" t="s">
        <v>2145</v>
      </c>
      <c r="T33" s="79" t="s">
        <v>2146</v>
      </c>
      <c r="U33" s="79" t="s">
        <v>1966</v>
      </c>
      <c r="V33" s="79" t="s">
        <v>2136</v>
      </c>
      <c r="W33" s="83">
        <f t="shared" ref="W33" si="4">SUM(X33:Y33)</f>
        <v>215</v>
      </c>
      <c r="X33" s="83">
        <v>209</v>
      </c>
      <c r="Y33" s="83">
        <v>6</v>
      </c>
      <c r="Z33" s="79" t="s">
        <v>2147</v>
      </c>
    </row>
    <row r="34" spans="1:26" ht="79.5" customHeight="1">
      <c r="A34" s="146">
        <v>29</v>
      </c>
      <c r="B34" s="144" t="s">
        <v>1992</v>
      </c>
      <c r="C34" s="144" t="s">
        <v>2149</v>
      </c>
      <c r="D34" s="79" t="s">
        <v>2150</v>
      </c>
      <c r="E34" s="79" t="s">
        <v>2151</v>
      </c>
      <c r="F34" s="148" t="s">
        <v>2152</v>
      </c>
      <c r="G34" s="79" t="s">
        <v>2153</v>
      </c>
      <c r="H34" s="79" t="s">
        <v>2154</v>
      </c>
      <c r="I34" s="83">
        <v>500</v>
      </c>
      <c r="J34" s="83">
        <v>0</v>
      </c>
      <c r="K34" s="83">
        <v>300</v>
      </c>
      <c r="L34" s="83">
        <v>200</v>
      </c>
      <c r="M34" s="83">
        <v>0</v>
      </c>
      <c r="N34" s="79"/>
      <c r="O34" s="84"/>
      <c r="P34" s="79" t="s">
        <v>209</v>
      </c>
      <c r="Q34" s="79"/>
      <c r="R34" s="79" t="s">
        <v>2155</v>
      </c>
      <c r="S34" s="79" t="s">
        <v>2156</v>
      </c>
      <c r="T34" s="79" t="s">
        <v>2157</v>
      </c>
      <c r="U34" s="79" t="s">
        <v>3397</v>
      </c>
      <c r="V34" s="79" t="s">
        <v>2158</v>
      </c>
      <c r="W34" s="83">
        <f>SUM(X34:Y34)</f>
        <v>50</v>
      </c>
      <c r="X34" s="83">
        <v>50</v>
      </c>
      <c r="Y34" s="83">
        <v>0</v>
      </c>
      <c r="Z34" s="79" t="s">
        <v>2159</v>
      </c>
    </row>
    <row r="35" spans="1:26" ht="38.25" customHeight="1">
      <c r="A35" s="146">
        <v>30</v>
      </c>
      <c r="B35" s="144" t="s">
        <v>1992</v>
      </c>
      <c r="C35" s="79" t="s">
        <v>2160</v>
      </c>
      <c r="D35" s="79" t="s">
        <v>2161</v>
      </c>
      <c r="E35" s="79" t="s">
        <v>2138</v>
      </c>
      <c r="F35" s="148" t="s">
        <v>2162</v>
      </c>
      <c r="G35" s="79" t="s">
        <v>2163</v>
      </c>
      <c r="H35" s="79" t="s">
        <v>2164</v>
      </c>
      <c r="I35" s="83">
        <v>110</v>
      </c>
      <c r="J35" s="83">
        <v>0</v>
      </c>
      <c r="K35" s="83">
        <v>0</v>
      </c>
      <c r="L35" s="83">
        <v>30</v>
      </c>
      <c r="M35" s="83">
        <v>80</v>
      </c>
      <c r="N35" s="79"/>
      <c r="O35" s="79"/>
      <c r="P35" s="79" t="s">
        <v>209</v>
      </c>
      <c r="Q35" s="79"/>
      <c r="R35" s="79" t="s">
        <v>2165</v>
      </c>
      <c r="S35" s="79" t="s">
        <v>373</v>
      </c>
      <c r="T35" s="79" t="s">
        <v>613</v>
      </c>
      <c r="U35" s="84" t="s">
        <v>3393</v>
      </c>
      <c r="V35" s="79" t="s">
        <v>529</v>
      </c>
      <c r="W35" s="83">
        <v>10</v>
      </c>
      <c r="X35" s="83">
        <v>10</v>
      </c>
      <c r="Y35" s="83">
        <v>0</v>
      </c>
      <c r="Z35" s="79" t="s">
        <v>1029</v>
      </c>
    </row>
    <row r="36" spans="1:26" ht="36">
      <c r="A36" s="146">
        <v>31</v>
      </c>
      <c r="B36" s="144" t="s">
        <v>1992</v>
      </c>
      <c r="C36" s="144" t="s">
        <v>2149</v>
      </c>
      <c r="D36" s="79" t="s">
        <v>2166</v>
      </c>
      <c r="E36" s="79" t="s">
        <v>2168</v>
      </c>
      <c r="F36" s="148" t="s">
        <v>2169</v>
      </c>
      <c r="G36" s="84" t="s">
        <v>2170</v>
      </c>
      <c r="H36" s="79" t="s">
        <v>2171</v>
      </c>
      <c r="I36" s="83">
        <f>SUM(J36:M36)</f>
        <v>2036</v>
      </c>
      <c r="J36" s="83">
        <v>0</v>
      </c>
      <c r="K36" s="83">
        <v>0</v>
      </c>
      <c r="L36" s="83">
        <v>536</v>
      </c>
      <c r="M36" s="83">
        <v>1500</v>
      </c>
      <c r="N36" s="79"/>
      <c r="O36" s="79"/>
      <c r="P36" s="79" t="s">
        <v>247</v>
      </c>
      <c r="Q36" s="79"/>
      <c r="R36" s="79" t="s">
        <v>2172</v>
      </c>
      <c r="S36" s="79" t="s">
        <v>2156</v>
      </c>
      <c r="T36" s="79" t="s">
        <v>2173</v>
      </c>
      <c r="U36" s="84" t="s">
        <v>3393</v>
      </c>
      <c r="V36" s="79" t="s">
        <v>323</v>
      </c>
      <c r="W36" s="83" t="s">
        <v>3413</v>
      </c>
      <c r="X36" s="83" t="s">
        <v>3413</v>
      </c>
      <c r="Y36" s="83" t="s">
        <v>3413</v>
      </c>
      <c r="Z36" s="79" t="s">
        <v>2174</v>
      </c>
    </row>
    <row r="37" spans="1:26" ht="63" customHeight="1">
      <c r="A37" s="146">
        <v>32</v>
      </c>
      <c r="B37" s="144" t="s">
        <v>2175</v>
      </c>
      <c r="C37" s="144" t="s">
        <v>2148</v>
      </c>
      <c r="D37" s="146" t="s">
        <v>2176</v>
      </c>
      <c r="E37" s="205" t="s">
        <v>2177</v>
      </c>
      <c r="F37" s="154" t="s">
        <v>2178</v>
      </c>
      <c r="G37" s="84" t="s">
        <v>2179</v>
      </c>
      <c r="H37" s="84" t="s">
        <v>2180</v>
      </c>
      <c r="I37" s="83">
        <f>SUM(J37:M37)</f>
        <v>680</v>
      </c>
      <c r="J37" s="83">
        <v>0</v>
      </c>
      <c r="K37" s="83">
        <v>0</v>
      </c>
      <c r="L37" s="83">
        <v>630</v>
      </c>
      <c r="M37" s="83">
        <v>50</v>
      </c>
      <c r="N37" s="79"/>
      <c r="O37" s="79"/>
      <c r="P37" s="79" t="s">
        <v>247</v>
      </c>
      <c r="Q37" s="79"/>
      <c r="R37" s="79" t="s">
        <v>2181</v>
      </c>
      <c r="S37" s="79" t="s">
        <v>2156</v>
      </c>
      <c r="T37" s="79" t="s">
        <v>91</v>
      </c>
      <c r="U37" s="79" t="s">
        <v>2182</v>
      </c>
      <c r="V37" s="79" t="s">
        <v>2158</v>
      </c>
      <c r="W37" s="83">
        <f>SUM(X37:Y37)</f>
        <v>90</v>
      </c>
      <c r="X37" s="83">
        <v>80</v>
      </c>
      <c r="Y37" s="83">
        <v>10</v>
      </c>
      <c r="Z37" s="79" t="s">
        <v>124</v>
      </c>
    </row>
    <row r="38" spans="1:26" ht="72" customHeight="1">
      <c r="A38" s="146">
        <v>33</v>
      </c>
      <c r="B38" s="144" t="s">
        <v>1992</v>
      </c>
      <c r="C38" s="144" t="s">
        <v>2183</v>
      </c>
      <c r="D38" s="79" t="s">
        <v>2184</v>
      </c>
      <c r="E38" s="79" t="s">
        <v>2185</v>
      </c>
      <c r="F38" s="148" t="s">
        <v>2186</v>
      </c>
      <c r="G38" s="79" t="s">
        <v>2187</v>
      </c>
      <c r="H38" s="79" t="s">
        <v>2188</v>
      </c>
      <c r="I38" s="83">
        <v>663</v>
      </c>
      <c r="J38" s="83">
        <v>0</v>
      </c>
      <c r="K38" s="83">
        <v>0</v>
      </c>
      <c r="L38" s="83">
        <v>600</v>
      </c>
      <c r="M38" s="83">
        <v>63</v>
      </c>
      <c r="N38" s="79"/>
      <c r="O38" s="79"/>
      <c r="P38" s="79" t="s">
        <v>140</v>
      </c>
      <c r="Q38" s="79"/>
      <c r="R38" s="79" t="s">
        <v>2189</v>
      </c>
      <c r="S38" s="79" t="s">
        <v>108</v>
      </c>
      <c r="T38" s="79" t="s">
        <v>747</v>
      </c>
      <c r="U38" s="84" t="s">
        <v>3393</v>
      </c>
      <c r="V38" s="79" t="s">
        <v>212</v>
      </c>
      <c r="W38" s="83">
        <f>SUM(X38:Y38)</f>
        <v>60</v>
      </c>
      <c r="X38" s="83">
        <v>60</v>
      </c>
      <c r="Y38" s="83">
        <v>0</v>
      </c>
      <c r="Z38" s="79" t="s">
        <v>133</v>
      </c>
    </row>
    <row r="39" spans="1:26" ht="47.25" customHeight="1">
      <c r="A39" s="146">
        <v>34</v>
      </c>
      <c r="B39" s="144" t="s">
        <v>792</v>
      </c>
      <c r="C39" s="144" t="s">
        <v>2190</v>
      </c>
      <c r="D39" s="79" t="s">
        <v>2191</v>
      </c>
      <c r="E39" s="79" t="s">
        <v>2192</v>
      </c>
      <c r="F39" s="148" t="s">
        <v>2193</v>
      </c>
      <c r="G39" s="79" t="s">
        <v>2194</v>
      </c>
      <c r="H39" s="79" t="s">
        <v>2171</v>
      </c>
      <c r="I39" s="83">
        <v>250</v>
      </c>
      <c r="J39" s="83">
        <v>0</v>
      </c>
      <c r="K39" s="83">
        <v>0</v>
      </c>
      <c r="L39" s="83">
        <v>250</v>
      </c>
      <c r="M39" s="83">
        <v>0</v>
      </c>
      <c r="N39" s="79"/>
      <c r="O39" s="79"/>
      <c r="P39" s="79" t="s">
        <v>87</v>
      </c>
      <c r="Q39" s="79"/>
      <c r="R39" s="79" t="s">
        <v>2195</v>
      </c>
      <c r="S39" s="79" t="s">
        <v>1173</v>
      </c>
      <c r="T39" s="79" t="s">
        <v>2196</v>
      </c>
      <c r="U39" s="79" t="s">
        <v>93</v>
      </c>
      <c r="V39" s="79" t="s">
        <v>94</v>
      </c>
      <c r="W39" s="83" t="s">
        <v>3411</v>
      </c>
      <c r="X39" s="83" t="s">
        <v>3411</v>
      </c>
      <c r="Y39" s="83" t="s">
        <v>3411</v>
      </c>
      <c r="Z39" s="79" t="s">
        <v>2197</v>
      </c>
    </row>
    <row r="40" spans="1:26" ht="69.75" customHeight="1">
      <c r="A40" s="146">
        <v>35</v>
      </c>
      <c r="B40" s="144" t="s">
        <v>2175</v>
      </c>
      <c r="C40" s="144" t="s">
        <v>2190</v>
      </c>
      <c r="D40" s="79" t="s">
        <v>2198</v>
      </c>
      <c r="E40" s="79" t="s">
        <v>2199</v>
      </c>
      <c r="F40" s="148" t="s">
        <v>2200</v>
      </c>
      <c r="G40" s="79" t="s">
        <v>2201</v>
      </c>
      <c r="H40" s="79" t="s">
        <v>120</v>
      </c>
      <c r="I40" s="83">
        <v>250</v>
      </c>
      <c r="J40" s="83">
        <v>0</v>
      </c>
      <c r="K40" s="83">
        <v>0</v>
      </c>
      <c r="L40" s="83">
        <v>250</v>
      </c>
      <c r="M40" s="83">
        <v>0</v>
      </c>
      <c r="N40" s="79"/>
      <c r="O40" s="79"/>
      <c r="P40" s="79" t="s">
        <v>788</v>
      </c>
      <c r="Q40" s="79"/>
      <c r="R40" s="79" t="s">
        <v>2202</v>
      </c>
      <c r="S40" s="79" t="s">
        <v>2156</v>
      </c>
      <c r="T40" s="79" t="s">
        <v>2203</v>
      </c>
      <c r="U40" s="84" t="s">
        <v>3393</v>
      </c>
      <c r="V40" s="79" t="s">
        <v>2158</v>
      </c>
      <c r="W40" s="83">
        <f t="shared" ref="W40" si="5">SUM(X40:Y40)</f>
        <v>350</v>
      </c>
      <c r="X40" s="83">
        <v>350</v>
      </c>
      <c r="Y40" s="83">
        <v>0</v>
      </c>
      <c r="Z40" s="79" t="s">
        <v>39</v>
      </c>
    </row>
    <row r="41" spans="1:26" ht="51" customHeight="1">
      <c r="A41" s="146">
        <v>36</v>
      </c>
      <c r="B41" s="144" t="s">
        <v>1941</v>
      </c>
      <c r="C41" s="144" t="s">
        <v>2190</v>
      </c>
      <c r="D41" s="79" t="s">
        <v>2204</v>
      </c>
      <c r="E41" s="79" t="s">
        <v>2205</v>
      </c>
      <c r="F41" s="148" t="s">
        <v>2206</v>
      </c>
      <c r="G41" s="79" t="s">
        <v>2207</v>
      </c>
      <c r="H41" s="79" t="s">
        <v>2208</v>
      </c>
      <c r="I41" s="83">
        <v>260</v>
      </c>
      <c r="J41" s="83">
        <v>0</v>
      </c>
      <c r="K41" s="83">
        <v>0</v>
      </c>
      <c r="L41" s="83">
        <v>260</v>
      </c>
      <c r="M41" s="83">
        <v>0</v>
      </c>
      <c r="N41" s="79"/>
      <c r="O41" s="79"/>
      <c r="P41" s="79" t="s">
        <v>2209</v>
      </c>
      <c r="Q41" s="79"/>
      <c r="R41" s="79" t="s">
        <v>2210</v>
      </c>
      <c r="S41" s="79" t="s">
        <v>2156</v>
      </c>
      <c r="T41" s="79" t="s">
        <v>2211</v>
      </c>
      <c r="U41" s="79" t="s">
        <v>93</v>
      </c>
      <c r="V41" s="79" t="s">
        <v>2136</v>
      </c>
      <c r="W41" s="83">
        <f>SUM(X41:Y41)</f>
        <v>200</v>
      </c>
      <c r="X41" s="83">
        <v>200</v>
      </c>
      <c r="Y41" s="83">
        <v>0</v>
      </c>
      <c r="Z41" s="79" t="s">
        <v>2009</v>
      </c>
    </row>
    <row r="42" spans="1:26" ht="51" customHeight="1">
      <c r="A42" s="146">
        <v>37</v>
      </c>
      <c r="B42" s="144" t="s">
        <v>793</v>
      </c>
      <c r="C42" s="144" t="s">
        <v>2212</v>
      </c>
      <c r="D42" s="79" t="s">
        <v>2213</v>
      </c>
      <c r="E42" s="79" t="s">
        <v>2214</v>
      </c>
      <c r="F42" s="148" t="s">
        <v>2215</v>
      </c>
      <c r="G42" s="79" t="s">
        <v>2216</v>
      </c>
      <c r="H42" s="79" t="s">
        <v>2208</v>
      </c>
      <c r="I42" s="83">
        <v>100</v>
      </c>
      <c r="J42" s="83">
        <v>0</v>
      </c>
      <c r="K42" s="83">
        <v>0</v>
      </c>
      <c r="L42" s="83">
        <v>100</v>
      </c>
      <c r="M42" s="83">
        <v>0</v>
      </c>
      <c r="N42" s="79"/>
      <c r="O42" s="79"/>
      <c r="P42" s="79" t="s">
        <v>2217</v>
      </c>
      <c r="Q42" s="79"/>
      <c r="R42" s="79" t="s">
        <v>96</v>
      </c>
      <c r="S42" s="79" t="s">
        <v>1173</v>
      </c>
      <c r="T42" s="79" t="s">
        <v>2211</v>
      </c>
      <c r="U42" s="79" t="s">
        <v>1966</v>
      </c>
      <c r="V42" s="79" t="s">
        <v>2218</v>
      </c>
      <c r="W42" s="83">
        <f>SUM(X42:Y42)</f>
        <v>30</v>
      </c>
      <c r="X42" s="83">
        <v>30</v>
      </c>
      <c r="Y42" s="83">
        <v>0</v>
      </c>
      <c r="Z42" s="79" t="s">
        <v>2219</v>
      </c>
    </row>
    <row r="43" spans="1:26" ht="69.75" customHeight="1">
      <c r="A43" s="146">
        <v>38</v>
      </c>
      <c r="B43" s="144" t="s">
        <v>2175</v>
      </c>
      <c r="C43" s="144" t="s">
        <v>2183</v>
      </c>
      <c r="D43" s="79" t="s">
        <v>2220</v>
      </c>
      <c r="E43" s="79" t="s">
        <v>2221</v>
      </c>
      <c r="F43" s="148" t="s">
        <v>2222</v>
      </c>
      <c r="G43" s="145" t="s">
        <v>2223</v>
      </c>
      <c r="H43" s="145" t="s">
        <v>2224</v>
      </c>
      <c r="I43" s="83">
        <v>400</v>
      </c>
      <c r="J43" s="83">
        <v>0</v>
      </c>
      <c r="K43" s="83">
        <v>32</v>
      </c>
      <c r="L43" s="83">
        <v>368</v>
      </c>
      <c r="M43" s="83">
        <v>0</v>
      </c>
      <c r="N43" s="79"/>
      <c r="O43" s="79"/>
      <c r="P43" s="79" t="s">
        <v>2225</v>
      </c>
      <c r="Q43" s="79"/>
      <c r="R43" s="79" t="s">
        <v>2226</v>
      </c>
      <c r="S43" s="79" t="s">
        <v>2156</v>
      </c>
      <c r="T43" s="79" t="s">
        <v>2227</v>
      </c>
      <c r="U43" s="84" t="s">
        <v>3393</v>
      </c>
      <c r="V43" s="79" t="s">
        <v>2158</v>
      </c>
      <c r="W43" s="83">
        <f t="shared" ref="W43:W48" si="6">SUM(X43:Y43)</f>
        <v>60</v>
      </c>
      <c r="X43" s="83">
        <v>60</v>
      </c>
      <c r="Y43" s="83">
        <v>0</v>
      </c>
      <c r="Z43" s="79" t="s">
        <v>2228</v>
      </c>
    </row>
    <row r="44" spans="1:26" ht="53.25" customHeight="1">
      <c r="A44" s="146">
        <v>39</v>
      </c>
      <c r="B44" s="147" t="s">
        <v>1941</v>
      </c>
      <c r="C44" s="147" t="s">
        <v>2229</v>
      </c>
      <c r="D44" s="145" t="s">
        <v>2230</v>
      </c>
      <c r="E44" s="169" t="s">
        <v>2231</v>
      </c>
      <c r="F44" s="148" t="s">
        <v>2232</v>
      </c>
      <c r="G44" s="145" t="s">
        <v>2233</v>
      </c>
      <c r="H44" s="145" t="s">
        <v>2234</v>
      </c>
      <c r="I44" s="197">
        <v>865</v>
      </c>
      <c r="J44" s="83">
        <v>0</v>
      </c>
      <c r="K44" s="83">
        <v>0</v>
      </c>
      <c r="L44" s="197">
        <v>865</v>
      </c>
      <c r="M44" s="83">
        <v>0</v>
      </c>
      <c r="N44" s="79"/>
      <c r="O44" s="79"/>
      <c r="P44" s="147" t="s">
        <v>247</v>
      </c>
      <c r="Q44" s="79"/>
      <c r="R44" s="147" t="s">
        <v>2235</v>
      </c>
      <c r="S44" s="147" t="s">
        <v>1173</v>
      </c>
      <c r="T44" s="147" t="s">
        <v>2236</v>
      </c>
      <c r="U44" s="145" t="s">
        <v>3398</v>
      </c>
      <c r="V44" s="147" t="s">
        <v>2237</v>
      </c>
      <c r="W44" s="83">
        <f t="shared" si="6"/>
        <v>5</v>
      </c>
      <c r="X44" s="197">
        <v>5</v>
      </c>
      <c r="Y44" s="197">
        <v>0</v>
      </c>
      <c r="Z44" s="145" t="s">
        <v>2238</v>
      </c>
    </row>
    <row r="45" spans="1:26" ht="52.5" customHeight="1">
      <c r="A45" s="146">
        <v>40</v>
      </c>
      <c r="B45" s="144" t="s">
        <v>1941</v>
      </c>
      <c r="C45" s="144" t="s">
        <v>2239</v>
      </c>
      <c r="D45" s="79" t="s">
        <v>2240</v>
      </c>
      <c r="E45" s="150" t="s">
        <v>4978</v>
      </c>
      <c r="F45" s="148" t="s">
        <v>2241</v>
      </c>
      <c r="G45" s="79" t="s">
        <v>2242</v>
      </c>
      <c r="H45" s="79" t="s">
        <v>2243</v>
      </c>
      <c r="I45" s="197">
        <v>1000</v>
      </c>
      <c r="J45" s="83">
        <v>0</v>
      </c>
      <c r="K45" s="83">
        <v>0</v>
      </c>
      <c r="L45" s="197">
        <v>1000</v>
      </c>
      <c r="M45" s="83">
        <v>0</v>
      </c>
      <c r="N45" s="79"/>
      <c r="O45" s="79"/>
      <c r="P45" s="147" t="s">
        <v>271</v>
      </c>
      <c r="Q45" s="79"/>
      <c r="R45" s="147" t="s">
        <v>2244</v>
      </c>
      <c r="S45" s="147" t="s">
        <v>1173</v>
      </c>
      <c r="T45" s="147" t="s">
        <v>2245</v>
      </c>
      <c r="U45" s="145" t="s">
        <v>3399</v>
      </c>
      <c r="V45" s="147" t="s">
        <v>2136</v>
      </c>
      <c r="W45" s="83">
        <f t="shared" si="6"/>
        <v>570</v>
      </c>
      <c r="X45" s="197">
        <v>570</v>
      </c>
      <c r="Y45" s="197">
        <v>0</v>
      </c>
      <c r="Z45" s="145" t="s">
        <v>2246</v>
      </c>
    </row>
    <row r="46" spans="1:26" ht="49.5" customHeight="1">
      <c r="A46" s="146">
        <v>41</v>
      </c>
      <c r="B46" s="147" t="s">
        <v>2175</v>
      </c>
      <c r="C46" s="147" t="s">
        <v>2229</v>
      </c>
      <c r="D46" s="145" t="s">
        <v>2247</v>
      </c>
      <c r="E46" s="169" t="s">
        <v>2248</v>
      </c>
      <c r="F46" s="156" t="s">
        <v>2249</v>
      </c>
      <c r="G46" s="145" t="s">
        <v>2233</v>
      </c>
      <c r="H46" s="145" t="s">
        <v>2250</v>
      </c>
      <c r="I46" s="197">
        <v>300</v>
      </c>
      <c r="J46" s="83">
        <v>0</v>
      </c>
      <c r="K46" s="83">
        <v>0</v>
      </c>
      <c r="L46" s="197">
        <v>300</v>
      </c>
      <c r="M46" s="83">
        <v>0</v>
      </c>
      <c r="N46" s="79"/>
      <c r="O46" s="79"/>
      <c r="P46" s="147" t="s">
        <v>2251</v>
      </c>
      <c r="Q46" s="79"/>
      <c r="R46" s="147" t="s">
        <v>2252</v>
      </c>
      <c r="S46" s="147" t="s">
        <v>2156</v>
      </c>
      <c r="T46" s="147" t="s">
        <v>2236</v>
      </c>
      <c r="U46" s="145" t="s">
        <v>3399</v>
      </c>
      <c r="V46" s="147" t="s">
        <v>2136</v>
      </c>
      <c r="W46" s="83">
        <f t="shared" si="6"/>
        <v>140</v>
      </c>
      <c r="X46" s="197">
        <v>140</v>
      </c>
      <c r="Y46" s="197">
        <v>0</v>
      </c>
      <c r="Z46" s="147" t="s">
        <v>2253</v>
      </c>
    </row>
    <row r="47" spans="1:26" ht="52.5" customHeight="1">
      <c r="A47" s="146">
        <v>42</v>
      </c>
      <c r="B47" s="147" t="s">
        <v>2254</v>
      </c>
      <c r="C47" s="147" t="s">
        <v>2239</v>
      </c>
      <c r="D47" s="145" t="s">
        <v>2255</v>
      </c>
      <c r="E47" s="150" t="s">
        <v>2256</v>
      </c>
      <c r="F47" s="156" t="s">
        <v>2257</v>
      </c>
      <c r="G47" s="145" t="s">
        <v>2258</v>
      </c>
      <c r="H47" s="145" t="s">
        <v>2259</v>
      </c>
      <c r="I47" s="197">
        <v>450</v>
      </c>
      <c r="J47" s="83">
        <v>0</v>
      </c>
      <c r="K47" s="83">
        <v>0</v>
      </c>
      <c r="L47" s="197">
        <v>450</v>
      </c>
      <c r="M47" s="83">
        <v>0</v>
      </c>
      <c r="N47" s="79"/>
      <c r="O47" s="79"/>
      <c r="P47" s="147" t="s">
        <v>2260</v>
      </c>
      <c r="Q47" s="79"/>
      <c r="R47" s="147" t="s">
        <v>2261</v>
      </c>
      <c r="S47" s="147" t="s">
        <v>2156</v>
      </c>
      <c r="T47" s="147" t="s">
        <v>2245</v>
      </c>
      <c r="U47" s="145" t="s">
        <v>3400</v>
      </c>
      <c r="V47" s="147" t="s">
        <v>2136</v>
      </c>
      <c r="W47" s="83">
        <f t="shared" si="6"/>
        <v>250</v>
      </c>
      <c r="X47" s="197">
        <v>250</v>
      </c>
      <c r="Y47" s="197">
        <v>0</v>
      </c>
      <c r="Z47" s="147" t="s">
        <v>2262</v>
      </c>
    </row>
    <row r="48" spans="1:26" ht="46.5" customHeight="1">
      <c r="A48" s="146">
        <v>43</v>
      </c>
      <c r="B48" s="144" t="s">
        <v>792</v>
      </c>
      <c r="C48" s="144" t="s">
        <v>2263</v>
      </c>
      <c r="D48" s="79" t="s">
        <v>2264</v>
      </c>
      <c r="E48" s="79" t="s">
        <v>2265</v>
      </c>
      <c r="F48" s="156" t="s">
        <v>2266</v>
      </c>
      <c r="G48" s="145" t="s">
        <v>2267</v>
      </c>
      <c r="H48" s="79" t="s">
        <v>2268</v>
      </c>
      <c r="I48" s="83">
        <v>450</v>
      </c>
      <c r="J48" s="83">
        <v>0</v>
      </c>
      <c r="K48" s="83">
        <v>0</v>
      </c>
      <c r="L48" s="83">
        <v>450</v>
      </c>
      <c r="M48" s="83">
        <v>0</v>
      </c>
      <c r="N48" s="79"/>
      <c r="O48" s="79"/>
      <c r="P48" s="79" t="s">
        <v>2002</v>
      </c>
      <c r="Q48" s="79"/>
      <c r="R48" s="79" t="s">
        <v>2269</v>
      </c>
      <c r="S48" s="79" t="s">
        <v>2156</v>
      </c>
      <c r="T48" s="147" t="s">
        <v>2236</v>
      </c>
      <c r="U48" s="145" t="s">
        <v>3401</v>
      </c>
      <c r="V48" s="147" t="s">
        <v>2136</v>
      </c>
      <c r="W48" s="83">
        <f t="shared" si="6"/>
        <v>450</v>
      </c>
      <c r="X48" s="83">
        <v>450</v>
      </c>
      <c r="Y48" s="83">
        <v>0</v>
      </c>
      <c r="Z48" s="79" t="s">
        <v>2009</v>
      </c>
    </row>
    <row r="49" spans="1:26" ht="48.75" customHeight="1">
      <c r="A49" s="146">
        <v>44</v>
      </c>
      <c r="B49" s="144" t="s">
        <v>1992</v>
      </c>
      <c r="C49" s="144" t="s">
        <v>2270</v>
      </c>
      <c r="D49" s="79" t="s">
        <v>2271</v>
      </c>
      <c r="E49" s="79" t="s">
        <v>2272</v>
      </c>
      <c r="F49" s="85" t="s">
        <v>2273</v>
      </c>
      <c r="G49" s="84" t="s">
        <v>2274</v>
      </c>
      <c r="H49" s="84" t="s">
        <v>2275</v>
      </c>
      <c r="I49" s="83">
        <v>2080</v>
      </c>
      <c r="J49" s="83">
        <v>0</v>
      </c>
      <c r="K49" s="83">
        <v>40</v>
      </c>
      <c r="L49" s="83">
        <v>2040</v>
      </c>
      <c r="M49" s="83">
        <v>0</v>
      </c>
      <c r="N49" s="84" t="s">
        <v>1377</v>
      </c>
      <c r="O49" s="84" t="s">
        <v>2276</v>
      </c>
      <c r="P49" s="84" t="s">
        <v>209</v>
      </c>
      <c r="Q49" s="79" t="s">
        <v>2277</v>
      </c>
      <c r="R49" s="84" t="s">
        <v>2278</v>
      </c>
      <c r="S49" s="84" t="s">
        <v>2156</v>
      </c>
      <c r="T49" s="84" t="s">
        <v>2279</v>
      </c>
      <c r="U49" s="84" t="s">
        <v>3402</v>
      </c>
      <c r="V49" s="84" t="s">
        <v>2280</v>
      </c>
      <c r="W49" s="86">
        <f>SUM(X49:Y49)</f>
        <v>503</v>
      </c>
      <c r="X49" s="86">
        <v>500</v>
      </c>
      <c r="Y49" s="86">
        <v>3</v>
      </c>
      <c r="Z49" s="84" t="s">
        <v>2281</v>
      </c>
    </row>
    <row r="50" spans="1:26" ht="38.25" customHeight="1">
      <c r="A50" s="146">
        <v>45</v>
      </c>
      <c r="B50" s="144" t="s">
        <v>1992</v>
      </c>
      <c r="C50" s="144" t="s">
        <v>2270</v>
      </c>
      <c r="D50" s="79" t="s">
        <v>2282</v>
      </c>
      <c r="E50" s="79" t="s">
        <v>2283</v>
      </c>
      <c r="F50" s="85" t="s">
        <v>2284</v>
      </c>
      <c r="G50" s="84" t="s">
        <v>2285</v>
      </c>
      <c r="H50" s="84" t="s">
        <v>2286</v>
      </c>
      <c r="I50" s="86">
        <v>150</v>
      </c>
      <c r="J50" s="83">
        <v>0</v>
      </c>
      <c r="K50" s="83">
        <v>0</v>
      </c>
      <c r="L50" s="86">
        <v>150</v>
      </c>
      <c r="M50" s="83">
        <v>0</v>
      </c>
      <c r="N50" s="84"/>
      <c r="O50" s="84"/>
      <c r="P50" s="84" t="s">
        <v>2251</v>
      </c>
      <c r="Q50" s="84"/>
      <c r="R50" s="84" t="s">
        <v>2287</v>
      </c>
      <c r="S50" s="84" t="s">
        <v>2156</v>
      </c>
      <c r="T50" s="84" t="s">
        <v>2288</v>
      </c>
      <c r="U50" s="84" t="s">
        <v>3393</v>
      </c>
      <c r="V50" s="84" t="s">
        <v>466</v>
      </c>
      <c r="W50" s="86">
        <f t="shared" ref="W50:W52" si="7">SUM(X50:Y50)</f>
        <v>176</v>
      </c>
      <c r="X50" s="86">
        <v>175</v>
      </c>
      <c r="Y50" s="86">
        <v>1</v>
      </c>
      <c r="Z50" s="84" t="s">
        <v>2289</v>
      </c>
    </row>
    <row r="51" spans="1:26" ht="54" customHeight="1">
      <c r="A51" s="146">
        <v>46</v>
      </c>
      <c r="B51" s="144" t="s">
        <v>1992</v>
      </c>
      <c r="C51" s="144" t="s">
        <v>2290</v>
      </c>
      <c r="D51" s="79" t="s">
        <v>2291</v>
      </c>
      <c r="E51" s="79" t="s">
        <v>2293</v>
      </c>
      <c r="F51" s="85" t="s">
        <v>2294</v>
      </c>
      <c r="G51" s="84" t="s">
        <v>2295</v>
      </c>
      <c r="H51" s="84" t="s">
        <v>2286</v>
      </c>
      <c r="I51" s="86">
        <v>150</v>
      </c>
      <c r="J51" s="83">
        <v>0</v>
      </c>
      <c r="K51" s="83">
        <v>0</v>
      </c>
      <c r="L51" s="86">
        <v>150</v>
      </c>
      <c r="M51" s="83">
        <v>0</v>
      </c>
      <c r="N51" s="84"/>
      <c r="O51" s="84"/>
      <c r="P51" s="84" t="s">
        <v>2260</v>
      </c>
      <c r="Q51" s="84"/>
      <c r="R51" s="84" t="s">
        <v>2296</v>
      </c>
      <c r="S51" s="84" t="s">
        <v>2156</v>
      </c>
      <c r="T51" s="84" t="s">
        <v>2297</v>
      </c>
      <c r="U51" s="84" t="s">
        <v>3393</v>
      </c>
      <c r="V51" s="84" t="s">
        <v>2280</v>
      </c>
      <c r="W51" s="86">
        <f t="shared" si="7"/>
        <v>60</v>
      </c>
      <c r="X51" s="86">
        <v>59</v>
      </c>
      <c r="Y51" s="86">
        <v>1</v>
      </c>
      <c r="Z51" s="84" t="s">
        <v>2281</v>
      </c>
    </row>
    <row r="52" spans="1:26" ht="45" customHeight="1">
      <c r="A52" s="146">
        <v>47</v>
      </c>
      <c r="B52" s="144" t="s">
        <v>1992</v>
      </c>
      <c r="C52" s="144" t="s">
        <v>2290</v>
      </c>
      <c r="D52" s="79" t="s">
        <v>2298</v>
      </c>
      <c r="E52" s="79" t="s">
        <v>2299</v>
      </c>
      <c r="F52" s="85" t="s">
        <v>2300</v>
      </c>
      <c r="G52" s="84" t="s">
        <v>2301</v>
      </c>
      <c r="H52" s="84" t="s">
        <v>2302</v>
      </c>
      <c r="I52" s="86">
        <v>150</v>
      </c>
      <c r="J52" s="83">
        <v>0</v>
      </c>
      <c r="K52" s="83">
        <v>0</v>
      </c>
      <c r="L52" s="86">
        <v>150</v>
      </c>
      <c r="M52" s="83">
        <v>0</v>
      </c>
      <c r="N52" s="84"/>
      <c r="O52" s="84"/>
      <c r="P52" s="84" t="s">
        <v>2260</v>
      </c>
      <c r="Q52" s="84"/>
      <c r="R52" s="84" t="s">
        <v>2303</v>
      </c>
      <c r="S52" s="84" t="s">
        <v>1173</v>
      </c>
      <c r="T52" s="84" t="s">
        <v>2288</v>
      </c>
      <c r="U52" s="84" t="s">
        <v>3393</v>
      </c>
      <c r="V52" s="84" t="s">
        <v>2158</v>
      </c>
      <c r="W52" s="86">
        <f t="shared" si="7"/>
        <v>79.8</v>
      </c>
      <c r="X52" s="86">
        <v>79.8</v>
      </c>
      <c r="Y52" s="86">
        <v>0</v>
      </c>
      <c r="Z52" s="84" t="s">
        <v>2304</v>
      </c>
    </row>
    <row r="53" spans="1:26" ht="76.5" customHeight="1">
      <c r="A53" s="146">
        <v>48</v>
      </c>
      <c r="B53" s="144" t="s">
        <v>793</v>
      </c>
      <c r="C53" s="144" t="s">
        <v>2305</v>
      </c>
      <c r="D53" s="79" t="s">
        <v>2306</v>
      </c>
      <c r="E53" s="79" t="s">
        <v>2307</v>
      </c>
      <c r="F53" s="148" t="s">
        <v>2308</v>
      </c>
      <c r="G53" s="79" t="s">
        <v>2309</v>
      </c>
      <c r="H53" s="79" t="s">
        <v>2310</v>
      </c>
      <c r="I53" s="83">
        <v>880</v>
      </c>
      <c r="J53" s="83">
        <v>100</v>
      </c>
      <c r="K53" s="83">
        <v>55</v>
      </c>
      <c r="L53" s="83">
        <v>725</v>
      </c>
      <c r="M53" s="83">
        <v>0</v>
      </c>
      <c r="N53" s="79" t="s">
        <v>2142</v>
      </c>
      <c r="O53" s="79" t="s">
        <v>2311</v>
      </c>
      <c r="P53" s="79" t="s">
        <v>2312</v>
      </c>
      <c r="Q53" s="84"/>
      <c r="R53" s="79" t="s">
        <v>2313</v>
      </c>
      <c r="S53" s="79" t="s">
        <v>312</v>
      </c>
      <c r="T53" s="79" t="s">
        <v>2314</v>
      </c>
      <c r="U53" s="79" t="s">
        <v>3403</v>
      </c>
      <c r="V53" s="79" t="s">
        <v>2237</v>
      </c>
      <c r="W53" s="83">
        <v>180</v>
      </c>
      <c r="X53" s="83">
        <v>180</v>
      </c>
      <c r="Y53" s="83">
        <v>0</v>
      </c>
      <c r="Z53" s="79" t="s">
        <v>2315</v>
      </c>
    </row>
    <row r="54" spans="1:26" ht="66" customHeight="1">
      <c r="A54" s="146">
        <v>49</v>
      </c>
      <c r="B54" s="144" t="s">
        <v>793</v>
      </c>
      <c r="C54" s="144" t="s">
        <v>2316</v>
      </c>
      <c r="D54" s="79" t="s">
        <v>2317</v>
      </c>
      <c r="E54" s="79" t="s">
        <v>2318</v>
      </c>
      <c r="F54" s="148" t="s">
        <v>2319</v>
      </c>
      <c r="G54" s="79" t="s">
        <v>2309</v>
      </c>
      <c r="H54" s="79" t="s">
        <v>1855</v>
      </c>
      <c r="I54" s="83">
        <v>601</v>
      </c>
      <c r="J54" s="83">
        <v>0</v>
      </c>
      <c r="K54" s="83">
        <v>0</v>
      </c>
      <c r="L54" s="83">
        <v>601</v>
      </c>
      <c r="M54" s="83">
        <v>0</v>
      </c>
      <c r="N54" s="79"/>
      <c r="O54" s="79"/>
      <c r="P54" s="79" t="s">
        <v>2209</v>
      </c>
      <c r="Q54" s="84"/>
      <c r="R54" s="79" t="s">
        <v>2320</v>
      </c>
      <c r="S54" s="79" t="s">
        <v>2156</v>
      </c>
      <c r="T54" s="79" t="s">
        <v>1979</v>
      </c>
      <c r="U54" s="79" t="s">
        <v>3404</v>
      </c>
      <c r="V54" s="79" t="s">
        <v>2237</v>
      </c>
      <c r="W54" s="83">
        <f t="shared" ref="W54:W57" si="8">SUM(X54:Y54)</f>
        <v>150</v>
      </c>
      <c r="X54" s="83">
        <v>150</v>
      </c>
      <c r="Y54" s="83">
        <v>0</v>
      </c>
      <c r="Z54" s="79" t="s">
        <v>2321</v>
      </c>
    </row>
    <row r="55" spans="1:26" ht="58.5" customHeight="1">
      <c r="A55" s="146">
        <v>50</v>
      </c>
      <c r="B55" s="144" t="s">
        <v>793</v>
      </c>
      <c r="C55" s="144" t="s">
        <v>2322</v>
      </c>
      <c r="D55" s="79" t="s">
        <v>2323</v>
      </c>
      <c r="E55" s="79" t="s">
        <v>2324</v>
      </c>
      <c r="F55" s="148" t="s">
        <v>2325</v>
      </c>
      <c r="G55" s="79" t="s">
        <v>2309</v>
      </c>
      <c r="H55" s="79" t="s">
        <v>2326</v>
      </c>
      <c r="I55" s="83">
        <v>550</v>
      </c>
      <c r="J55" s="83">
        <v>0</v>
      </c>
      <c r="K55" s="83">
        <v>0</v>
      </c>
      <c r="L55" s="83">
        <v>550</v>
      </c>
      <c r="M55" s="83">
        <v>0</v>
      </c>
      <c r="N55" s="79"/>
      <c r="O55" s="79"/>
      <c r="P55" s="79" t="s">
        <v>2327</v>
      </c>
      <c r="Q55" s="84"/>
      <c r="R55" s="79" t="s">
        <v>2328</v>
      </c>
      <c r="S55" s="79" t="s">
        <v>2156</v>
      </c>
      <c r="T55" s="79" t="s">
        <v>2314</v>
      </c>
      <c r="U55" s="79" t="s">
        <v>3405</v>
      </c>
      <c r="V55" s="79" t="s">
        <v>2136</v>
      </c>
      <c r="W55" s="83">
        <f t="shared" si="8"/>
        <v>100</v>
      </c>
      <c r="X55" s="83">
        <v>100</v>
      </c>
      <c r="Y55" s="83">
        <v>0</v>
      </c>
      <c r="Z55" s="79" t="s">
        <v>2329</v>
      </c>
    </row>
    <row r="56" spans="1:26" ht="78" customHeight="1">
      <c r="A56" s="146">
        <v>51</v>
      </c>
      <c r="B56" s="144" t="s">
        <v>1941</v>
      </c>
      <c r="C56" s="144" t="s">
        <v>2316</v>
      </c>
      <c r="D56" s="79" t="s">
        <v>2330</v>
      </c>
      <c r="E56" s="79" t="s">
        <v>2331</v>
      </c>
      <c r="F56" s="148" t="s">
        <v>2332</v>
      </c>
      <c r="G56" s="79" t="s">
        <v>2333</v>
      </c>
      <c r="H56" s="79" t="s">
        <v>2334</v>
      </c>
      <c r="I56" s="83">
        <v>343</v>
      </c>
      <c r="J56" s="83">
        <v>0</v>
      </c>
      <c r="K56" s="83">
        <v>0</v>
      </c>
      <c r="L56" s="83">
        <v>343</v>
      </c>
      <c r="M56" s="83">
        <v>0</v>
      </c>
      <c r="N56" s="79"/>
      <c r="O56" s="79"/>
      <c r="P56" s="79" t="s">
        <v>2225</v>
      </c>
      <c r="Q56" s="84"/>
      <c r="R56" s="79" t="s">
        <v>2335</v>
      </c>
      <c r="S56" s="79" t="s">
        <v>2156</v>
      </c>
      <c r="T56" s="79" t="s">
        <v>2314</v>
      </c>
      <c r="U56" s="79" t="s">
        <v>3403</v>
      </c>
      <c r="V56" s="79" t="s">
        <v>2136</v>
      </c>
      <c r="W56" s="83">
        <f t="shared" si="8"/>
        <v>80</v>
      </c>
      <c r="X56" s="83">
        <v>80</v>
      </c>
      <c r="Y56" s="83">
        <v>0</v>
      </c>
      <c r="Z56" s="79" t="s">
        <v>2336</v>
      </c>
    </row>
    <row r="57" spans="1:26" ht="117.75" customHeight="1">
      <c r="A57" s="146">
        <v>52</v>
      </c>
      <c r="B57" s="144" t="s">
        <v>793</v>
      </c>
      <c r="C57" s="144" t="s">
        <v>2337</v>
      </c>
      <c r="D57" s="79" t="s">
        <v>2338</v>
      </c>
      <c r="E57" s="185" t="s">
        <v>2339</v>
      </c>
      <c r="F57" s="148" t="s">
        <v>4979</v>
      </c>
      <c r="G57" s="79" t="s">
        <v>2340</v>
      </c>
      <c r="H57" s="79" t="s">
        <v>2341</v>
      </c>
      <c r="I57" s="83">
        <f>SUM(J57:M57)</f>
        <v>4327</v>
      </c>
      <c r="J57" s="83">
        <v>0</v>
      </c>
      <c r="K57" s="83">
        <v>40</v>
      </c>
      <c r="L57" s="83">
        <v>887</v>
      </c>
      <c r="M57" s="83">
        <v>3400</v>
      </c>
      <c r="N57" s="79"/>
      <c r="O57" s="79"/>
      <c r="P57" s="79" t="s">
        <v>2217</v>
      </c>
      <c r="Q57" s="79" t="s">
        <v>2342</v>
      </c>
      <c r="R57" s="79" t="s">
        <v>2343</v>
      </c>
      <c r="S57" s="79" t="s">
        <v>1173</v>
      </c>
      <c r="T57" s="79" t="s">
        <v>2227</v>
      </c>
      <c r="U57" s="79" t="s">
        <v>3406</v>
      </c>
      <c r="V57" s="79" t="s">
        <v>2237</v>
      </c>
      <c r="W57" s="83">
        <f t="shared" si="8"/>
        <v>400</v>
      </c>
      <c r="X57" s="83">
        <v>380</v>
      </c>
      <c r="Y57" s="83">
        <v>20</v>
      </c>
      <c r="Z57" s="79" t="s">
        <v>2344</v>
      </c>
    </row>
    <row r="58" spans="1:26" ht="84.75" customHeight="1">
      <c r="A58" s="146">
        <v>53</v>
      </c>
      <c r="B58" s="144" t="s">
        <v>2175</v>
      </c>
      <c r="C58" s="144" t="s">
        <v>2345</v>
      </c>
      <c r="D58" s="79" t="s">
        <v>2346</v>
      </c>
      <c r="E58" s="79" t="s">
        <v>2347</v>
      </c>
      <c r="F58" s="148" t="s">
        <v>2348</v>
      </c>
      <c r="G58" s="79" t="s">
        <v>2349</v>
      </c>
      <c r="H58" s="79" t="s">
        <v>2350</v>
      </c>
      <c r="I58" s="83">
        <v>200</v>
      </c>
      <c r="J58" s="83">
        <v>0</v>
      </c>
      <c r="K58" s="83">
        <v>0</v>
      </c>
      <c r="L58" s="83">
        <v>200</v>
      </c>
      <c r="M58" s="83">
        <v>0</v>
      </c>
      <c r="N58" s="79"/>
      <c r="O58" s="79"/>
      <c r="P58" s="79" t="s">
        <v>2351</v>
      </c>
      <c r="Q58" s="84"/>
      <c r="R58" s="79" t="s">
        <v>2352</v>
      </c>
      <c r="S58" s="79" t="s">
        <v>2156</v>
      </c>
      <c r="T58" s="79" t="s">
        <v>2227</v>
      </c>
      <c r="U58" s="84" t="s">
        <v>3393</v>
      </c>
      <c r="V58" s="79" t="s">
        <v>2237</v>
      </c>
      <c r="W58" s="83">
        <f>SUM(X58:Y58)</f>
        <v>88</v>
      </c>
      <c r="X58" s="83">
        <v>88</v>
      </c>
      <c r="Y58" s="83">
        <v>0</v>
      </c>
      <c r="Z58" s="79" t="s">
        <v>2344</v>
      </c>
    </row>
    <row r="59" spans="1:26" ht="74.25" customHeight="1">
      <c r="A59" s="146">
        <v>54</v>
      </c>
      <c r="B59" s="144" t="s">
        <v>2175</v>
      </c>
      <c r="C59" s="144" t="s">
        <v>2345</v>
      </c>
      <c r="D59" s="79" t="s">
        <v>2353</v>
      </c>
      <c r="E59" s="79" t="s">
        <v>2354</v>
      </c>
      <c r="F59" s="148" t="s">
        <v>2355</v>
      </c>
      <c r="G59" s="79" t="s">
        <v>2356</v>
      </c>
      <c r="H59" s="79" t="s">
        <v>2357</v>
      </c>
      <c r="I59" s="83">
        <v>100</v>
      </c>
      <c r="J59" s="83">
        <v>0</v>
      </c>
      <c r="K59" s="83">
        <v>0</v>
      </c>
      <c r="L59" s="83">
        <v>100</v>
      </c>
      <c r="M59" s="83">
        <v>0</v>
      </c>
      <c r="N59" s="79"/>
      <c r="O59" s="79"/>
      <c r="P59" s="79" t="s">
        <v>2217</v>
      </c>
      <c r="Q59" s="84"/>
      <c r="R59" s="79" t="s">
        <v>2358</v>
      </c>
      <c r="S59" s="79" t="s">
        <v>1173</v>
      </c>
      <c r="T59" s="79" t="s">
        <v>2227</v>
      </c>
      <c r="U59" s="84" t="s">
        <v>3393</v>
      </c>
      <c r="V59" s="79" t="s">
        <v>2237</v>
      </c>
      <c r="W59" s="83">
        <v>70</v>
      </c>
      <c r="X59" s="83">
        <v>70</v>
      </c>
      <c r="Y59" s="83">
        <v>0</v>
      </c>
      <c r="Z59" s="79" t="s">
        <v>2359</v>
      </c>
    </row>
    <row r="60" spans="1:26" ht="71.25" customHeight="1">
      <c r="A60" s="146">
        <v>55</v>
      </c>
      <c r="B60" s="144" t="s">
        <v>2175</v>
      </c>
      <c r="C60" s="144" t="s">
        <v>2345</v>
      </c>
      <c r="D60" s="79" t="s">
        <v>2360</v>
      </c>
      <c r="E60" s="79" t="s">
        <v>2361</v>
      </c>
      <c r="F60" s="148" t="s">
        <v>2362</v>
      </c>
      <c r="G60" s="79" t="s">
        <v>2363</v>
      </c>
      <c r="H60" s="79" t="s">
        <v>2364</v>
      </c>
      <c r="I60" s="83">
        <v>860</v>
      </c>
      <c r="J60" s="83">
        <v>200</v>
      </c>
      <c r="K60" s="83">
        <v>60</v>
      </c>
      <c r="L60" s="83">
        <v>600</v>
      </c>
      <c r="M60" s="83">
        <v>0</v>
      </c>
      <c r="N60" s="79" t="s">
        <v>2365</v>
      </c>
      <c r="O60" s="79" t="s">
        <v>2276</v>
      </c>
      <c r="P60" s="79" t="s">
        <v>2225</v>
      </c>
      <c r="Q60" s="79" t="s">
        <v>2366</v>
      </c>
      <c r="R60" s="79" t="s">
        <v>2367</v>
      </c>
      <c r="S60" s="79" t="s">
        <v>108</v>
      </c>
      <c r="T60" s="79" t="s">
        <v>2368</v>
      </c>
      <c r="U60" s="79" t="s">
        <v>3407</v>
      </c>
      <c r="V60" s="79" t="s">
        <v>2237</v>
      </c>
      <c r="W60" s="83">
        <v>340</v>
      </c>
      <c r="X60" s="83">
        <v>340</v>
      </c>
      <c r="Y60" s="83">
        <v>0</v>
      </c>
      <c r="Z60" s="79" t="s">
        <v>2369</v>
      </c>
    </row>
    <row r="61" spans="1:26" ht="58.5" customHeight="1">
      <c r="A61" s="146">
        <v>56</v>
      </c>
      <c r="B61" s="144" t="s">
        <v>2175</v>
      </c>
      <c r="C61" s="144" t="s">
        <v>2345</v>
      </c>
      <c r="D61" s="79" t="s">
        <v>2370</v>
      </c>
      <c r="E61" s="79" t="s">
        <v>2371</v>
      </c>
      <c r="F61" s="148" t="s">
        <v>2372</v>
      </c>
      <c r="G61" s="79" t="s">
        <v>2373</v>
      </c>
      <c r="H61" s="79" t="s">
        <v>2374</v>
      </c>
      <c r="I61" s="83">
        <v>100</v>
      </c>
      <c r="J61" s="83">
        <v>0</v>
      </c>
      <c r="K61" s="83">
        <v>0</v>
      </c>
      <c r="L61" s="83">
        <v>100</v>
      </c>
      <c r="M61" s="83">
        <v>0</v>
      </c>
      <c r="N61" s="79"/>
      <c r="O61" s="79"/>
      <c r="P61" s="79" t="s">
        <v>2217</v>
      </c>
      <c r="Q61" s="84"/>
      <c r="R61" s="79" t="s">
        <v>2375</v>
      </c>
      <c r="S61" s="79" t="s">
        <v>1173</v>
      </c>
      <c r="T61" s="79" t="s">
        <v>2227</v>
      </c>
      <c r="U61" s="84" t="s">
        <v>3393</v>
      </c>
      <c r="V61" s="79" t="s">
        <v>2237</v>
      </c>
      <c r="W61" s="83">
        <f t="shared" ref="W61" si="9">SUM(X61:Y61)</f>
        <v>114</v>
      </c>
      <c r="X61" s="83">
        <v>114</v>
      </c>
      <c r="Y61" s="83">
        <v>0</v>
      </c>
      <c r="Z61" s="79" t="s">
        <v>114</v>
      </c>
    </row>
    <row r="62" spans="1:26" ht="63" customHeight="1">
      <c r="A62" s="146">
        <v>57</v>
      </c>
      <c r="B62" s="144" t="s">
        <v>792</v>
      </c>
      <c r="C62" s="144" t="s">
        <v>2376</v>
      </c>
      <c r="D62" s="79" t="s">
        <v>2377</v>
      </c>
      <c r="E62" s="79" t="s">
        <v>2378</v>
      </c>
      <c r="F62" s="148" t="s">
        <v>2379</v>
      </c>
      <c r="G62" s="79" t="s">
        <v>2380</v>
      </c>
      <c r="H62" s="79" t="s">
        <v>2381</v>
      </c>
      <c r="I62" s="83">
        <v>1232</v>
      </c>
      <c r="J62" s="83">
        <v>616</v>
      </c>
      <c r="K62" s="83">
        <v>185</v>
      </c>
      <c r="L62" s="83">
        <v>431</v>
      </c>
      <c r="M62" s="83">
        <v>0</v>
      </c>
      <c r="N62" s="79" t="s">
        <v>510</v>
      </c>
      <c r="O62" s="79" t="s">
        <v>2382</v>
      </c>
      <c r="P62" s="79" t="s">
        <v>261</v>
      </c>
      <c r="Q62" s="84"/>
      <c r="R62" s="79" t="s">
        <v>2383</v>
      </c>
      <c r="S62" s="79" t="s">
        <v>373</v>
      </c>
      <c r="T62" s="79" t="s">
        <v>374</v>
      </c>
      <c r="U62" s="84" t="s">
        <v>3393</v>
      </c>
      <c r="V62" s="79" t="s">
        <v>529</v>
      </c>
      <c r="W62" s="83">
        <v>120</v>
      </c>
      <c r="X62" s="83">
        <v>119</v>
      </c>
      <c r="Y62" s="83">
        <v>1</v>
      </c>
      <c r="Z62" s="79" t="s">
        <v>2384</v>
      </c>
    </row>
    <row r="63" spans="1:26" ht="47.25" customHeight="1">
      <c r="A63" s="146">
        <v>58</v>
      </c>
      <c r="B63" s="144" t="s">
        <v>1992</v>
      </c>
      <c r="C63" s="144" t="s">
        <v>2376</v>
      </c>
      <c r="D63" s="79" t="s">
        <v>2385</v>
      </c>
      <c r="E63" s="79" t="s">
        <v>2386</v>
      </c>
      <c r="F63" s="148" t="s">
        <v>2387</v>
      </c>
      <c r="G63" s="79" t="s">
        <v>2388</v>
      </c>
      <c r="H63" s="79" t="s">
        <v>2389</v>
      </c>
      <c r="I63" s="83">
        <v>1069</v>
      </c>
      <c r="J63" s="83">
        <v>0</v>
      </c>
      <c r="K63" s="83">
        <v>40</v>
      </c>
      <c r="L63" s="83">
        <v>1029</v>
      </c>
      <c r="M63" s="83">
        <v>0</v>
      </c>
      <c r="N63" s="79"/>
      <c r="O63" s="79"/>
      <c r="P63" s="79" t="s">
        <v>247</v>
      </c>
      <c r="Q63" s="79" t="s">
        <v>248</v>
      </c>
      <c r="R63" s="79" t="s">
        <v>2390</v>
      </c>
      <c r="S63" s="79" t="s">
        <v>373</v>
      </c>
      <c r="T63" s="79" t="s">
        <v>1466</v>
      </c>
      <c r="U63" s="79" t="s">
        <v>3408</v>
      </c>
      <c r="V63" s="79" t="s">
        <v>529</v>
      </c>
      <c r="W63" s="83">
        <v>391</v>
      </c>
      <c r="X63" s="83">
        <v>390</v>
      </c>
      <c r="Y63" s="83">
        <v>1</v>
      </c>
      <c r="Z63" s="79" t="s">
        <v>2391</v>
      </c>
    </row>
    <row r="64" spans="1:26" ht="59.25" customHeight="1">
      <c r="A64" s="146">
        <v>59</v>
      </c>
      <c r="B64" s="144" t="s">
        <v>792</v>
      </c>
      <c r="C64" s="144" t="s">
        <v>2392</v>
      </c>
      <c r="D64" s="79" t="s">
        <v>2393</v>
      </c>
      <c r="E64" s="79" t="s">
        <v>2394</v>
      </c>
      <c r="F64" s="148" t="s">
        <v>3427</v>
      </c>
      <c r="G64" s="79" t="s">
        <v>2395</v>
      </c>
      <c r="H64" s="79" t="s">
        <v>783</v>
      </c>
      <c r="I64" s="83">
        <v>725</v>
      </c>
      <c r="J64" s="83">
        <v>0</v>
      </c>
      <c r="K64" s="83">
        <v>0</v>
      </c>
      <c r="L64" s="83">
        <v>725</v>
      </c>
      <c r="M64" s="83">
        <v>0</v>
      </c>
      <c r="N64" s="79"/>
      <c r="O64" s="79"/>
      <c r="P64" s="79" t="s">
        <v>788</v>
      </c>
      <c r="Q64" s="79"/>
      <c r="R64" s="79" t="s">
        <v>2396</v>
      </c>
      <c r="S64" s="79" t="s">
        <v>1173</v>
      </c>
      <c r="T64" s="79" t="s">
        <v>183</v>
      </c>
      <c r="U64" s="79" t="s">
        <v>2397</v>
      </c>
      <c r="V64" s="79" t="s">
        <v>323</v>
      </c>
      <c r="W64" s="83">
        <v>100</v>
      </c>
      <c r="X64" s="83">
        <v>100</v>
      </c>
      <c r="Y64" s="83">
        <v>0</v>
      </c>
      <c r="Z64" s="79" t="s">
        <v>306</v>
      </c>
    </row>
    <row r="65" spans="1:26" ht="60" customHeight="1">
      <c r="A65" s="146">
        <v>60</v>
      </c>
      <c r="B65" s="144" t="s">
        <v>792</v>
      </c>
      <c r="C65" s="144" t="s">
        <v>2398</v>
      </c>
      <c r="D65" s="79" t="s">
        <v>2399</v>
      </c>
      <c r="E65" s="79" t="s">
        <v>2400</v>
      </c>
      <c r="F65" s="148" t="s">
        <v>2401</v>
      </c>
      <c r="G65" s="79" t="s">
        <v>2402</v>
      </c>
      <c r="H65" s="79" t="s">
        <v>2403</v>
      </c>
      <c r="I65" s="83">
        <v>697</v>
      </c>
      <c r="J65" s="83">
        <v>0</v>
      </c>
      <c r="K65" s="83">
        <v>0</v>
      </c>
      <c r="L65" s="83">
        <v>697</v>
      </c>
      <c r="M65" s="83">
        <v>0</v>
      </c>
      <c r="N65" s="79"/>
      <c r="O65" s="79"/>
      <c r="P65" s="79" t="s">
        <v>2225</v>
      </c>
      <c r="Q65" s="79"/>
      <c r="R65" s="79" t="s">
        <v>2404</v>
      </c>
      <c r="S65" s="79" t="s">
        <v>108</v>
      </c>
      <c r="T65" s="79" t="s">
        <v>183</v>
      </c>
      <c r="U65" s="79" t="s">
        <v>2397</v>
      </c>
      <c r="V65" s="79" t="s">
        <v>323</v>
      </c>
      <c r="W65" s="83">
        <f t="shared" ref="W65" si="10">SUM(X65:Y65)</f>
        <v>30</v>
      </c>
      <c r="X65" s="83">
        <v>30</v>
      </c>
      <c r="Y65" s="83">
        <v>0</v>
      </c>
      <c r="Z65" s="79" t="s">
        <v>2289</v>
      </c>
    </row>
    <row r="66" spans="1:26" ht="64.5" customHeight="1">
      <c r="A66" s="146">
        <v>61</v>
      </c>
      <c r="B66" s="144" t="s">
        <v>2175</v>
      </c>
      <c r="C66" s="144" t="s">
        <v>2405</v>
      </c>
      <c r="D66" s="79" t="s">
        <v>2406</v>
      </c>
      <c r="E66" s="79" t="s">
        <v>2407</v>
      </c>
      <c r="F66" s="148" t="s">
        <v>2408</v>
      </c>
      <c r="G66" s="79" t="s">
        <v>2409</v>
      </c>
      <c r="H66" s="79" t="s">
        <v>2410</v>
      </c>
      <c r="I66" s="83">
        <f>J66+K66+L66+M66</f>
        <v>2423</v>
      </c>
      <c r="J66" s="83">
        <v>320</v>
      </c>
      <c r="K66" s="83">
        <v>96</v>
      </c>
      <c r="L66" s="83">
        <v>2007</v>
      </c>
      <c r="M66" s="83">
        <v>0</v>
      </c>
      <c r="N66" s="79" t="s">
        <v>2365</v>
      </c>
      <c r="O66" s="79" t="s">
        <v>2276</v>
      </c>
      <c r="P66" s="79" t="s">
        <v>271</v>
      </c>
      <c r="Q66" s="79" t="s">
        <v>2412</v>
      </c>
      <c r="R66" s="79" t="s">
        <v>2413</v>
      </c>
      <c r="S66" s="79" t="s">
        <v>1173</v>
      </c>
      <c r="T66" s="79" t="s">
        <v>2314</v>
      </c>
      <c r="U66" s="79" t="s">
        <v>3409</v>
      </c>
      <c r="V66" s="79" t="s">
        <v>1154</v>
      </c>
      <c r="W66" s="83">
        <f>SUM(X66:Y66)</f>
        <v>1564</v>
      </c>
      <c r="X66" s="83">
        <v>1454</v>
      </c>
      <c r="Y66" s="83">
        <v>110</v>
      </c>
      <c r="Z66" s="79" t="s">
        <v>2344</v>
      </c>
    </row>
    <row r="67" spans="1:26" ht="48.75" customHeight="1">
      <c r="A67" s="146">
        <v>62</v>
      </c>
      <c r="B67" s="144" t="s">
        <v>2175</v>
      </c>
      <c r="C67" s="144" t="s">
        <v>2405</v>
      </c>
      <c r="D67" s="79" t="s">
        <v>2414</v>
      </c>
      <c r="E67" s="79" t="s">
        <v>2415</v>
      </c>
      <c r="F67" s="148" t="s">
        <v>2416</v>
      </c>
      <c r="G67" s="79" t="s">
        <v>2409</v>
      </c>
      <c r="H67" s="79" t="s">
        <v>1169</v>
      </c>
      <c r="I67" s="83">
        <f>J67+K67+L67+M67</f>
        <v>394</v>
      </c>
      <c r="J67" s="83">
        <v>0</v>
      </c>
      <c r="K67" s="83">
        <v>0</v>
      </c>
      <c r="L67" s="83">
        <v>394</v>
      </c>
      <c r="M67" s="83">
        <v>0</v>
      </c>
      <c r="N67" s="79" t="s">
        <v>2417</v>
      </c>
      <c r="O67" s="79" t="s">
        <v>2417</v>
      </c>
      <c r="P67" s="79" t="s">
        <v>271</v>
      </c>
      <c r="Q67" s="79"/>
      <c r="R67" s="79" t="s">
        <v>2418</v>
      </c>
      <c r="S67" s="79" t="s">
        <v>312</v>
      </c>
      <c r="T67" s="79" t="s">
        <v>1547</v>
      </c>
      <c r="U67" s="79" t="s">
        <v>3409</v>
      </c>
      <c r="V67" s="79" t="s">
        <v>334</v>
      </c>
      <c r="W67" s="83">
        <f t="shared" ref="W67" si="11">SUM(X67:Y67)</f>
        <v>10</v>
      </c>
      <c r="X67" s="83">
        <v>10</v>
      </c>
      <c r="Y67" s="83">
        <v>0</v>
      </c>
      <c r="Z67" s="79" t="s">
        <v>2419</v>
      </c>
    </row>
    <row r="68" spans="1:26" s="21" customFormat="1" ht="72" customHeight="1">
      <c r="A68" s="146">
        <v>63</v>
      </c>
      <c r="B68" s="144" t="s">
        <v>2175</v>
      </c>
      <c r="C68" s="144" t="s">
        <v>2405</v>
      </c>
      <c r="D68" s="79" t="s">
        <v>2420</v>
      </c>
      <c r="E68" s="79" t="s">
        <v>2421</v>
      </c>
      <c r="F68" s="148" t="s">
        <v>2422</v>
      </c>
      <c r="G68" s="79" t="s">
        <v>2423</v>
      </c>
      <c r="H68" s="79" t="s">
        <v>1169</v>
      </c>
      <c r="I68" s="83">
        <v>500</v>
      </c>
      <c r="J68" s="83">
        <v>0</v>
      </c>
      <c r="K68" s="83">
        <v>0</v>
      </c>
      <c r="L68" s="83">
        <v>500</v>
      </c>
      <c r="M68" s="83">
        <v>0</v>
      </c>
      <c r="N68" s="79"/>
      <c r="O68" s="79"/>
      <c r="P68" s="79" t="s">
        <v>209</v>
      </c>
      <c r="Q68" s="144"/>
      <c r="R68" s="79" t="s">
        <v>2287</v>
      </c>
      <c r="S68" s="79" t="s">
        <v>1173</v>
      </c>
      <c r="T68" s="79" t="s">
        <v>2227</v>
      </c>
      <c r="U68" s="84" t="s">
        <v>3393</v>
      </c>
      <c r="V68" s="79" t="s">
        <v>1154</v>
      </c>
      <c r="W68" s="83">
        <f>SUM(X68:Y68)</f>
        <v>152.19999999999999</v>
      </c>
      <c r="X68" s="83">
        <v>151</v>
      </c>
      <c r="Y68" s="83">
        <v>1.2</v>
      </c>
      <c r="Z68" s="79" t="s">
        <v>2424</v>
      </c>
    </row>
    <row r="69" spans="1:26" ht="48">
      <c r="A69" s="146">
        <v>64</v>
      </c>
      <c r="B69" s="144" t="s">
        <v>2175</v>
      </c>
      <c r="C69" s="144" t="s">
        <v>2426</v>
      </c>
      <c r="D69" s="79" t="s">
        <v>2427</v>
      </c>
      <c r="E69" s="79" t="s">
        <v>2428</v>
      </c>
      <c r="F69" s="148" t="s">
        <v>2429</v>
      </c>
      <c r="G69" s="79" t="s">
        <v>2430</v>
      </c>
      <c r="H69" s="79" t="s">
        <v>2431</v>
      </c>
      <c r="I69" s="83">
        <f>SUM(J69:M69)</f>
        <v>270</v>
      </c>
      <c r="J69" s="83">
        <v>0</v>
      </c>
      <c r="K69" s="83">
        <v>0</v>
      </c>
      <c r="L69" s="83">
        <v>270</v>
      </c>
      <c r="M69" s="83">
        <v>0</v>
      </c>
      <c r="N69" s="79"/>
      <c r="O69" s="79"/>
      <c r="P69" s="79" t="s">
        <v>87</v>
      </c>
      <c r="Q69" s="147"/>
      <c r="R69" s="79" t="s">
        <v>2432</v>
      </c>
      <c r="S69" s="79" t="s">
        <v>2433</v>
      </c>
      <c r="T69" s="79" t="s">
        <v>2434</v>
      </c>
      <c r="U69" s="79" t="s">
        <v>3410</v>
      </c>
      <c r="V69" s="79" t="s">
        <v>323</v>
      </c>
      <c r="W69" s="83">
        <f>SUM(X69:Y69)</f>
        <v>106</v>
      </c>
      <c r="X69" s="83">
        <v>106</v>
      </c>
      <c r="Y69" s="83">
        <v>0</v>
      </c>
      <c r="Z69" s="79" t="s">
        <v>114</v>
      </c>
    </row>
    <row r="70" spans="1:26" ht="118.5" customHeight="1">
      <c r="A70" s="146">
        <v>65</v>
      </c>
      <c r="B70" s="144" t="s">
        <v>792</v>
      </c>
      <c r="C70" s="144" t="s">
        <v>2425</v>
      </c>
      <c r="D70" s="79" t="s">
        <v>2435</v>
      </c>
      <c r="E70" s="79" t="s">
        <v>2436</v>
      </c>
      <c r="F70" s="148" t="s">
        <v>2437</v>
      </c>
      <c r="G70" s="79" t="s">
        <v>2438</v>
      </c>
      <c r="H70" s="79" t="s">
        <v>2439</v>
      </c>
      <c r="I70" s="83">
        <f t="shared" ref="I70:I73" si="12">SUM(J70:M70)</f>
        <v>395</v>
      </c>
      <c r="J70" s="83">
        <v>0</v>
      </c>
      <c r="K70" s="83">
        <v>0</v>
      </c>
      <c r="L70" s="83">
        <v>395</v>
      </c>
      <c r="M70" s="83">
        <v>0</v>
      </c>
      <c r="N70" s="79"/>
      <c r="O70" s="79"/>
      <c r="P70" s="79" t="s">
        <v>788</v>
      </c>
      <c r="Q70" s="147"/>
      <c r="R70" s="79" t="s">
        <v>2440</v>
      </c>
      <c r="S70" s="79" t="s">
        <v>2441</v>
      </c>
      <c r="T70" s="79" t="s">
        <v>2442</v>
      </c>
      <c r="U70" s="79" t="s">
        <v>3410</v>
      </c>
      <c r="V70" s="79" t="s">
        <v>323</v>
      </c>
      <c r="W70" s="83">
        <f t="shared" ref="W70" si="13">SUM(X70:Y70)</f>
        <v>52</v>
      </c>
      <c r="X70" s="83">
        <v>52</v>
      </c>
      <c r="Y70" s="83">
        <v>0</v>
      </c>
      <c r="Z70" s="79" t="s">
        <v>2009</v>
      </c>
    </row>
    <row r="71" spans="1:26" ht="124.5" customHeight="1">
      <c r="A71" s="146">
        <v>66</v>
      </c>
      <c r="B71" s="144" t="s">
        <v>793</v>
      </c>
      <c r="C71" s="144" t="s">
        <v>2425</v>
      </c>
      <c r="D71" s="79" t="s">
        <v>2443</v>
      </c>
      <c r="E71" s="79" t="s">
        <v>2444</v>
      </c>
      <c r="F71" s="148" t="s">
        <v>2445</v>
      </c>
      <c r="G71" s="79" t="s">
        <v>2446</v>
      </c>
      <c r="H71" s="79" t="s">
        <v>1432</v>
      </c>
      <c r="I71" s="83">
        <f t="shared" si="12"/>
        <v>295</v>
      </c>
      <c r="J71" s="83">
        <v>0</v>
      </c>
      <c r="K71" s="83">
        <v>0</v>
      </c>
      <c r="L71" s="83">
        <v>295</v>
      </c>
      <c r="M71" s="83">
        <v>0</v>
      </c>
      <c r="N71" s="79"/>
      <c r="O71" s="79"/>
      <c r="P71" s="79" t="s">
        <v>37</v>
      </c>
      <c r="Q71" s="147"/>
      <c r="R71" s="79" t="s">
        <v>2116</v>
      </c>
      <c r="S71" s="79" t="s">
        <v>2447</v>
      </c>
      <c r="T71" s="79" t="s">
        <v>2434</v>
      </c>
      <c r="U71" s="79" t="s">
        <v>3410</v>
      </c>
      <c r="V71" s="79" t="s">
        <v>323</v>
      </c>
      <c r="W71" s="83">
        <v>15</v>
      </c>
      <c r="X71" s="83">
        <v>15</v>
      </c>
      <c r="Y71" s="83">
        <v>0</v>
      </c>
      <c r="Z71" s="79" t="s">
        <v>2448</v>
      </c>
    </row>
    <row r="72" spans="1:26" s="64" customFormat="1" ht="38.25" customHeight="1">
      <c r="A72" s="146">
        <v>67</v>
      </c>
      <c r="B72" s="79" t="s">
        <v>792</v>
      </c>
      <c r="C72" s="79" t="s">
        <v>2449</v>
      </c>
      <c r="D72" s="145" t="s">
        <v>2450</v>
      </c>
      <c r="E72" s="206" t="s">
        <v>1087</v>
      </c>
      <c r="F72" s="207" t="s">
        <v>2451</v>
      </c>
      <c r="G72" s="145" t="s">
        <v>2452</v>
      </c>
      <c r="H72" s="79" t="s">
        <v>2453</v>
      </c>
      <c r="I72" s="83">
        <f t="shared" si="12"/>
        <v>113</v>
      </c>
      <c r="J72" s="83">
        <v>0</v>
      </c>
      <c r="K72" s="83">
        <v>0</v>
      </c>
      <c r="L72" s="197">
        <v>88</v>
      </c>
      <c r="M72" s="197">
        <v>25</v>
      </c>
      <c r="N72" s="79"/>
      <c r="O72" s="79"/>
      <c r="P72" s="79" t="s">
        <v>1181</v>
      </c>
      <c r="Q72" s="79"/>
      <c r="R72" s="79" t="s">
        <v>2454</v>
      </c>
      <c r="S72" s="79" t="s">
        <v>108</v>
      </c>
      <c r="T72" s="79" t="s">
        <v>183</v>
      </c>
      <c r="U72" s="84" t="s">
        <v>3393</v>
      </c>
      <c r="V72" s="79" t="s">
        <v>94</v>
      </c>
      <c r="W72" s="83">
        <v>8</v>
      </c>
      <c r="X72" s="83">
        <v>8</v>
      </c>
      <c r="Y72" s="83">
        <v>0</v>
      </c>
      <c r="Z72" s="79" t="s">
        <v>756</v>
      </c>
    </row>
    <row r="73" spans="1:26" s="64" customFormat="1" ht="38.25" customHeight="1">
      <c r="A73" s="146">
        <v>68</v>
      </c>
      <c r="B73" s="79" t="s">
        <v>792</v>
      </c>
      <c r="C73" s="79" t="s">
        <v>2449</v>
      </c>
      <c r="D73" s="145" t="s">
        <v>2455</v>
      </c>
      <c r="E73" s="206" t="s">
        <v>2456</v>
      </c>
      <c r="F73" s="207" t="s">
        <v>2457</v>
      </c>
      <c r="G73" s="145" t="s">
        <v>2458</v>
      </c>
      <c r="H73" s="79" t="s">
        <v>996</v>
      </c>
      <c r="I73" s="83">
        <f t="shared" si="12"/>
        <v>700</v>
      </c>
      <c r="J73" s="83">
        <v>0</v>
      </c>
      <c r="K73" s="83">
        <v>0</v>
      </c>
      <c r="L73" s="197">
        <v>700</v>
      </c>
      <c r="M73" s="83">
        <v>0</v>
      </c>
      <c r="N73" s="79"/>
      <c r="O73" s="79"/>
      <c r="P73" s="79" t="s">
        <v>140</v>
      </c>
      <c r="Q73" s="79"/>
      <c r="R73" s="79" t="s">
        <v>2459</v>
      </c>
      <c r="S73" s="79" t="s">
        <v>108</v>
      </c>
      <c r="T73" s="79" t="s">
        <v>385</v>
      </c>
      <c r="U73" s="79" t="s">
        <v>1067</v>
      </c>
      <c r="V73" s="79" t="s">
        <v>164</v>
      </c>
      <c r="W73" s="83">
        <v>25</v>
      </c>
      <c r="X73" s="83">
        <v>25</v>
      </c>
      <c r="Y73" s="83">
        <v>0</v>
      </c>
      <c r="Z73" s="79" t="s">
        <v>133</v>
      </c>
    </row>
    <row r="74" spans="1:26" s="64" customFormat="1" ht="54.75" customHeight="1">
      <c r="A74" s="146">
        <v>69</v>
      </c>
      <c r="B74" s="79" t="s">
        <v>792</v>
      </c>
      <c r="C74" s="79" t="s">
        <v>2449</v>
      </c>
      <c r="D74" s="145" t="s">
        <v>2460</v>
      </c>
      <c r="E74" s="206" t="s">
        <v>2461</v>
      </c>
      <c r="F74" s="207" t="s">
        <v>2462</v>
      </c>
      <c r="G74" s="145" t="s">
        <v>2458</v>
      </c>
      <c r="H74" s="79" t="s">
        <v>2463</v>
      </c>
      <c r="I74" s="83">
        <v>1530</v>
      </c>
      <c r="J74" s="83">
        <v>0</v>
      </c>
      <c r="K74" s="197">
        <v>30</v>
      </c>
      <c r="L74" s="197">
        <v>1500</v>
      </c>
      <c r="M74" s="83">
        <v>0</v>
      </c>
      <c r="N74" s="79"/>
      <c r="O74" s="79"/>
      <c r="P74" s="79" t="s">
        <v>140</v>
      </c>
      <c r="Q74" s="79"/>
      <c r="R74" s="79" t="s">
        <v>2464</v>
      </c>
      <c r="S74" s="79" t="s">
        <v>108</v>
      </c>
      <c r="T74" s="79" t="s">
        <v>385</v>
      </c>
      <c r="U74" s="79" t="s">
        <v>1067</v>
      </c>
      <c r="V74" s="79" t="s">
        <v>94</v>
      </c>
      <c r="W74" s="83">
        <v>175</v>
      </c>
      <c r="X74" s="83">
        <v>175</v>
      </c>
      <c r="Y74" s="83">
        <v>0</v>
      </c>
      <c r="Z74" s="79" t="s">
        <v>133</v>
      </c>
    </row>
    <row r="75" spans="1:26" ht="38.25" customHeight="1">
      <c r="A75" s="146">
        <v>70</v>
      </c>
      <c r="B75" s="144" t="s">
        <v>1992</v>
      </c>
      <c r="C75" s="144" t="s">
        <v>2465</v>
      </c>
      <c r="D75" s="79" t="s">
        <v>2466</v>
      </c>
      <c r="E75" s="79" t="s">
        <v>2467</v>
      </c>
      <c r="F75" s="148" t="s">
        <v>2468</v>
      </c>
      <c r="G75" s="79" t="s">
        <v>2469</v>
      </c>
      <c r="H75" s="79" t="s">
        <v>2470</v>
      </c>
      <c r="I75" s="83">
        <v>90</v>
      </c>
      <c r="J75" s="83">
        <v>0</v>
      </c>
      <c r="K75" s="83">
        <v>0</v>
      </c>
      <c r="L75" s="83">
        <v>90</v>
      </c>
      <c r="M75" s="83">
        <v>0</v>
      </c>
      <c r="N75" s="79"/>
      <c r="O75" s="79"/>
      <c r="P75" s="79" t="s">
        <v>209</v>
      </c>
      <c r="Q75" s="79"/>
      <c r="R75" s="79" t="s">
        <v>2123</v>
      </c>
      <c r="S75" s="79" t="s">
        <v>373</v>
      </c>
      <c r="T75" s="79" t="s">
        <v>613</v>
      </c>
      <c r="U75" s="84" t="s">
        <v>3393</v>
      </c>
      <c r="V75" s="79" t="s">
        <v>529</v>
      </c>
      <c r="W75" s="83">
        <v>23</v>
      </c>
      <c r="X75" s="83">
        <v>22</v>
      </c>
      <c r="Y75" s="83">
        <v>1</v>
      </c>
      <c r="Z75" s="79" t="s">
        <v>2471</v>
      </c>
    </row>
    <row r="76" spans="1:26" ht="38.25" customHeight="1">
      <c r="A76" s="146">
        <v>71</v>
      </c>
      <c r="B76" s="144" t="s">
        <v>1992</v>
      </c>
      <c r="C76" s="144" t="s">
        <v>2465</v>
      </c>
      <c r="D76" s="79" t="s">
        <v>2472</v>
      </c>
      <c r="E76" s="79" t="s">
        <v>2473</v>
      </c>
      <c r="F76" s="148" t="s">
        <v>2474</v>
      </c>
      <c r="G76" s="79" t="s">
        <v>2475</v>
      </c>
      <c r="H76" s="79" t="s">
        <v>2476</v>
      </c>
      <c r="I76" s="83">
        <v>423</v>
      </c>
      <c r="J76" s="83">
        <v>0</v>
      </c>
      <c r="K76" s="83">
        <v>0</v>
      </c>
      <c r="L76" s="83">
        <v>423</v>
      </c>
      <c r="M76" s="83">
        <v>0</v>
      </c>
      <c r="N76" s="79"/>
      <c r="O76" s="79"/>
      <c r="P76" s="79" t="s">
        <v>247</v>
      </c>
      <c r="Q76" s="79"/>
      <c r="R76" s="79" t="s">
        <v>2477</v>
      </c>
      <c r="S76" s="79" t="s">
        <v>373</v>
      </c>
      <c r="T76" s="79" t="s">
        <v>374</v>
      </c>
      <c r="U76" s="84" t="s">
        <v>3393</v>
      </c>
      <c r="V76" s="79" t="s">
        <v>212</v>
      </c>
      <c r="W76" s="83">
        <v>2</v>
      </c>
      <c r="X76" s="83">
        <v>2</v>
      </c>
      <c r="Y76" s="83">
        <v>0</v>
      </c>
      <c r="Z76" s="79" t="s">
        <v>2478</v>
      </c>
    </row>
    <row r="77" spans="1:26" ht="38.25" customHeight="1">
      <c r="A77" s="146">
        <v>72</v>
      </c>
      <c r="B77" s="144" t="s">
        <v>1992</v>
      </c>
      <c r="C77" s="144" t="s">
        <v>2465</v>
      </c>
      <c r="D77" s="79" t="s">
        <v>2479</v>
      </c>
      <c r="E77" s="79" t="s">
        <v>2480</v>
      </c>
      <c r="F77" s="148" t="s">
        <v>2481</v>
      </c>
      <c r="G77" s="79" t="s">
        <v>2482</v>
      </c>
      <c r="H77" s="79" t="s">
        <v>753</v>
      </c>
      <c r="I77" s="83">
        <f>SUM(J77:M77)</f>
        <v>580</v>
      </c>
      <c r="J77" s="83">
        <v>0</v>
      </c>
      <c r="K77" s="83">
        <v>30</v>
      </c>
      <c r="L77" s="83">
        <v>530</v>
      </c>
      <c r="M77" s="83">
        <v>20</v>
      </c>
      <c r="N77" s="79"/>
      <c r="O77" s="79"/>
      <c r="P77" s="79" t="s">
        <v>209</v>
      </c>
      <c r="Q77" s="79"/>
      <c r="R77" s="79" t="s">
        <v>2483</v>
      </c>
      <c r="S77" s="79" t="s">
        <v>373</v>
      </c>
      <c r="T77" s="79" t="s">
        <v>2021</v>
      </c>
      <c r="U77" s="84" t="s">
        <v>3393</v>
      </c>
      <c r="V77" s="79" t="s">
        <v>212</v>
      </c>
      <c r="W77" s="83">
        <v>50</v>
      </c>
      <c r="X77" s="83">
        <v>50</v>
      </c>
      <c r="Y77" s="83">
        <v>0</v>
      </c>
      <c r="Z77" s="79" t="s">
        <v>96</v>
      </c>
    </row>
    <row r="78" spans="1:26" ht="86.25" customHeight="1">
      <c r="A78" s="146">
        <v>73</v>
      </c>
      <c r="B78" s="144" t="s">
        <v>1992</v>
      </c>
      <c r="C78" s="144" t="s">
        <v>2484</v>
      </c>
      <c r="D78" s="79" t="s">
        <v>2485</v>
      </c>
      <c r="E78" s="79" t="s">
        <v>2486</v>
      </c>
      <c r="F78" s="148" t="s">
        <v>2487</v>
      </c>
      <c r="G78" s="79" t="s">
        <v>2488</v>
      </c>
      <c r="H78" s="79" t="s">
        <v>290</v>
      </c>
      <c r="I78" s="83">
        <v>520</v>
      </c>
      <c r="J78" s="83">
        <v>0</v>
      </c>
      <c r="K78" s="83">
        <v>0</v>
      </c>
      <c r="L78" s="83">
        <v>520</v>
      </c>
      <c r="M78" s="83">
        <v>0</v>
      </c>
      <c r="N78" s="79"/>
      <c r="O78" s="79"/>
      <c r="P78" s="79" t="s">
        <v>209</v>
      </c>
      <c r="Q78" s="79"/>
      <c r="R78" s="79" t="s">
        <v>2489</v>
      </c>
      <c r="S78" s="79" t="s">
        <v>108</v>
      </c>
      <c r="T78" s="79" t="s">
        <v>251</v>
      </c>
      <c r="U78" s="79" t="s">
        <v>93</v>
      </c>
      <c r="V78" s="79" t="s">
        <v>94</v>
      </c>
      <c r="W78" s="83">
        <f>SUM(X78:Y78)</f>
        <v>172</v>
      </c>
      <c r="X78" s="83">
        <v>169</v>
      </c>
      <c r="Y78" s="83">
        <v>3</v>
      </c>
      <c r="Z78" s="79" t="s">
        <v>306</v>
      </c>
    </row>
    <row r="79" spans="1:26" ht="90.75" customHeight="1">
      <c r="A79" s="146">
        <v>74</v>
      </c>
      <c r="B79" s="144" t="s">
        <v>1992</v>
      </c>
      <c r="C79" s="144" t="s">
        <v>2484</v>
      </c>
      <c r="D79" s="79" t="s">
        <v>2490</v>
      </c>
      <c r="E79" s="79" t="s">
        <v>2491</v>
      </c>
      <c r="F79" s="148" t="s">
        <v>2492</v>
      </c>
      <c r="G79" s="79" t="s">
        <v>2493</v>
      </c>
      <c r="H79" s="79" t="s">
        <v>290</v>
      </c>
      <c r="I79" s="83">
        <v>440</v>
      </c>
      <c r="J79" s="83">
        <v>0</v>
      </c>
      <c r="K79" s="83">
        <v>30</v>
      </c>
      <c r="L79" s="83">
        <v>410</v>
      </c>
      <c r="M79" s="83">
        <v>0</v>
      </c>
      <c r="N79" s="79"/>
      <c r="O79" s="79"/>
      <c r="P79" s="79" t="s">
        <v>261</v>
      </c>
      <c r="Q79" s="79"/>
      <c r="R79" s="79" t="s">
        <v>2494</v>
      </c>
      <c r="S79" s="79" t="s">
        <v>108</v>
      </c>
      <c r="T79" s="79" t="s">
        <v>251</v>
      </c>
      <c r="U79" s="79" t="s">
        <v>93</v>
      </c>
      <c r="V79" s="79" t="s">
        <v>94</v>
      </c>
      <c r="W79" s="83">
        <f t="shared" ref="W79:W80" si="14">SUM(X79:Y79)</f>
        <v>173</v>
      </c>
      <c r="X79" s="83">
        <v>167</v>
      </c>
      <c r="Y79" s="83">
        <v>6</v>
      </c>
      <c r="Z79" s="79" t="s">
        <v>306</v>
      </c>
    </row>
    <row r="80" spans="1:26" ht="76.5" customHeight="1">
      <c r="A80" s="146">
        <v>75</v>
      </c>
      <c r="B80" s="144" t="s">
        <v>792</v>
      </c>
      <c r="C80" s="144" t="s">
        <v>2484</v>
      </c>
      <c r="D80" s="79" t="s">
        <v>2495</v>
      </c>
      <c r="E80" s="79" t="s">
        <v>2496</v>
      </c>
      <c r="F80" s="148" t="s">
        <v>2497</v>
      </c>
      <c r="G80" s="79" t="s">
        <v>2498</v>
      </c>
      <c r="H80" s="79" t="s">
        <v>2499</v>
      </c>
      <c r="I80" s="83">
        <v>449</v>
      </c>
      <c r="J80" s="83">
        <v>0</v>
      </c>
      <c r="K80" s="83">
        <v>0</v>
      </c>
      <c r="L80" s="83">
        <v>449</v>
      </c>
      <c r="M80" s="83">
        <v>0</v>
      </c>
      <c r="N80" s="79"/>
      <c r="O80" s="79"/>
      <c r="P80" s="79" t="s">
        <v>304</v>
      </c>
      <c r="Q80" s="79"/>
      <c r="R80" s="79" t="s">
        <v>2500</v>
      </c>
      <c r="S80" s="79" t="s">
        <v>108</v>
      </c>
      <c r="T80" s="79" t="s">
        <v>183</v>
      </c>
      <c r="U80" s="84" t="s">
        <v>3393</v>
      </c>
      <c r="V80" s="79" t="s">
        <v>94</v>
      </c>
      <c r="W80" s="83">
        <f t="shared" si="14"/>
        <v>50</v>
      </c>
      <c r="X80" s="83">
        <v>50</v>
      </c>
      <c r="Y80" s="83">
        <v>0</v>
      </c>
      <c r="Z80" s="79" t="s">
        <v>306</v>
      </c>
    </row>
    <row r="82" spans="1:9">
      <c r="A82" s="318" t="s">
        <v>2501</v>
      </c>
      <c r="B82" s="319"/>
      <c r="C82" s="319"/>
      <c r="D82" s="319"/>
      <c r="E82" s="319"/>
      <c r="F82" s="319"/>
      <c r="G82" s="319"/>
      <c r="H82" s="319"/>
      <c r="I82" s="319"/>
    </row>
    <row r="83" spans="1:9">
      <c r="A83" s="319"/>
      <c r="B83" s="319"/>
      <c r="C83" s="319"/>
      <c r="D83" s="319"/>
      <c r="E83" s="319"/>
      <c r="F83" s="319"/>
      <c r="G83" s="319"/>
      <c r="H83" s="319"/>
      <c r="I83" s="319"/>
    </row>
    <row r="84" spans="1:9">
      <c r="A84" s="319"/>
      <c r="B84" s="319"/>
      <c r="C84" s="319"/>
      <c r="D84" s="319"/>
      <c r="E84" s="319"/>
      <c r="F84" s="319"/>
      <c r="G84" s="319"/>
      <c r="H84" s="319"/>
      <c r="I84" s="319"/>
    </row>
    <row r="85" spans="1:9">
      <c r="A85" s="319"/>
      <c r="B85" s="319"/>
      <c r="C85" s="319"/>
      <c r="D85" s="319"/>
      <c r="E85" s="319"/>
      <c r="F85" s="319"/>
      <c r="G85" s="319"/>
      <c r="H85" s="319"/>
      <c r="I85" s="319"/>
    </row>
    <row r="86" spans="1:9">
      <c r="A86" s="319"/>
      <c r="B86" s="319"/>
      <c r="C86" s="319"/>
      <c r="D86" s="319"/>
      <c r="E86" s="319"/>
      <c r="F86" s="319"/>
      <c r="G86" s="319"/>
      <c r="H86" s="319"/>
      <c r="I86" s="319"/>
    </row>
    <row r="87" spans="1:9" ht="48.75" customHeight="1">
      <c r="A87" s="319"/>
      <c r="B87" s="319"/>
      <c r="C87" s="319"/>
      <c r="D87" s="319"/>
      <c r="E87" s="319"/>
      <c r="F87" s="319"/>
      <c r="G87" s="319"/>
      <c r="H87" s="319"/>
      <c r="I87" s="319"/>
    </row>
    <row r="88" spans="1:9" ht="0.75" customHeight="1">
      <c r="A88" s="319"/>
      <c r="B88" s="319"/>
      <c r="C88" s="319"/>
      <c r="D88" s="319"/>
      <c r="E88" s="319"/>
      <c r="F88" s="319"/>
      <c r="G88" s="319"/>
      <c r="H88" s="319"/>
      <c r="I88" s="319"/>
    </row>
    <row r="89" spans="1:9" hidden="1">
      <c r="A89" s="319"/>
      <c r="B89" s="319"/>
      <c r="C89" s="319"/>
      <c r="D89" s="319"/>
      <c r="E89" s="319"/>
      <c r="F89" s="319"/>
      <c r="G89" s="319"/>
      <c r="H89" s="319"/>
      <c r="I89" s="319"/>
    </row>
    <row r="90" spans="1:9" ht="2.25" hidden="1" customHeight="1">
      <c r="A90" s="319"/>
      <c r="B90" s="319"/>
      <c r="C90" s="319"/>
      <c r="D90" s="319"/>
      <c r="E90" s="319"/>
      <c r="F90" s="319"/>
      <c r="G90" s="319"/>
      <c r="H90" s="319"/>
      <c r="I90" s="319"/>
    </row>
    <row r="91" spans="1:9" hidden="1">
      <c r="A91" s="319"/>
      <c r="B91" s="319"/>
      <c r="C91" s="319"/>
      <c r="D91" s="319"/>
      <c r="E91" s="319"/>
      <c r="F91" s="319"/>
      <c r="G91" s="319"/>
      <c r="H91" s="319"/>
      <c r="I91" s="319"/>
    </row>
    <row r="92" spans="1:9" hidden="1">
      <c r="A92" s="319"/>
      <c r="B92" s="319"/>
      <c r="C92" s="319"/>
      <c r="D92" s="319"/>
      <c r="E92" s="319"/>
      <c r="F92" s="319"/>
      <c r="G92" s="319"/>
      <c r="H92" s="319"/>
      <c r="I92" s="319"/>
    </row>
    <row r="93" spans="1:9" hidden="1">
      <c r="A93" s="319"/>
      <c r="B93" s="319"/>
      <c r="C93" s="319"/>
      <c r="D93" s="319"/>
      <c r="E93" s="319"/>
      <c r="F93" s="319"/>
      <c r="G93" s="319"/>
      <c r="H93" s="319"/>
      <c r="I93" s="319"/>
    </row>
    <row r="94" spans="1:9" hidden="1">
      <c r="A94" s="319"/>
      <c r="B94" s="319"/>
      <c r="C94" s="319"/>
      <c r="D94" s="319"/>
      <c r="E94" s="319"/>
      <c r="F94" s="319"/>
      <c r="G94" s="319"/>
      <c r="H94" s="319"/>
      <c r="I94" s="319"/>
    </row>
    <row r="95" spans="1:9" hidden="1">
      <c r="A95" s="319"/>
      <c r="B95" s="319"/>
      <c r="C95" s="319"/>
      <c r="D95" s="319"/>
      <c r="E95" s="319"/>
      <c r="F95" s="319"/>
      <c r="G95" s="319"/>
      <c r="H95" s="319"/>
      <c r="I95" s="319"/>
    </row>
  </sheetData>
  <autoFilter ref="A5:Y29"/>
  <mergeCells count="6">
    <mergeCell ref="A1:Y2"/>
    <mergeCell ref="I4:M4"/>
    <mergeCell ref="N4:O4"/>
    <mergeCell ref="W4:Y4"/>
    <mergeCell ref="A82:I95"/>
    <mergeCell ref="A4:E4"/>
  </mergeCells>
  <phoneticPr fontId="5" type="noConversion"/>
  <dataValidations count="4">
    <dataValidation type="list" allowBlank="1" showInputMessage="1" showErrorMessage="1" sqref="P75:P80 P68:P71 B69:B80 Q50:Q56 Q58:Q59 Q61:Q62 P26:P65 B28:B65 B6:B26 P6:P19 O20 P25:R25 S72:T74 P21:Q21 Q19:Q20 Q24:S24 Q26:R26 P22:P24 Q22:R22 Q29:Q31 Q33:Q48">
      <formula1>#REF!</formula1>
    </dataValidation>
    <dataValidation type="list" allowBlank="1" showInputMessage="1" showErrorMessage="1" sqref="P66:P67">
      <formula1>$P$6:$P$9</formula1>
    </dataValidation>
    <dataValidation type="list" allowBlank="1" showInputMessage="1" showErrorMessage="1" sqref="B68">
      <formula1>$B$6:$B$12</formula1>
    </dataValidation>
    <dataValidation type="list" allowBlank="1" showInputMessage="1" showErrorMessage="1" sqref="B27 B66:B67">
      <formula1>$B$6:$B$15</formula1>
    </dataValidation>
  </dataValidations>
  <pageMargins left="0.19685039370078741" right="0.19685039370078741" top="0.35433070866141736" bottom="0.19685039370078741" header="0.19685039370078741" footer="0.19685039370078741"/>
  <pageSetup paperSize="9" scale="44" orientation="landscape" r:id="rId1"/>
  <headerFooter alignWithMargins="0"/>
  <rowBreaks count="3" manualBreakCount="3">
    <brk id="14" max="20" man="1"/>
    <brk id="24" max="20" man="1"/>
    <brk id="29" max="13" man="1"/>
  </rowBreak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
  <sheetViews>
    <sheetView zoomScale="90" zoomScaleNormal="90" zoomScaleSheetLayoutView="90" workbookViewId="0">
      <pane ySplit="4" topLeftCell="A42" activePane="bottomLeft" state="frozen"/>
      <selection pane="bottomLeft" activeCell="E44" sqref="E44"/>
    </sheetView>
  </sheetViews>
  <sheetFormatPr defaultRowHeight="13.5"/>
  <cols>
    <col min="1" max="1" width="5.109375" style="6" customWidth="1"/>
    <col min="2" max="2" width="12.33203125" style="6" customWidth="1"/>
    <col min="3" max="3" width="9.109375" style="6" customWidth="1"/>
    <col min="4" max="4" width="22.33203125" style="1" customWidth="1"/>
    <col min="5" max="5" width="12.77734375" style="1" customWidth="1"/>
    <col min="6" max="6" width="42" style="1" customWidth="1"/>
    <col min="7" max="7" width="25.109375" style="1" customWidth="1"/>
    <col min="8" max="8" width="12.21875" style="1" customWidth="1"/>
    <col min="9" max="9" width="14.21875" style="1" customWidth="1"/>
    <col min="10" max="13" width="7.6640625" style="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4.33203125" style="1" customWidth="1"/>
    <col min="22" max="26" width="12.21875" style="1" customWidth="1"/>
    <col min="27" max="256" width="8.88671875" style="1"/>
    <col min="257" max="257" width="5.109375" style="1" customWidth="1"/>
    <col min="258" max="258" width="12.33203125" style="1" customWidth="1"/>
    <col min="259" max="259" width="9.109375" style="1" customWidth="1"/>
    <col min="260" max="260" width="22.33203125" style="1" customWidth="1"/>
    <col min="261" max="261" width="12.77734375" style="1" customWidth="1"/>
    <col min="262" max="262" width="42" style="1" customWidth="1"/>
    <col min="263" max="263" width="25.109375" style="1" customWidth="1"/>
    <col min="264" max="264" width="12.21875" style="1" customWidth="1"/>
    <col min="265" max="265" width="14.21875" style="1" customWidth="1"/>
    <col min="266" max="269" width="7.6640625" style="1" customWidth="1"/>
    <col min="270" max="270" width="10.21875" style="1" customWidth="1"/>
    <col min="271" max="271" width="30.21875" style="1" customWidth="1"/>
    <col min="272" max="274" width="12.77734375" style="1" customWidth="1"/>
    <col min="275" max="275" width="12.21875" style="1" customWidth="1"/>
    <col min="276" max="276" width="13.33203125" style="1" customWidth="1"/>
    <col min="277" max="277" width="14.33203125" style="1" customWidth="1"/>
    <col min="278" max="282" width="12.21875" style="1" customWidth="1"/>
    <col min="283" max="512" width="8.88671875" style="1"/>
    <col min="513" max="513" width="5.109375" style="1" customWidth="1"/>
    <col min="514" max="514" width="12.33203125" style="1" customWidth="1"/>
    <col min="515" max="515" width="9.109375" style="1" customWidth="1"/>
    <col min="516" max="516" width="22.33203125" style="1" customWidth="1"/>
    <col min="517" max="517" width="12.77734375" style="1" customWidth="1"/>
    <col min="518" max="518" width="42" style="1" customWidth="1"/>
    <col min="519" max="519" width="25.109375" style="1" customWidth="1"/>
    <col min="520" max="520" width="12.21875" style="1" customWidth="1"/>
    <col min="521" max="521" width="14.21875" style="1" customWidth="1"/>
    <col min="522" max="525" width="7.6640625" style="1" customWidth="1"/>
    <col min="526" max="526" width="10.21875" style="1" customWidth="1"/>
    <col min="527" max="527" width="30.21875" style="1" customWidth="1"/>
    <col min="528" max="530" width="12.77734375" style="1" customWidth="1"/>
    <col min="531" max="531" width="12.21875" style="1" customWidth="1"/>
    <col min="532" max="532" width="13.33203125" style="1" customWidth="1"/>
    <col min="533" max="533" width="14.33203125" style="1" customWidth="1"/>
    <col min="534" max="538" width="12.21875" style="1" customWidth="1"/>
    <col min="539" max="768" width="8.88671875" style="1"/>
    <col min="769" max="769" width="5.109375" style="1" customWidth="1"/>
    <col min="770" max="770" width="12.33203125" style="1" customWidth="1"/>
    <col min="771" max="771" width="9.109375" style="1" customWidth="1"/>
    <col min="772" max="772" width="22.33203125" style="1" customWidth="1"/>
    <col min="773" max="773" width="12.77734375" style="1" customWidth="1"/>
    <col min="774" max="774" width="42" style="1" customWidth="1"/>
    <col min="775" max="775" width="25.109375" style="1" customWidth="1"/>
    <col min="776" max="776" width="12.21875" style="1" customWidth="1"/>
    <col min="777" max="777" width="14.21875" style="1" customWidth="1"/>
    <col min="778" max="781" width="7.6640625" style="1" customWidth="1"/>
    <col min="782" max="782" width="10.21875" style="1" customWidth="1"/>
    <col min="783" max="783" width="30.21875" style="1" customWidth="1"/>
    <col min="784" max="786" width="12.77734375" style="1" customWidth="1"/>
    <col min="787" max="787" width="12.21875" style="1" customWidth="1"/>
    <col min="788" max="788" width="13.33203125" style="1" customWidth="1"/>
    <col min="789" max="789" width="14.33203125" style="1" customWidth="1"/>
    <col min="790" max="794" width="12.21875" style="1" customWidth="1"/>
    <col min="795" max="1024" width="8.88671875" style="1"/>
    <col min="1025" max="1025" width="5.109375" style="1" customWidth="1"/>
    <col min="1026" max="1026" width="12.33203125" style="1" customWidth="1"/>
    <col min="1027" max="1027" width="9.109375" style="1" customWidth="1"/>
    <col min="1028" max="1028" width="22.33203125" style="1" customWidth="1"/>
    <col min="1029" max="1029" width="12.77734375" style="1" customWidth="1"/>
    <col min="1030" max="1030" width="42" style="1" customWidth="1"/>
    <col min="1031" max="1031" width="25.109375" style="1" customWidth="1"/>
    <col min="1032" max="1032" width="12.21875" style="1" customWidth="1"/>
    <col min="1033" max="1033" width="14.21875" style="1" customWidth="1"/>
    <col min="1034" max="1037" width="7.6640625" style="1" customWidth="1"/>
    <col min="1038" max="1038" width="10.21875" style="1" customWidth="1"/>
    <col min="1039" max="1039" width="30.21875" style="1" customWidth="1"/>
    <col min="1040" max="1042" width="12.77734375" style="1" customWidth="1"/>
    <col min="1043" max="1043" width="12.21875" style="1" customWidth="1"/>
    <col min="1044" max="1044" width="13.33203125" style="1" customWidth="1"/>
    <col min="1045" max="1045" width="14.33203125" style="1" customWidth="1"/>
    <col min="1046" max="1050" width="12.21875" style="1" customWidth="1"/>
    <col min="1051" max="1280" width="8.88671875" style="1"/>
    <col min="1281" max="1281" width="5.109375" style="1" customWidth="1"/>
    <col min="1282" max="1282" width="12.33203125" style="1" customWidth="1"/>
    <col min="1283" max="1283" width="9.109375" style="1" customWidth="1"/>
    <col min="1284" max="1284" width="22.33203125" style="1" customWidth="1"/>
    <col min="1285" max="1285" width="12.77734375" style="1" customWidth="1"/>
    <col min="1286" max="1286" width="42" style="1" customWidth="1"/>
    <col min="1287" max="1287" width="25.109375" style="1" customWidth="1"/>
    <col min="1288" max="1288" width="12.21875" style="1" customWidth="1"/>
    <col min="1289" max="1289" width="14.21875" style="1" customWidth="1"/>
    <col min="1290" max="1293" width="7.6640625" style="1" customWidth="1"/>
    <col min="1294" max="1294" width="10.21875" style="1" customWidth="1"/>
    <col min="1295" max="1295" width="30.21875" style="1" customWidth="1"/>
    <col min="1296" max="1298" width="12.77734375" style="1" customWidth="1"/>
    <col min="1299" max="1299" width="12.21875" style="1" customWidth="1"/>
    <col min="1300" max="1300" width="13.33203125" style="1" customWidth="1"/>
    <col min="1301" max="1301" width="14.33203125" style="1" customWidth="1"/>
    <col min="1302" max="1306" width="12.21875" style="1" customWidth="1"/>
    <col min="1307" max="1536" width="8.88671875" style="1"/>
    <col min="1537" max="1537" width="5.109375" style="1" customWidth="1"/>
    <col min="1538" max="1538" width="12.33203125" style="1" customWidth="1"/>
    <col min="1539" max="1539" width="9.109375" style="1" customWidth="1"/>
    <col min="1540" max="1540" width="22.33203125" style="1" customWidth="1"/>
    <col min="1541" max="1541" width="12.77734375" style="1" customWidth="1"/>
    <col min="1542" max="1542" width="42" style="1" customWidth="1"/>
    <col min="1543" max="1543" width="25.109375" style="1" customWidth="1"/>
    <col min="1544" max="1544" width="12.21875" style="1" customWidth="1"/>
    <col min="1545" max="1545" width="14.21875" style="1" customWidth="1"/>
    <col min="1546" max="1549" width="7.6640625" style="1" customWidth="1"/>
    <col min="1550" max="1550" width="10.21875" style="1" customWidth="1"/>
    <col min="1551" max="1551" width="30.21875" style="1" customWidth="1"/>
    <col min="1552" max="1554" width="12.77734375" style="1" customWidth="1"/>
    <col min="1555" max="1555" width="12.21875" style="1" customWidth="1"/>
    <col min="1556" max="1556" width="13.33203125" style="1" customWidth="1"/>
    <col min="1557" max="1557" width="14.33203125" style="1" customWidth="1"/>
    <col min="1558" max="1562" width="12.21875" style="1" customWidth="1"/>
    <col min="1563" max="1792" width="8.88671875" style="1"/>
    <col min="1793" max="1793" width="5.109375" style="1" customWidth="1"/>
    <col min="1794" max="1794" width="12.33203125" style="1" customWidth="1"/>
    <col min="1795" max="1795" width="9.109375" style="1" customWidth="1"/>
    <col min="1796" max="1796" width="22.33203125" style="1" customWidth="1"/>
    <col min="1797" max="1797" width="12.77734375" style="1" customWidth="1"/>
    <col min="1798" max="1798" width="42" style="1" customWidth="1"/>
    <col min="1799" max="1799" width="25.109375" style="1" customWidth="1"/>
    <col min="1800" max="1800" width="12.21875" style="1" customWidth="1"/>
    <col min="1801" max="1801" width="14.21875" style="1" customWidth="1"/>
    <col min="1802" max="1805" width="7.6640625" style="1" customWidth="1"/>
    <col min="1806" max="1806" width="10.21875" style="1" customWidth="1"/>
    <col min="1807" max="1807" width="30.21875" style="1" customWidth="1"/>
    <col min="1808" max="1810" width="12.77734375" style="1" customWidth="1"/>
    <col min="1811" max="1811" width="12.21875" style="1" customWidth="1"/>
    <col min="1812" max="1812" width="13.33203125" style="1" customWidth="1"/>
    <col min="1813" max="1813" width="14.33203125" style="1" customWidth="1"/>
    <col min="1814" max="1818" width="12.21875" style="1" customWidth="1"/>
    <col min="1819" max="2048" width="8.88671875" style="1"/>
    <col min="2049" max="2049" width="5.109375" style="1" customWidth="1"/>
    <col min="2050" max="2050" width="12.33203125" style="1" customWidth="1"/>
    <col min="2051" max="2051" width="9.109375" style="1" customWidth="1"/>
    <col min="2052" max="2052" width="22.33203125" style="1" customWidth="1"/>
    <col min="2053" max="2053" width="12.77734375" style="1" customWidth="1"/>
    <col min="2054" max="2054" width="42" style="1" customWidth="1"/>
    <col min="2055" max="2055" width="25.109375" style="1" customWidth="1"/>
    <col min="2056" max="2056" width="12.21875" style="1" customWidth="1"/>
    <col min="2057" max="2057" width="14.21875" style="1" customWidth="1"/>
    <col min="2058" max="2061" width="7.6640625" style="1" customWidth="1"/>
    <col min="2062" max="2062" width="10.21875" style="1" customWidth="1"/>
    <col min="2063" max="2063" width="30.21875" style="1" customWidth="1"/>
    <col min="2064" max="2066" width="12.77734375" style="1" customWidth="1"/>
    <col min="2067" max="2067" width="12.21875" style="1" customWidth="1"/>
    <col min="2068" max="2068" width="13.33203125" style="1" customWidth="1"/>
    <col min="2069" max="2069" width="14.33203125" style="1" customWidth="1"/>
    <col min="2070" max="2074" width="12.21875" style="1" customWidth="1"/>
    <col min="2075" max="2304" width="8.88671875" style="1"/>
    <col min="2305" max="2305" width="5.109375" style="1" customWidth="1"/>
    <col min="2306" max="2306" width="12.33203125" style="1" customWidth="1"/>
    <col min="2307" max="2307" width="9.109375" style="1" customWidth="1"/>
    <col min="2308" max="2308" width="22.33203125" style="1" customWidth="1"/>
    <col min="2309" max="2309" width="12.77734375" style="1" customWidth="1"/>
    <col min="2310" max="2310" width="42" style="1" customWidth="1"/>
    <col min="2311" max="2311" width="25.109375" style="1" customWidth="1"/>
    <col min="2312" max="2312" width="12.21875" style="1" customWidth="1"/>
    <col min="2313" max="2313" width="14.21875" style="1" customWidth="1"/>
    <col min="2314" max="2317" width="7.6640625" style="1" customWidth="1"/>
    <col min="2318" max="2318" width="10.21875" style="1" customWidth="1"/>
    <col min="2319" max="2319" width="30.21875" style="1" customWidth="1"/>
    <col min="2320" max="2322" width="12.77734375" style="1" customWidth="1"/>
    <col min="2323" max="2323" width="12.21875" style="1" customWidth="1"/>
    <col min="2324" max="2324" width="13.33203125" style="1" customWidth="1"/>
    <col min="2325" max="2325" width="14.33203125" style="1" customWidth="1"/>
    <col min="2326" max="2330" width="12.21875" style="1" customWidth="1"/>
    <col min="2331" max="2560" width="8.88671875" style="1"/>
    <col min="2561" max="2561" width="5.109375" style="1" customWidth="1"/>
    <col min="2562" max="2562" width="12.33203125" style="1" customWidth="1"/>
    <col min="2563" max="2563" width="9.109375" style="1" customWidth="1"/>
    <col min="2564" max="2564" width="22.33203125" style="1" customWidth="1"/>
    <col min="2565" max="2565" width="12.77734375" style="1" customWidth="1"/>
    <col min="2566" max="2566" width="42" style="1" customWidth="1"/>
    <col min="2567" max="2567" width="25.109375" style="1" customWidth="1"/>
    <col min="2568" max="2568" width="12.21875" style="1" customWidth="1"/>
    <col min="2569" max="2569" width="14.21875" style="1" customWidth="1"/>
    <col min="2570" max="2573" width="7.6640625" style="1" customWidth="1"/>
    <col min="2574" max="2574" width="10.21875" style="1" customWidth="1"/>
    <col min="2575" max="2575" width="30.21875" style="1" customWidth="1"/>
    <col min="2576" max="2578" width="12.77734375" style="1" customWidth="1"/>
    <col min="2579" max="2579" width="12.21875" style="1" customWidth="1"/>
    <col min="2580" max="2580" width="13.33203125" style="1" customWidth="1"/>
    <col min="2581" max="2581" width="14.33203125" style="1" customWidth="1"/>
    <col min="2582" max="2586" width="12.21875" style="1" customWidth="1"/>
    <col min="2587" max="2816" width="8.88671875" style="1"/>
    <col min="2817" max="2817" width="5.109375" style="1" customWidth="1"/>
    <col min="2818" max="2818" width="12.33203125" style="1" customWidth="1"/>
    <col min="2819" max="2819" width="9.109375" style="1" customWidth="1"/>
    <col min="2820" max="2820" width="22.33203125" style="1" customWidth="1"/>
    <col min="2821" max="2821" width="12.77734375" style="1" customWidth="1"/>
    <col min="2822" max="2822" width="42" style="1" customWidth="1"/>
    <col min="2823" max="2823" width="25.109375" style="1" customWidth="1"/>
    <col min="2824" max="2824" width="12.21875" style="1" customWidth="1"/>
    <col min="2825" max="2825" width="14.21875" style="1" customWidth="1"/>
    <col min="2826" max="2829" width="7.6640625" style="1" customWidth="1"/>
    <col min="2830" max="2830" width="10.21875" style="1" customWidth="1"/>
    <col min="2831" max="2831" width="30.21875" style="1" customWidth="1"/>
    <col min="2832" max="2834" width="12.77734375" style="1" customWidth="1"/>
    <col min="2835" max="2835" width="12.21875" style="1" customWidth="1"/>
    <col min="2836" max="2836" width="13.33203125" style="1" customWidth="1"/>
    <col min="2837" max="2837" width="14.33203125" style="1" customWidth="1"/>
    <col min="2838" max="2842" width="12.21875" style="1" customWidth="1"/>
    <col min="2843" max="3072" width="8.88671875" style="1"/>
    <col min="3073" max="3073" width="5.109375" style="1" customWidth="1"/>
    <col min="3074" max="3074" width="12.33203125" style="1" customWidth="1"/>
    <col min="3075" max="3075" width="9.109375" style="1" customWidth="1"/>
    <col min="3076" max="3076" width="22.33203125" style="1" customWidth="1"/>
    <col min="3077" max="3077" width="12.77734375" style="1" customWidth="1"/>
    <col min="3078" max="3078" width="42" style="1" customWidth="1"/>
    <col min="3079" max="3079" width="25.109375" style="1" customWidth="1"/>
    <col min="3080" max="3080" width="12.21875" style="1" customWidth="1"/>
    <col min="3081" max="3081" width="14.21875" style="1" customWidth="1"/>
    <col min="3082" max="3085" width="7.6640625" style="1" customWidth="1"/>
    <col min="3086" max="3086" width="10.21875" style="1" customWidth="1"/>
    <col min="3087" max="3087" width="30.21875" style="1" customWidth="1"/>
    <col min="3088" max="3090" width="12.77734375" style="1" customWidth="1"/>
    <col min="3091" max="3091" width="12.21875" style="1" customWidth="1"/>
    <col min="3092" max="3092" width="13.33203125" style="1" customWidth="1"/>
    <col min="3093" max="3093" width="14.33203125" style="1" customWidth="1"/>
    <col min="3094" max="3098" width="12.21875" style="1" customWidth="1"/>
    <col min="3099" max="3328" width="8.88671875" style="1"/>
    <col min="3329" max="3329" width="5.109375" style="1" customWidth="1"/>
    <col min="3330" max="3330" width="12.33203125" style="1" customWidth="1"/>
    <col min="3331" max="3331" width="9.109375" style="1" customWidth="1"/>
    <col min="3332" max="3332" width="22.33203125" style="1" customWidth="1"/>
    <col min="3333" max="3333" width="12.77734375" style="1" customWidth="1"/>
    <col min="3334" max="3334" width="42" style="1" customWidth="1"/>
    <col min="3335" max="3335" width="25.109375" style="1" customWidth="1"/>
    <col min="3336" max="3336" width="12.21875" style="1" customWidth="1"/>
    <col min="3337" max="3337" width="14.21875" style="1" customWidth="1"/>
    <col min="3338" max="3341" width="7.6640625" style="1" customWidth="1"/>
    <col min="3342" max="3342" width="10.21875" style="1" customWidth="1"/>
    <col min="3343" max="3343" width="30.21875" style="1" customWidth="1"/>
    <col min="3344" max="3346" width="12.77734375" style="1" customWidth="1"/>
    <col min="3347" max="3347" width="12.21875" style="1" customWidth="1"/>
    <col min="3348" max="3348" width="13.33203125" style="1" customWidth="1"/>
    <col min="3349" max="3349" width="14.33203125" style="1" customWidth="1"/>
    <col min="3350" max="3354" width="12.21875" style="1" customWidth="1"/>
    <col min="3355" max="3584" width="8.88671875" style="1"/>
    <col min="3585" max="3585" width="5.109375" style="1" customWidth="1"/>
    <col min="3586" max="3586" width="12.33203125" style="1" customWidth="1"/>
    <col min="3587" max="3587" width="9.109375" style="1" customWidth="1"/>
    <col min="3588" max="3588" width="22.33203125" style="1" customWidth="1"/>
    <col min="3589" max="3589" width="12.77734375" style="1" customWidth="1"/>
    <col min="3590" max="3590" width="42" style="1" customWidth="1"/>
    <col min="3591" max="3591" width="25.109375" style="1" customWidth="1"/>
    <col min="3592" max="3592" width="12.21875" style="1" customWidth="1"/>
    <col min="3593" max="3593" width="14.21875" style="1" customWidth="1"/>
    <col min="3594" max="3597" width="7.6640625" style="1" customWidth="1"/>
    <col min="3598" max="3598" width="10.21875" style="1" customWidth="1"/>
    <col min="3599" max="3599" width="30.21875" style="1" customWidth="1"/>
    <col min="3600" max="3602" width="12.77734375" style="1" customWidth="1"/>
    <col min="3603" max="3603" width="12.21875" style="1" customWidth="1"/>
    <col min="3604" max="3604" width="13.33203125" style="1" customWidth="1"/>
    <col min="3605" max="3605" width="14.33203125" style="1" customWidth="1"/>
    <col min="3606" max="3610" width="12.21875" style="1" customWidth="1"/>
    <col min="3611" max="3840" width="8.88671875" style="1"/>
    <col min="3841" max="3841" width="5.109375" style="1" customWidth="1"/>
    <col min="3842" max="3842" width="12.33203125" style="1" customWidth="1"/>
    <col min="3843" max="3843" width="9.109375" style="1" customWidth="1"/>
    <col min="3844" max="3844" width="22.33203125" style="1" customWidth="1"/>
    <col min="3845" max="3845" width="12.77734375" style="1" customWidth="1"/>
    <col min="3846" max="3846" width="42" style="1" customWidth="1"/>
    <col min="3847" max="3847" width="25.109375" style="1" customWidth="1"/>
    <col min="3848" max="3848" width="12.21875" style="1" customWidth="1"/>
    <col min="3849" max="3849" width="14.21875" style="1" customWidth="1"/>
    <col min="3850" max="3853" width="7.6640625" style="1" customWidth="1"/>
    <col min="3854" max="3854" width="10.21875" style="1" customWidth="1"/>
    <col min="3855" max="3855" width="30.21875" style="1" customWidth="1"/>
    <col min="3856" max="3858" width="12.77734375" style="1" customWidth="1"/>
    <col min="3859" max="3859" width="12.21875" style="1" customWidth="1"/>
    <col min="3860" max="3860" width="13.33203125" style="1" customWidth="1"/>
    <col min="3861" max="3861" width="14.33203125" style="1" customWidth="1"/>
    <col min="3862" max="3866" width="12.21875" style="1" customWidth="1"/>
    <col min="3867" max="4096" width="8.88671875" style="1"/>
    <col min="4097" max="4097" width="5.109375" style="1" customWidth="1"/>
    <col min="4098" max="4098" width="12.33203125" style="1" customWidth="1"/>
    <col min="4099" max="4099" width="9.109375" style="1" customWidth="1"/>
    <col min="4100" max="4100" width="22.33203125" style="1" customWidth="1"/>
    <col min="4101" max="4101" width="12.77734375" style="1" customWidth="1"/>
    <col min="4102" max="4102" width="42" style="1" customWidth="1"/>
    <col min="4103" max="4103" width="25.109375" style="1" customWidth="1"/>
    <col min="4104" max="4104" width="12.21875" style="1" customWidth="1"/>
    <col min="4105" max="4105" width="14.21875" style="1" customWidth="1"/>
    <col min="4106" max="4109" width="7.6640625" style="1" customWidth="1"/>
    <col min="4110" max="4110" width="10.21875" style="1" customWidth="1"/>
    <col min="4111" max="4111" width="30.21875" style="1" customWidth="1"/>
    <col min="4112" max="4114" width="12.77734375" style="1" customWidth="1"/>
    <col min="4115" max="4115" width="12.21875" style="1" customWidth="1"/>
    <col min="4116" max="4116" width="13.33203125" style="1" customWidth="1"/>
    <col min="4117" max="4117" width="14.33203125" style="1" customWidth="1"/>
    <col min="4118" max="4122" width="12.21875" style="1" customWidth="1"/>
    <col min="4123" max="4352" width="8.88671875" style="1"/>
    <col min="4353" max="4353" width="5.109375" style="1" customWidth="1"/>
    <col min="4354" max="4354" width="12.33203125" style="1" customWidth="1"/>
    <col min="4355" max="4355" width="9.109375" style="1" customWidth="1"/>
    <col min="4356" max="4356" width="22.33203125" style="1" customWidth="1"/>
    <col min="4357" max="4357" width="12.77734375" style="1" customWidth="1"/>
    <col min="4358" max="4358" width="42" style="1" customWidth="1"/>
    <col min="4359" max="4359" width="25.109375" style="1" customWidth="1"/>
    <col min="4360" max="4360" width="12.21875" style="1" customWidth="1"/>
    <col min="4361" max="4361" width="14.21875" style="1" customWidth="1"/>
    <col min="4362" max="4365" width="7.6640625" style="1" customWidth="1"/>
    <col min="4366" max="4366" width="10.21875" style="1" customWidth="1"/>
    <col min="4367" max="4367" width="30.21875" style="1" customWidth="1"/>
    <col min="4368" max="4370" width="12.77734375" style="1" customWidth="1"/>
    <col min="4371" max="4371" width="12.21875" style="1" customWidth="1"/>
    <col min="4372" max="4372" width="13.33203125" style="1" customWidth="1"/>
    <col min="4373" max="4373" width="14.33203125" style="1" customWidth="1"/>
    <col min="4374" max="4378" width="12.21875" style="1" customWidth="1"/>
    <col min="4379" max="4608" width="8.88671875" style="1"/>
    <col min="4609" max="4609" width="5.109375" style="1" customWidth="1"/>
    <col min="4610" max="4610" width="12.33203125" style="1" customWidth="1"/>
    <col min="4611" max="4611" width="9.109375" style="1" customWidth="1"/>
    <col min="4612" max="4612" width="22.33203125" style="1" customWidth="1"/>
    <col min="4613" max="4613" width="12.77734375" style="1" customWidth="1"/>
    <col min="4614" max="4614" width="42" style="1" customWidth="1"/>
    <col min="4615" max="4615" width="25.109375" style="1" customWidth="1"/>
    <col min="4616" max="4616" width="12.21875" style="1" customWidth="1"/>
    <col min="4617" max="4617" width="14.21875" style="1" customWidth="1"/>
    <col min="4618" max="4621" width="7.6640625" style="1" customWidth="1"/>
    <col min="4622" max="4622" width="10.21875" style="1" customWidth="1"/>
    <col min="4623" max="4623" width="30.21875" style="1" customWidth="1"/>
    <col min="4624" max="4626" width="12.77734375" style="1" customWidth="1"/>
    <col min="4627" max="4627" width="12.21875" style="1" customWidth="1"/>
    <col min="4628" max="4628" width="13.33203125" style="1" customWidth="1"/>
    <col min="4629" max="4629" width="14.33203125" style="1" customWidth="1"/>
    <col min="4630" max="4634" width="12.21875" style="1" customWidth="1"/>
    <col min="4635" max="4864" width="8.88671875" style="1"/>
    <col min="4865" max="4865" width="5.109375" style="1" customWidth="1"/>
    <col min="4866" max="4866" width="12.33203125" style="1" customWidth="1"/>
    <col min="4867" max="4867" width="9.109375" style="1" customWidth="1"/>
    <col min="4868" max="4868" width="22.33203125" style="1" customWidth="1"/>
    <col min="4869" max="4869" width="12.77734375" style="1" customWidth="1"/>
    <col min="4870" max="4870" width="42" style="1" customWidth="1"/>
    <col min="4871" max="4871" width="25.109375" style="1" customWidth="1"/>
    <col min="4872" max="4872" width="12.21875" style="1" customWidth="1"/>
    <col min="4873" max="4873" width="14.21875" style="1" customWidth="1"/>
    <col min="4874" max="4877" width="7.6640625" style="1" customWidth="1"/>
    <col min="4878" max="4878" width="10.21875" style="1" customWidth="1"/>
    <col min="4879" max="4879" width="30.21875" style="1" customWidth="1"/>
    <col min="4880" max="4882" width="12.77734375" style="1" customWidth="1"/>
    <col min="4883" max="4883" width="12.21875" style="1" customWidth="1"/>
    <col min="4884" max="4884" width="13.33203125" style="1" customWidth="1"/>
    <col min="4885" max="4885" width="14.33203125" style="1" customWidth="1"/>
    <col min="4886" max="4890" width="12.21875" style="1" customWidth="1"/>
    <col min="4891" max="5120" width="8.88671875" style="1"/>
    <col min="5121" max="5121" width="5.109375" style="1" customWidth="1"/>
    <col min="5122" max="5122" width="12.33203125" style="1" customWidth="1"/>
    <col min="5123" max="5123" width="9.109375" style="1" customWidth="1"/>
    <col min="5124" max="5124" width="22.33203125" style="1" customWidth="1"/>
    <col min="5125" max="5125" width="12.77734375" style="1" customWidth="1"/>
    <col min="5126" max="5126" width="42" style="1" customWidth="1"/>
    <col min="5127" max="5127" width="25.109375" style="1" customWidth="1"/>
    <col min="5128" max="5128" width="12.21875" style="1" customWidth="1"/>
    <col min="5129" max="5129" width="14.21875" style="1" customWidth="1"/>
    <col min="5130" max="5133" width="7.6640625" style="1" customWidth="1"/>
    <col min="5134" max="5134" width="10.21875" style="1" customWidth="1"/>
    <col min="5135" max="5135" width="30.21875" style="1" customWidth="1"/>
    <col min="5136" max="5138" width="12.77734375" style="1" customWidth="1"/>
    <col min="5139" max="5139" width="12.21875" style="1" customWidth="1"/>
    <col min="5140" max="5140" width="13.33203125" style="1" customWidth="1"/>
    <col min="5141" max="5141" width="14.33203125" style="1" customWidth="1"/>
    <col min="5142" max="5146" width="12.21875" style="1" customWidth="1"/>
    <col min="5147" max="5376" width="8.88671875" style="1"/>
    <col min="5377" max="5377" width="5.109375" style="1" customWidth="1"/>
    <col min="5378" max="5378" width="12.33203125" style="1" customWidth="1"/>
    <col min="5379" max="5379" width="9.109375" style="1" customWidth="1"/>
    <col min="5380" max="5380" width="22.33203125" style="1" customWidth="1"/>
    <col min="5381" max="5381" width="12.77734375" style="1" customWidth="1"/>
    <col min="5382" max="5382" width="42" style="1" customWidth="1"/>
    <col min="5383" max="5383" width="25.109375" style="1" customWidth="1"/>
    <col min="5384" max="5384" width="12.21875" style="1" customWidth="1"/>
    <col min="5385" max="5385" width="14.21875" style="1" customWidth="1"/>
    <col min="5386" max="5389" width="7.6640625" style="1" customWidth="1"/>
    <col min="5390" max="5390" width="10.21875" style="1" customWidth="1"/>
    <col min="5391" max="5391" width="30.21875" style="1" customWidth="1"/>
    <col min="5392" max="5394" width="12.77734375" style="1" customWidth="1"/>
    <col min="5395" max="5395" width="12.21875" style="1" customWidth="1"/>
    <col min="5396" max="5396" width="13.33203125" style="1" customWidth="1"/>
    <col min="5397" max="5397" width="14.33203125" style="1" customWidth="1"/>
    <col min="5398" max="5402" width="12.21875" style="1" customWidth="1"/>
    <col min="5403" max="5632" width="8.88671875" style="1"/>
    <col min="5633" max="5633" width="5.109375" style="1" customWidth="1"/>
    <col min="5634" max="5634" width="12.33203125" style="1" customWidth="1"/>
    <col min="5635" max="5635" width="9.109375" style="1" customWidth="1"/>
    <col min="5636" max="5636" width="22.33203125" style="1" customWidth="1"/>
    <col min="5637" max="5637" width="12.77734375" style="1" customWidth="1"/>
    <col min="5638" max="5638" width="42" style="1" customWidth="1"/>
    <col min="5639" max="5639" width="25.109375" style="1" customWidth="1"/>
    <col min="5640" max="5640" width="12.21875" style="1" customWidth="1"/>
    <col min="5641" max="5641" width="14.21875" style="1" customWidth="1"/>
    <col min="5642" max="5645" width="7.6640625" style="1" customWidth="1"/>
    <col min="5646" max="5646" width="10.21875" style="1" customWidth="1"/>
    <col min="5647" max="5647" width="30.21875" style="1" customWidth="1"/>
    <col min="5648" max="5650" width="12.77734375" style="1" customWidth="1"/>
    <col min="5651" max="5651" width="12.21875" style="1" customWidth="1"/>
    <col min="5652" max="5652" width="13.33203125" style="1" customWidth="1"/>
    <col min="5653" max="5653" width="14.33203125" style="1" customWidth="1"/>
    <col min="5654" max="5658" width="12.21875" style="1" customWidth="1"/>
    <col min="5659" max="5888" width="8.88671875" style="1"/>
    <col min="5889" max="5889" width="5.109375" style="1" customWidth="1"/>
    <col min="5890" max="5890" width="12.33203125" style="1" customWidth="1"/>
    <col min="5891" max="5891" width="9.109375" style="1" customWidth="1"/>
    <col min="5892" max="5892" width="22.33203125" style="1" customWidth="1"/>
    <col min="5893" max="5893" width="12.77734375" style="1" customWidth="1"/>
    <col min="5894" max="5894" width="42" style="1" customWidth="1"/>
    <col min="5895" max="5895" width="25.109375" style="1" customWidth="1"/>
    <col min="5896" max="5896" width="12.21875" style="1" customWidth="1"/>
    <col min="5897" max="5897" width="14.21875" style="1" customWidth="1"/>
    <col min="5898" max="5901" width="7.6640625" style="1" customWidth="1"/>
    <col min="5902" max="5902" width="10.21875" style="1" customWidth="1"/>
    <col min="5903" max="5903" width="30.21875" style="1" customWidth="1"/>
    <col min="5904" max="5906" width="12.77734375" style="1" customWidth="1"/>
    <col min="5907" max="5907" width="12.21875" style="1" customWidth="1"/>
    <col min="5908" max="5908" width="13.33203125" style="1" customWidth="1"/>
    <col min="5909" max="5909" width="14.33203125" style="1" customWidth="1"/>
    <col min="5910" max="5914" width="12.21875" style="1" customWidth="1"/>
    <col min="5915" max="6144" width="8.88671875" style="1"/>
    <col min="6145" max="6145" width="5.109375" style="1" customWidth="1"/>
    <col min="6146" max="6146" width="12.33203125" style="1" customWidth="1"/>
    <col min="6147" max="6147" width="9.109375" style="1" customWidth="1"/>
    <col min="6148" max="6148" width="22.33203125" style="1" customWidth="1"/>
    <col min="6149" max="6149" width="12.77734375" style="1" customWidth="1"/>
    <col min="6150" max="6150" width="42" style="1" customWidth="1"/>
    <col min="6151" max="6151" width="25.109375" style="1" customWidth="1"/>
    <col min="6152" max="6152" width="12.21875" style="1" customWidth="1"/>
    <col min="6153" max="6153" width="14.21875" style="1" customWidth="1"/>
    <col min="6154" max="6157" width="7.6640625" style="1" customWidth="1"/>
    <col min="6158" max="6158" width="10.21875" style="1" customWidth="1"/>
    <col min="6159" max="6159" width="30.21875" style="1" customWidth="1"/>
    <col min="6160" max="6162" width="12.77734375" style="1" customWidth="1"/>
    <col min="6163" max="6163" width="12.21875" style="1" customWidth="1"/>
    <col min="6164" max="6164" width="13.33203125" style="1" customWidth="1"/>
    <col min="6165" max="6165" width="14.33203125" style="1" customWidth="1"/>
    <col min="6166" max="6170" width="12.21875" style="1" customWidth="1"/>
    <col min="6171" max="6400" width="8.88671875" style="1"/>
    <col min="6401" max="6401" width="5.109375" style="1" customWidth="1"/>
    <col min="6402" max="6402" width="12.33203125" style="1" customWidth="1"/>
    <col min="6403" max="6403" width="9.109375" style="1" customWidth="1"/>
    <col min="6404" max="6404" width="22.33203125" style="1" customWidth="1"/>
    <col min="6405" max="6405" width="12.77734375" style="1" customWidth="1"/>
    <col min="6406" max="6406" width="42" style="1" customWidth="1"/>
    <col min="6407" max="6407" width="25.109375" style="1" customWidth="1"/>
    <col min="6408" max="6408" width="12.21875" style="1" customWidth="1"/>
    <col min="6409" max="6409" width="14.21875" style="1" customWidth="1"/>
    <col min="6410" max="6413" width="7.6640625" style="1" customWidth="1"/>
    <col min="6414" max="6414" width="10.21875" style="1" customWidth="1"/>
    <col min="6415" max="6415" width="30.21875" style="1" customWidth="1"/>
    <col min="6416" max="6418" width="12.77734375" style="1" customWidth="1"/>
    <col min="6419" max="6419" width="12.21875" style="1" customWidth="1"/>
    <col min="6420" max="6420" width="13.33203125" style="1" customWidth="1"/>
    <col min="6421" max="6421" width="14.33203125" style="1" customWidth="1"/>
    <col min="6422" max="6426" width="12.21875" style="1" customWidth="1"/>
    <col min="6427" max="6656" width="8.88671875" style="1"/>
    <col min="6657" max="6657" width="5.109375" style="1" customWidth="1"/>
    <col min="6658" max="6658" width="12.33203125" style="1" customWidth="1"/>
    <col min="6659" max="6659" width="9.109375" style="1" customWidth="1"/>
    <col min="6660" max="6660" width="22.33203125" style="1" customWidth="1"/>
    <col min="6661" max="6661" width="12.77734375" style="1" customWidth="1"/>
    <col min="6662" max="6662" width="42" style="1" customWidth="1"/>
    <col min="6663" max="6663" width="25.109375" style="1" customWidth="1"/>
    <col min="6664" max="6664" width="12.21875" style="1" customWidth="1"/>
    <col min="6665" max="6665" width="14.21875" style="1" customWidth="1"/>
    <col min="6666" max="6669" width="7.6640625" style="1" customWidth="1"/>
    <col min="6670" max="6670" width="10.21875" style="1" customWidth="1"/>
    <col min="6671" max="6671" width="30.21875" style="1" customWidth="1"/>
    <col min="6672" max="6674" width="12.77734375" style="1" customWidth="1"/>
    <col min="6675" max="6675" width="12.21875" style="1" customWidth="1"/>
    <col min="6676" max="6676" width="13.33203125" style="1" customWidth="1"/>
    <col min="6677" max="6677" width="14.33203125" style="1" customWidth="1"/>
    <col min="6678" max="6682" width="12.21875" style="1" customWidth="1"/>
    <col min="6683" max="6912" width="8.88671875" style="1"/>
    <col min="6913" max="6913" width="5.109375" style="1" customWidth="1"/>
    <col min="6914" max="6914" width="12.33203125" style="1" customWidth="1"/>
    <col min="6915" max="6915" width="9.109375" style="1" customWidth="1"/>
    <col min="6916" max="6916" width="22.33203125" style="1" customWidth="1"/>
    <col min="6917" max="6917" width="12.77734375" style="1" customWidth="1"/>
    <col min="6918" max="6918" width="42" style="1" customWidth="1"/>
    <col min="6919" max="6919" width="25.109375" style="1" customWidth="1"/>
    <col min="6920" max="6920" width="12.21875" style="1" customWidth="1"/>
    <col min="6921" max="6921" width="14.21875" style="1" customWidth="1"/>
    <col min="6922" max="6925" width="7.6640625" style="1" customWidth="1"/>
    <col min="6926" max="6926" width="10.21875" style="1" customWidth="1"/>
    <col min="6927" max="6927" width="30.21875" style="1" customWidth="1"/>
    <col min="6928" max="6930" width="12.77734375" style="1" customWidth="1"/>
    <col min="6931" max="6931" width="12.21875" style="1" customWidth="1"/>
    <col min="6932" max="6932" width="13.33203125" style="1" customWidth="1"/>
    <col min="6933" max="6933" width="14.33203125" style="1" customWidth="1"/>
    <col min="6934" max="6938" width="12.21875" style="1" customWidth="1"/>
    <col min="6939" max="7168" width="8.88671875" style="1"/>
    <col min="7169" max="7169" width="5.109375" style="1" customWidth="1"/>
    <col min="7170" max="7170" width="12.33203125" style="1" customWidth="1"/>
    <col min="7171" max="7171" width="9.109375" style="1" customWidth="1"/>
    <col min="7172" max="7172" width="22.33203125" style="1" customWidth="1"/>
    <col min="7173" max="7173" width="12.77734375" style="1" customWidth="1"/>
    <col min="7174" max="7174" width="42" style="1" customWidth="1"/>
    <col min="7175" max="7175" width="25.109375" style="1" customWidth="1"/>
    <col min="7176" max="7176" width="12.21875" style="1" customWidth="1"/>
    <col min="7177" max="7177" width="14.21875" style="1" customWidth="1"/>
    <col min="7178" max="7181" width="7.6640625" style="1" customWidth="1"/>
    <col min="7182" max="7182" width="10.21875" style="1" customWidth="1"/>
    <col min="7183" max="7183" width="30.21875" style="1" customWidth="1"/>
    <col min="7184" max="7186" width="12.77734375" style="1" customWidth="1"/>
    <col min="7187" max="7187" width="12.21875" style="1" customWidth="1"/>
    <col min="7188" max="7188" width="13.33203125" style="1" customWidth="1"/>
    <col min="7189" max="7189" width="14.33203125" style="1" customWidth="1"/>
    <col min="7190" max="7194" width="12.21875" style="1" customWidth="1"/>
    <col min="7195" max="7424" width="8.88671875" style="1"/>
    <col min="7425" max="7425" width="5.109375" style="1" customWidth="1"/>
    <col min="7426" max="7426" width="12.33203125" style="1" customWidth="1"/>
    <col min="7427" max="7427" width="9.109375" style="1" customWidth="1"/>
    <col min="7428" max="7428" width="22.33203125" style="1" customWidth="1"/>
    <col min="7429" max="7429" width="12.77734375" style="1" customWidth="1"/>
    <col min="7430" max="7430" width="42" style="1" customWidth="1"/>
    <col min="7431" max="7431" width="25.109375" style="1" customWidth="1"/>
    <col min="7432" max="7432" width="12.21875" style="1" customWidth="1"/>
    <col min="7433" max="7433" width="14.21875" style="1" customWidth="1"/>
    <col min="7434" max="7437" width="7.6640625" style="1" customWidth="1"/>
    <col min="7438" max="7438" width="10.21875" style="1" customWidth="1"/>
    <col min="7439" max="7439" width="30.21875" style="1" customWidth="1"/>
    <col min="7440" max="7442" width="12.77734375" style="1" customWidth="1"/>
    <col min="7443" max="7443" width="12.21875" style="1" customWidth="1"/>
    <col min="7444" max="7444" width="13.33203125" style="1" customWidth="1"/>
    <col min="7445" max="7445" width="14.33203125" style="1" customWidth="1"/>
    <col min="7446" max="7450" width="12.21875" style="1" customWidth="1"/>
    <col min="7451" max="7680" width="8.88671875" style="1"/>
    <col min="7681" max="7681" width="5.109375" style="1" customWidth="1"/>
    <col min="7682" max="7682" width="12.33203125" style="1" customWidth="1"/>
    <col min="7683" max="7683" width="9.109375" style="1" customWidth="1"/>
    <col min="7684" max="7684" width="22.33203125" style="1" customWidth="1"/>
    <col min="7685" max="7685" width="12.77734375" style="1" customWidth="1"/>
    <col min="7686" max="7686" width="42" style="1" customWidth="1"/>
    <col min="7687" max="7687" width="25.109375" style="1" customWidth="1"/>
    <col min="7688" max="7688" width="12.21875" style="1" customWidth="1"/>
    <col min="7689" max="7689" width="14.21875" style="1" customWidth="1"/>
    <col min="7690" max="7693" width="7.6640625" style="1" customWidth="1"/>
    <col min="7694" max="7694" width="10.21875" style="1" customWidth="1"/>
    <col min="7695" max="7695" width="30.21875" style="1" customWidth="1"/>
    <col min="7696" max="7698" width="12.77734375" style="1" customWidth="1"/>
    <col min="7699" max="7699" width="12.21875" style="1" customWidth="1"/>
    <col min="7700" max="7700" width="13.33203125" style="1" customWidth="1"/>
    <col min="7701" max="7701" width="14.33203125" style="1" customWidth="1"/>
    <col min="7702" max="7706" width="12.21875" style="1" customWidth="1"/>
    <col min="7707" max="7936" width="8.88671875" style="1"/>
    <col min="7937" max="7937" width="5.109375" style="1" customWidth="1"/>
    <col min="7938" max="7938" width="12.33203125" style="1" customWidth="1"/>
    <col min="7939" max="7939" width="9.109375" style="1" customWidth="1"/>
    <col min="7940" max="7940" width="22.33203125" style="1" customWidth="1"/>
    <col min="7941" max="7941" width="12.77734375" style="1" customWidth="1"/>
    <col min="7942" max="7942" width="42" style="1" customWidth="1"/>
    <col min="7943" max="7943" width="25.109375" style="1" customWidth="1"/>
    <col min="7944" max="7944" width="12.21875" style="1" customWidth="1"/>
    <col min="7945" max="7945" width="14.21875" style="1" customWidth="1"/>
    <col min="7946" max="7949" width="7.6640625" style="1" customWidth="1"/>
    <col min="7950" max="7950" width="10.21875" style="1" customWidth="1"/>
    <col min="7951" max="7951" width="30.21875" style="1" customWidth="1"/>
    <col min="7952" max="7954" width="12.77734375" style="1" customWidth="1"/>
    <col min="7955" max="7955" width="12.21875" style="1" customWidth="1"/>
    <col min="7956" max="7956" width="13.33203125" style="1" customWidth="1"/>
    <col min="7957" max="7957" width="14.33203125" style="1" customWidth="1"/>
    <col min="7958" max="7962" width="12.21875" style="1" customWidth="1"/>
    <col min="7963" max="8192" width="8.88671875" style="1"/>
    <col min="8193" max="8193" width="5.109375" style="1" customWidth="1"/>
    <col min="8194" max="8194" width="12.33203125" style="1" customWidth="1"/>
    <col min="8195" max="8195" width="9.109375" style="1" customWidth="1"/>
    <col min="8196" max="8196" width="22.33203125" style="1" customWidth="1"/>
    <col min="8197" max="8197" width="12.77734375" style="1" customWidth="1"/>
    <col min="8198" max="8198" width="42" style="1" customWidth="1"/>
    <col min="8199" max="8199" width="25.109375" style="1" customWidth="1"/>
    <col min="8200" max="8200" width="12.21875" style="1" customWidth="1"/>
    <col min="8201" max="8201" width="14.21875" style="1" customWidth="1"/>
    <col min="8202" max="8205" width="7.6640625" style="1" customWidth="1"/>
    <col min="8206" max="8206" width="10.21875" style="1" customWidth="1"/>
    <col min="8207" max="8207" width="30.21875" style="1" customWidth="1"/>
    <col min="8208" max="8210" width="12.77734375" style="1" customWidth="1"/>
    <col min="8211" max="8211" width="12.21875" style="1" customWidth="1"/>
    <col min="8212" max="8212" width="13.33203125" style="1" customWidth="1"/>
    <col min="8213" max="8213" width="14.33203125" style="1" customWidth="1"/>
    <col min="8214" max="8218" width="12.21875" style="1" customWidth="1"/>
    <col min="8219" max="8448" width="8.88671875" style="1"/>
    <col min="8449" max="8449" width="5.109375" style="1" customWidth="1"/>
    <col min="8450" max="8450" width="12.33203125" style="1" customWidth="1"/>
    <col min="8451" max="8451" width="9.109375" style="1" customWidth="1"/>
    <col min="8452" max="8452" width="22.33203125" style="1" customWidth="1"/>
    <col min="8453" max="8453" width="12.77734375" style="1" customWidth="1"/>
    <col min="8454" max="8454" width="42" style="1" customWidth="1"/>
    <col min="8455" max="8455" width="25.109375" style="1" customWidth="1"/>
    <col min="8456" max="8456" width="12.21875" style="1" customWidth="1"/>
    <col min="8457" max="8457" width="14.21875" style="1" customWidth="1"/>
    <col min="8458" max="8461" width="7.6640625" style="1" customWidth="1"/>
    <col min="8462" max="8462" width="10.21875" style="1" customWidth="1"/>
    <col min="8463" max="8463" width="30.21875" style="1" customWidth="1"/>
    <col min="8464" max="8466" width="12.77734375" style="1" customWidth="1"/>
    <col min="8467" max="8467" width="12.21875" style="1" customWidth="1"/>
    <col min="8468" max="8468" width="13.33203125" style="1" customWidth="1"/>
    <col min="8469" max="8469" width="14.33203125" style="1" customWidth="1"/>
    <col min="8470" max="8474" width="12.21875" style="1" customWidth="1"/>
    <col min="8475" max="8704" width="8.88671875" style="1"/>
    <col min="8705" max="8705" width="5.109375" style="1" customWidth="1"/>
    <col min="8706" max="8706" width="12.33203125" style="1" customWidth="1"/>
    <col min="8707" max="8707" width="9.109375" style="1" customWidth="1"/>
    <col min="8708" max="8708" width="22.33203125" style="1" customWidth="1"/>
    <col min="8709" max="8709" width="12.77734375" style="1" customWidth="1"/>
    <col min="8710" max="8710" width="42" style="1" customWidth="1"/>
    <col min="8711" max="8711" width="25.109375" style="1" customWidth="1"/>
    <col min="8712" max="8712" width="12.21875" style="1" customWidth="1"/>
    <col min="8713" max="8713" width="14.21875" style="1" customWidth="1"/>
    <col min="8714" max="8717" width="7.6640625" style="1" customWidth="1"/>
    <col min="8718" max="8718" width="10.21875" style="1" customWidth="1"/>
    <col min="8719" max="8719" width="30.21875" style="1" customWidth="1"/>
    <col min="8720" max="8722" width="12.77734375" style="1" customWidth="1"/>
    <col min="8723" max="8723" width="12.21875" style="1" customWidth="1"/>
    <col min="8724" max="8724" width="13.33203125" style="1" customWidth="1"/>
    <col min="8725" max="8725" width="14.33203125" style="1" customWidth="1"/>
    <col min="8726" max="8730" width="12.21875" style="1" customWidth="1"/>
    <col min="8731" max="8960" width="8.88671875" style="1"/>
    <col min="8961" max="8961" width="5.109375" style="1" customWidth="1"/>
    <col min="8962" max="8962" width="12.33203125" style="1" customWidth="1"/>
    <col min="8963" max="8963" width="9.109375" style="1" customWidth="1"/>
    <col min="8964" max="8964" width="22.33203125" style="1" customWidth="1"/>
    <col min="8965" max="8965" width="12.77734375" style="1" customWidth="1"/>
    <col min="8966" max="8966" width="42" style="1" customWidth="1"/>
    <col min="8967" max="8967" width="25.109375" style="1" customWidth="1"/>
    <col min="8968" max="8968" width="12.21875" style="1" customWidth="1"/>
    <col min="8969" max="8969" width="14.21875" style="1" customWidth="1"/>
    <col min="8970" max="8973" width="7.6640625" style="1" customWidth="1"/>
    <col min="8974" max="8974" width="10.21875" style="1" customWidth="1"/>
    <col min="8975" max="8975" width="30.21875" style="1" customWidth="1"/>
    <col min="8976" max="8978" width="12.77734375" style="1" customWidth="1"/>
    <col min="8979" max="8979" width="12.21875" style="1" customWidth="1"/>
    <col min="8980" max="8980" width="13.33203125" style="1" customWidth="1"/>
    <col min="8981" max="8981" width="14.33203125" style="1" customWidth="1"/>
    <col min="8982" max="8986" width="12.21875" style="1" customWidth="1"/>
    <col min="8987" max="9216" width="8.88671875" style="1"/>
    <col min="9217" max="9217" width="5.109375" style="1" customWidth="1"/>
    <col min="9218" max="9218" width="12.33203125" style="1" customWidth="1"/>
    <col min="9219" max="9219" width="9.109375" style="1" customWidth="1"/>
    <col min="9220" max="9220" width="22.33203125" style="1" customWidth="1"/>
    <col min="9221" max="9221" width="12.77734375" style="1" customWidth="1"/>
    <col min="9222" max="9222" width="42" style="1" customWidth="1"/>
    <col min="9223" max="9223" width="25.109375" style="1" customWidth="1"/>
    <col min="9224" max="9224" width="12.21875" style="1" customWidth="1"/>
    <col min="9225" max="9225" width="14.21875" style="1" customWidth="1"/>
    <col min="9226" max="9229" width="7.6640625" style="1" customWidth="1"/>
    <col min="9230" max="9230" width="10.21875" style="1" customWidth="1"/>
    <col min="9231" max="9231" width="30.21875" style="1" customWidth="1"/>
    <col min="9232" max="9234" width="12.77734375" style="1" customWidth="1"/>
    <col min="9235" max="9235" width="12.21875" style="1" customWidth="1"/>
    <col min="9236" max="9236" width="13.33203125" style="1" customWidth="1"/>
    <col min="9237" max="9237" width="14.33203125" style="1" customWidth="1"/>
    <col min="9238" max="9242" width="12.21875" style="1" customWidth="1"/>
    <col min="9243" max="9472" width="8.88671875" style="1"/>
    <col min="9473" max="9473" width="5.109375" style="1" customWidth="1"/>
    <col min="9474" max="9474" width="12.33203125" style="1" customWidth="1"/>
    <col min="9475" max="9475" width="9.109375" style="1" customWidth="1"/>
    <col min="9476" max="9476" width="22.33203125" style="1" customWidth="1"/>
    <col min="9477" max="9477" width="12.77734375" style="1" customWidth="1"/>
    <col min="9478" max="9478" width="42" style="1" customWidth="1"/>
    <col min="9479" max="9479" width="25.109375" style="1" customWidth="1"/>
    <col min="9480" max="9480" width="12.21875" style="1" customWidth="1"/>
    <col min="9481" max="9481" width="14.21875" style="1" customWidth="1"/>
    <col min="9482" max="9485" width="7.6640625" style="1" customWidth="1"/>
    <col min="9486" max="9486" width="10.21875" style="1" customWidth="1"/>
    <col min="9487" max="9487" width="30.21875" style="1" customWidth="1"/>
    <col min="9488" max="9490" width="12.77734375" style="1" customWidth="1"/>
    <col min="9491" max="9491" width="12.21875" style="1" customWidth="1"/>
    <col min="9492" max="9492" width="13.33203125" style="1" customWidth="1"/>
    <col min="9493" max="9493" width="14.33203125" style="1" customWidth="1"/>
    <col min="9494" max="9498" width="12.21875" style="1" customWidth="1"/>
    <col min="9499" max="9728" width="8.88671875" style="1"/>
    <col min="9729" max="9729" width="5.109375" style="1" customWidth="1"/>
    <col min="9730" max="9730" width="12.33203125" style="1" customWidth="1"/>
    <col min="9731" max="9731" width="9.109375" style="1" customWidth="1"/>
    <col min="9732" max="9732" width="22.33203125" style="1" customWidth="1"/>
    <col min="9733" max="9733" width="12.77734375" style="1" customWidth="1"/>
    <col min="9734" max="9734" width="42" style="1" customWidth="1"/>
    <col min="9735" max="9735" width="25.109375" style="1" customWidth="1"/>
    <col min="9736" max="9736" width="12.21875" style="1" customWidth="1"/>
    <col min="9737" max="9737" width="14.21875" style="1" customWidth="1"/>
    <col min="9738" max="9741" width="7.6640625" style="1" customWidth="1"/>
    <col min="9742" max="9742" width="10.21875" style="1" customWidth="1"/>
    <col min="9743" max="9743" width="30.21875" style="1" customWidth="1"/>
    <col min="9744" max="9746" width="12.77734375" style="1" customWidth="1"/>
    <col min="9747" max="9747" width="12.21875" style="1" customWidth="1"/>
    <col min="9748" max="9748" width="13.33203125" style="1" customWidth="1"/>
    <col min="9749" max="9749" width="14.33203125" style="1" customWidth="1"/>
    <col min="9750" max="9754" width="12.21875" style="1" customWidth="1"/>
    <col min="9755" max="9984" width="8.88671875" style="1"/>
    <col min="9985" max="9985" width="5.109375" style="1" customWidth="1"/>
    <col min="9986" max="9986" width="12.33203125" style="1" customWidth="1"/>
    <col min="9987" max="9987" width="9.109375" style="1" customWidth="1"/>
    <col min="9988" max="9988" width="22.33203125" style="1" customWidth="1"/>
    <col min="9989" max="9989" width="12.77734375" style="1" customWidth="1"/>
    <col min="9990" max="9990" width="42" style="1" customWidth="1"/>
    <col min="9991" max="9991" width="25.109375" style="1" customWidth="1"/>
    <col min="9992" max="9992" width="12.21875" style="1" customWidth="1"/>
    <col min="9993" max="9993" width="14.21875" style="1" customWidth="1"/>
    <col min="9994" max="9997" width="7.6640625" style="1" customWidth="1"/>
    <col min="9998" max="9998" width="10.21875" style="1" customWidth="1"/>
    <col min="9999" max="9999" width="30.21875" style="1" customWidth="1"/>
    <col min="10000" max="10002" width="12.77734375" style="1" customWidth="1"/>
    <col min="10003" max="10003" width="12.21875" style="1" customWidth="1"/>
    <col min="10004" max="10004" width="13.33203125" style="1" customWidth="1"/>
    <col min="10005" max="10005" width="14.33203125" style="1" customWidth="1"/>
    <col min="10006" max="10010" width="12.21875" style="1" customWidth="1"/>
    <col min="10011" max="10240" width="8.88671875" style="1"/>
    <col min="10241" max="10241" width="5.109375" style="1" customWidth="1"/>
    <col min="10242" max="10242" width="12.33203125" style="1" customWidth="1"/>
    <col min="10243" max="10243" width="9.109375" style="1" customWidth="1"/>
    <col min="10244" max="10244" width="22.33203125" style="1" customWidth="1"/>
    <col min="10245" max="10245" width="12.77734375" style="1" customWidth="1"/>
    <col min="10246" max="10246" width="42" style="1" customWidth="1"/>
    <col min="10247" max="10247" width="25.109375" style="1" customWidth="1"/>
    <col min="10248" max="10248" width="12.21875" style="1" customWidth="1"/>
    <col min="10249" max="10249" width="14.21875" style="1" customWidth="1"/>
    <col min="10250" max="10253" width="7.6640625" style="1" customWidth="1"/>
    <col min="10254" max="10254" width="10.21875" style="1" customWidth="1"/>
    <col min="10255" max="10255" width="30.21875" style="1" customWidth="1"/>
    <col min="10256" max="10258" width="12.77734375" style="1" customWidth="1"/>
    <col min="10259" max="10259" width="12.21875" style="1" customWidth="1"/>
    <col min="10260" max="10260" width="13.33203125" style="1" customWidth="1"/>
    <col min="10261" max="10261" width="14.33203125" style="1" customWidth="1"/>
    <col min="10262" max="10266" width="12.21875" style="1" customWidth="1"/>
    <col min="10267" max="10496" width="8.88671875" style="1"/>
    <col min="10497" max="10497" width="5.109375" style="1" customWidth="1"/>
    <col min="10498" max="10498" width="12.33203125" style="1" customWidth="1"/>
    <col min="10499" max="10499" width="9.109375" style="1" customWidth="1"/>
    <col min="10500" max="10500" width="22.33203125" style="1" customWidth="1"/>
    <col min="10501" max="10501" width="12.77734375" style="1" customWidth="1"/>
    <col min="10502" max="10502" width="42" style="1" customWidth="1"/>
    <col min="10503" max="10503" width="25.109375" style="1" customWidth="1"/>
    <col min="10504" max="10504" width="12.21875" style="1" customWidth="1"/>
    <col min="10505" max="10505" width="14.21875" style="1" customWidth="1"/>
    <col min="10506" max="10509" width="7.6640625" style="1" customWidth="1"/>
    <col min="10510" max="10510" width="10.21875" style="1" customWidth="1"/>
    <col min="10511" max="10511" width="30.21875" style="1" customWidth="1"/>
    <col min="10512" max="10514" width="12.77734375" style="1" customWidth="1"/>
    <col min="10515" max="10515" width="12.21875" style="1" customWidth="1"/>
    <col min="10516" max="10516" width="13.33203125" style="1" customWidth="1"/>
    <col min="10517" max="10517" width="14.33203125" style="1" customWidth="1"/>
    <col min="10518" max="10522" width="12.21875" style="1" customWidth="1"/>
    <col min="10523" max="10752" width="8.88671875" style="1"/>
    <col min="10753" max="10753" width="5.109375" style="1" customWidth="1"/>
    <col min="10754" max="10754" width="12.33203125" style="1" customWidth="1"/>
    <col min="10755" max="10755" width="9.109375" style="1" customWidth="1"/>
    <col min="10756" max="10756" width="22.33203125" style="1" customWidth="1"/>
    <col min="10757" max="10757" width="12.77734375" style="1" customWidth="1"/>
    <col min="10758" max="10758" width="42" style="1" customWidth="1"/>
    <col min="10759" max="10759" width="25.109375" style="1" customWidth="1"/>
    <col min="10760" max="10760" width="12.21875" style="1" customWidth="1"/>
    <col min="10761" max="10761" width="14.21875" style="1" customWidth="1"/>
    <col min="10762" max="10765" width="7.6640625" style="1" customWidth="1"/>
    <col min="10766" max="10766" width="10.21875" style="1" customWidth="1"/>
    <col min="10767" max="10767" width="30.21875" style="1" customWidth="1"/>
    <col min="10768" max="10770" width="12.77734375" style="1" customWidth="1"/>
    <col min="10771" max="10771" width="12.21875" style="1" customWidth="1"/>
    <col min="10772" max="10772" width="13.33203125" style="1" customWidth="1"/>
    <col min="10773" max="10773" width="14.33203125" style="1" customWidth="1"/>
    <col min="10774" max="10778" width="12.21875" style="1" customWidth="1"/>
    <col min="10779" max="11008" width="8.88671875" style="1"/>
    <col min="11009" max="11009" width="5.109375" style="1" customWidth="1"/>
    <col min="11010" max="11010" width="12.33203125" style="1" customWidth="1"/>
    <col min="11011" max="11011" width="9.109375" style="1" customWidth="1"/>
    <col min="11012" max="11012" width="22.33203125" style="1" customWidth="1"/>
    <col min="11013" max="11013" width="12.77734375" style="1" customWidth="1"/>
    <col min="11014" max="11014" width="42" style="1" customWidth="1"/>
    <col min="11015" max="11015" width="25.109375" style="1" customWidth="1"/>
    <col min="11016" max="11016" width="12.21875" style="1" customWidth="1"/>
    <col min="11017" max="11017" width="14.21875" style="1" customWidth="1"/>
    <col min="11018" max="11021" width="7.6640625" style="1" customWidth="1"/>
    <col min="11022" max="11022" width="10.21875" style="1" customWidth="1"/>
    <col min="11023" max="11023" width="30.21875" style="1" customWidth="1"/>
    <col min="11024" max="11026" width="12.77734375" style="1" customWidth="1"/>
    <col min="11027" max="11027" width="12.21875" style="1" customWidth="1"/>
    <col min="11028" max="11028" width="13.33203125" style="1" customWidth="1"/>
    <col min="11029" max="11029" width="14.33203125" style="1" customWidth="1"/>
    <col min="11030" max="11034" width="12.21875" style="1" customWidth="1"/>
    <col min="11035" max="11264" width="8.88671875" style="1"/>
    <col min="11265" max="11265" width="5.109375" style="1" customWidth="1"/>
    <col min="11266" max="11266" width="12.33203125" style="1" customWidth="1"/>
    <col min="11267" max="11267" width="9.109375" style="1" customWidth="1"/>
    <col min="11268" max="11268" width="22.33203125" style="1" customWidth="1"/>
    <col min="11269" max="11269" width="12.77734375" style="1" customWidth="1"/>
    <col min="11270" max="11270" width="42" style="1" customWidth="1"/>
    <col min="11271" max="11271" width="25.109375" style="1" customWidth="1"/>
    <col min="11272" max="11272" width="12.21875" style="1" customWidth="1"/>
    <col min="11273" max="11273" width="14.21875" style="1" customWidth="1"/>
    <col min="11274" max="11277" width="7.6640625" style="1" customWidth="1"/>
    <col min="11278" max="11278" width="10.21875" style="1" customWidth="1"/>
    <col min="11279" max="11279" width="30.21875" style="1" customWidth="1"/>
    <col min="11280" max="11282" width="12.77734375" style="1" customWidth="1"/>
    <col min="11283" max="11283" width="12.21875" style="1" customWidth="1"/>
    <col min="11284" max="11284" width="13.33203125" style="1" customWidth="1"/>
    <col min="11285" max="11285" width="14.33203125" style="1" customWidth="1"/>
    <col min="11286" max="11290" width="12.21875" style="1" customWidth="1"/>
    <col min="11291" max="11520" width="8.88671875" style="1"/>
    <col min="11521" max="11521" width="5.109375" style="1" customWidth="1"/>
    <col min="11522" max="11522" width="12.33203125" style="1" customWidth="1"/>
    <col min="11523" max="11523" width="9.109375" style="1" customWidth="1"/>
    <col min="11524" max="11524" width="22.33203125" style="1" customWidth="1"/>
    <col min="11525" max="11525" width="12.77734375" style="1" customWidth="1"/>
    <col min="11526" max="11526" width="42" style="1" customWidth="1"/>
    <col min="11527" max="11527" width="25.109375" style="1" customWidth="1"/>
    <col min="11528" max="11528" width="12.21875" style="1" customWidth="1"/>
    <col min="11529" max="11529" width="14.21875" style="1" customWidth="1"/>
    <col min="11530" max="11533" width="7.6640625" style="1" customWidth="1"/>
    <col min="11534" max="11534" width="10.21875" style="1" customWidth="1"/>
    <col min="11535" max="11535" width="30.21875" style="1" customWidth="1"/>
    <col min="11536" max="11538" width="12.77734375" style="1" customWidth="1"/>
    <col min="11539" max="11539" width="12.21875" style="1" customWidth="1"/>
    <col min="11540" max="11540" width="13.33203125" style="1" customWidth="1"/>
    <col min="11541" max="11541" width="14.33203125" style="1" customWidth="1"/>
    <col min="11542" max="11546" width="12.21875" style="1" customWidth="1"/>
    <col min="11547" max="11776" width="8.88671875" style="1"/>
    <col min="11777" max="11777" width="5.109375" style="1" customWidth="1"/>
    <col min="11778" max="11778" width="12.33203125" style="1" customWidth="1"/>
    <col min="11779" max="11779" width="9.109375" style="1" customWidth="1"/>
    <col min="11780" max="11780" width="22.33203125" style="1" customWidth="1"/>
    <col min="11781" max="11781" width="12.77734375" style="1" customWidth="1"/>
    <col min="11782" max="11782" width="42" style="1" customWidth="1"/>
    <col min="11783" max="11783" width="25.109375" style="1" customWidth="1"/>
    <col min="11784" max="11784" width="12.21875" style="1" customWidth="1"/>
    <col min="11785" max="11785" width="14.21875" style="1" customWidth="1"/>
    <col min="11786" max="11789" width="7.6640625" style="1" customWidth="1"/>
    <col min="11790" max="11790" width="10.21875" style="1" customWidth="1"/>
    <col min="11791" max="11791" width="30.21875" style="1" customWidth="1"/>
    <col min="11792" max="11794" width="12.77734375" style="1" customWidth="1"/>
    <col min="11795" max="11795" width="12.21875" style="1" customWidth="1"/>
    <col min="11796" max="11796" width="13.33203125" style="1" customWidth="1"/>
    <col min="11797" max="11797" width="14.33203125" style="1" customWidth="1"/>
    <col min="11798" max="11802" width="12.21875" style="1" customWidth="1"/>
    <col min="11803" max="12032" width="8.88671875" style="1"/>
    <col min="12033" max="12033" width="5.109375" style="1" customWidth="1"/>
    <col min="12034" max="12034" width="12.33203125" style="1" customWidth="1"/>
    <col min="12035" max="12035" width="9.109375" style="1" customWidth="1"/>
    <col min="12036" max="12036" width="22.33203125" style="1" customWidth="1"/>
    <col min="12037" max="12037" width="12.77734375" style="1" customWidth="1"/>
    <col min="12038" max="12038" width="42" style="1" customWidth="1"/>
    <col min="12039" max="12039" width="25.109375" style="1" customWidth="1"/>
    <col min="12040" max="12040" width="12.21875" style="1" customWidth="1"/>
    <col min="12041" max="12041" width="14.21875" style="1" customWidth="1"/>
    <col min="12042" max="12045" width="7.6640625" style="1" customWidth="1"/>
    <col min="12046" max="12046" width="10.21875" style="1" customWidth="1"/>
    <col min="12047" max="12047" width="30.21875" style="1" customWidth="1"/>
    <col min="12048" max="12050" width="12.77734375" style="1" customWidth="1"/>
    <col min="12051" max="12051" width="12.21875" style="1" customWidth="1"/>
    <col min="12052" max="12052" width="13.33203125" style="1" customWidth="1"/>
    <col min="12053" max="12053" width="14.33203125" style="1" customWidth="1"/>
    <col min="12054" max="12058" width="12.21875" style="1" customWidth="1"/>
    <col min="12059" max="12288" width="8.88671875" style="1"/>
    <col min="12289" max="12289" width="5.109375" style="1" customWidth="1"/>
    <col min="12290" max="12290" width="12.33203125" style="1" customWidth="1"/>
    <col min="12291" max="12291" width="9.109375" style="1" customWidth="1"/>
    <col min="12292" max="12292" width="22.33203125" style="1" customWidth="1"/>
    <col min="12293" max="12293" width="12.77734375" style="1" customWidth="1"/>
    <col min="12294" max="12294" width="42" style="1" customWidth="1"/>
    <col min="12295" max="12295" width="25.109375" style="1" customWidth="1"/>
    <col min="12296" max="12296" width="12.21875" style="1" customWidth="1"/>
    <col min="12297" max="12297" width="14.21875" style="1" customWidth="1"/>
    <col min="12298" max="12301" width="7.6640625" style="1" customWidth="1"/>
    <col min="12302" max="12302" width="10.21875" style="1" customWidth="1"/>
    <col min="12303" max="12303" width="30.21875" style="1" customWidth="1"/>
    <col min="12304" max="12306" width="12.77734375" style="1" customWidth="1"/>
    <col min="12307" max="12307" width="12.21875" style="1" customWidth="1"/>
    <col min="12308" max="12308" width="13.33203125" style="1" customWidth="1"/>
    <col min="12309" max="12309" width="14.33203125" style="1" customWidth="1"/>
    <col min="12310" max="12314" width="12.21875" style="1" customWidth="1"/>
    <col min="12315" max="12544" width="8.88671875" style="1"/>
    <col min="12545" max="12545" width="5.109375" style="1" customWidth="1"/>
    <col min="12546" max="12546" width="12.33203125" style="1" customWidth="1"/>
    <col min="12547" max="12547" width="9.109375" style="1" customWidth="1"/>
    <col min="12548" max="12548" width="22.33203125" style="1" customWidth="1"/>
    <col min="12549" max="12549" width="12.77734375" style="1" customWidth="1"/>
    <col min="12550" max="12550" width="42" style="1" customWidth="1"/>
    <col min="12551" max="12551" width="25.109375" style="1" customWidth="1"/>
    <col min="12552" max="12552" width="12.21875" style="1" customWidth="1"/>
    <col min="12553" max="12553" width="14.21875" style="1" customWidth="1"/>
    <col min="12554" max="12557" width="7.6640625" style="1" customWidth="1"/>
    <col min="12558" max="12558" width="10.21875" style="1" customWidth="1"/>
    <col min="12559" max="12559" width="30.21875" style="1" customWidth="1"/>
    <col min="12560" max="12562" width="12.77734375" style="1" customWidth="1"/>
    <col min="12563" max="12563" width="12.21875" style="1" customWidth="1"/>
    <col min="12564" max="12564" width="13.33203125" style="1" customWidth="1"/>
    <col min="12565" max="12565" width="14.33203125" style="1" customWidth="1"/>
    <col min="12566" max="12570" width="12.21875" style="1" customWidth="1"/>
    <col min="12571" max="12800" width="8.88671875" style="1"/>
    <col min="12801" max="12801" width="5.109375" style="1" customWidth="1"/>
    <col min="12802" max="12802" width="12.33203125" style="1" customWidth="1"/>
    <col min="12803" max="12803" width="9.109375" style="1" customWidth="1"/>
    <col min="12804" max="12804" width="22.33203125" style="1" customWidth="1"/>
    <col min="12805" max="12805" width="12.77734375" style="1" customWidth="1"/>
    <col min="12806" max="12806" width="42" style="1" customWidth="1"/>
    <col min="12807" max="12807" width="25.109375" style="1" customWidth="1"/>
    <col min="12808" max="12808" width="12.21875" style="1" customWidth="1"/>
    <col min="12809" max="12809" width="14.21875" style="1" customWidth="1"/>
    <col min="12810" max="12813" width="7.6640625" style="1" customWidth="1"/>
    <col min="12814" max="12814" width="10.21875" style="1" customWidth="1"/>
    <col min="12815" max="12815" width="30.21875" style="1" customWidth="1"/>
    <col min="12816" max="12818" width="12.77734375" style="1" customWidth="1"/>
    <col min="12819" max="12819" width="12.21875" style="1" customWidth="1"/>
    <col min="12820" max="12820" width="13.33203125" style="1" customWidth="1"/>
    <col min="12821" max="12821" width="14.33203125" style="1" customWidth="1"/>
    <col min="12822" max="12826" width="12.21875" style="1" customWidth="1"/>
    <col min="12827" max="13056" width="8.88671875" style="1"/>
    <col min="13057" max="13057" width="5.109375" style="1" customWidth="1"/>
    <col min="13058" max="13058" width="12.33203125" style="1" customWidth="1"/>
    <col min="13059" max="13059" width="9.109375" style="1" customWidth="1"/>
    <col min="13060" max="13060" width="22.33203125" style="1" customWidth="1"/>
    <col min="13061" max="13061" width="12.77734375" style="1" customWidth="1"/>
    <col min="13062" max="13062" width="42" style="1" customWidth="1"/>
    <col min="13063" max="13063" width="25.109375" style="1" customWidth="1"/>
    <col min="13064" max="13064" width="12.21875" style="1" customWidth="1"/>
    <col min="13065" max="13065" width="14.21875" style="1" customWidth="1"/>
    <col min="13066" max="13069" width="7.6640625" style="1" customWidth="1"/>
    <col min="13070" max="13070" width="10.21875" style="1" customWidth="1"/>
    <col min="13071" max="13071" width="30.21875" style="1" customWidth="1"/>
    <col min="13072" max="13074" width="12.77734375" style="1" customWidth="1"/>
    <col min="13075" max="13075" width="12.21875" style="1" customWidth="1"/>
    <col min="13076" max="13076" width="13.33203125" style="1" customWidth="1"/>
    <col min="13077" max="13077" width="14.33203125" style="1" customWidth="1"/>
    <col min="13078" max="13082" width="12.21875" style="1" customWidth="1"/>
    <col min="13083" max="13312" width="8.88671875" style="1"/>
    <col min="13313" max="13313" width="5.109375" style="1" customWidth="1"/>
    <col min="13314" max="13314" width="12.33203125" style="1" customWidth="1"/>
    <col min="13315" max="13315" width="9.109375" style="1" customWidth="1"/>
    <col min="13316" max="13316" width="22.33203125" style="1" customWidth="1"/>
    <col min="13317" max="13317" width="12.77734375" style="1" customWidth="1"/>
    <col min="13318" max="13318" width="42" style="1" customWidth="1"/>
    <col min="13319" max="13319" width="25.109375" style="1" customWidth="1"/>
    <col min="13320" max="13320" width="12.21875" style="1" customWidth="1"/>
    <col min="13321" max="13321" width="14.21875" style="1" customWidth="1"/>
    <col min="13322" max="13325" width="7.6640625" style="1" customWidth="1"/>
    <col min="13326" max="13326" width="10.21875" style="1" customWidth="1"/>
    <col min="13327" max="13327" width="30.21875" style="1" customWidth="1"/>
    <col min="13328" max="13330" width="12.77734375" style="1" customWidth="1"/>
    <col min="13331" max="13331" width="12.21875" style="1" customWidth="1"/>
    <col min="13332" max="13332" width="13.33203125" style="1" customWidth="1"/>
    <col min="13333" max="13333" width="14.33203125" style="1" customWidth="1"/>
    <col min="13334" max="13338" width="12.21875" style="1" customWidth="1"/>
    <col min="13339" max="13568" width="8.88671875" style="1"/>
    <col min="13569" max="13569" width="5.109375" style="1" customWidth="1"/>
    <col min="13570" max="13570" width="12.33203125" style="1" customWidth="1"/>
    <col min="13571" max="13571" width="9.109375" style="1" customWidth="1"/>
    <col min="13572" max="13572" width="22.33203125" style="1" customWidth="1"/>
    <col min="13573" max="13573" width="12.77734375" style="1" customWidth="1"/>
    <col min="13574" max="13574" width="42" style="1" customWidth="1"/>
    <col min="13575" max="13575" width="25.109375" style="1" customWidth="1"/>
    <col min="13576" max="13576" width="12.21875" style="1" customWidth="1"/>
    <col min="13577" max="13577" width="14.21875" style="1" customWidth="1"/>
    <col min="13578" max="13581" width="7.6640625" style="1" customWidth="1"/>
    <col min="13582" max="13582" width="10.21875" style="1" customWidth="1"/>
    <col min="13583" max="13583" width="30.21875" style="1" customWidth="1"/>
    <col min="13584" max="13586" width="12.77734375" style="1" customWidth="1"/>
    <col min="13587" max="13587" width="12.21875" style="1" customWidth="1"/>
    <col min="13588" max="13588" width="13.33203125" style="1" customWidth="1"/>
    <col min="13589" max="13589" width="14.33203125" style="1" customWidth="1"/>
    <col min="13590" max="13594" width="12.21875" style="1" customWidth="1"/>
    <col min="13595" max="13824" width="8.88671875" style="1"/>
    <col min="13825" max="13825" width="5.109375" style="1" customWidth="1"/>
    <col min="13826" max="13826" width="12.33203125" style="1" customWidth="1"/>
    <col min="13827" max="13827" width="9.109375" style="1" customWidth="1"/>
    <col min="13828" max="13828" width="22.33203125" style="1" customWidth="1"/>
    <col min="13829" max="13829" width="12.77734375" style="1" customWidth="1"/>
    <col min="13830" max="13830" width="42" style="1" customWidth="1"/>
    <col min="13831" max="13831" width="25.109375" style="1" customWidth="1"/>
    <col min="13832" max="13832" width="12.21875" style="1" customWidth="1"/>
    <col min="13833" max="13833" width="14.21875" style="1" customWidth="1"/>
    <col min="13834" max="13837" width="7.6640625" style="1" customWidth="1"/>
    <col min="13838" max="13838" width="10.21875" style="1" customWidth="1"/>
    <col min="13839" max="13839" width="30.21875" style="1" customWidth="1"/>
    <col min="13840" max="13842" width="12.77734375" style="1" customWidth="1"/>
    <col min="13843" max="13843" width="12.21875" style="1" customWidth="1"/>
    <col min="13844" max="13844" width="13.33203125" style="1" customWidth="1"/>
    <col min="13845" max="13845" width="14.33203125" style="1" customWidth="1"/>
    <col min="13846" max="13850" width="12.21875" style="1" customWidth="1"/>
    <col min="13851" max="14080" width="8.88671875" style="1"/>
    <col min="14081" max="14081" width="5.109375" style="1" customWidth="1"/>
    <col min="14082" max="14082" width="12.33203125" style="1" customWidth="1"/>
    <col min="14083" max="14083" width="9.109375" style="1" customWidth="1"/>
    <col min="14084" max="14084" width="22.33203125" style="1" customWidth="1"/>
    <col min="14085" max="14085" width="12.77734375" style="1" customWidth="1"/>
    <col min="14086" max="14086" width="42" style="1" customWidth="1"/>
    <col min="14087" max="14087" width="25.109375" style="1" customWidth="1"/>
    <col min="14088" max="14088" width="12.21875" style="1" customWidth="1"/>
    <col min="14089" max="14089" width="14.21875" style="1" customWidth="1"/>
    <col min="14090" max="14093" width="7.6640625" style="1" customWidth="1"/>
    <col min="14094" max="14094" width="10.21875" style="1" customWidth="1"/>
    <col min="14095" max="14095" width="30.21875" style="1" customWidth="1"/>
    <col min="14096" max="14098" width="12.77734375" style="1" customWidth="1"/>
    <col min="14099" max="14099" width="12.21875" style="1" customWidth="1"/>
    <col min="14100" max="14100" width="13.33203125" style="1" customWidth="1"/>
    <col min="14101" max="14101" width="14.33203125" style="1" customWidth="1"/>
    <col min="14102" max="14106" width="12.21875" style="1" customWidth="1"/>
    <col min="14107" max="14336" width="8.88671875" style="1"/>
    <col min="14337" max="14337" width="5.109375" style="1" customWidth="1"/>
    <col min="14338" max="14338" width="12.33203125" style="1" customWidth="1"/>
    <col min="14339" max="14339" width="9.109375" style="1" customWidth="1"/>
    <col min="14340" max="14340" width="22.33203125" style="1" customWidth="1"/>
    <col min="14341" max="14341" width="12.77734375" style="1" customWidth="1"/>
    <col min="14342" max="14342" width="42" style="1" customWidth="1"/>
    <col min="14343" max="14343" width="25.109375" style="1" customWidth="1"/>
    <col min="14344" max="14344" width="12.21875" style="1" customWidth="1"/>
    <col min="14345" max="14345" width="14.21875" style="1" customWidth="1"/>
    <col min="14346" max="14349" width="7.6640625" style="1" customWidth="1"/>
    <col min="14350" max="14350" width="10.21875" style="1" customWidth="1"/>
    <col min="14351" max="14351" width="30.21875" style="1" customWidth="1"/>
    <col min="14352" max="14354" width="12.77734375" style="1" customWidth="1"/>
    <col min="14355" max="14355" width="12.21875" style="1" customWidth="1"/>
    <col min="14356" max="14356" width="13.33203125" style="1" customWidth="1"/>
    <col min="14357" max="14357" width="14.33203125" style="1" customWidth="1"/>
    <col min="14358" max="14362" width="12.21875" style="1" customWidth="1"/>
    <col min="14363" max="14592" width="8.88671875" style="1"/>
    <col min="14593" max="14593" width="5.109375" style="1" customWidth="1"/>
    <col min="14594" max="14594" width="12.33203125" style="1" customWidth="1"/>
    <col min="14595" max="14595" width="9.109375" style="1" customWidth="1"/>
    <col min="14596" max="14596" width="22.33203125" style="1" customWidth="1"/>
    <col min="14597" max="14597" width="12.77734375" style="1" customWidth="1"/>
    <col min="14598" max="14598" width="42" style="1" customWidth="1"/>
    <col min="14599" max="14599" width="25.109375" style="1" customWidth="1"/>
    <col min="14600" max="14600" width="12.21875" style="1" customWidth="1"/>
    <col min="14601" max="14601" width="14.21875" style="1" customWidth="1"/>
    <col min="14602" max="14605" width="7.6640625" style="1" customWidth="1"/>
    <col min="14606" max="14606" width="10.21875" style="1" customWidth="1"/>
    <col min="14607" max="14607" width="30.21875" style="1" customWidth="1"/>
    <col min="14608" max="14610" width="12.77734375" style="1" customWidth="1"/>
    <col min="14611" max="14611" width="12.21875" style="1" customWidth="1"/>
    <col min="14612" max="14612" width="13.33203125" style="1" customWidth="1"/>
    <col min="14613" max="14613" width="14.33203125" style="1" customWidth="1"/>
    <col min="14614" max="14618" width="12.21875" style="1" customWidth="1"/>
    <col min="14619" max="14848" width="8.88671875" style="1"/>
    <col min="14849" max="14849" width="5.109375" style="1" customWidth="1"/>
    <col min="14850" max="14850" width="12.33203125" style="1" customWidth="1"/>
    <col min="14851" max="14851" width="9.109375" style="1" customWidth="1"/>
    <col min="14852" max="14852" width="22.33203125" style="1" customWidth="1"/>
    <col min="14853" max="14853" width="12.77734375" style="1" customWidth="1"/>
    <col min="14854" max="14854" width="42" style="1" customWidth="1"/>
    <col min="14855" max="14855" width="25.109375" style="1" customWidth="1"/>
    <col min="14856" max="14856" width="12.21875" style="1" customWidth="1"/>
    <col min="14857" max="14857" width="14.21875" style="1" customWidth="1"/>
    <col min="14858" max="14861" width="7.6640625" style="1" customWidth="1"/>
    <col min="14862" max="14862" width="10.21875" style="1" customWidth="1"/>
    <col min="14863" max="14863" width="30.21875" style="1" customWidth="1"/>
    <col min="14864" max="14866" width="12.77734375" style="1" customWidth="1"/>
    <col min="14867" max="14867" width="12.21875" style="1" customWidth="1"/>
    <col min="14868" max="14868" width="13.33203125" style="1" customWidth="1"/>
    <col min="14869" max="14869" width="14.33203125" style="1" customWidth="1"/>
    <col min="14870" max="14874" width="12.21875" style="1" customWidth="1"/>
    <col min="14875" max="15104" width="8.88671875" style="1"/>
    <col min="15105" max="15105" width="5.109375" style="1" customWidth="1"/>
    <col min="15106" max="15106" width="12.33203125" style="1" customWidth="1"/>
    <col min="15107" max="15107" width="9.109375" style="1" customWidth="1"/>
    <col min="15108" max="15108" width="22.33203125" style="1" customWidth="1"/>
    <col min="15109" max="15109" width="12.77734375" style="1" customWidth="1"/>
    <col min="15110" max="15110" width="42" style="1" customWidth="1"/>
    <col min="15111" max="15111" width="25.109375" style="1" customWidth="1"/>
    <col min="15112" max="15112" width="12.21875" style="1" customWidth="1"/>
    <col min="15113" max="15113" width="14.21875" style="1" customWidth="1"/>
    <col min="15114" max="15117" width="7.6640625" style="1" customWidth="1"/>
    <col min="15118" max="15118" width="10.21875" style="1" customWidth="1"/>
    <col min="15119" max="15119" width="30.21875" style="1" customWidth="1"/>
    <col min="15120" max="15122" width="12.77734375" style="1" customWidth="1"/>
    <col min="15123" max="15123" width="12.21875" style="1" customWidth="1"/>
    <col min="15124" max="15124" width="13.33203125" style="1" customWidth="1"/>
    <col min="15125" max="15125" width="14.33203125" style="1" customWidth="1"/>
    <col min="15126" max="15130" width="12.21875" style="1" customWidth="1"/>
    <col min="15131" max="15360" width="8.88671875" style="1"/>
    <col min="15361" max="15361" width="5.109375" style="1" customWidth="1"/>
    <col min="15362" max="15362" width="12.33203125" style="1" customWidth="1"/>
    <col min="15363" max="15363" width="9.109375" style="1" customWidth="1"/>
    <col min="15364" max="15364" width="22.33203125" style="1" customWidth="1"/>
    <col min="15365" max="15365" width="12.77734375" style="1" customWidth="1"/>
    <col min="15366" max="15366" width="42" style="1" customWidth="1"/>
    <col min="15367" max="15367" width="25.109375" style="1" customWidth="1"/>
    <col min="15368" max="15368" width="12.21875" style="1" customWidth="1"/>
    <col min="15369" max="15369" width="14.21875" style="1" customWidth="1"/>
    <col min="15370" max="15373" width="7.6640625" style="1" customWidth="1"/>
    <col min="15374" max="15374" width="10.21875" style="1" customWidth="1"/>
    <col min="15375" max="15375" width="30.21875" style="1" customWidth="1"/>
    <col min="15376" max="15378" width="12.77734375" style="1" customWidth="1"/>
    <col min="15379" max="15379" width="12.21875" style="1" customWidth="1"/>
    <col min="15380" max="15380" width="13.33203125" style="1" customWidth="1"/>
    <col min="15381" max="15381" width="14.33203125" style="1" customWidth="1"/>
    <col min="15382" max="15386" width="12.21875" style="1" customWidth="1"/>
    <col min="15387" max="15616" width="8.88671875" style="1"/>
    <col min="15617" max="15617" width="5.109375" style="1" customWidth="1"/>
    <col min="15618" max="15618" width="12.33203125" style="1" customWidth="1"/>
    <col min="15619" max="15619" width="9.109375" style="1" customWidth="1"/>
    <col min="15620" max="15620" width="22.33203125" style="1" customWidth="1"/>
    <col min="15621" max="15621" width="12.77734375" style="1" customWidth="1"/>
    <col min="15622" max="15622" width="42" style="1" customWidth="1"/>
    <col min="15623" max="15623" width="25.109375" style="1" customWidth="1"/>
    <col min="15624" max="15624" width="12.21875" style="1" customWidth="1"/>
    <col min="15625" max="15625" width="14.21875" style="1" customWidth="1"/>
    <col min="15626" max="15629" width="7.6640625" style="1" customWidth="1"/>
    <col min="15630" max="15630" width="10.21875" style="1" customWidth="1"/>
    <col min="15631" max="15631" width="30.21875" style="1" customWidth="1"/>
    <col min="15632" max="15634" width="12.77734375" style="1" customWidth="1"/>
    <col min="15635" max="15635" width="12.21875" style="1" customWidth="1"/>
    <col min="15636" max="15636" width="13.33203125" style="1" customWidth="1"/>
    <col min="15637" max="15637" width="14.33203125" style="1" customWidth="1"/>
    <col min="15638" max="15642" width="12.21875" style="1" customWidth="1"/>
    <col min="15643" max="15872" width="8.88671875" style="1"/>
    <col min="15873" max="15873" width="5.109375" style="1" customWidth="1"/>
    <col min="15874" max="15874" width="12.33203125" style="1" customWidth="1"/>
    <col min="15875" max="15875" width="9.109375" style="1" customWidth="1"/>
    <col min="15876" max="15876" width="22.33203125" style="1" customWidth="1"/>
    <col min="15877" max="15877" width="12.77734375" style="1" customWidth="1"/>
    <col min="15878" max="15878" width="42" style="1" customWidth="1"/>
    <col min="15879" max="15879" width="25.109375" style="1" customWidth="1"/>
    <col min="15880" max="15880" width="12.21875" style="1" customWidth="1"/>
    <col min="15881" max="15881" width="14.21875" style="1" customWidth="1"/>
    <col min="15882" max="15885" width="7.6640625" style="1" customWidth="1"/>
    <col min="15886" max="15886" width="10.21875" style="1" customWidth="1"/>
    <col min="15887" max="15887" width="30.21875" style="1" customWidth="1"/>
    <col min="15888" max="15890" width="12.77734375" style="1" customWidth="1"/>
    <col min="15891" max="15891" width="12.21875" style="1" customWidth="1"/>
    <col min="15892" max="15892" width="13.33203125" style="1" customWidth="1"/>
    <col min="15893" max="15893" width="14.33203125" style="1" customWidth="1"/>
    <col min="15894" max="15898" width="12.21875" style="1" customWidth="1"/>
    <col min="15899" max="16128" width="8.88671875" style="1"/>
    <col min="16129" max="16129" width="5.109375" style="1" customWidth="1"/>
    <col min="16130" max="16130" width="12.33203125" style="1" customWidth="1"/>
    <col min="16131" max="16131" width="9.109375" style="1" customWidth="1"/>
    <col min="16132" max="16132" width="22.33203125" style="1" customWidth="1"/>
    <col min="16133" max="16133" width="12.77734375" style="1" customWidth="1"/>
    <col min="16134" max="16134" width="42" style="1" customWidth="1"/>
    <col min="16135" max="16135" width="25.109375" style="1" customWidth="1"/>
    <col min="16136" max="16136" width="12.21875" style="1" customWidth="1"/>
    <col min="16137" max="16137" width="14.21875" style="1" customWidth="1"/>
    <col min="16138" max="16141" width="7.6640625" style="1" customWidth="1"/>
    <col min="16142" max="16142" width="10.21875" style="1" customWidth="1"/>
    <col min="16143" max="16143" width="30.21875" style="1" customWidth="1"/>
    <col min="16144" max="16146" width="12.77734375" style="1" customWidth="1"/>
    <col min="16147" max="16147" width="12.21875" style="1" customWidth="1"/>
    <col min="16148" max="16148" width="13.33203125" style="1" customWidth="1"/>
    <col min="16149" max="16149" width="14.33203125" style="1" customWidth="1"/>
    <col min="16150" max="16154" width="12.21875" style="1" customWidth="1"/>
    <col min="16155" max="16384" width="8.88671875" style="1"/>
  </cols>
  <sheetData>
    <row r="1" spans="1:27" ht="29.25" customHeight="1">
      <c r="A1" s="304" t="s">
        <v>46</v>
      </c>
      <c r="B1" s="304"/>
      <c r="C1" s="304"/>
      <c r="D1" s="304"/>
      <c r="E1" s="304"/>
      <c r="F1" s="304"/>
      <c r="G1" s="304"/>
      <c r="H1" s="304"/>
      <c r="I1" s="304"/>
      <c r="J1" s="304"/>
      <c r="K1" s="304"/>
      <c r="L1" s="304"/>
      <c r="M1" s="304"/>
      <c r="N1" s="304"/>
      <c r="O1" s="304"/>
      <c r="P1" s="304"/>
      <c r="Q1" s="304"/>
      <c r="R1" s="304"/>
      <c r="S1" s="304"/>
      <c r="T1" s="304"/>
      <c r="U1" s="304"/>
      <c r="V1" s="304"/>
      <c r="W1" s="304"/>
      <c r="X1" s="304"/>
      <c r="Y1" s="304"/>
      <c r="Z1" s="137"/>
    </row>
    <row r="2" spans="1:27"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38"/>
    </row>
    <row r="3" spans="1:27" s="2" customFormat="1" ht="53.25" customHeight="1">
      <c r="A3" s="311" t="s">
        <v>4998</v>
      </c>
      <c r="B3" s="311"/>
      <c r="C3" s="311"/>
      <c r="D3" s="311"/>
      <c r="E3" s="311"/>
      <c r="F3" s="138"/>
      <c r="G3" s="138"/>
      <c r="H3" s="138"/>
      <c r="I3" s="305" t="s">
        <v>4021</v>
      </c>
      <c r="J3" s="305"/>
      <c r="K3" s="305"/>
      <c r="L3" s="305"/>
      <c r="M3" s="305"/>
      <c r="N3" s="306" t="s">
        <v>6417</v>
      </c>
      <c r="O3" s="307"/>
      <c r="P3" s="40"/>
      <c r="Q3" s="40"/>
      <c r="R3" s="140"/>
      <c r="S3" s="140"/>
      <c r="T3" s="140"/>
      <c r="U3" s="140"/>
      <c r="V3" s="140"/>
      <c r="W3" s="312" t="s">
        <v>5000</v>
      </c>
      <c r="X3" s="312"/>
      <c r="Y3" s="312"/>
      <c r="Z3" s="140"/>
      <c r="AA3" s="17"/>
    </row>
    <row r="4" spans="1:27" ht="39.75" customHeight="1">
      <c r="A4" s="141" t="s">
        <v>5001</v>
      </c>
      <c r="B4" s="141" t="s">
        <v>5002</v>
      </c>
      <c r="C4" s="141" t="s">
        <v>5003</v>
      </c>
      <c r="D4" s="141" t="s">
        <v>5004</v>
      </c>
      <c r="E4" s="142" t="s">
        <v>5005</v>
      </c>
      <c r="F4" s="141" t="s">
        <v>5006</v>
      </c>
      <c r="G4" s="142" t="s">
        <v>5007</v>
      </c>
      <c r="H4" s="142" t="s">
        <v>5008</v>
      </c>
      <c r="I4" s="142" t="s">
        <v>5009</v>
      </c>
      <c r="J4" s="142" t="s">
        <v>5010</v>
      </c>
      <c r="K4" s="142" t="s">
        <v>5011</v>
      </c>
      <c r="L4" s="142" t="s">
        <v>5012</v>
      </c>
      <c r="M4" s="142" t="s">
        <v>5013</v>
      </c>
      <c r="N4" s="142" t="s">
        <v>5014</v>
      </c>
      <c r="O4" s="142" t="s">
        <v>5015</v>
      </c>
      <c r="P4" s="142" t="s">
        <v>5016</v>
      </c>
      <c r="Q4" s="142" t="s">
        <v>5017</v>
      </c>
      <c r="R4" s="143" t="s">
        <v>5018</v>
      </c>
      <c r="S4" s="143" t="s">
        <v>5019</v>
      </c>
      <c r="T4" s="143" t="s">
        <v>5020</v>
      </c>
      <c r="U4" s="143" t="s">
        <v>6415</v>
      </c>
      <c r="V4" s="143" t="s">
        <v>5021</v>
      </c>
      <c r="W4" s="143" t="s">
        <v>5022</v>
      </c>
      <c r="X4" s="143" t="s">
        <v>5023</v>
      </c>
      <c r="Y4" s="143" t="s">
        <v>5024</v>
      </c>
      <c r="Z4" s="143" t="s">
        <v>5025</v>
      </c>
    </row>
    <row r="5" spans="1:27" s="65" customFormat="1" ht="38.25" customHeight="1">
      <c r="A5" s="155">
        <v>1</v>
      </c>
      <c r="B5" s="155" t="s">
        <v>2502</v>
      </c>
      <c r="C5" s="155" t="s">
        <v>5026</v>
      </c>
      <c r="D5" s="80" t="s">
        <v>5027</v>
      </c>
      <c r="E5" s="80" t="s">
        <v>5028</v>
      </c>
      <c r="F5" s="136" t="s">
        <v>5029</v>
      </c>
      <c r="G5" s="80" t="s">
        <v>5030</v>
      </c>
      <c r="H5" s="80" t="s">
        <v>5031</v>
      </c>
      <c r="I5" s="81">
        <v>400</v>
      </c>
      <c r="J5" s="81">
        <v>200</v>
      </c>
      <c r="K5" s="81">
        <v>100</v>
      </c>
      <c r="L5" s="81">
        <v>100</v>
      </c>
      <c r="M5" s="81">
        <v>0</v>
      </c>
      <c r="N5" s="80" t="s">
        <v>5032</v>
      </c>
      <c r="O5" s="80" t="s">
        <v>5033</v>
      </c>
      <c r="P5" s="80" t="s">
        <v>304</v>
      </c>
      <c r="Q5" s="80"/>
      <c r="R5" s="80" t="s">
        <v>5034</v>
      </c>
      <c r="S5" s="80" t="s">
        <v>5035</v>
      </c>
      <c r="T5" s="80" t="s">
        <v>5036</v>
      </c>
      <c r="U5" s="80" t="s">
        <v>5037</v>
      </c>
      <c r="V5" s="80" t="s">
        <v>5038</v>
      </c>
      <c r="W5" s="81">
        <v>100</v>
      </c>
      <c r="X5" s="81">
        <v>100</v>
      </c>
      <c r="Y5" s="81">
        <v>0</v>
      </c>
      <c r="Z5" s="80" t="s">
        <v>5039</v>
      </c>
    </row>
    <row r="6" spans="1:27" s="65" customFormat="1" ht="38.25" customHeight="1">
      <c r="A6" s="155">
        <v>2</v>
      </c>
      <c r="B6" s="155" t="s">
        <v>2502</v>
      </c>
      <c r="C6" s="155" t="s">
        <v>5040</v>
      </c>
      <c r="D6" s="80" t="s">
        <v>5041</v>
      </c>
      <c r="E6" s="80" t="s">
        <v>5042</v>
      </c>
      <c r="F6" s="136" t="s">
        <v>5043</v>
      </c>
      <c r="G6" s="80" t="s">
        <v>5044</v>
      </c>
      <c r="H6" s="80" t="s">
        <v>5045</v>
      </c>
      <c r="I6" s="81">
        <v>280</v>
      </c>
      <c r="J6" s="81">
        <v>0</v>
      </c>
      <c r="K6" s="81">
        <v>0</v>
      </c>
      <c r="L6" s="81">
        <v>280</v>
      </c>
      <c r="M6" s="81">
        <v>0</v>
      </c>
      <c r="N6" s="80"/>
      <c r="O6" s="80"/>
      <c r="P6" s="80" t="s">
        <v>436</v>
      </c>
      <c r="Q6" s="80"/>
      <c r="R6" s="80" t="s">
        <v>5046</v>
      </c>
      <c r="S6" s="80" t="s">
        <v>5047</v>
      </c>
      <c r="T6" s="80" t="s">
        <v>5048</v>
      </c>
      <c r="U6" s="80" t="s">
        <v>5049</v>
      </c>
      <c r="V6" s="80" t="s">
        <v>5050</v>
      </c>
      <c r="W6" s="81">
        <v>20</v>
      </c>
      <c r="X6" s="81">
        <v>20</v>
      </c>
      <c r="Y6" s="81">
        <v>0</v>
      </c>
      <c r="Z6" s="80" t="s">
        <v>5051</v>
      </c>
    </row>
    <row r="7" spans="1:27" s="65" customFormat="1" ht="38.25" customHeight="1">
      <c r="A7" s="155">
        <v>3</v>
      </c>
      <c r="B7" s="155" t="s">
        <v>5052</v>
      </c>
      <c r="C7" s="155" t="s">
        <v>5053</v>
      </c>
      <c r="D7" s="80" t="s">
        <v>5054</v>
      </c>
      <c r="E7" s="80" t="s">
        <v>5055</v>
      </c>
      <c r="F7" s="136" t="s">
        <v>5056</v>
      </c>
      <c r="G7" s="80" t="s">
        <v>5057</v>
      </c>
      <c r="H7" s="80" t="s">
        <v>5058</v>
      </c>
      <c r="I7" s="81">
        <v>298</v>
      </c>
      <c r="J7" s="81">
        <v>0</v>
      </c>
      <c r="K7" s="81">
        <v>0</v>
      </c>
      <c r="L7" s="81">
        <v>298</v>
      </c>
      <c r="M7" s="81">
        <v>0</v>
      </c>
      <c r="N7" s="80"/>
      <c r="O7" s="80"/>
      <c r="P7" s="80" t="s">
        <v>5059</v>
      </c>
      <c r="Q7" s="80"/>
      <c r="R7" s="80" t="s">
        <v>5060</v>
      </c>
      <c r="S7" s="80" t="s">
        <v>5061</v>
      </c>
      <c r="T7" s="80" t="s">
        <v>5062</v>
      </c>
      <c r="U7" s="80" t="s">
        <v>5063</v>
      </c>
      <c r="V7" s="80" t="s">
        <v>5064</v>
      </c>
      <c r="W7" s="81">
        <f>SUM(X7:Y7)</f>
        <v>0</v>
      </c>
      <c r="X7" s="81" t="s">
        <v>5065</v>
      </c>
      <c r="Y7" s="81" t="s">
        <v>5065</v>
      </c>
      <c r="Z7" s="80" t="s">
        <v>5066</v>
      </c>
    </row>
    <row r="8" spans="1:27" s="65" customFormat="1" ht="38.25" customHeight="1">
      <c r="A8" s="155">
        <v>4</v>
      </c>
      <c r="B8" s="155" t="s">
        <v>5067</v>
      </c>
      <c r="C8" s="155" t="s">
        <v>5068</v>
      </c>
      <c r="D8" s="80" t="s">
        <v>5069</v>
      </c>
      <c r="E8" s="80" t="s">
        <v>5070</v>
      </c>
      <c r="F8" s="136" t="s">
        <v>5071</v>
      </c>
      <c r="G8" s="80" t="s">
        <v>5072</v>
      </c>
      <c r="H8" s="80" t="s">
        <v>5073</v>
      </c>
      <c r="I8" s="81">
        <v>280</v>
      </c>
      <c r="J8" s="81">
        <v>0</v>
      </c>
      <c r="K8" s="81">
        <v>0</v>
      </c>
      <c r="L8" s="81">
        <v>280</v>
      </c>
      <c r="M8" s="81">
        <v>0</v>
      </c>
      <c r="N8" s="80"/>
      <c r="O8" s="80"/>
      <c r="P8" s="80" t="s">
        <v>5074</v>
      </c>
      <c r="Q8" s="80"/>
      <c r="R8" s="80" t="s">
        <v>5075</v>
      </c>
      <c r="S8" s="80" t="s">
        <v>5047</v>
      </c>
      <c r="T8" s="80" t="s">
        <v>5076</v>
      </c>
      <c r="U8" s="80" t="s">
        <v>5077</v>
      </c>
      <c r="V8" s="80" t="s">
        <v>5078</v>
      </c>
      <c r="W8" s="81">
        <v>50</v>
      </c>
      <c r="X8" s="81">
        <v>50</v>
      </c>
      <c r="Y8" s="81">
        <v>0</v>
      </c>
      <c r="Z8" s="80" t="s">
        <v>5079</v>
      </c>
    </row>
    <row r="9" spans="1:27" s="65" customFormat="1" ht="38.25" customHeight="1">
      <c r="A9" s="155">
        <v>5</v>
      </c>
      <c r="B9" s="155" t="s">
        <v>5052</v>
      </c>
      <c r="C9" s="155" t="s">
        <v>5053</v>
      </c>
      <c r="D9" s="80" t="s">
        <v>5080</v>
      </c>
      <c r="E9" s="80" t="s">
        <v>5081</v>
      </c>
      <c r="F9" s="136" t="s">
        <v>5082</v>
      </c>
      <c r="G9" s="80" t="s">
        <v>5083</v>
      </c>
      <c r="H9" s="80" t="s">
        <v>5084</v>
      </c>
      <c r="I9" s="81">
        <v>580</v>
      </c>
      <c r="J9" s="81">
        <v>0</v>
      </c>
      <c r="K9" s="81">
        <v>30</v>
      </c>
      <c r="L9" s="81">
        <v>550</v>
      </c>
      <c r="M9" s="81">
        <v>0</v>
      </c>
      <c r="N9" s="80"/>
      <c r="O9" s="80"/>
      <c r="P9" s="80" t="s">
        <v>5085</v>
      </c>
      <c r="Q9" s="80"/>
      <c r="R9" s="80" t="s">
        <v>5086</v>
      </c>
      <c r="S9" s="80" t="s">
        <v>5047</v>
      </c>
      <c r="T9" s="80" t="s">
        <v>5076</v>
      </c>
      <c r="U9" s="80" t="s">
        <v>5077</v>
      </c>
      <c r="V9" s="80" t="s">
        <v>5078</v>
      </c>
      <c r="W9" s="81">
        <f t="shared" ref="W9:W16" si="0">SUM(X9:Y9)</f>
        <v>69</v>
      </c>
      <c r="X9" s="81">
        <v>69</v>
      </c>
      <c r="Y9" s="81">
        <v>0</v>
      </c>
      <c r="Z9" s="80" t="s">
        <v>5087</v>
      </c>
    </row>
    <row r="10" spans="1:27" s="65" customFormat="1" ht="38.25" customHeight="1">
      <c r="A10" s="155">
        <v>6</v>
      </c>
      <c r="B10" s="155" t="s">
        <v>5052</v>
      </c>
      <c r="C10" s="155" t="s">
        <v>5053</v>
      </c>
      <c r="D10" s="80" t="s">
        <v>5088</v>
      </c>
      <c r="E10" s="80" t="s">
        <v>5089</v>
      </c>
      <c r="F10" s="136" t="s">
        <v>5090</v>
      </c>
      <c r="G10" s="80" t="s">
        <v>5091</v>
      </c>
      <c r="H10" s="80" t="s">
        <v>5092</v>
      </c>
      <c r="I10" s="81">
        <v>2500</v>
      </c>
      <c r="J10" s="81">
        <v>0</v>
      </c>
      <c r="K10" s="81">
        <v>2500</v>
      </c>
      <c r="L10" s="81">
        <v>0</v>
      </c>
      <c r="M10" s="81">
        <v>0</v>
      </c>
      <c r="N10" s="80"/>
      <c r="O10" s="80"/>
      <c r="P10" s="80" t="s">
        <v>5093</v>
      </c>
      <c r="Q10" s="80"/>
      <c r="R10" s="80" t="s">
        <v>5094</v>
      </c>
      <c r="S10" s="80" t="s">
        <v>5047</v>
      </c>
      <c r="T10" s="80" t="s">
        <v>5095</v>
      </c>
      <c r="U10" s="80" t="s">
        <v>5077</v>
      </c>
      <c r="V10" s="80" t="s">
        <v>5078</v>
      </c>
      <c r="W10" s="81">
        <f t="shared" si="0"/>
        <v>507</v>
      </c>
      <c r="X10" s="81">
        <v>507</v>
      </c>
      <c r="Y10" s="81">
        <v>0</v>
      </c>
      <c r="Z10" s="80" t="s">
        <v>5087</v>
      </c>
    </row>
    <row r="11" spans="1:27" s="65" customFormat="1" ht="38.25" customHeight="1">
      <c r="A11" s="155">
        <v>7</v>
      </c>
      <c r="B11" s="155" t="s">
        <v>2502</v>
      </c>
      <c r="C11" s="155" t="s">
        <v>5096</v>
      </c>
      <c r="D11" s="80" t="s">
        <v>5097</v>
      </c>
      <c r="E11" s="80" t="s">
        <v>5098</v>
      </c>
      <c r="F11" s="136" t="s">
        <v>5099</v>
      </c>
      <c r="G11" s="80" t="s">
        <v>5100</v>
      </c>
      <c r="H11" s="80" t="s">
        <v>5101</v>
      </c>
      <c r="I11" s="81">
        <v>600</v>
      </c>
      <c r="J11" s="81">
        <v>0</v>
      </c>
      <c r="K11" s="81">
        <v>0</v>
      </c>
      <c r="L11" s="81">
        <v>600</v>
      </c>
      <c r="M11" s="81">
        <v>0</v>
      </c>
      <c r="N11" s="80"/>
      <c r="O11" s="80"/>
      <c r="P11" s="80" t="s">
        <v>261</v>
      </c>
      <c r="Q11" s="80"/>
      <c r="R11" s="80" t="s">
        <v>5102</v>
      </c>
      <c r="S11" s="80" t="s">
        <v>5103</v>
      </c>
      <c r="T11" s="80" t="s">
        <v>5076</v>
      </c>
      <c r="U11" s="80" t="s">
        <v>5077</v>
      </c>
      <c r="V11" s="80" t="s">
        <v>5078</v>
      </c>
      <c r="W11" s="81">
        <f t="shared" si="0"/>
        <v>190</v>
      </c>
      <c r="X11" s="81">
        <v>190</v>
      </c>
      <c r="Y11" s="81">
        <v>0</v>
      </c>
      <c r="Z11" s="80" t="s">
        <v>5104</v>
      </c>
    </row>
    <row r="12" spans="1:27" s="65" customFormat="1" ht="38.25" customHeight="1">
      <c r="A12" s="155">
        <v>8</v>
      </c>
      <c r="B12" s="155" t="s">
        <v>2502</v>
      </c>
      <c r="C12" s="155" t="s">
        <v>5105</v>
      </c>
      <c r="D12" s="240" t="s">
        <v>5106</v>
      </c>
      <c r="E12" s="80" t="s">
        <v>5107</v>
      </c>
      <c r="F12" s="136" t="s">
        <v>5108</v>
      </c>
      <c r="G12" s="80" t="s">
        <v>5109</v>
      </c>
      <c r="H12" s="241" t="s">
        <v>5110</v>
      </c>
      <c r="I12" s="81">
        <v>15</v>
      </c>
      <c r="J12" s="81">
        <v>0</v>
      </c>
      <c r="K12" s="81">
        <v>0</v>
      </c>
      <c r="L12" s="81">
        <v>0</v>
      </c>
      <c r="M12" s="81">
        <v>15</v>
      </c>
      <c r="N12" s="80"/>
      <c r="O12" s="80"/>
      <c r="P12" s="80" t="s">
        <v>261</v>
      </c>
      <c r="Q12" s="80"/>
      <c r="R12" s="80" t="s">
        <v>5111</v>
      </c>
      <c r="S12" s="80" t="s">
        <v>5047</v>
      </c>
      <c r="T12" s="80" t="s">
        <v>5112</v>
      </c>
      <c r="U12" s="80" t="s">
        <v>5077</v>
      </c>
      <c r="V12" s="80" t="s">
        <v>5078</v>
      </c>
      <c r="W12" s="81">
        <f t="shared" si="0"/>
        <v>20</v>
      </c>
      <c r="X12" s="81">
        <v>20</v>
      </c>
      <c r="Y12" s="81">
        <v>0</v>
      </c>
      <c r="Z12" s="80" t="s">
        <v>5113</v>
      </c>
    </row>
    <row r="13" spans="1:27" s="65" customFormat="1" ht="38.25" customHeight="1">
      <c r="A13" s="155">
        <v>9</v>
      </c>
      <c r="B13" s="155" t="s">
        <v>2502</v>
      </c>
      <c r="C13" s="155" t="s">
        <v>5105</v>
      </c>
      <c r="D13" s="240" t="s">
        <v>5114</v>
      </c>
      <c r="E13" s="80" t="s">
        <v>5115</v>
      </c>
      <c r="F13" s="136" t="s">
        <v>5116</v>
      </c>
      <c r="G13" s="80" t="s">
        <v>5117</v>
      </c>
      <c r="H13" s="241" t="s">
        <v>5118</v>
      </c>
      <c r="I13" s="81">
        <v>100</v>
      </c>
      <c r="J13" s="81">
        <v>0</v>
      </c>
      <c r="K13" s="81">
        <v>0</v>
      </c>
      <c r="L13" s="81">
        <v>100</v>
      </c>
      <c r="M13" s="81">
        <v>0</v>
      </c>
      <c r="N13" s="80"/>
      <c r="O13" s="80"/>
      <c r="P13" s="80" t="s">
        <v>261</v>
      </c>
      <c r="Q13" s="80"/>
      <c r="R13" s="80" t="s">
        <v>5119</v>
      </c>
      <c r="S13" s="80" t="s">
        <v>5047</v>
      </c>
      <c r="T13" s="80" t="s">
        <v>5112</v>
      </c>
      <c r="U13" s="80" t="s">
        <v>5077</v>
      </c>
      <c r="V13" s="80" t="s">
        <v>5078</v>
      </c>
      <c r="W13" s="81">
        <f t="shared" si="0"/>
        <v>15</v>
      </c>
      <c r="X13" s="81">
        <v>15</v>
      </c>
      <c r="Y13" s="81">
        <v>0</v>
      </c>
      <c r="Z13" s="80" t="s">
        <v>5120</v>
      </c>
    </row>
    <row r="14" spans="1:27" s="65" customFormat="1" ht="38.25" customHeight="1">
      <c r="A14" s="155">
        <v>10</v>
      </c>
      <c r="B14" s="155" t="s">
        <v>2502</v>
      </c>
      <c r="C14" s="155" t="s">
        <v>5105</v>
      </c>
      <c r="D14" s="240" t="s">
        <v>5121</v>
      </c>
      <c r="E14" s="80" t="s">
        <v>5122</v>
      </c>
      <c r="F14" s="136" t="s">
        <v>5123</v>
      </c>
      <c r="G14" s="80" t="s">
        <v>5124</v>
      </c>
      <c r="H14" s="241" t="s">
        <v>5125</v>
      </c>
      <c r="I14" s="81">
        <v>90</v>
      </c>
      <c r="J14" s="81">
        <v>0</v>
      </c>
      <c r="K14" s="81">
        <v>0</v>
      </c>
      <c r="L14" s="81">
        <v>90</v>
      </c>
      <c r="M14" s="81">
        <v>0</v>
      </c>
      <c r="N14" s="80"/>
      <c r="O14" s="80"/>
      <c r="P14" s="80" t="s">
        <v>261</v>
      </c>
      <c r="Q14" s="80"/>
      <c r="R14" s="80" t="s">
        <v>5126</v>
      </c>
      <c r="S14" s="80" t="s">
        <v>5035</v>
      </c>
      <c r="T14" s="80" t="s">
        <v>5127</v>
      </c>
      <c r="U14" s="80" t="s">
        <v>5128</v>
      </c>
      <c r="V14" s="80" t="s">
        <v>5129</v>
      </c>
      <c r="W14" s="81">
        <f t="shared" si="0"/>
        <v>10</v>
      </c>
      <c r="X14" s="81">
        <v>10</v>
      </c>
      <c r="Y14" s="81">
        <v>0</v>
      </c>
      <c r="Z14" s="80" t="s">
        <v>5130</v>
      </c>
    </row>
    <row r="15" spans="1:27" s="65" customFormat="1" ht="38.25" customHeight="1">
      <c r="A15" s="155">
        <v>11</v>
      </c>
      <c r="B15" s="155" t="s">
        <v>2502</v>
      </c>
      <c r="C15" s="155" t="s">
        <v>5131</v>
      </c>
      <c r="D15" s="240" t="s">
        <v>5132</v>
      </c>
      <c r="E15" s="80" t="s">
        <v>5133</v>
      </c>
      <c r="F15" s="136" t="s">
        <v>5134</v>
      </c>
      <c r="G15" s="80" t="s">
        <v>5135</v>
      </c>
      <c r="H15" s="80" t="s">
        <v>5136</v>
      </c>
      <c r="I15" s="81">
        <v>150</v>
      </c>
      <c r="J15" s="81">
        <v>0</v>
      </c>
      <c r="K15" s="81">
        <v>0</v>
      </c>
      <c r="L15" s="81">
        <v>150</v>
      </c>
      <c r="M15" s="81">
        <v>0</v>
      </c>
      <c r="N15" s="80"/>
      <c r="O15" s="80"/>
      <c r="P15" s="80" t="s">
        <v>209</v>
      </c>
      <c r="Q15" s="80"/>
      <c r="R15" s="80" t="s">
        <v>5137</v>
      </c>
      <c r="S15" s="80" t="s">
        <v>5035</v>
      </c>
      <c r="T15" s="80" t="s">
        <v>5138</v>
      </c>
      <c r="U15" s="80" t="s">
        <v>5128</v>
      </c>
      <c r="V15" s="80" t="s">
        <v>5129</v>
      </c>
      <c r="W15" s="81">
        <f t="shared" si="0"/>
        <v>30</v>
      </c>
      <c r="X15" s="81">
        <v>30</v>
      </c>
      <c r="Y15" s="81">
        <v>0</v>
      </c>
      <c r="Z15" s="80" t="s">
        <v>5139</v>
      </c>
    </row>
    <row r="16" spans="1:27" s="65" customFormat="1" ht="38.25" customHeight="1">
      <c r="A16" s="155">
        <v>12</v>
      </c>
      <c r="B16" s="155" t="s">
        <v>2502</v>
      </c>
      <c r="C16" s="155" t="s">
        <v>5131</v>
      </c>
      <c r="D16" s="80" t="s">
        <v>5140</v>
      </c>
      <c r="E16" s="80" t="s">
        <v>5141</v>
      </c>
      <c r="F16" s="136" t="s">
        <v>5142</v>
      </c>
      <c r="G16" s="80" t="s">
        <v>5143</v>
      </c>
      <c r="H16" s="80" t="s">
        <v>5144</v>
      </c>
      <c r="I16" s="81">
        <v>300</v>
      </c>
      <c r="J16" s="81">
        <v>0</v>
      </c>
      <c r="K16" s="81">
        <v>0</v>
      </c>
      <c r="L16" s="81">
        <v>300</v>
      </c>
      <c r="M16" s="81">
        <v>0</v>
      </c>
      <c r="N16" s="80"/>
      <c r="O16" s="80"/>
      <c r="P16" s="80" t="s">
        <v>247</v>
      </c>
      <c r="Q16" s="80"/>
      <c r="R16" s="80" t="s">
        <v>5145</v>
      </c>
      <c r="S16" s="80" t="s">
        <v>5035</v>
      </c>
      <c r="T16" s="80" t="s">
        <v>5127</v>
      </c>
      <c r="U16" s="80" t="s">
        <v>5146</v>
      </c>
      <c r="V16" s="80" t="s">
        <v>5129</v>
      </c>
      <c r="W16" s="81">
        <f t="shared" si="0"/>
        <v>50</v>
      </c>
      <c r="X16" s="81">
        <v>50</v>
      </c>
      <c r="Y16" s="81">
        <v>0</v>
      </c>
      <c r="Z16" s="80" t="s">
        <v>5147</v>
      </c>
    </row>
    <row r="17" spans="1:26" s="65" customFormat="1" ht="48">
      <c r="A17" s="155">
        <v>13</v>
      </c>
      <c r="B17" s="155" t="s">
        <v>2502</v>
      </c>
      <c r="C17" s="155" t="s">
        <v>2505</v>
      </c>
      <c r="D17" s="80" t="s">
        <v>5148</v>
      </c>
      <c r="E17" s="80" t="s">
        <v>5149</v>
      </c>
      <c r="F17" s="136" t="s">
        <v>5150</v>
      </c>
      <c r="G17" s="80" t="s">
        <v>5151</v>
      </c>
      <c r="H17" s="80" t="s">
        <v>5152</v>
      </c>
      <c r="I17" s="81">
        <v>75</v>
      </c>
      <c r="J17" s="81">
        <v>0</v>
      </c>
      <c r="K17" s="81">
        <v>0</v>
      </c>
      <c r="L17" s="81">
        <v>60</v>
      </c>
      <c r="M17" s="81">
        <v>15</v>
      </c>
      <c r="N17" s="80"/>
      <c r="O17" s="80"/>
      <c r="P17" s="80" t="s">
        <v>261</v>
      </c>
      <c r="Q17" s="80"/>
      <c r="R17" s="80" t="s">
        <v>2506</v>
      </c>
      <c r="S17" s="80" t="s">
        <v>373</v>
      </c>
      <c r="T17" s="80" t="s">
        <v>501</v>
      </c>
      <c r="U17" s="80" t="s">
        <v>5153</v>
      </c>
      <c r="V17" s="80" t="s">
        <v>529</v>
      </c>
      <c r="W17" s="81">
        <v>230</v>
      </c>
      <c r="X17" s="81">
        <v>230</v>
      </c>
      <c r="Y17" s="81">
        <v>0</v>
      </c>
      <c r="Z17" s="80" t="s">
        <v>2507</v>
      </c>
    </row>
    <row r="18" spans="1:26" s="65" customFormat="1" ht="60">
      <c r="A18" s="155">
        <v>14</v>
      </c>
      <c r="B18" s="155" t="s">
        <v>2502</v>
      </c>
      <c r="C18" s="155" t="s">
        <v>2505</v>
      </c>
      <c r="D18" s="80" t="s">
        <v>5154</v>
      </c>
      <c r="E18" s="80" t="s">
        <v>5155</v>
      </c>
      <c r="F18" s="136" t="s">
        <v>5156</v>
      </c>
      <c r="G18" s="80" t="s">
        <v>5157</v>
      </c>
      <c r="H18" s="80" t="s">
        <v>5158</v>
      </c>
      <c r="I18" s="81">
        <v>2290</v>
      </c>
      <c r="J18" s="81">
        <v>310</v>
      </c>
      <c r="K18" s="81">
        <v>400</v>
      </c>
      <c r="L18" s="81">
        <v>1400</v>
      </c>
      <c r="M18" s="81">
        <v>180</v>
      </c>
      <c r="N18" s="80"/>
      <c r="O18" s="80"/>
      <c r="P18" s="80" t="s">
        <v>247</v>
      </c>
      <c r="Q18" s="80"/>
      <c r="R18" s="80" t="s">
        <v>2509</v>
      </c>
      <c r="S18" s="80" t="s">
        <v>373</v>
      </c>
      <c r="T18" s="80" t="s">
        <v>501</v>
      </c>
      <c r="U18" s="80" t="s">
        <v>2510</v>
      </c>
      <c r="V18" s="80" t="s">
        <v>529</v>
      </c>
      <c r="W18" s="81">
        <v>30</v>
      </c>
      <c r="X18" s="81">
        <v>30</v>
      </c>
      <c r="Y18" s="81">
        <v>0</v>
      </c>
      <c r="Z18" s="80" t="s">
        <v>2511</v>
      </c>
    </row>
    <row r="19" spans="1:26" s="65" customFormat="1" ht="60">
      <c r="A19" s="155">
        <v>15</v>
      </c>
      <c r="B19" s="155" t="s">
        <v>2502</v>
      </c>
      <c r="C19" s="155" t="s">
        <v>2505</v>
      </c>
      <c r="D19" s="80" t="s">
        <v>5159</v>
      </c>
      <c r="E19" s="80" t="s">
        <v>5160</v>
      </c>
      <c r="F19" s="136" t="s">
        <v>5161</v>
      </c>
      <c r="G19" s="80" t="s">
        <v>5162</v>
      </c>
      <c r="H19" s="80" t="s">
        <v>5163</v>
      </c>
      <c r="I19" s="81">
        <v>60</v>
      </c>
      <c r="J19" s="81">
        <v>0</v>
      </c>
      <c r="K19" s="81">
        <v>0</v>
      </c>
      <c r="L19" s="81">
        <v>50</v>
      </c>
      <c r="M19" s="81">
        <v>10</v>
      </c>
      <c r="N19" s="80"/>
      <c r="O19" s="80"/>
      <c r="P19" s="80" t="s">
        <v>304</v>
      </c>
      <c r="Q19" s="80"/>
      <c r="R19" s="80" t="s">
        <v>2512</v>
      </c>
      <c r="S19" s="80" t="s">
        <v>373</v>
      </c>
      <c r="T19" s="80" t="s">
        <v>501</v>
      </c>
      <c r="U19" s="80" t="s">
        <v>5153</v>
      </c>
      <c r="V19" s="80" t="s">
        <v>529</v>
      </c>
      <c r="W19" s="81">
        <v>10</v>
      </c>
      <c r="X19" s="81">
        <v>10</v>
      </c>
      <c r="Y19" s="81">
        <v>0</v>
      </c>
      <c r="Z19" s="80" t="s">
        <v>2513</v>
      </c>
    </row>
    <row r="20" spans="1:26" s="65" customFormat="1" ht="66.75" customHeight="1">
      <c r="A20" s="155">
        <v>16</v>
      </c>
      <c r="B20" s="155" t="s">
        <v>2502</v>
      </c>
      <c r="C20" s="80" t="s">
        <v>5164</v>
      </c>
      <c r="D20" s="155" t="s">
        <v>5165</v>
      </c>
      <c r="E20" s="80" t="s">
        <v>5166</v>
      </c>
      <c r="F20" s="136" t="s">
        <v>5167</v>
      </c>
      <c r="G20" s="80" t="s">
        <v>5168</v>
      </c>
      <c r="H20" s="80" t="s">
        <v>5169</v>
      </c>
      <c r="I20" s="81">
        <v>870</v>
      </c>
      <c r="J20" s="174">
        <v>0</v>
      </c>
      <c r="K20" s="81">
        <v>0</v>
      </c>
      <c r="L20" s="174">
        <v>870</v>
      </c>
      <c r="M20" s="81">
        <v>0</v>
      </c>
      <c r="N20" s="155"/>
      <c r="O20" s="155"/>
      <c r="P20" s="80" t="s">
        <v>5170</v>
      </c>
      <c r="Q20" s="80"/>
      <c r="R20" s="80" t="s">
        <v>5171</v>
      </c>
      <c r="S20" s="80" t="s">
        <v>5172</v>
      </c>
      <c r="T20" s="80" t="s">
        <v>5173</v>
      </c>
      <c r="U20" s="80" t="s">
        <v>5174</v>
      </c>
      <c r="V20" s="80" t="s">
        <v>5175</v>
      </c>
      <c r="W20" s="81">
        <v>894</v>
      </c>
      <c r="X20" s="81">
        <v>894</v>
      </c>
      <c r="Y20" s="81">
        <v>0</v>
      </c>
      <c r="Z20" s="80" t="s">
        <v>5176</v>
      </c>
    </row>
    <row r="21" spans="1:26" s="65" customFormat="1" ht="48.75" customHeight="1">
      <c r="A21" s="155">
        <v>17</v>
      </c>
      <c r="B21" s="155" t="s">
        <v>2502</v>
      </c>
      <c r="C21" s="155" t="s">
        <v>5177</v>
      </c>
      <c r="D21" s="80" t="s">
        <v>5178</v>
      </c>
      <c r="E21" s="80" t="s">
        <v>5179</v>
      </c>
      <c r="F21" s="136" t="s">
        <v>5180</v>
      </c>
      <c r="G21" s="80" t="s">
        <v>5181</v>
      </c>
      <c r="H21" s="80" t="s">
        <v>5182</v>
      </c>
      <c r="I21" s="81">
        <v>305</v>
      </c>
      <c r="J21" s="81">
        <v>5.0999999999999996</v>
      </c>
      <c r="K21" s="81">
        <v>50</v>
      </c>
      <c r="L21" s="81">
        <v>200</v>
      </c>
      <c r="M21" s="81">
        <v>50</v>
      </c>
      <c r="N21" s="80" t="s">
        <v>5183</v>
      </c>
      <c r="O21" s="80" t="s">
        <v>5184</v>
      </c>
      <c r="P21" s="80" t="s">
        <v>247</v>
      </c>
      <c r="Q21" s="80"/>
      <c r="R21" s="80" t="s">
        <v>5185</v>
      </c>
      <c r="S21" s="80" t="s">
        <v>5172</v>
      </c>
      <c r="T21" s="80" t="s">
        <v>5173</v>
      </c>
      <c r="U21" s="80" t="s">
        <v>5174</v>
      </c>
      <c r="V21" s="80" t="s">
        <v>5175</v>
      </c>
      <c r="W21" s="81">
        <f>SUM(X21:Y21)</f>
        <v>12.7</v>
      </c>
      <c r="X21" s="81">
        <v>12.7</v>
      </c>
      <c r="Y21" s="81">
        <v>0</v>
      </c>
      <c r="Z21" s="80" t="s">
        <v>5186</v>
      </c>
    </row>
    <row r="22" spans="1:26" s="65" customFormat="1" ht="52.5" customHeight="1">
      <c r="A22" s="155">
        <v>18</v>
      </c>
      <c r="B22" s="155" t="s">
        <v>2502</v>
      </c>
      <c r="C22" s="155" t="s">
        <v>5187</v>
      </c>
      <c r="D22" s="80" t="s">
        <v>5188</v>
      </c>
      <c r="E22" s="80" t="s">
        <v>5189</v>
      </c>
      <c r="F22" s="136" t="s">
        <v>5190</v>
      </c>
      <c r="G22" s="80" t="s">
        <v>5191</v>
      </c>
      <c r="H22" s="80" t="s">
        <v>5192</v>
      </c>
      <c r="I22" s="81">
        <v>81</v>
      </c>
      <c r="J22" s="81">
        <v>0</v>
      </c>
      <c r="K22" s="81">
        <v>0</v>
      </c>
      <c r="L22" s="81">
        <v>72.5</v>
      </c>
      <c r="M22" s="81">
        <v>8.5</v>
      </c>
      <c r="N22" s="80"/>
      <c r="O22" s="80"/>
      <c r="P22" s="80" t="s">
        <v>247</v>
      </c>
      <c r="Q22" s="80"/>
      <c r="R22" s="80" t="s">
        <v>5193</v>
      </c>
      <c r="S22" s="80" t="s">
        <v>5047</v>
      </c>
      <c r="T22" s="80" t="s">
        <v>5194</v>
      </c>
      <c r="U22" s="80" t="s">
        <v>5077</v>
      </c>
      <c r="V22" s="80" t="s">
        <v>5078</v>
      </c>
      <c r="W22" s="81">
        <f>SUM(X22:Y22)</f>
        <v>2</v>
      </c>
      <c r="X22" s="81">
        <v>2</v>
      </c>
      <c r="Y22" s="81">
        <v>0</v>
      </c>
      <c r="Z22" s="80" t="s">
        <v>5195</v>
      </c>
    </row>
    <row r="23" spans="1:26" s="65" customFormat="1" ht="47.25" customHeight="1">
      <c r="A23" s="155">
        <v>19</v>
      </c>
      <c r="B23" s="155" t="s">
        <v>2502</v>
      </c>
      <c r="C23" s="155" t="s">
        <v>5187</v>
      </c>
      <c r="D23" s="80" t="s">
        <v>5196</v>
      </c>
      <c r="E23" s="80" t="s">
        <v>2889</v>
      </c>
      <c r="F23" s="136" t="s">
        <v>2515</v>
      </c>
      <c r="G23" s="80" t="s">
        <v>2514</v>
      </c>
      <c r="H23" s="80" t="s">
        <v>2410</v>
      </c>
      <c r="I23" s="81">
        <v>80</v>
      </c>
      <c r="J23" s="81">
        <v>0</v>
      </c>
      <c r="K23" s="81">
        <v>20</v>
      </c>
      <c r="L23" s="81">
        <v>60</v>
      </c>
      <c r="M23" s="81">
        <v>0</v>
      </c>
      <c r="N23" s="80"/>
      <c r="O23" s="80"/>
      <c r="P23" s="80" t="s">
        <v>304</v>
      </c>
      <c r="Q23" s="80"/>
      <c r="R23" s="80" t="s">
        <v>5197</v>
      </c>
      <c r="S23" s="80" t="s">
        <v>5047</v>
      </c>
      <c r="T23" s="80" t="s">
        <v>5198</v>
      </c>
      <c r="U23" s="80" t="s">
        <v>5077</v>
      </c>
      <c r="V23" s="80" t="s">
        <v>5078</v>
      </c>
      <c r="W23" s="81">
        <v>4</v>
      </c>
      <c r="X23" s="81">
        <v>4</v>
      </c>
      <c r="Y23" s="81">
        <v>0</v>
      </c>
      <c r="Z23" s="80" t="s">
        <v>5199</v>
      </c>
    </row>
    <row r="24" spans="1:26" s="65" customFormat="1" ht="38.25" customHeight="1">
      <c r="A24" s="155">
        <v>20</v>
      </c>
      <c r="B24" s="155" t="s">
        <v>5052</v>
      </c>
      <c r="C24" s="155" t="s">
        <v>5200</v>
      </c>
      <c r="D24" s="80" t="s">
        <v>5201</v>
      </c>
      <c r="E24" s="80" t="s">
        <v>5202</v>
      </c>
      <c r="F24" s="136" t="s">
        <v>5203</v>
      </c>
      <c r="G24" s="80" t="s">
        <v>5204</v>
      </c>
      <c r="H24" s="80" t="s">
        <v>5205</v>
      </c>
      <c r="I24" s="81">
        <v>220</v>
      </c>
      <c r="J24" s="81">
        <v>0</v>
      </c>
      <c r="K24" s="81"/>
      <c r="L24" s="81">
        <v>220</v>
      </c>
      <c r="M24" s="81">
        <v>0</v>
      </c>
      <c r="N24" s="80"/>
      <c r="O24" s="80"/>
      <c r="P24" s="80" t="s">
        <v>209</v>
      </c>
      <c r="Q24" s="80"/>
      <c r="R24" s="80" t="s">
        <v>5206</v>
      </c>
      <c r="S24" s="80" t="s">
        <v>5047</v>
      </c>
      <c r="T24" s="80" t="s">
        <v>5095</v>
      </c>
      <c r="U24" s="80" t="s">
        <v>5077</v>
      </c>
      <c r="V24" s="80" t="s">
        <v>5207</v>
      </c>
      <c r="W24" s="81">
        <f>SUM(X24:Y24)</f>
        <v>41</v>
      </c>
      <c r="X24" s="81">
        <v>41</v>
      </c>
      <c r="Y24" s="81">
        <v>0</v>
      </c>
      <c r="Z24" s="80" t="s">
        <v>5208</v>
      </c>
    </row>
    <row r="25" spans="1:26" s="65" customFormat="1" ht="72.75" customHeight="1">
      <c r="A25" s="155">
        <v>21</v>
      </c>
      <c r="B25" s="155" t="s">
        <v>5209</v>
      </c>
      <c r="C25" s="155" t="s">
        <v>5210</v>
      </c>
      <c r="D25" s="80" t="s">
        <v>5211</v>
      </c>
      <c r="E25" s="80" t="s">
        <v>5212</v>
      </c>
      <c r="F25" s="242" t="s">
        <v>5213</v>
      </c>
      <c r="G25" s="241" t="s">
        <v>5214</v>
      </c>
      <c r="H25" s="243" t="s">
        <v>5215</v>
      </c>
      <c r="I25" s="81">
        <v>610</v>
      </c>
      <c r="J25" s="81">
        <v>0</v>
      </c>
      <c r="K25" s="81">
        <v>70</v>
      </c>
      <c r="L25" s="81">
        <v>540</v>
      </c>
      <c r="M25" s="81">
        <v>0</v>
      </c>
      <c r="N25" s="80"/>
      <c r="O25" s="80"/>
      <c r="P25" s="80" t="s">
        <v>247</v>
      </c>
      <c r="Q25" s="80" t="s">
        <v>5216</v>
      </c>
      <c r="R25" s="80" t="s">
        <v>5217</v>
      </c>
      <c r="S25" s="80" t="s">
        <v>5218</v>
      </c>
      <c r="T25" s="80" t="s">
        <v>5219</v>
      </c>
      <c r="U25" s="80" t="s">
        <v>5063</v>
      </c>
      <c r="V25" s="80" t="s">
        <v>5064</v>
      </c>
      <c r="W25" s="81">
        <f>SUM(X25:Y25)</f>
        <v>54</v>
      </c>
      <c r="X25" s="81">
        <v>54</v>
      </c>
      <c r="Y25" s="81">
        <v>0</v>
      </c>
      <c r="Z25" s="80" t="s">
        <v>5220</v>
      </c>
    </row>
    <row r="26" spans="1:26" s="65" customFormat="1" ht="64.5" customHeight="1">
      <c r="A26" s="155">
        <v>22</v>
      </c>
      <c r="B26" s="155" t="s">
        <v>5221</v>
      </c>
      <c r="C26" s="155" t="s">
        <v>5222</v>
      </c>
      <c r="D26" s="80" t="s">
        <v>5223</v>
      </c>
      <c r="E26" s="80" t="s">
        <v>5224</v>
      </c>
      <c r="F26" s="136" t="s">
        <v>5225</v>
      </c>
      <c r="G26" s="80" t="s">
        <v>5226</v>
      </c>
      <c r="H26" s="243" t="s">
        <v>5169</v>
      </c>
      <c r="I26" s="81">
        <v>487</v>
      </c>
      <c r="J26" s="81">
        <v>0</v>
      </c>
      <c r="K26" s="81">
        <v>0</v>
      </c>
      <c r="L26" s="81">
        <v>487</v>
      </c>
      <c r="M26" s="81">
        <v>0</v>
      </c>
      <c r="N26" s="80"/>
      <c r="O26" s="80"/>
      <c r="P26" s="80" t="s">
        <v>209</v>
      </c>
      <c r="Q26" s="80"/>
      <c r="R26" s="80" t="s">
        <v>5227</v>
      </c>
      <c r="S26" s="80" t="s">
        <v>5218</v>
      </c>
      <c r="T26" s="80" t="s">
        <v>5228</v>
      </c>
      <c r="U26" s="80" t="s">
        <v>5229</v>
      </c>
      <c r="V26" s="80" t="s">
        <v>5230</v>
      </c>
      <c r="W26" s="81">
        <f>SUM(X26:Y26)</f>
        <v>81</v>
      </c>
      <c r="X26" s="81">
        <v>81</v>
      </c>
      <c r="Y26" s="81">
        <v>0</v>
      </c>
      <c r="Z26" s="80" t="s">
        <v>5231</v>
      </c>
    </row>
    <row r="27" spans="1:26" s="65" customFormat="1" ht="36">
      <c r="A27" s="155">
        <v>23</v>
      </c>
      <c r="B27" s="155" t="s">
        <v>5221</v>
      </c>
      <c r="C27" s="155" t="s">
        <v>5222</v>
      </c>
      <c r="D27" s="80" t="s">
        <v>5232</v>
      </c>
      <c r="E27" s="80" t="s">
        <v>5233</v>
      </c>
      <c r="F27" s="244" t="s">
        <v>5234</v>
      </c>
      <c r="G27" s="241" t="s">
        <v>5235</v>
      </c>
      <c r="H27" s="243" t="s">
        <v>5236</v>
      </c>
      <c r="I27" s="81">
        <v>30</v>
      </c>
      <c r="J27" s="81">
        <v>0</v>
      </c>
      <c r="K27" s="81">
        <v>0</v>
      </c>
      <c r="L27" s="81">
        <v>30</v>
      </c>
      <c r="M27" s="81">
        <v>0</v>
      </c>
      <c r="N27" s="80"/>
      <c r="O27" s="80"/>
      <c r="P27" s="80" t="s">
        <v>247</v>
      </c>
      <c r="Q27" s="80"/>
      <c r="R27" s="80" t="s">
        <v>5237</v>
      </c>
      <c r="S27" s="80" t="s">
        <v>5218</v>
      </c>
      <c r="T27" s="80" t="s">
        <v>5219</v>
      </c>
      <c r="U27" s="80" t="s">
        <v>5063</v>
      </c>
      <c r="V27" s="80" t="s">
        <v>5064</v>
      </c>
      <c r="W27" s="81">
        <f>SUM(X27:Y27)</f>
        <v>2</v>
      </c>
      <c r="X27" s="81">
        <v>2</v>
      </c>
      <c r="Y27" s="81">
        <v>0</v>
      </c>
      <c r="Z27" s="80" t="s">
        <v>5238</v>
      </c>
    </row>
    <row r="28" spans="1:26" s="65" customFormat="1" ht="64.5" customHeight="1">
      <c r="A28" s="155">
        <v>24</v>
      </c>
      <c r="B28" s="155" t="s">
        <v>2502</v>
      </c>
      <c r="C28" s="155" t="s">
        <v>2517</v>
      </c>
      <c r="D28" s="80" t="s">
        <v>5239</v>
      </c>
      <c r="E28" s="80" t="s">
        <v>5240</v>
      </c>
      <c r="F28" s="136" t="s">
        <v>2518</v>
      </c>
      <c r="G28" s="80" t="s">
        <v>2519</v>
      </c>
      <c r="H28" s="80" t="s">
        <v>5241</v>
      </c>
      <c r="I28" s="81">
        <v>1000</v>
      </c>
      <c r="J28" s="81">
        <v>0</v>
      </c>
      <c r="K28" s="81">
        <v>0</v>
      </c>
      <c r="L28" s="81">
        <v>1000</v>
      </c>
      <c r="M28" s="81">
        <v>0</v>
      </c>
      <c r="N28" s="80"/>
      <c r="O28" s="80"/>
      <c r="P28" s="80" t="s">
        <v>304</v>
      </c>
      <c r="Q28" s="80"/>
      <c r="R28" s="80" t="s">
        <v>2520</v>
      </c>
      <c r="S28" s="80" t="s">
        <v>1499</v>
      </c>
      <c r="T28" s="80" t="s">
        <v>527</v>
      </c>
      <c r="U28" s="80" t="s">
        <v>5242</v>
      </c>
      <c r="V28" s="80" t="s">
        <v>1924</v>
      </c>
      <c r="W28" s="81">
        <v>300</v>
      </c>
      <c r="X28" s="81">
        <v>300</v>
      </c>
      <c r="Y28" s="81">
        <v>0</v>
      </c>
      <c r="Z28" s="80" t="s">
        <v>5243</v>
      </c>
    </row>
    <row r="29" spans="1:26" s="65" customFormat="1" ht="64.5" customHeight="1">
      <c r="A29" s="155">
        <v>25</v>
      </c>
      <c r="B29" s="155" t="s">
        <v>2502</v>
      </c>
      <c r="C29" s="155" t="s">
        <v>2517</v>
      </c>
      <c r="D29" s="80" t="s">
        <v>2521</v>
      </c>
      <c r="E29" s="80" t="s">
        <v>5244</v>
      </c>
      <c r="F29" s="136" t="s">
        <v>2522</v>
      </c>
      <c r="G29" s="80" t="s">
        <v>5245</v>
      </c>
      <c r="H29" s="80" t="s">
        <v>5246</v>
      </c>
      <c r="I29" s="81">
        <v>355</v>
      </c>
      <c r="J29" s="81">
        <v>0</v>
      </c>
      <c r="K29" s="81">
        <v>0</v>
      </c>
      <c r="L29" s="81">
        <v>355</v>
      </c>
      <c r="M29" s="81">
        <v>0</v>
      </c>
      <c r="N29" s="80"/>
      <c r="O29" s="80"/>
      <c r="P29" s="80" t="s">
        <v>209</v>
      </c>
      <c r="Q29" s="80"/>
      <c r="R29" s="80" t="s">
        <v>5247</v>
      </c>
      <c r="S29" s="80" t="s">
        <v>1499</v>
      </c>
      <c r="T29" s="80" t="s">
        <v>2523</v>
      </c>
      <c r="U29" s="80" t="s">
        <v>5248</v>
      </c>
      <c r="V29" s="80" t="s">
        <v>1924</v>
      </c>
      <c r="W29" s="81">
        <v>183</v>
      </c>
      <c r="X29" s="81">
        <v>183</v>
      </c>
      <c r="Y29" s="81">
        <v>0</v>
      </c>
      <c r="Z29" s="80" t="s">
        <v>5243</v>
      </c>
    </row>
    <row r="30" spans="1:26" s="65" customFormat="1" ht="62.25" customHeight="1">
      <c r="A30" s="155">
        <v>26</v>
      </c>
      <c r="B30" s="155" t="s">
        <v>2502</v>
      </c>
      <c r="C30" s="155" t="s">
        <v>2517</v>
      </c>
      <c r="D30" s="80" t="s">
        <v>2524</v>
      </c>
      <c r="E30" s="80" t="s">
        <v>5249</v>
      </c>
      <c r="F30" s="136" t="s">
        <v>2525</v>
      </c>
      <c r="G30" s="80" t="s">
        <v>5250</v>
      </c>
      <c r="H30" s="80" t="s">
        <v>5251</v>
      </c>
      <c r="I30" s="81">
        <v>785</v>
      </c>
      <c r="J30" s="81">
        <v>0</v>
      </c>
      <c r="K30" s="81">
        <v>50</v>
      </c>
      <c r="L30" s="81">
        <v>735</v>
      </c>
      <c r="M30" s="81">
        <v>0</v>
      </c>
      <c r="N30" s="80"/>
      <c r="O30" s="80"/>
      <c r="P30" s="80" t="s">
        <v>209</v>
      </c>
      <c r="Q30" s="80"/>
      <c r="R30" s="80" t="s">
        <v>5227</v>
      </c>
      <c r="S30" s="80" t="s">
        <v>1499</v>
      </c>
      <c r="T30" s="80" t="s">
        <v>527</v>
      </c>
      <c r="U30" s="80" t="s">
        <v>5248</v>
      </c>
      <c r="V30" s="80" t="s">
        <v>1924</v>
      </c>
      <c r="W30" s="81">
        <v>200</v>
      </c>
      <c r="X30" s="81">
        <v>200</v>
      </c>
      <c r="Y30" s="81">
        <v>0</v>
      </c>
      <c r="Z30" s="80" t="s">
        <v>5252</v>
      </c>
    </row>
    <row r="31" spans="1:26" s="65" customFormat="1" ht="68.25" customHeight="1">
      <c r="A31" s="155">
        <v>27</v>
      </c>
      <c r="B31" s="155" t="s">
        <v>2502</v>
      </c>
      <c r="C31" s="155" t="s">
        <v>2517</v>
      </c>
      <c r="D31" s="80" t="s">
        <v>2526</v>
      </c>
      <c r="E31" s="80" t="s">
        <v>5253</v>
      </c>
      <c r="F31" s="136" t="s">
        <v>2527</v>
      </c>
      <c r="G31" s="80" t="s">
        <v>5254</v>
      </c>
      <c r="H31" s="80" t="s">
        <v>5255</v>
      </c>
      <c r="I31" s="81">
        <v>470</v>
      </c>
      <c r="J31" s="81">
        <v>0</v>
      </c>
      <c r="K31" s="81">
        <v>0</v>
      </c>
      <c r="L31" s="81">
        <v>470</v>
      </c>
      <c r="M31" s="81">
        <v>0</v>
      </c>
      <c r="N31" s="80"/>
      <c r="O31" s="80"/>
      <c r="P31" s="80" t="s">
        <v>209</v>
      </c>
      <c r="Q31" s="80"/>
      <c r="R31" s="80" t="s">
        <v>5256</v>
      </c>
      <c r="S31" s="80" t="s">
        <v>1499</v>
      </c>
      <c r="T31" s="80" t="s">
        <v>527</v>
      </c>
      <c r="U31" s="80" t="s">
        <v>5257</v>
      </c>
      <c r="V31" s="80" t="s">
        <v>1924</v>
      </c>
      <c r="W31" s="81">
        <v>22</v>
      </c>
      <c r="X31" s="81">
        <v>22</v>
      </c>
      <c r="Y31" s="81">
        <v>0</v>
      </c>
      <c r="Z31" s="80" t="s">
        <v>5258</v>
      </c>
    </row>
    <row r="32" spans="1:26" s="65" customFormat="1" ht="96">
      <c r="A32" s="155">
        <v>28</v>
      </c>
      <c r="B32" s="155" t="s">
        <v>5209</v>
      </c>
      <c r="C32" s="155" t="s">
        <v>5259</v>
      </c>
      <c r="D32" s="80" t="s">
        <v>5260</v>
      </c>
      <c r="E32" s="80" t="s">
        <v>5261</v>
      </c>
      <c r="F32" s="136" t="s">
        <v>5262</v>
      </c>
      <c r="G32" s="80" t="s">
        <v>5263</v>
      </c>
      <c r="H32" s="80" t="s">
        <v>5264</v>
      </c>
      <c r="I32" s="81">
        <v>125</v>
      </c>
      <c r="J32" s="81">
        <v>0</v>
      </c>
      <c r="K32" s="81">
        <v>0</v>
      </c>
      <c r="L32" s="81">
        <v>125</v>
      </c>
      <c r="M32" s="81">
        <v>0</v>
      </c>
      <c r="N32" s="80"/>
      <c r="O32" s="31"/>
      <c r="P32" s="80" t="s">
        <v>5265</v>
      </c>
      <c r="Q32" s="234"/>
      <c r="R32" s="80" t="s">
        <v>5266</v>
      </c>
      <c r="S32" s="80" t="s">
        <v>5035</v>
      </c>
      <c r="T32" s="80" t="s">
        <v>5267</v>
      </c>
      <c r="U32" s="80" t="s">
        <v>5268</v>
      </c>
      <c r="V32" s="80" t="s">
        <v>5269</v>
      </c>
      <c r="W32" s="81">
        <f>SUM(X32:X32)</f>
        <v>12</v>
      </c>
      <c r="X32" s="81">
        <v>12</v>
      </c>
      <c r="Y32" s="73">
        <v>0</v>
      </c>
      <c r="Z32" s="80" t="s">
        <v>5270</v>
      </c>
    </row>
    <row r="33" spans="1:26" s="65" customFormat="1" ht="84">
      <c r="A33" s="155">
        <v>29</v>
      </c>
      <c r="B33" s="155" t="s">
        <v>5209</v>
      </c>
      <c r="C33" s="155" t="s">
        <v>5271</v>
      </c>
      <c r="D33" s="80" t="s">
        <v>5272</v>
      </c>
      <c r="E33" s="80" t="s">
        <v>5273</v>
      </c>
      <c r="F33" s="136" t="s">
        <v>5274</v>
      </c>
      <c r="G33" s="80" t="s">
        <v>5275</v>
      </c>
      <c r="H33" s="80" t="s">
        <v>5276</v>
      </c>
      <c r="I33" s="81">
        <v>325</v>
      </c>
      <c r="J33" s="81">
        <v>0</v>
      </c>
      <c r="K33" s="81">
        <v>30</v>
      </c>
      <c r="L33" s="81">
        <v>295</v>
      </c>
      <c r="M33" s="81">
        <v>0</v>
      </c>
      <c r="N33" s="80"/>
      <c r="O33" s="31"/>
      <c r="P33" s="80" t="s">
        <v>5277</v>
      </c>
      <c r="Q33" s="234"/>
      <c r="R33" s="80" t="s">
        <v>5278</v>
      </c>
      <c r="S33" s="80" t="s">
        <v>5035</v>
      </c>
      <c r="T33" s="80" t="s">
        <v>5279</v>
      </c>
      <c r="U33" s="80" t="s">
        <v>5280</v>
      </c>
      <c r="V33" s="80" t="s">
        <v>5269</v>
      </c>
      <c r="W33" s="81">
        <f>SUM(X33:X33)</f>
        <v>210</v>
      </c>
      <c r="X33" s="81">
        <v>210</v>
      </c>
      <c r="Y33" s="73">
        <v>0</v>
      </c>
      <c r="Z33" s="80" t="s">
        <v>5208</v>
      </c>
    </row>
    <row r="34" spans="1:26" s="65" customFormat="1" ht="48">
      <c r="A34" s="155">
        <v>30</v>
      </c>
      <c r="B34" s="155" t="s">
        <v>2502</v>
      </c>
      <c r="C34" s="155" t="s">
        <v>5281</v>
      </c>
      <c r="D34" s="80" t="s">
        <v>5282</v>
      </c>
      <c r="E34" s="80" t="s">
        <v>5283</v>
      </c>
      <c r="F34" s="136" t="s">
        <v>5284</v>
      </c>
      <c r="G34" s="80" t="s">
        <v>5285</v>
      </c>
      <c r="H34" s="80" t="s">
        <v>5286</v>
      </c>
      <c r="I34" s="81">
        <v>190</v>
      </c>
      <c r="J34" s="174">
        <v>0</v>
      </c>
      <c r="K34" s="174">
        <v>30</v>
      </c>
      <c r="L34" s="174">
        <v>160</v>
      </c>
      <c r="M34" s="81">
        <v>0</v>
      </c>
      <c r="N34" s="80"/>
      <c r="O34" s="80"/>
      <c r="P34" s="80" t="s">
        <v>5287</v>
      </c>
      <c r="Q34" s="80"/>
      <c r="R34" s="80" t="s">
        <v>5288</v>
      </c>
      <c r="S34" s="80" t="s">
        <v>5172</v>
      </c>
      <c r="T34" s="80" t="s">
        <v>5289</v>
      </c>
      <c r="U34" s="80" t="s">
        <v>5174</v>
      </c>
      <c r="V34" s="80" t="s">
        <v>5175</v>
      </c>
      <c r="W34" s="81">
        <f>SUM(X34:Y34)</f>
        <v>44</v>
      </c>
      <c r="X34" s="81">
        <v>43.3</v>
      </c>
      <c r="Y34" s="81">
        <v>0.7</v>
      </c>
      <c r="Z34" s="80" t="s">
        <v>5290</v>
      </c>
    </row>
    <row r="35" spans="1:26" s="65" customFormat="1" ht="63.75" customHeight="1">
      <c r="A35" s="155">
        <v>31</v>
      </c>
      <c r="B35" s="155" t="s">
        <v>2502</v>
      </c>
      <c r="C35" s="155" t="s">
        <v>5291</v>
      </c>
      <c r="D35" s="80" t="s">
        <v>5292</v>
      </c>
      <c r="E35" s="80" t="s">
        <v>5160</v>
      </c>
      <c r="F35" s="136" t="s">
        <v>5293</v>
      </c>
      <c r="G35" s="80" t="s">
        <v>5294</v>
      </c>
      <c r="H35" s="80" t="s">
        <v>5295</v>
      </c>
      <c r="I35" s="81">
        <v>400</v>
      </c>
      <c r="J35" s="81">
        <v>0</v>
      </c>
      <c r="K35" s="81">
        <v>0</v>
      </c>
      <c r="L35" s="81">
        <v>400</v>
      </c>
      <c r="M35" s="81">
        <v>0</v>
      </c>
      <c r="N35" s="80"/>
      <c r="O35" s="80"/>
      <c r="P35" s="80" t="s">
        <v>5296</v>
      </c>
      <c r="Q35" s="80"/>
      <c r="R35" s="80" t="s">
        <v>5297</v>
      </c>
      <c r="S35" s="80" t="s">
        <v>5172</v>
      </c>
      <c r="T35" s="80" t="s">
        <v>5289</v>
      </c>
      <c r="U35" s="80" t="s">
        <v>5174</v>
      </c>
      <c r="V35" s="80" t="s">
        <v>5175</v>
      </c>
      <c r="W35" s="81">
        <f>SUM(X35:Y35)</f>
        <v>180</v>
      </c>
      <c r="X35" s="81">
        <v>177</v>
      </c>
      <c r="Y35" s="81">
        <v>3</v>
      </c>
      <c r="Z35" s="80" t="s">
        <v>5298</v>
      </c>
    </row>
    <row r="36" spans="1:26" s="65" customFormat="1" ht="55.5" customHeight="1">
      <c r="A36" s="155">
        <v>32</v>
      </c>
      <c r="B36" s="155" t="s">
        <v>2502</v>
      </c>
      <c r="C36" s="155" t="s">
        <v>5299</v>
      </c>
      <c r="D36" s="80" t="s">
        <v>5300</v>
      </c>
      <c r="E36" s="80" t="s">
        <v>5301</v>
      </c>
      <c r="F36" s="136" t="s">
        <v>5302</v>
      </c>
      <c r="G36" s="80" t="s">
        <v>5303</v>
      </c>
      <c r="H36" s="80" t="s">
        <v>5304</v>
      </c>
      <c r="I36" s="81">
        <v>760</v>
      </c>
      <c r="J36" s="81">
        <v>80</v>
      </c>
      <c r="K36" s="81">
        <v>80</v>
      </c>
      <c r="L36" s="81">
        <v>600</v>
      </c>
      <c r="M36" s="81">
        <v>0</v>
      </c>
      <c r="N36" s="80" t="s">
        <v>5305</v>
      </c>
      <c r="O36" s="80" t="s">
        <v>5306</v>
      </c>
      <c r="P36" s="80" t="s">
        <v>5277</v>
      </c>
      <c r="Q36" s="175" t="s">
        <v>5307</v>
      </c>
      <c r="R36" s="80" t="s">
        <v>5308</v>
      </c>
      <c r="S36" s="80" t="s">
        <v>5035</v>
      </c>
      <c r="T36" s="80" t="s">
        <v>5138</v>
      </c>
      <c r="U36" s="80" t="s">
        <v>5309</v>
      </c>
      <c r="V36" s="80" t="s">
        <v>5038</v>
      </c>
      <c r="W36" s="81">
        <f>SUM(X36:Y36)</f>
        <v>195.8</v>
      </c>
      <c r="X36" s="81">
        <v>190</v>
      </c>
      <c r="Y36" s="81">
        <v>5.8</v>
      </c>
      <c r="Z36" s="80" t="s">
        <v>5310</v>
      </c>
    </row>
    <row r="37" spans="1:26" s="65" customFormat="1" ht="54" customHeight="1">
      <c r="A37" s="155">
        <v>33</v>
      </c>
      <c r="B37" s="155" t="s">
        <v>2502</v>
      </c>
      <c r="C37" s="155" t="s">
        <v>5311</v>
      </c>
      <c r="D37" s="80" t="s">
        <v>5312</v>
      </c>
      <c r="E37" s="80" t="s">
        <v>5313</v>
      </c>
      <c r="F37" s="136" t="s">
        <v>5314</v>
      </c>
      <c r="G37" s="283" t="s">
        <v>7072</v>
      </c>
      <c r="H37" s="80" t="s">
        <v>5315</v>
      </c>
      <c r="I37" s="81">
        <v>35</v>
      </c>
      <c r="J37" s="81">
        <v>0</v>
      </c>
      <c r="K37" s="81">
        <v>0</v>
      </c>
      <c r="L37" s="81">
        <v>0</v>
      </c>
      <c r="M37" s="81">
        <v>35</v>
      </c>
      <c r="N37" s="80"/>
      <c r="O37" s="80"/>
      <c r="P37" s="80" t="s">
        <v>5277</v>
      </c>
      <c r="Q37" s="234"/>
      <c r="R37" s="80" t="s">
        <v>5316</v>
      </c>
      <c r="S37" s="80" t="s">
        <v>5035</v>
      </c>
      <c r="T37" s="80" t="s">
        <v>5138</v>
      </c>
      <c r="U37" s="80" t="s">
        <v>5128</v>
      </c>
      <c r="V37" s="80" t="s">
        <v>5038</v>
      </c>
      <c r="W37" s="81">
        <v>2</v>
      </c>
      <c r="X37" s="81">
        <v>2</v>
      </c>
      <c r="Y37" s="81">
        <v>0</v>
      </c>
      <c r="Z37" s="80" t="s">
        <v>5317</v>
      </c>
    </row>
    <row r="38" spans="1:26" s="65" customFormat="1" ht="53.25" customHeight="1">
      <c r="A38" s="155">
        <v>34</v>
      </c>
      <c r="B38" s="155" t="s">
        <v>2502</v>
      </c>
      <c r="C38" s="155" t="s">
        <v>5311</v>
      </c>
      <c r="D38" s="80" t="s">
        <v>5318</v>
      </c>
      <c r="E38" s="80" t="s">
        <v>5319</v>
      </c>
      <c r="F38" s="136" t="s">
        <v>5320</v>
      </c>
      <c r="G38" s="80" t="s">
        <v>5321</v>
      </c>
      <c r="H38" s="80" t="s">
        <v>5322</v>
      </c>
      <c r="I38" s="81">
        <f>SUM(J38:M38)</f>
        <v>28.6</v>
      </c>
      <c r="J38" s="81">
        <v>0</v>
      </c>
      <c r="K38" s="81">
        <v>0</v>
      </c>
      <c r="L38" s="81">
        <v>20</v>
      </c>
      <c r="M38" s="81">
        <v>8.6</v>
      </c>
      <c r="N38" s="80"/>
      <c r="O38" s="80"/>
      <c r="P38" s="80" t="s">
        <v>5323</v>
      </c>
      <c r="Q38" s="234"/>
      <c r="R38" s="80" t="s">
        <v>5324</v>
      </c>
      <c r="S38" s="80" t="s">
        <v>5325</v>
      </c>
      <c r="T38" s="80" t="s">
        <v>5326</v>
      </c>
      <c r="U38" s="80" t="s">
        <v>5327</v>
      </c>
      <c r="V38" s="80" t="s">
        <v>5328</v>
      </c>
      <c r="W38" s="81">
        <f>SUM(X38:Y38)</f>
        <v>1.8</v>
      </c>
      <c r="X38" s="81">
        <v>1.8</v>
      </c>
      <c r="Y38" s="81">
        <v>0</v>
      </c>
      <c r="Z38" s="80" t="s">
        <v>5329</v>
      </c>
    </row>
    <row r="39" spans="1:26" s="65" customFormat="1" ht="48.75" customHeight="1">
      <c r="A39" s="155">
        <v>35</v>
      </c>
      <c r="B39" s="155" t="s">
        <v>2502</v>
      </c>
      <c r="C39" s="155" t="s">
        <v>5330</v>
      </c>
      <c r="D39" s="80" t="s">
        <v>5331</v>
      </c>
      <c r="E39" s="80" t="s">
        <v>5332</v>
      </c>
      <c r="F39" s="136" t="s">
        <v>5333</v>
      </c>
      <c r="G39" s="283" t="s">
        <v>7073</v>
      </c>
      <c r="H39" s="80" t="s">
        <v>5334</v>
      </c>
      <c r="I39" s="81">
        <f>SUM(J39:M39)</f>
        <v>29</v>
      </c>
      <c r="J39" s="81">
        <v>0</v>
      </c>
      <c r="K39" s="81">
        <v>0</v>
      </c>
      <c r="L39" s="81">
        <v>20</v>
      </c>
      <c r="M39" s="81">
        <v>9</v>
      </c>
      <c r="N39" s="80"/>
      <c r="O39" s="80"/>
      <c r="P39" s="80" t="s">
        <v>5277</v>
      </c>
      <c r="Q39" s="234"/>
      <c r="R39" s="80" t="s">
        <v>5335</v>
      </c>
      <c r="S39" s="80" t="s">
        <v>5035</v>
      </c>
      <c r="T39" s="80" t="s">
        <v>5138</v>
      </c>
      <c r="U39" s="80" t="s">
        <v>5128</v>
      </c>
      <c r="V39" s="80" t="s">
        <v>5038</v>
      </c>
      <c r="W39" s="81">
        <f>SUM(X39:Y39)</f>
        <v>7.5</v>
      </c>
      <c r="X39" s="81">
        <v>7.5</v>
      </c>
      <c r="Y39" s="81">
        <v>0</v>
      </c>
      <c r="Z39" s="80" t="s">
        <v>5310</v>
      </c>
    </row>
    <row r="40" spans="1:26" s="65" customFormat="1" ht="48.75" customHeight="1">
      <c r="A40" s="155">
        <v>36</v>
      </c>
      <c r="B40" s="155" t="s">
        <v>2502</v>
      </c>
      <c r="C40" s="155" t="s">
        <v>5311</v>
      </c>
      <c r="D40" s="80" t="s">
        <v>5336</v>
      </c>
      <c r="E40" s="80" t="s">
        <v>5337</v>
      </c>
      <c r="F40" s="136" t="s">
        <v>5338</v>
      </c>
      <c r="G40" s="283" t="s">
        <v>7074</v>
      </c>
      <c r="H40" s="80" t="s">
        <v>5339</v>
      </c>
      <c r="I40" s="81">
        <f>SUM(J40:M40)</f>
        <v>21.5</v>
      </c>
      <c r="J40" s="81">
        <v>0</v>
      </c>
      <c r="K40" s="81">
        <v>0</v>
      </c>
      <c r="L40" s="81">
        <v>15</v>
      </c>
      <c r="M40" s="81">
        <v>6.5</v>
      </c>
      <c r="N40" s="80"/>
      <c r="O40" s="80"/>
      <c r="P40" s="80" t="s">
        <v>5277</v>
      </c>
      <c r="Q40" s="234"/>
      <c r="R40" s="80" t="s">
        <v>5340</v>
      </c>
      <c r="S40" s="80" t="s">
        <v>5035</v>
      </c>
      <c r="T40" s="80" t="s">
        <v>5138</v>
      </c>
      <c r="U40" s="80" t="s">
        <v>5341</v>
      </c>
      <c r="V40" s="80" t="s">
        <v>5038</v>
      </c>
      <c r="W40" s="81">
        <f>SUM(X40:Y40)</f>
        <v>1</v>
      </c>
      <c r="X40" s="81">
        <v>1</v>
      </c>
      <c r="Y40" s="81">
        <v>0</v>
      </c>
      <c r="Z40" s="80" t="s">
        <v>5342</v>
      </c>
    </row>
    <row r="41" spans="1:26" s="65" customFormat="1" ht="48.75" customHeight="1">
      <c r="A41" s="155">
        <v>37</v>
      </c>
      <c r="B41" s="155" t="s">
        <v>2502</v>
      </c>
      <c r="C41" s="155" t="s">
        <v>5311</v>
      </c>
      <c r="D41" s="80" t="s">
        <v>5343</v>
      </c>
      <c r="E41" s="80" t="s">
        <v>5344</v>
      </c>
      <c r="F41" s="136" t="s">
        <v>5345</v>
      </c>
      <c r="G41" s="283" t="s">
        <v>7075</v>
      </c>
      <c r="H41" s="80" t="s">
        <v>5158</v>
      </c>
      <c r="I41" s="81">
        <f>SUM(J41:M41)</f>
        <v>43</v>
      </c>
      <c r="J41" s="81">
        <v>0</v>
      </c>
      <c r="K41" s="81">
        <v>0</v>
      </c>
      <c r="L41" s="81">
        <v>30</v>
      </c>
      <c r="M41" s="81">
        <v>13</v>
      </c>
      <c r="N41" s="80"/>
      <c r="O41" s="80"/>
      <c r="P41" s="80" t="s">
        <v>5346</v>
      </c>
      <c r="Q41" s="234"/>
      <c r="R41" s="80" t="s">
        <v>5347</v>
      </c>
      <c r="S41" s="80" t="s">
        <v>5035</v>
      </c>
      <c r="T41" s="80" t="s">
        <v>5138</v>
      </c>
      <c r="U41" s="80" t="s">
        <v>5128</v>
      </c>
      <c r="V41" s="80" t="s">
        <v>5038</v>
      </c>
      <c r="W41" s="81">
        <f>SUM(X41:Y41)</f>
        <v>1.5</v>
      </c>
      <c r="X41" s="81">
        <v>1.5</v>
      </c>
      <c r="Y41" s="81">
        <v>0</v>
      </c>
      <c r="Z41" s="80" t="s">
        <v>5348</v>
      </c>
    </row>
    <row r="42" spans="1:26" s="65" customFormat="1" ht="48.75" customHeight="1">
      <c r="A42" s="155">
        <v>38</v>
      </c>
      <c r="B42" s="155" t="s">
        <v>2502</v>
      </c>
      <c r="C42" s="155" t="s">
        <v>5311</v>
      </c>
      <c r="D42" s="80" t="s">
        <v>5349</v>
      </c>
      <c r="E42" s="80" t="s">
        <v>5350</v>
      </c>
      <c r="F42" s="136" t="s">
        <v>5351</v>
      </c>
      <c r="G42" s="283" t="s">
        <v>7077</v>
      </c>
      <c r="H42" s="80" t="s">
        <v>5352</v>
      </c>
      <c r="I42" s="81">
        <f>SUM(J42:M42)</f>
        <v>43</v>
      </c>
      <c r="J42" s="81">
        <v>0</v>
      </c>
      <c r="K42" s="81">
        <v>0</v>
      </c>
      <c r="L42" s="81">
        <v>30</v>
      </c>
      <c r="M42" s="81">
        <v>13</v>
      </c>
      <c r="N42" s="80"/>
      <c r="O42" s="80"/>
      <c r="P42" s="80" t="s">
        <v>304</v>
      </c>
      <c r="Q42" s="234"/>
      <c r="R42" s="80" t="s">
        <v>5353</v>
      </c>
      <c r="S42" s="80" t="s">
        <v>5035</v>
      </c>
      <c r="T42" s="80" t="s">
        <v>5138</v>
      </c>
      <c r="U42" s="80" t="s">
        <v>5128</v>
      </c>
      <c r="V42" s="80" t="s">
        <v>5038</v>
      </c>
      <c r="W42" s="81">
        <f>SUM(X42:Y42)</f>
        <v>3</v>
      </c>
      <c r="X42" s="81">
        <v>3</v>
      </c>
      <c r="Y42" s="81">
        <v>0</v>
      </c>
      <c r="Z42" s="80" t="s">
        <v>5354</v>
      </c>
    </row>
    <row r="43" spans="1:26" s="65" customFormat="1" ht="129" customHeight="1">
      <c r="A43" s="155">
        <v>39</v>
      </c>
      <c r="B43" s="155" t="s">
        <v>2502</v>
      </c>
      <c r="C43" s="155" t="s">
        <v>2528</v>
      </c>
      <c r="D43" s="80" t="s">
        <v>5355</v>
      </c>
      <c r="E43" s="80" t="s">
        <v>5356</v>
      </c>
      <c r="F43" s="136" t="s">
        <v>5357</v>
      </c>
      <c r="G43" s="80" t="s">
        <v>5358</v>
      </c>
      <c r="H43" s="175" t="s">
        <v>5359</v>
      </c>
      <c r="I43" s="174">
        <v>660</v>
      </c>
      <c r="J43" s="174">
        <v>80</v>
      </c>
      <c r="K43" s="174">
        <v>80</v>
      </c>
      <c r="L43" s="174">
        <v>500</v>
      </c>
      <c r="M43" s="81">
        <v>0</v>
      </c>
      <c r="N43" s="80" t="s">
        <v>5305</v>
      </c>
      <c r="O43" s="80" t="s">
        <v>5306</v>
      </c>
      <c r="P43" s="155" t="s">
        <v>247</v>
      </c>
      <c r="Q43" s="245" t="s">
        <v>5307</v>
      </c>
      <c r="R43" s="80" t="s">
        <v>2529</v>
      </c>
      <c r="S43" s="80" t="s">
        <v>373</v>
      </c>
      <c r="T43" s="80" t="s">
        <v>613</v>
      </c>
      <c r="U43" s="80" t="s">
        <v>5360</v>
      </c>
      <c r="V43" s="80" t="s">
        <v>529</v>
      </c>
      <c r="W43" s="81">
        <v>420</v>
      </c>
      <c r="X43" s="73">
        <v>400</v>
      </c>
      <c r="Y43" s="73">
        <v>20</v>
      </c>
      <c r="Z43" s="80" t="s">
        <v>5361</v>
      </c>
    </row>
    <row r="44" spans="1:26" s="65" customFormat="1" ht="49.5" customHeight="1">
      <c r="A44" s="155">
        <v>40</v>
      </c>
      <c r="B44" s="246" t="s">
        <v>2502</v>
      </c>
      <c r="C44" s="80" t="s">
        <v>2528</v>
      </c>
      <c r="D44" s="247" t="s">
        <v>5362</v>
      </c>
      <c r="E44" s="80" t="s">
        <v>5363</v>
      </c>
      <c r="F44" s="136" t="s">
        <v>5364</v>
      </c>
      <c r="G44" s="80" t="s">
        <v>5365</v>
      </c>
      <c r="H44" s="80" t="s">
        <v>5352</v>
      </c>
      <c r="I44" s="174">
        <v>222</v>
      </c>
      <c r="J44" s="81">
        <v>0</v>
      </c>
      <c r="K44" s="81">
        <v>0</v>
      </c>
      <c r="L44" s="174">
        <v>222</v>
      </c>
      <c r="M44" s="81">
        <v>0</v>
      </c>
      <c r="N44" s="80"/>
      <c r="O44" s="80"/>
      <c r="P44" s="155" t="s">
        <v>304</v>
      </c>
      <c r="Q44" s="248"/>
      <c r="R44" s="80" t="s">
        <v>2530</v>
      </c>
      <c r="S44" s="80" t="s">
        <v>373</v>
      </c>
      <c r="T44" s="80" t="s">
        <v>613</v>
      </c>
      <c r="U44" s="80" t="s">
        <v>5128</v>
      </c>
      <c r="V44" s="80" t="s">
        <v>529</v>
      </c>
      <c r="W44" s="81">
        <v>87</v>
      </c>
      <c r="X44" s="73">
        <v>80</v>
      </c>
      <c r="Y44" s="73">
        <v>7</v>
      </c>
      <c r="Z44" s="80" t="s">
        <v>5208</v>
      </c>
    </row>
    <row r="45" spans="1:26" s="66" customFormat="1" ht="74.25" customHeight="1">
      <c r="A45" s="155">
        <v>41</v>
      </c>
      <c r="B45" s="246" t="s">
        <v>2502</v>
      </c>
      <c r="C45" s="80" t="s">
        <v>2528</v>
      </c>
      <c r="D45" s="247" t="s">
        <v>5366</v>
      </c>
      <c r="E45" s="80" t="s">
        <v>5363</v>
      </c>
      <c r="F45" s="136" t="s">
        <v>5367</v>
      </c>
      <c r="G45" s="80" t="s">
        <v>5368</v>
      </c>
      <c r="H45" s="80" t="s">
        <v>5369</v>
      </c>
      <c r="I45" s="174">
        <v>190</v>
      </c>
      <c r="J45" s="81">
        <v>0</v>
      </c>
      <c r="K45" s="81">
        <v>0</v>
      </c>
      <c r="L45" s="174">
        <v>190</v>
      </c>
      <c r="M45" s="81">
        <v>0</v>
      </c>
      <c r="N45" s="155"/>
      <c r="O45" s="80"/>
      <c r="P45" s="155" t="s">
        <v>2531</v>
      </c>
      <c r="Q45" s="240"/>
      <c r="R45" s="80" t="s">
        <v>2532</v>
      </c>
      <c r="S45" s="80" t="s">
        <v>373</v>
      </c>
      <c r="T45" s="80" t="s">
        <v>613</v>
      </c>
      <c r="U45" s="80" t="s">
        <v>5128</v>
      </c>
      <c r="V45" s="80" t="s">
        <v>529</v>
      </c>
      <c r="W45" s="81">
        <v>87</v>
      </c>
      <c r="X45" s="174">
        <v>80</v>
      </c>
      <c r="Y45" s="174">
        <v>7</v>
      </c>
      <c r="Z45" s="80" t="s">
        <v>5208</v>
      </c>
    </row>
    <row r="46" spans="1:26" s="66" customFormat="1" ht="76.5" customHeight="1">
      <c r="A46" s="155">
        <v>42</v>
      </c>
      <c r="B46" s="155" t="s">
        <v>2502</v>
      </c>
      <c r="C46" s="155" t="s">
        <v>2528</v>
      </c>
      <c r="D46" s="80" t="s">
        <v>5370</v>
      </c>
      <c r="E46" s="80" t="s">
        <v>5371</v>
      </c>
      <c r="F46" s="136" t="s">
        <v>5372</v>
      </c>
      <c r="G46" s="283" t="s">
        <v>7076</v>
      </c>
      <c r="H46" s="80" t="s">
        <v>5373</v>
      </c>
      <c r="I46" s="174">
        <v>355</v>
      </c>
      <c r="J46" s="81">
        <v>0</v>
      </c>
      <c r="K46" s="81">
        <v>0</v>
      </c>
      <c r="L46" s="174">
        <v>355</v>
      </c>
      <c r="M46" s="81">
        <v>0</v>
      </c>
      <c r="N46" s="80"/>
      <c r="O46" s="80"/>
      <c r="P46" s="155" t="s">
        <v>2531</v>
      </c>
      <c r="Q46" s="240"/>
      <c r="R46" s="80" t="s">
        <v>2533</v>
      </c>
      <c r="S46" s="80" t="s">
        <v>373</v>
      </c>
      <c r="T46" s="80" t="s">
        <v>613</v>
      </c>
      <c r="U46" s="80" t="s">
        <v>5128</v>
      </c>
      <c r="V46" s="80" t="s">
        <v>529</v>
      </c>
      <c r="W46" s="81">
        <v>130</v>
      </c>
      <c r="X46" s="174">
        <v>110</v>
      </c>
      <c r="Y46" s="174">
        <v>20</v>
      </c>
      <c r="Z46" s="80" t="s">
        <v>2534</v>
      </c>
    </row>
    <row r="47" spans="1:26" s="65" customFormat="1" ht="48">
      <c r="A47" s="155">
        <v>43</v>
      </c>
      <c r="B47" s="155" t="s">
        <v>2502</v>
      </c>
      <c r="C47" s="155" t="s">
        <v>5374</v>
      </c>
      <c r="D47" s="80" t="s">
        <v>5375</v>
      </c>
      <c r="E47" s="80" t="s">
        <v>5376</v>
      </c>
      <c r="F47" s="136" t="s">
        <v>2535</v>
      </c>
      <c r="G47" s="80" t="s">
        <v>5377</v>
      </c>
      <c r="H47" s="80" t="s">
        <v>5378</v>
      </c>
      <c r="I47" s="81">
        <v>120</v>
      </c>
      <c r="J47" s="81">
        <v>0</v>
      </c>
      <c r="K47" s="81">
        <v>0</v>
      </c>
      <c r="L47" s="81">
        <v>120</v>
      </c>
      <c r="M47" s="81">
        <v>0</v>
      </c>
      <c r="N47" s="80"/>
      <c r="O47" s="80"/>
      <c r="P47" s="80" t="s">
        <v>247</v>
      </c>
      <c r="Q47" s="240"/>
      <c r="R47" s="80" t="s">
        <v>5379</v>
      </c>
      <c r="S47" s="80" t="s">
        <v>5035</v>
      </c>
      <c r="T47" s="80" t="s">
        <v>5138</v>
      </c>
      <c r="U47" s="80" t="s">
        <v>5128</v>
      </c>
      <c r="V47" s="80" t="s">
        <v>5129</v>
      </c>
      <c r="W47" s="81">
        <f>SUM(X47:Y47)</f>
        <v>2</v>
      </c>
      <c r="X47" s="81">
        <v>2</v>
      </c>
      <c r="Y47" s="81">
        <v>0</v>
      </c>
      <c r="Z47" s="80" t="s">
        <v>5039</v>
      </c>
    </row>
    <row r="48" spans="1:26" s="65" customFormat="1" ht="46.5" customHeight="1">
      <c r="A48" s="155">
        <v>44</v>
      </c>
      <c r="B48" s="155" t="s">
        <v>5209</v>
      </c>
      <c r="C48" s="155" t="s">
        <v>5374</v>
      </c>
      <c r="D48" s="80" t="s">
        <v>5380</v>
      </c>
      <c r="E48" s="80" t="s">
        <v>5381</v>
      </c>
      <c r="F48" s="136" t="s">
        <v>5382</v>
      </c>
      <c r="G48" s="80" t="s">
        <v>5383</v>
      </c>
      <c r="H48" s="80" t="s">
        <v>5384</v>
      </c>
      <c r="I48" s="81">
        <v>450</v>
      </c>
      <c r="J48" s="81">
        <v>0</v>
      </c>
      <c r="K48" s="81">
        <v>0</v>
      </c>
      <c r="L48" s="81">
        <v>450</v>
      </c>
      <c r="M48" s="81">
        <v>0</v>
      </c>
      <c r="N48" s="80"/>
      <c r="O48" s="80"/>
      <c r="P48" s="80" t="s">
        <v>247</v>
      </c>
      <c r="Q48" s="240"/>
      <c r="R48" s="80" t="s">
        <v>5385</v>
      </c>
      <c r="S48" s="80" t="s">
        <v>5035</v>
      </c>
      <c r="T48" s="80" t="s">
        <v>5138</v>
      </c>
      <c r="U48" s="80" t="s">
        <v>5128</v>
      </c>
      <c r="V48" s="80" t="s">
        <v>5129</v>
      </c>
      <c r="W48" s="81">
        <f>SUM(X48:Y48)</f>
        <v>162</v>
      </c>
      <c r="X48" s="81">
        <v>162</v>
      </c>
      <c r="Y48" s="81">
        <v>0</v>
      </c>
      <c r="Z48" s="80" t="s">
        <v>5039</v>
      </c>
    </row>
    <row r="49" spans="1:26" s="65" customFormat="1" ht="50.25" customHeight="1">
      <c r="A49" s="155">
        <v>45</v>
      </c>
      <c r="B49" s="155" t="s">
        <v>2502</v>
      </c>
      <c r="C49" s="155" t="s">
        <v>5374</v>
      </c>
      <c r="D49" s="80" t="s">
        <v>5386</v>
      </c>
      <c r="E49" s="80" t="s">
        <v>5387</v>
      </c>
      <c r="F49" s="136" t="s">
        <v>5388</v>
      </c>
      <c r="G49" s="80" t="s">
        <v>2536</v>
      </c>
      <c r="H49" s="80" t="s">
        <v>5163</v>
      </c>
      <c r="I49" s="81">
        <v>550</v>
      </c>
      <c r="J49" s="81">
        <v>0</v>
      </c>
      <c r="K49" s="81">
        <v>50</v>
      </c>
      <c r="L49" s="81">
        <v>500</v>
      </c>
      <c r="M49" s="81">
        <v>0</v>
      </c>
      <c r="N49" s="80"/>
      <c r="O49" s="80"/>
      <c r="P49" s="80" t="s">
        <v>5265</v>
      </c>
      <c r="Q49" s="247" t="s">
        <v>5389</v>
      </c>
      <c r="R49" s="80" t="s">
        <v>5390</v>
      </c>
      <c r="S49" s="80" t="s">
        <v>5035</v>
      </c>
      <c r="T49" s="80" t="s">
        <v>5138</v>
      </c>
      <c r="U49" s="80" t="s">
        <v>5128</v>
      </c>
      <c r="V49" s="80" t="s">
        <v>5129</v>
      </c>
      <c r="W49" s="81">
        <f>SUM(X49:Y49)</f>
        <v>122</v>
      </c>
      <c r="X49" s="81">
        <v>122</v>
      </c>
      <c r="Y49" s="81">
        <v>0</v>
      </c>
      <c r="Z49" s="80" t="s">
        <v>5391</v>
      </c>
    </row>
    <row r="50" spans="1:26" s="65" customFormat="1" ht="57.75" customHeight="1">
      <c r="A50" s="155">
        <v>46</v>
      </c>
      <c r="B50" s="155" t="s">
        <v>2502</v>
      </c>
      <c r="C50" s="155" t="s">
        <v>5374</v>
      </c>
      <c r="D50" s="80" t="s">
        <v>5392</v>
      </c>
      <c r="E50" s="80" t="s">
        <v>5393</v>
      </c>
      <c r="F50" s="136" t="s">
        <v>5394</v>
      </c>
      <c r="G50" s="80" t="s">
        <v>5395</v>
      </c>
      <c r="H50" s="80" t="s">
        <v>5396</v>
      </c>
      <c r="I50" s="81">
        <f>SUM(J50:M50)</f>
        <v>400</v>
      </c>
      <c r="J50" s="81">
        <v>0</v>
      </c>
      <c r="K50" s="81">
        <v>0</v>
      </c>
      <c r="L50" s="81">
        <v>400</v>
      </c>
      <c r="M50" s="81">
        <v>0</v>
      </c>
      <c r="N50" s="80"/>
      <c r="O50" s="80"/>
      <c r="P50" s="80" t="s">
        <v>5277</v>
      </c>
      <c r="Q50" s="240"/>
      <c r="R50" s="80" t="s">
        <v>5397</v>
      </c>
      <c r="S50" s="80" t="s">
        <v>5035</v>
      </c>
      <c r="T50" s="80" t="s">
        <v>5138</v>
      </c>
      <c r="U50" s="80" t="s">
        <v>5128</v>
      </c>
      <c r="V50" s="80" t="s">
        <v>5269</v>
      </c>
      <c r="W50" s="81">
        <f>SUM(X50:Y50)</f>
        <v>30</v>
      </c>
      <c r="X50" s="81">
        <v>30</v>
      </c>
      <c r="Y50" s="81">
        <v>0</v>
      </c>
      <c r="Z50" s="80" t="s">
        <v>5208</v>
      </c>
    </row>
  </sheetData>
  <autoFilter ref="A4:Y10"/>
  <mergeCells count="5">
    <mergeCell ref="A1:Y2"/>
    <mergeCell ref="A3:E3"/>
    <mergeCell ref="I3:M3"/>
    <mergeCell ref="N3:O3"/>
    <mergeCell ref="W3:Y3"/>
  </mergeCells>
  <phoneticPr fontId="5" type="noConversion"/>
  <dataValidations count="15">
    <dataValidation type="list" allowBlank="1" showInputMessage="1" showErrorMessage="1" sqref="B11:B16 IX11:IX16 ST11:ST16 ACP11:ACP16 AML11:AML16 AWH11:AWH16 BGD11:BGD16 BPZ11:BPZ16 BZV11:BZV16 CJR11:CJR16 CTN11:CTN16 DDJ11:DDJ16 DNF11:DNF16 DXB11:DXB16 EGX11:EGX16 EQT11:EQT16 FAP11:FAP16 FKL11:FKL16 FUH11:FUH16 GED11:GED16 GNZ11:GNZ16 GXV11:GXV16 HHR11:HHR16 HRN11:HRN16 IBJ11:IBJ16 ILF11:ILF16 IVB11:IVB16 JEX11:JEX16 JOT11:JOT16 JYP11:JYP16 KIL11:KIL16 KSH11:KSH16 LCD11:LCD16 LLZ11:LLZ16 LVV11:LVV16 MFR11:MFR16 MPN11:MPN16 MZJ11:MZJ16 NJF11:NJF16 NTB11:NTB16 OCX11:OCX16 OMT11:OMT16 OWP11:OWP16 PGL11:PGL16 PQH11:PQH16 QAD11:QAD16 QJZ11:QJZ16 QTV11:QTV16 RDR11:RDR16 RNN11:RNN16 RXJ11:RXJ16 SHF11:SHF16 SRB11:SRB16 TAX11:TAX16 TKT11:TKT16 TUP11:TUP16 UEL11:UEL16 UOH11:UOH16 UYD11:UYD16 VHZ11:VHZ16 VRV11:VRV16 WBR11:WBR16 WLN11:WLN16 WVJ11:WVJ16 B65547:B65552 IX65547:IX65552 ST65547:ST65552 ACP65547:ACP65552 AML65547:AML65552 AWH65547:AWH65552 BGD65547:BGD65552 BPZ65547:BPZ65552 BZV65547:BZV65552 CJR65547:CJR65552 CTN65547:CTN65552 DDJ65547:DDJ65552 DNF65547:DNF65552 DXB65547:DXB65552 EGX65547:EGX65552 EQT65547:EQT65552 FAP65547:FAP65552 FKL65547:FKL65552 FUH65547:FUH65552 GED65547:GED65552 GNZ65547:GNZ65552 GXV65547:GXV65552 HHR65547:HHR65552 HRN65547:HRN65552 IBJ65547:IBJ65552 ILF65547:ILF65552 IVB65547:IVB65552 JEX65547:JEX65552 JOT65547:JOT65552 JYP65547:JYP65552 KIL65547:KIL65552 KSH65547:KSH65552 LCD65547:LCD65552 LLZ65547:LLZ65552 LVV65547:LVV65552 MFR65547:MFR65552 MPN65547:MPN65552 MZJ65547:MZJ65552 NJF65547:NJF65552 NTB65547:NTB65552 OCX65547:OCX65552 OMT65547:OMT65552 OWP65547:OWP65552 PGL65547:PGL65552 PQH65547:PQH65552 QAD65547:QAD65552 QJZ65547:QJZ65552 QTV65547:QTV65552 RDR65547:RDR65552 RNN65547:RNN65552 RXJ65547:RXJ65552 SHF65547:SHF65552 SRB65547:SRB65552 TAX65547:TAX65552 TKT65547:TKT65552 TUP65547:TUP65552 UEL65547:UEL65552 UOH65547:UOH65552 UYD65547:UYD65552 VHZ65547:VHZ65552 VRV65547:VRV65552 WBR65547:WBR65552 WLN65547:WLN65552 WVJ65547:WVJ65552 B131083:B131088 IX131083:IX131088 ST131083:ST131088 ACP131083:ACP131088 AML131083:AML131088 AWH131083:AWH131088 BGD131083:BGD131088 BPZ131083:BPZ131088 BZV131083:BZV131088 CJR131083:CJR131088 CTN131083:CTN131088 DDJ131083:DDJ131088 DNF131083:DNF131088 DXB131083:DXB131088 EGX131083:EGX131088 EQT131083:EQT131088 FAP131083:FAP131088 FKL131083:FKL131088 FUH131083:FUH131088 GED131083:GED131088 GNZ131083:GNZ131088 GXV131083:GXV131088 HHR131083:HHR131088 HRN131083:HRN131088 IBJ131083:IBJ131088 ILF131083:ILF131088 IVB131083:IVB131088 JEX131083:JEX131088 JOT131083:JOT131088 JYP131083:JYP131088 KIL131083:KIL131088 KSH131083:KSH131088 LCD131083:LCD131088 LLZ131083:LLZ131088 LVV131083:LVV131088 MFR131083:MFR131088 MPN131083:MPN131088 MZJ131083:MZJ131088 NJF131083:NJF131088 NTB131083:NTB131088 OCX131083:OCX131088 OMT131083:OMT131088 OWP131083:OWP131088 PGL131083:PGL131088 PQH131083:PQH131088 QAD131083:QAD131088 QJZ131083:QJZ131088 QTV131083:QTV131088 RDR131083:RDR131088 RNN131083:RNN131088 RXJ131083:RXJ131088 SHF131083:SHF131088 SRB131083:SRB131088 TAX131083:TAX131088 TKT131083:TKT131088 TUP131083:TUP131088 UEL131083:UEL131088 UOH131083:UOH131088 UYD131083:UYD131088 VHZ131083:VHZ131088 VRV131083:VRV131088 WBR131083:WBR131088 WLN131083:WLN131088 WVJ131083:WVJ131088 B196619:B196624 IX196619:IX196624 ST196619:ST196624 ACP196619:ACP196624 AML196619:AML196624 AWH196619:AWH196624 BGD196619:BGD196624 BPZ196619:BPZ196624 BZV196619:BZV196624 CJR196619:CJR196624 CTN196619:CTN196624 DDJ196619:DDJ196624 DNF196619:DNF196624 DXB196619:DXB196624 EGX196619:EGX196624 EQT196619:EQT196624 FAP196619:FAP196624 FKL196619:FKL196624 FUH196619:FUH196624 GED196619:GED196624 GNZ196619:GNZ196624 GXV196619:GXV196624 HHR196619:HHR196624 HRN196619:HRN196624 IBJ196619:IBJ196624 ILF196619:ILF196624 IVB196619:IVB196624 JEX196619:JEX196624 JOT196619:JOT196624 JYP196619:JYP196624 KIL196619:KIL196624 KSH196619:KSH196624 LCD196619:LCD196624 LLZ196619:LLZ196624 LVV196619:LVV196624 MFR196619:MFR196624 MPN196619:MPN196624 MZJ196619:MZJ196624 NJF196619:NJF196624 NTB196619:NTB196624 OCX196619:OCX196624 OMT196619:OMT196624 OWP196619:OWP196624 PGL196619:PGL196624 PQH196619:PQH196624 QAD196619:QAD196624 QJZ196619:QJZ196624 QTV196619:QTV196624 RDR196619:RDR196624 RNN196619:RNN196624 RXJ196619:RXJ196624 SHF196619:SHF196624 SRB196619:SRB196624 TAX196619:TAX196624 TKT196619:TKT196624 TUP196619:TUP196624 UEL196619:UEL196624 UOH196619:UOH196624 UYD196619:UYD196624 VHZ196619:VHZ196624 VRV196619:VRV196624 WBR196619:WBR196624 WLN196619:WLN196624 WVJ196619:WVJ196624 B262155:B262160 IX262155:IX262160 ST262155:ST262160 ACP262155:ACP262160 AML262155:AML262160 AWH262155:AWH262160 BGD262155:BGD262160 BPZ262155:BPZ262160 BZV262155:BZV262160 CJR262155:CJR262160 CTN262155:CTN262160 DDJ262155:DDJ262160 DNF262155:DNF262160 DXB262155:DXB262160 EGX262155:EGX262160 EQT262155:EQT262160 FAP262155:FAP262160 FKL262155:FKL262160 FUH262155:FUH262160 GED262155:GED262160 GNZ262155:GNZ262160 GXV262155:GXV262160 HHR262155:HHR262160 HRN262155:HRN262160 IBJ262155:IBJ262160 ILF262155:ILF262160 IVB262155:IVB262160 JEX262155:JEX262160 JOT262155:JOT262160 JYP262155:JYP262160 KIL262155:KIL262160 KSH262155:KSH262160 LCD262155:LCD262160 LLZ262155:LLZ262160 LVV262155:LVV262160 MFR262155:MFR262160 MPN262155:MPN262160 MZJ262155:MZJ262160 NJF262155:NJF262160 NTB262155:NTB262160 OCX262155:OCX262160 OMT262155:OMT262160 OWP262155:OWP262160 PGL262155:PGL262160 PQH262155:PQH262160 QAD262155:QAD262160 QJZ262155:QJZ262160 QTV262155:QTV262160 RDR262155:RDR262160 RNN262155:RNN262160 RXJ262155:RXJ262160 SHF262155:SHF262160 SRB262155:SRB262160 TAX262155:TAX262160 TKT262155:TKT262160 TUP262155:TUP262160 UEL262155:UEL262160 UOH262155:UOH262160 UYD262155:UYD262160 VHZ262155:VHZ262160 VRV262155:VRV262160 WBR262155:WBR262160 WLN262155:WLN262160 WVJ262155:WVJ262160 B327691:B327696 IX327691:IX327696 ST327691:ST327696 ACP327691:ACP327696 AML327691:AML327696 AWH327691:AWH327696 BGD327691:BGD327696 BPZ327691:BPZ327696 BZV327691:BZV327696 CJR327691:CJR327696 CTN327691:CTN327696 DDJ327691:DDJ327696 DNF327691:DNF327696 DXB327691:DXB327696 EGX327691:EGX327696 EQT327691:EQT327696 FAP327691:FAP327696 FKL327691:FKL327696 FUH327691:FUH327696 GED327691:GED327696 GNZ327691:GNZ327696 GXV327691:GXV327696 HHR327691:HHR327696 HRN327691:HRN327696 IBJ327691:IBJ327696 ILF327691:ILF327696 IVB327691:IVB327696 JEX327691:JEX327696 JOT327691:JOT327696 JYP327691:JYP327696 KIL327691:KIL327696 KSH327691:KSH327696 LCD327691:LCD327696 LLZ327691:LLZ327696 LVV327691:LVV327696 MFR327691:MFR327696 MPN327691:MPN327696 MZJ327691:MZJ327696 NJF327691:NJF327696 NTB327691:NTB327696 OCX327691:OCX327696 OMT327691:OMT327696 OWP327691:OWP327696 PGL327691:PGL327696 PQH327691:PQH327696 QAD327691:QAD327696 QJZ327691:QJZ327696 QTV327691:QTV327696 RDR327691:RDR327696 RNN327691:RNN327696 RXJ327691:RXJ327696 SHF327691:SHF327696 SRB327691:SRB327696 TAX327691:TAX327696 TKT327691:TKT327696 TUP327691:TUP327696 UEL327691:UEL327696 UOH327691:UOH327696 UYD327691:UYD327696 VHZ327691:VHZ327696 VRV327691:VRV327696 WBR327691:WBR327696 WLN327691:WLN327696 WVJ327691:WVJ327696 B393227:B393232 IX393227:IX393232 ST393227:ST393232 ACP393227:ACP393232 AML393227:AML393232 AWH393227:AWH393232 BGD393227:BGD393232 BPZ393227:BPZ393232 BZV393227:BZV393232 CJR393227:CJR393232 CTN393227:CTN393232 DDJ393227:DDJ393232 DNF393227:DNF393232 DXB393227:DXB393232 EGX393227:EGX393232 EQT393227:EQT393232 FAP393227:FAP393232 FKL393227:FKL393232 FUH393227:FUH393232 GED393227:GED393232 GNZ393227:GNZ393232 GXV393227:GXV393232 HHR393227:HHR393232 HRN393227:HRN393232 IBJ393227:IBJ393232 ILF393227:ILF393232 IVB393227:IVB393232 JEX393227:JEX393232 JOT393227:JOT393232 JYP393227:JYP393232 KIL393227:KIL393232 KSH393227:KSH393232 LCD393227:LCD393232 LLZ393227:LLZ393232 LVV393227:LVV393232 MFR393227:MFR393232 MPN393227:MPN393232 MZJ393227:MZJ393232 NJF393227:NJF393232 NTB393227:NTB393232 OCX393227:OCX393232 OMT393227:OMT393232 OWP393227:OWP393232 PGL393227:PGL393232 PQH393227:PQH393232 QAD393227:QAD393232 QJZ393227:QJZ393232 QTV393227:QTV393232 RDR393227:RDR393232 RNN393227:RNN393232 RXJ393227:RXJ393232 SHF393227:SHF393232 SRB393227:SRB393232 TAX393227:TAX393232 TKT393227:TKT393232 TUP393227:TUP393232 UEL393227:UEL393232 UOH393227:UOH393232 UYD393227:UYD393232 VHZ393227:VHZ393232 VRV393227:VRV393232 WBR393227:WBR393232 WLN393227:WLN393232 WVJ393227:WVJ393232 B458763:B458768 IX458763:IX458768 ST458763:ST458768 ACP458763:ACP458768 AML458763:AML458768 AWH458763:AWH458768 BGD458763:BGD458768 BPZ458763:BPZ458768 BZV458763:BZV458768 CJR458763:CJR458768 CTN458763:CTN458768 DDJ458763:DDJ458768 DNF458763:DNF458768 DXB458763:DXB458768 EGX458763:EGX458768 EQT458763:EQT458768 FAP458763:FAP458768 FKL458763:FKL458768 FUH458763:FUH458768 GED458763:GED458768 GNZ458763:GNZ458768 GXV458763:GXV458768 HHR458763:HHR458768 HRN458763:HRN458768 IBJ458763:IBJ458768 ILF458763:ILF458768 IVB458763:IVB458768 JEX458763:JEX458768 JOT458763:JOT458768 JYP458763:JYP458768 KIL458763:KIL458768 KSH458763:KSH458768 LCD458763:LCD458768 LLZ458763:LLZ458768 LVV458763:LVV458768 MFR458763:MFR458768 MPN458763:MPN458768 MZJ458763:MZJ458768 NJF458763:NJF458768 NTB458763:NTB458768 OCX458763:OCX458768 OMT458763:OMT458768 OWP458763:OWP458768 PGL458763:PGL458768 PQH458763:PQH458768 QAD458763:QAD458768 QJZ458763:QJZ458768 QTV458763:QTV458768 RDR458763:RDR458768 RNN458763:RNN458768 RXJ458763:RXJ458768 SHF458763:SHF458768 SRB458763:SRB458768 TAX458763:TAX458768 TKT458763:TKT458768 TUP458763:TUP458768 UEL458763:UEL458768 UOH458763:UOH458768 UYD458763:UYD458768 VHZ458763:VHZ458768 VRV458763:VRV458768 WBR458763:WBR458768 WLN458763:WLN458768 WVJ458763:WVJ458768 B524299:B524304 IX524299:IX524304 ST524299:ST524304 ACP524299:ACP524304 AML524299:AML524304 AWH524299:AWH524304 BGD524299:BGD524304 BPZ524299:BPZ524304 BZV524299:BZV524304 CJR524299:CJR524304 CTN524299:CTN524304 DDJ524299:DDJ524304 DNF524299:DNF524304 DXB524299:DXB524304 EGX524299:EGX524304 EQT524299:EQT524304 FAP524299:FAP524304 FKL524299:FKL524304 FUH524299:FUH524304 GED524299:GED524304 GNZ524299:GNZ524304 GXV524299:GXV524304 HHR524299:HHR524304 HRN524299:HRN524304 IBJ524299:IBJ524304 ILF524299:ILF524304 IVB524299:IVB524304 JEX524299:JEX524304 JOT524299:JOT524304 JYP524299:JYP524304 KIL524299:KIL524304 KSH524299:KSH524304 LCD524299:LCD524304 LLZ524299:LLZ524304 LVV524299:LVV524304 MFR524299:MFR524304 MPN524299:MPN524304 MZJ524299:MZJ524304 NJF524299:NJF524304 NTB524299:NTB524304 OCX524299:OCX524304 OMT524299:OMT524304 OWP524299:OWP524304 PGL524299:PGL524304 PQH524299:PQH524304 QAD524299:QAD524304 QJZ524299:QJZ524304 QTV524299:QTV524304 RDR524299:RDR524304 RNN524299:RNN524304 RXJ524299:RXJ524304 SHF524299:SHF524304 SRB524299:SRB524304 TAX524299:TAX524304 TKT524299:TKT524304 TUP524299:TUP524304 UEL524299:UEL524304 UOH524299:UOH524304 UYD524299:UYD524304 VHZ524299:VHZ524304 VRV524299:VRV524304 WBR524299:WBR524304 WLN524299:WLN524304 WVJ524299:WVJ524304 B589835:B589840 IX589835:IX589840 ST589835:ST589840 ACP589835:ACP589840 AML589835:AML589840 AWH589835:AWH589840 BGD589835:BGD589840 BPZ589835:BPZ589840 BZV589835:BZV589840 CJR589835:CJR589840 CTN589835:CTN589840 DDJ589835:DDJ589840 DNF589835:DNF589840 DXB589835:DXB589840 EGX589835:EGX589840 EQT589835:EQT589840 FAP589835:FAP589840 FKL589835:FKL589840 FUH589835:FUH589840 GED589835:GED589840 GNZ589835:GNZ589840 GXV589835:GXV589840 HHR589835:HHR589840 HRN589835:HRN589840 IBJ589835:IBJ589840 ILF589835:ILF589840 IVB589835:IVB589840 JEX589835:JEX589840 JOT589835:JOT589840 JYP589835:JYP589840 KIL589835:KIL589840 KSH589835:KSH589840 LCD589835:LCD589840 LLZ589835:LLZ589840 LVV589835:LVV589840 MFR589835:MFR589840 MPN589835:MPN589840 MZJ589835:MZJ589840 NJF589835:NJF589840 NTB589835:NTB589840 OCX589835:OCX589840 OMT589835:OMT589840 OWP589835:OWP589840 PGL589835:PGL589840 PQH589835:PQH589840 QAD589835:QAD589840 QJZ589835:QJZ589840 QTV589835:QTV589840 RDR589835:RDR589840 RNN589835:RNN589840 RXJ589835:RXJ589840 SHF589835:SHF589840 SRB589835:SRB589840 TAX589835:TAX589840 TKT589835:TKT589840 TUP589835:TUP589840 UEL589835:UEL589840 UOH589835:UOH589840 UYD589835:UYD589840 VHZ589835:VHZ589840 VRV589835:VRV589840 WBR589835:WBR589840 WLN589835:WLN589840 WVJ589835:WVJ589840 B655371:B655376 IX655371:IX655376 ST655371:ST655376 ACP655371:ACP655376 AML655371:AML655376 AWH655371:AWH655376 BGD655371:BGD655376 BPZ655371:BPZ655376 BZV655371:BZV655376 CJR655371:CJR655376 CTN655371:CTN655376 DDJ655371:DDJ655376 DNF655371:DNF655376 DXB655371:DXB655376 EGX655371:EGX655376 EQT655371:EQT655376 FAP655371:FAP655376 FKL655371:FKL655376 FUH655371:FUH655376 GED655371:GED655376 GNZ655371:GNZ655376 GXV655371:GXV655376 HHR655371:HHR655376 HRN655371:HRN655376 IBJ655371:IBJ655376 ILF655371:ILF655376 IVB655371:IVB655376 JEX655371:JEX655376 JOT655371:JOT655376 JYP655371:JYP655376 KIL655371:KIL655376 KSH655371:KSH655376 LCD655371:LCD655376 LLZ655371:LLZ655376 LVV655371:LVV655376 MFR655371:MFR655376 MPN655371:MPN655376 MZJ655371:MZJ655376 NJF655371:NJF655376 NTB655371:NTB655376 OCX655371:OCX655376 OMT655371:OMT655376 OWP655371:OWP655376 PGL655371:PGL655376 PQH655371:PQH655376 QAD655371:QAD655376 QJZ655371:QJZ655376 QTV655371:QTV655376 RDR655371:RDR655376 RNN655371:RNN655376 RXJ655371:RXJ655376 SHF655371:SHF655376 SRB655371:SRB655376 TAX655371:TAX655376 TKT655371:TKT655376 TUP655371:TUP655376 UEL655371:UEL655376 UOH655371:UOH655376 UYD655371:UYD655376 VHZ655371:VHZ655376 VRV655371:VRV655376 WBR655371:WBR655376 WLN655371:WLN655376 WVJ655371:WVJ655376 B720907:B720912 IX720907:IX720912 ST720907:ST720912 ACP720907:ACP720912 AML720907:AML720912 AWH720907:AWH720912 BGD720907:BGD720912 BPZ720907:BPZ720912 BZV720907:BZV720912 CJR720907:CJR720912 CTN720907:CTN720912 DDJ720907:DDJ720912 DNF720907:DNF720912 DXB720907:DXB720912 EGX720907:EGX720912 EQT720907:EQT720912 FAP720907:FAP720912 FKL720907:FKL720912 FUH720907:FUH720912 GED720907:GED720912 GNZ720907:GNZ720912 GXV720907:GXV720912 HHR720907:HHR720912 HRN720907:HRN720912 IBJ720907:IBJ720912 ILF720907:ILF720912 IVB720907:IVB720912 JEX720907:JEX720912 JOT720907:JOT720912 JYP720907:JYP720912 KIL720907:KIL720912 KSH720907:KSH720912 LCD720907:LCD720912 LLZ720907:LLZ720912 LVV720907:LVV720912 MFR720907:MFR720912 MPN720907:MPN720912 MZJ720907:MZJ720912 NJF720907:NJF720912 NTB720907:NTB720912 OCX720907:OCX720912 OMT720907:OMT720912 OWP720907:OWP720912 PGL720907:PGL720912 PQH720907:PQH720912 QAD720907:QAD720912 QJZ720907:QJZ720912 QTV720907:QTV720912 RDR720907:RDR720912 RNN720907:RNN720912 RXJ720907:RXJ720912 SHF720907:SHF720912 SRB720907:SRB720912 TAX720907:TAX720912 TKT720907:TKT720912 TUP720907:TUP720912 UEL720907:UEL720912 UOH720907:UOH720912 UYD720907:UYD720912 VHZ720907:VHZ720912 VRV720907:VRV720912 WBR720907:WBR720912 WLN720907:WLN720912 WVJ720907:WVJ720912 B786443:B786448 IX786443:IX786448 ST786443:ST786448 ACP786443:ACP786448 AML786443:AML786448 AWH786443:AWH786448 BGD786443:BGD786448 BPZ786443:BPZ786448 BZV786443:BZV786448 CJR786443:CJR786448 CTN786443:CTN786448 DDJ786443:DDJ786448 DNF786443:DNF786448 DXB786443:DXB786448 EGX786443:EGX786448 EQT786443:EQT786448 FAP786443:FAP786448 FKL786443:FKL786448 FUH786443:FUH786448 GED786443:GED786448 GNZ786443:GNZ786448 GXV786443:GXV786448 HHR786443:HHR786448 HRN786443:HRN786448 IBJ786443:IBJ786448 ILF786443:ILF786448 IVB786443:IVB786448 JEX786443:JEX786448 JOT786443:JOT786448 JYP786443:JYP786448 KIL786443:KIL786448 KSH786443:KSH786448 LCD786443:LCD786448 LLZ786443:LLZ786448 LVV786443:LVV786448 MFR786443:MFR786448 MPN786443:MPN786448 MZJ786443:MZJ786448 NJF786443:NJF786448 NTB786443:NTB786448 OCX786443:OCX786448 OMT786443:OMT786448 OWP786443:OWP786448 PGL786443:PGL786448 PQH786443:PQH786448 QAD786443:QAD786448 QJZ786443:QJZ786448 QTV786443:QTV786448 RDR786443:RDR786448 RNN786443:RNN786448 RXJ786443:RXJ786448 SHF786443:SHF786448 SRB786443:SRB786448 TAX786443:TAX786448 TKT786443:TKT786448 TUP786443:TUP786448 UEL786443:UEL786448 UOH786443:UOH786448 UYD786443:UYD786448 VHZ786443:VHZ786448 VRV786443:VRV786448 WBR786443:WBR786448 WLN786443:WLN786448 WVJ786443:WVJ786448 B851979:B851984 IX851979:IX851984 ST851979:ST851984 ACP851979:ACP851984 AML851979:AML851984 AWH851979:AWH851984 BGD851979:BGD851984 BPZ851979:BPZ851984 BZV851979:BZV851984 CJR851979:CJR851984 CTN851979:CTN851984 DDJ851979:DDJ851984 DNF851979:DNF851984 DXB851979:DXB851984 EGX851979:EGX851984 EQT851979:EQT851984 FAP851979:FAP851984 FKL851979:FKL851984 FUH851979:FUH851984 GED851979:GED851984 GNZ851979:GNZ851984 GXV851979:GXV851984 HHR851979:HHR851984 HRN851979:HRN851984 IBJ851979:IBJ851984 ILF851979:ILF851984 IVB851979:IVB851984 JEX851979:JEX851984 JOT851979:JOT851984 JYP851979:JYP851984 KIL851979:KIL851984 KSH851979:KSH851984 LCD851979:LCD851984 LLZ851979:LLZ851984 LVV851979:LVV851984 MFR851979:MFR851984 MPN851979:MPN851984 MZJ851979:MZJ851984 NJF851979:NJF851984 NTB851979:NTB851984 OCX851979:OCX851984 OMT851979:OMT851984 OWP851979:OWP851984 PGL851979:PGL851984 PQH851979:PQH851984 QAD851979:QAD851984 QJZ851979:QJZ851984 QTV851979:QTV851984 RDR851979:RDR851984 RNN851979:RNN851984 RXJ851979:RXJ851984 SHF851979:SHF851984 SRB851979:SRB851984 TAX851979:TAX851984 TKT851979:TKT851984 TUP851979:TUP851984 UEL851979:UEL851984 UOH851979:UOH851984 UYD851979:UYD851984 VHZ851979:VHZ851984 VRV851979:VRV851984 WBR851979:WBR851984 WLN851979:WLN851984 WVJ851979:WVJ851984 B917515:B917520 IX917515:IX917520 ST917515:ST917520 ACP917515:ACP917520 AML917515:AML917520 AWH917515:AWH917520 BGD917515:BGD917520 BPZ917515:BPZ917520 BZV917515:BZV917520 CJR917515:CJR917520 CTN917515:CTN917520 DDJ917515:DDJ917520 DNF917515:DNF917520 DXB917515:DXB917520 EGX917515:EGX917520 EQT917515:EQT917520 FAP917515:FAP917520 FKL917515:FKL917520 FUH917515:FUH917520 GED917515:GED917520 GNZ917515:GNZ917520 GXV917515:GXV917520 HHR917515:HHR917520 HRN917515:HRN917520 IBJ917515:IBJ917520 ILF917515:ILF917520 IVB917515:IVB917520 JEX917515:JEX917520 JOT917515:JOT917520 JYP917515:JYP917520 KIL917515:KIL917520 KSH917515:KSH917520 LCD917515:LCD917520 LLZ917515:LLZ917520 LVV917515:LVV917520 MFR917515:MFR917520 MPN917515:MPN917520 MZJ917515:MZJ917520 NJF917515:NJF917520 NTB917515:NTB917520 OCX917515:OCX917520 OMT917515:OMT917520 OWP917515:OWP917520 PGL917515:PGL917520 PQH917515:PQH917520 QAD917515:QAD917520 QJZ917515:QJZ917520 QTV917515:QTV917520 RDR917515:RDR917520 RNN917515:RNN917520 RXJ917515:RXJ917520 SHF917515:SHF917520 SRB917515:SRB917520 TAX917515:TAX917520 TKT917515:TKT917520 TUP917515:TUP917520 UEL917515:UEL917520 UOH917515:UOH917520 UYD917515:UYD917520 VHZ917515:VHZ917520 VRV917515:VRV917520 WBR917515:WBR917520 WLN917515:WLN917520 WVJ917515:WVJ917520 B983051:B983056 IX983051:IX983056 ST983051:ST983056 ACP983051:ACP983056 AML983051:AML983056 AWH983051:AWH983056 BGD983051:BGD983056 BPZ983051:BPZ983056 BZV983051:BZV983056 CJR983051:CJR983056 CTN983051:CTN983056 DDJ983051:DDJ983056 DNF983051:DNF983056 DXB983051:DXB983056 EGX983051:EGX983056 EQT983051:EQT983056 FAP983051:FAP983056 FKL983051:FKL983056 FUH983051:FUH983056 GED983051:GED983056 GNZ983051:GNZ983056 GXV983051:GXV983056 HHR983051:HHR983056 HRN983051:HRN983056 IBJ983051:IBJ983056 ILF983051:ILF983056 IVB983051:IVB983056 JEX983051:JEX983056 JOT983051:JOT983056 JYP983051:JYP983056 KIL983051:KIL983056 KSH983051:KSH983056 LCD983051:LCD983056 LLZ983051:LLZ983056 LVV983051:LVV983056 MFR983051:MFR983056 MPN983051:MPN983056 MZJ983051:MZJ983056 NJF983051:NJF983056 NTB983051:NTB983056 OCX983051:OCX983056 OMT983051:OMT983056 OWP983051:OWP983056 PGL983051:PGL983056 PQH983051:PQH983056 QAD983051:QAD983056 QJZ983051:QJZ983056 QTV983051:QTV983056 RDR983051:RDR983056 RNN983051:RNN983056 RXJ983051:RXJ983056 SHF983051:SHF983056 SRB983051:SRB983056 TAX983051:TAX983056 TKT983051:TKT983056 TUP983051:TUP983056 UEL983051:UEL983056 UOH983051:UOH983056 UYD983051:UYD983056 VHZ983051:VHZ983056 VRV983051:VRV983056 WBR983051:WBR983056 WLN983051:WLN983056 WVJ983051:WVJ983056">
      <formula1>$B$203:$B$219</formula1>
    </dataValidation>
    <dataValidation type="list" allowBlank="1" showInputMessage="1" showErrorMessage="1" sqref="P34:P35 JL34:JL35 TH34:TH35 ADD34:ADD35 AMZ34:AMZ35 AWV34:AWV35 BGR34:BGR35 BQN34:BQN35 CAJ34:CAJ35 CKF34:CKF35 CUB34:CUB35 DDX34:DDX35 DNT34:DNT35 DXP34:DXP35 EHL34:EHL35 ERH34:ERH35 FBD34:FBD35 FKZ34:FKZ35 FUV34:FUV35 GER34:GER35 GON34:GON35 GYJ34:GYJ35 HIF34:HIF35 HSB34:HSB35 IBX34:IBX35 ILT34:ILT35 IVP34:IVP35 JFL34:JFL35 JPH34:JPH35 JZD34:JZD35 KIZ34:KIZ35 KSV34:KSV35 LCR34:LCR35 LMN34:LMN35 LWJ34:LWJ35 MGF34:MGF35 MQB34:MQB35 MZX34:MZX35 NJT34:NJT35 NTP34:NTP35 ODL34:ODL35 ONH34:ONH35 OXD34:OXD35 PGZ34:PGZ35 PQV34:PQV35 QAR34:QAR35 QKN34:QKN35 QUJ34:QUJ35 REF34:REF35 ROB34:ROB35 RXX34:RXX35 SHT34:SHT35 SRP34:SRP35 TBL34:TBL35 TLH34:TLH35 TVD34:TVD35 UEZ34:UEZ35 UOV34:UOV35 UYR34:UYR35 VIN34:VIN35 VSJ34:VSJ35 WCF34:WCF35 WMB34:WMB35 WVX34:WVX35 P65570:P65571 JL65570:JL65571 TH65570:TH65571 ADD65570:ADD65571 AMZ65570:AMZ65571 AWV65570:AWV65571 BGR65570:BGR65571 BQN65570:BQN65571 CAJ65570:CAJ65571 CKF65570:CKF65571 CUB65570:CUB65571 DDX65570:DDX65571 DNT65570:DNT65571 DXP65570:DXP65571 EHL65570:EHL65571 ERH65570:ERH65571 FBD65570:FBD65571 FKZ65570:FKZ65571 FUV65570:FUV65571 GER65570:GER65571 GON65570:GON65571 GYJ65570:GYJ65571 HIF65570:HIF65571 HSB65570:HSB65571 IBX65570:IBX65571 ILT65570:ILT65571 IVP65570:IVP65571 JFL65570:JFL65571 JPH65570:JPH65571 JZD65570:JZD65571 KIZ65570:KIZ65571 KSV65570:KSV65571 LCR65570:LCR65571 LMN65570:LMN65571 LWJ65570:LWJ65571 MGF65570:MGF65571 MQB65570:MQB65571 MZX65570:MZX65571 NJT65570:NJT65571 NTP65570:NTP65571 ODL65570:ODL65571 ONH65570:ONH65571 OXD65570:OXD65571 PGZ65570:PGZ65571 PQV65570:PQV65571 QAR65570:QAR65571 QKN65570:QKN65571 QUJ65570:QUJ65571 REF65570:REF65571 ROB65570:ROB65571 RXX65570:RXX65571 SHT65570:SHT65571 SRP65570:SRP65571 TBL65570:TBL65571 TLH65570:TLH65571 TVD65570:TVD65571 UEZ65570:UEZ65571 UOV65570:UOV65571 UYR65570:UYR65571 VIN65570:VIN65571 VSJ65570:VSJ65571 WCF65570:WCF65571 WMB65570:WMB65571 WVX65570:WVX65571 P131106:P131107 JL131106:JL131107 TH131106:TH131107 ADD131106:ADD131107 AMZ131106:AMZ131107 AWV131106:AWV131107 BGR131106:BGR131107 BQN131106:BQN131107 CAJ131106:CAJ131107 CKF131106:CKF131107 CUB131106:CUB131107 DDX131106:DDX131107 DNT131106:DNT131107 DXP131106:DXP131107 EHL131106:EHL131107 ERH131106:ERH131107 FBD131106:FBD131107 FKZ131106:FKZ131107 FUV131106:FUV131107 GER131106:GER131107 GON131106:GON131107 GYJ131106:GYJ131107 HIF131106:HIF131107 HSB131106:HSB131107 IBX131106:IBX131107 ILT131106:ILT131107 IVP131106:IVP131107 JFL131106:JFL131107 JPH131106:JPH131107 JZD131106:JZD131107 KIZ131106:KIZ131107 KSV131106:KSV131107 LCR131106:LCR131107 LMN131106:LMN131107 LWJ131106:LWJ131107 MGF131106:MGF131107 MQB131106:MQB131107 MZX131106:MZX131107 NJT131106:NJT131107 NTP131106:NTP131107 ODL131106:ODL131107 ONH131106:ONH131107 OXD131106:OXD131107 PGZ131106:PGZ131107 PQV131106:PQV131107 QAR131106:QAR131107 QKN131106:QKN131107 QUJ131106:QUJ131107 REF131106:REF131107 ROB131106:ROB131107 RXX131106:RXX131107 SHT131106:SHT131107 SRP131106:SRP131107 TBL131106:TBL131107 TLH131106:TLH131107 TVD131106:TVD131107 UEZ131106:UEZ131107 UOV131106:UOV131107 UYR131106:UYR131107 VIN131106:VIN131107 VSJ131106:VSJ131107 WCF131106:WCF131107 WMB131106:WMB131107 WVX131106:WVX131107 P196642:P196643 JL196642:JL196643 TH196642:TH196643 ADD196642:ADD196643 AMZ196642:AMZ196643 AWV196642:AWV196643 BGR196642:BGR196643 BQN196642:BQN196643 CAJ196642:CAJ196643 CKF196642:CKF196643 CUB196642:CUB196643 DDX196642:DDX196643 DNT196642:DNT196643 DXP196642:DXP196643 EHL196642:EHL196643 ERH196642:ERH196643 FBD196642:FBD196643 FKZ196642:FKZ196643 FUV196642:FUV196643 GER196642:GER196643 GON196642:GON196643 GYJ196642:GYJ196643 HIF196642:HIF196643 HSB196642:HSB196643 IBX196642:IBX196643 ILT196642:ILT196643 IVP196642:IVP196643 JFL196642:JFL196643 JPH196642:JPH196643 JZD196642:JZD196643 KIZ196642:KIZ196643 KSV196642:KSV196643 LCR196642:LCR196643 LMN196642:LMN196643 LWJ196642:LWJ196643 MGF196642:MGF196643 MQB196642:MQB196643 MZX196642:MZX196643 NJT196642:NJT196643 NTP196642:NTP196643 ODL196642:ODL196643 ONH196642:ONH196643 OXD196642:OXD196643 PGZ196642:PGZ196643 PQV196642:PQV196643 QAR196642:QAR196643 QKN196642:QKN196643 QUJ196642:QUJ196643 REF196642:REF196643 ROB196642:ROB196643 RXX196642:RXX196643 SHT196642:SHT196643 SRP196642:SRP196643 TBL196642:TBL196643 TLH196642:TLH196643 TVD196642:TVD196643 UEZ196642:UEZ196643 UOV196642:UOV196643 UYR196642:UYR196643 VIN196642:VIN196643 VSJ196642:VSJ196643 WCF196642:WCF196643 WMB196642:WMB196643 WVX196642:WVX196643 P262178:P262179 JL262178:JL262179 TH262178:TH262179 ADD262178:ADD262179 AMZ262178:AMZ262179 AWV262178:AWV262179 BGR262178:BGR262179 BQN262178:BQN262179 CAJ262178:CAJ262179 CKF262178:CKF262179 CUB262178:CUB262179 DDX262178:DDX262179 DNT262178:DNT262179 DXP262178:DXP262179 EHL262178:EHL262179 ERH262178:ERH262179 FBD262178:FBD262179 FKZ262178:FKZ262179 FUV262178:FUV262179 GER262178:GER262179 GON262178:GON262179 GYJ262178:GYJ262179 HIF262178:HIF262179 HSB262178:HSB262179 IBX262178:IBX262179 ILT262178:ILT262179 IVP262178:IVP262179 JFL262178:JFL262179 JPH262178:JPH262179 JZD262178:JZD262179 KIZ262178:KIZ262179 KSV262178:KSV262179 LCR262178:LCR262179 LMN262178:LMN262179 LWJ262178:LWJ262179 MGF262178:MGF262179 MQB262178:MQB262179 MZX262178:MZX262179 NJT262178:NJT262179 NTP262178:NTP262179 ODL262178:ODL262179 ONH262178:ONH262179 OXD262178:OXD262179 PGZ262178:PGZ262179 PQV262178:PQV262179 QAR262178:QAR262179 QKN262178:QKN262179 QUJ262178:QUJ262179 REF262178:REF262179 ROB262178:ROB262179 RXX262178:RXX262179 SHT262178:SHT262179 SRP262178:SRP262179 TBL262178:TBL262179 TLH262178:TLH262179 TVD262178:TVD262179 UEZ262178:UEZ262179 UOV262178:UOV262179 UYR262178:UYR262179 VIN262178:VIN262179 VSJ262178:VSJ262179 WCF262178:WCF262179 WMB262178:WMB262179 WVX262178:WVX262179 P327714:P327715 JL327714:JL327715 TH327714:TH327715 ADD327714:ADD327715 AMZ327714:AMZ327715 AWV327714:AWV327715 BGR327714:BGR327715 BQN327714:BQN327715 CAJ327714:CAJ327715 CKF327714:CKF327715 CUB327714:CUB327715 DDX327714:DDX327715 DNT327714:DNT327715 DXP327714:DXP327715 EHL327714:EHL327715 ERH327714:ERH327715 FBD327714:FBD327715 FKZ327714:FKZ327715 FUV327714:FUV327715 GER327714:GER327715 GON327714:GON327715 GYJ327714:GYJ327715 HIF327714:HIF327715 HSB327714:HSB327715 IBX327714:IBX327715 ILT327714:ILT327715 IVP327714:IVP327715 JFL327714:JFL327715 JPH327714:JPH327715 JZD327714:JZD327715 KIZ327714:KIZ327715 KSV327714:KSV327715 LCR327714:LCR327715 LMN327714:LMN327715 LWJ327714:LWJ327715 MGF327714:MGF327715 MQB327714:MQB327715 MZX327714:MZX327715 NJT327714:NJT327715 NTP327714:NTP327715 ODL327714:ODL327715 ONH327714:ONH327715 OXD327714:OXD327715 PGZ327714:PGZ327715 PQV327714:PQV327715 QAR327714:QAR327715 QKN327714:QKN327715 QUJ327714:QUJ327715 REF327714:REF327715 ROB327714:ROB327715 RXX327714:RXX327715 SHT327714:SHT327715 SRP327714:SRP327715 TBL327714:TBL327715 TLH327714:TLH327715 TVD327714:TVD327715 UEZ327714:UEZ327715 UOV327714:UOV327715 UYR327714:UYR327715 VIN327714:VIN327715 VSJ327714:VSJ327715 WCF327714:WCF327715 WMB327714:WMB327715 WVX327714:WVX327715 P393250:P393251 JL393250:JL393251 TH393250:TH393251 ADD393250:ADD393251 AMZ393250:AMZ393251 AWV393250:AWV393251 BGR393250:BGR393251 BQN393250:BQN393251 CAJ393250:CAJ393251 CKF393250:CKF393251 CUB393250:CUB393251 DDX393250:DDX393251 DNT393250:DNT393251 DXP393250:DXP393251 EHL393250:EHL393251 ERH393250:ERH393251 FBD393250:FBD393251 FKZ393250:FKZ393251 FUV393250:FUV393251 GER393250:GER393251 GON393250:GON393251 GYJ393250:GYJ393251 HIF393250:HIF393251 HSB393250:HSB393251 IBX393250:IBX393251 ILT393250:ILT393251 IVP393250:IVP393251 JFL393250:JFL393251 JPH393250:JPH393251 JZD393250:JZD393251 KIZ393250:KIZ393251 KSV393250:KSV393251 LCR393250:LCR393251 LMN393250:LMN393251 LWJ393250:LWJ393251 MGF393250:MGF393251 MQB393250:MQB393251 MZX393250:MZX393251 NJT393250:NJT393251 NTP393250:NTP393251 ODL393250:ODL393251 ONH393250:ONH393251 OXD393250:OXD393251 PGZ393250:PGZ393251 PQV393250:PQV393251 QAR393250:QAR393251 QKN393250:QKN393251 QUJ393250:QUJ393251 REF393250:REF393251 ROB393250:ROB393251 RXX393250:RXX393251 SHT393250:SHT393251 SRP393250:SRP393251 TBL393250:TBL393251 TLH393250:TLH393251 TVD393250:TVD393251 UEZ393250:UEZ393251 UOV393250:UOV393251 UYR393250:UYR393251 VIN393250:VIN393251 VSJ393250:VSJ393251 WCF393250:WCF393251 WMB393250:WMB393251 WVX393250:WVX393251 P458786:P458787 JL458786:JL458787 TH458786:TH458787 ADD458786:ADD458787 AMZ458786:AMZ458787 AWV458786:AWV458787 BGR458786:BGR458787 BQN458786:BQN458787 CAJ458786:CAJ458787 CKF458786:CKF458787 CUB458786:CUB458787 DDX458786:DDX458787 DNT458786:DNT458787 DXP458786:DXP458787 EHL458786:EHL458787 ERH458786:ERH458787 FBD458786:FBD458787 FKZ458786:FKZ458787 FUV458786:FUV458787 GER458786:GER458787 GON458786:GON458787 GYJ458786:GYJ458787 HIF458786:HIF458787 HSB458786:HSB458787 IBX458786:IBX458787 ILT458786:ILT458787 IVP458786:IVP458787 JFL458786:JFL458787 JPH458786:JPH458787 JZD458786:JZD458787 KIZ458786:KIZ458787 KSV458786:KSV458787 LCR458786:LCR458787 LMN458786:LMN458787 LWJ458786:LWJ458787 MGF458786:MGF458787 MQB458786:MQB458787 MZX458786:MZX458787 NJT458786:NJT458787 NTP458786:NTP458787 ODL458786:ODL458787 ONH458786:ONH458787 OXD458786:OXD458787 PGZ458786:PGZ458787 PQV458786:PQV458787 QAR458786:QAR458787 QKN458786:QKN458787 QUJ458786:QUJ458787 REF458786:REF458787 ROB458786:ROB458787 RXX458786:RXX458787 SHT458786:SHT458787 SRP458786:SRP458787 TBL458786:TBL458787 TLH458786:TLH458787 TVD458786:TVD458787 UEZ458786:UEZ458787 UOV458786:UOV458787 UYR458786:UYR458787 VIN458786:VIN458787 VSJ458786:VSJ458787 WCF458786:WCF458787 WMB458786:WMB458787 WVX458786:WVX458787 P524322:P524323 JL524322:JL524323 TH524322:TH524323 ADD524322:ADD524323 AMZ524322:AMZ524323 AWV524322:AWV524323 BGR524322:BGR524323 BQN524322:BQN524323 CAJ524322:CAJ524323 CKF524322:CKF524323 CUB524322:CUB524323 DDX524322:DDX524323 DNT524322:DNT524323 DXP524322:DXP524323 EHL524322:EHL524323 ERH524322:ERH524323 FBD524322:FBD524323 FKZ524322:FKZ524323 FUV524322:FUV524323 GER524322:GER524323 GON524322:GON524323 GYJ524322:GYJ524323 HIF524322:HIF524323 HSB524322:HSB524323 IBX524322:IBX524323 ILT524322:ILT524323 IVP524322:IVP524323 JFL524322:JFL524323 JPH524322:JPH524323 JZD524322:JZD524323 KIZ524322:KIZ524323 KSV524322:KSV524323 LCR524322:LCR524323 LMN524322:LMN524323 LWJ524322:LWJ524323 MGF524322:MGF524323 MQB524322:MQB524323 MZX524322:MZX524323 NJT524322:NJT524323 NTP524322:NTP524323 ODL524322:ODL524323 ONH524322:ONH524323 OXD524322:OXD524323 PGZ524322:PGZ524323 PQV524322:PQV524323 QAR524322:QAR524323 QKN524322:QKN524323 QUJ524322:QUJ524323 REF524322:REF524323 ROB524322:ROB524323 RXX524322:RXX524323 SHT524322:SHT524323 SRP524322:SRP524323 TBL524322:TBL524323 TLH524322:TLH524323 TVD524322:TVD524323 UEZ524322:UEZ524323 UOV524322:UOV524323 UYR524322:UYR524323 VIN524322:VIN524323 VSJ524322:VSJ524323 WCF524322:WCF524323 WMB524322:WMB524323 WVX524322:WVX524323 P589858:P589859 JL589858:JL589859 TH589858:TH589859 ADD589858:ADD589859 AMZ589858:AMZ589859 AWV589858:AWV589859 BGR589858:BGR589859 BQN589858:BQN589859 CAJ589858:CAJ589859 CKF589858:CKF589859 CUB589858:CUB589859 DDX589858:DDX589859 DNT589858:DNT589859 DXP589858:DXP589859 EHL589858:EHL589859 ERH589858:ERH589859 FBD589858:FBD589859 FKZ589858:FKZ589859 FUV589858:FUV589859 GER589858:GER589859 GON589858:GON589859 GYJ589858:GYJ589859 HIF589858:HIF589859 HSB589858:HSB589859 IBX589858:IBX589859 ILT589858:ILT589859 IVP589858:IVP589859 JFL589858:JFL589859 JPH589858:JPH589859 JZD589858:JZD589859 KIZ589858:KIZ589859 KSV589858:KSV589859 LCR589858:LCR589859 LMN589858:LMN589859 LWJ589858:LWJ589859 MGF589858:MGF589859 MQB589858:MQB589859 MZX589858:MZX589859 NJT589858:NJT589859 NTP589858:NTP589859 ODL589858:ODL589859 ONH589858:ONH589859 OXD589858:OXD589859 PGZ589858:PGZ589859 PQV589858:PQV589859 QAR589858:QAR589859 QKN589858:QKN589859 QUJ589858:QUJ589859 REF589858:REF589859 ROB589858:ROB589859 RXX589858:RXX589859 SHT589858:SHT589859 SRP589858:SRP589859 TBL589858:TBL589859 TLH589858:TLH589859 TVD589858:TVD589859 UEZ589858:UEZ589859 UOV589858:UOV589859 UYR589858:UYR589859 VIN589858:VIN589859 VSJ589858:VSJ589859 WCF589858:WCF589859 WMB589858:WMB589859 WVX589858:WVX589859 P655394:P655395 JL655394:JL655395 TH655394:TH655395 ADD655394:ADD655395 AMZ655394:AMZ655395 AWV655394:AWV655395 BGR655394:BGR655395 BQN655394:BQN655395 CAJ655394:CAJ655395 CKF655394:CKF655395 CUB655394:CUB655395 DDX655394:DDX655395 DNT655394:DNT655395 DXP655394:DXP655395 EHL655394:EHL655395 ERH655394:ERH655395 FBD655394:FBD655395 FKZ655394:FKZ655395 FUV655394:FUV655395 GER655394:GER655395 GON655394:GON655395 GYJ655394:GYJ655395 HIF655394:HIF655395 HSB655394:HSB655395 IBX655394:IBX655395 ILT655394:ILT655395 IVP655394:IVP655395 JFL655394:JFL655395 JPH655394:JPH655395 JZD655394:JZD655395 KIZ655394:KIZ655395 KSV655394:KSV655395 LCR655394:LCR655395 LMN655394:LMN655395 LWJ655394:LWJ655395 MGF655394:MGF655395 MQB655394:MQB655395 MZX655394:MZX655395 NJT655394:NJT655395 NTP655394:NTP655395 ODL655394:ODL655395 ONH655394:ONH655395 OXD655394:OXD655395 PGZ655394:PGZ655395 PQV655394:PQV655395 QAR655394:QAR655395 QKN655394:QKN655395 QUJ655394:QUJ655395 REF655394:REF655395 ROB655394:ROB655395 RXX655394:RXX655395 SHT655394:SHT655395 SRP655394:SRP655395 TBL655394:TBL655395 TLH655394:TLH655395 TVD655394:TVD655395 UEZ655394:UEZ655395 UOV655394:UOV655395 UYR655394:UYR655395 VIN655394:VIN655395 VSJ655394:VSJ655395 WCF655394:WCF655395 WMB655394:WMB655395 WVX655394:WVX655395 P720930:P720931 JL720930:JL720931 TH720930:TH720931 ADD720930:ADD720931 AMZ720930:AMZ720931 AWV720930:AWV720931 BGR720930:BGR720931 BQN720930:BQN720931 CAJ720930:CAJ720931 CKF720930:CKF720931 CUB720930:CUB720931 DDX720930:DDX720931 DNT720930:DNT720931 DXP720930:DXP720931 EHL720930:EHL720931 ERH720930:ERH720931 FBD720930:FBD720931 FKZ720930:FKZ720931 FUV720930:FUV720931 GER720930:GER720931 GON720930:GON720931 GYJ720930:GYJ720931 HIF720930:HIF720931 HSB720930:HSB720931 IBX720930:IBX720931 ILT720930:ILT720931 IVP720930:IVP720931 JFL720930:JFL720931 JPH720930:JPH720931 JZD720930:JZD720931 KIZ720930:KIZ720931 KSV720930:KSV720931 LCR720930:LCR720931 LMN720930:LMN720931 LWJ720930:LWJ720931 MGF720930:MGF720931 MQB720930:MQB720931 MZX720930:MZX720931 NJT720930:NJT720931 NTP720930:NTP720931 ODL720930:ODL720931 ONH720930:ONH720931 OXD720930:OXD720931 PGZ720930:PGZ720931 PQV720930:PQV720931 QAR720930:QAR720931 QKN720930:QKN720931 QUJ720930:QUJ720931 REF720930:REF720931 ROB720930:ROB720931 RXX720930:RXX720931 SHT720930:SHT720931 SRP720930:SRP720931 TBL720930:TBL720931 TLH720930:TLH720931 TVD720930:TVD720931 UEZ720930:UEZ720931 UOV720930:UOV720931 UYR720930:UYR720931 VIN720930:VIN720931 VSJ720930:VSJ720931 WCF720930:WCF720931 WMB720930:WMB720931 WVX720930:WVX720931 P786466:P786467 JL786466:JL786467 TH786466:TH786467 ADD786466:ADD786467 AMZ786466:AMZ786467 AWV786466:AWV786467 BGR786466:BGR786467 BQN786466:BQN786467 CAJ786466:CAJ786467 CKF786466:CKF786467 CUB786466:CUB786467 DDX786466:DDX786467 DNT786466:DNT786467 DXP786466:DXP786467 EHL786466:EHL786467 ERH786466:ERH786467 FBD786466:FBD786467 FKZ786466:FKZ786467 FUV786466:FUV786467 GER786466:GER786467 GON786466:GON786467 GYJ786466:GYJ786467 HIF786466:HIF786467 HSB786466:HSB786467 IBX786466:IBX786467 ILT786466:ILT786467 IVP786466:IVP786467 JFL786466:JFL786467 JPH786466:JPH786467 JZD786466:JZD786467 KIZ786466:KIZ786467 KSV786466:KSV786467 LCR786466:LCR786467 LMN786466:LMN786467 LWJ786466:LWJ786467 MGF786466:MGF786467 MQB786466:MQB786467 MZX786466:MZX786467 NJT786466:NJT786467 NTP786466:NTP786467 ODL786466:ODL786467 ONH786466:ONH786467 OXD786466:OXD786467 PGZ786466:PGZ786467 PQV786466:PQV786467 QAR786466:QAR786467 QKN786466:QKN786467 QUJ786466:QUJ786467 REF786466:REF786467 ROB786466:ROB786467 RXX786466:RXX786467 SHT786466:SHT786467 SRP786466:SRP786467 TBL786466:TBL786467 TLH786466:TLH786467 TVD786466:TVD786467 UEZ786466:UEZ786467 UOV786466:UOV786467 UYR786466:UYR786467 VIN786466:VIN786467 VSJ786466:VSJ786467 WCF786466:WCF786467 WMB786466:WMB786467 WVX786466:WVX786467 P852002:P852003 JL852002:JL852003 TH852002:TH852003 ADD852002:ADD852003 AMZ852002:AMZ852003 AWV852002:AWV852003 BGR852002:BGR852003 BQN852002:BQN852003 CAJ852002:CAJ852003 CKF852002:CKF852003 CUB852002:CUB852003 DDX852002:DDX852003 DNT852002:DNT852003 DXP852002:DXP852003 EHL852002:EHL852003 ERH852002:ERH852003 FBD852002:FBD852003 FKZ852002:FKZ852003 FUV852002:FUV852003 GER852002:GER852003 GON852002:GON852003 GYJ852002:GYJ852003 HIF852002:HIF852003 HSB852002:HSB852003 IBX852002:IBX852003 ILT852002:ILT852003 IVP852002:IVP852003 JFL852002:JFL852003 JPH852002:JPH852003 JZD852002:JZD852003 KIZ852002:KIZ852003 KSV852002:KSV852003 LCR852002:LCR852003 LMN852002:LMN852003 LWJ852002:LWJ852003 MGF852002:MGF852003 MQB852002:MQB852003 MZX852002:MZX852003 NJT852002:NJT852003 NTP852002:NTP852003 ODL852002:ODL852003 ONH852002:ONH852003 OXD852002:OXD852003 PGZ852002:PGZ852003 PQV852002:PQV852003 QAR852002:QAR852003 QKN852002:QKN852003 QUJ852002:QUJ852003 REF852002:REF852003 ROB852002:ROB852003 RXX852002:RXX852003 SHT852002:SHT852003 SRP852002:SRP852003 TBL852002:TBL852003 TLH852002:TLH852003 TVD852002:TVD852003 UEZ852002:UEZ852003 UOV852002:UOV852003 UYR852002:UYR852003 VIN852002:VIN852003 VSJ852002:VSJ852003 WCF852002:WCF852003 WMB852002:WMB852003 WVX852002:WVX852003 P917538:P917539 JL917538:JL917539 TH917538:TH917539 ADD917538:ADD917539 AMZ917538:AMZ917539 AWV917538:AWV917539 BGR917538:BGR917539 BQN917538:BQN917539 CAJ917538:CAJ917539 CKF917538:CKF917539 CUB917538:CUB917539 DDX917538:DDX917539 DNT917538:DNT917539 DXP917538:DXP917539 EHL917538:EHL917539 ERH917538:ERH917539 FBD917538:FBD917539 FKZ917538:FKZ917539 FUV917538:FUV917539 GER917538:GER917539 GON917538:GON917539 GYJ917538:GYJ917539 HIF917538:HIF917539 HSB917538:HSB917539 IBX917538:IBX917539 ILT917538:ILT917539 IVP917538:IVP917539 JFL917538:JFL917539 JPH917538:JPH917539 JZD917538:JZD917539 KIZ917538:KIZ917539 KSV917538:KSV917539 LCR917538:LCR917539 LMN917538:LMN917539 LWJ917538:LWJ917539 MGF917538:MGF917539 MQB917538:MQB917539 MZX917538:MZX917539 NJT917538:NJT917539 NTP917538:NTP917539 ODL917538:ODL917539 ONH917538:ONH917539 OXD917538:OXD917539 PGZ917538:PGZ917539 PQV917538:PQV917539 QAR917538:QAR917539 QKN917538:QKN917539 QUJ917538:QUJ917539 REF917538:REF917539 ROB917538:ROB917539 RXX917538:RXX917539 SHT917538:SHT917539 SRP917538:SRP917539 TBL917538:TBL917539 TLH917538:TLH917539 TVD917538:TVD917539 UEZ917538:UEZ917539 UOV917538:UOV917539 UYR917538:UYR917539 VIN917538:VIN917539 VSJ917538:VSJ917539 WCF917538:WCF917539 WMB917538:WMB917539 WVX917538:WVX917539 P983074:P983075 JL983074:JL983075 TH983074:TH983075 ADD983074:ADD983075 AMZ983074:AMZ983075 AWV983074:AWV983075 BGR983074:BGR983075 BQN983074:BQN983075 CAJ983074:CAJ983075 CKF983074:CKF983075 CUB983074:CUB983075 DDX983074:DDX983075 DNT983074:DNT983075 DXP983074:DXP983075 EHL983074:EHL983075 ERH983074:ERH983075 FBD983074:FBD983075 FKZ983074:FKZ983075 FUV983074:FUV983075 GER983074:GER983075 GON983074:GON983075 GYJ983074:GYJ983075 HIF983074:HIF983075 HSB983074:HSB983075 IBX983074:IBX983075 ILT983074:ILT983075 IVP983074:IVP983075 JFL983074:JFL983075 JPH983074:JPH983075 JZD983074:JZD983075 KIZ983074:KIZ983075 KSV983074:KSV983075 LCR983074:LCR983075 LMN983074:LMN983075 LWJ983074:LWJ983075 MGF983074:MGF983075 MQB983074:MQB983075 MZX983074:MZX983075 NJT983074:NJT983075 NTP983074:NTP983075 ODL983074:ODL983075 ONH983074:ONH983075 OXD983074:OXD983075 PGZ983074:PGZ983075 PQV983074:PQV983075 QAR983074:QAR983075 QKN983074:QKN983075 QUJ983074:QUJ983075 REF983074:REF983075 ROB983074:ROB983075 RXX983074:RXX983075 SHT983074:SHT983075 SRP983074:SRP983075 TBL983074:TBL983075 TLH983074:TLH983075 TVD983074:TVD983075 UEZ983074:UEZ983075 UOV983074:UOV983075 UYR983074:UYR983075 VIN983074:VIN983075 VSJ983074:VSJ983075 WCF983074:WCF983075 WMB983074:WMB983075 WVX983074:WVX983075">
      <formula1>$P$203:$P$208</formula1>
    </dataValidation>
    <dataValidation type="list" allowBlank="1" showInputMessage="1" showErrorMessage="1" sqref="P21 JL21 TH21 ADD21 AMZ21 AWV21 BGR21 BQN21 CAJ21 CKF21 CUB21 DDX21 DNT21 DXP21 EHL21 ERH21 FBD21 FKZ21 FUV21 GER21 GON21 GYJ21 HIF21 HSB21 IBX21 ILT21 IVP21 JFL21 JPH21 JZD21 KIZ21 KSV21 LCR21 LMN21 LWJ21 MGF21 MQB21 MZX21 NJT21 NTP21 ODL21 ONH21 OXD21 PGZ21 PQV21 QAR21 QKN21 QUJ21 REF21 ROB21 RXX21 SHT21 SRP21 TBL21 TLH21 TVD21 UEZ21 UOV21 UYR21 VIN21 VSJ21 WCF21 WMB21 WVX21 P65557 JL65557 TH65557 ADD65557 AMZ65557 AWV65557 BGR65557 BQN65557 CAJ65557 CKF65557 CUB65557 DDX65557 DNT65557 DXP65557 EHL65557 ERH65557 FBD65557 FKZ65557 FUV65557 GER65557 GON65557 GYJ65557 HIF65557 HSB65557 IBX65557 ILT65557 IVP65557 JFL65557 JPH65557 JZD65557 KIZ65557 KSV65557 LCR65557 LMN65557 LWJ65557 MGF65557 MQB65557 MZX65557 NJT65557 NTP65557 ODL65557 ONH65557 OXD65557 PGZ65557 PQV65557 QAR65557 QKN65557 QUJ65557 REF65557 ROB65557 RXX65557 SHT65557 SRP65557 TBL65557 TLH65557 TVD65557 UEZ65557 UOV65557 UYR65557 VIN65557 VSJ65557 WCF65557 WMB65557 WVX65557 P131093 JL131093 TH131093 ADD131093 AMZ131093 AWV131093 BGR131093 BQN131093 CAJ131093 CKF131093 CUB131093 DDX131093 DNT131093 DXP131093 EHL131093 ERH131093 FBD131093 FKZ131093 FUV131093 GER131093 GON131093 GYJ131093 HIF131093 HSB131093 IBX131093 ILT131093 IVP131093 JFL131093 JPH131093 JZD131093 KIZ131093 KSV131093 LCR131093 LMN131093 LWJ131093 MGF131093 MQB131093 MZX131093 NJT131093 NTP131093 ODL131093 ONH131093 OXD131093 PGZ131093 PQV131093 QAR131093 QKN131093 QUJ131093 REF131093 ROB131093 RXX131093 SHT131093 SRP131093 TBL131093 TLH131093 TVD131093 UEZ131093 UOV131093 UYR131093 VIN131093 VSJ131093 WCF131093 WMB131093 WVX131093 P196629 JL196629 TH196629 ADD196629 AMZ196629 AWV196629 BGR196629 BQN196629 CAJ196629 CKF196629 CUB196629 DDX196629 DNT196629 DXP196629 EHL196629 ERH196629 FBD196629 FKZ196629 FUV196629 GER196629 GON196629 GYJ196629 HIF196629 HSB196629 IBX196629 ILT196629 IVP196629 JFL196629 JPH196629 JZD196629 KIZ196629 KSV196629 LCR196629 LMN196629 LWJ196629 MGF196629 MQB196629 MZX196629 NJT196629 NTP196629 ODL196629 ONH196629 OXD196629 PGZ196629 PQV196629 QAR196629 QKN196629 QUJ196629 REF196629 ROB196629 RXX196629 SHT196629 SRP196629 TBL196629 TLH196629 TVD196629 UEZ196629 UOV196629 UYR196629 VIN196629 VSJ196629 WCF196629 WMB196629 WVX196629 P262165 JL262165 TH262165 ADD262165 AMZ262165 AWV262165 BGR262165 BQN262165 CAJ262165 CKF262165 CUB262165 DDX262165 DNT262165 DXP262165 EHL262165 ERH262165 FBD262165 FKZ262165 FUV262165 GER262165 GON262165 GYJ262165 HIF262165 HSB262165 IBX262165 ILT262165 IVP262165 JFL262165 JPH262165 JZD262165 KIZ262165 KSV262165 LCR262165 LMN262165 LWJ262165 MGF262165 MQB262165 MZX262165 NJT262165 NTP262165 ODL262165 ONH262165 OXD262165 PGZ262165 PQV262165 QAR262165 QKN262165 QUJ262165 REF262165 ROB262165 RXX262165 SHT262165 SRP262165 TBL262165 TLH262165 TVD262165 UEZ262165 UOV262165 UYR262165 VIN262165 VSJ262165 WCF262165 WMB262165 WVX262165 P327701 JL327701 TH327701 ADD327701 AMZ327701 AWV327701 BGR327701 BQN327701 CAJ327701 CKF327701 CUB327701 DDX327701 DNT327701 DXP327701 EHL327701 ERH327701 FBD327701 FKZ327701 FUV327701 GER327701 GON327701 GYJ327701 HIF327701 HSB327701 IBX327701 ILT327701 IVP327701 JFL327701 JPH327701 JZD327701 KIZ327701 KSV327701 LCR327701 LMN327701 LWJ327701 MGF327701 MQB327701 MZX327701 NJT327701 NTP327701 ODL327701 ONH327701 OXD327701 PGZ327701 PQV327701 QAR327701 QKN327701 QUJ327701 REF327701 ROB327701 RXX327701 SHT327701 SRP327701 TBL327701 TLH327701 TVD327701 UEZ327701 UOV327701 UYR327701 VIN327701 VSJ327701 WCF327701 WMB327701 WVX327701 P393237 JL393237 TH393237 ADD393237 AMZ393237 AWV393237 BGR393237 BQN393237 CAJ393237 CKF393237 CUB393237 DDX393237 DNT393237 DXP393237 EHL393237 ERH393237 FBD393237 FKZ393237 FUV393237 GER393237 GON393237 GYJ393237 HIF393237 HSB393237 IBX393237 ILT393237 IVP393237 JFL393237 JPH393237 JZD393237 KIZ393237 KSV393237 LCR393237 LMN393237 LWJ393237 MGF393237 MQB393237 MZX393237 NJT393237 NTP393237 ODL393237 ONH393237 OXD393237 PGZ393237 PQV393237 QAR393237 QKN393237 QUJ393237 REF393237 ROB393237 RXX393237 SHT393237 SRP393237 TBL393237 TLH393237 TVD393237 UEZ393237 UOV393237 UYR393237 VIN393237 VSJ393237 WCF393237 WMB393237 WVX393237 P458773 JL458773 TH458773 ADD458773 AMZ458773 AWV458773 BGR458773 BQN458773 CAJ458773 CKF458773 CUB458773 DDX458773 DNT458773 DXP458773 EHL458773 ERH458773 FBD458773 FKZ458773 FUV458773 GER458773 GON458773 GYJ458773 HIF458773 HSB458773 IBX458773 ILT458773 IVP458773 JFL458773 JPH458773 JZD458773 KIZ458773 KSV458773 LCR458773 LMN458773 LWJ458773 MGF458773 MQB458773 MZX458773 NJT458773 NTP458773 ODL458773 ONH458773 OXD458773 PGZ458773 PQV458773 QAR458773 QKN458773 QUJ458773 REF458773 ROB458773 RXX458773 SHT458773 SRP458773 TBL458773 TLH458773 TVD458773 UEZ458773 UOV458773 UYR458773 VIN458773 VSJ458773 WCF458773 WMB458773 WVX458773 P524309 JL524309 TH524309 ADD524309 AMZ524309 AWV524309 BGR524309 BQN524309 CAJ524309 CKF524309 CUB524309 DDX524309 DNT524309 DXP524309 EHL524309 ERH524309 FBD524309 FKZ524309 FUV524309 GER524309 GON524309 GYJ524309 HIF524309 HSB524309 IBX524309 ILT524309 IVP524309 JFL524309 JPH524309 JZD524309 KIZ524309 KSV524309 LCR524309 LMN524309 LWJ524309 MGF524309 MQB524309 MZX524309 NJT524309 NTP524309 ODL524309 ONH524309 OXD524309 PGZ524309 PQV524309 QAR524309 QKN524309 QUJ524309 REF524309 ROB524309 RXX524309 SHT524309 SRP524309 TBL524309 TLH524309 TVD524309 UEZ524309 UOV524309 UYR524309 VIN524309 VSJ524309 WCF524309 WMB524309 WVX524309 P589845 JL589845 TH589845 ADD589845 AMZ589845 AWV589845 BGR589845 BQN589845 CAJ589845 CKF589845 CUB589845 DDX589845 DNT589845 DXP589845 EHL589845 ERH589845 FBD589845 FKZ589845 FUV589845 GER589845 GON589845 GYJ589845 HIF589845 HSB589845 IBX589845 ILT589845 IVP589845 JFL589845 JPH589845 JZD589845 KIZ589845 KSV589845 LCR589845 LMN589845 LWJ589845 MGF589845 MQB589845 MZX589845 NJT589845 NTP589845 ODL589845 ONH589845 OXD589845 PGZ589845 PQV589845 QAR589845 QKN589845 QUJ589845 REF589845 ROB589845 RXX589845 SHT589845 SRP589845 TBL589845 TLH589845 TVD589845 UEZ589845 UOV589845 UYR589845 VIN589845 VSJ589845 WCF589845 WMB589845 WVX589845 P655381 JL655381 TH655381 ADD655381 AMZ655381 AWV655381 BGR655381 BQN655381 CAJ655381 CKF655381 CUB655381 DDX655381 DNT655381 DXP655381 EHL655381 ERH655381 FBD655381 FKZ655381 FUV655381 GER655381 GON655381 GYJ655381 HIF655381 HSB655381 IBX655381 ILT655381 IVP655381 JFL655381 JPH655381 JZD655381 KIZ655381 KSV655381 LCR655381 LMN655381 LWJ655381 MGF655381 MQB655381 MZX655381 NJT655381 NTP655381 ODL655381 ONH655381 OXD655381 PGZ655381 PQV655381 QAR655381 QKN655381 QUJ655381 REF655381 ROB655381 RXX655381 SHT655381 SRP655381 TBL655381 TLH655381 TVD655381 UEZ655381 UOV655381 UYR655381 VIN655381 VSJ655381 WCF655381 WMB655381 WVX655381 P720917 JL720917 TH720917 ADD720917 AMZ720917 AWV720917 BGR720917 BQN720917 CAJ720917 CKF720917 CUB720917 DDX720917 DNT720917 DXP720917 EHL720917 ERH720917 FBD720917 FKZ720917 FUV720917 GER720917 GON720917 GYJ720917 HIF720917 HSB720917 IBX720917 ILT720917 IVP720917 JFL720917 JPH720917 JZD720917 KIZ720917 KSV720917 LCR720917 LMN720917 LWJ720917 MGF720917 MQB720917 MZX720917 NJT720917 NTP720917 ODL720917 ONH720917 OXD720917 PGZ720917 PQV720917 QAR720917 QKN720917 QUJ720917 REF720917 ROB720917 RXX720917 SHT720917 SRP720917 TBL720917 TLH720917 TVD720917 UEZ720917 UOV720917 UYR720917 VIN720917 VSJ720917 WCF720917 WMB720917 WVX720917 P786453 JL786453 TH786453 ADD786453 AMZ786453 AWV786453 BGR786453 BQN786453 CAJ786453 CKF786453 CUB786453 DDX786453 DNT786453 DXP786453 EHL786453 ERH786453 FBD786453 FKZ786453 FUV786453 GER786453 GON786453 GYJ786453 HIF786453 HSB786453 IBX786453 ILT786453 IVP786453 JFL786453 JPH786453 JZD786453 KIZ786453 KSV786453 LCR786453 LMN786453 LWJ786453 MGF786453 MQB786453 MZX786453 NJT786453 NTP786453 ODL786453 ONH786453 OXD786453 PGZ786453 PQV786453 QAR786453 QKN786453 QUJ786453 REF786453 ROB786453 RXX786453 SHT786453 SRP786453 TBL786453 TLH786453 TVD786453 UEZ786453 UOV786453 UYR786453 VIN786453 VSJ786453 WCF786453 WMB786453 WVX786453 P851989 JL851989 TH851989 ADD851989 AMZ851989 AWV851989 BGR851989 BQN851989 CAJ851989 CKF851989 CUB851989 DDX851989 DNT851989 DXP851989 EHL851989 ERH851989 FBD851989 FKZ851989 FUV851989 GER851989 GON851989 GYJ851989 HIF851989 HSB851989 IBX851989 ILT851989 IVP851989 JFL851989 JPH851989 JZD851989 KIZ851989 KSV851989 LCR851989 LMN851989 LWJ851989 MGF851989 MQB851989 MZX851989 NJT851989 NTP851989 ODL851989 ONH851989 OXD851989 PGZ851989 PQV851989 QAR851989 QKN851989 QUJ851989 REF851989 ROB851989 RXX851989 SHT851989 SRP851989 TBL851989 TLH851989 TVD851989 UEZ851989 UOV851989 UYR851989 VIN851989 VSJ851989 WCF851989 WMB851989 WVX851989 P917525 JL917525 TH917525 ADD917525 AMZ917525 AWV917525 BGR917525 BQN917525 CAJ917525 CKF917525 CUB917525 DDX917525 DNT917525 DXP917525 EHL917525 ERH917525 FBD917525 FKZ917525 FUV917525 GER917525 GON917525 GYJ917525 HIF917525 HSB917525 IBX917525 ILT917525 IVP917525 JFL917525 JPH917525 JZD917525 KIZ917525 KSV917525 LCR917525 LMN917525 LWJ917525 MGF917525 MQB917525 MZX917525 NJT917525 NTP917525 ODL917525 ONH917525 OXD917525 PGZ917525 PQV917525 QAR917525 QKN917525 QUJ917525 REF917525 ROB917525 RXX917525 SHT917525 SRP917525 TBL917525 TLH917525 TVD917525 UEZ917525 UOV917525 UYR917525 VIN917525 VSJ917525 WCF917525 WMB917525 WVX917525 P983061 JL983061 TH983061 ADD983061 AMZ983061 AWV983061 BGR983061 BQN983061 CAJ983061 CKF983061 CUB983061 DDX983061 DNT983061 DXP983061 EHL983061 ERH983061 FBD983061 FKZ983061 FUV983061 GER983061 GON983061 GYJ983061 HIF983061 HSB983061 IBX983061 ILT983061 IVP983061 JFL983061 JPH983061 JZD983061 KIZ983061 KSV983061 LCR983061 LMN983061 LWJ983061 MGF983061 MQB983061 MZX983061 NJT983061 NTP983061 ODL983061 ONH983061 OXD983061 PGZ983061 PQV983061 QAR983061 QKN983061 QUJ983061 REF983061 ROB983061 RXX983061 SHT983061 SRP983061 TBL983061 TLH983061 TVD983061 UEZ983061 UOV983061 UYR983061 VIN983061 VSJ983061 WCF983061 WMB983061 WVX983061">
      <formula1>$P$200:$P$205</formula1>
    </dataValidation>
    <dataValidation type="list" allowBlank="1" showInputMessage="1" showErrorMessage="1" sqref="B21 IX21 ST21 ACP21 AML21 AWH21 BGD21 BPZ21 BZV21 CJR21 CTN21 DDJ21 DNF21 DXB21 EGX21 EQT21 FAP21 FKL21 FUH21 GED21 GNZ21 GXV21 HHR21 HRN21 IBJ21 ILF21 IVB21 JEX21 JOT21 JYP21 KIL21 KSH21 LCD21 LLZ21 LVV21 MFR21 MPN21 MZJ21 NJF21 NTB21 OCX21 OMT21 OWP21 PGL21 PQH21 QAD21 QJZ21 QTV21 RDR21 RNN21 RXJ21 SHF21 SRB21 TAX21 TKT21 TUP21 UEL21 UOH21 UYD21 VHZ21 VRV21 WBR21 WLN21 WVJ21 B65557 IX65557 ST65557 ACP65557 AML65557 AWH65557 BGD65557 BPZ65557 BZV65557 CJR65557 CTN65557 DDJ65557 DNF65557 DXB65557 EGX65557 EQT65557 FAP65557 FKL65557 FUH65557 GED65557 GNZ65557 GXV65557 HHR65557 HRN65557 IBJ65557 ILF65557 IVB65557 JEX65557 JOT65557 JYP65557 KIL65557 KSH65557 LCD65557 LLZ65557 LVV65557 MFR65557 MPN65557 MZJ65557 NJF65557 NTB65557 OCX65557 OMT65557 OWP65557 PGL65557 PQH65557 QAD65557 QJZ65557 QTV65557 RDR65557 RNN65557 RXJ65557 SHF65557 SRB65557 TAX65557 TKT65557 TUP65557 UEL65557 UOH65557 UYD65557 VHZ65557 VRV65557 WBR65557 WLN65557 WVJ65557 B131093 IX131093 ST131093 ACP131093 AML131093 AWH131093 BGD131093 BPZ131093 BZV131093 CJR131093 CTN131093 DDJ131093 DNF131093 DXB131093 EGX131093 EQT131093 FAP131093 FKL131093 FUH131093 GED131093 GNZ131093 GXV131093 HHR131093 HRN131093 IBJ131093 ILF131093 IVB131093 JEX131093 JOT131093 JYP131093 KIL131093 KSH131093 LCD131093 LLZ131093 LVV131093 MFR131093 MPN131093 MZJ131093 NJF131093 NTB131093 OCX131093 OMT131093 OWP131093 PGL131093 PQH131093 QAD131093 QJZ131093 QTV131093 RDR131093 RNN131093 RXJ131093 SHF131093 SRB131093 TAX131093 TKT131093 TUP131093 UEL131093 UOH131093 UYD131093 VHZ131093 VRV131093 WBR131093 WLN131093 WVJ131093 B196629 IX196629 ST196629 ACP196629 AML196629 AWH196629 BGD196629 BPZ196629 BZV196629 CJR196629 CTN196629 DDJ196629 DNF196629 DXB196629 EGX196629 EQT196629 FAP196629 FKL196629 FUH196629 GED196629 GNZ196629 GXV196629 HHR196629 HRN196629 IBJ196629 ILF196629 IVB196629 JEX196629 JOT196629 JYP196629 KIL196629 KSH196629 LCD196629 LLZ196629 LVV196629 MFR196629 MPN196629 MZJ196629 NJF196629 NTB196629 OCX196629 OMT196629 OWP196629 PGL196629 PQH196629 QAD196629 QJZ196629 QTV196629 RDR196629 RNN196629 RXJ196629 SHF196629 SRB196629 TAX196629 TKT196629 TUP196629 UEL196629 UOH196629 UYD196629 VHZ196629 VRV196629 WBR196629 WLN196629 WVJ196629 B262165 IX262165 ST262165 ACP262165 AML262165 AWH262165 BGD262165 BPZ262165 BZV262165 CJR262165 CTN262165 DDJ262165 DNF262165 DXB262165 EGX262165 EQT262165 FAP262165 FKL262165 FUH262165 GED262165 GNZ262165 GXV262165 HHR262165 HRN262165 IBJ262165 ILF262165 IVB262165 JEX262165 JOT262165 JYP262165 KIL262165 KSH262165 LCD262165 LLZ262165 LVV262165 MFR262165 MPN262165 MZJ262165 NJF262165 NTB262165 OCX262165 OMT262165 OWP262165 PGL262165 PQH262165 QAD262165 QJZ262165 QTV262165 RDR262165 RNN262165 RXJ262165 SHF262165 SRB262165 TAX262165 TKT262165 TUP262165 UEL262165 UOH262165 UYD262165 VHZ262165 VRV262165 WBR262165 WLN262165 WVJ262165 B327701 IX327701 ST327701 ACP327701 AML327701 AWH327701 BGD327701 BPZ327701 BZV327701 CJR327701 CTN327701 DDJ327701 DNF327701 DXB327701 EGX327701 EQT327701 FAP327701 FKL327701 FUH327701 GED327701 GNZ327701 GXV327701 HHR327701 HRN327701 IBJ327701 ILF327701 IVB327701 JEX327701 JOT327701 JYP327701 KIL327701 KSH327701 LCD327701 LLZ327701 LVV327701 MFR327701 MPN327701 MZJ327701 NJF327701 NTB327701 OCX327701 OMT327701 OWP327701 PGL327701 PQH327701 QAD327701 QJZ327701 QTV327701 RDR327701 RNN327701 RXJ327701 SHF327701 SRB327701 TAX327701 TKT327701 TUP327701 UEL327701 UOH327701 UYD327701 VHZ327701 VRV327701 WBR327701 WLN327701 WVJ327701 B393237 IX393237 ST393237 ACP393237 AML393237 AWH393237 BGD393237 BPZ393237 BZV393237 CJR393237 CTN393237 DDJ393237 DNF393237 DXB393237 EGX393237 EQT393237 FAP393237 FKL393237 FUH393237 GED393237 GNZ393237 GXV393237 HHR393237 HRN393237 IBJ393237 ILF393237 IVB393237 JEX393237 JOT393237 JYP393237 KIL393237 KSH393237 LCD393237 LLZ393237 LVV393237 MFR393237 MPN393237 MZJ393237 NJF393237 NTB393237 OCX393237 OMT393237 OWP393237 PGL393237 PQH393237 QAD393237 QJZ393237 QTV393237 RDR393237 RNN393237 RXJ393237 SHF393237 SRB393237 TAX393237 TKT393237 TUP393237 UEL393237 UOH393237 UYD393237 VHZ393237 VRV393237 WBR393237 WLN393237 WVJ393237 B458773 IX458773 ST458773 ACP458773 AML458773 AWH458773 BGD458773 BPZ458773 BZV458773 CJR458773 CTN458773 DDJ458773 DNF458773 DXB458773 EGX458773 EQT458773 FAP458773 FKL458773 FUH458773 GED458773 GNZ458773 GXV458773 HHR458773 HRN458773 IBJ458773 ILF458773 IVB458773 JEX458773 JOT458773 JYP458773 KIL458773 KSH458773 LCD458773 LLZ458773 LVV458773 MFR458773 MPN458773 MZJ458773 NJF458773 NTB458773 OCX458773 OMT458773 OWP458773 PGL458773 PQH458773 QAD458773 QJZ458773 QTV458773 RDR458773 RNN458773 RXJ458773 SHF458773 SRB458773 TAX458773 TKT458773 TUP458773 UEL458773 UOH458773 UYD458773 VHZ458773 VRV458773 WBR458773 WLN458773 WVJ458773 B524309 IX524309 ST524309 ACP524309 AML524309 AWH524309 BGD524309 BPZ524309 BZV524309 CJR524309 CTN524309 DDJ524309 DNF524309 DXB524309 EGX524309 EQT524309 FAP524309 FKL524309 FUH524309 GED524309 GNZ524309 GXV524309 HHR524309 HRN524309 IBJ524309 ILF524309 IVB524309 JEX524309 JOT524309 JYP524309 KIL524309 KSH524309 LCD524309 LLZ524309 LVV524309 MFR524309 MPN524309 MZJ524309 NJF524309 NTB524309 OCX524309 OMT524309 OWP524309 PGL524309 PQH524309 QAD524309 QJZ524309 QTV524309 RDR524309 RNN524309 RXJ524309 SHF524309 SRB524309 TAX524309 TKT524309 TUP524309 UEL524309 UOH524309 UYD524309 VHZ524309 VRV524309 WBR524309 WLN524309 WVJ524309 B589845 IX589845 ST589845 ACP589845 AML589845 AWH589845 BGD589845 BPZ589845 BZV589845 CJR589845 CTN589845 DDJ589845 DNF589845 DXB589845 EGX589845 EQT589845 FAP589845 FKL589845 FUH589845 GED589845 GNZ589845 GXV589845 HHR589845 HRN589845 IBJ589845 ILF589845 IVB589845 JEX589845 JOT589845 JYP589845 KIL589845 KSH589845 LCD589845 LLZ589845 LVV589845 MFR589845 MPN589845 MZJ589845 NJF589845 NTB589845 OCX589845 OMT589845 OWP589845 PGL589845 PQH589845 QAD589845 QJZ589845 QTV589845 RDR589845 RNN589845 RXJ589845 SHF589845 SRB589845 TAX589845 TKT589845 TUP589845 UEL589845 UOH589845 UYD589845 VHZ589845 VRV589845 WBR589845 WLN589845 WVJ589845 B655381 IX655381 ST655381 ACP655381 AML655381 AWH655381 BGD655381 BPZ655381 BZV655381 CJR655381 CTN655381 DDJ655381 DNF655381 DXB655381 EGX655381 EQT655381 FAP655381 FKL655381 FUH655381 GED655381 GNZ655381 GXV655381 HHR655381 HRN655381 IBJ655381 ILF655381 IVB655381 JEX655381 JOT655381 JYP655381 KIL655381 KSH655381 LCD655381 LLZ655381 LVV655381 MFR655381 MPN655381 MZJ655381 NJF655381 NTB655381 OCX655381 OMT655381 OWP655381 PGL655381 PQH655381 QAD655381 QJZ655381 QTV655381 RDR655381 RNN655381 RXJ655381 SHF655381 SRB655381 TAX655381 TKT655381 TUP655381 UEL655381 UOH655381 UYD655381 VHZ655381 VRV655381 WBR655381 WLN655381 WVJ655381 B720917 IX720917 ST720917 ACP720917 AML720917 AWH720917 BGD720917 BPZ720917 BZV720917 CJR720917 CTN720917 DDJ720917 DNF720917 DXB720917 EGX720917 EQT720917 FAP720917 FKL720917 FUH720917 GED720917 GNZ720917 GXV720917 HHR720917 HRN720917 IBJ720917 ILF720917 IVB720917 JEX720917 JOT720917 JYP720917 KIL720917 KSH720917 LCD720917 LLZ720917 LVV720917 MFR720917 MPN720917 MZJ720917 NJF720917 NTB720917 OCX720917 OMT720917 OWP720917 PGL720917 PQH720917 QAD720917 QJZ720917 QTV720917 RDR720917 RNN720917 RXJ720917 SHF720917 SRB720917 TAX720917 TKT720917 TUP720917 UEL720917 UOH720917 UYD720917 VHZ720917 VRV720917 WBR720917 WLN720917 WVJ720917 B786453 IX786453 ST786453 ACP786453 AML786453 AWH786453 BGD786453 BPZ786453 BZV786453 CJR786453 CTN786453 DDJ786453 DNF786453 DXB786453 EGX786453 EQT786453 FAP786453 FKL786453 FUH786453 GED786453 GNZ786453 GXV786453 HHR786453 HRN786453 IBJ786453 ILF786453 IVB786453 JEX786453 JOT786453 JYP786453 KIL786453 KSH786453 LCD786453 LLZ786453 LVV786453 MFR786453 MPN786453 MZJ786453 NJF786453 NTB786453 OCX786453 OMT786453 OWP786453 PGL786453 PQH786453 QAD786453 QJZ786453 QTV786453 RDR786453 RNN786453 RXJ786453 SHF786453 SRB786453 TAX786453 TKT786453 TUP786453 UEL786453 UOH786453 UYD786453 VHZ786453 VRV786453 WBR786453 WLN786453 WVJ786453 B851989 IX851989 ST851989 ACP851989 AML851989 AWH851989 BGD851989 BPZ851989 BZV851989 CJR851989 CTN851989 DDJ851989 DNF851989 DXB851989 EGX851989 EQT851989 FAP851989 FKL851989 FUH851989 GED851989 GNZ851989 GXV851989 HHR851989 HRN851989 IBJ851989 ILF851989 IVB851989 JEX851989 JOT851989 JYP851989 KIL851989 KSH851989 LCD851989 LLZ851989 LVV851989 MFR851989 MPN851989 MZJ851989 NJF851989 NTB851989 OCX851989 OMT851989 OWP851989 PGL851989 PQH851989 QAD851989 QJZ851989 QTV851989 RDR851989 RNN851989 RXJ851989 SHF851989 SRB851989 TAX851989 TKT851989 TUP851989 UEL851989 UOH851989 UYD851989 VHZ851989 VRV851989 WBR851989 WLN851989 WVJ851989 B917525 IX917525 ST917525 ACP917525 AML917525 AWH917525 BGD917525 BPZ917525 BZV917525 CJR917525 CTN917525 DDJ917525 DNF917525 DXB917525 EGX917525 EQT917525 FAP917525 FKL917525 FUH917525 GED917525 GNZ917525 GXV917525 HHR917525 HRN917525 IBJ917525 ILF917525 IVB917525 JEX917525 JOT917525 JYP917525 KIL917525 KSH917525 LCD917525 LLZ917525 LVV917525 MFR917525 MPN917525 MZJ917525 NJF917525 NTB917525 OCX917525 OMT917525 OWP917525 PGL917525 PQH917525 QAD917525 QJZ917525 QTV917525 RDR917525 RNN917525 RXJ917525 SHF917525 SRB917525 TAX917525 TKT917525 TUP917525 UEL917525 UOH917525 UYD917525 VHZ917525 VRV917525 WBR917525 WLN917525 WVJ917525 B983061 IX983061 ST983061 ACP983061 AML983061 AWH983061 BGD983061 BPZ983061 BZV983061 CJR983061 CTN983061 DDJ983061 DNF983061 DXB983061 EGX983061 EQT983061 FAP983061 FKL983061 FUH983061 GED983061 GNZ983061 GXV983061 HHR983061 HRN983061 IBJ983061 ILF983061 IVB983061 JEX983061 JOT983061 JYP983061 KIL983061 KSH983061 LCD983061 LLZ983061 LVV983061 MFR983061 MPN983061 MZJ983061 NJF983061 NTB983061 OCX983061 OMT983061 OWP983061 PGL983061 PQH983061 QAD983061 QJZ983061 QTV983061 RDR983061 RNN983061 RXJ983061 SHF983061 SRB983061 TAX983061 TKT983061 TUP983061 UEL983061 UOH983061 UYD983061 VHZ983061 VRV983061 WBR983061 WLN983061 WVJ983061">
      <formula1>$B$200:$B$216</formula1>
    </dataValidation>
    <dataValidation type="list" allowBlank="1" showInputMessage="1" showErrorMessage="1" sqref="P20 JL20 TH20 ADD20 AMZ20 AWV20 BGR20 BQN20 CAJ20 CKF20 CUB20 DDX20 DNT20 DXP20 EHL20 ERH20 FBD20 FKZ20 FUV20 GER20 GON20 GYJ20 HIF20 HSB20 IBX20 ILT20 IVP20 JFL20 JPH20 JZD20 KIZ20 KSV20 LCR20 LMN20 LWJ20 MGF20 MQB20 MZX20 NJT20 NTP20 ODL20 ONH20 OXD20 PGZ20 PQV20 QAR20 QKN20 QUJ20 REF20 ROB20 RXX20 SHT20 SRP20 TBL20 TLH20 TVD20 UEZ20 UOV20 UYR20 VIN20 VSJ20 WCF20 WMB20 WVX20 P65556 JL65556 TH65556 ADD65556 AMZ65556 AWV65556 BGR65556 BQN65556 CAJ65556 CKF65556 CUB65556 DDX65556 DNT65556 DXP65556 EHL65556 ERH65556 FBD65556 FKZ65556 FUV65556 GER65556 GON65556 GYJ65556 HIF65556 HSB65556 IBX65556 ILT65556 IVP65556 JFL65556 JPH65556 JZD65556 KIZ65556 KSV65556 LCR65556 LMN65556 LWJ65556 MGF65556 MQB65556 MZX65556 NJT65556 NTP65556 ODL65556 ONH65556 OXD65556 PGZ65556 PQV65556 QAR65556 QKN65556 QUJ65556 REF65556 ROB65556 RXX65556 SHT65556 SRP65556 TBL65556 TLH65556 TVD65556 UEZ65556 UOV65556 UYR65556 VIN65556 VSJ65556 WCF65556 WMB65556 WVX65556 P131092 JL131092 TH131092 ADD131092 AMZ131092 AWV131092 BGR131092 BQN131092 CAJ131092 CKF131092 CUB131092 DDX131092 DNT131092 DXP131092 EHL131092 ERH131092 FBD131092 FKZ131092 FUV131092 GER131092 GON131092 GYJ131092 HIF131092 HSB131092 IBX131092 ILT131092 IVP131092 JFL131092 JPH131092 JZD131092 KIZ131092 KSV131092 LCR131092 LMN131092 LWJ131092 MGF131092 MQB131092 MZX131092 NJT131092 NTP131092 ODL131092 ONH131092 OXD131092 PGZ131092 PQV131092 QAR131092 QKN131092 QUJ131092 REF131092 ROB131092 RXX131092 SHT131092 SRP131092 TBL131092 TLH131092 TVD131092 UEZ131092 UOV131092 UYR131092 VIN131092 VSJ131092 WCF131092 WMB131092 WVX131092 P196628 JL196628 TH196628 ADD196628 AMZ196628 AWV196628 BGR196628 BQN196628 CAJ196628 CKF196628 CUB196628 DDX196628 DNT196628 DXP196628 EHL196628 ERH196628 FBD196628 FKZ196628 FUV196628 GER196628 GON196628 GYJ196628 HIF196628 HSB196628 IBX196628 ILT196628 IVP196628 JFL196628 JPH196628 JZD196628 KIZ196628 KSV196628 LCR196628 LMN196628 LWJ196628 MGF196628 MQB196628 MZX196628 NJT196628 NTP196628 ODL196628 ONH196628 OXD196628 PGZ196628 PQV196628 QAR196628 QKN196628 QUJ196628 REF196628 ROB196628 RXX196628 SHT196628 SRP196628 TBL196628 TLH196628 TVD196628 UEZ196628 UOV196628 UYR196628 VIN196628 VSJ196628 WCF196628 WMB196628 WVX196628 P262164 JL262164 TH262164 ADD262164 AMZ262164 AWV262164 BGR262164 BQN262164 CAJ262164 CKF262164 CUB262164 DDX262164 DNT262164 DXP262164 EHL262164 ERH262164 FBD262164 FKZ262164 FUV262164 GER262164 GON262164 GYJ262164 HIF262164 HSB262164 IBX262164 ILT262164 IVP262164 JFL262164 JPH262164 JZD262164 KIZ262164 KSV262164 LCR262164 LMN262164 LWJ262164 MGF262164 MQB262164 MZX262164 NJT262164 NTP262164 ODL262164 ONH262164 OXD262164 PGZ262164 PQV262164 QAR262164 QKN262164 QUJ262164 REF262164 ROB262164 RXX262164 SHT262164 SRP262164 TBL262164 TLH262164 TVD262164 UEZ262164 UOV262164 UYR262164 VIN262164 VSJ262164 WCF262164 WMB262164 WVX262164 P327700 JL327700 TH327700 ADD327700 AMZ327700 AWV327700 BGR327700 BQN327700 CAJ327700 CKF327700 CUB327700 DDX327700 DNT327700 DXP327700 EHL327700 ERH327700 FBD327700 FKZ327700 FUV327700 GER327700 GON327700 GYJ327700 HIF327700 HSB327700 IBX327700 ILT327700 IVP327700 JFL327700 JPH327700 JZD327700 KIZ327700 KSV327700 LCR327700 LMN327700 LWJ327700 MGF327700 MQB327700 MZX327700 NJT327700 NTP327700 ODL327700 ONH327700 OXD327700 PGZ327700 PQV327700 QAR327700 QKN327700 QUJ327700 REF327700 ROB327700 RXX327700 SHT327700 SRP327700 TBL327700 TLH327700 TVD327700 UEZ327700 UOV327700 UYR327700 VIN327700 VSJ327700 WCF327700 WMB327700 WVX327700 P393236 JL393236 TH393236 ADD393236 AMZ393236 AWV393236 BGR393236 BQN393236 CAJ393236 CKF393236 CUB393236 DDX393236 DNT393236 DXP393236 EHL393236 ERH393236 FBD393236 FKZ393236 FUV393236 GER393236 GON393236 GYJ393236 HIF393236 HSB393236 IBX393236 ILT393236 IVP393236 JFL393236 JPH393236 JZD393236 KIZ393236 KSV393236 LCR393236 LMN393236 LWJ393236 MGF393236 MQB393236 MZX393236 NJT393236 NTP393236 ODL393236 ONH393236 OXD393236 PGZ393236 PQV393236 QAR393236 QKN393236 QUJ393236 REF393236 ROB393236 RXX393236 SHT393236 SRP393236 TBL393236 TLH393236 TVD393236 UEZ393236 UOV393236 UYR393236 VIN393236 VSJ393236 WCF393236 WMB393236 WVX393236 P458772 JL458772 TH458772 ADD458772 AMZ458772 AWV458772 BGR458772 BQN458772 CAJ458772 CKF458772 CUB458772 DDX458772 DNT458772 DXP458772 EHL458772 ERH458772 FBD458772 FKZ458772 FUV458772 GER458772 GON458772 GYJ458772 HIF458772 HSB458772 IBX458772 ILT458772 IVP458772 JFL458772 JPH458772 JZD458772 KIZ458772 KSV458772 LCR458772 LMN458772 LWJ458772 MGF458772 MQB458772 MZX458772 NJT458772 NTP458772 ODL458772 ONH458772 OXD458772 PGZ458772 PQV458772 QAR458772 QKN458772 QUJ458772 REF458772 ROB458772 RXX458772 SHT458772 SRP458772 TBL458772 TLH458772 TVD458772 UEZ458772 UOV458772 UYR458772 VIN458772 VSJ458772 WCF458772 WMB458772 WVX458772 P524308 JL524308 TH524308 ADD524308 AMZ524308 AWV524308 BGR524308 BQN524308 CAJ524308 CKF524308 CUB524308 DDX524308 DNT524308 DXP524308 EHL524308 ERH524308 FBD524308 FKZ524308 FUV524308 GER524308 GON524308 GYJ524308 HIF524308 HSB524308 IBX524308 ILT524308 IVP524308 JFL524308 JPH524308 JZD524308 KIZ524308 KSV524308 LCR524308 LMN524308 LWJ524308 MGF524308 MQB524308 MZX524308 NJT524308 NTP524308 ODL524308 ONH524308 OXD524308 PGZ524308 PQV524308 QAR524308 QKN524308 QUJ524308 REF524308 ROB524308 RXX524308 SHT524308 SRP524308 TBL524308 TLH524308 TVD524308 UEZ524308 UOV524308 UYR524308 VIN524308 VSJ524308 WCF524308 WMB524308 WVX524308 P589844 JL589844 TH589844 ADD589844 AMZ589844 AWV589844 BGR589844 BQN589844 CAJ589844 CKF589844 CUB589844 DDX589844 DNT589844 DXP589844 EHL589844 ERH589844 FBD589844 FKZ589844 FUV589844 GER589844 GON589844 GYJ589844 HIF589844 HSB589844 IBX589844 ILT589844 IVP589844 JFL589844 JPH589844 JZD589844 KIZ589844 KSV589844 LCR589844 LMN589844 LWJ589844 MGF589844 MQB589844 MZX589844 NJT589844 NTP589844 ODL589844 ONH589844 OXD589844 PGZ589844 PQV589844 QAR589844 QKN589844 QUJ589844 REF589844 ROB589844 RXX589844 SHT589844 SRP589844 TBL589844 TLH589844 TVD589844 UEZ589844 UOV589844 UYR589844 VIN589844 VSJ589844 WCF589844 WMB589844 WVX589844 P655380 JL655380 TH655380 ADD655380 AMZ655380 AWV655380 BGR655380 BQN655380 CAJ655380 CKF655380 CUB655380 DDX655380 DNT655380 DXP655380 EHL655380 ERH655380 FBD655380 FKZ655380 FUV655380 GER655380 GON655380 GYJ655380 HIF655380 HSB655380 IBX655380 ILT655380 IVP655380 JFL655380 JPH655380 JZD655380 KIZ655380 KSV655380 LCR655380 LMN655380 LWJ655380 MGF655380 MQB655380 MZX655380 NJT655380 NTP655380 ODL655380 ONH655380 OXD655380 PGZ655380 PQV655380 QAR655380 QKN655380 QUJ655380 REF655380 ROB655380 RXX655380 SHT655380 SRP655380 TBL655380 TLH655380 TVD655380 UEZ655380 UOV655380 UYR655380 VIN655380 VSJ655380 WCF655380 WMB655380 WVX655380 P720916 JL720916 TH720916 ADD720916 AMZ720916 AWV720916 BGR720916 BQN720916 CAJ720916 CKF720916 CUB720916 DDX720916 DNT720916 DXP720916 EHL720916 ERH720916 FBD720916 FKZ720916 FUV720916 GER720916 GON720916 GYJ720916 HIF720916 HSB720916 IBX720916 ILT720916 IVP720916 JFL720916 JPH720916 JZD720916 KIZ720916 KSV720916 LCR720916 LMN720916 LWJ720916 MGF720916 MQB720916 MZX720916 NJT720916 NTP720916 ODL720916 ONH720916 OXD720916 PGZ720916 PQV720916 QAR720916 QKN720916 QUJ720916 REF720916 ROB720916 RXX720916 SHT720916 SRP720916 TBL720916 TLH720916 TVD720916 UEZ720916 UOV720916 UYR720916 VIN720916 VSJ720916 WCF720916 WMB720916 WVX720916 P786452 JL786452 TH786452 ADD786452 AMZ786452 AWV786452 BGR786452 BQN786452 CAJ786452 CKF786452 CUB786452 DDX786452 DNT786452 DXP786452 EHL786452 ERH786452 FBD786452 FKZ786452 FUV786452 GER786452 GON786452 GYJ786452 HIF786452 HSB786452 IBX786452 ILT786452 IVP786452 JFL786452 JPH786452 JZD786452 KIZ786452 KSV786452 LCR786452 LMN786452 LWJ786452 MGF786452 MQB786452 MZX786452 NJT786452 NTP786452 ODL786452 ONH786452 OXD786452 PGZ786452 PQV786452 QAR786452 QKN786452 QUJ786452 REF786452 ROB786452 RXX786452 SHT786452 SRP786452 TBL786452 TLH786452 TVD786452 UEZ786452 UOV786452 UYR786452 VIN786452 VSJ786452 WCF786452 WMB786452 WVX786452 P851988 JL851988 TH851988 ADD851988 AMZ851988 AWV851988 BGR851988 BQN851988 CAJ851988 CKF851988 CUB851988 DDX851988 DNT851988 DXP851988 EHL851988 ERH851988 FBD851988 FKZ851988 FUV851988 GER851988 GON851988 GYJ851988 HIF851988 HSB851988 IBX851988 ILT851988 IVP851988 JFL851988 JPH851988 JZD851988 KIZ851988 KSV851988 LCR851988 LMN851988 LWJ851988 MGF851988 MQB851988 MZX851988 NJT851988 NTP851988 ODL851988 ONH851988 OXD851988 PGZ851988 PQV851988 QAR851988 QKN851988 QUJ851988 REF851988 ROB851988 RXX851988 SHT851988 SRP851988 TBL851988 TLH851988 TVD851988 UEZ851988 UOV851988 UYR851988 VIN851988 VSJ851988 WCF851988 WMB851988 WVX851988 P917524 JL917524 TH917524 ADD917524 AMZ917524 AWV917524 BGR917524 BQN917524 CAJ917524 CKF917524 CUB917524 DDX917524 DNT917524 DXP917524 EHL917524 ERH917524 FBD917524 FKZ917524 FUV917524 GER917524 GON917524 GYJ917524 HIF917524 HSB917524 IBX917524 ILT917524 IVP917524 JFL917524 JPH917524 JZD917524 KIZ917524 KSV917524 LCR917524 LMN917524 LWJ917524 MGF917524 MQB917524 MZX917524 NJT917524 NTP917524 ODL917524 ONH917524 OXD917524 PGZ917524 PQV917524 QAR917524 QKN917524 QUJ917524 REF917524 ROB917524 RXX917524 SHT917524 SRP917524 TBL917524 TLH917524 TVD917524 UEZ917524 UOV917524 UYR917524 VIN917524 VSJ917524 WCF917524 WMB917524 WVX917524 P983060 JL983060 TH983060 ADD983060 AMZ983060 AWV983060 BGR983060 BQN983060 CAJ983060 CKF983060 CUB983060 DDX983060 DNT983060 DXP983060 EHL983060 ERH983060 FBD983060 FKZ983060 FUV983060 GER983060 GON983060 GYJ983060 HIF983060 HSB983060 IBX983060 ILT983060 IVP983060 JFL983060 JPH983060 JZD983060 KIZ983060 KSV983060 LCR983060 LMN983060 LWJ983060 MGF983060 MQB983060 MZX983060 NJT983060 NTP983060 ODL983060 ONH983060 OXD983060 PGZ983060 PQV983060 QAR983060 QKN983060 QUJ983060 REF983060 ROB983060 RXX983060 SHT983060 SRP983060 TBL983060 TLH983060 TVD983060 UEZ983060 UOV983060 UYR983060 VIN983060 VSJ983060 WCF983060 WMB983060 WVX983060">
      <formula1>$P$196:$P$201</formula1>
    </dataValidation>
    <dataValidation type="list" allowBlank="1" showInputMessage="1" showErrorMessage="1" sqref="B20 IX20 ST20 ACP20 AML20 AWH20 BGD20 BPZ20 BZV20 CJR20 CTN20 DDJ20 DNF20 DXB20 EGX20 EQT20 FAP20 FKL20 FUH20 GED20 GNZ20 GXV20 HHR20 HRN20 IBJ20 ILF20 IVB20 JEX20 JOT20 JYP20 KIL20 KSH20 LCD20 LLZ20 LVV20 MFR20 MPN20 MZJ20 NJF20 NTB20 OCX20 OMT20 OWP20 PGL20 PQH20 QAD20 QJZ20 QTV20 RDR20 RNN20 RXJ20 SHF20 SRB20 TAX20 TKT20 TUP20 UEL20 UOH20 UYD20 VHZ20 VRV20 WBR20 WLN20 WVJ20 B65556 IX65556 ST65556 ACP65556 AML65556 AWH65556 BGD65556 BPZ65556 BZV65556 CJR65556 CTN65556 DDJ65556 DNF65556 DXB65556 EGX65556 EQT65556 FAP65556 FKL65556 FUH65556 GED65556 GNZ65556 GXV65556 HHR65556 HRN65556 IBJ65556 ILF65556 IVB65556 JEX65556 JOT65556 JYP65556 KIL65556 KSH65556 LCD65556 LLZ65556 LVV65556 MFR65556 MPN65556 MZJ65556 NJF65556 NTB65556 OCX65556 OMT65556 OWP65556 PGL65556 PQH65556 QAD65556 QJZ65556 QTV65556 RDR65556 RNN65556 RXJ65556 SHF65556 SRB65556 TAX65556 TKT65556 TUP65556 UEL65556 UOH65556 UYD65556 VHZ65556 VRV65556 WBR65556 WLN65556 WVJ65556 B131092 IX131092 ST131092 ACP131092 AML131092 AWH131092 BGD131092 BPZ131092 BZV131092 CJR131092 CTN131092 DDJ131092 DNF131092 DXB131092 EGX131092 EQT131092 FAP131092 FKL131092 FUH131092 GED131092 GNZ131092 GXV131092 HHR131092 HRN131092 IBJ131092 ILF131092 IVB131092 JEX131092 JOT131092 JYP131092 KIL131092 KSH131092 LCD131092 LLZ131092 LVV131092 MFR131092 MPN131092 MZJ131092 NJF131092 NTB131092 OCX131092 OMT131092 OWP131092 PGL131092 PQH131092 QAD131092 QJZ131092 QTV131092 RDR131092 RNN131092 RXJ131092 SHF131092 SRB131092 TAX131092 TKT131092 TUP131092 UEL131092 UOH131092 UYD131092 VHZ131092 VRV131092 WBR131092 WLN131092 WVJ131092 B196628 IX196628 ST196628 ACP196628 AML196628 AWH196628 BGD196628 BPZ196628 BZV196628 CJR196628 CTN196628 DDJ196628 DNF196628 DXB196628 EGX196628 EQT196628 FAP196628 FKL196628 FUH196628 GED196628 GNZ196628 GXV196628 HHR196628 HRN196628 IBJ196628 ILF196628 IVB196628 JEX196628 JOT196628 JYP196628 KIL196628 KSH196628 LCD196628 LLZ196628 LVV196628 MFR196628 MPN196628 MZJ196628 NJF196628 NTB196628 OCX196628 OMT196628 OWP196628 PGL196628 PQH196628 QAD196628 QJZ196628 QTV196628 RDR196628 RNN196628 RXJ196628 SHF196628 SRB196628 TAX196628 TKT196628 TUP196628 UEL196628 UOH196628 UYD196628 VHZ196628 VRV196628 WBR196628 WLN196628 WVJ196628 B262164 IX262164 ST262164 ACP262164 AML262164 AWH262164 BGD262164 BPZ262164 BZV262164 CJR262164 CTN262164 DDJ262164 DNF262164 DXB262164 EGX262164 EQT262164 FAP262164 FKL262164 FUH262164 GED262164 GNZ262164 GXV262164 HHR262164 HRN262164 IBJ262164 ILF262164 IVB262164 JEX262164 JOT262164 JYP262164 KIL262164 KSH262164 LCD262164 LLZ262164 LVV262164 MFR262164 MPN262164 MZJ262164 NJF262164 NTB262164 OCX262164 OMT262164 OWP262164 PGL262164 PQH262164 QAD262164 QJZ262164 QTV262164 RDR262164 RNN262164 RXJ262164 SHF262164 SRB262164 TAX262164 TKT262164 TUP262164 UEL262164 UOH262164 UYD262164 VHZ262164 VRV262164 WBR262164 WLN262164 WVJ262164 B327700 IX327700 ST327700 ACP327700 AML327700 AWH327700 BGD327700 BPZ327700 BZV327700 CJR327700 CTN327700 DDJ327700 DNF327700 DXB327700 EGX327700 EQT327700 FAP327700 FKL327700 FUH327700 GED327700 GNZ327700 GXV327700 HHR327700 HRN327700 IBJ327700 ILF327700 IVB327700 JEX327700 JOT327700 JYP327700 KIL327700 KSH327700 LCD327700 LLZ327700 LVV327700 MFR327700 MPN327700 MZJ327700 NJF327700 NTB327700 OCX327700 OMT327700 OWP327700 PGL327700 PQH327700 QAD327700 QJZ327700 QTV327700 RDR327700 RNN327700 RXJ327700 SHF327700 SRB327700 TAX327700 TKT327700 TUP327700 UEL327700 UOH327700 UYD327700 VHZ327700 VRV327700 WBR327700 WLN327700 WVJ327700 B393236 IX393236 ST393236 ACP393236 AML393236 AWH393236 BGD393236 BPZ393236 BZV393236 CJR393236 CTN393236 DDJ393236 DNF393236 DXB393236 EGX393236 EQT393236 FAP393236 FKL393236 FUH393236 GED393236 GNZ393236 GXV393236 HHR393236 HRN393236 IBJ393236 ILF393236 IVB393236 JEX393236 JOT393236 JYP393236 KIL393236 KSH393236 LCD393236 LLZ393236 LVV393236 MFR393236 MPN393236 MZJ393236 NJF393236 NTB393236 OCX393236 OMT393236 OWP393236 PGL393236 PQH393236 QAD393236 QJZ393236 QTV393236 RDR393236 RNN393236 RXJ393236 SHF393236 SRB393236 TAX393236 TKT393236 TUP393236 UEL393236 UOH393236 UYD393236 VHZ393236 VRV393236 WBR393236 WLN393236 WVJ393236 B458772 IX458772 ST458772 ACP458772 AML458772 AWH458772 BGD458772 BPZ458772 BZV458772 CJR458772 CTN458772 DDJ458772 DNF458772 DXB458772 EGX458772 EQT458772 FAP458772 FKL458772 FUH458772 GED458772 GNZ458772 GXV458772 HHR458772 HRN458772 IBJ458772 ILF458772 IVB458772 JEX458772 JOT458772 JYP458772 KIL458772 KSH458772 LCD458772 LLZ458772 LVV458772 MFR458772 MPN458772 MZJ458772 NJF458772 NTB458772 OCX458772 OMT458772 OWP458772 PGL458772 PQH458772 QAD458772 QJZ458772 QTV458772 RDR458772 RNN458772 RXJ458772 SHF458772 SRB458772 TAX458772 TKT458772 TUP458772 UEL458772 UOH458772 UYD458772 VHZ458772 VRV458772 WBR458772 WLN458772 WVJ458772 B524308 IX524308 ST524308 ACP524308 AML524308 AWH524308 BGD524308 BPZ524308 BZV524308 CJR524308 CTN524308 DDJ524308 DNF524308 DXB524308 EGX524308 EQT524308 FAP524308 FKL524308 FUH524308 GED524308 GNZ524308 GXV524308 HHR524308 HRN524308 IBJ524308 ILF524308 IVB524308 JEX524308 JOT524308 JYP524308 KIL524308 KSH524308 LCD524308 LLZ524308 LVV524308 MFR524308 MPN524308 MZJ524308 NJF524308 NTB524308 OCX524308 OMT524308 OWP524308 PGL524308 PQH524308 QAD524308 QJZ524308 QTV524308 RDR524308 RNN524308 RXJ524308 SHF524308 SRB524308 TAX524308 TKT524308 TUP524308 UEL524308 UOH524308 UYD524308 VHZ524308 VRV524308 WBR524308 WLN524308 WVJ524308 B589844 IX589844 ST589844 ACP589844 AML589844 AWH589844 BGD589844 BPZ589844 BZV589844 CJR589844 CTN589844 DDJ589844 DNF589844 DXB589844 EGX589844 EQT589844 FAP589844 FKL589844 FUH589844 GED589844 GNZ589844 GXV589844 HHR589844 HRN589844 IBJ589844 ILF589844 IVB589844 JEX589844 JOT589844 JYP589844 KIL589844 KSH589844 LCD589844 LLZ589844 LVV589844 MFR589844 MPN589844 MZJ589844 NJF589844 NTB589844 OCX589844 OMT589844 OWP589844 PGL589844 PQH589844 QAD589844 QJZ589844 QTV589844 RDR589844 RNN589844 RXJ589844 SHF589844 SRB589844 TAX589844 TKT589844 TUP589844 UEL589844 UOH589844 UYD589844 VHZ589844 VRV589844 WBR589844 WLN589844 WVJ589844 B655380 IX655380 ST655380 ACP655380 AML655380 AWH655380 BGD655380 BPZ655380 BZV655380 CJR655380 CTN655380 DDJ655380 DNF655380 DXB655380 EGX655380 EQT655380 FAP655380 FKL655380 FUH655380 GED655380 GNZ655380 GXV655380 HHR655380 HRN655380 IBJ655380 ILF655380 IVB655380 JEX655380 JOT655380 JYP655380 KIL655380 KSH655380 LCD655380 LLZ655380 LVV655380 MFR655380 MPN655380 MZJ655380 NJF655380 NTB655380 OCX655380 OMT655380 OWP655380 PGL655380 PQH655380 QAD655380 QJZ655380 QTV655380 RDR655380 RNN655380 RXJ655380 SHF655380 SRB655380 TAX655380 TKT655380 TUP655380 UEL655380 UOH655380 UYD655380 VHZ655380 VRV655380 WBR655380 WLN655380 WVJ655380 B720916 IX720916 ST720916 ACP720916 AML720916 AWH720916 BGD720916 BPZ720916 BZV720916 CJR720916 CTN720916 DDJ720916 DNF720916 DXB720916 EGX720916 EQT720916 FAP720916 FKL720916 FUH720916 GED720916 GNZ720916 GXV720916 HHR720916 HRN720916 IBJ720916 ILF720916 IVB720916 JEX720916 JOT720916 JYP720916 KIL720916 KSH720916 LCD720916 LLZ720916 LVV720916 MFR720916 MPN720916 MZJ720916 NJF720916 NTB720916 OCX720916 OMT720916 OWP720916 PGL720916 PQH720916 QAD720916 QJZ720916 QTV720916 RDR720916 RNN720916 RXJ720916 SHF720916 SRB720916 TAX720916 TKT720916 TUP720916 UEL720916 UOH720916 UYD720916 VHZ720916 VRV720916 WBR720916 WLN720916 WVJ720916 B786452 IX786452 ST786452 ACP786452 AML786452 AWH786452 BGD786452 BPZ786452 BZV786452 CJR786452 CTN786452 DDJ786452 DNF786452 DXB786452 EGX786452 EQT786452 FAP786452 FKL786452 FUH786452 GED786452 GNZ786452 GXV786452 HHR786452 HRN786452 IBJ786452 ILF786452 IVB786452 JEX786452 JOT786452 JYP786452 KIL786452 KSH786452 LCD786452 LLZ786452 LVV786452 MFR786452 MPN786452 MZJ786452 NJF786452 NTB786452 OCX786452 OMT786452 OWP786452 PGL786452 PQH786452 QAD786452 QJZ786452 QTV786452 RDR786452 RNN786452 RXJ786452 SHF786452 SRB786452 TAX786452 TKT786452 TUP786452 UEL786452 UOH786452 UYD786452 VHZ786452 VRV786452 WBR786452 WLN786452 WVJ786452 B851988 IX851988 ST851988 ACP851988 AML851988 AWH851988 BGD851988 BPZ851988 BZV851988 CJR851988 CTN851988 DDJ851988 DNF851988 DXB851988 EGX851988 EQT851988 FAP851988 FKL851988 FUH851988 GED851988 GNZ851988 GXV851988 HHR851988 HRN851988 IBJ851988 ILF851988 IVB851988 JEX851988 JOT851988 JYP851988 KIL851988 KSH851988 LCD851988 LLZ851988 LVV851988 MFR851988 MPN851988 MZJ851988 NJF851988 NTB851988 OCX851988 OMT851988 OWP851988 PGL851988 PQH851988 QAD851988 QJZ851988 QTV851988 RDR851988 RNN851988 RXJ851988 SHF851988 SRB851988 TAX851988 TKT851988 TUP851988 UEL851988 UOH851988 UYD851988 VHZ851988 VRV851988 WBR851988 WLN851988 WVJ851988 B917524 IX917524 ST917524 ACP917524 AML917524 AWH917524 BGD917524 BPZ917524 BZV917524 CJR917524 CTN917524 DDJ917524 DNF917524 DXB917524 EGX917524 EQT917524 FAP917524 FKL917524 FUH917524 GED917524 GNZ917524 GXV917524 HHR917524 HRN917524 IBJ917524 ILF917524 IVB917524 JEX917524 JOT917524 JYP917524 KIL917524 KSH917524 LCD917524 LLZ917524 LVV917524 MFR917524 MPN917524 MZJ917524 NJF917524 NTB917524 OCX917524 OMT917524 OWP917524 PGL917524 PQH917524 QAD917524 QJZ917524 QTV917524 RDR917524 RNN917524 RXJ917524 SHF917524 SRB917524 TAX917524 TKT917524 TUP917524 UEL917524 UOH917524 UYD917524 VHZ917524 VRV917524 WBR917524 WLN917524 WVJ917524 B983060 IX983060 ST983060 ACP983060 AML983060 AWH983060 BGD983060 BPZ983060 BZV983060 CJR983060 CTN983060 DDJ983060 DNF983060 DXB983060 EGX983060 EQT983060 FAP983060 FKL983060 FUH983060 GED983060 GNZ983060 GXV983060 HHR983060 HRN983060 IBJ983060 ILF983060 IVB983060 JEX983060 JOT983060 JYP983060 KIL983060 KSH983060 LCD983060 LLZ983060 LVV983060 MFR983060 MPN983060 MZJ983060 NJF983060 NTB983060 OCX983060 OMT983060 OWP983060 PGL983060 PQH983060 QAD983060 QJZ983060 QTV983060 RDR983060 RNN983060 RXJ983060 SHF983060 SRB983060 TAX983060 TKT983060 TUP983060 UEL983060 UOH983060 UYD983060 VHZ983060 VRV983060 WBR983060 WLN983060 WVJ983060">
      <formula1>$B$199:$B$215</formula1>
    </dataValidation>
    <dataValidation type="list" allowBlank="1" showInputMessage="1" showErrorMessage="1" sqref="P22:P23 JL22:JL23 TH22:TH23 ADD22:ADD23 AMZ22:AMZ23 AWV22:AWV23 BGR22:BGR23 BQN22:BQN23 CAJ22:CAJ23 CKF22:CKF23 CUB22:CUB23 DDX22:DDX23 DNT22:DNT23 DXP22:DXP23 EHL22:EHL23 ERH22:ERH23 FBD22:FBD23 FKZ22:FKZ23 FUV22:FUV23 GER22:GER23 GON22:GON23 GYJ22:GYJ23 HIF22:HIF23 HSB22:HSB23 IBX22:IBX23 ILT22:ILT23 IVP22:IVP23 JFL22:JFL23 JPH22:JPH23 JZD22:JZD23 KIZ22:KIZ23 KSV22:KSV23 LCR22:LCR23 LMN22:LMN23 LWJ22:LWJ23 MGF22:MGF23 MQB22:MQB23 MZX22:MZX23 NJT22:NJT23 NTP22:NTP23 ODL22:ODL23 ONH22:ONH23 OXD22:OXD23 PGZ22:PGZ23 PQV22:PQV23 QAR22:QAR23 QKN22:QKN23 QUJ22:QUJ23 REF22:REF23 ROB22:ROB23 RXX22:RXX23 SHT22:SHT23 SRP22:SRP23 TBL22:TBL23 TLH22:TLH23 TVD22:TVD23 UEZ22:UEZ23 UOV22:UOV23 UYR22:UYR23 VIN22:VIN23 VSJ22:VSJ23 WCF22:WCF23 WMB22:WMB23 WVX22:WVX23 P65558:P65559 JL65558:JL65559 TH65558:TH65559 ADD65558:ADD65559 AMZ65558:AMZ65559 AWV65558:AWV65559 BGR65558:BGR65559 BQN65558:BQN65559 CAJ65558:CAJ65559 CKF65558:CKF65559 CUB65558:CUB65559 DDX65558:DDX65559 DNT65558:DNT65559 DXP65558:DXP65559 EHL65558:EHL65559 ERH65558:ERH65559 FBD65558:FBD65559 FKZ65558:FKZ65559 FUV65558:FUV65559 GER65558:GER65559 GON65558:GON65559 GYJ65558:GYJ65559 HIF65558:HIF65559 HSB65558:HSB65559 IBX65558:IBX65559 ILT65558:ILT65559 IVP65558:IVP65559 JFL65558:JFL65559 JPH65558:JPH65559 JZD65558:JZD65559 KIZ65558:KIZ65559 KSV65558:KSV65559 LCR65558:LCR65559 LMN65558:LMN65559 LWJ65558:LWJ65559 MGF65558:MGF65559 MQB65558:MQB65559 MZX65558:MZX65559 NJT65558:NJT65559 NTP65558:NTP65559 ODL65558:ODL65559 ONH65558:ONH65559 OXD65558:OXD65559 PGZ65558:PGZ65559 PQV65558:PQV65559 QAR65558:QAR65559 QKN65558:QKN65559 QUJ65558:QUJ65559 REF65558:REF65559 ROB65558:ROB65559 RXX65558:RXX65559 SHT65558:SHT65559 SRP65558:SRP65559 TBL65558:TBL65559 TLH65558:TLH65559 TVD65558:TVD65559 UEZ65558:UEZ65559 UOV65558:UOV65559 UYR65558:UYR65559 VIN65558:VIN65559 VSJ65558:VSJ65559 WCF65558:WCF65559 WMB65558:WMB65559 WVX65558:WVX65559 P131094:P131095 JL131094:JL131095 TH131094:TH131095 ADD131094:ADD131095 AMZ131094:AMZ131095 AWV131094:AWV131095 BGR131094:BGR131095 BQN131094:BQN131095 CAJ131094:CAJ131095 CKF131094:CKF131095 CUB131094:CUB131095 DDX131094:DDX131095 DNT131094:DNT131095 DXP131094:DXP131095 EHL131094:EHL131095 ERH131094:ERH131095 FBD131094:FBD131095 FKZ131094:FKZ131095 FUV131094:FUV131095 GER131094:GER131095 GON131094:GON131095 GYJ131094:GYJ131095 HIF131094:HIF131095 HSB131094:HSB131095 IBX131094:IBX131095 ILT131094:ILT131095 IVP131094:IVP131095 JFL131094:JFL131095 JPH131094:JPH131095 JZD131094:JZD131095 KIZ131094:KIZ131095 KSV131094:KSV131095 LCR131094:LCR131095 LMN131094:LMN131095 LWJ131094:LWJ131095 MGF131094:MGF131095 MQB131094:MQB131095 MZX131094:MZX131095 NJT131094:NJT131095 NTP131094:NTP131095 ODL131094:ODL131095 ONH131094:ONH131095 OXD131094:OXD131095 PGZ131094:PGZ131095 PQV131094:PQV131095 QAR131094:QAR131095 QKN131094:QKN131095 QUJ131094:QUJ131095 REF131094:REF131095 ROB131094:ROB131095 RXX131094:RXX131095 SHT131094:SHT131095 SRP131094:SRP131095 TBL131094:TBL131095 TLH131094:TLH131095 TVD131094:TVD131095 UEZ131094:UEZ131095 UOV131094:UOV131095 UYR131094:UYR131095 VIN131094:VIN131095 VSJ131094:VSJ131095 WCF131094:WCF131095 WMB131094:WMB131095 WVX131094:WVX131095 P196630:P196631 JL196630:JL196631 TH196630:TH196631 ADD196630:ADD196631 AMZ196630:AMZ196631 AWV196630:AWV196631 BGR196630:BGR196631 BQN196630:BQN196631 CAJ196630:CAJ196631 CKF196630:CKF196631 CUB196630:CUB196631 DDX196630:DDX196631 DNT196630:DNT196631 DXP196630:DXP196631 EHL196630:EHL196631 ERH196630:ERH196631 FBD196630:FBD196631 FKZ196630:FKZ196631 FUV196630:FUV196631 GER196630:GER196631 GON196630:GON196631 GYJ196630:GYJ196631 HIF196630:HIF196631 HSB196630:HSB196631 IBX196630:IBX196631 ILT196630:ILT196631 IVP196630:IVP196631 JFL196630:JFL196631 JPH196630:JPH196631 JZD196630:JZD196631 KIZ196630:KIZ196631 KSV196630:KSV196631 LCR196630:LCR196631 LMN196630:LMN196631 LWJ196630:LWJ196631 MGF196630:MGF196631 MQB196630:MQB196631 MZX196630:MZX196631 NJT196630:NJT196631 NTP196630:NTP196631 ODL196630:ODL196631 ONH196630:ONH196631 OXD196630:OXD196631 PGZ196630:PGZ196631 PQV196630:PQV196631 QAR196630:QAR196631 QKN196630:QKN196631 QUJ196630:QUJ196631 REF196630:REF196631 ROB196630:ROB196631 RXX196630:RXX196631 SHT196630:SHT196631 SRP196630:SRP196631 TBL196630:TBL196631 TLH196630:TLH196631 TVD196630:TVD196631 UEZ196630:UEZ196631 UOV196630:UOV196631 UYR196630:UYR196631 VIN196630:VIN196631 VSJ196630:VSJ196631 WCF196630:WCF196631 WMB196630:WMB196631 WVX196630:WVX196631 P262166:P262167 JL262166:JL262167 TH262166:TH262167 ADD262166:ADD262167 AMZ262166:AMZ262167 AWV262166:AWV262167 BGR262166:BGR262167 BQN262166:BQN262167 CAJ262166:CAJ262167 CKF262166:CKF262167 CUB262166:CUB262167 DDX262166:DDX262167 DNT262166:DNT262167 DXP262166:DXP262167 EHL262166:EHL262167 ERH262166:ERH262167 FBD262166:FBD262167 FKZ262166:FKZ262167 FUV262166:FUV262167 GER262166:GER262167 GON262166:GON262167 GYJ262166:GYJ262167 HIF262166:HIF262167 HSB262166:HSB262167 IBX262166:IBX262167 ILT262166:ILT262167 IVP262166:IVP262167 JFL262166:JFL262167 JPH262166:JPH262167 JZD262166:JZD262167 KIZ262166:KIZ262167 KSV262166:KSV262167 LCR262166:LCR262167 LMN262166:LMN262167 LWJ262166:LWJ262167 MGF262166:MGF262167 MQB262166:MQB262167 MZX262166:MZX262167 NJT262166:NJT262167 NTP262166:NTP262167 ODL262166:ODL262167 ONH262166:ONH262167 OXD262166:OXD262167 PGZ262166:PGZ262167 PQV262166:PQV262167 QAR262166:QAR262167 QKN262166:QKN262167 QUJ262166:QUJ262167 REF262166:REF262167 ROB262166:ROB262167 RXX262166:RXX262167 SHT262166:SHT262167 SRP262166:SRP262167 TBL262166:TBL262167 TLH262166:TLH262167 TVD262166:TVD262167 UEZ262166:UEZ262167 UOV262166:UOV262167 UYR262166:UYR262167 VIN262166:VIN262167 VSJ262166:VSJ262167 WCF262166:WCF262167 WMB262166:WMB262167 WVX262166:WVX262167 P327702:P327703 JL327702:JL327703 TH327702:TH327703 ADD327702:ADD327703 AMZ327702:AMZ327703 AWV327702:AWV327703 BGR327702:BGR327703 BQN327702:BQN327703 CAJ327702:CAJ327703 CKF327702:CKF327703 CUB327702:CUB327703 DDX327702:DDX327703 DNT327702:DNT327703 DXP327702:DXP327703 EHL327702:EHL327703 ERH327702:ERH327703 FBD327702:FBD327703 FKZ327702:FKZ327703 FUV327702:FUV327703 GER327702:GER327703 GON327702:GON327703 GYJ327702:GYJ327703 HIF327702:HIF327703 HSB327702:HSB327703 IBX327702:IBX327703 ILT327702:ILT327703 IVP327702:IVP327703 JFL327702:JFL327703 JPH327702:JPH327703 JZD327702:JZD327703 KIZ327702:KIZ327703 KSV327702:KSV327703 LCR327702:LCR327703 LMN327702:LMN327703 LWJ327702:LWJ327703 MGF327702:MGF327703 MQB327702:MQB327703 MZX327702:MZX327703 NJT327702:NJT327703 NTP327702:NTP327703 ODL327702:ODL327703 ONH327702:ONH327703 OXD327702:OXD327703 PGZ327702:PGZ327703 PQV327702:PQV327703 QAR327702:QAR327703 QKN327702:QKN327703 QUJ327702:QUJ327703 REF327702:REF327703 ROB327702:ROB327703 RXX327702:RXX327703 SHT327702:SHT327703 SRP327702:SRP327703 TBL327702:TBL327703 TLH327702:TLH327703 TVD327702:TVD327703 UEZ327702:UEZ327703 UOV327702:UOV327703 UYR327702:UYR327703 VIN327702:VIN327703 VSJ327702:VSJ327703 WCF327702:WCF327703 WMB327702:WMB327703 WVX327702:WVX327703 P393238:P393239 JL393238:JL393239 TH393238:TH393239 ADD393238:ADD393239 AMZ393238:AMZ393239 AWV393238:AWV393239 BGR393238:BGR393239 BQN393238:BQN393239 CAJ393238:CAJ393239 CKF393238:CKF393239 CUB393238:CUB393239 DDX393238:DDX393239 DNT393238:DNT393239 DXP393238:DXP393239 EHL393238:EHL393239 ERH393238:ERH393239 FBD393238:FBD393239 FKZ393238:FKZ393239 FUV393238:FUV393239 GER393238:GER393239 GON393238:GON393239 GYJ393238:GYJ393239 HIF393238:HIF393239 HSB393238:HSB393239 IBX393238:IBX393239 ILT393238:ILT393239 IVP393238:IVP393239 JFL393238:JFL393239 JPH393238:JPH393239 JZD393238:JZD393239 KIZ393238:KIZ393239 KSV393238:KSV393239 LCR393238:LCR393239 LMN393238:LMN393239 LWJ393238:LWJ393239 MGF393238:MGF393239 MQB393238:MQB393239 MZX393238:MZX393239 NJT393238:NJT393239 NTP393238:NTP393239 ODL393238:ODL393239 ONH393238:ONH393239 OXD393238:OXD393239 PGZ393238:PGZ393239 PQV393238:PQV393239 QAR393238:QAR393239 QKN393238:QKN393239 QUJ393238:QUJ393239 REF393238:REF393239 ROB393238:ROB393239 RXX393238:RXX393239 SHT393238:SHT393239 SRP393238:SRP393239 TBL393238:TBL393239 TLH393238:TLH393239 TVD393238:TVD393239 UEZ393238:UEZ393239 UOV393238:UOV393239 UYR393238:UYR393239 VIN393238:VIN393239 VSJ393238:VSJ393239 WCF393238:WCF393239 WMB393238:WMB393239 WVX393238:WVX393239 P458774:P458775 JL458774:JL458775 TH458774:TH458775 ADD458774:ADD458775 AMZ458774:AMZ458775 AWV458774:AWV458775 BGR458774:BGR458775 BQN458774:BQN458775 CAJ458774:CAJ458775 CKF458774:CKF458775 CUB458774:CUB458775 DDX458774:DDX458775 DNT458774:DNT458775 DXP458774:DXP458775 EHL458774:EHL458775 ERH458774:ERH458775 FBD458774:FBD458775 FKZ458774:FKZ458775 FUV458774:FUV458775 GER458774:GER458775 GON458774:GON458775 GYJ458774:GYJ458775 HIF458774:HIF458775 HSB458774:HSB458775 IBX458774:IBX458775 ILT458774:ILT458775 IVP458774:IVP458775 JFL458774:JFL458775 JPH458774:JPH458775 JZD458774:JZD458775 KIZ458774:KIZ458775 KSV458774:KSV458775 LCR458774:LCR458775 LMN458774:LMN458775 LWJ458774:LWJ458775 MGF458774:MGF458775 MQB458774:MQB458775 MZX458774:MZX458775 NJT458774:NJT458775 NTP458774:NTP458775 ODL458774:ODL458775 ONH458774:ONH458775 OXD458774:OXD458775 PGZ458774:PGZ458775 PQV458774:PQV458775 QAR458774:QAR458775 QKN458774:QKN458775 QUJ458774:QUJ458775 REF458774:REF458775 ROB458774:ROB458775 RXX458774:RXX458775 SHT458774:SHT458775 SRP458774:SRP458775 TBL458774:TBL458775 TLH458774:TLH458775 TVD458774:TVD458775 UEZ458774:UEZ458775 UOV458774:UOV458775 UYR458774:UYR458775 VIN458774:VIN458775 VSJ458774:VSJ458775 WCF458774:WCF458775 WMB458774:WMB458775 WVX458774:WVX458775 P524310:P524311 JL524310:JL524311 TH524310:TH524311 ADD524310:ADD524311 AMZ524310:AMZ524311 AWV524310:AWV524311 BGR524310:BGR524311 BQN524310:BQN524311 CAJ524310:CAJ524311 CKF524310:CKF524311 CUB524310:CUB524311 DDX524310:DDX524311 DNT524310:DNT524311 DXP524310:DXP524311 EHL524310:EHL524311 ERH524310:ERH524311 FBD524310:FBD524311 FKZ524310:FKZ524311 FUV524310:FUV524311 GER524310:GER524311 GON524310:GON524311 GYJ524310:GYJ524311 HIF524310:HIF524311 HSB524310:HSB524311 IBX524310:IBX524311 ILT524310:ILT524311 IVP524310:IVP524311 JFL524310:JFL524311 JPH524310:JPH524311 JZD524310:JZD524311 KIZ524310:KIZ524311 KSV524310:KSV524311 LCR524310:LCR524311 LMN524310:LMN524311 LWJ524310:LWJ524311 MGF524310:MGF524311 MQB524310:MQB524311 MZX524310:MZX524311 NJT524310:NJT524311 NTP524310:NTP524311 ODL524310:ODL524311 ONH524310:ONH524311 OXD524310:OXD524311 PGZ524310:PGZ524311 PQV524310:PQV524311 QAR524310:QAR524311 QKN524310:QKN524311 QUJ524310:QUJ524311 REF524310:REF524311 ROB524310:ROB524311 RXX524310:RXX524311 SHT524310:SHT524311 SRP524310:SRP524311 TBL524310:TBL524311 TLH524310:TLH524311 TVD524310:TVD524311 UEZ524310:UEZ524311 UOV524310:UOV524311 UYR524310:UYR524311 VIN524310:VIN524311 VSJ524310:VSJ524311 WCF524310:WCF524311 WMB524310:WMB524311 WVX524310:WVX524311 P589846:P589847 JL589846:JL589847 TH589846:TH589847 ADD589846:ADD589847 AMZ589846:AMZ589847 AWV589846:AWV589847 BGR589846:BGR589847 BQN589846:BQN589847 CAJ589846:CAJ589847 CKF589846:CKF589847 CUB589846:CUB589847 DDX589846:DDX589847 DNT589846:DNT589847 DXP589846:DXP589847 EHL589846:EHL589847 ERH589846:ERH589847 FBD589846:FBD589847 FKZ589846:FKZ589847 FUV589846:FUV589847 GER589846:GER589847 GON589846:GON589847 GYJ589846:GYJ589847 HIF589846:HIF589847 HSB589846:HSB589847 IBX589846:IBX589847 ILT589846:ILT589847 IVP589846:IVP589847 JFL589846:JFL589847 JPH589846:JPH589847 JZD589846:JZD589847 KIZ589846:KIZ589847 KSV589846:KSV589847 LCR589846:LCR589847 LMN589846:LMN589847 LWJ589846:LWJ589847 MGF589846:MGF589847 MQB589846:MQB589847 MZX589846:MZX589847 NJT589846:NJT589847 NTP589846:NTP589847 ODL589846:ODL589847 ONH589846:ONH589847 OXD589846:OXD589847 PGZ589846:PGZ589847 PQV589846:PQV589847 QAR589846:QAR589847 QKN589846:QKN589847 QUJ589846:QUJ589847 REF589846:REF589847 ROB589846:ROB589847 RXX589846:RXX589847 SHT589846:SHT589847 SRP589846:SRP589847 TBL589846:TBL589847 TLH589846:TLH589847 TVD589846:TVD589847 UEZ589846:UEZ589847 UOV589846:UOV589847 UYR589846:UYR589847 VIN589846:VIN589847 VSJ589846:VSJ589847 WCF589846:WCF589847 WMB589846:WMB589847 WVX589846:WVX589847 P655382:P655383 JL655382:JL655383 TH655382:TH655383 ADD655382:ADD655383 AMZ655382:AMZ655383 AWV655382:AWV655383 BGR655382:BGR655383 BQN655382:BQN655383 CAJ655382:CAJ655383 CKF655382:CKF655383 CUB655382:CUB655383 DDX655382:DDX655383 DNT655382:DNT655383 DXP655382:DXP655383 EHL655382:EHL655383 ERH655382:ERH655383 FBD655382:FBD655383 FKZ655382:FKZ655383 FUV655382:FUV655383 GER655382:GER655383 GON655382:GON655383 GYJ655382:GYJ655383 HIF655382:HIF655383 HSB655382:HSB655383 IBX655382:IBX655383 ILT655382:ILT655383 IVP655382:IVP655383 JFL655382:JFL655383 JPH655382:JPH655383 JZD655382:JZD655383 KIZ655382:KIZ655383 KSV655382:KSV655383 LCR655382:LCR655383 LMN655382:LMN655383 LWJ655382:LWJ655383 MGF655382:MGF655383 MQB655382:MQB655383 MZX655382:MZX655383 NJT655382:NJT655383 NTP655382:NTP655383 ODL655382:ODL655383 ONH655382:ONH655383 OXD655382:OXD655383 PGZ655382:PGZ655383 PQV655382:PQV655383 QAR655382:QAR655383 QKN655382:QKN655383 QUJ655382:QUJ655383 REF655382:REF655383 ROB655382:ROB655383 RXX655382:RXX655383 SHT655382:SHT655383 SRP655382:SRP655383 TBL655382:TBL655383 TLH655382:TLH655383 TVD655382:TVD655383 UEZ655382:UEZ655383 UOV655382:UOV655383 UYR655382:UYR655383 VIN655382:VIN655383 VSJ655382:VSJ655383 WCF655382:WCF655383 WMB655382:WMB655383 WVX655382:WVX655383 P720918:P720919 JL720918:JL720919 TH720918:TH720919 ADD720918:ADD720919 AMZ720918:AMZ720919 AWV720918:AWV720919 BGR720918:BGR720919 BQN720918:BQN720919 CAJ720918:CAJ720919 CKF720918:CKF720919 CUB720918:CUB720919 DDX720918:DDX720919 DNT720918:DNT720919 DXP720918:DXP720919 EHL720918:EHL720919 ERH720918:ERH720919 FBD720918:FBD720919 FKZ720918:FKZ720919 FUV720918:FUV720919 GER720918:GER720919 GON720918:GON720919 GYJ720918:GYJ720919 HIF720918:HIF720919 HSB720918:HSB720919 IBX720918:IBX720919 ILT720918:ILT720919 IVP720918:IVP720919 JFL720918:JFL720919 JPH720918:JPH720919 JZD720918:JZD720919 KIZ720918:KIZ720919 KSV720918:KSV720919 LCR720918:LCR720919 LMN720918:LMN720919 LWJ720918:LWJ720919 MGF720918:MGF720919 MQB720918:MQB720919 MZX720918:MZX720919 NJT720918:NJT720919 NTP720918:NTP720919 ODL720918:ODL720919 ONH720918:ONH720919 OXD720918:OXD720919 PGZ720918:PGZ720919 PQV720918:PQV720919 QAR720918:QAR720919 QKN720918:QKN720919 QUJ720918:QUJ720919 REF720918:REF720919 ROB720918:ROB720919 RXX720918:RXX720919 SHT720918:SHT720919 SRP720918:SRP720919 TBL720918:TBL720919 TLH720918:TLH720919 TVD720918:TVD720919 UEZ720918:UEZ720919 UOV720918:UOV720919 UYR720918:UYR720919 VIN720918:VIN720919 VSJ720918:VSJ720919 WCF720918:WCF720919 WMB720918:WMB720919 WVX720918:WVX720919 P786454:P786455 JL786454:JL786455 TH786454:TH786455 ADD786454:ADD786455 AMZ786454:AMZ786455 AWV786454:AWV786455 BGR786454:BGR786455 BQN786454:BQN786455 CAJ786454:CAJ786455 CKF786454:CKF786455 CUB786454:CUB786455 DDX786454:DDX786455 DNT786454:DNT786455 DXP786454:DXP786455 EHL786454:EHL786455 ERH786454:ERH786455 FBD786454:FBD786455 FKZ786454:FKZ786455 FUV786454:FUV786455 GER786454:GER786455 GON786454:GON786455 GYJ786454:GYJ786455 HIF786454:HIF786455 HSB786454:HSB786455 IBX786454:IBX786455 ILT786454:ILT786455 IVP786454:IVP786455 JFL786454:JFL786455 JPH786454:JPH786455 JZD786454:JZD786455 KIZ786454:KIZ786455 KSV786454:KSV786455 LCR786454:LCR786455 LMN786454:LMN786455 LWJ786454:LWJ786455 MGF786454:MGF786455 MQB786454:MQB786455 MZX786454:MZX786455 NJT786454:NJT786455 NTP786454:NTP786455 ODL786454:ODL786455 ONH786454:ONH786455 OXD786454:OXD786455 PGZ786454:PGZ786455 PQV786454:PQV786455 QAR786454:QAR786455 QKN786454:QKN786455 QUJ786454:QUJ786455 REF786454:REF786455 ROB786454:ROB786455 RXX786454:RXX786455 SHT786454:SHT786455 SRP786454:SRP786455 TBL786454:TBL786455 TLH786454:TLH786455 TVD786454:TVD786455 UEZ786454:UEZ786455 UOV786454:UOV786455 UYR786454:UYR786455 VIN786454:VIN786455 VSJ786454:VSJ786455 WCF786454:WCF786455 WMB786454:WMB786455 WVX786454:WVX786455 P851990:P851991 JL851990:JL851991 TH851990:TH851991 ADD851990:ADD851991 AMZ851990:AMZ851991 AWV851990:AWV851991 BGR851990:BGR851991 BQN851990:BQN851991 CAJ851990:CAJ851991 CKF851990:CKF851991 CUB851990:CUB851991 DDX851990:DDX851991 DNT851990:DNT851991 DXP851990:DXP851991 EHL851990:EHL851991 ERH851990:ERH851991 FBD851990:FBD851991 FKZ851990:FKZ851991 FUV851990:FUV851991 GER851990:GER851991 GON851990:GON851991 GYJ851990:GYJ851991 HIF851990:HIF851991 HSB851990:HSB851991 IBX851990:IBX851991 ILT851990:ILT851991 IVP851990:IVP851991 JFL851990:JFL851991 JPH851990:JPH851991 JZD851990:JZD851991 KIZ851990:KIZ851991 KSV851990:KSV851991 LCR851990:LCR851991 LMN851990:LMN851991 LWJ851990:LWJ851991 MGF851990:MGF851991 MQB851990:MQB851991 MZX851990:MZX851991 NJT851990:NJT851991 NTP851990:NTP851991 ODL851990:ODL851991 ONH851990:ONH851991 OXD851990:OXD851991 PGZ851990:PGZ851991 PQV851990:PQV851991 QAR851990:QAR851991 QKN851990:QKN851991 QUJ851990:QUJ851991 REF851990:REF851991 ROB851990:ROB851991 RXX851990:RXX851991 SHT851990:SHT851991 SRP851990:SRP851991 TBL851990:TBL851991 TLH851990:TLH851991 TVD851990:TVD851991 UEZ851990:UEZ851991 UOV851990:UOV851991 UYR851990:UYR851991 VIN851990:VIN851991 VSJ851990:VSJ851991 WCF851990:WCF851991 WMB851990:WMB851991 WVX851990:WVX851991 P917526:P917527 JL917526:JL917527 TH917526:TH917527 ADD917526:ADD917527 AMZ917526:AMZ917527 AWV917526:AWV917527 BGR917526:BGR917527 BQN917526:BQN917527 CAJ917526:CAJ917527 CKF917526:CKF917527 CUB917526:CUB917527 DDX917526:DDX917527 DNT917526:DNT917527 DXP917526:DXP917527 EHL917526:EHL917527 ERH917526:ERH917527 FBD917526:FBD917527 FKZ917526:FKZ917527 FUV917526:FUV917527 GER917526:GER917527 GON917526:GON917527 GYJ917526:GYJ917527 HIF917526:HIF917527 HSB917526:HSB917527 IBX917526:IBX917527 ILT917526:ILT917527 IVP917526:IVP917527 JFL917526:JFL917527 JPH917526:JPH917527 JZD917526:JZD917527 KIZ917526:KIZ917527 KSV917526:KSV917527 LCR917526:LCR917527 LMN917526:LMN917527 LWJ917526:LWJ917527 MGF917526:MGF917527 MQB917526:MQB917527 MZX917526:MZX917527 NJT917526:NJT917527 NTP917526:NTP917527 ODL917526:ODL917527 ONH917526:ONH917527 OXD917526:OXD917527 PGZ917526:PGZ917527 PQV917526:PQV917527 QAR917526:QAR917527 QKN917526:QKN917527 QUJ917526:QUJ917527 REF917526:REF917527 ROB917526:ROB917527 RXX917526:RXX917527 SHT917526:SHT917527 SRP917526:SRP917527 TBL917526:TBL917527 TLH917526:TLH917527 TVD917526:TVD917527 UEZ917526:UEZ917527 UOV917526:UOV917527 UYR917526:UYR917527 VIN917526:VIN917527 VSJ917526:VSJ917527 WCF917526:WCF917527 WMB917526:WMB917527 WVX917526:WVX917527 P983062:P983063 JL983062:JL983063 TH983062:TH983063 ADD983062:ADD983063 AMZ983062:AMZ983063 AWV983062:AWV983063 BGR983062:BGR983063 BQN983062:BQN983063 CAJ983062:CAJ983063 CKF983062:CKF983063 CUB983062:CUB983063 DDX983062:DDX983063 DNT983062:DNT983063 DXP983062:DXP983063 EHL983062:EHL983063 ERH983062:ERH983063 FBD983062:FBD983063 FKZ983062:FKZ983063 FUV983062:FUV983063 GER983062:GER983063 GON983062:GON983063 GYJ983062:GYJ983063 HIF983062:HIF983063 HSB983062:HSB983063 IBX983062:IBX983063 ILT983062:ILT983063 IVP983062:IVP983063 JFL983062:JFL983063 JPH983062:JPH983063 JZD983062:JZD983063 KIZ983062:KIZ983063 KSV983062:KSV983063 LCR983062:LCR983063 LMN983062:LMN983063 LWJ983062:LWJ983063 MGF983062:MGF983063 MQB983062:MQB983063 MZX983062:MZX983063 NJT983062:NJT983063 NTP983062:NTP983063 ODL983062:ODL983063 ONH983062:ONH983063 OXD983062:OXD983063 PGZ983062:PGZ983063 PQV983062:PQV983063 QAR983062:QAR983063 QKN983062:QKN983063 QUJ983062:QUJ983063 REF983062:REF983063 ROB983062:ROB983063 RXX983062:RXX983063 SHT983062:SHT983063 SRP983062:SRP983063 TBL983062:TBL983063 TLH983062:TLH983063 TVD983062:TVD983063 UEZ983062:UEZ983063 UOV983062:UOV983063 UYR983062:UYR983063 VIN983062:VIN983063 VSJ983062:VSJ983063 WCF983062:WCF983063 WMB983062:WMB983063 WVX983062:WVX983063">
      <formula1>$P$199:$P$204</formula1>
    </dataValidation>
    <dataValidation type="list" allowBlank="1" showInputMessage="1" showErrorMessage="1" sqref="B24:B31 IX24:IX31 ST24:ST31 ACP24:ACP31 AML24:AML31 AWH24:AWH31 BGD24:BGD31 BPZ24:BPZ31 BZV24:BZV31 CJR24:CJR31 CTN24:CTN31 DDJ24:DDJ31 DNF24:DNF31 DXB24:DXB31 EGX24:EGX31 EQT24:EQT31 FAP24:FAP31 FKL24:FKL31 FUH24:FUH31 GED24:GED31 GNZ24:GNZ31 GXV24:GXV31 HHR24:HHR31 HRN24:HRN31 IBJ24:IBJ31 ILF24:ILF31 IVB24:IVB31 JEX24:JEX31 JOT24:JOT31 JYP24:JYP31 KIL24:KIL31 KSH24:KSH31 LCD24:LCD31 LLZ24:LLZ31 LVV24:LVV31 MFR24:MFR31 MPN24:MPN31 MZJ24:MZJ31 NJF24:NJF31 NTB24:NTB31 OCX24:OCX31 OMT24:OMT31 OWP24:OWP31 PGL24:PGL31 PQH24:PQH31 QAD24:QAD31 QJZ24:QJZ31 QTV24:QTV31 RDR24:RDR31 RNN24:RNN31 RXJ24:RXJ31 SHF24:SHF31 SRB24:SRB31 TAX24:TAX31 TKT24:TKT31 TUP24:TUP31 UEL24:UEL31 UOH24:UOH31 UYD24:UYD31 VHZ24:VHZ31 VRV24:VRV31 WBR24:WBR31 WLN24:WLN31 WVJ24:WVJ31 B65560:B65567 IX65560:IX65567 ST65560:ST65567 ACP65560:ACP65567 AML65560:AML65567 AWH65560:AWH65567 BGD65560:BGD65567 BPZ65560:BPZ65567 BZV65560:BZV65567 CJR65560:CJR65567 CTN65560:CTN65567 DDJ65560:DDJ65567 DNF65560:DNF65567 DXB65560:DXB65567 EGX65560:EGX65567 EQT65560:EQT65567 FAP65560:FAP65567 FKL65560:FKL65567 FUH65560:FUH65567 GED65560:GED65567 GNZ65560:GNZ65567 GXV65560:GXV65567 HHR65560:HHR65567 HRN65560:HRN65567 IBJ65560:IBJ65567 ILF65560:ILF65567 IVB65560:IVB65567 JEX65560:JEX65567 JOT65560:JOT65567 JYP65560:JYP65567 KIL65560:KIL65567 KSH65560:KSH65567 LCD65560:LCD65567 LLZ65560:LLZ65567 LVV65560:LVV65567 MFR65560:MFR65567 MPN65560:MPN65567 MZJ65560:MZJ65567 NJF65560:NJF65567 NTB65560:NTB65567 OCX65560:OCX65567 OMT65560:OMT65567 OWP65560:OWP65567 PGL65560:PGL65567 PQH65560:PQH65567 QAD65560:QAD65567 QJZ65560:QJZ65567 QTV65560:QTV65567 RDR65560:RDR65567 RNN65560:RNN65567 RXJ65560:RXJ65567 SHF65560:SHF65567 SRB65560:SRB65567 TAX65560:TAX65567 TKT65560:TKT65567 TUP65560:TUP65567 UEL65560:UEL65567 UOH65560:UOH65567 UYD65560:UYD65567 VHZ65560:VHZ65567 VRV65560:VRV65567 WBR65560:WBR65567 WLN65560:WLN65567 WVJ65560:WVJ65567 B131096:B131103 IX131096:IX131103 ST131096:ST131103 ACP131096:ACP131103 AML131096:AML131103 AWH131096:AWH131103 BGD131096:BGD131103 BPZ131096:BPZ131103 BZV131096:BZV131103 CJR131096:CJR131103 CTN131096:CTN131103 DDJ131096:DDJ131103 DNF131096:DNF131103 DXB131096:DXB131103 EGX131096:EGX131103 EQT131096:EQT131103 FAP131096:FAP131103 FKL131096:FKL131103 FUH131096:FUH131103 GED131096:GED131103 GNZ131096:GNZ131103 GXV131096:GXV131103 HHR131096:HHR131103 HRN131096:HRN131103 IBJ131096:IBJ131103 ILF131096:ILF131103 IVB131096:IVB131103 JEX131096:JEX131103 JOT131096:JOT131103 JYP131096:JYP131103 KIL131096:KIL131103 KSH131096:KSH131103 LCD131096:LCD131103 LLZ131096:LLZ131103 LVV131096:LVV131103 MFR131096:MFR131103 MPN131096:MPN131103 MZJ131096:MZJ131103 NJF131096:NJF131103 NTB131096:NTB131103 OCX131096:OCX131103 OMT131096:OMT131103 OWP131096:OWP131103 PGL131096:PGL131103 PQH131096:PQH131103 QAD131096:QAD131103 QJZ131096:QJZ131103 QTV131096:QTV131103 RDR131096:RDR131103 RNN131096:RNN131103 RXJ131096:RXJ131103 SHF131096:SHF131103 SRB131096:SRB131103 TAX131096:TAX131103 TKT131096:TKT131103 TUP131096:TUP131103 UEL131096:UEL131103 UOH131096:UOH131103 UYD131096:UYD131103 VHZ131096:VHZ131103 VRV131096:VRV131103 WBR131096:WBR131103 WLN131096:WLN131103 WVJ131096:WVJ131103 B196632:B196639 IX196632:IX196639 ST196632:ST196639 ACP196632:ACP196639 AML196632:AML196639 AWH196632:AWH196639 BGD196632:BGD196639 BPZ196632:BPZ196639 BZV196632:BZV196639 CJR196632:CJR196639 CTN196632:CTN196639 DDJ196632:DDJ196639 DNF196632:DNF196639 DXB196632:DXB196639 EGX196632:EGX196639 EQT196632:EQT196639 FAP196632:FAP196639 FKL196632:FKL196639 FUH196632:FUH196639 GED196632:GED196639 GNZ196632:GNZ196639 GXV196632:GXV196639 HHR196632:HHR196639 HRN196632:HRN196639 IBJ196632:IBJ196639 ILF196632:ILF196639 IVB196632:IVB196639 JEX196632:JEX196639 JOT196632:JOT196639 JYP196632:JYP196639 KIL196632:KIL196639 KSH196632:KSH196639 LCD196632:LCD196639 LLZ196632:LLZ196639 LVV196632:LVV196639 MFR196632:MFR196639 MPN196632:MPN196639 MZJ196632:MZJ196639 NJF196632:NJF196639 NTB196632:NTB196639 OCX196632:OCX196639 OMT196632:OMT196639 OWP196632:OWP196639 PGL196632:PGL196639 PQH196632:PQH196639 QAD196632:QAD196639 QJZ196632:QJZ196639 QTV196632:QTV196639 RDR196632:RDR196639 RNN196632:RNN196639 RXJ196632:RXJ196639 SHF196632:SHF196639 SRB196632:SRB196639 TAX196632:TAX196639 TKT196632:TKT196639 TUP196632:TUP196639 UEL196632:UEL196639 UOH196632:UOH196639 UYD196632:UYD196639 VHZ196632:VHZ196639 VRV196632:VRV196639 WBR196632:WBR196639 WLN196632:WLN196639 WVJ196632:WVJ196639 B262168:B262175 IX262168:IX262175 ST262168:ST262175 ACP262168:ACP262175 AML262168:AML262175 AWH262168:AWH262175 BGD262168:BGD262175 BPZ262168:BPZ262175 BZV262168:BZV262175 CJR262168:CJR262175 CTN262168:CTN262175 DDJ262168:DDJ262175 DNF262168:DNF262175 DXB262168:DXB262175 EGX262168:EGX262175 EQT262168:EQT262175 FAP262168:FAP262175 FKL262168:FKL262175 FUH262168:FUH262175 GED262168:GED262175 GNZ262168:GNZ262175 GXV262168:GXV262175 HHR262168:HHR262175 HRN262168:HRN262175 IBJ262168:IBJ262175 ILF262168:ILF262175 IVB262168:IVB262175 JEX262168:JEX262175 JOT262168:JOT262175 JYP262168:JYP262175 KIL262168:KIL262175 KSH262168:KSH262175 LCD262168:LCD262175 LLZ262168:LLZ262175 LVV262168:LVV262175 MFR262168:MFR262175 MPN262168:MPN262175 MZJ262168:MZJ262175 NJF262168:NJF262175 NTB262168:NTB262175 OCX262168:OCX262175 OMT262168:OMT262175 OWP262168:OWP262175 PGL262168:PGL262175 PQH262168:PQH262175 QAD262168:QAD262175 QJZ262168:QJZ262175 QTV262168:QTV262175 RDR262168:RDR262175 RNN262168:RNN262175 RXJ262168:RXJ262175 SHF262168:SHF262175 SRB262168:SRB262175 TAX262168:TAX262175 TKT262168:TKT262175 TUP262168:TUP262175 UEL262168:UEL262175 UOH262168:UOH262175 UYD262168:UYD262175 VHZ262168:VHZ262175 VRV262168:VRV262175 WBR262168:WBR262175 WLN262168:WLN262175 WVJ262168:WVJ262175 B327704:B327711 IX327704:IX327711 ST327704:ST327711 ACP327704:ACP327711 AML327704:AML327711 AWH327704:AWH327711 BGD327704:BGD327711 BPZ327704:BPZ327711 BZV327704:BZV327711 CJR327704:CJR327711 CTN327704:CTN327711 DDJ327704:DDJ327711 DNF327704:DNF327711 DXB327704:DXB327711 EGX327704:EGX327711 EQT327704:EQT327711 FAP327704:FAP327711 FKL327704:FKL327711 FUH327704:FUH327711 GED327704:GED327711 GNZ327704:GNZ327711 GXV327704:GXV327711 HHR327704:HHR327711 HRN327704:HRN327711 IBJ327704:IBJ327711 ILF327704:ILF327711 IVB327704:IVB327711 JEX327704:JEX327711 JOT327704:JOT327711 JYP327704:JYP327711 KIL327704:KIL327711 KSH327704:KSH327711 LCD327704:LCD327711 LLZ327704:LLZ327711 LVV327704:LVV327711 MFR327704:MFR327711 MPN327704:MPN327711 MZJ327704:MZJ327711 NJF327704:NJF327711 NTB327704:NTB327711 OCX327704:OCX327711 OMT327704:OMT327711 OWP327704:OWP327711 PGL327704:PGL327711 PQH327704:PQH327711 QAD327704:QAD327711 QJZ327704:QJZ327711 QTV327704:QTV327711 RDR327704:RDR327711 RNN327704:RNN327711 RXJ327704:RXJ327711 SHF327704:SHF327711 SRB327704:SRB327711 TAX327704:TAX327711 TKT327704:TKT327711 TUP327704:TUP327711 UEL327704:UEL327711 UOH327704:UOH327711 UYD327704:UYD327711 VHZ327704:VHZ327711 VRV327704:VRV327711 WBR327704:WBR327711 WLN327704:WLN327711 WVJ327704:WVJ327711 B393240:B393247 IX393240:IX393247 ST393240:ST393247 ACP393240:ACP393247 AML393240:AML393247 AWH393240:AWH393247 BGD393240:BGD393247 BPZ393240:BPZ393247 BZV393240:BZV393247 CJR393240:CJR393247 CTN393240:CTN393247 DDJ393240:DDJ393247 DNF393240:DNF393247 DXB393240:DXB393247 EGX393240:EGX393247 EQT393240:EQT393247 FAP393240:FAP393247 FKL393240:FKL393247 FUH393240:FUH393247 GED393240:GED393247 GNZ393240:GNZ393247 GXV393240:GXV393247 HHR393240:HHR393247 HRN393240:HRN393247 IBJ393240:IBJ393247 ILF393240:ILF393247 IVB393240:IVB393247 JEX393240:JEX393247 JOT393240:JOT393247 JYP393240:JYP393247 KIL393240:KIL393247 KSH393240:KSH393247 LCD393240:LCD393247 LLZ393240:LLZ393247 LVV393240:LVV393247 MFR393240:MFR393247 MPN393240:MPN393247 MZJ393240:MZJ393247 NJF393240:NJF393247 NTB393240:NTB393247 OCX393240:OCX393247 OMT393240:OMT393247 OWP393240:OWP393247 PGL393240:PGL393247 PQH393240:PQH393247 QAD393240:QAD393247 QJZ393240:QJZ393247 QTV393240:QTV393247 RDR393240:RDR393247 RNN393240:RNN393247 RXJ393240:RXJ393247 SHF393240:SHF393247 SRB393240:SRB393247 TAX393240:TAX393247 TKT393240:TKT393247 TUP393240:TUP393247 UEL393240:UEL393247 UOH393240:UOH393247 UYD393240:UYD393247 VHZ393240:VHZ393247 VRV393240:VRV393247 WBR393240:WBR393247 WLN393240:WLN393247 WVJ393240:WVJ393247 B458776:B458783 IX458776:IX458783 ST458776:ST458783 ACP458776:ACP458783 AML458776:AML458783 AWH458776:AWH458783 BGD458776:BGD458783 BPZ458776:BPZ458783 BZV458776:BZV458783 CJR458776:CJR458783 CTN458776:CTN458783 DDJ458776:DDJ458783 DNF458776:DNF458783 DXB458776:DXB458783 EGX458776:EGX458783 EQT458776:EQT458783 FAP458776:FAP458783 FKL458776:FKL458783 FUH458776:FUH458783 GED458776:GED458783 GNZ458776:GNZ458783 GXV458776:GXV458783 HHR458776:HHR458783 HRN458776:HRN458783 IBJ458776:IBJ458783 ILF458776:ILF458783 IVB458776:IVB458783 JEX458776:JEX458783 JOT458776:JOT458783 JYP458776:JYP458783 KIL458776:KIL458783 KSH458776:KSH458783 LCD458776:LCD458783 LLZ458776:LLZ458783 LVV458776:LVV458783 MFR458776:MFR458783 MPN458776:MPN458783 MZJ458776:MZJ458783 NJF458776:NJF458783 NTB458776:NTB458783 OCX458776:OCX458783 OMT458776:OMT458783 OWP458776:OWP458783 PGL458776:PGL458783 PQH458776:PQH458783 QAD458776:QAD458783 QJZ458776:QJZ458783 QTV458776:QTV458783 RDR458776:RDR458783 RNN458776:RNN458783 RXJ458776:RXJ458783 SHF458776:SHF458783 SRB458776:SRB458783 TAX458776:TAX458783 TKT458776:TKT458783 TUP458776:TUP458783 UEL458776:UEL458783 UOH458776:UOH458783 UYD458776:UYD458783 VHZ458776:VHZ458783 VRV458776:VRV458783 WBR458776:WBR458783 WLN458776:WLN458783 WVJ458776:WVJ458783 B524312:B524319 IX524312:IX524319 ST524312:ST524319 ACP524312:ACP524319 AML524312:AML524319 AWH524312:AWH524319 BGD524312:BGD524319 BPZ524312:BPZ524319 BZV524312:BZV524319 CJR524312:CJR524319 CTN524312:CTN524319 DDJ524312:DDJ524319 DNF524312:DNF524319 DXB524312:DXB524319 EGX524312:EGX524319 EQT524312:EQT524319 FAP524312:FAP524319 FKL524312:FKL524319 FUH524312:FUH524319 GED524312:GED524319 GNZ524312:GNZ524319 GXV524312:GXV524319 HHR524312:HHR524319 HRN524312:HRN524319 IBJ524312:IBJ524319 ILF524312:ILF524319 IVB524312:IVB524319 JEX524312:JEX524319 JOT524312:JOT524319 JYP524312:JYP524319 KIL524312:KIL524319 KSH524312:KSH524319 LCD524312:LCD524319 LLZ524312:LLZ524319 LVV524312:LVV524319 MFR524312:MFR524319 MPN524312:MPN524319 MZJ524312:MZJ524319 NJF524312:NJF524319 NTB524312:NTB524319 OCX524312:OCX524319 OMT524312:OMT524319 OWP524312:OWP524319 PGL524312:PGL524319 PQH524312:PQH524319 QAD524312:QAD524319 QJZ524312:QJZ524319 QTV524312:QTV524319 RDR524312:RDR524319 RNN524312:RNN524319 RXJ524312:RXJ524319 SHF524312:SHF524319 SRB524312:SRB524319 TAX524312:TAX524319 TKT524312:TKT524319 TUP524312:TUP524319 UEL524312:UEL524319 UOH524312:UOH524319 UYD524312:UYD524319 VHZ524312:VHZ524319 VRV524312:VRV524319 WBR524312:WBR524319 WLN524312:WLN524319 WVJ524312:WVJ524319 B589848:B589855 IX589848:IX589855 ST589848:ST589855 ACP589848:ACP589855 AML589848:AML589855 AWH589848:AWH589855 BGD589848:BGD589855 BPZ589848:BPZ589855 BZV589848:BZV589855 CJR589848:CJR589855 CTN589848:CTN589855 DDJ589848:DDJ589855 DNF589848:DNF589855 DXB589848:DXB589855 EGX589848:EGX589855 EQT589848:EQT589855 FAP589848:FAP589855 FKL589848:FKL589855 FUH589848:FUH589855 GED589848:GED589855 GNZ589848:GNZ589855 GXV589848:GXV589855 HHR589848:HHR589855 HRN589848:HRN589855 IBJ589848:IBJ589855 ILF589848:ILF589855 IVB589848:IVB589855 JEX589848:JEX589855 JOT589848:JOT589855 JYP589848:JYP589855 KIL589848:KIL589855 KSH589848:KSH589855 LCD589848:LCD589855 LLZ589848:LLZ589855 LVV589848:LVV589855 MFR589848:MFR589855 MPN589848:MPN589855 MZJ589848:MZJ589855 NJF589848:NJF589855 NTB589848:NTB589855 OCX589848:OCX589855 OMT589848:OMT589855 OWP589848:OWP589855 PGL589848:PGL589855 PQH589848:PQH589855 QAD589848:QAD589855 QJZ589848:QJZ589855 QTV589848:QTV589855 RDR589848:RDR589855 RNN589848:RNN589855 RXJ589848:RXJ589855 SHF589848:SHF589855 SRB589848:SRB589855 TAX589848:TAX589855 TKT589848:TKT589855 TUP589848:TUP589855 UEL589848:UEL589855 UOH589848:UOH589855 UYD589848:UYD589855 VHZ589848:VHZ589855 VRV589848:VRV589855 WBR589848:WBR589855 WLN589848:WLN589855 WVJ589848:WVJ589855 B655384:B655391 IX655384:IX655391 ST655384:ST655391 ACP655384:ACP655391 AML655384:AML655391 AWH655384:AWH655391 BGD655384:BGD655391 BPZ655384:BPZ655391 BZV655384:BZV655391 CJR655384:CJR655391 CTN655384:CTN655391 DDJ655384:DDJ655391 DNF655384:DNF655391 DXB655384:DXB655391 EGX655384:EGX655391 EQT655384:EQT655391 FAP655384:FAP655391 FKL655384:FKL655391 FUH655384:FUH655391 GED655384:GED655391 GNZ655384:GNZ655391 GXV655384:GXV655391 HHR655384:HHR655391 HRN655384:HRN655391 IBJ655384:IBJ655391 ILF655384:ILF655391 IVB655384:IVB655391 JEX655384:JEX655391 JOT655384:JOT655391 JYP655384:JYP655391 KIL655384:KIL655391 KSH655384:KSH655391 LCD655384:LCD655391 LLZ655384:LLZ655391 LVV655384:LVV655391 MFR655384:MFR655391 MPN655384:MPN655391 MZJ655384:MZJ655391 NJF655384:NJF655391 NTB655384:NTB655391 OCX655384:OCX655391 OMT655384:OMT655391 OWP655384:OWP655391 PGL655384:PGL655391 PQH655384:PQH655391 QAD655384:QAD655391 QJZ655384:QJZ655391 QTV655384:QTV655391 RDR655384:RDR655391 RNN655384:RNN655391 RXJ655384:RXJ655391 SHF655384:SHF655391 SRB655384:SRB655391 TAX655384:TAX655391 TKT655384:TKT655391 TUP655384:TUP655391 UEL655384:UEL655391 UOH655384:UOH655391 UYD655384:UYD655391 VHZ655384:VHZ655391 VRV655384:VRV655391 WBR655384:WBR655391 WLN655384:WLN655391 WVJ655384:WVJ655391 B720920:B720927 IX720920:IX720927 ST720920:ST720927 ACP720920:ACP720927 AML720920:AML720927 AWH720920:AWH720927 BGD720920:BGD720927 BPZ720920:BPZ720927 BZV720920:BZV720927 CJR720920:CJR720927 CTN720920:CTN720927 DDJ720920:DDJ720927 DNF720920:DNF720927 DXB720920:DXB720927 EGX720920:EGX720927 EQT720920:EQT720927 FAP720920:FAP720927 FKL720920:FKL720927 FUH720920:FUH720927 GED720920:GED720927 GNZ720920:GNZ720927 GXV720920:GXV720927 HHR720920:HHR720927 HRN720920:HRN720927 IBJ720920:IBJ720927 ILF720920:ILF720927 IVB720920:IVB720927 JEX720920:JEX720927 JOT720920:JOT720927 JYP720920:JYP720927 KIL720920:KIL720927 KSH720920:KSH720927 LCD720920:LCD720927 LLZ720920:LLZ720927 LVV720920:LVV720927 MFR720920:MFR720927 MPN720920:MPN720927 MZJ720920:MZJ720927 NJF720920:NJF720927 NTB720920:NTB720927 OCX720920:OCX720927 OMT720920:OMT720927 OWP720920:OWP720927 PGL720920:PGL720927 PQH720920:PQH720927 QAD720920:QAD720927 QJZ720920:QJZ720927 QTV720920:QTV720927 RDR720920:RDR720927 RNN720920:RNN720927 RXJ720920:RXJ720927 SHF720920:SHF720927 SRB720920:SRB720927 TAX720920:TAX720927 TKT720920:TKT720927 TUP720920:TUP720927 UEL720920:UEL720927 UOH720920:UOH720927 UYD720920:UYD720927 VHZ720920:VHZ720927 VRV720920:VRV720927 WBR720920:WBR720927 WLN720920:WLN720927 WVJ720920:WVJ720927 B786456:B786463 IX786456:IX786463 ST786456:ST786463 ACP786456:ACP786463 AML786456:AML786463 AWH786456:AWH786463 BGD786456:BGD786463 BPZ786456:BPZ786463 BZV786456:BZV786463 CJR786456:CJR786463 CTN786456:CTN786463 DDJ786456:DDJ786463 DNF786456:DNF786463 DXB786456:DXB786463 EGX786456:EGX786463 EQT786456:EQT786463 FAP786456:FAP786463 FKL786456:FKL786463 FUH786456:FUH786463 GED786456:GED786463 GNZ786456:GNZ786463 GXV786456:GXV786463 HHR786456:HHR786463 HRN786456:HRN786463 IBJ786456:IBJ786463 ILF786456:ILF786463 IVB786456:IVB786463 JEX786456:JEX786463 JOT786456:JOT786463 JYP786456:JYP786463 KIL786456:KIL786463 KSH786456:KSH786463 LCD786456:LCD786463 LLZ786456:LLZ786463 LVV786456:LVV786463 MFR786456:MFR786463 MPN786456:MPN786463 MZJ786456:MZJ786463 NJF786456:NJF786463 NTB786456:NTB786463 OCX786456:OCX786463 OMT786456:OMT786463 OWP786456:OWP786463 PGL786456:PGL786463 PQH786456:PQH786463 QAD786456:QAD786463 QJZ786456:QJZ786463 QTV786456:QTV786463 RDR786456:RDR786463 RNN786456:RNN786463 RXJ786456:RXJ786463 SHF786456:SHF786463 SRB786456:SRB786463 TAX786456:TAX786463 TKT786456:TKT786463 TUP786456:TUP786463 UEL786456:UEL786463 UOH786456:UOH786463 UYD786456:UYD786463 VHZ786456:VHZ786463 VRV786456:VRV786463 WBR786456:WBR786463 WLN786456:WLN786463 WVJ786456:WVJ786463 B851992:B851999 IX851992:IX851999 ST851992:ST851999 ACP851992:ACP851999 AML851992:AML851999 AWH851992:AWH851999 BGD851992:BGD851999 BPZ851992:BPZ851999 BZV851992:BZV851999 CJR851992:CJR851999 CTN851992:CTN851999 DDJ851992:DDJ851999 DNF851992:DNF851999 DXB851992:DXB851999 EGX851992:EGX851999 EQT851992:EQT851999 FAP851992:FAP851999 FKL851992:FKL851999 FUH851992:FUH851999 GED851992:GED851999 GNZ851992:GNZ851999 GXV851992:GXV851999 HHR851992:HHR851999 HRN851992:HRN851999 IBJ851992:IBJ851999 ILF851992:ILF851999 IVB851992:IVB851999 JEX851992:JEX851999 JOT851992:JOT851999 JYP851992:JYP851999 KIL851992:KIL851999 KSH851992:KSH851999 LCD851992:LCD851999 LLZ851992:LLZ851999 LVV851992:LVV851999 MFR851992:MFR851999 MPN851992:MPN851999 MZJ851992:MZJ851999 NJF851992:NJF851999 NTB851992:NTB851999 OCX851992:OCX851999 OMT851992:OMT851999 OWP851992:OWP851999 PGL851992:PGL851999 PQH851992:PQH851999 QAD851992:QAD851999 QJZ851992:QJZ851999 QTV851992:QTV851999 RDR851992:RDR851999 RNN851992:RNN851999 RXJ851992:RXJ851999 SHF851992:SHF851999 SRB851992:SRB851999 TAX851992:TAX851999 TKT851992:TKT851999 TUP851992:TUP851999 UEL851992:UEL851999 UOH851992:UOH851999 UYD851992:UYD851999 VHZ851992:VHZ851999 VRV851992:VRV851999 WBR851992:WBR851999 WLN851992:WLN851999 WVJ851992:WVJ851999 B917528:B917535 IX917528:IX917535 ST917528:ST917535 ACP917528:ACP917535 AML917528:AML917535 AWH917528:AWH917535 BGD917528:BGD917535 BPZ917528:BPZ917535 BZV917528:BZV917535 CJR917528:CJR917535 CTN917528:CTN917535 DDJ917528:DDJ917535 DNF917528:DNF917535 DXB917528:DXB917535 EGX917528:EGX917535 EQT917528:EQT917535 FAP917528:FAP917535 FKL917528:FKL917535 FUH917528:FUH917535 GED917528:GED917535 GNZ917528:GNZ917535 GXV917528:GXV917535 HHR917528:HHR917535 HRN917528:HRN917535 IBJ917528:IBJ917535 ILF917528:ILF917535 IVB917528:IVB917535 JEX917528:JEX917535 JOT917528:JOT917535 JYP917528:JYP917535 KIL917528:KIL917535 KSH917528:KSH917535 LCD917528:LCD917535 LLZ917528:LLZ917535 LVV917528:LVV917535 MFR917528:MFR917535 MPN917528:MPN917535 MZJ917528:MZJ917535 NJF917528:NJF917535 NTB917528:NTB917535 OCX917528:OCX917535 OMT917528:OMT917535 OWP917528:OWP917535 PGL917528:PGL917535 PQH917528:PQH917535 QAD917528:QAD917535 QJZ917528:QJZ917535 QTV917528:QTV917535 RDR917528:RDR917535 RNN917528:RNN917535 RXJ917528:RXJ917535 SHF917528:SHF917535 SRB917528:SRB917535 TAX917528:TAX917535 TKT917528:TKT917535 TUP917528:TUP917535 UEL917528:UEL917535 UOH917528:UOH917535 UYD917528:UYD917535 VHZ917528:VHZ917535 VRV917528:VRV917535 WBR917528:WBR917535 WLN917528:WLN917535 WVJ917528:WVJ917535 B983064:B983071 IX983064:IX983071 ST983064:ST983071 ACP983064:ACP983071 AML983064:AML983071 AWH983064:AWH983071 BGD983064:BGD983071 BPZ983064:BPZ983071 BZV983064:BZV983071 CJR983064:CJR983071 CTN983064:CTN983071 DDJ983064:DDJ983071 DNF983064:DNF983071 DXB983064:DXB983071 EGX983064:EGX983071 EQT983064:EQT983071 FAP983064:FAP983071 FKL983064:FKL983071 FUH983064:FUH983071 GED983064:GED983071 GNZ983064:GNZ983071 GXV983064:GXV983071 HHR983064:HHR983071 HRN983064:HRN983071 IBJ983064:IBJ983071 ILF983064:ILF983071 IVB983064:IVB983071 JEX983064:JEX983071 JOT983064:JOT983071 JYP983064:JYP983071 KIL983064:KIL983071 KSH983064:KSH983071 LCD983064:LCD983071 LLZ983064:LLZ983071 LVV983064:LVV983071 MFR983064:MFR983071 MPN983064:MPN983071 MZJ983064:MZJ983071 NJF983064:NJF983071 NTB983064:NTB983071 OCX983064:OCX983071 OMT983064:OMT983071 OWP983064:OWP983071 PGL983064:PGL983071 PQH983064:PQH983071 QAD983064:QAD983071 QJZ983064:QJZ983071 QTV983064:QTV983071 RDR983064:RDR983071 RNN983064:RNN983071 RXJ983064:RXJ983071 SHF983064:SHF983071 SRB983064:SRB983071 TAX983064:TAX983071 TKT983064:TKT983071 TUP983064:TUP983071 UEL983064:UEL983071 UOH983064:UOH983071 UYD983064:UYD983071 VHZ983064:VHZ983071 VRV983064:VRV983071 WBR983064:WBR983071 WLN983064:WLN983071 WVJ983064:WVJ983071">
      <formula1>$B$9:$B$25</formula1>
    </dataValidation>
    <dataValidation type="list" allowBlank="1" showInputMessage="1" showErrorMessage="1" sqref="P24:P31 JL24:JL31 TH24:TH31 ADD24:ADD31 AMZ24:AMZ31 AWV24:AWV31 BGR24:BGR31 BQN24:BQN31 CAJ24:CAJ31 CKF24:CKF31 CUB24:CUB31 DDX24:DDX31 DNT24:DNT31 DXP24:DXP31 EHL24:EHL31 ERH24:ERH31 FBD24:FBD31 FKZ24:FKZ31 FUV24:FUV31 GER24:GER31 GON24:GON31 GYJ24:GYJ31 HIF24:HIF31 HSB24:HSB31 IBX24:IBX31 ILT24:ILT31 IVP24:IVP31 JFL24:JFL31 JPH24:JPH31 JZD24:JZD31 KIZ24:KIZ31 KSV24:KSV31 LCR24:LCR31 LMN24:LMN31 LWJ24:LWJ31 MGF24:MGF31 MQB24:MQB31 MZX24:MZX31 NJT24:NJT31 NTP24:NTP31 ODL24:ODL31 ONH24:ONH31 OXD24:OXD31 PGZ24:PGZ31 PQV24:PQV31 QAR24:QAR31 QKN24:QKN31 QUJ24:QUJ31 REF24:REF31 ROB24:ROB31 RXX24:RXX31 SHT24:SHT31 SRP24:SRP31 TBL24:TBL31 TLH24:TLH31 TVD24:TVD31 UEZ24:UEZ31 UOV24:UOV31 UYR24:UYR31 VIN24:VIN31 VSJ24:VSJ31 WCF24:WCF31 WMB24:WMB31 WVX24:WVX31 P65560:P65567 JL65560:JL65567 TH65560:TH65567 ADD65560:ADD65567 AMZ65560:AMZ65567 AWV65560:AWV65567 BGR65560:BGR65567 BQN65560:BQN65567 CAJ65560:CAJ65567 CKF65560:CKF65567 CUB65560:CUB65567 DDX65560:DDX65567 DNT65560:DNT65567 DXP65560:DXP65567 EHL65560:EHL65567 ERH65560:ERH65567 FBD65560:FBD65567 FKZ65560:FKZ65567 FUV65560:FUV65567 GER65560:GER65567 GON65560:GON65567 GYJ65560:GYJ65567 HIF65560:HIF65567 HSB65560:HSB65567 IBX65560:IBX65567 ILT65560:ILT65567 IVP65560:IVP65567 JFL65560:JFL65567 JPH65560:JPH65567 JZD65560:JZD65567 KIZ65560:KIZ65567 KSV65560:KSV65567 LCR65560:LCR65567 LMN65560:LMN65567 LWJ65560:LWJ65567 MGF65560:MGF65567 MQB65560:MQB65567 MZX65560:MZX65567 NJT65560:NJT65567 NTP65560:NTP65567 ODL65560:ODL65567 ONH65560:ONH65567 OXD65560:OXD65567 PGZ65560:PGZ65567 PQV65560:PQV65567 QAR65560:QAR65567 QKN65560:QKN65567 QUJ65560:QUJ65567 REF65560:REF65567 ROB65560:ROB65567 RXX65560:RXX65567 SHT65560:SHT65567 SRP65560:SRP65567 TBL65560:TBL65567 TLH65560:TLH65567 TVD65560:TVD65567 UEZ65560:UEZ65567 UOV65560:UOV65567 UYR65560:UYR65567 VIN65560:VIN65567 VSJ65560:VSJ65567 WCF65560:WCF65567 WMB65560:WMB65567 WVX65560:WVX65567 P131096:P131103 JL131096:JL131103 TH131096:TH131103 ADD131096:ADD131103 AMZ131096:AMZ131103 AWV131096:AWV131103 BGR131096:BGR131103 BQN131096:BQN131103 CAJ131096:CAJ131103 CKF131096:CKF131103 CUB131096:CUB131103 DDX131096:DDX131103 DNT131096:DNT131103 DXP131096:DXP131103 EHL131096:EHL131103 ERH131096:ERH131103 FBD131096:FBD131103 FKZ131096:FKZ131103 FUV131096:FUV131103 GER131096:GER131103 GON131096:GON131103 GYJ131096:GYJ131103 HIF131096:HIF131103 HSB131096:HSB131103 IBX131096:IBX131103 ILT131096:ILT131103 IVP131096:IVP131103 JFL131096:JFL131103 JPH131096:JPH131103 JZD131096:JZD131103 KIZ131096:KIZ131103 KSV131096:KSV131103 LCR131096:LCR131103 LMN131096:LMN131103 LWJ131096:LWJ131103 MGF131096:MGF131103 MQB131096:MQB131103 MZX131096:MZX131103 NJT131096:NJT131103 NTP131096:NTP131103 ODL131096:ODL131103 ONH131096:ONH131103 OXD131096:OXD131103 PGZ131096:PGZ131103 PQV131096:PQV131103 QAR131096:QAR131103 QKN131096:QKN131103 QUJ131096:QUJ131103 REF131096:REF131103 ROB131096:ROB131103 RXX131096:RXX131103 SHT131096:SHT131103 SRP131096:SRP131103 TBL131096:TBL131103 TLH131096:TLH131103 TVD131096:TVD131103 UEZ131096:UEZ131103 UOV131096:UOV131103 UYR131096:UYR131103 VIN131096:VIN131103 VSJ131096:VSJ131103 WCF131096:WCF131103 WMB131096:WMB131103 WVX131096:WVX131103 P196632:P196639 JL196632:JL196639 TH196632:TH196639 ADD196632:ADD196639 AMZ196632:AMZ196639 AWV196632:AWV196639 BGR196632:BGR196639 BQN196632:BQN196639 CAJ196632:CAJ196639 CKF196632:CKF196639 CUB196632:CUB196639 DDX196632:DDX196639 DNT196632:DNT196639 DXP196632:DXP196639 EHL196632:EHL196639 ERH196632:ERH196639 FBD196632:FBD196639 FKZ196632:FKZ196639 FUV196632:FUV196639 GER196632:GER196639 GON196632:GON196639 GYJ196632:GYJ196639 HIF196632:HIF196639 HSB196632:HSB196639 IBX196632:IBX196639 ILT196632:ILT196639 IVP196632:IVP196639 JFL196632:JFL196639 JPH196632:JPH196639 JZD196632:JZD196639 KIZ196632:KIZ196639 KSV196632:KSV196639 LCR196632:LCR196639 LMN196632:LMN196639 LWJ196632:LWJ196639 MGF196632:MGF196639 MQB196632:MQB196639 MZX196632:MZX196639 NJT196632:NJT196639 NTP196632:NTP196639 ODL196632:ODL196639 ONH196632:ONH196639 OXD196632:OXD196639 PGZ196632:PGZ196639 PQV196632:PQV196639 QAR196632:QAR196639 QKN196632:QKN196639 QUJ196632:QUJ196639 REF196632:REF196639 ROB196632:ROB196639 RXX196632:RXX196639 SHT196632:SHT196639 SRP196632:SRP196639 TBL196632:TBL196639 TLH196632:TLH196639 TVD196632:TVD196639 UEZ196632:UEZ196639 UOV196632:UOV196639 UYR196632:UYR196639 VIN196632:VIN196639 VSJ196632:VSJ196639 WCF196632:WCF196639 WMB196632:WMB196639 WVX196632:WVX196639 P262168:P262175 JL262168:JL262175 TH262168:TH262175 ADD262168:ADD262175 AMZ262168:AMZ262175 AWV262168:AWV262175 BGR262168:BGR262175 BQN262168:BQN262175 CAJ262168:CAJ262175 CKF262168:CKF262175 CUB262168:CUB262175 DDX262168:DDX262175 DNT262168:DNT262175 DXP262168:DXP262175 EHL262168:EHL262175 ERH262168:ERH262175 FBD262168:FBD262175 FKZ262168:FKZ262175 FUV262168:FUV262175 GER262168:GER262175 GON262168:GON262175 GYJ262168:GYJ262175 HIF262168:HIF262175 HSB262168:HSB262175 IBX262168:IBX262175 ILT262168:ILT262175 IVP262168:IVP262175 JFL262168:JFL262175 JPH262168:JPH262175 JZD262168:JZD262175 KIZ262168:KIZ262175 KSV262168:KSV262175 LCR262168:LCR262175 LMN262168:LMN262175 LWJ262168:LWJ262175 MGF262168:MGF262175 MQB262168:MQB262175 MZX262168:MZX262175 NJT262168:NJT262175 NTP262168:NTP262175 ODL262168:ODL262175 ONH262168:ONH262175 OXD262168:OXD262175 PGZ262168:PGZ262175 PQV262168:PQV262175 QAR262168:QAR262175 QKN262168:QKN262175 QUJ262168:QUJ262175 REF262168:REF262175 ROB262168:ROB262175 RXX262168:RXX262175 SHT262168:SHT262175 SRP262168:SRP262175 TBL262168:TBL262175 TLH262168:TLH262175 TVD262168:TVD262175 UEZ262168:UEZ262175 UOV262168:UOV262175 UYR262168:UYR262175 VIN262168:VIN262175 VSJ262168:VSJ262175 WCF262168:WCF262175 WMB262168:WMB262175 WVX262168:WVX262175 P327704:P327711 JL327704:JL327711 TH327704:TH327711 ADD327704:ADD327711 AMZ327704:AMZ327711 AWV327704:AWV327711 BGR327704:BGR327711 BQN327704:BQN327711 CAJ327704:CAJ327711 CKF327704:CKF327711 CUB327704:CUB327711 DDX327704:DDX327711 DNT327704:DNT327711 DXP327704:DXP327711 EHL327704:EHL327711 ERH327704:ERH327711 FBD327704:FBD327711 FKZ327704:FKZ327711 FUV327704:FUV327711 GER327704:GER327711 GON327704:GON327711 GYJ327704:GYJ327711 HIF327704:HIF327711 HSB327704:HSB327711 IBX327704:IBX327711 ILT327704:ILT327711 IVP327704:IVP327711 JFL327704:JFL327711 JPH327704:JPH327711 JZD327704:JZD327711 KIZ327704:KIZ327711 KSV327704:KSV327711 LCR327704:LCR327711 LMN327704:LMN327711 LWJ327704:LWJ327711 MGF327704:MGF327711 MQB327704:MQB327711 MZX327704:MZX327711 NJT327704:NJT327711 NTP327704:NTP327711 ODL327704:ODL327711 ONH327704:ONH327711 OXD327704:OXD327711 PGZ327704:PGZ327711 PQV327704:PQV327711 QAR327704:QAR327711 QKN327704:QKN327711 QUJ327704:QUJ327711 REF327704:REF327711 ROB327704:ROB327711 RXX327704:RXX327711 SHT327704:SHT327711 SRP327704:SRP327711 TBL327704:TBL327711 TLH327704:TLH327711 TVD327704:TVD327711 UEZ327704:UEZ327711 UOV327704:UOV327711 UYR327704:UYR327711 VIN327704:VIN327711 VSJ327704:VSJ327711 WCF327704:WCF327711 WMB327704:WMB327711 WVX327704:WVX327711 P393240:P393247 JL393240:JL393247 TH393240:TH393247 ADD393240:ADD393247 AMZ393240:AMZ393247 AWV393240:AWV393247 BGR393240:BGR393247 BQN393240:BQN393247 CAJ393240:CAJ393247 CKF393240:CKF393247 CUB393240:CUB393247 DDX393240:DDX393247 DNT393240:DNT393247 DXP393240:DXP393247 EHL393240:EHL393247 ERH393240:ERH393247 FBD393240:FBD393247 FKZ393240:FKZ393247 FUV393240:FUV393247 GER393240:GER393247 GON393240:GON393247 GYJ393240:GYJ393247 HIF393240:HIF393247 HSB393240:HSB393247 IBX393240:IBX393247 ILT393240:ILT393247 IVP393240:IVP393247 JFL393240:JFL393247 JPH393240:JPH393247 JZD393240:JZD393247 KIZ393240:KIZ393247 KSV393240:KSV393247 LCR393240:LCR393247 LMN393240:LMN393247 LWJ393240:LWJ393247 MGF393240:MGF393247 MQB393240:MQB393247 MZX393240:MZX393247 NJT393240:NJT393247 NTP393240:NTP393247 ODL393240:ODL393247 ONH393240:ONH393247 OXD393240:OXD393247 PGZ393240:PGZ393247 PQV393240:PQV393247 QAR393240:QAR393247 QKN393240:QKN393247 QUJ393240:QUJ393247 REF393240:REF393247 ROB393240:ROB393247 RXX393240:RXX393247 SHT393240:SHT393247 SRP393240:SRP393247 TBL393240:TBL393247 TLH393240:TLH393247 TVD393240:TVD393247 UEZ393240:UEZ393247 UOV393240:UOV393247 UYR393240:UYR393247 VIN393240:VIN393247 VSJ393240:VSJ393247 WCF393240:WCF393247 WMB393240:WMB393247 WVX393240:WVX393247 P458776:P458783 JL458776:JL458783 TH458776:TH458783 ADD458776:ADD458783 AMZ458776:AMZ458783 AWV458776:AWV458783 BGR458776:BGR458783 BQN458776:BQN458783 CAJ458776:CAJ458783 CKF458776:CKF458783 CUB458776:CUB458783 DDX458776:DDX458783 DNT458776:DNT458783 DXP458776:DXP458783 EHL458776:EHL458783 ERH458776:ERH458783 FBD458776:FBD458783 FKZ458776:FKZ458783 FUV458776:FUV458783 GER458776:GER458783 GON458776:GON458783 GYJ458776:GYJ458783 HIF458776:HIF458783 HSB458776:HSB458783 IBX458776:IBX458783 ILT458776:ILT458783 IVP458776:IVP458783 JFL458776:JFL458783 JPH458776:JPH458783 JZD458776:JZD458783 KIZ458776:KIZ458783 KSV458776:KSV458783 LCR458776:LCR458783 LMN458776:LMN458783 LWJ458776:LWJ458783 MGF458776:MGF458783 MQB458776:MQB458783 MZX458776:MZX458783 NJT458776:NJT458783 NTP458776:NTP458783 ODL458776:ODL458783 ONH458776:ONH458783 OXD458776:OXD458783 PGZ458776:PGZ458783 PQV458776:PQV458783 QAR458776:QAR458783 QKN458776:QKN458783 QUJ458776:QUJ458783 REF458776:REF458783 ROB458776:ROB458783 RXX458776:RXX458783 SHT458776:SHT458783 SRP458776:SRP458783 TBL458776:TBL458783 TLH458776:TLH458783 TVD458776:TVD458783 UEZ458776:UEZ458783 UOV458776:UOV458783 UYR458776:UYR458783 VIN458776:VIN458783 VSJ458776:VSJ458783 WCF458776:WCF458783 WMB458776:WMB458783 WVX458776:WVX458783 P524312:P524319 JL524312:JL524319 TH524312:TH524319 ADD524312:ADD524319 AMZ524312:AMZ524319 AWV524312:AWV524319 BGR524312:BGR524319 BQN524312:BQN524319 CAJ524312:CAJ524319 CKF524312:CKF524319 CUB524312:CUB524319 DDX524312:DDX524319 DNT524312:DNT524319 DXP524312:DXP524319 EHL524312:EHL524319 ERH524312:ERH524319 FBD524312:FBD524319 FKZ524312:FKZ524319 FUV524312:FUV524319 GER524312:GER524319 GON524312:GON524319 GYJ524312:GYJ524319 HIF524312:HIF524319 HSB524312:HSB524319 IBX524312:IBX524319 ILT524312:ILT524319 IVP524312:IVP524319 JFL524312:JFL524319 JPH524312:JPH524319 JZD524312:JZD524319 KIZ524312:KIZ524319 KSV524312:KSV524319 LCR524312:LCR524319 LMN524312:LMN524319 LWJ524312:LWJ524319 MGF524312:MGF524319 MQB524312:MQB524319 MZX524312:MZX524319 NJT524312:NJT524319 NTP524312:NTP524319 ODL524312:ODL524319 ONH524312:ONH524319 OXD524312:OXD524319 PGZ524312:PGZ524319 PQV524312:PQV524319 QAR524312:QAR524319 QKN524312:QKN524319 QUJ524312:QUJ524319 REF524312:REF524319 ROB524312:ROB524319 RXX524312:RXX524319 SHT524312:SHT524319 SRP524312:SRP524319 TBL524312:TBL524319 TLH524312:TLH524319 TVD524312:TVD524319 UEZ524312:UEZ524319 UOV524312:UOV524319 UYR524312:UYR524319 VIN524312:VIN524319 VSJ524312:VSJ524319 WCF524312:WCF524319 WMB524312:WMB524319 WVX524312:WVX524319 P589848:P589855 JL589848:JL589855 TH589848:TH589855 ADD589848:ADD589855 AMZ589848:AMZ589855 AWV589848:AWV589855 BGR589848:BGR589855 BQN589848:BQN589855 CAJ589848:CAJ589855 CKF589848:CKF589855 CUB589848:CUB589855 DDX589848:DDX589855 DNT589848:DNT589855 DXP589848:DXP589855 EHL589848:EHL589855 ERH589848:ERH589855 FBD589848:FBD589855 FKZ589848:FKZ589855 FUV589848:FUV589855 GER589848:GER589855 GON589848:GON589855 GYJ589848:GYJ589855 HIF589848:HIF589855 HSB589848:HSB589855 IBX589848:IBX589855 ILT589848:ILT589855 IVP589848:IVP589855 JFL589848:JFL589855 JPH589848:JPH589855 JZD589848:JZD589855 KIZ589848:KIZ589855 KSV589848:KSV589855 LCR589848:LCR589855 LMN589848:LMN589855 LWJ589848:LWJ589855 MGF589848:MGF589855 MQB589848:MQB589855 MZX589848:MZX589855 NJT589848:NJT589855 NTP589848:NTP589855 ODL589848:ODL589855 ONH589848:ONH589855 OXD589848:OXD589855 PGZ589848:PGZ589855 PQV589848:PQV589855 QAR589848:QAR589855 QKN589848:QKN589855 QUJ589848:QUJ589855 REF589848:REF589855 ROB589848:ROB589855 RXX589848:RXX589855 SHT589848:SHT589855 SRP589848:SRP589855 TBL589848:TBL589855 TLH589848:TLH589855 TVD589848:TVD589855 UEZ589848:UEZ589855 UOV589848:UOV589855 UYR589848:UYR589855 VIN589848:VIN589855 VSJ589848:VSJ589855 WCF589848:WCF589855 WMB589848:WMB589855 WVX589848:WVX589855 P655384:P655391 JL655384:JL655391 TH655384:TH655391 ADD655384:ADD655391 AMZ655384:AMZ655391 AWV655384:AWV655391 BGR655384:BGR655391 BQN655384:BQN655391 CAJ655384:CAJ655391 CKF655384:CKF655391 CUB655384:CUB655391 DDX655384:DDX655391 DNT655384:DNT655391 DXP655384:DXP655391 EHL655384:EHL655391 ERH655384:ERH655391 FBD655384:FBD655391 FKZ655384:FKZ655391 FUV655384:FUV655391 GER655384:GER655391 GON655384:GON655391 GYJ655384:GYJ655391 HIF655384:HIF655391 HSB655384:HSB655391 IBX655384:IBX655391 ILT655384:ILT655391 IVP655384:IVP655391 JFL655384:JFL655391 JPH655384:JPH655391 JZD655384:JZD655391 KIZ655384:KIZ655391 KSV655384:KSV655391 LCR655384:LCR655391 LMN655384:LMN655391 LWJ655384:LWJ655391 MGF655384:MGF655391 MQB655384:MQB655391 MZX655384:MZX655391 NJT655384:NJT655391 NTP655384:NTP655391 ODL655384:ODL655391 ONH655384:ONH655391 OXD655384:OXD655391 PGZ655384:PGZ655391 PQV655384:PQV655391 QAR655384:QAR655391 QKN655384:QKN655391 QUJ655384:QUJ655391 REF655384:REF655391 ROB655384:ROB655391 RXX655384:RXX655391 SHT655384:SHT655391 SRP655384:SRP655391 TBL655384:TBL655391 TLH655384:TLH655391 TVD655384:TVD655391 UEZ655384:UEZ655391 UOV655384:UOV655391 UYR655384:UYR655391 VIN655384:VIN655391 VSJ655384:VSJ655391 WCF655384:WCF655391 WMB655384:WMB655391 WVX655384:WVX655391 P720920:P720927 JL720920:JL720927 TH720920:TH720927 ADD720920:ADD720927 AMZ720920:AMZ720927 AWV720920:AWV720927 BGR720920:BGR720927 BQN720920:BQN720927 CAJ720920:CAJ720927 CKF720920:CKF720927 CUB720920:CUB720927 DDX720920:DDX720927 DNT720920:DNT720927 DXP720920:DXP720927 EHL720920:EHL720927 ERH720920:ERH720927 FBD720920:FBD720927 FKZ720920:FKZ720927 FUV720920:FUV720927 GER720920:GER720927 GON720920:GON720927 GYJ720920:GYJ720927 HIF720920:HIF720927 HSB720920:HSB720927 IBX720920:IBX720927 ILT720920:ILT720927 IVP720920:IVP720927 JFL720920:JFL720927 JPH720920:JPH720927 JZD720920:JZD720927 KIZ720920:KIZ720927 KSV720920:KSV720927 LCR720920:LCR720927 LMN720920:LMN720927 LWJ720920:LWJ720927 MGF720920:MGF720927 MQB720920:MQB720927 MZX720920:MZX720927 NJT720920:NJT720927 NTP720920:NTP720927 ODL720920:ODL720927 ONH720920:ONH720927 OXD720920:OXD720927 PGZ720920:PGZ720927 PQV720920:PQV720927 QAR720920:QAR720927 QKN720920:QKN720927 QUJ720920:QUJ720927 REF720920:REF720927 ROB720920:ROB720927 RXX720920:RXX720927 SHT720920:SHT720927 SRP720920:SRP720927 TBL720920:TBL720927 TLH720920:TLH720927 TVD720920:TVD720927 UEZ720920:UEZ720927 UOV720920:UOV720927 UYR720920:UYR720927 VIN720920:VIN720927 VSJ720920:VSJ720927 WCF720920:WCF720927 WMB720920:WMB720927 WVX720920:WVX720927 P786456:P786463 JL786456:JL786463 TH786456:TH786463 ADD786456:ADD786463 AMZ786456:AMZ786463 AWV786456:AWV786463 BGR786456:BGR786463 BQN786456:BQN786463 CAJ786456:CAJ786463 CKF786456:CKF786463 CUB786456:CUB786463 DDX786456:DDX786463 DNT786456:DNT786463 DXP786456:DXP786463 EHL786456:EHL786463 ERH786456:ERH786463 FBD786456:FBD786463 FKZ786456:FKZ786463 FUV786456:FUV786463 GER786456:GER786463 GON786456:GON786463 GYJ786456:GYJ786463 HIF786456:HIF786463 HSB786456:HSB786463 IBX786456:IBX786463 ILT786456:ILT786463 IVP786456:IVP786463 JFL786456:JFL786463 JPH786456:JPH786463 JZD786456:JZD786463 KIZ786456:KIZ786463 KSV786456:KSV786463 LCR786456:LCR786463 LMN786456:LMN786463 LWJ786456:LWJ786463 MGF786456:MGF786463 MQB786456:MQB786463 MZX786456:MZX786463 NJT786456:NJT786463 NTP786456:NTP786463 ODL786456:ODL786463 ONH786456:ONH786463 OXD786456:OXD786463 PGZ786456:PGZ786463 PQV786456:PQV786463 QAR786456:QAR786463 QKN786456:QKN786463 QUJ786456:QUJ786463 REF786456:REF786463 ROB786456:ROB786463 RXX786456:RXX786463 SHT786456:SHT786463 SRP786456:SRP786463 TBL786456:TBL786463 TLH786456:TLH786463 TVD786456:TVD786463 UEZ786456:UEZ786463 UOV786456:UOV786463 UYR786456:UYR786463 VIN786456:VIN786463 VSJ786456:VSJ786463 WCF786456:WCF786463 WMB786456:WMB786463 WVX786456:WVX786463 P851992:P851999 JL851992:JL851999 TH851992:TH851999 ADD851992:ADD851999 AMZ851992:AMZ851999 AWV851992:AWV851999 BGR851992:BGR851999 BQN851992:BQN851999 CAJ851992:CAJ851999 CKF851992:CKF851999 CUB851992:CUB851999 DDX851992:DDX851999 DNT851992:DNT851999 DXP851992:DXP851999 EHL851992:EHL851999 ERH851992:ERH851999 FBD851992:FBD851999 FKZ851992:FKZ851999 FUV851992:FUV851999 GER851992:GER851999 GON851992:GON851999 GYJ851992:GYJ851999 HIF851992:HIF851999 HSB851992:HSB851999 IBX851992:IBX851999 ILT851992:ILT851999 IVP851992:IVP851999 JFL851992:JFL851999 JPH851992:JPH851999 JZD851992:JZD851999 KIZ851992:KIZ851999 KSV851992:KSV851999 LCR851992:LCR851999 LMN851992:LMN851999 LWJ851992:LWJ851999 MGF851992:MGF851999 MQB851992:MQB851999 MZX851992:MZX851999 NJT851992:NJT851999 NTP851992:NTP851999 ODL851992:ODL851999 ONH851992:ONH851999 OXD851992:OXD851999 PGZ851992:PGZ851999 PQV851992:PQV851999 QAR851992:QAR851999 QKN851992:QKN851999 QUJ851992:QUJ851999 REF851992:REF851999 ROB851992:ROB851999 RXX851992:RXX851999 SHT851992:SHT851999 SRP851992:SRP851999 TBL851992:TBL851999 TLH851992:TLH851999 TVD851992:TVD851999 UEZ851992:UEZ851999 UOV851992:UOV851999 UYR851992:UYR851999 VIN851992:VIN851999 VSJ851992:VSJ851999 WCF851992:WCF851999 WMB851992:WMB851999 WVX851992:WVX851999 P917528:P917535 JL917528:JL917535 TH917528:TH917535 ADD917528:ADD917535 AMZ917528:AMZ917535 AWV917528:AWV917535 BGR917528:BGR917535 BQN917528:BQN917535 CAJ917528:CAJ917535 CKF917528:CKF917535 CUB917528:CUB917535 DDX917528:DDX917535 DNT917528:DNT917535 DXP917528:DXP917535 EHL917528:EHL917535 ERH917528:ERH917535 FBD917528:FBD917535 FKZ917528:FKZ917535 FUV917528:FUV917535 GER917528:GER917535 GON917528:GON917535 GYJ917528:GYJ917535 HIF917528:HIF917535 HSB917528:HSB917535 IBX917528:IBX917535 ILT917528:ILT917535 IVP917528:IVP917535 JFL917528:JFL917535 JPH917528:JPH917535 JZD917528:JZD917535 KIZ917528:KIZ917535 KSV917528:KSV917535 LCR917528:LCR917535 LMN917528:LMN917535 LWJ917528:LWJ917535 MGF917528:MGF917535 MQB917528:MQB917535 MZX917528:MZX917535 NJT917528:NJT917535 NTP917528:NTP917535 ODL917528:ODL917535 ONH917528:ONH917535 OXD917528:OXD917535 PGZ917528:PGZ917535 PQV917528:PQV917535 QAR917528:QAR917535 QKN917528:QKN917535 QUJ917528:QUJ917535 REF917528:REF917535 ROB917528:ROB917535 RXX917528:RXX917535 SHT917528:SHT917535 SRP917528:SRP917535 TBL917528:TBL917535 TLH917528:TLH917535 TVD917528:TVD917535 UEZ917528:UEZ917535 UOV917528:UOV917535 UYR917528:UYR917535 VIN917528:VIN917535 VSJ917528:VSJ917535 WCF917528:WCF917535 WMB917528:WMB917535 WVX917528:WVX917535 P983064:P983071 JL983064:JL983071 TH983064:TH983071 ADD983064:ADD983071 AMZ983064:AMZ983071 AWV983064:AWV983071 BGR983064:BGR983071 BQN983064:BQN983071 CAJ983064:CAJ983071 CKF983064:CKF983071 CUB983064:CUB983071 DDX983064:DDX983071 DNT983064:DNT983071 DXP983064:DXP983071 EHL983064:EHL983071 ERH983064:ERH983071 FBD983064:FBD983071 FKZ983064:FKZ983071 FUV983064:FUV983071 GER983064:GER983071 GON983064:GON983071 GYJ983064:GYJ983071 HIF983064:HIF983071 HSB983064:HSB983071 IBX983064:IBX983071 ILT983064:ILT983071 IVP983064:IVP983071 JFL983064:JFL983071 JPH983064:JPH983071 JZD983064:JZD983071 KIZ983064:KIZ983071 KSV983064:KSV983071 LCR983064:LCR983071 LMN983064:LMN983071 LWJ983064:LWJ983071 MGF983064:MGF983071 MQB983064:MQB983071 MZX983064:MZX983071 NJT983064:NJT983071 NTP983064:NTP983071 ODL983064:ODL983071 ONH983064:ONH983071 OXD983064:OXD983071 PGZ983064:PGZ983071 PQV983064:PQV983071 QAR983064:QAR983071 QKN983064:QKN983071 QUJ983064:QUJ983071 REF983064:REF983071 ROB983064:ROB983071 RXX983064:RXX983071 SHT983064:SHT983071 SRP983064:SRP983071 TBL983064:TBL983071 TLH983064:TLH983071 TVD983064:TVD983071 UEZ983064:UEZ983071 UOV983064:UOV983071 UYR983064:UYR983071 VIN983064:VIN983071 VSJ983064:VSJ983071 WCF983064:WCF983071 WMB983064:WMB983071 WVX983064:WVX983071">
      <formula1>$P$9:$P$14</formula1>
    </dataValidation>
    <dataValidation type="list" allowBlank="1" showInputMessage="1" showErrorMessage="1" sqref="B32:B33 IX32:IX33 ST32:ST33 ACP32:ACP33 AML32:AML33 AWH32:AWH33 BGD32:BGD33 BPZ32:BPZ33 BZV32:BZV33 CJR32:CJR33 CTN32:CTN33 DDJ32:DDJ33 DNF32:DNF33 DXB32:DXB33 EGX32:EGX33 EQT32:EQT33 FAP32:FAP33 FKL32:FKL33 FUH32:FUH33 GED32:GED33 GNZ32:GNZ33 GXV32:GXV33 HHR32:HHR33 HRN32:HRN33 IBJ32:IBJ33 ILF32:ILF33 IVB32:IVB33 JEX32:JEX33 JOT32:JOT33 JYP32:JYP33 KIL32:KIL33 KSH32:KSH33 LCD32:LCD33 LLZ32:LLZ33 LVV32:LVV33 MFR32:MFR33 MPN32:MPN33 MZJ32:MZJ33 NJF32:NJF33 NTB32:NTB33 OCX32:OCX33 OMT32:OMT33 OWP32:OWP33 PGL32:PGL33 PQH32:PQH33 QAD32:QAD33 QJZ32:QJZ33 QTV32:QTV33 RDR32:RDR33 RNN32:RNN33 RXJ32:RXJ33 SHF32:SHF33 SRB32:SRB33 TAX32:TAX33 TKT32:TKT33 TUP32:TUP33 UEL32:UEL33 UOH32:UOH33 UYD32:UYD33 VHZ32:VHZ33 VRV32:VRV33 WBR32:WBR33 WLN32:WLN33 WVJ32:WVJ33 B65568:B65569 IX65568:IX65569 ST65568:ST65569 ACP65568:ACP65569 AML65568:AML65569 AWH65568:AWH65569 BGD65568:BGD65569 BPZ65568:BPZ65569 BZV65568:BZV65569 CJR65568:CJR65569 CTN65568:CTN65569 DDJ65568:DDJ65569 DNF65568:DNF65569 DXB65568:DXB65569 EGX65568:EGX65569 EQT65568:EQT65569 FAP65568:FAP65569 FKL65568:FKL65569 FUH65568:FUH65569 GED65568:GED65569 GNZ65568:GNZ65569 GXV65568:GXV65569 HHR65568:HHR65569 HRN65568:HRN65569 IBJ65568:IBJ65569 ILF65568:ILF65569 IVB65568:IVB65569 JEX65568:JEX65569 JOT65568:JOT65569 JYP65568:JYP65569 KIL65568:KIL65569 KSH65568:KSH65569 LCD65568:LCD65569 LLZ65568:LLZ65569 LVV65568:LVV65569 MFR65568:MFR65569 MPN65568:MPN65569 MZJ65568:MZJ65569 NJF65568:NJF65569 NTB65568:NTB65569 OCX65568:OCX65569 OMT65568:OMT65569 OWP65568:OWP65569 PGL65568:PGL65569 PQH65568:PQH65569 QAD65568:QAD65569 QJZ65568:QJZ65569 QTV65568:QTV65569 RDR65568:RDR65569 RNN65568:RNN65569 RXJ65568:RXJ65569 SHF65568:SHF65569 SRB65568:SRB65569 TAX65568:TAX65569 TKT65568:TKT65569 TUP65568:TUP65569 UEL65568:UEL65569 UOH65568:UOH65569 UYD65568:UYD65569 VHZ65568:VHZ65569 VRV65568:VRV65569 WBR65568:WBR65569 WLN65568:WLN65569 WVJ65568:WVJ65569 B131104:B131105 IX131104:IX131105 ST131104:ST131105 ACP131104:ACP131105 AML131104:AML131105 AWH131104:AWH131105 BGD131104:BGD131105 BPZ131104:BPZ131105 BZV131104:BZV131105 CJR131104:CJR131105 CTN131104:CTN131105 DDJ131104:DDJ131105 DNF131104:DNF131105 DXB131104:DXB131105 EGX131104:EGX131105 EQT131104:EQT131105 FAP131104:FAP131105 FKL131104:FKL131105 FUH131104:FUH131105 GED131104:GED131105 GNZ131104:GNZ131105 GXV131104:GXV131105 HHR131104:HHR131105 HRN131104:HRN131105 IBJ131104:IBJ131105 ILF131104:ILF131105 IVB131104:IVB131105 JEX131104:JEX131105 JOT131104:JOT131105 JYP131104:JYP131105 KIL131104:KIL131105 KSH131104:KSH131105 LCD131104:LCD131105 LLZ131104:LLZ131105 LVV131104:LVV131105 MFR131104:MFR131105 MPN131104:MPN131105 MZJ131104:MZJ131105 NJF131104:NJF131105 NTB131104:NTB131105 OCX131104:OCX131105 OMT131104:OMT131105 OWP131104:OWP131105 PGL131104:PGL131105 PQH131104:PQH131105 QAD131104:QAD131105 QJZ131104:QJZ131105 QTV131104:QTV131105 RDR131104:RDR131105 RNN131104:RNN131105 RXJ131104:RXJ131105 SHF131104:SHF131105 SRB131104:SRB131105 TAX131104:TAX131105 TKT131104:TKT131105 TUP131104:TUP131105 UEL131104:UEL131105 UOH131104:UOH131105 UYD131104:UYD131105 VHZ131104:VHZ131105 VRV131104:VRV131105 WBR131104:WBR131105 WLN131104:WLN131105 WVJ131104:WVJ131105 B196640:B196641 IX196640:IX196641 ST196640:ST196641 ACP196640:ACP196641 AML196640:AML196641 AWH196640:AWH196641 BGD196640:BGD196641 BPZ196640:BPZ196641 BZV196640:BZV196641 CJR196640:CJR196641 CTN196640:CTN196641 DDJ196640:DDJ196641 DNF196640:DNF196641 DXB196640:DXB196641 EGX196640:EGX196641 EQT196640:EQT196641 FAP196640:FAP196641 FKL196640:FKL196641 FUH196640:FUH196641 GED196640:GED196641 GNZ196640:GNZ196641 GXV196640:GXV196641 HHR196640:HHR196641 HRN196640:HRN196641 IBJ196640:IBJ196641 ILF196640:ILF196641 IVB196640:IVB196641 JEX196640:JEX196641 JOT196640:JOT196641 JYP196640:JYP196641 KIL196640:KIL196641 KSH196640:KSH196641 LCD196640:LCD196641 LLZ196640:LLZ196641 LVV196640:LVV196641 MFR196640:MFR196641 MPN196640:MPN196641 MZJ196640:MZJ196641 NJF196640:NJF196641 NTB196640:NTB196641 OCX196640:OCX196641 OMT196640:OMT196641 OWP196640:OWP196641 PGL196640:PGL196641 PQH196640:PQH196641 QAD196640:QAD196641 QJZ196640:QJZ196641 QTV196640:QTV196641 RDR196640:RDR196641 RNN196640:RNN196641 RXJ196640:RXJ196641 SHF196640:SHF196641 SRB196640:SRB196641 TAX196640:TAX196641 TKT196640:TKT196641 TUP196640:TUP196641 UEL196640:UEL196641 UOH196640:UOH196641 UYD196640:UYD196641 VHZ196640:VHZ196641 VRV196640:VRV196641 WBR196640:WBR196641 WLN196640:WLN196641 WVJ196640:WVJ196641 B262176:B262177 IX262176:IX262177 ST262176:ST262177 ACP262176:ACP262177 AML262176:AML262177 AWH262176:AWH262177 BGD262176:BGD262177 BPZ262176:BPZ262177 BZV262176:BZV262177 CJR262176:CJR262177 CTN262176:CTN262177 DDJ262176:DDJ262177 DNF262176:DNF262177 DXB262176:DXB262177 EGX262176:EGX262177 EQT262176:EQT262177 FAP262176:FAP262177 FKL262176:FKL262177 FUH262176:FUH262177 GED262176:GED262177 GNZ262176:GNZ262177 GXV262176:GXV262177 HHR262176:HHR262177 HRN262176:HRN262177 IBJ262176:IBJ262177 ILF262176:ILF262177 IVB262176:IVB262177 JEX262176:JEX262177 JOT262176:JOT262177 JYP262176:JYP262177 KIL262176:KIL262177 KSH262176:KSH262177 LCD262176:LCD262177 LLZ262176:LLZ262177 LVV262176:LVV262177 MFR262176:MFR262177 MPN262176:MPN262177 MZJ262176:MZJ262177 NJF262176:NJF262177 NTB262176:NTB262177 OCX262176:OCX262177 OMT262176:OMT262177 OWP262176:OWP262177 PGL262176:PGL262177 PQH262176:PQH262177 QAD262176:QAD262177 QJZ262176:QJZ262177 QTV262176:QTV262177 RDR262176:RDR262177 RNN262176:RNN262177 RXJ262176:RXJ262177 SHF262176:SHF262177 SRB262176:SRB262177 TAX262176:TAX262177 TKT262176:TKT262177 TUP262176:TUP262177 UEL262176:UEL262177 UOH262176:UOH262177 UYD262176:UYD262177 VHZ262176:VHZ262177 VRV262176:VRV262177 WBR262176:WBR262177 WLN262176:WLN262177 WVJ262176:WVJ262177 B327712:B327713 IX327712:IX327713 ST327712:ST327713 ACP327712:ACP327713 AML327712:AML327713 AWH327712:AWH327713 BGD327712:BGD327713 BPZ327712:BPZ327713 BZV327712:BZV327713 CJR327712:CJR327713 CTN327712:CTN327713 DDJ327712:DDJ327713 DNF327712:DNF327713 DXB327712:DXB327713 EGX327712:EGX327713 EQT327712:EQT327713 FAP327712:FAP327713 FKL327712:FKL327713 FUH327712:FUH327713 GED327712:GED327713 GNZ327712:GNZ327713 GXV327712:GXV327713 HHR327712:HHR327713 HRN327712:HRN327713 IBJ327712:IBJ327713 ILF327712:ILF327713 IVB327712:IVB327713 JEX327712:JEX327713 JOT327712:JOT327713 JYP327712:JYP327713 KIL327712:KIL327713 KSH327712:KSH327713 LCD327712:LCD327713 LLZ327712:LLZ327713 LVV327712:LVV327713 MFR327712:MFR327713 MPN327712:MPN327713 MZJ327712:MZJ327713 NJF327712:NJF327713 NTB327712:NTB327713 OCX327712:OCX327713 OMT327712:OMT327713 OWP327712:OWP327713 PGL327712:PGL327713 PQH327712:PQH327713 QAD327712:QAD327713 QJZ327712:QJZ327713 QTV327712:QTV327713 RDR327712:RDR327713 RNN327712:RNN327713 RXJ327712:RXJ327713 SHF327712:SHF327713 SRB327712:SRB327713 TAX327712:TAX327713 TKT327712:TKT327713 TUP327712:TUP327713 UEL327712:UEL327713 UOH327712:UOH327713 UYD327712:UYD327713 VHZ327712:VHZ327713 VRV327712:VRV327713 WBR327712:WBR327713 WLN327712:WLN327713 WVJ327712:WVJ327713 B393248:B393249 IX393248:IX393249 ST393248:ST393249 ACP393248:ACP393249 AML393248:AML393249 AWH393248:AWH393249 BGD393248:BGD393249 BPZ393248:BPZ393249 BZV393248:BZV393249 CJR393248:CJR393249 CTN393248:CTN393249 DDJ393248:DDJ393249 DNF393248:DNF393249 DXB393248:DXB393249 EGX393248:EGX393249 EQT393248:EQT393249 FAP393248:FAP393249 FKL393248:FKL393249 FUH393248:FUH393249 GED393248:GED393249 GNZ393248:GNZ393249 GXV393248:GXV393249 HHR393248:HHR393249 HRN393248:HRN393249 IBJ393248:IBJ393249 ILF393248:ILF393249 IVB393248:IVB393249 JEX393248:JEX393249 JOT393248:JOT393249 JYP393248:JYP393249 KIL393248:KIL393249 KSH393248:KSH393249 LCD393248:LCD393249 LLZ393248:LLZ393249 LVV393248:LVV393249 MFR393248:MFR393249 MPN393248:MPN393249 MZJ393248:MZJ393249 NJF393248:NJF393249 NTB393248:NTB393249 OCX393248:OCX393249 OMT393248:OMT393249 OWP393248:OWP393249 PGL393248:PGL393249 PQH393248:PQH393249 QAD393248:QAD393249 QJZ393248:QJZ393249 QTV393248:QTV393249 RDR393248:RDR393249 RNN393248:RNN393249 RXJ393248:RXJ393249 SHF393248:SHF393249 SRB393248:SRB393249 TAX393248:TAX393249 TKT393248:TKT393249 TUP393248:TUP393249 UEL393248:UEL393249 UOH393248:UOH393249 UYD393248:UYD393249 VHZ393248:VHZ393249 VRV393248:VRV393249 WBR393248:WBR393249 WLN393248:WLN393249 WVJ393248:WVJ393249 B458784:B458785 IX458784:IX458785 ST458784:ST458785 ACP458784:ACP458785 AML458784:AML458785 AWH458784:AWH458785 BGD458784:BGD458785 BPZ458784:BPZ458785 BZV458784:BZV458785 CJR458784:CJR458785 CTN458784:CTN458785 DDJ458784:DDJ458785 DNF458784:DNF458785 DXB458784:DXB458785 EGX458784:EGX458785 EQT458784:EQT458785 FAP458784:FAP458785 FKL458784:FKL458785 FUH458784:FUH458785 GED458784:GED458785 GNZ458784:GNZ458785 GXV458784:GXV458785 HHR458784:HHR458785 HRN458784:HRN458785 IBJ458784:IBJ458785 ILF458784:ILF458785 IVB458784:IVB458785 JEX458784:JEX458785 JOT458784:JOT458785 JYP458784:JYP458785 KIL458784:KIL458785 KSH458784:KSH458785 LCD458784:LCD458785 LLZ458784:LLZ458785 LVV458784:LVV458785 MFR458784:MFR458785 MPN458784:MPN458785 MZJ458784:MZJ458785 NJF458784:NJF458785 NTB458784:NTB458785 OCX458784:OCX458785 OMT458784:OMT458785 OWP458784:OWP458785 PGL458784:PGL458785 PQH458784:PQH458785 QAD458784:QAD458785 QJZ458784:QJZ458785 QTV458784:QTV458785 RDR458784:RDR458785 RNN458784:RNN458785 RXJ458784:RXJ458785 SHF458784:SHF458785 SRB458784:SRB458785 TAX458784:TAX458785 TKT458784:TKT458785 TUP458784:TUP458785 UEL458784:UEL458785 UOH458784:UOH458785 UYD458784:UYD458785 VHZ458784:VHZ458785 VRV458784:VRV458785 WBR458784:WBR458785 WLN458784:WLN458785 WVJ458784:WVJ458785 B524320:B524321 IX524320:IX524321 ST524320:ST524321 ACP524320:ACP524321 AML524320:AML524321 AWH524320:AWH524321 BGD524320:BGD524321 BPZ524320:BPZ524321 BZV524320:BZV524321 CJR524320:CJR524321 CTN524320:CTN524321 DDJ524320:DDJ524321 DNF524320:DNF524321 DXB524320:DXB524321 EGX524320:EGX524321 EQT524320:EQT524321 FAP524320:FAP524321 FKL524320:FKL524321 FUH524320:FUH524321 GED524320:GED524321 GNZ524320:GNZ524321 GXV524320:GXV524321 HHR524320:HHR524321 HRN524320:HRN524321 IBJ524320:IBJ524321 ILF524320:ILF524321 IVB524320:IVB524321 JEX524320:JEX524321 JOT524320:JOT524321 JYP524320:JYP524321 KIL524320:KIL524321 KSH524320:KSH524321 LCD524320:LCD524321 LLZ524320:LLZ524321 LVV524320:LVV524321 MFR524320:MFR524321 MPN524320:MPN524321 MZJ524320:MZJ524321 NJF524320:NJF524321 NTB524320:NTB524321 OCX524320:OCX524321 OMT524320:OMT524321 OWP524320:OWP524321 PGL524320:PGL524321 PQH524320:PQH524321 QAD524320:QAD524321 QJZ524320:QJZ524321 QTV524320:QTV524321 RDR524320:RDR524321 RNN524320:RNN524321 RXJ524320:RXJ524321 SHF524320:SHF524321 SRB524320:SRB524321 TAX524320:TAX524321 TKT524320:TKT524321 TUP524320:TUP524321 UEL524320:UEL524321 UOH524320:UOH524321 UYD524320:UYD524321 VHZ524320:VHZ524321 VRV524320:VRV524321 WBR524320:WBR524321 WLN524320:WLN524321 WVJ524320:WVJ524321 B589856:B589857 IX589856:IX589857 ST589856:ST589857 ACP589856:ACP589857 AML589856:AML589857 AWH589856:AWH589857 BGD589856:BGD589857 BPZ589856:BPZ589857 BZV589856:BZV589857 CJR589856:CJR589857 CTN589856:CTN589857 DDJ589856:DDJ589857 DNF589856:DNF589857 DXB589856:DXB589857 EGX589856:EGX589857 EQT589856:EQT589857 FAP589856:FAP589857 FKL589856:FKL589857 FUH589856:FUH589857 GED589856:GED589857 GNZ589856:GNZ589857 GXV589856:GXV589857 HHR589856:HHR589857 HRN589856:HRN589857 IBJ589856:IBJ589857 ILF589856:ILF589857 IVB589856:IVB589857 JEX589856:JEX589857 JOT589856:JOT589857 JYP589856:JYP589857 KIL589856:KIL589857 KSH589856:KSH589857 LCD589856:LCD589857 LLZ589856:LLZ589857 LVV589856:LVV589857 MFR589856:MFR589857 MPN589856:MPN589857 MZJ589856:MZJ589857 NJF589856:NJF589857 NTB589856:NTB589857 OCX589856:OCX589857 OMT589856:OMT589857 OWP589856:OWP589857 PGL589856:PGL589857 PQH589856:PQH589857 QAD589856:QAD589857 QJZ589856:QJZ589857 QTV589856:QTV589857 RDR589856:RDR589857 RNN589856:RNN589857 RXJ589856:RXJ589857 SHF589856:SHF589857 SRB589856:SRB589857 TAX589856:TAX589857 TKT589856:TKT589857 TUP589856:TUP589857 UEL589856:UEL589857 UOH589856:UOH589857 UYD589856:UYD589857 VHZ589856:VHZ589857 VRV589856:VRV589857 WBR589856:WBR589857 WLN589856:WLN589857 WVJ589856:WVJ589857 B655392:B655393 IX655392:IX655393 ST655392:ST655393 ACP655392:ACP655393 AML655392:AML655393 AWH655392:AWH655393 BGD655392:BGD655393 BPZ655392:BPZ655393 BZV655392:BZV655393 CJR655392:CJR655393 CTN655392:CTN655393 DDJ655392:DDJ655393 DNF655392:DNF655393 DXB655392:DXB655393 EGX655392:EGX655393 EQT655392:EQT655393 FAP655392:FAP655393 FKL655392:FKL655393 FUH655392:FUH655393 GED655392:GED655393 GNZ655392:GNZ655393 GXV655392:GXV655393 HHR655392:HHR655393 HRN655392:HRN655393 IBJ655392:IBJ655393 ILF655392:ILF655393 IVB655392:IVB655393 JEX655392:JEX655393 JOT655392:JOT655393 JYP655392:JYP655393 KIL655392:KIL655393 KSH655392:KSH655393 LCD655392:LCD655393 LLZ655392:LLZ655393 LVV655392:LVV655393 MFR655392:MFR655393 MPN655392:MPN655393 MZJ655392:MZJ655393 NJF655392:NJF655393 NTB655392:NTB655393 OCX655392:OCX655393 OMT655392:OMT655393 OWP655392:OWP655393 PGL655392:PGL655393 PQH655392:PQH655393 QAD655392:QAD655393 QJZ655392:QJZ655393 QTV655392:QTV655393 RDR655392:RDR655393 RNN655392:RNN655393 RXJ655392:RXJ655393 SHF655392:SHF655393 SRB655392:SRB655393 TAX655392:TAX655393 TKT655392:TKT655393 TUP655392:TUP655393 UEL655392:UEL655393 UOH655392:UOH655393 UYD655392:UYD655393 VHZ655392:VHZ655393 VRV655392:VRV655393 WBR655392:WBR655393 WLN655392:WLN655393 WVJ655392:WVJ655393 B720928:B720929 IX720928:IX720929 ST720928:ST720929 ACP720928:ACP720929 AML720928:AML720929 AWH720928:AWH720929 BGD720928:BGD720929 BPZ720928:BPZ720929 BZV720928:BZV720929 CJR720928:CJR720929 CTN720928:CTN720929 DDJ720928:DDJ720929 DNF720928:DNF720929 DXB720928:DXB720929 EGX720928:EGX720929 EQT720928:EQT720929 FAP720928:FAP720929 FKL720928:FKL720929 FUH720928:FUH720929 GED720928:GED720929 GNZ720928:GNZ720929 GXV720928:GXV720929 HHR720928:HHR720929 HRN720928:HRN720929 IBJ720928:IBJ720929 ILF720928:ILF720929 IVB720928:IVB720929 JEX720928:JEX720929 JOT720928:JOT720929 JYP720928:JYP720929 KIL720928:KIL720929 KSH720928:KSH720929 LCD720928:LCD720929 LLZ720928:LLZ720929 LVV720928:LVV720929 MFR720928:MFR720929 MPN720928:MPN720929 MZJ720928:MZJ720929 NJF720928:NJF720929 NTB720928:NTB720929 OCX720928:OCX720929 OMT720928:OMT720929 OWP720928:OWP720929 PGL720928:PGL720929 PQH720928:PQH720929 QAD720928:QAD720929 QJZ720928:QJZ720929 QTV720928:QTV720929 RDR720928:RDR720929 RNN720928:RNN720929 RXJ720928:RXJ720929 SHF720928:SHF720929 SRB720928:SRB720929 TAX720928:TAX720929 TKT720928:TKT720929 TUP720928:TUP720929 UEL720928:UEL720929 UOH720928:UOH720929 UYD720928:UYD720929 VHZ720928:VHZ720929 VRV720928:VRV720929 WBR720928:WBR720929 WLN720928:WLN720929 WVJ720928:WVJ720929 B786464:B786465 IX786464:IX786465 ST786464:ST786465 ACP786464:ACP786465 AML786464:AML786465 AWH786464:AWH786465 BGD786464:BGD786465 BPZ786464:BPZ786465 BZV786464:BZV786465 CJR786464:CJR786465 CTN786464:CTN786465 DDJ786464:DDJ786465 DNF786464:DNF786465 DXB786464:DXB786465 EGX786464:EGX786465 EQT786464:EQT786465 FAP786464:FAP786465 FKL786464:FKL786465 FUH786464:FUH786465 GED786464:GED786465 GNZ786464:GNZ786465 GXV786464:GXV786465 HHR786464:HHR786465 HRN786464:HRN786465 IBJ786464:IBJ786465 ILF786464:ILF786465 IVB786464:IVB786465 JEX786464:JEX786465 JOT786464:JOT786465 JYP786464:JYP786465 KIL786464:KIL786465 KSH786464:KSH786465 LCD786464:LCD786465 LLZ786464:LLZ786465 LVV786464:LVV786465 MFR786464:MFR786465 MPN786464:MPN786465 MZJ786464:MZJ786465 NJF786464:NJF786465 NTB786464:NTB786465 OCX786464:OCX786465 OMT786464:OMT786465 OWP786464:OWP786465 PGL786464:PGL786465 PQH786464:PQH786465 QAD786464:QAD786465 QJZ786464:QJZ786465 QTV786464:QTV786465 RDR786464:RDR786465 RNN786464:RNN786465 RXJ786464:RXJ786465 SHF786464:SHF786465 SRB786464:SRB786465 TAX786464:TAX786465 TKT786464:TKT786465 TUP786464:TUP786465 UEL786464:UEL786465 UOH786464:UOH786465 UYD786464:UYD786465 VHZ786464:VHZ786465 VRV786464:VRV786465 WBR786464:WBR786465 WLN786464:WLN786465 WVJ786464:WVJ786465 B852000:B852001 IX852000:IX852001 ST852000:ST852001 ACP852000:ACP852001 AML852000:AML852001 AWH852000:AWH852001 BGD852000:BGD852001 BPZ852000:BPZ852001 BZV852000:BZV852001 CJR852000:CJR852001 CTN852000:CTN852001 DDJ852000:DDJ852001 DNF852000:DNF852001 DXB852000:DXB852001 EGX852000:EGX852001 EQT852000:EQT852001 FAP852000:FAP852001 FKL852000:FKL852001 FUH852000:FUH852001 GED852000:GED852001 GNZ852000:GNZ852001 GXV852000:GXV852001 HHR852000:HHR852001 HRN852000:HRN852001 IBJ852000:IBJ852001 ILF852000:ILF852001 IVB852000:IVB852001 JEX852000:JEX852001 JOT852000:JOT852001 JYP852000:JYP852001 KIL852000:KIL852001 KSH852000:KSH852001 LCD852000:LCD852001 LLZ852000:LLZ852001 LVV852000:LVV852001 MFR852000:MFR852001 MPN852000:MPN852001 MZJ852000:MZJ852001 NJF852000:NJF852001 NTB852000:NTB852001 OCX852000:OCX852001 OMT852000:OMT852001 OWP852000:OWP852001 PGL852000:PGL852001 PQH852000:PQH852001 QAD852000:QAD852001 QJZ852000:QJZ852001 QTV852000:QTV852001 RDR852000:RDR852001 RNN852000:RNN852001 RXJ852000:RXJ852001 SHF852000:SHF852001 SRB852000:SRB852001 TAX852000:TAX852001 TKT852000:TKT852001 TUP852000:TUP852001 UEL852000:UEL852001 UOH852000:UOH852001 UYD852000:UYD852001 VHZ852000:VHZ852001 VRV852000:VRV852001 WBR852000:WBR852001 WLN852000:WLN852001 WVJ852000:WVJ852001 B917536:B917537 IX917536:IX917537 ST917536:ST917537 ACP917536:ACP917537 AML917536:AML917537 AWH917536:AWH917537 BGD917536:BGD917537 BPZ917536:BPZ917537 BZV917536:BZV917537 CJR917536:CJR917537 CTN917536:CTN917537 DDJ917536:DDJ917537 DNF917536:DNF917537 DXB917536:DXB917537 EGX917536:EGX917537 EQT917536:EQT917537 FAP917536:FAP917537 FKL917536:FKL917537 FUH917536:FUH917537 GED917536:GED917537 GNZ917536:GNZ917537 GXV917536:GXV917537 HHR917536:HHR917537 HRN917536:HRN917537 IBJ917536:IBJ917537 ILF917536:ILF917537 IVB917536:IVB917537 JEX917536:JEX917537 JOT917536:JOT917537 JYP917536:JYP917537 KIL917536:KIL917537 KSH917536:KSH917537 LCD917536:LCD917537 LLZ917536:LLZ917537 LVV917536:LVV917537 MFR917536:MFR917537 MPN917536:MPN917537 MZJ917536:MZJ917537 NJF917536:NJF917537 NTB917536:NTB917537 OCX917536:OCX917537 OMT917536:OMT917537 OWP917536:OWP917537 PGL917536:PGL917537 PQH917536:PQH917537 QAD917536:QAD917537 QJZ917536:QJZ917537 QTV917536:QTV917537 RDR917536:RDR917537 RNN917536:RNN917537 RXJ917536:RXJ917537 SHF917536:SHF917537 SRB917536:SRB917537 TAX917536:TAX917537 TKT917536:TKT917537 TUP917536:TUP917537 UEL917536:UEL917537 UOH917536:UOH917537 UYD917536:UYD917537 VHZ917536:VHZ917537 VRV917536:VRV917537 WBR917536:WBR917537 WLN917536:WLN917537 WVJ917536:WVJ917537 B983072:B983073 IX983072:IX983073 ST983072:ST983073 ACP983072:ACP983073 AML983072:AML983073 AWH983072:AWH983073 BGD983072:BGD983073 BPZ983072:BPZ983073 BZV983072:BZV983073 CJR983072:CJR983073 CTN983072:CTN983073 DDJ983072:DDJ983073 DNF983072:DNF983073 DXB983072:DXB983073 EGX983072:EGX983073 EQT983072:EQT983073 FAP983072:FAP983073 FKL983072:FKL983073 FUH983072:FUH983073 GED983072:GED983073 GNZ983072:GNZ983073 GXV983072:GXV983073 HHR983072:HHR983073 HRN983072:HRN983073 IBJ983072:IBJ983073 ILF983072:ILF983073 IVB983072:IVB983073 JEX983072:JEX983073 JOT983072:JOT983073 JYP983072:JYP983073 KIL983072:KIL983073 KSH983072:KSH983073 LCD983072:LCD983073 LLZ983072:LLZ983073 LVV983072:LVV983073 MFR983072:MFR983073 MPN983072:MPN983073 MZJ983072:MZJ983073 NJF983072:NJF983073 NTB983072:NTB983073 OCX983072:OCX983073 OMT983072:OMT983073 OWP983072:OWP983073 PGL983072:PGL983073 PQH983072:PQH983073 QAD983072:QAD983073 QJZ983072:QJZ983073 QTV983072:QTV983073 RDR983072:RDR983073 RNN983072:RNN983073 RXJ983072:RXJ983073 SHF983072:SHF983073 SRB983072:SRB983073 TAX983072:TAX983073 TKT983072:TKT983073 TUP983072:TUP983073 UEL983072:UEL983073 UOH983072:UOH983073 UYD983072:UYD983073 VHZ983072:VHZ983073 VRV983072:VRV983073 WBR983072:WBR983073 WLN983072:WLN983073 WVJ983072:WVJ983073">
      <formula1>$B$6:$B$9</formula1>
    </dataValidation>
    <dataValidation type="list" allowBlank="1" showInputMessage="1" showErrorMessage="1" sqref="P32:P33 JL32:JL33 TH32:TH33 ADD32:ADD33 AMZ32:AMZ33 AWV32:AWV33 BGR32:BGR33 BQN32:BQN33 CAJ32:CAJ33 CKF32:CKF33 CUB32:CUB33 DDX32:DDX33 DNT32:DNT33 DXP32:DXP33 EHL32:EHL33 ERH32:ERH33 FBD32:FBD33 FKZ32:FKZ33 FUV32:FUV33 GER32:GER33 GON32:GON33 GYJ32:GYJ33 HIF32:HIF33 HSB32:HSB33 IBX32:IBX33 ILT32:ILT33 IVP32:IVP33 JFL32:JFL33 JPH32:JPH33 JZD32:JZD33 KIZ32:KIZ33 KSV32:KSV33 LCR32:LCR33 LMN32:LMN33 LWJ32:LWJ33 MGF32:MGF33 MQB32:MQB33 MZX32:MZX33 NJT32:NJT33 NTP32:NTP33 ODL32:ODL33 ONH32:ONH33 OXD32:OXD33 PGZ32:PGZ33 PQV32:PQV33 QAR32:QAR33 QKN32:QKN33 QUJ32:QUJ33 REF32:REF33 ROB32:ROB33 RXX32:RXX33 SHT32:SHT33 SRP32:SRP33 TBL32:TBL33 TLH32:TLH33 TVD32:TVD33 UEZ32:UEZ33 UOV32:UOV33 UYR32:UYR33 VIN32:VIN33 VSJ32:VSJ33 WCF32:WCF33 WMB32:WMB33 WVX32:WVX33 P65568:P65569 JL65568:JL65569 TH65568:TH65569 ADD65568:ADD65569 AMZ65568:AMZ65569 AWV65568:AWV65569 BGR65568:BGR65569 BQN65568:BQN65569 CAJ65568:CAJ65569 CKF65568:CKF65569 CUB65568:CUB65569 DDX65568:DDX65569 DNT65568:DNT65569 DXP65568:DXP65569 EHL65568:EHL65569 ERH65568:ERH65569 FBD65568:FBD65569 FKZ65568:FKZ65569 FUV65568:FUV65569 GER65568:GER65569 GON65568:GON65569 GYJ65568:GYJ65569 HIF65568:HIF65569 HSB65568:HSB65569 IBX65568:IBX65569 ILT65568:ILT65569 IVP65568:IVP65569 JFL65568:JFL65569 JPH65568:JPH65569 JZD65568:JZD65569 KIZ65568:KIZ65569 KSV65568:KSV65569 LCR65568:LCR65569 LMN65568:LMN65569 LWJ65568:LWJ65569 MGF65568:MGF65569 MQB65568:MQB65569 MZX65568:MZX65569 NJT65568:NJT65569 NTP65568:NTP65569 ODL65568:ODL65569 ONH65568:ONH65569 OXD65568:OXD65569 PGZ65568:PGZ65569 PQV65568:PQV65569 QAR65568:QAR65569 QKN65568:QKN65569 QUJ65568:QUJ65569 REF65568:REF65569 ROB65568:ROB65569 RXX65568:RXX65569 SHT65568:SHT65569 SRP65568:SRP65569 TBL65568:TBL65569 TLH65568:TLH65569 TVD65568:TVD65569 UEZ65568:UEZ65569 UOV65568:UOV65569 UYR65568:UYR65569 VIN65568:VIN65569 VSJ65568:VSJ65569 WCF65568:WCF65569 WMB65568:WMB65569 WVX65568:WVX65569 P131104:P131105 JL131104:JL131105 TH131104:TH131105 ADD131104:ADD131105 AMZ131104:AMZ131105 AWV131104:AWV131105 BGR131104:BGR131105 BQN131104:BQN131105 CAJ131104:CAJ131105 CKF131104:CKF131105 CUB131104:CUB131105 DDX131104:DDX131105 DNT131104:DNT131105 DXP131104:DXP131105 EHL131104:EHL131105 ERH131104:ERH131105 FBD131104:FBD131105 FKZ131104:FKZ131105 FUV131104:FUV131105 GER131104:GER131105 GON131104:GON131105 GYJ131104:GYJ131105 HIF131104:HIF131105 HSB131104:HSB131105 IBX131104:IBX131105 ILT131104:ILT131105 IVP131104:IVP131105 JFL131104:JFL131105 JPH131104:JPH131105 JZD131104:JZD131105 KIZ131104:KIZ131105 KSV131104:KSV131105 LCR131104:LCR131105 LMN131104:LMN131105 LWJ131104:LWJ131105 MGF131104:MGF131105 MQB131104:MQB131105 MZX131104:MZX131105 NJT131104:NJT131105 NTP131104:NTP131105 ODL131104:ODL131105 ONH131104:ONH131105 OXD131104:OXD131105 PGZ131104:PGZ131105 PQV131104:PQV131105 QAR131104:QAR131105 QKN131104:QKN131105 QUJ131104:QUJ131105 REF131104:REF131105 ROB131104:ROB131105 RXX131104:RXX131105 SHT131104:SHT131105 SRP131104:SRP131105 TBL131104:TBL131105 TLH131104:TLH131105 TVD131104:TVD131105 UEZ131104:UEZ131105 UOV131104:UOV131105 UYR131104:UYR131105 VIN131104:VIN131105 VSJ131104:VSJ131105 WCF131104:WCF131105 WMB131104:WMB131105 WVX131104:WVX131105 P196640:P196641 JL196640:JL196641 TH196640:TH196641 ADD196640:ADD196641 AMZ196640:AMZ196641 AWV196640:AWV196641 BGR196640:BGR196641 BQN196640:BQN196641 CAJ196640:CAJ196641 CKF196640:CKF196641 CUB196640:CUB196641 DDX196640:DDX196641 DNT196640:DNT196641 DXP196640:DXP196641 EHL196640:EHL196641 ERH196640:ERH196641 FBD196640:FBD196641 FKZ196640:FKZ196641 FUV196640:FUV196641 GER196640:GER196641 GON196640:GON196641 GYJ196640:GYJ196641 HIF196640:HIF196641 HSB196640:HSB196641 IBX196640:IBX196641 ILT196640:ILT196641 IVP196640:IVP196641 JFL196640:JFL196641 JPH196640:JPH196641 JZD196640:JZD196641 KIZ196640:KIZ196641 KSV196640:KSV196641 LCR196640:LCR196641 LMN196640:LMN196641 LWJ196640:LWJ196641 MGF196640:MGF196641 MQB196640:MQB196641 MZX196640:MZX196641 NJT196640:NJT196641 NTP196640:NTP196641 ODL196640:ODL196641 ONH196640:ONH196641 OXD196640:OXD196641 PGZ196640:PGZ196641 PQV196640:PQV196641 QAR196640:QAR196641 QKN196640:QKN196641 QUJ196640:QUJ196641 REF196640:REF196641 ROB196640:ROB196641 RXX196640:RXX196641 SHT196640:SHT196641 SRP196640:SRP196641 TBL196640:TBL196641 TLH196640:TLH196641 TVD196640:TVD196641 UEZ196640:UEZ196641 UOV196640:UOV196641 UYR196640:UYR196641 VIN196640:VIN196641 VSJ196640:VSJ196641 WCF196640:WCF196641 WMB196640:WMB196641 WVX196640:WVX196641 P262176:P262177 JL262176:JL262177 TH262176:TH262177 ADD262176:ADD262177 AMZ262176:AMZ262177 AWV262176:AWV262177 BGR262176:BGR262177 BQN262176:BQN262177 CAJ262176:CAJ262177 CKF262176:CKF262177 CUB262176:CUB262177 DDX262176:DDX262177 DNT262176:DNT262177 DXP262176:DXP262177 EHL262176:EHL262177 ERH262176:ERH262177 FBD262176:FBD262177 FKZ262176:FKZ262177 FUV262176:FUV262177 GER262176:GER262177 GON262176:GON262177 GYJ262176:GYJ262177 HIF262176:HIF262177 HSB262176:HSB262177 IBX262176:IBX262177 ILT262176:ILT262177 IVP262176:IVP262177 JFL262176:JFL262177 JPH262176:JPH262177 JZD262176:JZD262177 KIZ262176:KIZ262177 KSV262176:KSV262177 LCR262176:LCR262177 LMN262176:LMN262177 LWJ262176:LWJ262177 MGF262176:MGF262177 MQB262176:MQB262177 MZX262176:MZX262177 NJT262176:NJT262177 NTP262176:NTP262177 ODL262176:ODL262177 ONH262176:ONH262177 OXD262176:OXD262177 PGZ262176:PGZ262177 PQV262176:PQV262177 QAR262176:QAR262177 QKN262176:QKN262177 QUJ262176:QUJ262177 REF262176:REF262177 ROB262176:ROB262177 RXX262176:RXX262177 SHT262176:SHT262177 SRP262176:SRP262177 TBL262176:TBL262177 TLH262176:TLH262177 TVD262176:TVD262177 UEZ262176:UEZ262177 UOV262176:UOV262177 UYR262176:UYR262177 VIN262176:VIN262177 VSJ262176:VSJ262177 WCF262176:WCF262177 WMB262176:WMB262177 WVX262176:WVX262177 P327712:P327713 JL327712:JL327713 TH327712:TH327713 ADD327712:ADD327713 AMZ327712:AMZ327713 AWV327712:AWV327713 BGR327712:BGR327713 BQN327712:BQN327713 CAJ327712:CAJ327713 CKF327712:CKF327713 CUB327712:CUB327713 DDX327712:DDX327713 DNT327712:DNT327713 DXP327712:DXP327713 EHL327712:EHL327713 ERH327712:ERH327713 FBD327712:FBD327713 FKZ327712:FKZ327713 FUV327712:FUV327713 GER327712:GER327713 GON327712:GON327713 GYJ327712:GYJ327713 HIF327712:HIF327713 HSB327712:HSB327713 IBX327712:IBX327713 ILT327712:ILT327713 IVP327712:IVP327713 JFL327712:JFL327713 JPH327712:JPH327713 JZD327712:JZD327713 KIZ327712:KIZ327713 KSV327712:KSV327713 LCR327712:LCR327713 LMN327712:LMN327713 LWJ327712:LWJ327713 MGF327712:MGF327713 MQB327712:MQB327713 MZX327712:MZX327713 NJT327712:NJT327713 NTP327712:NTP327713 ODL327712:ODL327713 ONH327712:ONH327713 OXD327712:OXD327713 PGZ327712:PGZ327713 PQV327712:PQV327713 QAR327712:QAR327713 QKN327712:QKN327713 QUJ327712:QUJ327713 REF327712:REF327713 ROB327712:ROB327713 RXX327712:RXX327713 SHT327712:SHT327713 SRP327712:SRP327713 TBL327712:TBL327713 TLH327712:TLH327713 TVD327712:TVD327713 UEZ327712:UEZ327713 UOV327712:UOV327713 UYR327712:UYR327713 VIN327712:VIN327713 VSJ327712:VSJ327713 WCF327712:WCF327713 WMB327712:WMB327713 WVX327712:WVX327713 P393248:P393249 JL393248:JL393249 TH393248:TH393249 ADD393248:ADD393249 AMZ393248:AMZ393249 AWV393248:AWV393249 BGR393248:BGR393249 BQN393248:BQN393249 CAJ393248:CAJ393249 CKF393248:CKF393249 CUB393248:CUB393249 DDX393248:DDX393249 DNT393248:DNT393249 DXP393248:DXP393249 EHL393248:EHL393249 ERH393248:ERH393249 FBD393248:FBD393249 FKZ393248:FKZ393249 FUV393248:FUV393249 GER393248:GER393249 GON393248:GON393249 GYJ393248:GYJ393249 HIF393248:HIF393249 HSB393248:HSB393249 IBX393248:IBX393249 ILT393248:ILT393249 IVP393248:IVP393249 JFL393248:JFL393249 JPH393248:JPH393249 JZD393248:JZD393249 KIZ393248:KIZ393249 KSV393248:KSV393249 LCR393248:LCR393249 LMN393248:LMN393249 LWJ393248:LWJ393249 MGF393248:MGF393249 MQB393248:MQB393249 MZX393248:MZX393249 NJT393248:NJT393249 NTP393248:NTP393249 ODL393248:ODL393249 ONH393248:ONH393249 OXD393248:OXD393249 PGZ393248:PGZ393249 PQV393248:PQV393249 QAR393248:QAR393249 QKN393248:QKN393249 QUJ393248:QUJ393249 REF393248:REF393249 ROB393248:ROB393249 RXX393248:RXX393249 SHT393248:SHT393249 SRP393248:SRP393249 TBL393248:TBL393249 TLH393248:TLH393249 TVD393248:TVD393249 UEZ393248:UEZ393249 UOV393248:UOV393249 UYR393248:UYR393249 VIN393248:VIN393249 VSJ393248:VSJ393249 WCF393248:WCF393249 WMB393248:WMB393249 WVX393248:WVX393249 P458784:P458785 JL458784:JL458785 TH458784:TH458785 ADD458784:ADD458785 AMZ458784:AMZ458785 AWV458784:AWV458785 BGR458784:BGR458785 BQN458784:BQN458785 CAJ458784:CAJ458785 CKF458784:CKF458785 CUB458784:CUB458785 DDX458784:DDX458785 DNT458784:DNT458785 DXP458784:DXP458785 EHL458784:EHL458785 ERH458784:ERH458785 FBD458784:FBD458785 FKZ458784:FKZ458785 FUV458784:FUV458785 GER458784:GER458785 GON458784:GON458785 GYJ458784:GYJ458785 HIF458784:HIF458785 HSB458784:HSB458785 IBX458784:IBX458785 ILT458784:ILT458785 IVP458784:IVP458785 JFL458784:JFL458785 JPH458784:JPH458785 JZD458784:JZD458785 KIZ458784:KIZ458785 KSV458784:KSV458785 LCR458784:LCR458785 LMN458784:LMN458785 LWJ458784:LWJ458785 MGF458784:MGF458785 MQB458784:MQB458785 MZX458784:MZX458785 NJT458784:NJT458785 NTP458784:NTP458785 ODL458784:ODL458785 ONH458784:ONH458785 OXD458784:OXD458785 PGZ458784:PGZ458785 PQV458784:PQV458785 QAR458784:QAR458785 QKN458784:QKN458785 QUJ458784:QUJ458785 REF458784:REF458785 ROB458784:ROB458785 RXX458784:RXX458785 SHT458784:SHT458785 SRP458784:SRP458785 TBL458784:TBL458785 TLH458784:TLH458785 TVD458784:TVD458785 UEZ458784:UEZ458785 UOV458784:UOV458785 UYR458784:UYR458785 VIN458784:VIN458785 VSJ458784:VSJ458785 WCF458784:WCF458785 WMB458784:WMB458785 WVX458784:WVX458785 P524320:P524321 JL524320:JL524321 TH524320:TH524321 ADD524320:ADD524321 AMZ524320:AMZ524321 AWV524320:AWV524321 BGR524320:BGR524321 BQN524320:BQN524321 CAJ524320:CAJ524321 CKF524320:CKF524321 CUB524320:CUB524321 DDX524320:DDX524321 DNT524320:DNT524321 DXP524320:DXP524321 EHL524320:EHL524321 ERH524320:ERH524321 FBD524320:FBD524321 FKZ524320:FKZ524321 FUV524320:FUV524321 GER524320:GER524321 GON524320:GON524321 GYJ524320:GYJ524321 HIF524320:HIF524321 HSB524320:HSB524321 IBX524320:IBX524321 ILT524320:ILT524321 IVP524320:IVP524321 JFL524320:JFL524321 JPH524320:JPH524321 JZD524320:JZD524321 KIZ524320:KIZ524321 KSV524320:KSV524321 LCR524320:LCR524321 LMN524320:LMN524321 LWJ524320:LWJ524321 MGF524320:MGF524321 MQB524320:MQB524321 MZX524320:MZX524321 NJT524320:NJT524321 NTP524320:NTP524321 ODL524320:ODL524321 ONH524320:ONH524321 OXD524320:OXD524321 PGZ524320:PGZ524321 PQV524320:PQV524321 QAR524320:QAR524321 QKN524320:QKN524321 QUJ524320:QUJ524321 REF524320:REF524321 ROB524320:ROB524321 RXX524320:RXX524321 SHT524320:SHT524321 SRP524320:SRP524321 TBL524320:TBL524321 TLH524320:TLH524321 TVD524320:TVD524321 UEZ524320:UEZ524321 UOV524320:UOV524321 UYR524320:UYR524321 VIN524320:VIN524321 VSJ524320:VSJ524321 WCF524320:WCF524321 WMB524320:WMB524321 WVX524320:WVX524321 P589856:P589857 JL589856:JL589857 TH589856:TH589857 ADD589856:ADD589857 AMZ589856:AMZ589857 AWV589856:AWV589857 BGR589856:BGR589857 BQN589856:BQN589857 CAJ589856:CAJ589857 CKF589856:CKF589857 CUB589856:CUB589857 DDX589856:DDX589857 DNT589856:DNT589857 DXP589856:DXP589857 EHL589856:EHL589857 ERH589856:ERH589857 FBD589856:FBD589857 FKZ589856:FKZ589857 FUV589856:FUV589857 GER589856:GER589857 GON589856:GON589857 GYJ589856:GYJ589857 HIF589856:HIF589857 HSB589856:HSB589857 IBX589856:IBX589857 ILT589856:ILT589857 IVP589856:IVP589857 JFL589856:JFL589857 JPH589856:JPH589857 JZD589856:JZD589857 KIZ589856:KIZ589857 KSV589856:KSV589857 LCR589856:LCR589857 LMN589856:LMN589857 LWJ589856:LWJ589857 MGF589856:MGF589857 MQB589856:MQB589857 MZX589856:MZX589857 NJT589856:NJT589857 NTP589856:NTP589857 ODL589856:ODL589857 ONH589856:ONH589857 OXD589856:OXD589857 PGZ589856:PGZ589857 PQV589856:PQV589857 QAR589856:QAR589857 QKN589856:QKN589857 QUJ589856:QUJ589857 REF589856:REF589857 ROB589856:ROB589857 RXX589856:RXX589857 SHT589856:SHT589857 SRP589856:SRP589857 TBL589856:TBL589857 TLH589856:TLH589857 TVD589856:TVD589857 UEZ589856:UEZ589857 UOV589856:UOV589857 UYR589856:UYR589857 VIN589856:VIN589857 VSJ589856:VSJ589857 WCF589856:WCF589857 WMB589856:WMB589857 WVX589856:WVX589857 P655392:P655393 JL655392:JL655393 TH655392:TH655393 ADD655392:ADD655393 AMZ655392:AMZ655393 AWV655392:AWV655393 BGR655392:BGR655393 BQN655392:BQN655393 CAJ655392:CAJ655393 CKF655392:CKF655393 CUB655392:CUB655393 DDX655392:DDX655393 DNT655392:DNT655393 DXP655392:DXP655393 EHL655392:EHL655393 ERH655392:ERH655393 FBD655392:FBD655393 FKZ655392:FKZ655393 FUV655392:FUV655393 GER655392:GER655393 GON655392:GON655393 GYJ655392:GYJ655393 HIF655392:HIF655393 HSB655392:HSB655393 IBX655392:IBX655393 ILT655392:ILT655393 IVP655392:IVP655393 JFL655392:JFL655393 JPH655392:JPH655393 JZD655392:JZD655393 KIZ655392:KIZ655393 KSV655392:KSV655393 LCR655392:LCR655393 LMN655392:LMN655393 LWJ655392:LWJ655393 MGF655392:MGF655393 MQB655392:MQB655393 MZX655392:MZX655393 NJT655392:NJT655393 NTP655392:NTP655393 ODL655392:ODL655393 ONH655392:ONH655393 OXD655392:OXD655393 PGZ655392:PGZ655393 PQV655392:PQV655393 QAR655392:QAR655393 QKN655392:QKN655393 QUJ655392:QUJ655393 REF655392:REF655393 ROB655392:ROB655393 RXX655392:RXX655393 SHT655392:SHT655393 SRP655392:SRP655393 TBL655392:TBL655393 TLH655392:TLH655393 TVD655392:TVD655393 UEZ655392:UEZ655393 UOV655392:UOV655393 UYR655392:UYR655393 VIN655392:VIN655393 VSJ655392:VSJ655393 WCF655392:WCF655393 WMB655392:WMB655393 WVX655392:WVX655393 P720928:P720929 JL720928:JL720929 TH720928:TH720929 ADD720928:ADD720929 AMZ720928:AMZ720929 AWV720928:AWV720929 BGR720928:BGR720929 BQN720928:BQN720929 CAJ720928:CAJ720929 CKF720928:CKF720929 CUB720928:CUB720929 DDX720928:DDX720929 DNT720928:DNT720929 DXP720928:DXP720929 EHL720928:EHL720929 ERH720928:ERH720929 FBD720928:FBD720929 FKZ720928:FKZ720929 FUV720928:FUV720929 GER720928:GER720929 GON720928:GON720929 GYJ720928:GYJ720929 HIF720928:HIF720929 HSB720928:HSB720929 IBX720928:IBX720929 ILT720928:ILT720929 IVP720928:IVP720929 JFL720928:JFL720929 JPH720928:JPH720929 JZD720928:JZD720929 KIZ720928:KIZ720929 KSV720928:KSV720929 LCR720928:LCR720929 LMN720928:LMN720929 LWJ720928:LWJ720929 MGF720928:MGF720929 MQB720928:MQB720929 MZX720928:MZX720929 NJT720928:NJT720929 NTP720928:NTP720929 ODL720928:ODL720929 ONH720928:ONH720929 OXD720928:OXD720929 PGZ720928:PGZ720929 PQV720928:PQV720929 QAR720928:QAR720929 QKN720928:QKN720929 QUJ720928:QUJ720929 REF720928:REF720929 ROB720928:ROB720929 RXX720928:RXX720929 SHT720928:SHT720929 SRP720928:SRP720929 TBL720928:TBL720929 TLH720928:TLH720929 TVD720928:TVD720929 UEZ720928:UEZ720929 UOV720928:UOV720929 UYR720928:UYR720929 VIN720928:VIN720929 VSJ720928:VSJ720929 WCF720928:WCF720929 WMB720928:WMB720929 WVX720928:WVX720929 P786464:P786465 JL786464:JL786465 TH786464:TH786465 ADD786464:ADD786465 AMZ786464:AMZ786465 AWV786464:AWV786465 BGR786464:BGR786465 BQN786464:BQN786465 CAJ786464:CAJ786465 CKF786464:CKF786465 CUB786464:CUB786465 DDX786464:DDX786465 DNT786464:DNT786465 DXP786464:DXP786465 EHL786464:EHL786465 ERH786464:ERH786465 FBD786464:FBD786465 FKZ786464:FKZ786465 FUV786464:FUV786465 GER786464:GER786465 GON786464:GON786465 GYJ786464:GYJ786465 HIF786464:HIF786465 HSB786464:HSB786465 IBX786464:IBX786465 ILT786464:ILT786465 IVP786464:IVP786465 JFL786464:JFL786465 JPH786464:JPH786465 JZD786464:JZD786465 KIZ786464:KIZ786465 KSV786464:KSV786465 LCR786464:LCR786465 LMN786464:LMN786465 LWJ786464:LWJ786465 MGF786464:MGF786465 MQB786464:MQB786465 MZX786464:MZX786465 NJT786464:NJT786465 NTP786464:NTP786465 ODL786464:ODL786465 ONH786464:ONH786465 OXD786464:OXD786465 PGZ786464:PGZ786465 PQV786464:PQV786465 QAR786464:QAR786465 QKN786464:QKN786465 QUJ786464:QUJ786465 REF786464:REF786465 ROB786464:ROB786465 RXX786464:RXX786465 SHT786464:SHT786465 SRP786464:SRP786465 TBL786464:TBL786465 TLH786464:TLH786465 TVD786464:TVD786465 UEZ786464:UEZ786465 UOV786464:UOV786465 UYR786464:UYR786465 VIN786464:VIN786465 VSJ786464:VSJ786465 WCF786464:WCF786465 WMB786464:WMB786465 WVX786464:WVX786465 P852000:P852001 JL852000:JL852001 TH852000:TH852001 ADD852000:ADD852001 AMZ852000:AMZ852001 AWV852000:AWV852001 BGR852000:BGR852001 BQN852000:BQN852001 CAJ852000:CAJ852001 CKF852000:CKF852001 CUB852000:CUB852001 DDX852000:DDX852001 DNT852000:DNT852001 DXP852000:DXP852001 EHL852000:EHL852001 ERH852000:ERH852001 FBD852000:FBD852001 FKZ852000:FKZ852001 FUV852000:FUV852001 GER852000:GER852001 GON852000:GON852001 GYJ852000:GYJ852001 HIF852000:HIF852001 HSB852000:HSB852001 IBX852000:IBX852001 ILT852000:ILT852001 IVP852000:IVP852001 JFL852000:JFL852001 JPH852000:JPH852001 JZD852000:JZD852001 KIZ852000:KIZ852001 KSV852000:KSV852001 LCR852000:LCR852001 LMN852000:LMN852001 LWJ852000:LWJ852001 MGF852000:MGF852001 MQB852000:MQB852001 MZX852000:MZX852001 NJT852000:NJT852001 NTP852000:NTP852001 ODL852000:ODL852001 ONH852000:ONH852001 OXD852000:OXD852001 PGZ852000:PGZ852001 PQV852000:PQV852001 QAR852000:QAR852001 QKN852000:QKN852001 QUJ852000:QUJ852001 REF852000:REF852001 ROB852000:ROB852001 RXX852000:RXX852001 SHT852000:SHT852001 SRP852000:SRP852001 TBL852000:TBL852001 TLH852000:TLH852001 TVD852000:TVD852001 UEZ852000:UEZ852001 UOV852000:UOV852001 UYR852000:UYR852001 VIN852000:VIN852001 VSJ852000:VSJ852001 WCF852000:WCF852001 WMB852000:WMB852001 WVX852000:WVX852001 P917536:P917537 JL917536:JL917537 TH917536:TH917537 ADD917536:ADD917537 AMZ917536:AMZ917537 AWV917536:AWV917537 BGR917536:BGR917537 BQN917536:BQN917537 CAJ917536:CAJ917537 CKF917536:CKF917537 CUB917536:CUB917537 DDX917536:DDX917537 DNT917536:DNT917537 DXP917536:DXP917537 EHL917536:EHL917537 ERH917536:ERH917537 FBD917536:FBD917537 FKZ917536:FKZ917537 FUV917536:FUV917537 GER917536:GER917537 GON917536:GON917537 GYJ917536:GYJ917537 HIF917536:HIF917537 HSB917536:HSB917537 IBX917536:IBX917537 ILT917536:ILT917537 IVP917536:IVP917537 JFL917536:JFL917537 JPH917536:JPH917537 JZD917536:JZD917537 KIZ917536:KIZ917537 KSV917536:KSV917537 LCR917536:LCR917537 LMN917536:LMN917537 LWJ917536:LWJ917537 MGF917536:MGF917537 MQB917536:MQB917537 MZX917536:MZX917537 NJT917536:NJT917537 NTP917536:NTP917537 ODL917536:ODL917537 ONH917536:ONH917537 OXD917536:OXD917537 PGZ917536:PGZ917537 PQV917536:PQV917537 QAR917536:QAR917537 QKN917536:QKN917537 QUJ917536:QUJ917537 REF917536:REF917537 ROB917536:ROB917537 RXX917536:RXX917537 SHT917536:SHT917537 SRP917536:SRP917537 TBL917536:TBL917537 TLH917536:TLH917537 TVD917536:TVD917537 UEZ917536:UEZ917537 UOV917536:UOV917537 UYR917536:UYR917537 VIN917536:VIN917537 VSJ917536:VSJ917537 WCF917536:WCF917537 WMB917536:WMB917537 WVX917536:WVX917537 P983072:P983073 JL983072:JL983073 TH983072:TH983073 ADD983072:ADD983073 AMZ983072:AMZ983073 AWV983072:AWV983073 BGR983072:BGR983073 BQN983072:BQN983073 CAJ983072:CAJ983073 CKF983072:CKF983073 CUB983072:CUB983073 DDX983072:DDX983073 DNT983072:DNT983073 DXP983072:DXP983073 EHL983072:EHL983073 ERH983072:ERH983073 FBD983072:FBD983073 FKZ983072:FKZ983073 FUV983072:FUV983073 GER983072:GER983073 GON983072:GON983073 GYJ983072:GYJ983073 HIF983072:HIF983073 HSB983072:HSB983073 IBX983072:IBX983073 ILT983072:ILT983073 IVP983072:IVP983073 JFL983072:JFL983073 JPH983072:JPH983073 JZD983072:JZD983073 KIZ983072:KIZ983073 KSV983072:KSV983073 LCR983072:LCR983073 LMN983072:LMN983073 LWJ983072:LWJ983073 MGF983072:MGF983073 MQB983072:MQB983073 MZX983072:MZX983073 NJT983072:NJT983073 NTP983072:NTP983073 ODL983072:ODL983073 ONH983072:ONH983073 OXD983072:OXD983073 PGZ983072:PGZ983073 PQV983072:PQV983073 QAR983072:QAR983073 QKN983072:QKN983073 QUJ983072:QUJ983073 REF983072:REF983073 ROB983072:ROB983073 RXX983072:RXX983073 SHT983072:SHT983073 SRP983072:SRP983073 TBL983072:TBL983073 TLH983072:TLH983073 TVD983072:TVD983073 UEZ983072:UEZ983073 UOV983072:UOV983073 UYR983072:UYR983073 VIN983072:VIN983073 VSJ983072:VSJ983073 WCF983072:WCF983073 WMB983072:WMB983073 WVX983072:WVX983073 B17:B19 IX17:IX19 ST17:ST19 ACP17:ACP19 AML17:AML19 AWH17:AWH19 BGD17:BGD19 BPZ17:BPZ19 BZV17:BZV19 CJR17:CJR19 CTN17:CTN19 DDJ17:DDJ19 DNF17:DNF19 DXB17:DXB19 EGX17:EGX19 EQT17:EQT19 FAP17:FAP19 FKL17:FKL19 FUH17:FUH19 GED17:GED19 GNZ17:GNZ19 GXV17:GXV19 HHR17:HHR19 HRN17:HRN19 IBJ17:IBJ19 ILF17:ILF19 IVB17:IVB19 JEX17:JEX19 JOT17:JOT19 JYP17:JYP19 KIL17:KIL19 KSH17:KSH19 LCD17:LCD19 LLZ17:LLZ19 LVV17:LVV19 MFR17:MFR19 MPN17:MPN19 MZJ17:MZJ19 NJF17:NJF19 NTB17:NTB19 OCX17:OCX19 OMT17:OMT19 OWP17:OWP19 PGL17:PGL19 PQH17:PQH19 QAD17:QAD19 QJZ17:QJZ19 QTV17:QTV19 RDR17:RDR19 RNN17:RNN19 RXJ17:RXJ19 SHF17:SHF19 SRB17:SRB19 TAX17:TAX19 TKT17:TKT19 TUP17:TUP19 UEL17:UEL19 UOH17:UOH19 UYD17:UYD19 VHZ17:VHZ19 VRV17:VRV19 WBR17:WBR19 WLN17:WLN19 WVJ17:WVJ19 B65553:B65555 IX65553:IX65555 ST65553:ST65555 ACP65553:ACP65555 AML65553:AML65555 AWH65553:AWH65555 BGD65553:BGD65555 BPZ65553:BPZ65555 BZV65553:BZV65555 CJR65553:CJR65555 CTN65553:CTN65555 DDJ65553:DDJ65555 DNF65553:DNF65555 DXB65553:DXB65555 EGX65553:EGX65555 EQT65553:EQT65555 FAP65553:FAP65555 FKL65553:FKL65555 FUH65553:FUH65555 GED65553:GED65555 GNZ65553:GNZ65555 GXV65553:GXV65555 HHR65553:HHR65555 HRN65553:HRN65555 IBJ65553:IBJ65555 ILF65553:ILF65555 IVB65553:IVB65555 JEX65553:JEX65555 JOT65553:JOT65555 JYP65553:JYP65555 KIL65553:KIL65555 KSH65553:KSH65555 LCD65553:LCD65555 LLZ65553:LLZ65555 LVV65553:LVV65555 MFR65553:MFR65555 MPN65553:MPN65555 MZJ65553:MZJ65555 NJF65553:NJF65555 NTB65553:NTB65555 OCX65553:OCX65555 OMT65553:OMT65555 OWP65553:OWP65555 PGL65553:PGL65555 PQH65553:PQH65555 QAD65553:QAD65555 QJZ65553:QJZ65555 QTV65553:QTV65555 RDR65553:RDR65555 RNN65553:RNN65555 RXJ65553:RXJ65555 SHF65553:SHF65555 SRB65553:SRB65555 TAX65553:TAX65555 TKT65553:TKT65555 TUP65553:TUP65555 UEL65553:UEL65555 UOH65553:UOH65555 UYD65553:UYD65555 VHZ65553:VHZ65555 VRV65553:VRV65555 WBR65553:WBR65555 WLN65553:WLN65555 WVJ65553:WVJ65555 B131089:B131091 IX131089:IX131091 ST131089:ST131091 ACP131089:ACP131091 AML131089:AML131091 AWH131089:AWH131091 BGD131089:BGD131091 BPZ131089:BPZ131091 BZV131089:BZV131091 CJR131089:CJR131091 CTN131089:CTN131091 DDJ131089:DDJ131091 DNF131089:DNF131091 DXB131089:DXB131091 EGX131089:EGX131091 EQT131089:EQT131091 FAP131089:FAP131091 FKL131089:FKL131091 FUH131089:FUH131091 GED131089:GED131091 GNZ131089:GNZ131091 GXV131089:GXV131091 HHR131089:HHR131091 HRN131089:HRN131091 IBJ131089:IBJ131091 ILF131089:ILF131091 IVB131089:IVB131091 JEX131089:JEX131091 JOT131089:JOT131091 JYP131089:JYP131091 KIL131089:KIL131091 KSH131089:KSH131091 LCD131089:LCD131091 LLZ131089:LLZ131091 LVV131089:LVV131091 MFR131089:MFR131091 MPN131089:MPN131091 MZJ131089:MZJ131091 NJF131089:NJF131091 NTB131089:NTB131091 OCX131089:OCX131091 OMT131089:OMT131091 OWP131089:OWP131091 PGL131089:PGL131091 PQH131089:PQH131091 QAD131089:QAD131091 QJZ131089:QJZ131091 QTV131089:QTV131091 RDR131089:RDR131091 RNN131089:RNN131091 RXJ131089:RXJ131091 SHF131089:SHF131091 SRB131089:SRB131091 TAX131089:TAX131091 TKT131089:TKT131091 TUP131089:TUP131091 UEL131089:UEL131091 UOH131089:UOH131091 UYD131089:UYD131091 VHZ131089:VHZ131091 VRV131089:VRV131091 WBR131089:WBR131091 WLN131089:WLN131091 WVJ131089:WVJ131091 B196625:B196627 IX196625:IX196627 ST196625:ST196627 ACP196625:ACP196627 AML196625:AML196627 AWH196625:AWH196627 BGD196625:BGD196627 BPZ196625:BPZ196627 BZV196625:BZV196627 CJR196625:CJR196627 CTN196625:CTN196627 DDJ196625:DDJ196627 DNF196625:DNF196627 DXB196625:DXB196627 EGX196625:EGX196627 EQT196625:EQT196627 FAP196625:FAP196627 FKL196625:FKL196627 FUH196625:FUH196627 GED196625:GED196627 GNZ196625:GNZ196627 GXV196625:GXV196627 HHR196625:HHR196627 HRN196625:HRN196627 IBJ196625:IBJ196627 ILF196625:ILF196627 IVB196625:IVB196627 JEX196625:JEX196627 JOT196625:JOT196627 JYP196625:JYP196627 KIL196625:KIL196627 KSH196625:KSH196627 LCD196625:LCD196627 LLZ196625:LLZ196627 LVV196625:LVV196627 MFR196625:MFR196627 MPN196625:MPN196627 MZJ196625:MZJ196627 NJF196625:NJF196627 NTB196625:NTB196627 OCX196625:OCX196627 OMT196625:OMT196627 OWP196625:OWP196627 PGL196625:PGL196627 PQH196625:PQH196627 QAD196625:QAD196627 QJZ196625:QJZ196627 QTV196625:QTV196627 RDR196625:RDR196627 RNN196625:RNN196627 RXJ196625:RXJ196627 SHF196625:SHF196627 SRB196625:SRB196627 TAX196625:TAX196627 TKT196625:TKT196627 TUP196625:TUP196627 UEL196625:UEL196627 UOH196625:UOH196627 UYD196625:UYD196627 VHZ196625:VHZ196627 VRV196625:VRV196627 WBR196625:WBR196627 WLN196625:WLN196627 WVJ196625:WVJ196627 B262161:B262163 IX262161:IX262163 ST262161:ST262163 ACP262161:ACP262163 AML262161:AML262163 AWH262161:AWH262163 BGD262161:BGD262163 BPZ262161:BPZ262163 BZV262161:BZV262163 CJR262161:CJR262163 CTN262161:CTN262163 DDJ262161:DDJ262163 DNF262161:DNF262163 DXB262161:DXB262163 EGX262161:EGX262163 EQT262161:EQT262163 FAP262161:FAP262163 FKL262161:FKL262163 FUH262161:FUH262163 GED262161:GED262163 GNZ262161:GNZ262163 GXV262161:GXV262163 HHR262161:HHR262163 HRN262161:HRN262163 IBJ262161:IBJ262163 ILF262161:ILF262163 IVB262161:IVB262163 JEX262161:JEX262163 JOT262161:JOT262163 JYP262161:JYP262163 KIL262161:KIL262163 KSH262161:KSH262163 LCD262161:LCD262163 LLZ262161:LLZ262163 LVV262161:LVV262163 MFR262161:MFR262163 MPN262161:MPN262163 MZJ262161:MZJ262163 NJF262161:NJF262163 NTB262161:NTB262163 OCX262161:OCX262163 OMT262161:OMT262163 OWP262161:OWP262163 PGL262161:PGL262163 PQH262161:PQH262163 QAD262161:QAD262163 QJZ262161:QJZ262163 QTV262161:QTV262163 RDR262161:RDR262163 RNN262161:RNN262163 RXJ262161:RXJ262163 SHF262161:SHF262163 SRB262161:SRB262163 TAX262161:TAX262163 TKT262161:TKT262163 TUP262161:TUP262163 UEL262161:UEL262163 UOH262161:UOH262163 UYD262161:UYD262163 VHZ262161:VHZ262163 VRV262161:VRV262163 WBR262161:WBR262163 WLN262161:WLN262163 WVJ262161:WVJ262163 B327697:B327699 IX327697:IX327699 ST327697:ST327699 ACP327697:ACP327699 AML327697:AML327699 AWH327697:AWH327699 BGD327697:BGD327699 BPZ327697:BPZ327699 BZV327697:BZV327699 CJR327697:CJR327699 CTN327697:CTN327699 DDJ327697:DDJ327699 DNF327697:DNF327699 DXB327697:DXB327699 EGX327697:EGX327699 EQT327697:EQT327699 FAP327697:FAP327699 FKL327697:FKL327699 FUH327697:FUH327699 GED327697:GED327699 GNZ327697:GNZ327699 GXV327697:GXV327699 HHR327697:HHR327699 HRN327697:HRN327699 IBJ327697:IBJ327699 ILF327697:ILF327699 IVB327697:IVB327699 JEX327697:JEX327699 JOT327697:JOT327699 JYP327697:JYP327699 KIL327697:KIL327699 KSH327697:KSH327699 LCD327697:LCD327699 LLZ327697:LLZ327699 LVV327697:LVV327699 MFR327697:MFR327699 MPN327697:MPN327699 MZJ327697:MZJ327699 NJF327697:NJF327699 NTB327697:NTB327699 OCX327697:OCX327699 OMT327697:OMT327699 OWP327697:OWP327699 PGL327697:PGL327699 PQH327697:PQH327699 QAD327697:QAD327699 QJZ327697:QJZ327699 QTV327697:QTV327699 RDR327697:RDR327699 RNN327697:RNN327699 RXJ327697:RXJ327699 SHF327697:SHF327699 SRB327697:SRB327699 TAX327697:TAX327699 TKT327697:TKT327699 TUP327697:TUP327699 UEL327697:UEL327699 UOH327697:UOH327699 UYD327697:UYD327699 VHZ327697:VHZ327699 VRV327697:VRV327699 WBR327697:WBR327699 WLN327697:WLN327699 WVJ327697:WVJ327699 B393233:B393235 IX393233:IX393235 ST393233:ST393235 ACP393233:ACP393235 AML393233:AML393235 AWH393233:AWH393235 BGD393233:BGD393235 BPZ393233:BPZ393235 BZV393233:BZV393235 CJR393233:CJR393235 CTN393233:CTN393235 DDJ393233:DDJ393235 DNF393233:DNF393235 DXB393233:DXB393235 EGX393233:EGX393235 EQT393233:EQT393235 FAP393233:FAP393235 FKL393233:FKL393235 FUH393233:FUH393235 GED393233:GED393235 GNZ393233:GNZ393235 GXV393233:GXV393235 HHR393233:HHR393235 HRN393233:HRN393235 IBJ393233:IBJ393235 ILF393233:ILF393235 IVB393233:IVB393235 JEX393233:JEX393235 JOT393233:JOT393235 JYP393233:JYP393235 KIL393233:KIL393235 KSH393233:KSH393235 LCD393233:LCD393235 LLZ393233:LLZ393235 LVV393233:LVV393235 MFR393233:MFR393235 MPN393233:MPN393235 MZJ393233:MZJ393235 NJF393233:NJF393235 NTB393233:NTB393235 OCX393233:OCX393235 OMT393233:OMT393235 OWP393233:OWP393235 PGL393233:PGL393235 PQH393233:PQH393235 QAD393233:QAD393235 QJZ393233:QJZ393235 QTV393233:QTV393235 RDR393233:RDR393235 RNN393233:RNN393235 RXJ393233:RXJ393235 SHF393233:SHF393235 SRB393233:SRB393235 TAX393233:TAX393235 TKT393233:TKT393235 TUP393233:TUP393235 UEL393233:UEL393235 UOH393233:UOH393235 UYD393233:UYD393235 VHZ393233:VHZ393235 VRV393233:VRV393235 WBR393233:WBR393235 WLN393233:WLN393235 WVJ393233:WVJ393235 B458769:B458771 IX458769:IX458771 ST458769:ST458771 ACP458769:ACP458771 AML458769:AML458771 AWH458769:AWH458771 BGD458769:BGD458771 BPZ458769:BPZ458771 BZV458769:BZV458771 CJR458769:CJR458771 CTN458769:CTN458771 DDJ458769:DDJ458771 DNF458769:DNF458771 DXB458769:DXB458771 EGX458769:EGX458771 EQT458769:EQT458771 FAP458769:FAP458771 FKL458769:FKL458771 FUH458769:FUH458771 GED458769:GED458771 GNZ458769:GNZ458771 GXV458769:GXV458771 HHR458769:HHR458771 HRN458769:HRN458771 IBJ458769:IBJ458771 ILF458769:ILF458771 IVB458769:IVB458771 JEX458769:JEX458771 JOT458769:JOT458771 JYP458769:JYP458771 KIL458769:KIL458771 KSH458769:KSH458771 LCD458769:LCD458771 LLZ458769:LLZ458771 LVV458769:LVV458771 MFR458769:MFR458771 MPN458769:MPN458771 MZJ458769:MZJ458771 NJF458769:NJF458771 NTB458769:NTB458771 OCX458769:OCX458771 OMT458769:OMT458771 OWP458769:OWP458771 PGL458769:PGL458771 PQH458769:PQH458771 QAD458769:QAD458771 QJZ458769:QJZ458771 QTV458769:QTV458771 RDR458769:RDR458771 RNN458769:RNN458771 RXJ458769:RXJ458771 SHF458769:SHF458771 SRB458769:SRB458771 TAX458769:TAX458771 TKT458769:TKT458771 TUP458769:TUP458771 UEL458769:UEL458771 UOH458769:UOH458771 UYD458769:UYD458771 VHZ458769:VHZ458771 VRV458769:VRV458771 WBR458769:WBR458771 WLN458769:WLN458771 WVJ458769:WVJ458771 B524305:B524307 IX524305:IX524307 ST524305:ST524307 ACP524305:ACP524307 AML524305:AML524307 AWH524305:AWH524307 BGD524305:BGD524307 BPZ524305:BPZ524307 BZV524305:BZV524307 CJR524305:CJR524307 CTN524305:CTN524307 DDJ524305:DDJ524307 DNF524305:DNF524307 DXB524305:DXB524307 EGX524305:EGX524307 EQT524305:EQT524307 FAP524305:FAP524307 FKL524305:FKL524307 FUH524305:FUH524307 GED524305:GED524307 GNZ524305:GNZ524307 GXV524305:GXV524307 HHR524305:HHR524307 HRN524305:HRN524307 IBJ524305:IBJ524307 ILF524305:ILF524307 IVB524305:IVB524307 JEX524305:JEX524307 JOT524305:JOT524307 JYP524305:JYP524307 KIL524305:KIL524307 KSH524305:KSH524307 LCD524305:LCD524307 LLZ524305:LLZ524307 LVV524305:LVV524307 MFR524305:MFR524307 MPN524305:MPN524307 MZJ524305:MZJ524307 NJF524305:NJF524307 NTB524305:NTB524307 OCX524305:OCX524307 OMT524305:OMT524307 OWP524305:OWP524307 PGL524305:PGL524307 PQH524305:PQH524307 QAD524305:QAD524307 QJZ524305:QJZ524307 QTV524305:QTV524307 RDR524305:RDR524307 RNN524305:RNN524307 RXJ524305:RXJ524307 SHF524305:SHF524307 SRB524305:SRB524307 TAX524305:TAX524307 TKT524305:TKT524307 TUP524305:TUP524307 UEL524305:UEL524307 UOH524305:UOH524307 UYD524305:UYD524307 VHZ524305:VHZ524307 VRV524305:VRV524307 WBR524305:WBR524307 WLN524305:WLN524307 WVJ524305:WVJ524307 B589841:B589843 IX589841:IX589843 ST589841:ST589843 ACP589841:ACP589843 AML589841:AML589843 AWH589841:AWH589843 BGD589841:BGD589843 BPZ589841:BPZ589843 BZV589841:BZV589843 CJR589841:CJR589843 CTN589841:CTN589843 DDJ589841:DDJ589843 DNF589841:DNF589843 DXB589841:DXB589843 EGX589841:EGX589843 EQT589841:EQT589843 FAP589841:FAP589843 FKL589841:FKL589843 FUH589841:FUH589843 GED589841:GED589843 GNZ589841:GNZ589843 GXV589841:GXV589843 HHR589841:HHR589843 HRN589841:HRN589843 IBJ589841:IBJ589843 ILF589841:ILF589843 IVB589841:IVB589843 JEX589841:JEX589843 JOT589841:JOT589843 JYP589841:JYP589843 KIL589841:KIL589843 KSH589841:KSH589843 LCD589841:LCD589843 LLZ589841:LLZ589843 LVV589841:LVV589843 MFR589841:MFR589843 MPN589841:MPN589843 MZJ589841:MZJ589843 NJF589841:NJF589843 NTB589841:NTB589843 OCX589841:OCX589843 OMT589841:OMT589843 OWP589841:OWP589843 PGL589841:PGL589843 PQH589841:PQH589843 QAD589841:QAD589843 QJZ589841:QJZ589843 QTV589841:QTV589843 RDR589841:RDR589843 RNN589841:RNN589843 RXJ589841:RXJ589843 SHF589841:SHF589843 SRB589841:SRB589843 TAX589841:TAX589843 TKT589841:TKT589843 TUP589841:TUP589843 UEL589841:UEL589843 UOH589841:UOH589843 UYD589841:UYD589843 VHZ589841:VHZ589843 VRV589841:VRV589843 WBR589841:WBR589843 WLN589841:WLN589843 WVJ589841:WVJ589843 B655377:B655379 IX655377:IX655379 ST655377:ST655379 ACP655377:ACP655379 AML655377:AML655379 AWH655377:AWH655379 BGD655377:BGD655379 BPZ655377:BPZ655379 BZV655377:BZV655379 CJR655377:CJR655379 CTN655377:CTN655379 DDJ655377:DDJ655379 DNF655377:DNF655379 DXB655377:DXB655379 EGX655377:EGX655379 EQT655377:EQT655379 FAP655377:FAP655379 FKL655377:FKL655379 FUH655377:FUH655379 GED655377:GED655379 GNZ655377:GNZ655379 GXV655377:GXV655379 HHR655377:HHR655379 HRN655377:HRN655379 IBJ655377:IBJ655379 ILF655377:ILF655379 IVB655377:IVB655379 JEX655377:JEX655379 JOT655377:JOT655379 JYP655377:JYP655379 KIL655377:KIL655379 KSH655377:KSH655379 LCD655377:LCD655379 LLZ655377:LLZ655379 LVV655377:LVV655379 MFR655377:MFR655379 MPN655377:MPN655379 MZJ655377:MZJ655379 NJF655377:NJF655379 NTB655377:NTB655379 OCX655377:OCX655379 OMT655377:OMT655379 OWP655377:OWP655379 PGL655377:PGL655379 PQH655377:PQH655379 QAD655377:QAD655379 QJZ655377:QJZ655379 QTV655377:QTV655379 RDR655377:RDR655379 RNN655377:RNN655379 RXJ655377:RXJ655379 SHF655377:SHF655379 SRB655377:SRB655379 TAX655377:TAX655379 TKT655377:TKT655379 TUP655377:TUP655379 UEL655377:UEL655379 UOH655377:UOH655379 UYD655377:UYD655379 VHZ655377:VHZ655379 VRV655377:VRV655379 WBR655377:WBR655379 WLN655377:WLN655379 WVJ655377:WVJ655379 B720913:B720915 IX720913:IX720915 ST720913:ST720915 ACP720913:ACP720915 AML720913:AML720915 AWH720913:AWH720915 BGD720913:BGD720915 BPZ720913:BPZ720915 BZV720913:BZV720915 CJR720913:CJR720915 CTN720913:CTN720915 DDJ720913:DDJ720915 DNF720913:DNF720915 DXB720913:DXB720915 EGX720913:EGX720915 EQT720913:EQT720915 FAP720913:FAP720915 FKL720913:FKL720915 FUH720913:FUH720915 GED720913:GED720915 GNZ720913:GNZ720915 GXV720913:GXV720915 HHR720913:HHR720915 HRN720913:HRN720915 IBJ720913:IBJ720915 ILF720913:ILF720915 IVB720913:IVB720915 JEX720913:JEX720915 JOT720913:JOT720915 JYP720913:JYP720915 KIL720913:KIL720915 KSH720913:KSH720915 LCD720913:LCD720915 LLZ720913:LLZ720915 LVV720913:LVV720915 MFR720913:MFR720915 MPN720913:MPN720915 MZJ720913:MZJ720915 NJF720913:NJF720915 NTB720913:NTB720915 OCX720913:OCX720915 OMT720913:OMT720915 OWP720913:OWP720915 PGL720913:PGL720915 PQH720913:PQH720915 QAD720913:QAD720915 QJZ720913:QJZ720915 QTV720913:QTV720915 RDR720913:RDR720915 RNN720913:RNN720915 RXJ720913:RXJ720915 SHF720913:SHF720915 SRB720913:SRB720915 TAX720913:TAX720915 TKT720913:TKT720915 TUP720913:TUP720915 UEL720913:UEL720915 UOH720913:UOH720915 UYD720913:UYD720915 VHZ720913:VHZ720915 VRV720913:VRV720915 WBR720913:WBR720915 WLN720913:WLN720915 WVJ720913:WVJ720915 B786449:B786451 IX786449:IX786451 ST786449:ST786451 ACP786449:ACP786451 AML786449:AML786451 AWH786449:AWH786451 BGD786449:BGD786451 BPZ786449:BPZ786451 BZV786449:BZV786451 CJR786449:CJR786451 CTN786449:CTN786451 DDJ786449:DDJ786451 DNF786449:DNF786451 DXB786449:DXB786451 EGX786449:EGX786451 EQT786449:EQT786451 FAP786449:FAP786451 FKL786449:FKL786451 FUH786449:FUH786451 GED786449:GED786451 GNZ786449:GNZ786451 GXV786449:GXV786451 HHR786449:HHR786451 HRN786449:HRN786451 IBJ786449:IBJ786451 ILF786449:ILF786451 IVB786449:IVB786451 JEX786449:JEX786451 JOT786449:JOT786451 JYP786449:JYP786451 KIL786449:KIL786451 KSH786449:KSH786451 LCD786449:LCD786451 LLZ786449:LLZ786451 LVV786449:LVV786451 MFR786449:MFR786451 MPN786449:MPN786451 MZJ786449:MZJ786451 NJF786449:NJF786451 NTB786449:NTB786451 OCX786449:OCX786451 OMT786449:OMT786451 OWP786449:OWP786451 PGL786449:PGL786451 PQH786449:PQH786451 QAD786449:QAD786451 QJZ786449:QJZ786451 QTV786449:QTV786451 RDR786449:RDR786451 RNN786449:RNN786451 RXJ786449:RXJ786451 SHF786449:SHF786451 SRB786449:SRB786451 TAX786449:TAX786451 TKT786449:TKT786451 TUP786449:TUP786451 UEL786449:UEL786451 UOH786449:UOH786451 UYD786449:UYD786451 VHZ786449:VHZ786451 VRV786449:VRV786451 WBR786449:WBR786451 WLN786449:WLN786451 WVJ786449:WVJ786451 B851985:B851987 IX851985:IX851987 ST851985:ST851987 ACP851985:ACP851987 AML851985:AML851987 AWH851985:AWH851987 BGD851985:BGD851987 BPZ851985:BPZ851987 BZV851985:BZV851987 CJR851985:CJR851987 CTN851985:CTN851987 DDJ851985:DDJ851987 DNF851985:DNF851987 DXB851985:DXB851987 EGX851985:EGX851987 EQT851985:EQT851987 FAP851985:FAP851987 FKL851985:FKL851987 FUH851985:FUH851987 GED851985:GED851987 GNZ851985:GNZ851987 GXV851985:GXV851987 HHR851985:HHR851987 HRN851985:HRN851987 IBJ851985:IBJ851987 ILF851985:ILF851987 IVB851985:IVB851987 JEX851985:JEX851987 JOT851985:JOT851987 JYP851985:JYP851987 KIL851985:KIL851987 KSH851985:KSH851987 LCD851985:LCD851987 LLZ851985:LLZ851987 LVV851985:LVV851987 MFR851985:MFR851987 MPN851985:MPN851987 MZJ851985:MZJ851987 NJF851985:NJF851987 NTB851985:NTB851987 OCX851985:OCX851987 OMT851985:OMT851987 OWP851985:OWP851987 PGL851985:PGL851987 PQH851985:PQH851987 QAD851985:QAD851987 QJZ851985:QJZ851987 QTV851985:QTV851987 RDR851985:RDR851987 RNN851985:RNN851987 RXJ851985:RXJ851987 SHF851985:SHF851987 SRB851985:SRB851987 TAX851985:TAX851987 TKT851985:TKT851987 TUP851985:TUP851987 UEL851985:UEL851987 UOH851985:UOH851987 UYD851985:UYD851987 VHZ851985:VHZ851987 VRV851985:VRV851987 WBR851985:WBR851987 WLN851985:WLN851987 WVJ851985:WVJ851987 B917521:B917523 IX917521:IX917523 ST917521:ST917523 ACP917521:ACP917523 AML917521:AML917523 AWH917521:AWH917523 BGD917521:BGD917523 BPZ917521:BPZ917523 BZV917521:BZV917523 CJR917521:CJR917523 CTN917521:CTN917523 DDJ917521:DDJ917523 DNF917521:DNF917523 DXB917521:DXB917523 EGX917521:EGX917523 EQT917521:EQT917523 FAP917521:FAP917523 FKL917521:FKL917523 FUH917521:FUH917523 GED917521:GED917523 GNZ917521:GNZ917523 GXV917521:GXV917523 HHR917521:HHR917523 HRN917521:HRN917523 IBJ917521:IBJ917523 ILF917521:ILF917523 IVB917521:IVB917523 JEX917521:JEX917523 JOT917521:JOT917523 JYP917521:JYP917523 KIL917521:KIL917523 KSH917521:KSH917523 LCD917521:LCD917523 LLZ917521:LLZ917523 LVV917521:LVV917523 MFR917521:MFR917523 MPN917521:MPN917523 MZJ917521:MZJ917523 NJF917521:NJF917523 NTB917521:NTB917523 OCX917521:OCX917523 OMT917521:OMT917523 OWP917521:OWP917523 PGL917521:PGL917523 PQH917521:PQH917523 QAD917521:QAD917523 QJZ917521:QJZ917523 QTV917521:QTV917523 RDR917521:RDR917523 RNN917521:RNN917523 RXJ917521:RXJ917523 SHF917521:SHF917523 SRB917521:SRB917523 TAX917521:TAX917523 TKT917521:TKT917523 TUP917521:TUP917523 UEL917521:UEL917523 UOH917521:UOH917523 UYD917521:UYD917523 VHZ917521:VHZ917523 VRV917521:VRV917523 WBR917521:WBR917523 WLN917521:WLN917523 WVJ917521:WVJ917523 B983057:B983059 IX983057:IX983059 ST983057:ST983059 ACP983057:ACP983059 AML983057:AML983059 AWH983057:AWH983059 BGD983057:BGD983059 BPZ983057:BPZ983059 BZV983057:BZV983059 CJR983057:CJR983059 CTN983057:CTN983059 DDJ983057:DDJ983059 DNF983057:DNF983059 DXB983057:DXB983059 EGX983057:EGX983059 EQT983057:EQT983059 FAP983057:FAP983059 FKL983057:FKL983059 FUH983057:FUH983059 GED983057:GED983059 GNZ983057:GNZ983059 GXV983057:GXV983059 HHR983057:HHR983059 HRN983057:HRN983059 IBJ983057:IBJ983059 ILF983057:ILF983059 IVB983057:IVB983059 JEX983057:JEX983059 JOT983057:JOT983059 JYP983057:JYP983059 KIL983057:KIL983059 KSH983057:KSH983059 LCD983057:LCD983059 LLZ983057:LLZ983059 LVV983057:LVV983059 MFR983057:MFR983059 MPN983057:MPN983059 MZJ983057:MZJ983059 NJF983057:NJF983059 NTB983057:NTB983059 OCX983057:OCX983059 OMT983057:OMT983059 OWP983057:OWP983059 PGL983057:PGL983059 PQH983057:PQH983059 QAD983057:QAD983059 QJZ983057:QJZ983059 QTV983057:QTV983059 RDR983057:RDR983059 RNN983057:RNN983059 RXJ983057:RXJ983059 SHF983057:SHF983059 SRB983057:SRB983059 TAX983057:TAX983059 TKT983057:TKT983059 TUP983057:TUP983059 UEL983057:UEL983059 UOH983057:UOH983059 UYD983057:UYD983059 VHZ983057:VHZ983059 VRV983057:VRV983059 WBR983057:WBR983059 WLN983057:WLN983059 WVJ983057:WVJ983059">
      <formula1>#REF!</formula1>
    </dataValidation>
    <dataValidation type="list" allowBlank="1" showInputMessage="1" showErrorMessage="1" sqref="P43:P46 JL43:JL46 TH43:TH46 ADD43:ADD46 AMZ43:AMZ46 AWV43:AWV46 BGR43:BGR46 BQN43:BQN46 CAJ43:CAJ46 CKF43:CKF46 CUB43:CUB46 DDX43:DDX46 DNT43:DNT46 DXP43:DXP46 EHL43:EHL46 ERH43:ERH46 FBD43:FBD46 FKZ43:FKZ46 FUV43:FUV46 GER43:GER46 GON43:GON46 GYJ43:GYJ46 HIF43:HIF46 HSB43:HSB46 IBX43:IBX46 ILT43:ILT46 IVP43:IVP46 JFL43:JFL46 JPH43:JPH46 JZD43:JZD46 KIZ43:KIZ46 KSV43:KSV46 LCR43:LCR46 LMN43:LMN46 LWJ43:LWJ46 MGF43:MGF46 MQB43:MQB46 MZX43:MZX46 NJT43:NJT46 NTP43:NTP46 ODL43:ODL46 ONH43:ONH46 OXD43:OXD46 PGZ43:PGZ46 PQV43:PQV46 QAR43:QAR46 QKN43:QKN46 QUJ43:QUJ46 REF43:REF46 ROB43:ROB46 RXX43:RXX46 SHT43:SHT46 SRP43:SRP46 TBL43:TBL46 TLH43:TLH46 TVD43:TVD46 UEZ43:UEZ46 UOV43:UOV46 UYR43:UYR46 VIN43:VIN46 VSJ43:VSJ46 WCF43:WCF46 WMB43:WMB46 WVX43:WVX46 P65579:P65582 JL65579:JL65582 TH65579:TH65582 ADD65579:ADD65582 AMZ65579:AMZ65582 AWV65579:AWV65582 BGR65579:BGR65582 BQN65579:BQN65582 CAJ65579:CAJ65582 CKF65579:CKF65582 CUB65579:CUB65582 DDX65579:DDX65582 DNT65579:DNT65582 DXP65579:DXP65582 EHL65579:EHL65582 ERH65579:ERH65582 FBD65579:FBD65582 FKZ65579:FKZ65582 FUV65579:FUV65582 GER65579:GER65582 GON65579:GON65582 GYJ65579:GYJ65582 HIF65579:HIF65582 HSB65579:HSB65582 IBX65579:IBX65582 ILT65579:ILT65582 IVP65579:IVP65582 JFL65579:JFL65582 JPH65579:JPH65582 JZD65579:JZD65582 KIZ65579:KIZ65582 KSV65579:KSV65582 LCR65579:LCR65582 LMN65579:LMN65582 LWJ65579:LWJ65582 MGF65579:MGF65582 MQB65579:MQB65582 MZX65579:MZX65582 NJT65579:NJT65582 NTP65579:NTP65582 ODL65579:ODL65582 ONH65579:ONH65582 OXD65579:OXD65582 PGZ65579:PGZ65582 PQV65579:PQV65582 QAR65579:QAR65582 QKN65579:QKN65582 QUJ65579:QUJ65582 REF65579:REF65582 ROB65579:ROB65582 RXX65579:RXX65582 SHT65579:SHT65582 SRP65579:SRP65582 TBL65579:TBL65582 TLH65579:TLH65582 TVD65579:TVD65582 UEZ65579:UEZ65582 UOV65579:UOV65582 UYR65579:UYR65582 VIN65579:VIN65582 VSJ65579:VSJ65582 WCF65579:WCF65582 WMB65579:WMB65582 WVX65579:WVX65582 P131115:P131118 JL131115:JL131118 TH131115:TH131118 ADD131115:ADD131118 AMZ131115:AMZ131118 AWV131115:AWV131118 BGR131115:BGR131118 BQN131115:BQN131118 CAJ131115:CAJ131118 CKF131115:CKF131118 CUB131115:CUB131118 DDX131115:DDX131118 DNT131115:DNT131118 DXP131115:DXP131118 EHL131115:EHL131118 ERH131115:ERH131118 FBD131115:FBD131118 FKZ131115:FKZ131118 FUV131115:FUV131118 GER131115:GER131118 GON131115:GON131118 GYJ131115:GYJ131118 HIF131115:HIF131118 HSB131115:HSB131118 IBX131115:IBX131118 ILT131115:ILT131118 IVP131115:IVP131118 JFL131115:JFL131118 JPH131115:JPH131118 JZD131115:JZD131118 KIZ131115:KIZ131118 KSV131115:KSV131118 LCR131115:LCR131118 LMN131115:LMN131118 LWJ131115:LWJ131118 MGF131115:MGF131118 MQB131115:MQB131118 MZX131115:MZX131118 NJT131115:NJT131118 NTP131115:NTP131118 ODL131115:ODL131118 ONH131115:ONH131118 OXD131115:OXD131118 PGZ131115:PGZ131118 PQV131115:PQV131118 QAR131115:QAR131118 QKN131115:QKN131118 QUJ131115:QUJ131118 REF131115:REF131118 ROB131115:ROB131118 RXX131115:RXX131118 SHT131115:SHT131118 SRP131115:SRP131118 TBL131115:TBL131118 TLH131115:TLH131118 TVD131115:TVD131118 UEZ131115:UEZ131118 UOV131115:UOV131118 UYR131115:UYR131118 VIN131115:VIN131118 VSJ131115:VSJ131118 WCF131115:WCF131118 WMB131115:WMB131118 WVX131115:WVX131118 P196651:P196654 JL196651:JL196654 TH196651:TH196654 ADD196651:ADD196654 AMZ196651:AMZ196654 AWV196651:AWV196654 BGR196651:BGR196654 BQN196651:BQN196654 CAJ196651:CAJ196654 CKF196651:CKF196654 CUB196651:CUB196654 DDX196651:DDX196654 DNT196651:DNT196654 DXP196651:DXP196654 EHL196651:EHL196654 ERH196651:ERH196654 FBD196651:FBD196654 FKZ196651:FKZ196654 FUV196651:FUV196654 GER196651:GER196654 GON196651:GON196654 GYJ196651:GYJ196654 HIF196651:HIF196654 HSB196651:HSB196654 IBX196651:IBX196654 ILT196651:ILT196654 IVP196651:IVP196654 JFL196651:JFL196654 JPH196651:JPH196654 JZD196651:JZD196654 KIZ196651:KIZ196654 KSV196651:KSV196654 LCR196651:LCR196654 LMN196651:LMN196654 LWJ196651:LWJ196654 MGF196651:MGF196654 MQB196651:MQB196654 MZX196651:MZX196654 NJT196651:NJT196654 NTP196651:NTP196654 ODL196651:ODL196654 ONH196651:ONH196654 OXD196651:OXD196654 PGZ196651:PGZ196654 PQV196651:PQV196654 QAR196651:QAR196654 QKN196651:QKN196654 QUJ196651:QUJ196654 REF196651:REF196654 ROB196651:ROB196654 RXX196651:RXX196654 SHT196651:SHT196654 SRP196651:SRP196654 TBL196651:TBL196654 TLH196651:TLH196654 TVD196651:TVD196654 UEZ196651:UEZ196654 UOV196651:UOV196654 UYR196651:UYR196654 VIN196651:VIN196654 VSJ196651:VSJ196654 WCF196651:WCF196654 WMB196651:WMB196654 WVX196651:WVX196654 P262187:P262190 JL262187:JL262190 TH262187:TH262190 ADD262187:ADD262190 AMZ262187:AMZ262190 AWV262187:AWV262190 BGR262187:BGR262190 BQN262187:BQN262190 CAJ262187:CAJ262190 CKF262187:CKF262190 CUB262187:CUB262190 DDX262187:DDX262190 DNT262187:DNT262190 DXP262187:DXP262190 EHL262187:EHL262190 ERH262187:ERH262190 FBD262187:FBD262190 FKZ262187:FKZ262190 FUV262187:FUV262190 GER262187:GER262190 GON262187:GON262190 GYJ262187:GYJ262190 HIF262187:HIF262190 HSB262187:HSB262190 IBX262187:IBX262190 ILT262187:ILT262190 IVP262187:IVP262190 JFL262187:JFL262190 JPH262187:JPH262190 JZD262187:JZD262190 KIZ262187:KIZ262190 KSV262187:KSV262190 LCR262187:LCR262190 LMN262187:LMN262190 LWJ262187:LWJ262190 MGF262187:MGF262190 MQB262187:MQB262190 MZX262187:MZX262190 NJT262187:NJT262190 NTP262187:NTP262190 ODL262187:ODL262190 ONH262187:ONH262190 OXD262187:OXD262190 PGZ262187:PGZ262190 PQV262187:PQV262190 QAR262187:QAR262190 QKN262187:QKN262190 QUJ262187:QUJ262190 REF262187:REF262190 ROB262187:ROB262190 RXX262187:RXX262190 SHT262187:SHT262190 SRP262187:SRP262190 TBL262187:TBL262190 TLH262187:TLH262190 TVD262187:TVD262190 UEZ262187:UEZ262190 UOV262187:UOV262190 UYR262187:UYR262190 VIN262187:VIN262190 VSJ262187:VSJ262190 WCF262187:WCF262190 WMB262187:WMB262190 WVX262187:WVX262190 P327723:P327726 JL327723:JL327726 TH327723:TH327726 ADD327723:ADD327726 AMZ327723:AMZ327726 AWV327723:AWV327726 BGR327723:BGR327726 BQN327723:BQN327726 CAJ327723:CAJ327726 CKF327723:CKF327726 CUB327723:CUB327726 DDX327723:DDX327726 DNT327723:DNT327726 DXP327723:DXP327726 EHL327723:EHL327726 ERH327723:ERH327726 FBD327723:FBD327726 FKZ327723:FKZ327726 FUV327723:FUV327726 GER327723:GER327726 GON327723:GON327726 GYJ327723:GYJ327726 HIF327723:HIF327726 HSB327723:HSB327726 IBX327723:IBX327726 ILT327723:ILT327726 IVP327723:IVP327726 JFL327723:JFL327726 JPH327723:JPH327726 JZD327723:JZD327726 KIZ327723:KIZ327726 KSV327723:KSV327726 LCR327723:LCR327726 LMN327723:LMN327726 LWJ327723:LWJ327726 MGF327723:MGF327726 MQB327723:MQB327726 MZX327723:MZX327726 NJT327723:NJT327726 NTP327723:NTP327726 ODL327723:ODL327726 ONH327723:ONH327726 OXD327723:OXD327726 PGZ327723:PGZ327726 PQV327723:PQV327726 QAR327723:QAR327726 QKN327723:QKN327726 QUJ327723:QUJ327726 REF327723:REF327726 ROB327723:ROB327726 RXX327723:RXX327726 SHT327723:SHT327726 SRP327723:SRP327726 TBL327723:TBL327726 TLH327723:TLH327726 TVD327723:TVD327726 UEZ327723:UEZ327726 UOV327723:UOV327726 UYR327723:UYR327726 VIN327723:VIN327726 VSJ327723:VSJ327726 WCF327723:WCF327726 WMB327723:WMB327726 WVX327723:WVX327726 P393259:P393262 JL393259:JL393262 TH393259:TH393262 ADD393259:ADD393262 AMZ393259:AMZ393262 AWV393259:AWV393262 BGR393259:BGR393262 BQN393259:BQN393262 CAJ393259:CAJ393262 CKF393259:CKF393262 CUB393259:CUB393262 DDX393259:DDX393262 DNT393259:DNT393262 DXP393259:DXP393262 EHL393259:EHL393262 ERH393259:ERH393262 FBD393259:FBD393262 FKZ393259:FKZ393262 FUV393259:FUV393262 GER393259:GER393262 GON393259:GON393262 GYJ393259:GYJ393262 HIF393259:HIF393262 HSB393259:HSB393262 IBX393259:IBX393262 ILT393259:ILT393262 IVP393259:IVP393262 JFL393259:JFL393262 JPH393259:JPH393262 JZD393259:JZD393262 KIZ393259:KIZ393262 KSV393259:KSV393262 LCR393259:LCR393262 LMN393259:LMN393262 LWJ393259:LWJ393262 MGF393259:MGF393262 MQB393259:MQB393262 MZX393259:MZX393262 NJT393259:NJT393262 NTP393259:NTP393262 ODL393259:ODL393262 ONH393259:ONH393262 OXD393259:OXD393262 PGZ393259:PGZ393262 PQV393259:PQV393262 QAR393259:QAR393262 QKN393259:QKN393262 QUJ393259:QUJ393262 REF393259:REF393262 ROB393259:ROB393262 RXX393259:RXX393262 SHT393259:SHT393262 SRP393259:SRP393262 TBL393259:TBL393262 TLH393259:TLH393262 TVD393259:TVD393262 UEZ393259:UEZ393262 UOV393259:UOV393262 UYR393259:UYR393262 VIN393259:VIN393262 VSJ393259:VSJ393262 WCF393259:WCF393262 WMB393259:WMB393262 WVX393259:WVX393262 P458795:P458798 JL458795:JL458798 TH458795:TH458798 ADD458795:ADD458798 AMZ458795:AMZ458798 AWV458795:AWV458798 BGR458795:BGR458798 BQN458795:BQN458798 CAJ458795:CAJ458798 CKF458795:CKF458798 CUB458795:CUB458798 DDX458795:DDX458798 DNT458795:DNT458798 DXP458795:DXP458798 EHL458795:EHL458798 ERH458795:ERH458798 FBD458795:FBD458798 FKZ458795:FKZ458798 FUV458795:FUV458798 GER458795:GER458798 GON458795:GON458798 GYJ458795:GYJ458798 HIF458795:HIF458798 HSB458795:HSB458798 IBX458795:IBX458798 ILT458795:ILT458798 IVP458795:IVP458798 JFL458795:JFL458798 JPH458795:JPH458798 JZD458795:JZD458798 KIZ458795:KIZ458798 KSV458795:KSV458798 LCR458795:LCR458798 LMN458795:LMN458798 LWJ458795:LWJ458798 MGF458795:MGF458798 MQB458795:MQB458798 MZX458795:MZX458798 NJT458795:NJT458798 NTP458795:NTP458798 ODL458795:ODL458798 ONH458795:ONH458798 OXD458795:OXD458798 PGZ458795:PGZ458798 PQV458795:PQV458798 QAR458795:QAR458798 QKN458795:QKN458798 QUJ458795:QUJ458798 REF458795:REF458798 ROB458795:ROB458798 RXX458795:RXX458798 SHT458795:SHT458798 SRP458795:SRP458798 TBL458795:TBL458798 TLH458795:TLH458798 TVD458795:TVD458798 UEZ458795:UEZ458798 UOV458795:UOV458798 UYR458795:UYR458798 VIN458795:VIN458798 VSJ458795:VSJ458798 WCF458795:WCF458798 WMB458795:WMB458798 WVX458795:WVX458798 P524331:P524334 JL524331:JL524334 TH524331:TH524334 ADD524331:ADD524334 AMZ524331:AMZ524334 AWV524331:AWV524334 BGR524331:BGR524334 BQN524331:BQN524334 CAJ524331:CAJ524334 CKF524331:CKF524334 CUB524331:CUB524334 DDX524331:DDX524334 DNT524331:DNT524334 DXP524331:DXP524334 EHL524331:EHL524334 ERH524331:ERH524334 FBD524331:FBD524334 FKZ524331:FKZ524334 FUV524331:FUV524334 GER524331:GER524334 GON524331:GON524334 GYJ524331:GYJ524334 HIF524331:HIF524334 HSB524331:HSB524334 IBX524331:IBX524334 ILT524331:ILT524334 IVP524331:IVP524334 JFL524331:JFL524334 JPH524331:JPH524334 JZD524331:JZD524334 KIZ524331:KIZ524334 KSV524331:KSV524334 LCR524331:LCR524334 LMN524331:LMN524334 LWJ524331:LWJ524334 MGF524331:MGF524334 MQB524331:MQB524334 MZX524331:MZX524334 NJT524331:NJT524334 NTP524331:NTP524334 ODL524331:ODL524334 ONH524331:ONH524334 OXD524331:OXD524334 PGZ524331:PGZ524334 PQV524331:PQV524334 QAR524331:QAR524334 QKN524331:QKN524334 QUJ524331:QUJ524334 REF524331:REF524334 ROB524331:ROB524334 RXX524331:RXX524334 SHT524331:SHT524334 SRP524331:SRP524334 TBL524331:TBL524334 TLH524331:TLH524334 TVD524331:TVD524334 UEZ524331:UEZ524334 UOV524331:UOV524334 UYR524331:UYR524334 VIN524331:VIN524334 VSJ524331:VSJ524334 WCF524331:WCF524334 WMB524331:WMB524334 WVX524331:WVX524334 P589867:P589870 JL589867:JL589870 TH589867:TH589870 ADD589867:ADD589870 AMZ589867:AMZ589870 AWV589867:AWV589870 BGR589867:BGR589870 BQN589867:BQN589870 CAJ589867:CAJ589870 CKF589867:CKF589870 CUB589867:CUB589870 DDX589867:DDX589870 DNT589867:DNT589870 DXP589867:DXP589870 EHL589867:EHL589870 ERH589867:ERH589870 FBD589867:FBD589870 FKZ589867:FKZ589870 FUV589867:FUV589870 GER589867:GER589870 GON589867:GON589870 GYJ589867:GYJ589870 HIF589867:HIF589870 HSB589867:HSB589870 IBX589867:IBX589870 ILT589867:ILT589870 IVP589867:IVP589870 JFL589867:JFL589870 JPH589867:JPH589870 JZD589867:JZD589870 KIZ589867:KIZ589870 KSV589867:KSV589870 LCR589867:LCR589870 LMN589867:LMN589870 LWJ589867:LWJ589870 MGF589867:MGF589870 MQB589867:MQB589870 MZX589867:MZX589870 NJT589867:NJT589870 NTP589867:NTP589870 ODL589867:ODL589870 ONH589867:ONH589870 OXD589867:OXD589870 PGZ589867:PGZ589870 PQV589867:PQV589870 QAR589867:QAR589870 QKN589867:QKN589870 QUJ589867:QUJ589870 REF589867:REF589870 ROB589867:ROB589870 RXX589867:RXX589870 SHT589867:SHT589870 SRP589867:SRP589870 TBL589867:TBL589870 TLH589867:TLH589870 TVD589867:TVD589870 UEZ589867:UEZ589870 UOV589867:UOV589870 UYR589867:UYR589870 VIN589867:VIN589870 VSJ589867:VSJ589870 WCF589867:WCF589870 WMB589867:WMB589870 WVX589867:WVX589870 P655403:P655406 JL655403:JL655406 TH655403:TH655406 ADD655403:ADD655406 AMZ655403:AMZ655406 AWV655403:AWV655406 BGR655403:BGR655406 BQN655403:BQN655406 CAJ655403:CAJ655406 CKF655403:CKF655406 CUB655403:CUB655406 DDX655403:DDX655406 DNT655403:DNT655406 DXP655403:DXP655406 EHL655403:EHL655406 ERH655403:ERH655406 FBD655403:FBD655406 FKZ655403:FKZ655406 FUV655403:FUV655406 GER655403:GER655406 GON655403:GON655406 GYJ655403:GYJ655406 HIF655403:HIF655406 HSB655403:HSB655406 IBX655403:IBX655406 ILT655403:ILT655406 IVP655403:IVP655406 JFL655403:JFL655406 JPH655403:JPH655406 JZD655403:JZD655406 KIZ655403:KIZ655406 KSV655403:KSV655406 LCR655403:LCR655406 LMN655403:LMN655406 LWJ655403:LWJ655406 MGF655403:MGF655406 MQB655403:MQB655406 MZX655403:MZX655406 NJT655403:NJT655406 NTP655403:NTP655406 ODL655403:ODL655406 ONH655403:ONH655406 OXD655403:OXD655406 PGZ655403:PGZ655406 PQV655403:PQV655406 QAR655403:QAR655406 QKN655403:QKN655406 QUJ655403:QUJ655406 REF655403:REF655406 ROB655403:ROB655406 RXX655403:RXX655406 SHT655403:SHT655406 SRP655403:SRP655406 TBL655403:TBL655406 TLH655403:TLH655406 TVD655403:TVD655406 UEZ655403:UEZ655406 UOV655403:UOV655406 UYR655403:UYR655406 VIN655403:VIN655406 VSJ655403:VSJ655406 WCF655403:WCF655406 WMB655403:WMB655406 WVX655403:WVX655406 P720939:P720942 JL720939:JL720942 TH720939:TH720942 ADD720939:ADD720942 AMZ720939:AMZ720942 AWV720939:AWV720942 BGR720939:BGR720942 BQN720939:BQN720942 CAJ720939:CAJ720942 CKF720939:CKF720942 CUB720939:CUB720942 DDX720939:DDX720942 DNT720939:DNT720942 DXP720939:DXP720942 EHL720939:EHL720942 ERH720939:ERH720942 FBD720939:FBD720942 FKZ720939:FKZ720942 FUV720939:FUV720942 GER720939:GER720942 GON720939:GON720942 GYJ720939:GYJ720942 HIF720939:HIF720942 HSB720939:HSB720942 IBX720939:IBX720942 ILT720939:ILT720942 IVP720939:IVP720942 JFL720939:JFL720942 JPH720939:JPH720942 JZD720939:JZD720942 KIZ720939:KIZ720942 KSV720939:KSV720942 LCR720939:LCR720942 LMN720939:LMN720942 LWJ720939:LWJ720942 MGF720939:MGF720942 MQB720939:MQB720942 MZX720939:MZX720942 NJT720939:NJT720942 NTP720939:NTP720942 ODL720939:ODL720942 ONH720939:ONH720942 OXD720939:OXD720942 PGZ720939:PGZ720942 PQV720939:PQV720942 QAR720939:QAR720942 QKN720939:QKN720942 QUJ720939:QUJ720942 REF720939:REF720942 ROB720939:ROB720942 RXX720939:RXX720942 SHT720939:SHT720942 SRP720939:SRP720942 TBL720939:TBL720942 TLH720939:TLH720942 TVD720939:TVD720942 UEZ720939:UEZ720942 UOV720939:UOV720942 UYR720939:UYR720942 VIN720939:VIN720942 VSJ720939:VSJ720942 WCF720939:WCF720942 WMB720939:WMB720942 WVX720939:WVX720942 P786475:P786478 JL786475:JL786478 TH786475:TH786478 ADD786475:ADD786478 AMZ786475:AMZ786478 AWV786475:AWV786478 BGR786475:BGR786478 BQN786475:BQN786478 CAJ786475:CAJ786478 CKF786475:CKF786478 CUB786475:CUB786478 DDX786475:DDX786478 DNT786475:DNT786478 DXP786475:DXP786478 EHL786475:EHL786478 ERH786475:ERH786478 FBD786475:FBD786478 FKZ786475:FKZ786478 FUV786475:FUV786478 GER786475:GER786478 GON786475:GON786478 GYJ786475:GYJ786478 HIF786475:HIF786478 HSB786475:HSB786478 IBX786475:IBX786478 ILT786475:ILT786478 IVP786475:IVP786478 JFL786475:JFL786478 JPH786475:JPH786478 JZD786475:JZD786478 KIZ786475:KIZ786478 KSV786475:KSV786478 LCR786475:LCR786478 LMN786475:LMN786478 LWJ786475:LWJ786478 MGF786475:MGF786478 MQB786475:MQB786478 MZX786475:MZX786478 NJT786475:NJT786478 NTP786475:NTP786478 ODL786475:ODL786478 ONH786475:ONH786478 OXD786475:OXD786478 PGZ786475:PGZ786478 PQV786475:PQV786478 QAR786475:QAR786478 QKN786475:QKN786478 QUJ786475:QUJ786478 REF786475:REF786478 ROB786475:ROB786478 RXX786475:RXX786478 SHT786475:SHT786478 SRP786475:SRP786478 TBL786475:TBL786478 TLH786475:TLH786478 TVD786475:TVD786478 UEZ786475:UEZ786478 UOV786475:UOV786478 UYR786475:UYR786478 VIN786475:VIN786478 VSJ786475:VSJ786478 WCF786475:WCF786478 WMB786475:WMB786478 WVX786475:WVX786478 P852011:P852014 JL852011:JL852014 TH852011:TH852014 ADD852011:ADD852014 AMZ852011:AMZ852014 AWV852011:AWV852014 BGR852011:BGR852014 BQN852011:BQN852014 CAJ852011:CAJ852014 CKF852011:CKF852014 CUB852011:CUB852014 DDX852011:DDX852014 DNT852011:DNT852014 DXP852011:DXP852014 EHL852011:EHL852014 ERH852011:ERH852014 FBD852011:FBD852014 FKZ852011:FKZ852014 FUV852011:FUV852014 GER852011:GER852014 GON852011:GON852014 GYJ852011:GYJ852014 HIF852011:HIF852014 HSB852011:HSB852014 IBX852011:IBX852014 ILT852011:ILT852014 IVP852011:IVP852014 JFL852011:JFL852014 JPH852011:JPH852014 JZD852011:JZD852014 KIZ852011:KIZ852014 KSV852011:KSV852014 LCR852011:LCR852014 LMN852011:LMN852014 LWJ852011:LWJ852014 MGF852011:MGF852014 MQB852011:MQB852014 MZX852011:MZX852014 NJT852011:NJT852014 NTP852011:NTP852014 ODL852011:ODL852014 ONH852011:ONH852014 OXD852011:OXD852014 PGZ852011:PGZ852014 PQV852011:PQV852014 QAR852011:QAR852014 QKN852011:QKN852014 QUJ852011:QUJ852014 REF852011:REF852014 ROB852011:ROB852014 RXX852011:RXX852014 SHT852011:SHT852014 SRP852011:SRP852014 TBL852011:TBL852014 TLH852011:TLH852014 TVD852011:TVD852014 UEZ852011:UEZ852014 UOV852011:UOV852014 UYR852011:UYR852014 VIN852011:VIN852014 VSJ852011:VSJ852014 WCF852011:WCF852014 WMB852011:WMB852014 WVX852011:WVX852014 P917547:P917550 JL917547:JL917550 TH917547:TH917550 ADD917547:ADD917550 AMZ917547:AMZ917550 AWV917547:AWV917550 BGR917547:BGR917550 BQN917547:BQN917550 CAJ917547:CAJ917550 CKF917547:CKF917550 CUB917547:CUB917550 DDX917547:DDX917550 DNT917547:DNT917550 DXP917547:DXP917550 EHL917547:EHL917550 ERH917547:ERH917550 FBD917547:FBD917550 FKZ917547:FKZ917550 FUV917547:FUV917550 GER917547:GER917550 GON917547:GON917550 GYJ917547:GYJ917550 HIF917547:HIF917550 HSB917547:HSB917550 IBX917547:IBX917550 ILT917547:ILT917550 IVP917547:IVP917550 JFL917547:JFL917550 JPH917547:JPH917550 JZD917547:JZD917550 KIZ917547:KIZ917550 KSV917547:KSV917550 LCR917547:LCR917550 LMN917547:LMN917550 LWJ917547:LWJ917550 MGF917547:MGF917550 MQB917547:MQB917550 MZX917547:MZX917550 NJT917547:NJT917550 NTP917547:NTP917550 ODL917547:ODL917550 ONH917547:ONH917550 OXD917547:OXD917550 PGZ917547:PGZ917550 PQV917547:PQV917550 QAR917547:QAR917550 QKN917547:QKN917550 QUJ917547:QUJ917550 REF917547:REF917550 ROB917547:ROB917550 RXX917547:RXX917550 SHT917547:SHT917550 SRP917547:SRP917550 TBL917547:TBL917550 TLH917547:TLH917550 TVD917547:TVD917550 UEZ917547:UEZ917550 UOV917547:UOV917550 UYR917547:UYR917550 VIN917547:VIN917550 VSJ917547:VSJ917550 WCF917547:WCF917550 WMB917547:WMB917550 WVX917547:WVX917550 P983083:P983086 JL983083:JL983086 TH983083:TH983086 ADD983083:ADD983086 AMZ983083:AMZ983086 AWV983083:AWV983086 BGR983083:BGR983086 BQN983083:BQN983086 CAJ983083:CAJ983086 CKF983083:CKF983086 CUB983083:CUB983086 DDX983083:DDX983086 DNT983083:DNT983086 DXP983083:DXP983086 EHL983083:EHL983086 ERH983083:ERH983086 FBD983083:FBD983086 FKZ983083:FKZ983086 FUV983083:FUV983086 GER983083:GER983086 GON983083:GON983086 GYJ983083:GYJ983086 HIF983083:HIF983086 HSB983083:HSB983086 IBX983083:IBX983086 ILT983083:ILT983086 IVP983083:IVP983086 JFL983083:JFL983086 JPH983083:JPH983086 JZD983083:JZD983086 KIZ983083:KIZ983086 KSV983083:KSV983086 LCR983083:LCR983086 LMN983083:LMN983086 LWJ983083:LWJ983086 MGF983083:MGF983086 MQB983083:MQB983086 MZX983083:MZX983086 NJT983083:NJT983086 NTP983083:NTP983086 ODL983083:ODL983086 ONH983083:ONH983086 OXD983083:OXD983086 PGZ983083:PGZ983086 PQV983083:PQV983086 QAR983083:QAR983086 QKN983083:QKN983086 QUJ983083:QUJ983086 REF983083:REF983086 ROB983083:ROB983086 RXX983083:RXX983086 SHT983083:SHT983086 SRP983083:SRP983086 TBL983083:TBL983086 TLH983083:TLH983086 TVD983083:TVD983086 UEZ983083:UEZ983086 UOV983083:UOV983086 UYR983083:UYR983086 VIN983083:VIN983086 VSJ983083:VSJ983086 WCF983083:WCF983086 WMB983083:WMB983086 WVX983083:WVX983086">
      <formula1>$P$6:$P$10</formula1>
    </dataValidation>
    <dataValidation type="list" allowBlank="1" showInputMessage="1" showErrorMessage="1" sqref="B43:B46 IX43:IX46 ST43:ST46 ACP43:ACP46 AML43:AML46 AWH43:AWH46 BGD43:BGD46 BPZ43:BPZ46 BZV43:BZV46 CJR43:CJR46 CTN43:CTN46 DDJ43:DDJ46 DNF43:DNF46 DXB43:DXB46 EGX43:EGX46 EQT43:EQT46 FAP43:FAP46 FKL43:FKL46 FUH43:FUH46 GED43:GED46 GNZ43:GNZ46 GXV43:GXV46 HHR43:HHR46 HRN43:HRN46 IBJ43:IBJ46 ILF43:ILF46 IVB43:IVB46 JEX43:JEX46 JOT43:JOT46 JYP43:JYP46 KIL43:KIL46 KSH43:KSH46 LCD43:LCD46 LLZ43:LLZ46 LVV43:LVV46 MFR43:MFR46 MPN43:MPN46 MZJ43:MZJ46 NJF43:NJF46 NTB43:NTB46 OCX43:OCX46 OMT43:OMT46 OWP43:OWP46 PGL43:PGL46 PQH43:PQH46 QAD43:QAD46 QJZ43:QJZ46 QTV43:QTV46 RDR43:RDR46 RNN43:RNN46 RXJ43:RXJ46 SHF43:SHF46 SRB43:SRB46 TAX43:TAX46 TKT43:TKT46 TUP43:TUP46 UEL43:UEL46 UOH43:UOH46 UYD43:UYD46 VHZ43:VHZ46 VRV43:VRV46 WBR43:WBR46 WLN43:WLN46 WVJ43:WVJ46 B65579:B65582 IX65579:IX65582 ST65579:ST65582 ACP65579:ACP65582 AML65579:AML65582 AWH65579:AWH65582 BGD65579:BGD65582 BPZ65579:BPZ65582 BZV65579:BZV65582 CJR65579:CJR65582 CTN65579:CTN65582 DDJ65579:DDJ65582 DNF65579:DNF65582 DXB65579:DXB65582 EGX65579:EGX65582 EQT65579:EQT65582 FAP65579:FAP65582 FKL65579:FKL65582 FUH65579:FUH65582 GED65579:GED65582 GNZ65579:GNZ65582 GXV65579:GXV65582 HHR65579:HHR65582 HRN65579:HRN65582 IBJ65579:IBJ65582 ILF65579:ILF65582 IVB65579:IVB65582 JEX65579:JEX65582 JOT65579:JOT65582 JYP65579:JYP65582 KIL65579:KIL65582 KSH65579:KSH65582 LCD65579:LCD65582 LLZ65579:LLZ65582 LVV65579:LVV65582 MFR65579:MFR65582 MPN65579:MPN65582 MZJ65579:MZJ65582 NJF65579:NJF65582 NTB65579:NTB65582 OCX65579:OCX65582 OMT65579:OMT65582 OWP65579:OWP65582 PGL65579:PGL65582 PQH65579:PQH65582 QAD65579:QAD65582 QJZ65579:QJZ65582 QTV65579:QTV65582 RDR65579:RDR65582 RNN65579:RNN65582 RXJ65579:RXJ65582 SHF65579:SHF65582 SRB65579:SRB65582 TAX65579:TAX65582 TKT65579:TKT65582 TUP65579:TUP65582 UEL65579:UEL65582 UOH65579:UOH65582 UYD65579:UYD65582 VHZ65579:VHZ65582 VRV65579:VRV65582 WBR65579:WBR65582 WLN65579:WLN65582 WVJ65579:WVJ65582 B131115:B131118 IX131115:IX131118 ST131115:ST131118 ACP131115:ACP131118 AML131115:AML131118 AWH131115:AWH131118 BGD131115:BGD131118 BPZ131115:BPZ131118 BZV131115:BZV131118 CJR131115:CJR131118 CTN131115:CTN131118 DDJ131115:DDJ131118 DNF131115:DNF131118 DXB131115:DXB131118 EGX131115:EGX131118 EQT131115:EQT131118 FAP131115:FAP131118 FKL131115:FKL131118 FUH131115:FUH131118 GED131115:GED131118 GNZ131115:GNZ131118 GXV131115:GXV131118 HHR131115:HHR131118 HRN131115:HRN131118 IBJ131115:IBJ131118 ILF131115:ILF131118 IVB131115:IVB131118 JEX131115:JEX131118 JOT131115:JOT131118 JYP131115:JYP131118 KIL131115:KIL131118 KSH131115:KSH131118 LCD131115:LCD131118 LLZ131115:LLZ131118 LVV131115:LVV131118 MFR131115:MFR131118 MPN131115:MPN131118 MZJ131115:MZJ131118 NJF131115:NJF131118 NTB131115:NTB131118 OCX131115:OCX131118 OMT131115:OMT131118 OWP131115:OWP131118 PGL131115:PGL131118 PQH131115:PQH131118 QAD131115:QAD131118 QJZ131115:QJZ131118 QTV131115:QTV131118 RDR131115:RDR131118 RNN131115:RNN131118 RXJ131115:RXJ131118 SHF131115:SHF131118 SRB131115:SRB131118 TAX131115:TAX131118 TKT131115:TKT131118 TUP131115:TUP131118 UEL131115:UEL131118 UOH131115:UOH131118 UYD131115:UYD131118 VHZ131115:VHZ131118 VRV131115:VRV131118 WBR131115:WBR131118 WLN131115:WLN131118 WVJ131115:WVJ131118 B196651:B196654 IX196651:IX196654 ST196651:ST196654 ACP196651:ACP196654 AML196651:AML196654 AWH196651:AWH196654 BGD196651:BGD196654 BPZ196651:BPZ196654 BZV196651:BZV196654 CJR196651:CJR196654 CTN196651:CTN196654 DDJ196651:DDJ196654 DNF196651:DNF196654 DXB196651:DXB196654 EGX196651:EGX196654 EQT196651:EQT196654 FAP196651:FAP196654 FKL196651:FKL196654 FUH196651:FUH196654 GED196651:GED196654 GNZ196651:GNZ196654 GXV196651:GXV196654 HHR196651:HHR196654 HRN196651:HRN196654 IBJ196651:IBJ196654 ILF196651:ILF196654 IVB196651:IVB196654 JEX196651:JEX196654 JOT196651:JOT196654 JYP196651:JYP196654 KIL196651:KIL196654 KSH196651:KSH196654 LCD196651:LCD196654 LLZ196651:LLZ196654 LVV196651:LVV196654 MFR196651:MFR196654 MPN196651:MPN196654 MZJ196651:MZJ196654 NJF196651:NJF196654 NTB196651:NTB196654 OCX196651:OCX196654 OMT196651:OMT196654 OWP196651:OWP196654 PGL196651:PGL196654 PQH196651:PQH196654 QAD196651:QAD196654 QJZ196651:QJZ196654 QTV196651:QTV196654 RDR196651:RDR196654 RNN196651:RNN196654 RXJ196651:RXJ196654 SHF196651:SHF196654 SRB196651:SRB196654 TAX196651:TAX196654 TKT196651:TKT196654 TUP196651:TUP196654 UEL196651:UEL196654 UOH196651:UOH196654 UYD196651:UYD196654 VHZ196651:VHZ196654 VRV196651:VRV196654 WBR196651:WBR196654 WLN196651:WLN196654 WVJ196651:WVJ196654 B262187:B262190 IX262187:IX262190 ST262187:ST262190 ACP262187:ACP262190 AML262187:AML262190 AWH262187:AWH262190 BGD262187:BGD262190 BPZ262187:BPZ262190 BZV262187:BZV262190 CJR262187:CJR262190 CTN262187:CTN262190 DDJ262187:DDJ262190 DNF262187:DNF262190 DXB262187:DXB262190 EGX262187:EGX262190 EQT262187:EQT262190 FAP262187:FAP262190 FKL262187:FKL262190 FUH262187:FUH262190 GED262187:GED262190 GNZ262187:GNZ262190 GXV262187:GXV262190 HHR262187:HHR262190 HRN262187:HRN262190 IBJ262187:IBJ262190 ILF262187:ILF262190 IVB262187:IVB262190 JEX262187:JEX262190 JOT262187:JOT262190 JYP262187:JYP262190 KIL262187:KIL262190 KSH262187:KSH262190 LCD262187:LCD262190 LLZ262187:LLZ262190 LVV262187:LVV262190 MFR262187:MFR262190 MPN262187:MPN262190 MZJ262187:MZJ262190 NJF262187:NJF262190 NTB262187:NTB262190 OCX262187:OCX262190 OMT262187:OMT262190 OWP262187:OWP262190 PGL262187:PGL262190 PQH262187:PQH262190 QAD262187:QAD262190 QJZ262187:QJZ262190 QTV262187:QTV262190 RDR262187:RDR262190 RNN262187:RNN262190 RXJ262187:RXJ262190 SHF262187:SHF262190 SRB262187:SRB262190 TAX262187:TAX262190 TKT262187:TKT262190 TUP262187:TUP262190 UEL262187:UEL262190 UOH262187:UOH262190 UYD262187:UYD262190 VHZ262187:VHZ262190 VRV262187:VRV262190 WBR262187:WBR262190 WLN262187:WLN262190 WVJ262187:WVJ262190 B327723:B327726 IX327723:IX327726 ST327723:ST327726 ACP327723:ACP327726 AML327723:AML327726 AWH327723:AWH327726 BGD327723:BGD327726 BPZ327723:BPZ327726 BZV327723:BZV327726 CJR327723:CJR327726 CTN327723:CTN327726 DDJ327723:DDJ327726 DNF327723:DNF327726 DXB327723:DXB327726 EGX327723:EGX327726 EQT327723:EQT327726 FAP327723:FAP327726 FKL327723:FKL327726 FUH327723:FUH327726 GED327723:GED327726 GNZ327723:GNZ327726 GXV327723:GXV327726 HHR327723:HHR327726 HRN327723:HRN327726 IBJ327723:IBJ327726 ILF327723:ILF327726 IVB327723:IVB327726 JEX327723:JEX327726 JOT327723:JOT327726 JYP327723:JYP327726 KIL327723:KIL327726 KSH327723:KSH327726 LCD327723:LCD327726 LLZ327723:LLZ327726 LVV327723:LVV327726 MFR327723:MFR327726 MPN327723:MPN327726 MZJ327723:MZJ327726 NJF327723:NJF327726 NTB327723:NTB327726 OCX327723:OCX327726 OMT327723:OMT327726 OWP327723:OWP327726 PGL327723:PGL327726 PQH327723:PQH327726 QAD327723:QAD327726 QJZ327723:QJZ327726 QTV327723:QTV327726 RDR327723:RDR327726 RNN327723:RNN327726 RXJ327723:RXJ327726 SHF327723:SHF327726 SRB327723:SRB327726 TAX327723:TAX327726 TKT327723:TKT327726 TUP327723:TUP327726 UEL327723:UEL327726 UOH327723:UOH327726 UYD327723:UYD327726 VHZ327723:VHZ327726 VRV327723:VRV327726 WBR327723:WBR327726 WLN327723:WLN327726 WVJ327723:WVJ327726 B393259:B393262 IX393259:IX393262 ST393259:ST393262 ACP393259:ACP393262 AML393259:AML393262 AWH393259:AWH393262 BGD393259:BGD393262 BPZ393259:BPZ393262 BZV393259:BZV393262 CJR393259:CJR393262 CTN393259:CTN393262 DDJ393259:DDJ393262 DNF393259:DNF393262 DXB393259:DXB393262 EGX393259:EGX393262 EQT393259:EQT393262 FAP393259:FAP393262 FKL393259:FKL393262 FUH393259:FUH393262 GED393259:GED393262 GNZ393259:GNZ393262 GXV393259:GXV393262 HHR393259:HHR393262 HRN393259:HRN393262 IBJ393259:IBJ393262 ILF393259:ILF393262 IVB393259:IVB393262 JEX393259:JEX393262 JOT393259:JOT393262 JYP393259:JYP393262 KIL393259:KIL393262 KSH393259:KSH393262 LCD393259:LCD393262 LLZ393259:LLZ393262 LVV393259:LVV393262 MFR393259:MFR393262 MPN393259:MPN393262 MZJ393259:MZJ393262 NJF393259:NJF393262 NTB393259:NTB393262 OCX393259:OCX393262 OMT393259:OMT393262 OWP393259:OWP393262 PGL393259:PGL393262 PQH393259:PQH393262 QAD393259:QAD393262 QJZ393259:QJZ393262 QTV393259:QTV393262 RDR393259:RDR393262 RNN393259:RNN393262 RXJ393259:RXJ393262 SHF393259:SHF393262 SRB393259:SRB393262 TAX393259:TAX393262 TKT393259:TKT393262 TUP393259:TUP393262 UEL393259:UEL393262 UOH393259:UOH393262 UYD393259:UYD393262 VHZ393259:VHZ393262 VRV393259:VRV393262 WBR393259:WBR393262 WLN393259:WLN393262 WVJ393259:WVJ393262 B458795:B458798 IX458795:IX458798 ST458795:ST458798 ACP458795:ACP458798 AML458795:AML458798 AWH458795:AWH458798 BGD458795:BGD458798 BPZ458795:BPZ458798 BZV458795:BZV458798 CJR458795:CJR458798 CTN458795:CTN458798 DDJ458795:DDJ458798 DNF458795:DNF458798 DXB458795:DXB458798 EGX458795:EGX458798 EQT458795:EQT458798 FAP458795:FAP458798 FKL458795:FKL458798 FUH458795:FUH458798 GED458795:GED458798 GNZ458795:GNZ458798 GXV458795:GXV458798 HHR458795:HHR458798 HRN458795:HRN458798 IBJ458795:IBJ458798 ILF458795:ILF458798 IVB458795:IVB458798 JEX458795:JEX458798 JOT458795:JOT458798 JYP458795:JYP458798 KIL458795:KIL458798 KSH458795:KSH458798 LCD458795:LCD458798 LLZ458795:LLZ458798 LVV458795:LVV458798 MFR458795:MFR458798 MPN458795:MPN458798 MZJ458795:MZJ458798 NJF458795:NJF458798 NTB458795:NTB458798 OCX458795:OCX458798 OMT458795:OMT458798 OWP458795:OWP458798 PGL458795:PGL458798 PQH458795:PQH458798 QAD458795:QAD458798 QJZ458795:QJZ458798 QTV458795:QTV458798 RDR458795:RDR458798 RNN458795:RNN458798 RXJ458795:RXJ458798 SHF458795:SHF458798 SRB458795:SRB458798 TAX458795:TAX458798 TKT458795:TKT458798 TUP458795:TUP458798 UEL458795:UEL458798 UOH458795:UOH458798 UYD458795:UYD458798 VHZ458795:VHZ458798 VRV458795:VRV458798 WBR458795:WBR458798 WLN458795:WLN458798 WVJ458795:WVJ458798 B524331:B524334 IX524331:IX524334 ST524331:ST524334 ACP524331:ACP524334 AML524331:AML524334 AWH524331:AWH524334 BGD524331:BGD524334 BPZ524331:BPZ524334 BZV524331:BZV524334 CJR524331:CJR524334 CTN524331:CTN524334 DDJ524331:DDJ524334 DNF524331:DNF524334 DXB524331:DXB524334 EGX524331:EGX524334 EQT524331:EQT524334 FAP524331:FAP524334 FKL524331:FKL524334 FUH524331:FUH524334 GED524331:GED524334 GNZ524331:GNZ524334 GXV524331:GXV524334 HHR524331:HHR524334 HRN524331:HRN524334 IBJ524331:IBJ524334 ILF524331:ILF524334 IVB524331:IVB524334 JEX524331:JEX524334 JOT524331:JOT524334 JYP524331:JYP524334 KIL524331:KIL524334 KSH524331:KSH524334 LCD524331:LCD524334 LLZ524331:LLZ524334 LVV524331:LVV524334 MFR524331:MFR524334 MPN524331:MPN524334 MZJ524331:MZJ524334 NJF524331:NJF524334 NTB524331:NTB524334 OCX524331:OCX524334 OMT524331:OMT524334 OWP524331:OWP524334 PGL524331:PGL524334 PQH524331:PQH524334 QAD524331:QAD524334 QJZ524331:QJZ524334 QTV524331:QTV524334 RDR524331:RDR524334 RNN524331:RNN524334 RXJ524331:RXJ524334 SHF524331:SHF524334 SRB524331:SRB524334 TAX524331:TAX524334 TKT524331:TKT524334 TUP524331:TUP524334 UEL524331:UEL524334 UOH524331:UOH524334 UYD524331:UYD524334 VHZ524331:VHZ524334 VRV524331:VRV524334 WBR524331:WBR524334 WLN524331:WLN524334 WVJ524331:WVJ524334 B589867:B589870 IX589867:IX589870 ST589867:ST589870 ACP589867:ACP589870 AML589867:AML589870 AWH589867:AWH589870 BGD589867:BGD589870 BPZ589867:BPZ589870 BZV589867:BZV589870 CJR589867:CJR589870 CTN589867:CTN589870 DDJ589867:DDJ589870 DNF589867:DNF589870 DXB589867:DXB589870 EGX589867:EGX589870 EQT589867:EQT589870 FAP589867:FAP589870 FKL589867:FKL589870 FUH589867:FUH589870 GED589867:GED589870 GNZ589867:GNZ589870 GXV589867:GXV589870 HHR589867:HHR589870 HRN589867:HRN589870 IBJ589867:IBJ589870 ILF589867:ILF589870 IVB589867:IVB589870 JEX589867:JEX589870 JOT589867:JOT589870 JYP589867:JYP589870 KIL589867:KIL589870 KSH589867:KSH589870 LCD589867:LCD589870 LLZ589867:LLZ589870 LVV589867:LVV589870 MFR589867:MFR589870 MPN589867:MPN589870 MZJ589867:MZJ589870 NJF589867:NJF589870 NTB589867:NTB589870 OCX589867:OCX589870 OMT589867:OMT589870 OWP589867:OWP589870 PGL589867:PGL589870 PQH589867:PQH589870 QAD589867:QAD589870 QJZ589867:QJZ589870 QTV589867:QTV589870 RDR589867:RDR589870 RNN589867:RNN589870 RXJ589867:RXJ589870 SHF589867:SHF589870 SRB589867:SRB589870 TAX589867:TAX589870 TKT589867:TKT589870 TUP589867:TUP589870 UEL589867:UEL589870 UOH589867:UOH589870 UYD589867:UYD589870 VHZ589867:VHZ589870 VRV589867:VRV589870 WBR589867:WBR589870 WLN589867:WLN589870 WVJ589867:WVJ589870 B655403:B655406 IX655403:IX655406 ST655403:ST655406 ACP655403:ACP655406 AML655403:AML655406 AWH655403:AWH655406 BGD655403:BGD655406 BPZ655403:BPZ655406 BZV655403:BZV655406 CJR655403:CJR655406 CTN655403:CTN655406 DDJ655403:DDJ655406 DNF655403:DNF655406 DXB655403:DXB655406 EGX655403:EGX655406 EQT655403:EQT655406 FAP655403:FAP655406 FKL655403:FKL655406 FUH655403:FUH655406 GED655403:GED655406 GNZ655403:GNZ655406 GXV655403:GXV655406 HHR655403:HHR655406 HRN655403:HRN655406 IBJ655403:IBJ655406 ILF655403:ILF655406 IVB655403:IVB655406 JEX655403:JEX655406 JOT655403:JOT655406 JYP655403:JYP655406 KIL655403:KIL655406 KSH655403:KSH655406 LCD655403:LCD655406 LLZ655403:LLZ655406 LVV655403:LVV655406 MFR655403:MFR655406 MPN655403:MPN655406 MZJ655403:MZJ655406 NJF655403:NJF655406 NTB655403:NTB655406 OCX655403:OCX655406 OMT655403:OMT655406 OWP655403:OWP655406 PGL655403:PGL655406 PQH655403:PQH655406 QAD655403:QAD655406 QJZ655403:QJZ655406 QTV655403:QTV655406 RDR655403:RDR655406 RNN655403:RNN655406 RXJ655403:RXJ655406 SHF655403:SHF655406 SRB655403:SRB655406 TAX655403:TAX655406 TKT655403:TKT655406 TUP655403:TUP655406 UEL655403:UEL655406 UOH655403:UOH655406 UYD655403:UYD655406 VHZ655403:VHZ655406 VRV655403:VRV655406 WBR655403:WBR655406 WLN655403:WLN655406 WVJ655403:WVJ655406 B720939:B720942 IX720939:IX720942 ST720939:ST720942 ACP720939:ACP720942 AML720939:AML720942 AWH720939:AWH720942 BGD720939:BGD720942 BPZ720939:BPZ720942 BZV720939:BZV720942 CJR720939:CJR720942 CTN720939:CTN720942 DDJ720939:DDJ720942 DNF720939:DNF720942 DXB720939:DXB720942 EGX720939:EGX720942 EQT720939:EQT720942 FAP720939:FAP720942 FKL720939:FKL720942 FUH720939:FUH720942 GED720939:GED720942 GNZ720939:GNZ720942 GXV720939:GXV720942 HHR720939:HHR720942 HRN720939:HRN720942 IBJ720939:IBJ720942 ILF720939:ILF720942 IVB720939:IVB720942 JEX720939:JEX720942 JOT720939:JOT720942 JYP720939:JYP720942 KIL720939:KIL720942 KSH720939:KSH720942 LCD720939:LCD720942 LLZ720939:LLZ720942 LVV720939:LVV720942 MFR720939:MFR720942 MPN720939:MPN720942 MZJ720939:MZJ720942 NJF720939:NJF720942 NTB720939:NTB720942 OCX720939:OCX720942 OMT720939:OMT720942 OWP720939:OWP720942 PGL720939:PGL720942 PQH720939:PQH720942 QAD720939:QAD720942 QJZ720939:QJZ720942 QTV720939:QTV720942 RDR720939:RDR720942 RNN720939:RNN720942 RXJ720939:RXJ720942 SHF720939:SHF720942 SRB720939:SRB720942 TAX720939:TAX720942 TKT720939:TKT720942 TUP720939:TUP720942 UEL720939:UEL720942 UOH720939:UOH720942 UYD720939:UYD720942 VHZ720939:VHZ720942 VRV720939:VRV720942 WBR720939:WBR720942 WLN720939:WLN720942 WVJ720939:WVJ720942 B786475:B786478 IX786475:IX786478 ST786475:ST786478 ACP786475:ACP786478 AML786475:AML786478 AWH786475:AWH786478 BGD786475:BGD786478 BPZ786475:BPZ786478 BZV786475:BZV786478 CJR786475:CJR786478 CTN786475:CTN786478 DDJ786475:DDJ786478 DNF786475:DNF786478 DXB786475:DXB786478 EGX786475:EGX786478 EQT786475:EQT786478 FAP786475:FAP786478 FKL786475:FKL786478 FUH786475:FUH786478 GED786475:GED786478 GNZ786475:GNZ786478 GXV786475:GXV786478 HHR786475:HHR786478 HRN786475:HRN786478 IBJ786475:IBJ786478 ILF786475:ILF786478 IVB786475:IVB786478 JEX786475:JEX786478 JOT786475:JOT786478 JYP786475:JYP786478 KIL786475:KIL786478 KSH786475:KSH786478 LCD786475:LCD786478 LLZ786475:LLZ786478 LVV786475:LVV786478 MFR786475:MFR786478 MPN786475:MPN786478 MZJ786475:MZJ786478 NJF786475:NJF786478 NTB786475:NTB786478 OCX786475:OCX786478 OMT786475:OMT786478 OWP786475:OWP786478 PGL786475:PGL786478 PQH786475:PQH786478 QAD786475:QAD786478 QJZ786475:QJZ786478 QTV786475:QTV786478 RDR786475:RDR786478 RNN786475:RNN786478 RXJ786475:RXJ786478 SHF786475:SHF786478 SRB786475:SRB786478 TAX786475:TAX786478 TKT786475:TKT786478 TUP786475:TUP786478 UEL786475:UEL786478 UOH786475:UOH786478 UYD786475:UYD786478 VHZ786475:VHZ786478 VRV786475:VRV786478 WBR786475:WBR786478 WLN786475:WLN786478 WVJ786475:WVJ786478 B852011:B852014 IX852011:IX852014 ST852011:ST852014 ACP852011:ACP852014 AML852011:AML852014 AWH852011:AWH852014 BGD852011:BGD852014 BPZ852011:BPZ852014 BZV852011:BZV852014 CJR852011:CJR852014 CTN852011:CTN852014 DDJ852011:DDJ852014 DNF852011:DNF852014 DXB852011:DXB852014 EGX852011:EGX852014 EQT852011:EQT852014 FAP852011:FAP852014 FKL852011:FKL852014 FUH852011:FUH852014 GED852011:GED852014 GNZ852011:GNZ852014 GXV852011:GXV852014 HHR852011:HHR852014 HRN852011:HRN852014 IBJ852011:IBJ852014 ILF852011:ILF852014 IVB852011:IVB852014 JEX852011:JEX852014 JOT852011:JOT852014 JYP852011:JYP852014 KIL852011:KIL852014 KSH852011:KSH852014 LCD852011:LCD852014 LLZ852011:LLZ852014 LVV852011:LVV852014 MFR852011:MFR852014 MPN852011:MPN852014 MZJ852011:MZJ852014 NJF852011:NJF852014 NTB852011:NTB852014 OCX852011:OCX852014 OMT852011:OMT852014 OWP852011:OWP852014 PGL852011:PGL852014 PQH852011:PQH852014 QAD852011:QAD852014 QJZ852011:QJZ852014 QTV852011:QTV852014 RDR852011:RDR852014 RNN852011:RNN852014 RXJ852011:RXJ852014 SHF852011:SHF852014 SRB852011:SRB852014 TAX852011:TAX852014 TKT852011:TKT852014 TUP852011:TUP852014 UEL852011:UEL852014 UOH852011:UOH852014 UYD852011:UYD852014 VHZ852011:VHZ852014 VRV852011:VRV852014 WBR852011:WBR852014 WLN852011:WLN852014 WVJ852011:WVJ852014 B917547:B917550 IX917547:IX917550 ST917547:ST917550 ACP917547:ACP917550 AML917547:AML917550 AWH917547:AWH917550 BGD917547:BGD917550 BPZ917547:BPZ917550 BZV917547:BZV917550 CJR917547:CJR917550 CTN917547:CTN917550 DDJ917547:DDJ917550 DNF917547:DNF917550 DXB917547:DXB917550 EGX917547:EGX917550 EQT917547:EQT917550 FAP917547:FAP917550 FKL917547:FKL917550 FUH917547:FUH917550 GED917547:GED917550 GNZ917547:GNZ917550 GXV917547:GXV917550 HHR917547:HHR917550 HRN917547:HRN917550 IBJ917547:IBJ917550 ILF917547:ILF917550 IVB917547:IVB917550 JEX917547:JEX917550 JOT917547:JOT917550 JYP917547:JYP917550 KIL917547:KIL917550 KSH917547:KSH917550 LCD917547:LCD917550 LLZ917547:LLZ917550 LVV917547:LVV917550 MFR917547:MFR917550 MPN917547:MPN917550 MZJ917547:MZJ917550 NJF917547:NJF917550 NTB917547:NTB917550 OCX917547:OCX917550 OMT917547:OMT917550 OWP917547:OWP917550 PGL917547:PGL917550 PQH917547:PQH917550 QAD917547:QAD917550 QJZ917547:QJZ917550 QTV917547:QTV917550 RDR917547:RDR917550 RNN917547:RNN917550 RXJ917547:RXJ917550 SHF917547:SHF917550 SRB917547:SRB917550 TAX917547:TAX917550 TKT917547:TKT917550 TUP917547:TUP917550 UEL917547:UEL917550 UOH917547:UOH917550 UYD917547:UYD917550 VHZ917547:VHZ917550 VRV917547:VRV917550 WBR917547:WBR917550 WLN917547:WLN917550 WVJ917547:WVJ917550 B983083:B983086 IX983083:IX983086 ST983083:ST983086 ACP983083:ACP983086 AML983083:AML983086 AWH983083:AWH983086 BGD983083:BGD983086 BPZ983083:BPZ983086 BZV983083:BZV983086 CJR983083:CJR983086 CTN983083:CTN983086 DDJ983083:DDJ983086 DNF983083:DNF983086 DXB983083:DXB983086 EGX983083:EGX983086 EQT983083:EQT983086 FAP983083:FAP983086 FKL983083:FKL983086 FUH983083:FUH983086 GED983083:GED983086 GNZ983083:GNZ983086 GXV983083:GXV983086 HHR983083:HHR983086 HRN983083:HRN983086 IBJ983083:IBJ983086 ILF983083:ILF983086 IVB983083:IVB983086 JEX983083:JEX983086 JOT983083:JOT983086 JYP983083:JYP983086 KIL983083:KIL983086 KSH983083:KSH983086 LCD983083:LCD983086 LLZ983083:LLZ983086 LVV983083:LVV983086 MFR983083:MFR983086 MPN983083:MPN983086 MZJ983083:MZJ983086 NJF983083:NJF983086 NTB983083:NTB983086 OCX983083:OCX983086 OMT983083:OMT983086 OWP983083:OWP983086 PGL983083:PGL983086 PQH983083:PQH983086 QAD983083:QAD983086 QJZ983083:QJZ983086 QTV983083:QTV983086 RDR983083:RDR983086 RNN983083:RNN983086 RXJ983083:RXJ983086 SHF983083:SHF983086 SRB983083:SRB983086 TAX983083:TAX983086 TKT983083:TKT983086 TUP983083:TUP983086 UEL983083:UEL983086 UOH983083:UOH983086 UYD983083:UYD983086 VHZ983083:VHZ983086 VRV983083:VRV983086 WBR983083:WBR983086 WLN983083:WLN983086 WVJ983083:WVJ983086">
      <formula1>$B$6:$B$21</formula1>
    </dataValidation>
    <dataValidation type="list" allowBlank="1" showInputMessage="1" showErrorMessage="1" sqref="B47:B50 IX47:IX50 ST47:ST50 ACP47:ACP50 AML47:AML50 AWH47:AWH50 BGD47:BGD50 BPZ47:BPZ50 BZV47:BZV50 CJR47:CJR50 CTN47:CTN50 DDJ47:DDJ50 DNF47:DNF50 DXB47:DXB50 EGX47:EGX50 EQT47:EQT50 FAP47:FAP50 FKL47:FKL50 FUH47:FUH50 GED47:GED50 GNZ47:GNZ50 GXV47:GXV50 HHR47:HHR50 HRN47:HRN50 IBJ47:IBJ50 ILF47:ILF50 IVB47:IVB50 JEX47:JEX50 JOT47:JOT50 JYP47:JYP50 KIL47:KIL50 KSH47:KSH50 LCD47:LCD50 LLZ47:LLZ50 LVV47:LVV50 MFR47:MFR50 MPN47:MPN50 MZJ47:MZJ50 NJF47:NJF50 NTB47:NTB50 OCX47:OCX50 OMT47:OMT50 OWP47:OWP50 PGL47:PGL50 PQH47:PQH50 QAD47:QAD50 QJZ47:QJZ50 QTV47:QTV50 RDR47:RDR50 RNN47:RNN50 RXJ47:RXJ50 SHF47:SHF50 SRB47:SRB50 TAX47:TAX50 TKT47:TKT50 TUP47:TUP50 UEL47:UEL50 UOH47:UOH50 UYD47:UYD50 VHZ47:VHZ50 VRV47:VRV50 WBR47:WBR50 WLN47:WLN50 WVJ47:WVJ50 B65583:B65586 IX65583:IX65586 ST65583:ST65586 ACP65583:ACP65586 AML65583:AML65586 AWH65583:AWH65586 BGD65583:BGD65586 BPZ65583:BPZ65586 BZV65583:BZV65586 CJR65583:CJR65586 CTN65583:CTN65586 DDJ65583:DDJ65586 DNF65583:DNF65586 DXB65583:DXB65586 EGX65583:EGX65586 EQT65583:EQT65586 FAP65583:FAP65586 FKL65583:FKL65586 FUH65583:FUH65586 GED65583:GED65586 GNZ65583:GNZ65586 GXV65583:GXV65586 HHR65583:HHR65586 HRN65583:HRN65586 IBJ65583:IBJ65586 ILF65583:ILF65586 IVB65583:IVB65586 JEX65583:JEX65586 JOT65583:JOT65586 JYP65583:JYP65586 KIL65583:KIL65586 KSH65583:KSH65586 LCD65583:LCD65586 LLZ65583:LLZ65586 LVV65583:LVV65586 MFR65583:MFR65586 MPN65583:MPN65586 MZJ65583:MZJ65586 NJF65583:NJF65586 NTB65583:NTB65586 OCX65583:OCX65586 OMT65583:OMT65586 OWP65583:OWP65586 PGL65583:PGL65586 PQH65583:PQH65586 QAD65583:QAD65586 QJZ65583:QJZ65586 QTV65583:QTV65586 RDR65583:RDR65586 RNN65583:RNN65586 RXJ65583:RXJ65586 SHF65583:SHF65586 SRB65583:SRB65586 TAX65583:TAX65586 TKT65583:TKT65586 TUP65583:TUP65586 UEL65583:UEL65586 UOH65583:UOH65586 UYD65583:UYD65586 VHZ65583:VHZ65586 VRV65583:VRV65586 WBR65583:WBR65586 WLN65583:WLN65586 WVJ65583:WVJ65586 B131119:B131122 IX131119:IX131122 ST131119:ST131122 ACP131119:ACP131122 AML131119:AML131122 AWH131119:AWH131122 BGD131119:BGD131122 BPZ131119:BPZ131122 BZV131119:BZV131122 CJR131119:CJR131122 CTN131119:CTN131122 DDJ131119:DDJ131122 DNF131119:DNF131122 DXB131119:DXB131122 EGX131119:EGX131122 EQT131119:EQT131122 FAP131119:FAP131122 FKL131119:FKL131122 FUH131119:FUH131122 GED131119:GED131122 GNZ131119:GNZ131122 GXV131119:GXV131122 HHR131119:HHR131122 HRN131119:HRN131122 IBJ131119:IBJ131122 ILF131119:ILF131122 IVB131119:IVB131122 JEX131119:JEX131122 JOT131119:JOT131122 JYP131119:JYP131122 KIL131119:KIL131122 KSH131119:KSH131122 LCD131119:LCD131122 LLZ131119:LLZ131122 LVV131119:LVV131122 MFR131119:MFR131122 MPN131119:MPN131122 MZJ131119:MZJ131122 NJF131119:NJF131122 NTB131119:NTB131122 OCX131119:OCX131122 OMT131119:OMT131122 OWP131119:OWP131122 PGL131119:PGL131122 PQH131119:PQH131122 QAD131119:QAD131122 QJZ131119:QJZ131122 QTV131119:QTV131122 RDR131119:RDR131122 RNN131119:RNN131122 RXJ131119:RXJ131122 SHF131119:SHF131122 SRB131119:SRB131122 TAX131119:TAX131122 TKT131119:TKT131122 TUP131119:TUP131122 UEL131119:UEL131122 UOH131119:UOH131122 UYD131119:UYD131122 VHZ131119:VHZ131122 VRV131119:VRV131122 WBR131119:WBR131122 WLN131119:WLN131122 WVJ131119:WVJ131122 B196655:B196658 IX196655:IX196658 ST196655:ST196658 ACP196655:ACP196658 AML196655:AML196658 AWH196655:AWH196658 BGD196655:BGD196658 BPZ196655:BPZ196658 BZV196655:BZV196658 CJR196655:CJR196658 CTN196655:CTN196658 DDJ196655:DDJ196658 DNF196655:DNF196658 DXB196655:DXB196658 EGX196655:EGX196658 EQT196655:EQT196658 FAP196655:FAP196658 FKL196655:FKL196658 FUH196655:FUH196658 GED196655:GED196658 GNZ196655:GNZ196658 GXV196655:GXV196658 HHR196655:HHR196658 HRN196655:HRN196658 IBJ196655:IBJ196658 ILF196655:ILF196658 IVB196655:IVB196658 JEX196655:JEX196658 JOT196655:JOT196658 JYP196655:JYP196658 KIL196655:KIL196658 KSH196655:KSH196658 LCD196655:LCD196658 LLZ196655:LLZ196658 LVV196655:LVV196658 MFR196655:MFR196658 MPN196655:MPN196658 MZJ196655:MZJ196658 NJF196655:NJF196658 NTB196655:NTB196658 OCX196655:OCX196658 OMT196655:OMT196658 OWP196655:OWP196658 PGL196655:PGL196658 PQH196655:PQH196658 QAD196655:QAD196658 QJZ196655:QJZ196658 QTV196655:QTV196658 RDR196655:RDR196658 RNN196655:RNN196658 RXJ196655:RXJ196658 SHF196655:SHF196658 SRB196655:SRB196658 TAX196655:TAX196658 TKT196655:TKT196658 TUP196655:TUP196658 UEL196655:UEL196658 UOH196655:UOH196658 UYD196655:UYD196658 VHZ196655:VHZ196658 VRV196655:VRV196658 WBR196655:WBR196658 WLN196655:WLN196658 WVJ196655:WVJ196658 B262191:B262194 IX262191:IX262194 ST262191:ST262194 ACP262191:ACP262194 AML262191:AML262194 AWH262191:AWH262194 BGD262191:BGD262194 BPZ262191:BPZ262194 BZV262191:BZV262194 CJR262191:CJR262194 CTN262191:CTN262194 DDJ262191:DDJ262194 DNF262191:DNF262194 DXB262191:DXB262194 EGX262191:EGX262194 EQT262191:EQT262194 FAP262191:FAP262194 FKL262191:FKL262194 FUH262191:FUH262194 GED262191:GED262194 GNZ262191:GNZ262194 GXV262191:GXV262194 HHR262191:HHR262194 HRN262191:HRN262194 IBJ262191:IBJ262194 ILF262191:ILF262194 IVB262191:IVB262194 JEX262191:JEX262194 JOT262191:JOT262194 JYP262191:JYP262194 KIL262191:KIL262194 KSH262191:KSH262194 LCD262191:LCD262194 LLZ262191:LLZ262194 LVV262191:LVV262194 MFR262191:MFR262194 MPN262191:MPN262194 MZJ262191:MZJ262194 NJF262191:NJF262194 NTB262191:NTB262194 OCX262191:OCX262194 OMT262191:OMT262194 OWP262191:OWP262194 PGL262191:PGL262194 PQH262191:PQH262194 QAD262191:QAD262194 QJZ262191:QJZ262194 QTV262191:QTV262194 RDR262191:RDR262194 RNN262191:RNN262194 RXJ262191:RXJ262194 SHF262191:SHF262194 SRB262191:SRB262194 TAX262191:TAX262194 TKT262191:TKT262194 TUP262191:TUP262194 UEL262191:UEL262194 UOH262191:UOH262194 UYD262191:UYD262194 VHZ262191:VHZ262194 VRV262191:VRV262194 WBR262191:WBR262194 WLN262191:WLN262194 WVJ262191:WVJ262194 B327727:B327730 IX327727:IX327730 ST327727:ST327730 ACP327727:ACP327730 AML327727:AML327730 AWH327727:AWH327730 BGD327727:BGD327730 BPZ327727:BPZ327730 BZV327727:BZV327730 CJR327727:CJR327730 CTN327727:CTN327730 DDJ327727:DDJ327730 DNF327727:DNF327730 DXB327727:DXB327730 EGX327727:EGX327730 EQT327727:EQT327730 FAP327727:FAP327730 FKL327727:FKL327730 FUH327727:FUH327730 GED327727:GED327730 GNZ327727:GNZ327730 GXV327727:GXV327730 HHR327727:HHR327730 HRN327727:HRN327730 IBJ327727:IBJ327730 ILF327727:ILF327730 IVB327727:IVB327730 JEX327727:JEX327730 JOT327727:JOT327730 JYP327727:JYP327730 KIL327727:KIL327730 KSH327727:KSH327730 LCD327727:LCD327730 LLZ327727:LLZ327730 LVV327727:LVV327730 MFR327727:MFR327730 MPN327727:MPN327730 MZJ327727:MZJ327730 NJF327727:NJF327730 NTB327727:NTB327730 OCX327727:OCX327730 OMT327727:OMT327730 OWP327727:OWP327730 PGL327727:PGL327730 PQH327727:PQH327730 QAD327727:QAD327730 QJZ327727:QJZ327730 QTV327727:QTV327730 RDR327727:RDR327730 RNN327727:RNN327730 RXJ327727:RXJ327730 SHF327727:SHF327730 SRB327727:SRB327730 TAX327727:TAX327730 TKT327727:TKT327730 TUP327727:TUP327730 UEL327727:UEL327730 UOH327727:UOH327730 UYD327727:UYD327730 VHZ327727:VHZ327730 VRV327727:VRV327730 WBR327727:WBR327730 WLN327727:WLN327730 WVJ327727:WVJ327730 B393263:B393266 IX393263:IX393266 ST393263:ST393266 ACP393263:ACP393266 AML393263:AML393266 AWH393263:AWH393266 BGD393263:BGD393266 BPZ393263:BPZ393266 BZV393263:BZV393266 CJR393263:CJR393266 CTN393263:CTN393266 DDJ393263:DDJ393266 DNF393263:DNF393266 DXB393263:DXB393266 EGX393263:EGX393266 EQT393263:EQT393266 FAP393263:FAP393266 FKL393263:FKL393266 FUH393263:FUH393266 GED393263:GED393266 GNZ393263:GNZ393266 GXV393263:GXV393266 HHR393263:HHR393266 HRN393263:HRN393266 IBJ393263:IBJ393266 ILF393263:ILF393266 IVB393263:IVB393266 JEX393263:JEX393266 JOT393263:JOT393266 JYP393263:JYP393266 KIL393263:KIL393266 KSH393263:KSH393266 LCD393263:LCD393266 LLZ393263:LLZ393266 LVV393263:LVV393266 MFR393263:MFR393266 MPN393263:MPN393266 MZJ393263:MZJ393266 NJF393263:NJF393266 NTB393263:NTB393266 OCX393263:OCX393266 OMT393263:OMT393266 OWP393263:OWP393266 PGL393263:PGL393266 PQH393263:PQH393266 QAD393263:QAD393266 QJZ393263:QJZ393266 QTV393263:QTV393266 RDR393263:RDR393266 RNN393263:RNN393266 RXJ393263:RXJ393266 SHF393263:SHF393266 SRB393263:SRB393266 TAX393263:TAX393266 TKT393263:TKT393266 TUP393263:TUP393266 UEL393263:UEL393266 UOH393263:UOH393266 UYD393263:UYD393266 VHZ393263:VHZ393266 VRV393263:VRV393266 WBR393263:WBR393266 WLN393263:WLN393266 WVJ393263:WVJ393266 B458799:B458802 IX458799:IX458802 ST458799:ST458802 ACP458799:ACP458802 AML458799:AML458802 AWH458799:AWH458802 BGD458799:BGD458802 BPZ458799:BPZ458802 BZV458799:BZV458802 CJR458799:CJR458802 CTN458799:CTN458802 DDJ458799:DDJ458802 DNF458799:DNF458802 DXB458799:DXB458802 EGX458799:EGX458802 EQT458799:EQT458802 FAP458799:FAP458802 FKL458799:FKL458802 FUH458799:FUH458802 GED458799:GED458802 GNZ458799:GNZ458802 GXV458799:GXV458802 HHR458799:HHR458802 HRN458799:HRN458802 IBJ458799:IBJ458802 ILF458799:ILF458802 IVB458799:IVB458802 JEX458799:JEX458802 JOT458799:JOT458802 JYP458799:JYP458802 KIL458799:KIL458802 KSH458799:KSH458802 LCD458799:LCD458802 LLZ458799:LLZ458802 LVV458799:LVV458802 MFR458799:MFR458802 MPN458799:MPN458802 MZJ458799:MZJ458802 NJF458799:NJF458802 NTB458799:NTB458802 OCX458799:OCX458802 OMT458799:OMT458802 OWP458799:OWP458802 PGL458799:PGL458802 PQH458799:PQH458802 QAD458799:QAD458802 QJZ458799:QJZ458802 QTV458799:QTV458802 RDR458799:RDR458802 RNN458799:RNN458802 RXJ458799:RXJ458802 SHF458799:SHF458802 SRB458799:SRB458802 TAX458799:TAX458802 TKT458799:TKT458802 TUP458799:TUP458802 UEL458799:UEL458802 UOH458799:UOH458802 UYD458799:UYD458802 VHZ458799:VHZ458802 VRV458799:VRV458802 WBR458799:WBR458802 WLN458799:WLN458802 WVJ458799:WVJ458802 B524335:B524338 IX524335:IX524338 ST524335:ST524338 ACP524335:ACP524338 AML524335:AML524338 AWH524335:AWH524338 BGD524335:BGD524338 BPZ524335:BPZ524338 BZV524335:BZV524338 CJR524335:CJR524338 CTN524335:CTN524338 DDJ524335:DDJ524338 DNF524335:DNF524338 DXB524335:DXB524338 EGX524335:EGX524338 EQT524335:EQT524338 FAP524335:FAP524338 FKL524335:FKL524338 FUH524335:FUH524338 GED524335:GED524338 GNZ524335:GNZ524338 GXV524335:GXV524338 HHR524335:HHR524338 HRN524335:HRN524338 IBJ524335:IBJ524338 ILF524335:ILF524338 IVB524335:IVB524338 JEX524335:JEX524338 JOT524335:JOT524338 JYP524335:JYP524338 KIL524335:KIL524338 KSH524335:KSH524338 LCD524335:LCD524338 LLZ524335:LLZ524338 LVV524335:LVV524338 MFR524335:MFR524338 MPN524335:MPN524338 MZJ524335:MZJ524338 NJF524335:NJF524338 NTB524335:NTB524338 OCX524335:OCX524338 OMT524335:OMT524338 OWP524335:OWP524338 PGL524335:PGL524338 PQH524335:PQH524338 QAD524335:QAD524338 QJZ524335:QJZ524338 QTV524335:QTV524338 RDR524335:RDR524338 RNN524335:RNN524338 RXJ524335:RXJ524338 SHF524335:SHF524338 SRB524335:SRB524338 TAX524335:TAX524338 TKT524335:TKT524338 TUP524335:TUP524338 UEL524335:UEL524338 UOH524335:UOH524338 UYD524335:UYD524338 VHZ524335:VHZ524338 VRV524335:VRV524338 WBR524335:WBR524338 WLN524335:WLN524338 WVJ524335:WVJ524338 B589871:B589874 IX589871:IX589874 ST589871:ST589874 ACP589871:ACP589874 AML589871:AML589874 AWH589871:AWH589874 BGD589871:BGD589874 BPZ589871:BPZ589874 BZV589871:BZV589874 CJR589871:CJR589874 CTN589871:CTN589874 DDJ589871:DDJ589874 DNF589871:DNF589874 DXB589871:DXB589874 EGX589871:EGX589874 EQT589871:EQT589874 FAP589871:FAP589874 FKL589871:FKL589874 FUH589871:FUH589874 GED589871:GED589874 GNZ589871:GNZ589874 GXV589871:GXV589874 HHR589871:HHR589874 HRN589871:HRN589874 IBJ589871:IBJ589874 ILF589871:ILF589874 IVB589871:IVB589874 JEX589871:JEX589874 JOT589871:JOT589874 JYP589871:JYP589874 KIL589871:KIL589874 KSH589871:KSH589874 LCD589871:LCD589874 LLZ589871:LLZ589874 LVV589871:LVV589874 MFR589871:MFR589874 MPN589871:MPN589874 MZJ589871:MZJ589874 NJF589871:NJF589874 NTB589871:NTB589874 OCX589871:OCX589874 OMT589871:OMT589874 OWP589871:OWP589874 PGL589871:PGL589874 PQH589871:PQH589874 QAD589871:QAD589874 QJZ589871:QJZ589874 QTV589871:QTV589874 RDR589871:RDR589874 RNN589871:RNN589874 RXJ589871:RXJ589874 SHF589871:SHF589874 SRB589871:SRB589874 TAX589871:TAX589874 TKT589871:TKT589874 TUP589871:TUP589874 UEL589871:UEL589874 UOH589871:UOH589874 UYD589871:UYD589874 VHZ589871:VHZ589874 VRV589871:VRV589874 WBR589871:WBR589874 WLN589871:WLN589874 WVJ589871:WVJ589874 B655407:B655410 IX655407:IX655410 ST655407:ST655410 ACP655407:ACP655410 AML655407:AML655410 AWH655407:AWH655410 BGD655407:BGD655410 BPZ655407:BPZ655410 BZV655407:BZV655410 CJR655407:CJR655410 CTN655407:CTN655410 DDJ655407:DDJ655410 DNF655407:DNF655410 DXB655407:DXB655410 EGX655407:EGX655410 EQT655407:EQT655410 FAP655407:FAP655410 FKL655407:FKL655410 FUH655407:FUH655410 GED655407:GED655410 GNZ655407:GNZ655410 GXV655407:GXV655410 HHR655407:HHR655410 HRN655407:HRN655410 IBJ655407:IBJ655410 ILF655407:ILF655410 IVB655407:IVB655410 JEX655407:JEX655410 JOT655407:JOT655410 JYP655407:JYP655410 KIL655407:KIL655410 KSH655407:KSH655410 LCD655407:LCD655410 LLZ655407:LLZ655410 LVV655407:LVV655410 MFR655407:MFR655410 MPN655407:MPN655410 MZJ655407:MZJ655410 NJF655407:NJF655410 NTB655407:NTB655410 OCX655407:OCX655410 OMT655407:OMT655410 OWP655407:OWP655410 PGL655407:PGL655410 PQH655407:PQH655410 QAD655407:QAD655410 QJZ655407:QJZ655410 QTV655407:QTV655410 RDR655407:RDR655410 RNN655407:RNN655410 RXJ655407:RXJ655410 SHF655407:SHF655410 SRB655407:SRB655410 TAX655407:TAX655410 TKT655407:TKT655410 TUP655407:TUP655410 UEL655407:UEL655410 UOH655407:UOH655410 UYD655407:UYD655410 VHZ655407:VHZ655410 VRV655407:VRV655410 WBR655407:WBR655410 WLN655407:WLN655410 WVJ655407:WVJ655410 B720943:B720946 IX720943:IX720946 ST720943:ST720946 ACP720943:ACP720946 AML720943:AML720946 AWH720943:AWH720946 BGD720943:BGD720946 BPZ720943:BPZ720946 BZV720943:BZV720946 CJR720943:CJR720946 CTN720943:CTN720946 DDJ720943:DDJ720946 DNF720943:DNF720946 DXB720943:DXB720946 EGX720943:EGX720946 EQT720943:EQT720946 FAP720943:FAP720946 FKL720943:FKL720946 FUH720943:FUH720946 GED720943:GED720946 GNZ720943:GNZ720946 GXV720943:GXV720946 HHR720943:HHR720946 HRN720943:HRN720946 IBJ720943:IBJ720946 ILF720943:ILF720946 IVB720943:IVB720946 JEX720943:JEX720946 JOT720943:JOT720946 JYP720943:JYP720946 KIL720943:KIL720946 KSH720943:KSH720946 LCD720943:LCD720946 LLZ720943:LLZ720946 LVV720943:LVV720946 MFR720943:MFR720946 MPN720943:MPN720946 MZJ720943:MZJ720946 NJF720943:NJF720946 NTB720943:NTB720946 OCX720943:OCX720946 OMT720943:OMT720946 OWP720943:OWP720946 PGL720943:PGL720946 PQH720943:PQH720946 QAD720943:QAD720946 QJZ720943:QJZ720946 QTV720943:QTV720946 RDR720943:RDR720946 RNN720943:RNN720946 RXJ720943:RXJ720946 SHF720943:SHF720946 SRB720943:SRB720946 TAX720943:TAX720946 TKT720943:TKT720946 TUP720943:TUP720946 UEL720943:UEL720946 UOH720943:UOH720946 UYD720943:UYD720946 VHZ720943:VHZ720946 VRV720943:VRV720946 WBR720943:WBR720946 WLN720943:WLN720946 WVJ720943:WVJ720946 B786479:B786482 IX786479:IX786482 ST786479:ST786482 ACP786479:ACP786482 AML786479:AML786482 AWH786479:AWH786482 BGD786479:BGD786482 BPZ786479:BPZ786482 BZV786479:BZV786482 CJR786479:CJR786482 CTN786479:CTN786482 DDJ786479:DDJ786482 DNF786479:DNF786482 DXB786479:DXB786482 EGX786479:EGX786482 EQT786479:EQT786482 FAP786479:FAP786482 FKL786479:FKL786482 FUH786479:FUH786482 GED786479:GED786482 GNZ786479:GNZ786482 GXV786479:GXV786482 HHR786479:HHR786482 HRN786479:HRN786482 IBJ786479:IBJ786482 ILF786479:ILF786482 IVB786479:IVB786482 JEX786479:JEX786482 JOT786479:JOT786482 JYP786479:JYP786482 KIL786479:KIL786482 KSH786479:KSH786482 LCD786479:LCD786482 LLZ786479:LLZ786482 LVV786479:LVV786482 MFR786479:MFR786482 MPN786479:MPN786482 MZJ786479:MZJ786482 NJF786479:NJF786482 NTB786479:NTB786482 OCX786479:OCX786482 OMT786479:OMT786482 OWP786479:OWP786482 PGL786479:PGL786482 PQH786479:PQH786482 QAD786479:QAD786482 QJZ786479:QJZ786482 QTV786479:QTV786482 RDR786479:RDR786482 RNN786479:RNN786482 RXJ786479:RXJ786482 SHF786479:SHF786482 SRB786479:SRB786482 TAX786479:TAX786482 TKT786479:TKT786482 TUP786479:TUP786482 UEL786479:UEL786482 UOH786479:UOH786482 UYD786479:UYD786482 VHZ786479:VHZ786482 VRV786479:VRV786482 WBR786479:WBR786482 WLN786479:WLN786482 WVJ786479:WVJ786482 B852015:B852018 IX852015:IX852018 ST852015:ST852018 ACP852015:ACP852018 AML852015:AML852018 AWH852015:AWH852018 BGD852015:BGD852018 BPZ852015:BPZ852018 BZV852015:BZV852018 CJR852015:CJR852018 CTN852015:CTN852018 DDJ852015:DDJ852018 DNF852015:DNF852018 DXB852015:DXB852018 EGX852015:EGX852018 EQT852015:EQT852018 FAP852015:FAP852018 FKL852015:FKL852018 FUH852015:FUH852018 GED852015:GED852018 GNZ852015:GNZ852018 GXV852015:GXV852018 HHR852015:HHR852018 HRN852015:HRN852018 IBJ852015:IBJ852018 ILF852015:ILF852018 IVB852015:IVB852018 JEX852015:JEX852018 JOT852015:JOT852018 JYP852015:JYP852018 KIL852015:KIL852018 KSH852015:KSH852018 LCD852015:LCD852018 LLZ852015:LLZ852018 LVV852015:LVV852018 MFR852015:MFR852018 MPN852015:MPN852018 MZJ852015:MZJ852018 NJF852015:NJF852018 NTB852015:NTB852018 OCX852015:OCX852018 OMT852015:OMT852018 OWP852015:OWP852018 PGL852015:PGL852018 PQH852015:PQH852018 QAD852015:QAD852018 QJZ852015:QJZ852018 QTV852015:QTV852018 RDR852015:RDR852018 RNN852015:RNN852018 RXJ852015:RXJ852018 SHF852015:SHF852018 SRB852015:SRB852018 TAX852015:TAX852018 TKT852015:TKT852018 TUP852015:TUP852018 UEL852015:UEL852018 UOH852015:UOH852018 UYD852015:UYD852018 VHZ852015:VHZ852018 VRV852015:VRV852018 WBR852015:WBR852018 WLN852015:WLN852018 WVJ852015:WVJ852018 B917551:B917554 IX917551:IX917554 ST917551:ST917554 ACP917551:ACP917554 AML917551:AML917554 AWH917551:AWH917554 BGD917551:BGD917554 BPZ917551:BPZ917554 BZV917551:BZV917554 CJR917551:CJR917554 CTN917551:CTN917554 DDJ917551:DDJ917554 DNF917551:DNF917554 DXB917551:DXB917554 EGX917551:EGX917554 EQT917551:EQT917554 FAP917551:FAP917554 FKL917551:FKL917554 FUH917551:FUH917554 GED917551:GED917554 GNZ917551:GNZ917554 GXV917551:GXV917554 HHR917551:HHR917554 HRN917551:HRN917554 IBJ917551:IBJ917554 ILF917551:ILF917554 IVB917551:IVB917554 JEX917551:JEX917554 JOT917551:JOT917554 JYP917551:JYP917554 KIL917551:KIL917554 KSH917551:KSH917554 LCD917551:LCD917554 LLZ917551:LLZ917554 LVV917551:LVV917554 MFR917551:MFR917554 MPN917551:MPN917554 MZJ917551:MZJ917554 NJF917551:NJF917554 NTB917551:NTB917554 OCX917551:OCX917554 OMT917551:OMT917554 OWP917551:OWP917554 PGL917551:PGL917554 PQH917551:PQH917554 QAD917551:QAD917554 QJZ917551:QJZ917554 QTV917551:QTV917554 RDR917551:RDR917554 RNN917551:RNN917554 RXJ917551:RXJ917554 SHF917551:SHF917554 SRB917551:SRB917554 TAX917551:TAX917554 TKT917551:TKT917554 TUP917551:TUP917554 UEL917551:UEL917554 UOH917551:UOH917554 UYD917551:UYD917554 VHZ917551:VHZ917554 VRV917551:VRV917554 WBR917551:WBR917554 WLN917551:WLN917554 WVJ917551:WVJ917554 B983087:B983090 IX983087:IX983090 ST983087:ST983090 ACP983087:ACP983090 AML983087:AML983090 AWH983087:AWH983090 BGD983087:BGD983090 BPZ983087:BPZ983090 BZV983087:BZV983090 CJR983087:CJR983090 CTN983087:CTN983090 DDJ983087:DDJ983090 DNF983087:DNF983090 DXB983087:DXB983090 EGX983087:EGX983090 EQT983087:EQT983090 FAP983087:FAP983090 FKL983087:FKL983090 FUH983087:FUH983090 GED983087:GED983090 GNZ983087:GNZ983090 GXV983087:GXV983090 HHR983087:HHR983090 HRN983087:HRN983090 IBJ983087:IBJ983090 ILF983087:ILF983090 IVB983087:IVB983090 JEX983087:JEX983090 JOT983087:JOT983090 JYP983087:JYP983090 KIL983087:KIL983090 KSH983087:KSH983090 LCD983087:LCD983090 LLZ983087:LLZ983090 LVV983087:LVV983090 MFR983087:MFR983090 MPN983087:MPN983090 MZJ983087:MZJ983090 NJF983087:NJF983090 NTB983087:NTB983090 OCX983087:OCX983090 OMT983087:OMT983090 OWP983087:OWP983090 PGL983087:PGL983090 PQH983087:PQH983090 QAD983087:QAD983090 QJZ983087:QJZ983090 QTV983087:QTV983090 RDR983087:RDR983090 RNN983087:RNN983090 RXJ983087:RXJ983090 SHF983087:SHF983090 SRB983087:SRB983090 TAX983087:TAX983090 TKT983087:TKT983090 TUP983087:TUP983090 UEL983087:UEL983090 UOH983087:UOH983090 UYD983087:UYD983090 VHZ983087:VHZ983090 VRV983087:VRV983090 WBR983087:WBR983090 WLN983087:WLN983090 WVJ983087:WVJ983090">
      <formula1>$B$12:$B$28</formula1>
    </dataValidation>
    <dataValidation type="list" allowBlank="1" showInputMessage="1" showErrorMessage="1" sqref="P47:P50 JL47:JL50 TH47:TH50 ADD47:ADD50 AMZ47:AMZ50 AWV47:AWV50 BGR47:BGR50 BQN47:BQN50 CAJ47:CAJ50 CKF47:CKF50 CUB47:CUB50 DDX47:DDX50 DNT47:DNT50 DXP47:DXP50 EHL47:EHL50 ERH47:ERH50 FBD47:FBD50 FKZ47:FKZ50 FUV47:FUV50 GER47:GER50 GON47:GON50 GYJ47:GYJ50 HIF47:HIF50 HSB47:HSB50 IBX47:IBX50 ILT47:ILT50 IVP47:IVP50 JFL47:JFL50 JPH47:JPH50 JZD47:JZD50 KIZ47:KIZ50 KSV47:KSV50 LCR47:LCR50 LMN47:LMN50 LWJ47:LWJ50 MGF47:MGF50 MQB47:MQB50 MZX47:MZX50 NJT47:NJT50 NTP47:NTP50 ODL47:ODL50 ONH47:ONH50 OXD47:OXD50 PGZ47:PGZ50 PQV47:PQV50 QAR47:QAR50 QKN47:QKN50 QUJ47:QUJ50 REF47:REF50 ROB47:ROB50 RXX47:RXX50 SHT47:SHT50 SRP47:SRP50 TBL47:TBL50 TLH47:TLH50 TVD47:TVD50 UEZ47:UEZ50 UOV47:UOV50 UYR47:UYR50 VIN47:VIN50 VSJ47:VSJ50 WCF47:WCF50 WMB47:WMB50 WVX47:WVX50 P65583:P65586 JL65583:JL65586 TH65583:TH65586 ADD65583:ADD65586 AMZ65583:AMZ65586 AWV65583:AWV65586 BGR65583:BGR65586 BQN65583:BQN65586 CAJ65583:CAJ65586 CKF65583:CKF65586 CUB65583:CUB65586 DDX65583:DDX65586 DNT65583:DNT65586 DXP65583:DXP65586 EHL65583:EHL65586 ERH65583:ERH65586 FBD65583:FBD65586 FKZ65583:FKZ65586 FUV65583:FUV65586 GER65583:GER65586 GON65583:GON65586 GYJ65583:GYJ65586 HIF65583:HIF65586 HSB65583:HSB65586 IBX65583:IBX65586 ILT65583:ILT65586 IVP65583:IVP65586 JFL65583:JFL65586 JPH65583:JPH65586 JZD65583:JZD65586 KIZ65583:KIZ65586 KSV65583:KSV65586 LCR65583:LCR65586 LMN65583:LMN65586 LWJ65583:LWJ65586 MGF65583:MGF65586 MQB65583:MQB65586 MZX65583:MZX65586 NJT65583:NJT65586 NTP65583:NTP65586 ODL65583:ODL65586 ONH65583:ONH65586 OXD65583:OXD65586 PGZ65583:PGZ65586 PQV65583:PQV65586 QAR65583:QAR65586 QKN65583:QKN65586 QUJ65583:QUJ65586 REF65583:REF65586 ROB65583:ROB65586 RXX65583:RXX65586 SHT65583:SHT65586 SRP65583:SRP65586 TBL65583:TBL65586 TLH65583:TLH65586 TVD65583:TVD65586 UEZ65583:UEZ65586 UOV65583:UOV65586 UYR65583:UYR65586 VIN65583:VIN65586 VSJ65583:VSJ65586 WCF65583:WCF65586 WMB65583:WMB65586 WVX65583:WVX65586 P131119:P131122 JL131119:JL131122 TH131119:TH131122 ADD131119:ADD131122 AMZ131119:AMZ131122 AWV131119:AWV131122 BGR131119:BGR131122 BQN131119:BQN131122 CAJ131119:CAJ131122 CKF131119:CKF131122 CUB131119:CUB131122 DDX131119:DDX131122 DNT131119:DNT131122 DXP131119:DXP131122 EHL131119:EHL131122 ERH131119:ERH131122 FBD131119:FBD131122 FKZ131119:FKZ131122 FUV131119:FUV131122 GER131119:GER131122 GON131119:GON131122 GYJ131119:GYJ131122 HIF131119:HIF131122 HSB131119:HSB131122 IBX131119:IBX131122 ILT131119:ILT131122 IVP131119:IVP131122 JFL131119:JFL131122 JPH131119:JPH131122 JZD131119:JZD131122 KIZ131119:KIZ131122 KSV131119:KSV131122 LCR131119:LCR131122 LMN131119:LMN131122 LWJ131119:LWJ131122 MGF131119:MGF131122 MQB131119:MQB131122 MZX131119:MZX131122 NJT131119:NJT131122 NTP131119:NTP131122 ODL131119:ODL131122 ONH131119:ONH131122 OXD131119:OXD131122 PGZ131119:PGZ131122 PQV131119:PQV131122 QAR131119:QAR131122 QKN131119:QKN131122 QUJ131119:QUJ131122 REF131119:REF131122 ROB131119:ROB131122 RXX131119:RXX131122 SHT131119:SHT131122 SRP131119:SRP131122 TBL131119:TBL131122 TLH131119:TLH131122 TVD131119:TVD131122 UEZ131119:UEZ131122 UOV131119:UOV131122 UYR131119:UYR131122 VIN131119:VIN131122 VSJ131119:VSJ131122 WCF131119:WCF131122 WMB131119:WMB131122 WVX131119:WVX131122 P196655:P196658 JL196655:JL196658 TH196655:TH196658 ADD196655:ADD196658 AMZ196655:AMZ196658 AWV196655:AWV196658 BGR196655:BGR196658 BQN196655:BQN196658 CAJ196655:CAJ196658 CKF196655:CKF196658 CUB196655:CUB196658 DDX196655:DDX196658 DNT196655:DNT196658 DXP196655:DXP196658 EHL196655:EHL196658 ERH196655:ERH196658 FBD196655:FBD196658 FKZ196655:FKZ196658 FUV196655:FUV196658 GER196655:GER196658 GON196655:GON196658 GYJ196655:GYJ196658 HIF196655:HIF196658 HSB196655:HSB196658 IBX196655:IBX196658 ILT196655:ILT196658 IVP196655:IVP196658 JFL196655:JFL196658 JPH196655:JPH196658 JZD196655:JZD196658 KIZ196655:KIZ196658 KSV196655:KSV196658 LCR196655:LCR196658 LMN196655:LMN196658 LWJ196655:LWJ196658 MGF196655:MGF196658 MQB196655:MQB196658 MZX196655:MZX196658 NJT196655:NJT196658 NTP196655:NTP196658 ODL196655:ODL196658 ONH196655:ONH196658 OXD196655:OXD196658 PGZ196655:PGZ196658 PQV196655:PQV196658 QAR196655:QAR196658 QKN196655:QKN196658 QUJ196655:QUJ196658 REF196655:REF196658 ROB196655:ROB196658 RXX196655:RXX196658 SHT196655:SHT196658 SRP196655:SRP196658 TBL196655:TBL196658 TLH196655:TLH196658 TVD196655:TVD196658 UEZ196655:UEZ196658 UOV196655:UOV196658 UYR196655:UYR196658 VIN196655:VIN196658 VSJ196655:VSJ196658 WCF196655:WCF196658 WMB196655:WMB196658 WVX196655:WVX196658 P262191:P262194 JL262191:JL262194 TH262191:TH262194 ADD262191:ADD262194 AMZ262191:AMZ262194 AWV262191:AWV262194 BGR262191:BGR262194 BQN262191:BQN262194 CAJ262191:CAJ262194 CKF262191:CKF262194 CUB262191:CUB262194 DDX262191:DDX262194 DNT262191:DNT262194 DXP262191:DXP262194 EHL262191:EHL262194 ERH262191:ERH262194 FBD262191:FBD262194 FKZ262191:FKZ262194 FUV262191:FUV262194 GER262191:GER262194 GON262191:GON262194 GYJ262191:GYJ262194 HIF262191:HIF262194 HSB262191:HSB262194 IBX262191:IBX262194 ILT262191:ILT262194 IVP262191:IVP262194 JFL262191:JFL262194 JPH262191:JPH262194 JZD262191:JZD262194 KIZ262191:KIZ262194 KSV262191:KSV262194 LCR262191:LCR262194 LMN262191:LMN262194 LWJ262191:LWJ262194 MGF262191:MGF262194 MQB262191:MQB262194 MZX262191:MZX262194 NJT262191:NJT262194 NTP262191:NTP262194 ODL262191:ODL262194 ONH262191:ONH262194 OXD262191:OXD262194 PGZ262191:PGZ262194 PQV262191:PQV262194 QAR262191:QAR262194 QKN262191:QKN262194 QUJ262191:QUJ262194 REF262191:REF262194 ROB262191:ROB262194 RXX262191:RXX262194 SHT262191:SHT262194 SRP262191:SRP262194 TBL262191:TBL262194 TLH262191:TLH262194 TVD262191:TVD262194 UEZ262191:UEZ262194 UOV262191:UOV262194 UYR262191:UYR262194 VIN262191:VIN262194 VSJ262191:VSJ262194 WCF262191:WCF262194 WMB262191:WMB262194 WVX262191:WVX262194 P327727:P327730 JL327727:JL327730 TH327727:TH327730 ADD327727:ADD327730 AMZ327727:AMZ327730 AWV327727:AWV327730 BGR327727:BGR327730 BQN327727:BQN327730 CAJ327727:CAJ327730 CKF327727:CKF327730 CUB327727:CUB327730 DDX327727:DDX327730 DNT327727:DNT327730 DXP327727:DXP327730 EHL327727:EHL327730 ERH327727:ERH327730 FBD327727:FBD327730 FKZ327727:FKZ327730 FUV327727:FUV327730 GER327727:GER327730 GON327727:GON327730 GYJ327727:GYJ327730 HIF327727:HIF327730 HSB327727:HSB327730 IBX327727:IBX327730 ILT327727:ILT327730 IVP327727:IVP327730 JFL327727:JFL327730 JPH327727:JPH327730 JZD327727:JZD327730 KIZ327727:KIZ327730 KSV327727:KSV327730 LCR327727:LCR327730 LMN327727:LMN327730 LWJ327727:LWJ327730 MGF327727:MGF327730 MQB327727:MQB327730 MZX327727:MZX327730 NJT327727:NJT327730 NTP327727:NTP327730 ODL327727:ODL327730 ONH327727:ONH327730 OXD327727:OXD327730 PGZ327727:PGZ327730 PQV327727:PQV327730 QAR327727:QAR327730 QKN327727:QKN327730 QUJ327727:QUJ327730 REF327727:REF327730 ROB327727:ROB327730 RXX327727:RXX327730 SHT327727:SHT327730 SRP327727:SRP327730 TBL327727:TBL327730 TLH327727:TLH327730 TVD327727:TVD327730 UEZ327727:UEZ327730 UOV327727:UOV327730 UYR327727:UYR327730 VIN327727:VIN327730 VSJ327727:VSJ327730 WCF327727:WCF327730 WMB327727:WMB327730 WVX327727:WVX327730 P393263:P393266 JL393263:JL393266 TH393263:TH393266 ADD393263:ADD393266 AMZ393263:AMZ393266 AWV393263:AWV393266 BGR393263:BGR393266 BQN393263:BQN393266 CAJ393263:CAJ393266 CKF393263:CKF393266 CUB393263:CUB393266 DDX393263:DDX393266 DNT393263:DNT393266 DXP393263:DXP393266 EHL393263:EHL393266 ERH393263:ERH393266 FBD393263:FBD393266 FKZ393263:FKZ393266 FUV393263:FUV393266 GER393263:GER393266 GON393263:GON393266 GYJ393263:GYJ393266 HIF393263:HIF393266 HSB393263:HSB393266 IBX393263:IBX393266 ILT393263:ILT393266 IVP393263:IVP393266 JFL393263:JFL393266 JPH393263:JPH393266 JZD393263:JZD393266 KIZ393263:KIZ393266 KSV393263:KSV393266 LCR393263:LCR393266 LMN393263:LMN393266 LWJ393263:LWJ393266 MGF393263:MGF393266 MQB393263:MQB393266 MZX393263:MZX393266 NJT393263:NJT393266 NTP393263:NTP393266 ODL393263:ODL393266 ONH393263:ONH393266 OXD393263:OXD393266 PGZ393263:PGZ393266 PQV393263:PQV393266 QAR393263:QAR393266 QKN393263:QKN393266 QUJ393263:QUJ393266 REF393263:REF393266 ROB393263:ROB393266 RXX393263:RXX393266 SHT393263:SHT393266 SRP393263:SRP393266 TBL393263:TBL393266 TLH393263:TLH393266 TVD393263:TVD393266 UEZ393263:UEZ393266 UOV393263:UOV393266 UYR393263:UYR393266 VIN393263:VIN393266 VSJ393263:VSJ393266 WCF393263:WCF393266 WMB393263:WMB393266 WVX393263:WVX393266 P458799:P458802 JL458799:JL458802 TH458799:TH458802 ADD458799:ADD458802 AMZ458799:AMZ458802 AWV458799:AWV458802 BGR458799:BGR458802 BQN458799:BQN458802 CAJ458799:CAJ458802 CKF458799:CKF458802 CUB458799:CUB458802 DDX458799:DDX458802 DNT458799:DNT458802 DXP458799:DXP458802 EHL458799:EHL458802 ERH458799:ERH458802 FBD458799:FBD458802 FKZ458799:FKZ458802 FUV458799:FUV458802 GER458799:GER458802 GON458799:GON458802 GYJ458799:GYJ458802 HIF458799:HIF458802 HSB458799:HSB458802 IBX458799:IBX458802 ILT458799:ILT458802 IVP458799:IVP458802 JFL458799:JFL458802 JPH458799:JPH458802 JZD458799:JZD458802 KIZ458799:KIZ458802 KSV458799:KSV458802 LCR458799:LCR458802 LMN458799:LMN458802 LWJ458799:LWJ458802 MGF458799:MGF458802 MQB458799:MQB458802 MZX458799:MZX458802 NJT458799:NJT458802 NTP458799:NTP458802 ODL458799:ODL458802 ONH458799:ONH458802 OXD458799:OXD458802 PGZ458799:PGZ458802 PQV458799:PQV458802 QAR458799:QAR458802 QKN458799:QKN458802 QUJ458799:QUJ458802 REF458799:REF458802 ROB458799:ROB458802 RXX458799:RXX458802 SHT458799:SHT458802 SRP458799:SRP458802 TBL458799:TBL458802 TLH458799:TLH458802 TVD458799:TVD458802 UEZ458799:UEZ458802 UOV458799:UOV458802 UYR458799:UYR458802 VIN458799:VIN458802 VSJ458799:VSJ458802 WCF458799:WCF458802 WMB458799:WMB458802 WVX458799:WVX458802 P524335:P524338 JL524335:JL524338 TH524335:TH524338 ADD524335:ADD524338 AMZ524335:AMZ524338 AWV524335:AWV524338 BGR524335:BGR524338 BQN524335:BQN524338 CAJ524335:CAJ524338 CKF524335:CKF524338 CUB524335:CUB524338 DDX524335:DDX524338 DNT524335:DNT524338 DXP524335:DXP524338 EHL524335:EHL524338 ERH524335:ERH524338 FBD524335:FBD524338 FKZ524335:FKZ524338 FUV524335:FUV524338 GER524335:GER524338 GON524335:GON524338 GYJ524335:GYJ524338 HIF524335:HIF524338 HSB524335:HSB524338 IBX524335:IBX524338 ILT524335:ILT524338 IVP524335:IVP524338 JFL524335:JFL524338 JPH524335:JPH524338 JZD524335:JZD524338 KIZ524335:KIZ524338 KSV524335:KSV524338 LCR524335:LCR524338 LMN524335:LMN524338 LWJ524335:LWJ524338 MGF524335:MGF524338 MQB524335:MQB524338 MZX524335:MZX524338 NJT524335:NJT524338 NTP524335:NTP524338 ODL524335:ODL524338 ONH524335:ONH524338 OXD524335:OXD524338 PGZ524335:PGZ524338 PQV524335:PQV524338 QAR524335:QAR524338 QKN524335:QKN524338 QUJ524335:QUJ524338 REF524335:REF524338 ROB524335:ROB524338 RXX524335:RXX524338 SHT524335:SHT524338 SRP524335:SRP524338 TBL524335:TBL524338 TLH524335:TLH524338 TVD524335:TVD524338 UEZ524335:UEZ524338 UOV524335:UOV524338 UYR524335:UYR524338 VIN524335:VIN524338 VSJ524335:VSJ524338 WCF524335:WCF524338 WMB524335:WMB524338 WVX524335:WVX524338 P589871:P589874 JL589871:JL589874 TH589871:TH589874 ADD589871:ADD589874 AMZ589871:AMZ589874 AWV589871:AWV589874 BGR589871:BGR589874 BQN589871:BQN589874 CAJ589871:CAJ589874 CKF589871:CKF589874 CUB589871:CUB589874 DDX589871:DDX589874 DNT589871:DNT589874 DXP589871:DXP589874 EHL589871:EHL589874 ERH589871:ERH589874 FBD589871:FBD589874 FKZ589871:FKZ589874 FUV589871:FUV589874 GER589871:GER589874 GON589871:GON589874 GYJ589871:GYJ589874 HIF589871:HIF589874 HSB589871:HSB589874 IBX589871:IBX589874 ILT589871:ILT589874 IVP589871:IVP589874 JFL589871:JFL589874 JPH589871:JPH589874 JZD589871:JZD589874 KIZ589871:KIZ589874 KSV589871:KSV589874 LCR589871:LCR589874 LMN589871:LMN589874 LWJ589871:LWJ589874 MGF589871:MGF589874 MQB589871:MQB589874 MZX589871:MZX589874 NJT589871:NJT589874 NTP589871:NTP589874 ODL589871:ODL589874 ONH589871:ONH589874 OXD589871:OXD589874 PGZ589871:PGZ589874 PQV589871:PQV589874 QAR589871:QAR589874 QKN589871:QKN589874 QUJ589871:QUJ589874 REF589871:REF589874 ROB589871:ROB589874 RXX589871:RXX589874 SHT589871:SHT589874 SRP589871:SRP589874 TBL589871:TBL589874 TLH589871:TLH589874 TVD589871:TVD589874 UEZ589871:UEZ589874 UOV589871:UOV589874 UYR589871:UYR589874 VIN589871:VIN589874 VSJ589871:VSJ589874 WCF589871:WCF589874 WMB589871:WMB589874 WVX589871:WVX589874 P655407:P655410 JL655407:JL655410 TH655407:TH655410 ADD655407:ADD655410 AMZ655407:AMZ655410 AWV655407:AWV655410 BGR655407:BGR655410 BQN655407:BQN655410 CAJ655407:CAJ655410 CKF655407:CKF655410 CUB655407:CUB655410 DDX655407:DDX655410 DNT655407:DNT655410 DXP655407:DXP655410 EHL655407:EHL655410 ERH655407:ERH655410 FBD655407:FBD655410 FKZ655407:FKZ655410 FUV655407:FUV655410 GER655407:GER655410 GON655407:GON655410 GYJ655407:GYJ655410 HIF655407:HIF655410 HSB655407:HSB655410 IBX655407:IBX655410 ILT655407:ILT655410 IVP655407:IVP655410 JFL655407:JFL655410 JPH655407:JPH655410 JZD655407:JZD655410 KIZ655407:KIZ655410 KSV655407:KSV655410 LCR655407:LCR655410 LMN655407:LMN655410 LWJ655407:LWJ655410 MGF655407:MGF655410 MQB655407:MQB655410 MZX655407:MZX655410 NJT655407:NJT655410 NTP655407:NTP655410 ODL655407:ODL655410 ONH655407:ONH655410 OXD655407:OXD655410 PGZ655407:PGZ655410 PQV655407:PQV655410 QAR655407:QAR655410 QKN655407:QKN655410 QUJ655407:QUJ655410 REF655407:REF655410 ROB655407:ROB655410 RXX655407:RXX655410 SHT655407:SHT655410 SRP655407:SRP655410 TBL655407:TBL655410 TLH655407:TLH655410 TVD655407:TVD655410 UEZ655407:UEZ655410 UOV655407:UOV655410 UYR655407:UYR655410 VIN655407:VIN655410 VSJ655407:VSJ655410 WCF655407:WCF655410 WMB655407:WMB655410 WVX655407:WVX655410 P720943:P720946 JL720943:JL720946 TH720943:TH720946 ADD720943:ADD720946 AMZ720943:AMZ720946 AWV720943:AWV720946 BGR720943:BGR720946 BQN720943:BQN720946 CAJ720943:CAJ720946 CKF720943:CKF720946 CUB720943:CUB720946 DDX720943:DDX720946 DNT720943:DNT720946 DXP720943:DXP720946 EHL720943:EHL720946 ERH720943:ERH720946 FBD720943:FBD720946 FKZ720943:FKZ720946 FUV720943:FUV720946 GER720943:GER720946 GON720943:GON720946 GYJ720943:GYJ720946 HIF720943:HIF720946 HSB720943:HSB720946 IBX720943:IBX720946 ILT720943:ILT720946 IVP720943:IVP720946 JFL720943:JFL720946 JPH720943:JPH720946 JZD720943:JZD720946 KIZ720943:KIZ720946 KSV720943:KSV720946 LCR720943:LCR720946 LMN720943:LMN720946 LWJ720943:LWJ720946 MGF720943:MGF720946 MQB720943:MQB720946 MZX720943:MZX720946 NJT720943:NJT720946 NTP720943:NTP720946 ODL720943:ODL720946 ONH720943:ONH720946 OXD720943:OXD720946 PGZ720943:PGZ720946 PQV720943:PQV720946 QAR720943:QAR720946 QKN720943:QKN720946 QUJ720943:QUJ720946 REF720943:REF720946 ROB720943:ROB720946 RXX720943:RXX720946 SHT720943:SHT720946 SRP720943:SRP720946 TBL720943:TBL720946 TLH720943:TLH720946 TVD720943:TVD720946 UEZ720943:UEZ720946 UOV720943:UOV720946 UYR720943:UYR720946 VIN720943:VIN720946 VSJ720943:VSJ720946 WCF720943:WCF720946 WMB720943:WMB720946 WVX720943:WVX720946 P786479:P786482 JL786479:JL786482 TH786479:TH786482 ADD786479:ADD786482 AMZ786479:AMZ786482 AWV786479:AWV786482 BGR786479:BGR786482 BQN786479:BQN786482 CAJ786479:CAJ786482 CKF786479:CKF786482 CUB786479:CUB786482 DDX786479:DDX786482 DNT786479:DNT786482 DXP786479:DXP786482 EHL786479:EHL786482 ERH786479:ERH786482 FBD786479:FBD786482 FKZ786479:FKZ786482 FUV786479:FUV786482 GER786479:GER786482 GON786479:GON786482 GYJ786479:GYJ786482 HIF786479:HIF786482 HSB786479:HSB786482 IBX786479:IBX786482 ILT786479:ILT786482 IVP786479:IVP786482 JFL786479:JFL786482 JPH786479:JPH786482 JZD786479:JZD786482 KIZ786479:KIZ786482 KSV786479:KSV786482 LCR786479:LCR786482 LMN786479:LMN786482 LWJ786479:LWJ786482 MGF786479:MGF786482 MQB786479:MQB786482 MZX786479:MZX786482 NJT786479:NJT786482 NTP786479:NTP786482 ODL786479:ODL786482 ONH786479:ONH786482 OXD786479:OXD786482 PGZ786479:PGZ786482 PQV786479:PQV786482 QAR786479:QAR786482 QKN786479:QKN786482 QUJ786479:QUJ786482 REF786479:REF786482 ROB786479:ROB786482 RXX786479:RXX786482 SHT786479:SHT786482 SRP786479:SRP786482 TBL786479:TBL786482 TLH786479:TLH786482 TVD786479:TVD786482 UEZ786479:UEZ786482 UOV786479:UOV786482 UYR786479:UYR786482 VIN786479:VIN786482 VSJ786479:VSJ786482 WCF786479:WCF786482 WMB786479:WMB786482 WVX786479:WVX786482 P852015:P852018 JL852015:JL852018 TH852015:TH852018 ADD852015:ADD852018 AMZ852015:AMZ852018 AWV852015:AWV852018 BGR852015:BGR852018 BQN852015:BQN852018 CAJ852015:CAJ852018 CKF852015:CKF852018 CUB852015:CUB852018 DDX852015:DDX852018 DNT852015:DNT852018 DXP852015:DXP852018 EHL852015:EHL852018 ERH852015:ERH852018 FBD852015:FBD852018 FKZ852015:FKZ852018 FUV852015:FUV852018 GER852015:GER852018 GON852015:GON852018 GYJ852015:GYJ852018 HIF852015:HIF852018 HSB852015:HSB852018 IBX852015:IBX852018 ILT852015:ILT852018 IVP852015:IVP852018 JFL852015:JFL852018 JPH852015:JPH852018 JZD852015:JZD852018 KIZ852015:KIZ852018 KSV852015:KSV852018 LCR852015:LCR852018 LMN852015:LMN852018 LWJ852015:LWJ852018 MGF852015:MGF852018 MQB852015:MQB852018 MZX852015:MZX852018 NJT852015:NJT852018 NTP852015:NTP852018 ODL852015:ODL852018 ONH852015:ONH852018 OXD852015:OXD852018 PGZ852015:PGZ852018 PQV852015:PQV852018 QAR852015:QAR852018 QKN852015:QKN852018 QUJ852015:QUJ852018 REF852015:REF852018 ROB852015:ROB852018 RXX852015:RXX852018 SHT852015:SHT852018 SRP852015:SRP852018 TBL852015:TBL852018 TLH852015:TLH852018 TVD852015:TVD852018 UEZ852015:UEZ852018 UOV852015:UOV852018 UYR852015:UYR852018 VIN852015:VIN852018 VSJ852015:VSJ852018 WCF852015:WCF852018 WMB852015:WMB852018 WVX852015:WVX852018 P917551:P917554 JL917551:JL917554 TH917551:TH917554 ADD917551:ADD917554 AMZ917551:AMZ917554 AWV917551:AWV917554 BGR917551:BGR917554 BQN917551:BQN917554 CAJ917551:CAJ917554 CKF917551:CKF917554 CUB917551:CUB917554 DDX917551:DDX917554 DNT917551:DNT917554 DXP917551:DXP917554 EHL917551:EHL917554 ERH917551:ERH917554 FBD917551:FBD917554 FKZ917551:FKZ917554 FUV917551:FUV917554 GER917551:GER917554 GON917551:GON917554 GYJ917551:GYJ917554 HIF917551:HIF917554 HSB917551:HSB917554 IBX917551:IBX917554 ILT917551:ILT917554 IVP917551:IVP917554 JFL917551:JFL917554 JPH917551:JPH917554 JZD917551:JZD917554 KIZ917551:KIZ917554 KSV917551:KSV917554 LCR917551:LCR917554 LMN917551:LMN917554 LWJ917551:LWJ917554 MGF917551:MGF917554 MQB917551:MQB917554 MZX917551:MZX917554 NJT917551:NJT917554 NTP917551:NTP917554 ODL917551:ODL917554 ONH917551:ONH917554 OXD917551:OXD917554 PGZ917551:PGZ917554 PQV917551:PQV917554 QAR917551:QAR917554 QKN917551:QKN917554 QUJ917551:QUJ917554 REF917551:REF917554 ROB917551:ROB917554 RXX917551:RXX917554 SHT917551:SHT917554 SRP917551:SRP917554 TBL917551:TBL917554 TLH917551:TLH917554 TVD917551:TVD917554 UEZ917551:UEZ917554 UOV917551:UOV917554 UYR917551:UYR917554 VIN917551:VIN917554 VSJ917551:VSJ917554 WCF917551:WCF917554 WMB917551:WMB917554 WVX917551:WVX917554 P983087:P983090 JL983087:JL983090 TH983087:TH983090 ADD983087:ADD983090 AMZ983087:AMZ983090 AWV983087:AWV983090 BGR983087:BGR983090 BQN983087:BQN983090 CAJ983087:CAJ983090 CKF983087:CKF983090 CUB983087:CUB983090 DDX983087:DDX983090 DNT983087:DNT983090 DXP983087:DXP983090 EHL983087:EHL983090 ERH983087:ERH983090 FBD983087:FBD983090 FKZ983087:FKZ983090 FUV983087:FUV983090 GER983087:GER983090 GON983087:GON983090 GYJ983087:GYJ983090 HIF983087:HIF983090 HSB983087:HSB983090 IBX983087:IBX983090 ILT983087:ILT983090 IVP983087:IVP983090 JFL983087:JFL983090 JPH983087:JPH983090 JZD983087:JZD983090 KIZ983087:KIZ983090 KSV983087:KSV983090 LCR983087:LCR983090 LMN983087:LMN983090 LWJ983087:LWJ983090 MGF983087:MGF983090 MQB983087:MQB983090 MZX983087:MZX983090 NJT983087:NJT983090 NTP983087:NTP983090 ODL983087:ODL983090 ONH983087:ONH983090 OXD983087:OXD983090 PGZ983087:PGZ983090 PQV983087:PQV983090 QAR983087:QAR983090 QKN983087:QKN983090 QUJ983087:QUJ983090 REF983087:REF983090 ROB983087:ROB983090 RXX983087:RXX983090 SHT983087:SHT983090 SRP983087:SRP983090 TBL983087:TBL983090 TLH983087:TLH983090 TVD983087:TVD983090 UEZ983087:UEZ983090 UOV983087:UOV983090 UYR983087:UYR983090 VIN983087:VIN983090 VSJ983087:VSJ983090 WCF983087:WCF983090 WMB983087:WMB983090 WVX983087:WVX983090">
      <formula1>$P$12:$P$17</formula1>
    </dataValidation>
  </dataValidations>
  <pageMargins left="0.19685039370078741" right="0.19685039370078741" top="0.35433070866141736" bottom="0.19685039370078741" header="0.19685039370078741" footer="0.19685039370078741"/>
  <pageSetup paperSize="9" scale="44"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6"/>
  <sheetViews>
    <sheetView zoomScale="90" zoomScaleNormal="90" zoomScaleSheetLayoutView="90" workbookViewId="0">
      <pane ySplit="4" topLeftCell="A5" activePane="bottomLeft" state="frozen"/>
      <selection pane="bottomLeft" activeCell="A5" sqref="A5"/>
    </sheetView>
  </sheetViews>
  <sheetFormatPr defaultColWidth="8.88671875" defaultRowHeight="13.5"/>
  <cols>
    <col min="1" max="1" width="6.5546875" style="6" customWidth="1"/>
    <col min="2" max="2" width="12.33203125" style="6" customWidth="1"/>
    <col min="3" max="3" width="9.109375" style="6" customWidth="1"/>
    <col min="4" max="4" width="17.6640625" style="1" customWidth="1"/>
    <col min="5" max="5" width="12.109375" style="1" customWidth="1"/>
    <col min="6" max="6" width="44.33203125" style="1" customWidth="1"/>
    <col min="7" max="7" width="25.109375" style="1" customWidth="1"/>
    <col min="8" max="8" width="12.21875" style="1" customWidth="1"/>
    <col min="9" max="9" width="14.21875" style="1" customWidth="1"/>
    <col min="10" max="13" width="7.6640625" style="1" customWidth="1"/>
    <col min="14" max="14" width="12"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4" width="12.21875" style="1" customWidth="1"/>
    <col min="25" max="25" width="16" style="1" customWidth="1"/>
    <col min="26" max="26" width="12.21875" style="1" customWidth="1"/>
    <col min="27" max="16384" width="8.88671875" style="1"/>
  </cols>
  <sheetData>
    <row r="1" spans="1:27" ht="29.25" customHeight="1">
      <c r="A1" s="304" t="s">
        <v>5398</v>
      </c>
      <c r="B1" s="304"/>
      <c r="C1" s="304"/>
      <c r="D1" s="304"/>
      <c r="E1" s="304"/>
      <c r="F1" s="304"/>
      <c r="G1" s="304"/>
      <c r="H1" s="304"/>
      <c r="I1" s="304"/>
      <c r="J1" s="304"/>
      <c r="K1" s="304"/>
      <c r="L1" s="304"/>
      <c r="M1" s="304"/>
      <c r="N1" s="304"/>
      <c r="O1" s="304"/>
      <c r="P1" s="304"/>
      <c r="Q1" s="304"/>
      <c r="R1" s="304"/>
      <c r="S1" s="304"/>
      <c r="T1" s="304"/>
      <c r="U1" s="304"/>
      <c r="V1" s="304"/>
      <c r="W1" s="304"/>
      <c r="X1" s="304"/>
      <c r="Y1" s="304"/>
      <c r="Z1" s="137"/>
    </row>
    <row r="2" spans="1:27"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38"/>
    </row>
    <row r="3" spans="1:27" s="2" customFormat="1" ht="46.5" customHeight="1">
      <c r="A3" s="311" t="s">
        <v>6408</v>
      </c>
      <c r="B3" s="311"/>
      <c r="C3" s="311"/>
      <c r="D3" s="311"/>
      <c r="E3" s="311"/>
      <c r="F3" s="138"/>
      <c r="G3" s="138"/>
      <c r="H3" s="138"/>
      <c r="I3" s="305" t="s">
        <v>5400</v>
      </c>
      <c r="J3" s="305"/>
      <c r="K3" s="305"/>
      <c r="L3" s="305"/>
      <c r="M3" s="305"/>
      <c r="N3" s="306" t="s">
        <v>6417</v>
      </c>
      <c r="O3" s="307"/>
      <c r="P3" s="40"/>
      <c r="Q3" s="40"/>
      <c r="R3" s="140"/>
      <c r="S3" s="140"/>
      <c r="T3" s="140"/>
      <c r="U3" s="140"/>
      <c r="V3" s="140"/>
      <c r="W3" s="312" t="s">
        <v>5401</v>
      </c>
      <c r="X3" s="312"/>
      <c r="Y3" s="312"/>
      <c r="Z3" s="140"/>
      <c r="AA3" s="17"/>
    </row>
    <row r="4" spans="1:27" ht="39.75" customHeight="1">
      <c r="A4" s="141" t="s">
        <v>5402</v>
      </c>
      <c r="B4" s="141" t="s">
        <v>5403</v>
      </c>
      <c r="C4" s="141" t="s">
        <v>5404</v>
      </c>
      <c r="D4" s="141" t="s">
        <v>5405</v>
      </c>
      <c r="E4" s="142" t="s">
        <v>5406</v>
      </c>
      <c r="F4" s="141" t="s">
        <v>5407</v>
      </c>
      <c r="G4" s="142" t="s">
        <v>5408</v>
      </c>
      <c r="H4" s="142" t="s">
        <v>5409</v>
      </c>
      <c r="I4" s="142" t="s">
        <v>5410</v>
      </c>
      <c r="J4" s="142" t="s">
        <v>5411</v>
      </c>
      <c r="K4" s="142" t="s">
        <v>5412</v>
      </c>
      <c r="L4" s="142" t="s">
        <v>5413</v>
      </c>
      <c r="M4" s="142" t="s">
        <v>5414</v>
      </c>
      <c r="N4" s="142" t="s">
        <v>5415</v>
      </c>
      <c r="O4" s="142" t="s">
        <v>5416</v>
      </c>
      <c r="P4" s="142" t="s">
        <v>5417</v>
      </c>
      <c r="Q4" s="142" t="s">
        <v>5418</v>
      </c>
      <c r="R4" s="143" t="s">
        <v>5419</v>
      </c>
      <c r="S4" s="143" t="s">
        <v>5420</v>
      </c>
      <c r="T4" s="143" t="s">
        <v>5421</v>
      </c>
      <c r="U4" s="143" t="s">
        <v>6415</v>
      </c>
      <c r="V4" s="143" t="s">
        <v>5422</v>
      </c>
      <c r="W4" s="143" t="s">
        <v>5423</v>
      </c>
      <c r="X4" s="143" t="s">
        <v>5424</v>
      </c>
      <c r="Y4" s="143" t="s">
        <v>5425</v>
      </c>
      <c r="Z4" s="143" t="s">
        <v>5426</v>
      </c>
    </row>
    <row r="5" spans="1:27" ht="45" customHeight="1">
      <c r="A5" s="144">
        <v>1</v>
      </c>
      <c r="B5" s="144" t="s">
        <v>3443</v>
      </c>
      <c r="C5" s="144" t="s">
        <v>3444</v>
      </c>
      <c r="D5" s="172" t="s">
        <v>3445</v>
      </c>
      <c r="E5" s="172" t="s">
        <v>3446</v>
      </c>
      <c r="F5" s="148" t="s">
        <v>3447</v>
      </c>
      <c r="G5" s="172" t="s">
        <v>3448</v>
      </c>
      <c r="H5" s="172" t="s">
        <v>3449</v>
      </c>
      <c r="I5" s="171">
        <v>2250</v>
      </c>
      <c r="J5" s="171">
        <v>0</v>
      </c>
      <c r="K5" s="171">
        <v>2250</v>
      </c>
      <c r="L5" s="171">
        <v>0</v>
      </c>
      <c r="M5" s="171">
        <v>0</v>
      </c>
      <c r="N5" s="172"/>
      <c r="O5" s="172"/>
      <c r="P5" s="172" t="s">
        <v>247</v>
      </c>
      <c r="Q5" s="172"/>
      <c r="R5" s="172" t="s">
        <v>3450</v>
      </c>
      <c r="S5" s="172" t="s">
        <v>373</v>
      </c>
      <c r="T5" s="172" t="s">
        <v>527</v>
      </c>
      <c r="U5" s="172" t="s">
        <v>3451</v>
      </c>
      <c r="V5" s="172" t="s">
        <v>376</v>
      </c>
      <c r="W5" s="171">
        <v>125</v>
      </c>
      <c r="X5" s="171">
        <v>125</v>
      </c>
      <c r="Y5" s="171">
        <v>0</v>
      </c>
      <c r="Z5" s="172" t="s">
        <v>3452</v>
      </c>
    </row>
    <row r="6" spans="1:27" ht="38.25" customHeight="1">
      <c r="A6" s="144">
        <v>2</v>
      </c>
      <c r="B6" s="144" t="s">
        <v>3443</v>
      </c>
      <c r="C6" s="144" t="s">
        <v>3444</v>
      </c>
      <c r="D6" s="172" t="s">
        <v>3453</v>
      </c>
      <c r="E6" s="172" t="s">
        <v>3454</v>
      </c>
      <c r="F6" s="148" t="s">
        <v>3455</v>
      </c>
      <c r="G6" s="172" t="s">
        <v>3456</v>
      </c>
      <c r="H6" s="172" t="s">
        <v>3457</v>
      </c>
      <c r="I6" s="171">
        <v>30</v>
      </c>
      <c r="J6" s="171">
        <v>0</v>
      </c>
      <c r="K6" s="171">
        <v>30</v>
      </c>
      <c r="L6" s="171">
        <v>0</v>
      </c>
      <c r="M6" s="171">
        <v>0</v>
      </c>
      <c r="N6" s="172"/>
      <c r="O6" s="172"/>
      <c r="P6" s="172" t="s">
        <v>247</v>
      </c>
      <c r="Q6" s="172"/>
      <c r="R6" s="172" t="s">
        <v>3458</v>
      </c>
      <c r="S6" s="172" t="s">
        <v>373</v>
      </c>
      <c r="T6" s="172" t="s">
        <v>6411</v>
      </c>
      <c r="U6" s="172" t="s">
        <v>3459</v>
      </c>
      <c r="V6" s="172" t="s">
        <v>376</v>
      </c>
      <c r="W6" s="171">
        <v>5</v>
      </c>
      <c r="X6" s="171">
        <v>5</v>
      </c>
      <c r="Y6" s="171">
        <v>0</v>
      </c>
      <c r="Z6" s="172" t="s">
        <v>3460</v>
      </c>
    </row>
    <row r="7" spans="1:27" ht="38.25" customHeight="1">
      <c r="A7" s="144">
        <v>3</v>
      </c>
      <c r="B7" s="144" t="s">
        <v>3443</v>
      </c>
      <c r="C7" s="144" t="s">
        <v>3444</v>
      </c>
      <c r="D7" s="172" t="s">
        <v>3461</v>
      </c>
      <c r="E7" s="172" t="s">
        <v>3462</v>
      </c>
      <c r="F7" s="148" t="s">
        <v>3463</v>
      </c>
      <c r="G7" s="172" t="s">
        <v>3464</v>
      </c>
      <c r="H7" s="172" t="s">
        <v>3465</v>
      </c>
      <c r="I7" s="171">
        <v>200</v>
      </c>
      <c r="J7" s="171">
        <v>0</v>
      </c>
      <c r="K7" s="171">
        <v>200</v>
      </c>
      <c r="L7" s="171">
        <v>0</v>
      </c>
      <c r="M7" s="171">
        <v>0</v>
      </c>
      <c r="N7" s="172"/>
      <c r="O7" s="172"/>
      <c r="P7" s="172" t="s">
        <v>247</v>
      </c>
      <c r="Q7" s="172"/>
      <c r="R7" s="172"/>
      <c r="S7" s="172" t="s">
        <v>373</v>
      </c>
      <c r="T7" s="172" t="s">
        <v>501</v>
      </c>
      <c r="U7" s="172" t="s">
        <v>3466</v>
      </c>
      <c r="V7" s="172" t="s">
        <v>376</v>
      </c>
      <c r="W7" s="171">
        <v>30</v>
      </c>
      <c r="X7" s="171">
        <v>30</v>
      </c>
      <c r="Y7" s="171">
        <v>0</v>
      </c>
      <c r="Z7" s="172" t="s">
        <v>3467</v>
      </c>
    </row>
    <row r="8" spans="1:27" ht="38.25" customHeight="1">
      <c r="A8" s="144">
        <v>4</v>
      </c>
      <c r="B8" s="144" t="s">
        <v>3443</v>
      </c>
      <c r="C8" s="144" t="s">
        <v>3444</v>
      </c>
      <c r="D8" s="172" t="s">
        <v>3468</v>
      </c>
      <c r="E8" s="172" t="s">
        <v>3469</v>
      </c>
      <c r="F8" s="148" t="s">
        <v>3470</v>
      </c>
      <c r="G8" s="172" t="s">
        <v>3471</v>
      </c>
      <c r="H8" s="172" t="s">
        <v>3472</v>
      </c>
      <c r="I8" s="171">
        <v>90</v>
      </c>
      <c r="J8" s="171">
        <v>0</v>
      </c>
      <c r="K8" s="171">
        <v>35</v>
      </c>
      <c r="L8" s="171">
        <v>0</v>
      </c>
      <c r="M8" s="171">
        <v>55</v>
      </c>
      <c r="N8" s="172"/>
      <c r="O8" s="172"/>
      <c r="P8" s="172" t="s">
        <v>209</v>
      </c>
      <c r="Q8" s="172"/>
      <c r="R8" s="172" t="s">
        <v>3473</v>
      </c>
      <c r="S8" s="172" t="s">
        <v>373</v>
      </c>
      <c r="T8" s="172" t="s">
        <v>374</v>
      </c>
      <c r="U8" s="172" t="s">
        <v>6355</v>
      </c>
      <c r="V8" s="172" t="s">
        <v>1924</v>
      </c>
      <c r="W8" s="171">
        <v>5</v>
      </c>
      <c r="X8" s="171">
        <v>5</v>
      </c>
      <c r="Y8" s="171">
        <v>0</v>
      </c>
      <c r="Z8" s="172" t="s">
        <v>3025</v>
      </c>
    </row>
    <row r="9" spans="1:27" ht="38.25" customHeight="1">
      <c r="A9" s="144">
        <v>5</v>
      </c>
      <c r="B9" s="144" t="s">
        <v>3443</v>
      </c>
      <c r="C9" s="144" t="s">
        <v>3444</v>
      </c>
      <c r="D9" s="172" t="s">
        <v>3474</v>
      </c>
      <c r="E9" s="172" t="s">
        <v>3475</v>
      </c>
      <c r="F9" s="148" t="s">
        <v>3476</v>
      </c>
      <c r="G9" s="172" t="s">
        <v>3477</v>
      </c>
      <c r="H9" s="172" t="s">
        <v>3478</v>
      </c>
      <c r="I9" s="171">
        <v>55</v>
      </c>
      <c r="J9" s="171">
        <v>0</v>
      </c>
      <c r="K9" s="171">
        <v>0</v>
      </c>
      <c r="L9" s="171">
        <v>55</v>
      </c>
      <c r="M9" s="171">
        <v>0</v>
      </c>
      <c r="N9" s="172"/>
      <c r="O9" s="172"/>
      <c r="P9" s="172" t="s">
        <v>209</v>
      </c>
      <c r="Q9" s="172"/>
      <c r="R9" s="172" t="s">
        <v>3479</v>
      </c>
      <c r="S9" s="172" t="s">
        <v>373</v>
      </c>
      <c r="T9" s="172" t="s">
        <v>3480</v>
      </c>
      <c r="U9" s="172" t="s">
        <v>6355</v>
      </c>
      <c r="V9" s="172" t="s">
        <v>1924</v>
      </c>
      <c r="W9" s="171">
        <v>10</v>
      </c>
      <c r="X9" s="171">
        <v>9.8000000000000007</v>
      </c>
      <c r="Y9" s="171">
        <v>0.2</v>
      </c>
      <c r="Z9" s="172" t="s">
        <v>2391</v>
      </c>
    </row>
    <row r="10" spans="1:27" ht="38.25" customHeight="1">
      <c r="A10" s="144">
        <v>6</v>
      </c>
      <c r="B10" s="144" t="s">
        <v>3443</v>
      </c>
      <c r="C10" s="144" t="s">
        <v>3444</v>
      </c>
      <c r="D10" s="172" t="s">
        <v>3481</v>
      </c>
      <c r="E10" s="172" t="s">
        <v>3482</v>
      </c>
      <c r="F10" s="148" t="s">
        <v>3483</v>
      </c>
      <c r="G10" s="172" t="s">
        <v>3484</v>
      </c>
      <c r="H10" s="172" t="s">
        <v>3485</v>
      </c>
      <c r="I10" s="171">
        <v>80</v>
      </c>
      <c r="J10" s="171">
        <v>0</v>
      </c>
      <c r="K10" s="171">
        <v>0</v>
      </c>
      <c r="L10" s="171">
        <v>56</v>
      </c>
      <c r="M10" s="171">
        <v>24</v>
      </c>
      <c r="N10" s="172"/>
      <c r="O10" s="172"/>
      <c r="P10" s="172" t="s">
        <v>261</v>
      </c>
      <c r="Q10" s="172"/>
      <c r="R10" s="172" t="s">
        <v>2506</v>
      </c>
      <c r="S10" s="172" t="s">
        <v>373</v>
      </c>
      <c r="T10" s="172" t="s">
        <v>374</v>
      </c>
      <c r="U10" s="172" t="s">
        <v>6355</v>
      </c>
      <c r="V10" s="172" t="s">
        <v>376</v>
      </c>
      <c r="W10" s="171">
        <v>20</v>
      </c>
      <c r="X10" s="171">
        <v>20</v>
      </c>
      <c r="Y10" s="171">
        <v>0</v>
      </c>
      <c r="Z10" s="172" t="s">
        <v>3025</v>
      </c>
    </row>
    <row r="11" spans="1:27" ht="38.25" customHeight="1">
      <c r="A11" s="144">
        <v>7</v>
      </c>
      <c r="B11" s="144" t="s">
        <v>3443</v>
      </c>
      <c r="C11" s="144" t="s">
        <v>3444</v>
      </c>
      <c r="D11" s="172" t="s">
        <v>3486</v>
      </c>
      <c r="E11" s="172" t="s">
        <v>3487</v>
      </c>
      <c r="F11" s="148" t="s">
        <v>3488</v>
      </c>
      <c r="G11" s="172" t="s">
        <v>3489</v>
      </c>
      <c r="H11" s="172" t="s">
        <v>3490</v>
      </c>
      <c r="I11" s="171">
        <v>2800</v>
      </c>
      <c r="J11" s="171">
        <v>400</v>
      </c>
      <c r="K11" s="171">
        <v>200</v>
      </c>
      <c r="L11" s="171">
        <v>900</v>
      </c>
      <c r="M11" s="171">
        <v>1300</v>
      </c>
      <c r="N11" s="172" t="s">
        <v>3491</v>
      </c>
      <c r="O11" s="172" t="s">
        <v>3492</v>
      </c>
      <c r="P11" s="172" t="s">
        <v>271</v>
      </c>
      <c r="Q11" s="172"/>
      <c r="R11" s="172" t="s">
        <v>3493</v>
      </c>
      <c r="S11" s="172" t="s">
        <v>3494</v>
      </c>
      <c r="T11" s="172" t="s">
        <v>3495</v>
      </c>
      <c r="U11" s="172" t="s">
        <v>6355</v>
      </c>
      <c r="V11" s="172" t="s">
        <v>376</v>
      </c>
      <c r="W11" s="171">
        <v>280</v>
      </c>
      <c r="X11" s="171">
        <v>280</v>
      </c>
      <c r="Y11" s="171">
        <v>0</v>
      </c>
      <c r="Z11" s="172" t="s">
        <v>3496</v>
      </c>
    </row>
    <row r="12" spans="1:27" ht="38.25" customHeight="1">
      <c r="A12" s="144">
        <v>8</v>
      </c>
      <c r="B12" s="144" t="s">
        <v>3443</v>
      </c>
      <c r="C12" s="144" t="s">
        <v>3444</v>
      </c>
      <c r="D12" s="172" t="s">
        <v>3497</v>
      </c>
      <c r="E12" s="172" t="s">
        <v>3498</v>
      </c>
      <c r="F12" s="148" t="s">
        <v>3499</v>
      </c>
      <c r="G12" s="172" t="s">
        <v>3500</v>
      </c>
      <c r="H12" s="172" t="s">
        <v>3501</v>
      </c>
      <c r="I12" s="171">
        <v>100</v>
      </c>
      <c r="J12" s="171">
        <v>0</v>
      </c>
      <c r="K12" s="171">
        <v>0</v>
      </c>
      <c r="L12" s="171">
        <v>100</v>
      </c>
      <c r="M12" s="171">
        <v>0</v>
      </c>
      <c r="N12" s="172"/>
      <c r="O12" s="172"/>
      <c r="P12" s="172" t="s">
        <v>247</v>
      </c>
      <c r="Q12" s="172"/>
      <c r="R12" s="172" t="s">
        <v>3502</v>
      </c>
      <c r="S12" s="172" t="s">
        <v>373</v>
      </c>
      <c r="T12" s="172" t="s">
        <v>527</v>
      </c>
      <c r="U12" s="172" t="s">
        <v>6355</v>
      </c>
      <c r="V12" s="172" t="s">
        <v>376</v>
      </c>
      <c r="W12" s="171">
        <v>3</v>
      </c>
      <c r="X12" s="171">
        <v>3</v>
      </c>
      <c r="Y12" s="171">
        <v>0</v>
      </c>
      <c r="Z12" s="172" t="s">
        <v>3504</v>
      </c>
    </row>
    <row r="13" spans="1:27" ht="38.25" customHeight="1">
      <c r="A13" s="144">
        <v>9</v>
      </c>
      <c r="B13" s="144" t="s">
        <v>3443</v>
      </c>
      <c r="C13" s="144" t="s">
        <v>3505</v>
      </c>
      <c r="D13" s="172" t="s">
        <v>3506</v>
      </c>
      <c r="E13" s="172" t="s">
        <v>3507</v>
      </c>
      <c r="F13" s="148" t="s">
        <v>3508</v>
      </c>
      <c r="G13" s="172" t="s">
        <v>3509</v>
      </c>
      <c r="H13" s="172" t="s">
        <v>3510</v>
      </c>
      <c r="I13" s="171">
        <v>250</v>
      </c>
      <c r="J13" s="171">
        <v>0</v>
      </c>
      <c r="K13" s="171">
        <v>0</v>
      </c>
      <c r="L13" s="171">
        <v>250</v>
      </c>
      <c r="M13" s="171">
        <v>0</v>
      </c>
      <c r="N13" s="172"/>
      <c r="O13" s="172"/>
      <c r="P13" s="172" t="s">
        <v>271</v>
      </c>
      <c r="Q13" s="172"/>
      <c r="R13" s="172" t="s">
        <v>3511</v>
      </c>
      <c r="S13" s="172" t="s">
        <v>373</v>
      </c>
      <c r="T13" s="172" t="s">
        <v>374</v>
      </c>
      <c r="U13" s="172" t="s">
        <v>6355</v>
      </c>
      <c r="V13" s="172" t="s">
        <v>529</v>
      </c>
      <c r="W13" s="171">
        <v>0</v>
      </c>
      <c r="X13" s="171">
        <v>0</v>
      </c>
      <c r="Y13" s="171">
        <v>0</v>
      </c>
      <c r="Z13" s="172" t="s">
        <v>3512</v>
      </c>
    </row>
    <row r="14" spans="1:27" ht="38.25" customHeight="1">
      <c r="A14" s="144">
        <v>10</v>
      </c>
      <c r="B14" s="144" t="s">
        <v>3443</v>
      </c>
      <c r="C14" s="144" t="s">
        <v>3505</v>
      </c>
      <c r="D14" s="172" t="s">
        <v>3513</v>
      </c>
      <c r="E14" s="172" t="s">
        <v>3514</v>
      </c>
      <c r="F14" s="148" t="s">
        <v>3515</v>
      </c>
      <c r="G14" s="172" t="s">
        <v>3516</v>
      </c>
      <c r="H14" s="172" t="s">
        <v>3517</v>
      </c>
      <c r="I14" s="171">
        <v>100</v>
      </c>
      <c r="J14" s="171">
        <v>0</v>
      </c>
      <c r="K14" s="171">
        <v>50</v>
      </c>
      <c r="L14" s="171">
        <v>50</v>
      </c>
      <c r="M14" s="171">
        <v>0</v>
      </c>
      <c r="N14" s="172"/>
      <c r="O14" s="172"/>
      <c r="P14" s="172" t="s">
        <v>304</v>
      </c>
      <c r="Q14" s="172"/>
      <c r="R14" s="172" t="s">
        <v>3518</v>
      </c>
      <c r="S14" s="172" t="s">
        <v>373</v>
      </c>
      <c r="T14" s="172" t="s">
        <v>2902</v>
      </c>
      <c r="U14" s="172" t="s">
        <v>595</v>
      </c>
      <c r="V14" s="172" t="s">
        <v>529</v>
      </c>
      <c r="W14" s="171">
        <v>250</v>
      </c>
      <c r="X14" s="171">
        <v>250</v>
      </c>
      <c r="Y14" s="171">
        <v>0</v>
      </c>
      <c r="Z14" s="172" t="s">
        <v>2651</v>
      </c>
    </row>
    <row r="15" spans="1:27" ht="38.25" customHeight="1">
      <c r="A15" s="144">
        <v>11</v>
      </c>
      <c r="B15" s="144" t="s">
        <v>3443</v>
      </c>
      <c r="C15" s="144" t="s">
        <v>3505</v>
      </c>
      <c r="D15" s="172" t="s">
        <v>3519</v>
      </c>
      <c r="E15" s="172" t="s">
        <v>3514</v>
      </c>
      <c r="F15" s="148" t="s">
        <v>3520</v>
      </c>
      <c r="G15" s="172" t="s">
        <v>3516</v>
      </c>
      <c r="H15" s="172" t="s">
        <v>3521</v>
      </c>
      <c r="I15" s="171">
        <v>200</v>
      </c>
      <c r="J15" s="171">
        <v>44</v>
      </c>
      <c r="K15" s="171">
        <v>44</v>
      </c>
      <c r="L15" s="171">
        <v>112</v>
      </c>
      <c r="M15" s="171">
        <v>0</v>
      </c>
      <c r="N15" s="172" t="s">
        <v>510</v>
      </c>
      <c r="O15" s="172" t="s">
        <v>3522</v>
      </c>
      <c r="P15" s="172" t="s">
        <v>304</v>
      </c>
      <c r="Q15" s="172"/>
      <c r="R15" s="172" t="s">
        <v>3523</v>
      </c>
      <c r="S15" s="172" t="s">
        <v>373</v>
      </c>
      <c r="T15" s="172" t="s">
        <v>2902</v>
      </c>
      <c r="U15" s="172" t="s">
        <v>595</v>
      </c>
      <c r="V15" s="172" t="s">
        <v>529</v>
      </c>
      <c r="W15" s="171">
        <v>284</v>
      </c>
      <c r="X15" s="171">
        <v>280</v>
      </c>
      <c r="Y15" s="171">
        <v>4</v>
      </c>
      <c r="Z15" s="172" t="s">
        <v>2651</v>
      </c>
    </row>
    <row r="16" spans="1:27" ht="38.25" customHeight="1">
      <c r="A16" s="144">
        <v>12</v>
      </c>
      <c r="B16" s="144" t="s">
        <v>3443</v>
      </c>
      <c r="C16" s="144" t="s">
        <v>3505</v>
      </c>
      <c r="D16" s="172" t="s">
        <v>3524</v>
      </c>
      <c r="E16" s="172" t="s">
        <v>3525</v>
      </c>
      <c r="F16" s="148" t="s">
        <v>3526</v>
      </c>
      <c r="G16" s="172" t="s">
        <v>3527</v>
      </c>
      <c r="H16" s="172" t="s">
        <v>3528</v>
      </c>
      <c r="I16" s="171">
        <v>920</v>
      </c>
      <c r="J16" s="171">
        <v>0</v>
      </c>
      <c r="K16" s="171">
        <v>0</v>
      </c>
      <c r="L16" s="171">
        <v>920</v>
      </c>
      <c r="M16" s="171">
        <v>0</v>
      </c>
      <c r="N16" s="172"/>
      <c r="O16" s="172"/>
      <c r="P16" s="172" t="s">
        <v>304</v>
      </c>
      <c r="Q16" s="172"/>
      <c r="R16" s="172" t="s">
        <v>3529</v>
      </c>
      <c r="S16" s="172" t="s">
        <v>3494</v>
      </c>
      <c r="T16" s="172" t="s">
        <v>374</v>
      </c>
      <c r="U16" s="172" t="s">
        <v>6355</v>
      </c>
      <c r="V16" s="172" t="s">
        <v>1467</v>
      </c>
      <c r="W16" s="171">
        <v>178</v>
      </c>
      <c r="X16" s="171">
        <v>176</v>
      </c>
      <c r="Y16" s="171">
        <v>2</v>
      </c>
      <c r="Z16" s="172" t="s">
        <v>2636</v>
      </c>
    </row>
    <row r="17" spans="1:26" ht="38.25" customHeight="1">
      <c r="A17" s="144">
        <v>13</v>
      </c>
      <c r="B17" s="144" t="s">
        <v>3443</v>
      </c>
      <c r="C17" s="144" t="s">
        <v>3505</v>
      </c>
      <c r="D17" s="172" t="s">
        <v>3530</v>
      </c>
      <c r="E17" s="172" t="s">
        <v>3531</v>
      </c>
      <c r="F17" s="148" t="s">
        <v>3532</v>
      </c>
      <c r="G17" s="172" t="s">
        <v>7078</v>
      </c>
      <c r="H17" s="172">
        <v>2004</v>
      </c>
      <c r="I17" s="171">
        <v>20</v>
      </c>
      <c r="J17" s="171">
        <v>0</v>
      </c>
      <c r="K17" s="171">
        <v>0</v>
      </c>
      <c r="L17" s="171">
        <v>20</v>
      </c>
      <c r="M17" s="171">
        <v>0</v>
      </c>
      <c r="N17" s="172"/>
      <c r="O17" s="172"/>
      <c r="P17" s="172" t="s">
        <v>271</v>
      </c>
      <c r="Q17" s="172"/>
      <c r="R17" s="172" t="s">
        <v>2506</v>
      </c>
      <c r="S17" s="172" t="s">
        <v>373</v>
      </c>
      <c r="T17" s="172" t="s">
        <v>613</v>
      </c>
      <c r="U17" s="172" t="s">
        <v>6355</v>
      </c>
      <c r="V17" s="172" t="s">
        <v>529</v>
      </c>
      <c r="W17" s="171">
        <v>300</v>
      </c>
      <c r="X17" s="171">
        <v>300</v>
      </c>
      <c r="Y17" s="171">
        <v>0</v>
      </c>
      <c r="Z17" s="172" t="s">
        <v>1468</v>
      </c>
    </row>
    <row r="18" spans="1:26" ht="38.25" customHeight="1">
      <c r="A18" s="144">
        <v>14</v>
      </c>
      <c r="B18" s="144" t="s">
        <v>3443</v>
      </c>
      <c r="C18" s="144" t="s">
        <v>3505</v>
      </c>
      <c r="D18" s="172" t="s">
        <v>3533</v>
      </c>
      <c r="E18" s="172" t="s">
        <v>3531</v>
      </c>
      <c r="F18" s="148" t="s">
        <v>3534</v>
      </c>
      <c r="G18" s="172" t="s">
        <v>3535</v>
      </c>
      <c r="H18" s="172" t="s">
        <v>3536</v>
      </c>
      <c r="I18" s="171">
        <v>25</v>
      </c>
      <c r="J18" s="171">
        <v>0</v>
      </c>
      <c r="K18" s="171">
        <v>7.5</v>
      </c>
      <c r="L18" s="171">
        <v>17.5</v>
      </c>
      <c r="M18" s="171">
        <v>0</v>
      </c>
      <c r="N18" s="172"/>
      <c r="O18" s="172"/>
      <c r="P18" s="172" t="s">
        <v>304</v>
      </c>
      <c r="Q18" s="172"/>
      <c r="R18" s="172" t="s">
        <v>3537</v>
      </c>
      <c r="S18" s="172" t="s">
        <v>373</v>
      </c>
      <c r="T18" s="172" t="s">
        <v>374</v>
      </c>
      <c r="U18" s="172" t="s">
        <v>6355</v>
      </c>
      <c r="V18" s="172" t="s">
        <v>529</v>
      </c>
      <c r="W18" s="171">
        <v>2</v>
      </c>
      <c r="X18" s="171">
        <v>2</v>
      </c>
      <c r="Y18" s="171">
        <v>0</v>
      </c>
      <c r="Z18" s="172" t="s">
        <v>3538</v>
      </c>
    </row>
    <row r="19" spans="1:26" ht="38.25" customHeight="1">
      <c r="A19" s="144">
        <v>15</v>
      </c>
      <c r="B19" s="144" t="s">
        <v>3443</v>
      </c>
      <c r="C19" s="144" t="s">
        <v>3505</v>
      </c>
      <c r="D19" s="172" t="s">
        <v>3539</v>
      </c>
      <c r="E19" s="172" t="s">
        <v>3531</v>
      </c>
      <c r="F19" s="148" t="s">
        <v>3540</v>
      </c>
      <c r="G19" s="172" t="s">
        <v>3541</v>
      </c>
      <c r="H19" s="172" t="s">
        <v>3542</v>
      </c>
      <c r="I19" s="171">
        <v>20</v>
      </c>
      <c r="J19" s="171">
        <v>0</v>
      </c>
      <c r="K19" s="171">
        <v>0</v>
      </c>
      <c r="L19" s="171">
        <v>20</v>
      </c>
      <c r="M19" s="171">
        <v>0</v>
      </c>
      <c r="N19" s="172"/>
      <c r="O19" s="172"/>
      <c r="P19" s="172" t="s">
        <v>247</v>
      </c>
      <c r="Q19" s="172"/>
      <c r="R19" s="172" t="s">
        <v>3543</v>
      </c>
      <c r="S19" s="172" t="s">
        <v>373</v>
      </c>
      <c r="T19" s="172" t="s">
        <v>374</v>
      </c>
      <c r="U19" s="172" t="s">
        <v>6355</v>
      </c>
      <c r="V19" s="172" t="s">
        <v>529</v>
      </c>
      <c r="W19" s="171">
        <v>3.5</v>
      </c>
      <c r="X19" s="171">
        <v>3.5</v>
      </c>
      <c r="Y19" s="171">
        <v>0</v>
      </c>
      <c r="Z19" s="172" t="s">
        <v>3538</v>
      </c>
    </row>
    <row r="20" spans="1:26" ht="38.25" customHeight="1">
      <c r="A20" s="144">
        <v>16</v>
      </c>
      <c r="B20" s="144" t="s">
        <v>3443</v>
      </c>
      <c r="C20" s="144" t="s">
        <v>3505</v>
      </c>
      <c r="D20" s="172" t="s">
        <v>3544</v>
      </c>
      <c r="E20" s="172" t="s">
        <v>3545</v>
      </c>
      <c r="F20" s="148" t="s">
        <v>3546</v>
      </c>
      <c r="G20" s="172" t="s">
        <v>7079</v>
      </c>
      <c r="H20" s="172" t="s">
        <v>3547</v>
      </c>
      <c r="I20" s="171">
        <v>20</v>
      </c>
      <c r="J20" s="171">
        <v>0</v>
      </c>
      <c r="K20" s="171">
        <v>0</v>
      </c>
      <c r="L20" s="171">
        <v>20</v>
      </c>
      <c r="M20" s="171">
        <v>0</v>
      </c>
      <c r="N20" s="172"/>
      <c r="O20" s="172"/>
      <c r="P20" s="172" t="s">
        <v>247</v>
      </c>
      <c r="Q20" s="172"/>
      <c r="R20" s="172" t="s">
        <v>3548</v>
      </c>
      <c r="S20" s="172" t="s">
        <v>373</v>
      </c>
      <c r="T20" s="172" t="s">
        <v>613</v>
      </c>
      <c r="U20" s="172" t="s">
        <v>6355</v>
      </c>
      <c r="V20" s="172" t="s">
        <v>529</v>
      </c>
      <c r="W20" s="171">
        <v>1</v>
      </c>
      <c r="X20" s="171">
        <v>1</v>
      </c>
      <c r="Y20" s="171">
        <v>0</v>
      </c>
      <c r="Z20" s="172" t="s">
        <v>1468</v>
      </c>
    </row>
    <row r="21" spans="1:26" ht="38.25" customHeight="1">
      <c r="A21" s="144">
        <v>17</v>
      </c>
      <c r="B21" s="144" t="s">
        <v>3443</v>
      </c>
      <c r="C21" s="144" t="s">
        <v>3505</v>
      </c>
      <c r="D21" s="172" t="s">
        <v>3549</v>
      </c>
      <c r="E21" s="172" t="s">
        <v>3550</v>
      </c>
      <c r="F21" s="148" t="s">
        <v>3551</v>
      </c>
      <c r="G21" s="172" t="s">
        <v>3552</v>
      </c>
      <c r="H21" s="172" t="s">
        <v>3553</v>
      </c>
      <c r="I21" s="171">
        <v>2800</v>
      </c>
      <c r="J21" s="171">
        <v>0</v>
      </c>
      <c r="K21" s="171">
        <v>0</v>
      </c>
      <c r="L21" s="171">
        <v>2800</v>
      </c>
      <c r="M21" s="171">
        <v>0</v>
      </c>
      <c r="N21" s="172"/>
      <c r="O21" s="172"/>
      <c r="P21" s="172" t="s">
        <v>304</v>
      </c>
      <c r="Q21" s="172"/>
      <c r="R21" s="172" t="s">
        <v>3554</v>
      </c>
      <c r="S21" s="172" t="s">
        <v>373</v>
      </c>
      <c r="T21" s="172" t="s">
        <v>1466</v>
      </c>
      <c r="U21" s="172" t="s">
        <v>595</v>
      </c>
      <c r="V21" s="172" t="s">
        <v>1467</v>
      </c>
      <c r="W21" s="171">
        <v>1771</v>
      </c>
      <c r="X21" s="171">
        <v>1760</v>
      </c>
      <c r="Y21" s="171">
        <v>11</v>
      </c>
      <c r="Z21" s="172" t="s">
        <v>1468</v>
      </c>
    </row>
    <row r="22" spans="1:26" ht="38.25" customHeight="1">
      <c r="A22" s="144">
        <v>18</v>
      </c>
      <c r="B22" s="144" t="s">
        <v>3443</v>
      </c>
      <c r="C22" s="144" t="s">
        <v>3555</v>
      </c>
      <c r="D22" s="172" t="s">
        <v>3556</v>
      </c>
      <c r="E22" s="172" t="s">
        <v>3557</v>
      </c>
      <c r="F22" s="148" t="s">
        <v>3558</v>
      </c>
      <c r="G22" s="172" t="s">
        <v>3559</v>
      </c>
      <c r="H22" s="172" t="s">
        <v>3560</v>
      </c>
      <c r="I22" s="171">
        <v>41</v>
      </c>
      <c r="J22" s="171">
        <v>0</v>
      </c>
      <c r="K22" s="171">
        <v>0</v>
      </c>
      <c r="L22" s="171">
        <v>20</v>
      </c>
      <c r="M22" s="171">
        <v>21</v>
      </c>
      <c r="N22" s="172"/>
      <c r="O22" s="172"/>
      <c r="P22" s="172" t="s">
        <v>209</v>
      </c>
      <c r="Q22" s="172"/>
      <c r="R22" s="172" t="s">
        <v>3561</v>
      </c>
      <c r="S22" s="172" t="s">
        <v>373</v>
      </c>
      <c r="T22" s="172" t="s">
        <v>374</v>
      </c>
      <c r="U22" s="172" t="s">
        <v>6355</v>
      </c>
      <c r="V22" s="172" t="s">
        <v>3562</v>
      </c>
      <c r="W22" s="171">
        <v>10</v>
      </c>
      <c r="X22" s="171">
        <v>10</v>
      </c>
      <c r="Y22" s="171">
        <v>0</v>
      </c>
      <c r="Z22" s="172" t="s">
        <v>3563</v>
      </c>
    </row>
    <row r="23" spans="1:26" ht="38.25" customHeight="1">
      <c r="A23" s="144">
        <v>19</v>
      </c>
      <c r="B23" s="144" t="s">
        <v>3443</v>
      </c>
      <c r="C23" s="144" t="s">
        <v>3555</v>
      </c>
      <c r="D23" s="172" t="s">
        <v>3564</v>
      </c>
      <c r="E23" s="172" t="s">
        <v>3565</v>
      </c>
      <c r="F23" s="148" t="s">
        <v>3566</v>
      </c>
      <c r="G23" s="172" t="s">
        <v>3567</v>
      </c>
      <c r="H23" s="172" t="s">
        <v>3568</v>
      </c>
      <c r="I23" s="171">
        <v>25</v>
      </c>
      <c r="J23" s="171">
        <v>0</v>
      </c>
      <c r="K23" s="171">
        <v>0</v>
      </c>
      <c r="L23" s="171">
        <v>25</v>
      </c>
      <c r="M23" s="171">
        <v>0</v>
      </c>
      <c r="N23" s="172"/>
      <c r="O23" s="172"/>
      <c r="P23" s="172" t="s">
        <v>261</v>
      </c>
      <c r="Q23" s="172"/>
      <c r="R23" s="172" t="s">
        <v>3006</v>
      </c>
      <c r="S23" s="172" t="s">
        <v>373</v>
      </c>
      <c r="T23" s="172" t="s">
        <v>3569</v>
      </c>
      <c r="U23" s="172" t="s">
        <v>595</v>
      </c>
      <c r="V23" s="172" t="s">
        <v>376</v>
      </c>
      <c r="W23" s="171">
        <v>1.5</v>
      </c>
      <c r="X23" s="171">
        <v>1.5</v>
      </c>
      <c r="Y23" s="171">
        <v>0</v>
      </c>
      <c r="Z23" s="172" t="s">
        <v>3570</v>
      </c>
    </row>
    <row r="24" spans="1:26" ht="38.25" customHeight="1">
      <c r="A24" s="144">
        <v>20</v>
      </c>
      <c r="B24" s="144" t="s">
        <v>3443</v>
      </c>
      <c r="C24" s="144" t="s">
        <v>3555</v>
      </c>
      <c r="D24" s="172" t="s">
        <v>3571</v>
      </c>
      <c r="E24" s="172" t="s">
        <v>3572</v>
      </c>
      <c r="F24" s="148" t="s">
        <v>3573</v>
      </c>
      <c r="G24" s="172" t="s">
        <v>3574</v>
      </c>
      <c r="H24" s="172" t="s">
        <v>3575</v>
      </c>
      <c r="I24" s="171">
        <v>100</v>
      </c>
      <c r="J24" s="171">
        <v>0</v>
      </c>
      <c r="K24" s="171">
        <v>0</v>
      </c>
      <c r="L24" s="171">
        <v>50</v>
      </c>
      <c r="M24" s="171">
        <v>50</v>
      </c>
      <c r="N24" s="172"/>
      <c r="O24" s="172"/>
      <c r="P24" s="172" t="s">
        <v>209</v>
      </c>
      <c r="Q24" s="172"/>
      <c r="R24" s="172" t="s">
        <v>2123</v>
      </c>
      <c r="S24" s="172" t="s">
        <v>373</v>
      </c>
      <c r="T24" s="172" t="s">
        <v>501</v>
      </c>
      <c r="U24" s="172" t="s">
        <v>6355</v>
      </c>
      <c r="V24" s="172" t="s">
        <v>1924</v>
      </c>
      <c r="W24" s="171">
        <v>15</v>
      </c>
      <c r="X24" s="171">
        <v>15</v>
      </c>
      <c r="Y24" s="171">
        <v>0</v>
      </c>
      <c r="Z24" s="172" t="s">
        <v>3576</v>
      </c>
    </row>
    <row r="25" spans="1:26" ht="38.25" customHeight="1">
      <c r="A25" s="144">
        <v>21</v>
      </c>
      <c r="B25" s="144" t="s">
        <v>3443</v>
      </c>
      <c r="C25" s="144" t="s">
        <v>3555</v>
      </c>
      <c r="D25" s="172" t="s">
        <v>3577</v>
      </c>
      <c r="E25" s="172" t="s">
        <v>3578</v>
      </c>
      <c r="F25" s="148" t="s">
        <v>3579</v>
      </c>
      <c r="G25" s="172" t="s">
        <v>3580</v>
      </c>
      <c r="H25" s="172" t="s">
        <v>3581</v>
      </c>
      <c r="I25" s="171">
        <v>50</v>
      </c>
      <c r="J25" s="171">
        <v>0</v>
      </c>
      <c r="K25" s="171">
        <v>0</v>
      </c>
      <c r="L25" s="171">
        <v>50</v>
      </c>
      <c r="M25" s="171">
        <v>0</v>
      </c>
      <c r="N25" s="172"/>
      <c r="O25" s="172"/>
      <c r="P25" s="172" t="s">
        <v>209</v>
      </c>
      <c r="Q25" s="172"/>
      <c r="R25" s="172" t="s">
        <v>3582</v>
      </c>
      <c r="S25" s="172" t="s">
        <v>373</v>
      </c>
      <c r="T25" s="172" t="s">
        <v>501</v>
      </c>
      <c r="U25" s="172" t="s">
        <v>6355</v>
      </c>
      <c r="V25" s="172" t="s">
        <v>1924</v>
      </c>
      <c r="W25" s="171" t="s">
        <v>6409</v>
      </c>
      <c r="X25" s="171" t="s">
        <v>6409</v>
      </c>
      <c r="Y25" s="171" t="s">
        <v>6409</v>
      </c>
      <c r="Z25" s="172" t="s">
        <v>3583</v>
      </c>
    </row>
    <row r="26" spans="1:26" ht="38.25" customHeight="1">
      <c r="A26" s="144">
        <v>22</v>
      </c>
      <c r="B26" s="144" t="s">
        <v>3443</v>
      </c>
      <c r="C26" s="144" t="s">
        <v>3555</v>
      </c>
      <c r="D26" s="172" t="s">
        <v>3584</v>
      </c>
      <c r="E26" s="172" t="s">
        <v>3585</v>
      </c>
      <c r="F26" s="148" t="s">
        <v>3586</v>
      </c>
      <c r="G26" s="172" t="s">
        <v>3587</v>
      </c>
      <c r="H26" s="172" t="s">
        <v>3588</v>
      </c>
      <c r="I26" s="171">
        <v>2220</v>
      </c>
      <c r="J26" s="171">
        <v>0</v>
      </c>
      <c r="K26" s="171">
        <v>0</v>
      </c>
      <c r="L26" s="171">
        <v>2220</v>
      </c>
      <c r="M26" s="171">
        <v>0</v>
      </c>
      <c r="N26" s="172"/>
      <c r="O26" s="172"/>
      <c r="P26" s="172" t="s">
        <v>247</v>
      </c>
      <c r="Q26" s="172" t="s">
        <v>3589</v>
      </c>
      <c r="R26" s="172" t="s">
        <v>3590</v>
      </c>
      <c r="S26" s="172" t="s">
        <v>373</v>
      </c>
      <c r="T26" s="172" t="s">
        <v>527</v>
      </c>
      <c r="U26" s="172" t="s">
        <v>3591</v>
      </c>
      <c r="V26" s="172" t="s">
        <v>1924</v>
      </c>
      <c r="W26" s="171">
        <v>5688</v>
      </c>
      <c r="X26" s="171">
        <v>5066</v>
      </c>
      <c r="Y26" s="171">
        <v>622</v>
      </c>
      <c r="Z26" s="172" t="s">
        <v>3583</v>
      </c>
    </row>
    <row r="27" spans="1:26" ht="38.25" customHeight="1">
      <c r="A27" s="144">
        <v>23</v>
      </c>
      <c r="B27" s="144" t="s">
        <v>3443</v>
      </c>
      <c r="C27" s="144" t="s">
        <v>3555</v>
      </c>
      <c r="D27" s="172" t="s">
        <v>3593</v>
      </c>
      <c r="E27" s="172" t="s">
        <v>3594</v>
      </c>
      <c r="F27" s="148" t="s">
        <v>3595</v>
      </c>
      <c r="G27" s="172" t="s">
        <v>3596</v>
      </c>
      <c r="H27" s="172" t="s">
        <v>3597</v>
      </c>
      <c r="I27" s="171">
        <v>150</v>
      </c>
      <c r="J27" s="171">
        <v>0</v>
      </c>
      <c r="K27" s="171">
        <v>0</v>
      </c>
      <c r="L27" s="171">
        <v>150</v>
      </c>
      <c r="M27" s="171">
        <v>0</v>
      </c>
      <c r="N27" s="172"/>
      <c r="O27" s="172"/>
      <c r="P27" s="172" t="s">
        <v>261</v>
      </c>
      <c r="Q27" s="172"/>
      <c r="R27" s="172" t="s">
        <v>3598</v>
      </c>
      <c r="S27" s="172" t="s">
        <v>373</v>
      </c>
      <c r="T27" s="172" t="s">
        <v>374</v>
      </c>
      <c r="U27" s="172" t="s">
        <v>6355</v>
      </c>
      <c r="V27" s="172" t="s">
        <v>1924</v>
      </c>
      <c r="W27" s="171">
        <v>52</v>
      </c>
      <c r="X27" s="171">
        <v>52</v>
      </c>
      <c r="Y27" s="171">
        <v>0</v>
      </c>
      <c r="Z27" s="172" t="s">
        <v>3563</v>
      </c>
    </row>
    <row r="28" spans="1:26" ht="38.25" customHeight="1">
      <c r="A28" s="144">
        <v>24</v>
      </c>
      <c r="B28" s="144" t="s">
        <v>3443</v>
      </c>
      <c r="C28" s="144" t="s">
        <v>3555</v>
      </c>
      <c r="D28" s="172" t="s">
        <v>3599</v>
      </c>
      <c r="E28" s="172" t="s">
        <v>3600</v>
      </c>
      <c r="F28" s="148" t="s">
        <v>3601</v>
      </c>
      <c r="G28" s="172" t="s">
        <v>3602</v>
      </c>
      <c r="H28" s="172" t="s">
        <v>2990</v>
      </c>
      <c r="I28" s="171">
        <v>70</v>
      </c>
      <c r="J28" s="171">
        <v>0</v>
      </c>
      <c r="K28" s="171">
        <v>0</v>
      </c>
      <c r="L28" s="171">
        <v>70</v>
      </c>
      <c r="M28" s="171">
        <v>0</v>
      </c>
      <c r="N28" s="172"/>
      <c r="O28" s="172"/>
      <c r="P28" s="172" t="s">
        <v>247</v>
      </c>
      <c r="Q28" s="172"/>
      <c r="R28" s="172" t="s">
        <v>247</v>
      </c>
      <c r="S28" s="172" t="s">
        <v>373</v>
      </c>
      <c r="T28" s="172" t="s">
        <v>501</v>
      </c>
      <c r="U28" s="172" t="s">
        <v>6355</v>
      </c>
      <c r="V28" s="172" t="s">
        <v>1924</v>
      </c>
      <c r="W28" s="171">
        <v>1.5</v>
      </c>
      <c r="X28" s="171">
        <v>1.5</v>
      </c>
      <c r="Y28" s="171">
        <v>0</v>
      </c>
      <c r="Z28" s="172" t="s">
        <v>3603</v>
      </c>
    </row>
    <row r="29" spans="1:26" ht="38.25" customHeight="1">
      <c r="A29" s="144">
        <v>25</v>
      </c>
      <c r="B29" s="144" t="s">
        <v>3443</v>
      </c>
      <c r="C29" s="144" t="s">
        <v>3555</v>
      </c>
      <c r="D29" s="172" t="s">
        <v>3604</v>
      </c>
      <c r="E29" s="172" t="s">
        <v>3605</v>
      </c>
      <c r="F29" s="148" t="s">
        <v>3606</v>
      </c>
      <c r="G29" s="172" t="s">
        <v>3607</v>
      </c>
      <c r="H29" s="172" t="s">
        <v>3608</v>
      </c>
      <c r="I29" s="171">
        <v>180</v>
      </c>
      <c r="J29" s="171">
        <v>0</v>
      </c>
      <c r="K29" s="171">
        <v>0</v>
      </c>
      <c r="L29" s="171">
        <v>180</v>
      </c>
      <c r="M29" s="171">
        <v>0</v>
      </c>
      <c r="N29" s="172"/>
      <c r="O29" s="172"/>
      <c r="P29" s="172" t="s">
        <v>436</v>
      </c>
      <c r="Q29" s="172"/>
      <c r="R29" s="172" t="s">
        <v>3609</v>
      </c>
      <c r="S29" s="172" t="s">
        <v>3494</v>
      </c>
      <c r="T29" s="172" t="s">
        <v>3610</v>
      </c>
      <c r="U29" s="172" t="s">
        <v>6355</v>
      </c>
      <c r="V29" s="172" t="s">
        <v>1924</v>
      </c>
      <c r="W29" s="171">
        <v>15</v>
      </c>
      <c r="X29" s="171">
        <v>15</v>
      </c>
      <c r="Y29" s="171">
        <v>0</v>
      </c>
      <c r="Z29" s="172" t="s">
        <v>3611</v>
      </c>
    </row>
    <row r="30" spans="1:26" ht="38.25" customHeight="1">
      <c r="A30" s="144">
        <v>26</v>
      </c>
      <c r="B30" s="144" t="s">
        <v>3443</v>
      </c>
      <c r="C30" s="144" t="s">
        <v>3555</v>
      </c>
      <c r="D30" s="172" t="s">
        <v>3612</v>
      </c>
      <c r="E30" s="172" t="s">
        <v>3613</v>
      </c>
      <c r="F30" s="148" t="s">
        <v>3614</v>
      </c>
      <c r="G30" s="172" t="s">
        <v>3615</v>
      </c>
      <c r="H30" s="172" t="s">
        <v>3560</v>
      </c>
      <c r="I30" s="171">
        <v>30</v>
      </c>
      <c r="J30" s="171">
        <v>0</v>
      </c>
      <c r="K30" s="171">
        <v>0</v>
      </c>
      <c r="L30" s="171">
        <v>15</v>
      </c>
      <c r="M30" s="171">
        <v>15</v>
      </c>
      <c r="N30" s="172"/>
      <c r="O30" s="172"/>
      <c r="P30" s="172" t="s">
        <v>209</v>
      </c>
      <c r="Q30" s="172"/>
      <c r="R30" s="172" t="s">
        <v>3616</v>
      </c>
      <c r="S30" s="172" t="s">
        <v>373</v>
      </c>
      <c r="T30" s="172" t="s">
        <v>374</v>
      </c>
      <c r="U30" s="172" t="s">
        <v>6355</v>
      </c>
      <c r="V30" s="172" t="s">
        <v>1924</v>
      </c>
      <c r="W30" s="171">
        <v>10</v>
      </c>
      <c r="X30" s="171">
        <v>10</v>
      </c>
      <c r="Y30" s="171">
        <v>0</v>
      </c>
      <c r="Z30" s="172" t="s">
        <v>3563</v>
      </c>
    </row>
    <row r="31" spans="1:26" ht="38.25" customHeight="1">
      <c r="A31" s="144">
        <v>27</v>
      </c>
      <c r="B31" s="144" t="s">
        <v>3443</v>
      </c>
      <c r="C31" s="144" t="s">
        <v>3555</v>
      </c>
      <c r="D31" s="172" t="s">
        <v>3617</v>
      </c>
      <c r="E31" s="172" t="s">
        <v>3618</v>
      </c>
      <c r="F31" s="148" t="s">
        <v>3619</v>
      </c>
      <c r="G31" s="172" t="s">
        <v>3620</v>
      </c>
      <c r="H31" s="172" t="s">
        <v>3621</v>
      </c>
      <c r="I31" s="171">
        <v>210</v>
      </c>
      <c r="J31" s="171">
        <v>0</v>
      </c>
      <c r="K31" s="171">
        <v>0</v>
      </c>
      <c r="L31" s="171">
        <v>160</v>
      </c>
      <c r="M31" s="171">
        <v>10</v>
      </c>
      <c r="N31" s="172"/>
      <c r="O31" s="172"/>
      <c r="P31" s="172" t="s">
        <v>209</v>
      </c>
      <c r="Q31" s="172"/>
      <c r="R31" s="172" t="s">
        <v>3622</v>
      </c>
      <c r="S31" s="172" t="s">
        <v>373</v>
      </c>
      <c r="T31" s="172" t="s">
        <v>501</v>
      </c>
      <c r="U31" s="172" t="s">
        <v>6355</v>
      </c>
      <c r="V31" s="172" t="s">
        <v>1924</v>
      </c>
      <c r="W31" s="171">
        <v>80</v>
      </c>
      <c r="X31" s="171">
        <v>80</v>
      </c>
      <c r="Y31" s="171">
        <v>0</v>
      </c>
      <c r="Z31" s="172" t="s">
        <v>3583</v>
      </c>
    </row>
    <row r="32" spans="1:26" ht="38.25" customHeight="1">
      <c r="A32" s="144">
        <v>28</v>
      </c>
      <c r="B32" s="144" t="s">
        <v>3443</v>
      </c>
      <c r="C32" s="144" t="s">
        <v>3555</v>
      </c>
      <c r="D32" s="172" t="s">
        <v>3623</v>
      </c>
      <c r="E32" s="172" t="s">
        <v>3624</v>
      </c>
      <c r="F32" s="148" t="s">
        <v>3625</v>
      </c>
      <c r="G32" s="172" t="s">
        <v>7080</v>
      </c>
      <c r="H32" s="172" t="s">
        <v>3626</v>
      </c>
      <c r="I32" s="171">
        <v>20</v>
      </c>
      <c r="J32" s="171">
        <v>0</v>
      </c>
      <c r="K32" s="171">
        <v>0</v>
      </c>
      <c r="L32" s="171">
        <v>20</v>
      </c>
      <c r="M32" s="171">
        <v>0</v>
      </c>
      <c r="N32" s="172"/>
      <c r="O32" s="172"/>
      <c r="P32" s="172" t="s">
        <v>261</v>
      </c>
      <c r="Q32" s="172"/>
      <c r="R32" s="172" t="s">
        <v>3627</v>
      </c>
      <c r="S32" s="172" t="s">
        <v>373</v>
      </c>
      <c r="T32" s="172" t="s">
        <v>374</v>
      </c>
      <c r="U32" s="172" t="s">
        <v>6355</v>
      </c>
      <c r="V32" s="172" t="s">
        <v>3628</v>
      </c>
      <c r="W32" s="171">
        <v>3000</v>
      </c>
      <c r="X32" s="171">
        <v>3000</v>
      </c>
      <c r="Y32" s="171">
        <v>0</v>
      </c>
      <c r="Z32" s="172" t="s">
        <v>2799</v>
      </c>
    </row>
    <row r="33" spans="1:26" ht="38.25" customHeight="1">
      <c r="A33" s="144">
        <v>29</v>
      </c>
      <c r="B33" s="144" t="s">
        <v>3443</v>
      </c>
      <c r="C33" s="144" t="s">
        <v>3555</v>
      </c>
      <c r="D33" s="172" t="s">
        <v>3629</v>
      </c>
      <c r="E33" s="172" t="s">
        <v>3630</v>
      </c>
      <c r="F33" s="148" t="s">
        <v>3631</v>
      </c>
      <c r="G33" s="172" t="s">
        <v>7081</v>
      </c>
      <c r="H33" s="172" t="s">
        <v>3568</v>
      </c>
      <c r="I33" s="171">
        <v>10</v>
      </c>
      <c r="J33" s="171">
        <v>0</v>
      </c>
      <c r="K33" s="171">
        <v>0</v>
      </c>
      <c r="L33" s="171">
        <v>10</v>
      </c>
      <c r="M33" s="171">
        <v>0</v>
      </c>
      <c r="N33" s="172"/>
      <c r="O33" s="172"/>
      <c r="P33" s="172" t="s">
        <v>209</v>
      </c>
      <c r="Q33" s="172"/>
      <c r="R33" s="172" t="s">
        <v>3632</v>
      </c>
      <c r="S33" s="172" t="s">
        <v>373</v>
      </c>
      <c r="T33" s="172" t="s">
        <v>374</v>
      </c>
      <c r="U33" s="172" t="s">
        <v>6355</v>
      </c>
      <c r="V33" s="172" t="s">
        <v>1924</v>
      </c>
      <c r="W33" s="171">
        <v>2</v>
      </c>
      <c r="X33" s="171">
        <v>2</v>
      </c>
      <c r="Y33" s="171">
        <v>0</v>
      </c>
      <c r="Z33" s="172" t="s">
        <v>2799</v>
      </c>
    </row>
    <row r="34" spans="1:26" ht="38.25" customHeight="1">
      <c r="A34" s="144">
        <v>30</v>
      </c>
      <c r="B34" s="144" t="s">
        <v>3443</v>
      </c>
      <c r="C34" s="144" t="s">
        <v>3555</v>
      </c>
      <c r="D34" s="172" t="s">
        <v>3633</v>
      </c>
      <c r="E34" s="172" t="s">
        <v>3634</v>
      </c>
      <c r="F34" s="148" t="s">
        <v>3635</v>
      </c>
      <c r="G34" s="172" t="s">
        <v>7082</v>
      </c>
      <c r="H34" s="172" t="s">
        <v>3636</v>
      </c>
      <c r="I34" s="171">
        <v>23</v>
      </c>
      <c r="J34" s="171">
        <v>0</v>
      </c>
      <c r="K34" s="171">
        <v>0</v>
      </c>
      <c r="L34" s="171">
        <v>0</v>
      </c>
      <c r="M34" s="171">
        <v>23</v>
      </c>
      <c r="N34" s="172"/>
      <c r="O34" s="172"/>
      <c r="P34" s="172" t="s">
        <v>209</v>
      </c>
      <c r="Q34" s="172"/>
      <c r="R34" s="172" t="s">
        <v>3637</v>
      </c>
      <c r="S34" s="172" t="s">
        <v>373</v>
      </c>
      <c r="T34" s="172" t="s">
        <v>374</v>
      </c>
      <c r="U34" s="172" t="s">
        <v>6355</v>
      </c>
      <c r="V34" s="172" t="s">
        <v>1924</v>
      </c>
      <c r="W34" s="171">
        <v>200</v>
      </c>
      <c r="X34" s="171">
        <v>200</v>
      </c>
      <c r="Y34" s="171">
        <v>0</v>
      </c>
      <c r="Z34" s="172" t="s">
        <v>3638</v>
      </c>
    </row>
    <row r="35" spans="1:26" ht="38.25" customHeight="1">
      <c r="A35" s="144">
        <v>31</v>
      </c>
      <c r="B35" s="144" t="s">
        <v>3443</v>
      </c>
      <c r="C35" s="144" t="s">
        <v>3555</v>
      </c>
      <c r="D35" s="172" t="s">
        <v>3639</v>
      </c>
      <c r="E35" s="172" t="s">
        <v>3640</v>
      </c>
      <c r="F35" s="148" t="s">
        <v>3641</v>
      </c>
      <c r="G35" s="172" t="s">
        <v>3587</v>
      </c>
      <c r="H35" s="172" t="s">
        <v>3457</v>
      </c>
      <c r="I35" s="171" t="s">
        <v>3642</v>
      </c>
      <c r="J35" s="171"/>
      <c r="K35" s="171"/>
      <c r="L35" s="171"/>
      <c r="M35" s="171"/>
      <c r="N35" s="172"/>
      <c r="O35" s="172"/>
      <c r="P35" s="172" t="s">
        <v>247</v>
      </c>
      <c r="Q35" s="172"/>
      <c r="R35" s="172" t="s">
        <v>1029</v>
      </c>
      <c r="S35" s="172" t="s">
        <v>373</v>
      </c>
      <c r="T35" s="172" t="s">
        <v>374</v>
      </c>
      <c r="U35" s="172" t="s">
        <v>3591</v>
      </c>
      <c r="V35" s="172" t="s">
        <v>1924</v>
      </c>
      <c r="W35" s="171">
        <v>300</v>
      </c>
      <c r="X35" s="171">
        <v>300</v>
      </c>
      <c r="Y35" s="171">
        <v>0</v>
      </c>
      <c r="Z35" s="172" t="s">
        <v>3583</v>
      </c>
    </row>
    <row r="36" spans="1:26" ht="38.25" customHeight="1">
      <c r="A36" s="144">
        <v>32</v>
      </c>
      <c r="B36" s="144" t="s">
        <v>3443</v>
      </c>
      <c r="C36" s="144" t="s">
        <v>3643</v>
      </c>
      <c r="D36" s="172" t="s">
        <v>3644</v>
      </c>
      <c r="E36" s="172" t="s">
        <v>3645</v>
      </c>
      <c r="F36" s="148" t="s">
        <v>3646</v>
      </c>
      <c r="G36" s="172" t="s">
        <v>3647</v>
      </c>
      <c r="H36" s="172" t="s">
        <v>3648</v>
      </c>
      <c r="I36" s="171">
        <v>900</v>
      </c>
      <c r="J36" s="171">
        <v>0</v>
      </c>
      <c r="K36" s="171">
        <v>0</v>
      </c>
      <c r="L36" s="171">
        <v>900</v>
      </c>
      <c r="M36" s="171">
        <v>0</v>
      </c>
      <c r="N36" s="172"/>
      <c r="O36" s="172"/>
      <c r="P36" s="172" t="s">
        <v>436</v>
      </c>
      <c r="Q36" s="172"/>
      <c r="R36" s="172" t="s">
        <v>3649</v>
      </c>
      <c r="S36" s="172" t="s">
        <v>373</v>
      </c>
      <c r="T36" s="172" t="s">
        <v>527</v>
      </c>
      <c r="U36" s="172" t="s">
        <v>6412</v>
      </c>
      <c r="V36" s="172" t="s">
        <v>1924</v>
      </c>
      <c r="W36" s="171">
        <v>307</v>
      </c>
      <c r="X36" s="171">
        <v>307</v>
      </c>
      <c r="Y36" s="171">
        <v>0</v>
      </c>
      <c r="Z36" s="172" t="s">
        <v>3650</v>
      </c>
    </row>
    <row r="37" spans="1:26" ht="38.25" customHeight="1">
      <c r="A37" s="144">
        <v>33</v>
      </c>
      <c r="B37" s="144" t="s">
        <v>3443</v>
      </c>
      <c r="C37" s="144" t="s">
        <v>3643</v>
      </c>
      <c r="D37" s="172" t="s">
        <v>3651</v>
      </c>
      <c r="E37" s="172" t="s">
        <v>3652</v>
      </c>
      <c r="F37" s="148" t="s">
        <v>3653</v>
      </c>
      <c r="G37" s="172" t="s">
        <v>3647</v>
      </c>
      <c r="H37" s="172" t="s">
        <v>3654</v>
      </c>
      <c r="I37" s="171">
        <v>140</v>
      </c>
      <c r="J37" s="171">
        <v>0</v>
      </c>
      <c r="K37" s="171">
        <v>0</v>
      </c>
      <c r="L37" s="171">
        <v>140</v>
      </c>
      <c r="M37" s="171">
        <v>0</v>
      </c>
      <c r="N37" s="172"/>
      <c r="O37" s="172"/>
      <c r="P37" s="172" t="s">
        <v>247</v>
      </c>
      <c r="Q37" s="172"/>
      <c r="R37" s="172" t="s">
        <v>3655</v>
      </c>
      <c r="S37" s="172" t="s">
        <v>373</v>
      </c>
      <c r="T37" s="172" t="s">
        <v>527</v>
      </c>
      <c r="U37" s="172" t="s">
        <v>6412</v>
      </c>
      <c r="V37" s="172" t="s">
        <v>1924</v>
      </c>
      <c r="W37" s="171">
        <v>9.1999999999999993</v>
      </c>
      <c r="X37" s="171">
        <v>9.1999999999999993</v>
      </c>
      <c r="Y37" s="171">
        <v>0</v>
      </c>
      <c r="Z37" s="172" t="s">
        <v>3656</v>
      </c>
    </row>
    <row r="38" spans="1:26" ht="38.25" customHeight="1">
      <c r="A38" s="144">
        <v>34</v>
      </c>
      <c r="B38" s="144" t="s">
        <v>3443</v>
      </c>
      <c r="C38" s="144" t="s">
        <v>3643</v>
      </c>
      <c r="D38" s="172" t="s">
        <v>3657</v>
      </c>
      <c r="E38" s="172" t="s">
        <v>3658</v>
      </c>
      <c r="F38" s="148" t="s">
        <v>3659</v>
      </c>
      <c r="G38" s="172" t="s">
        <v>3660</v>
      </c>
      <c r="H38" s="172" t="s">
        <v>3661</v>
      </c>
      <c r="I38" s="171">
        <v>120</v>
      </c>
      <c r="J38" s="171">
        <v>0</v>
      </c>
      <c r="K38" s="171">
        <v>0</v>
      </c>
      <c r="L38" s="171">
        <v>120</v>
      </c>
      <c r="M38" s="171">
        <v>0</v>
      </c>
      <c r="N38" s="172"/>
      <c r="O38" s="172"/>
      <c r="P38" s="172" t="s">
        <v>247</v>
      </c>
      <c r="Q38" s="172"/>
      <c r="R38" s="172" t="s">
        <v>3662</v>
      </c>
      <c r="S38" s="172" t="s">
        <v>373</v>
      </c>
      <c r="T38" s="172" t="s">
        <v>527</v>
      </c>
      <c r="U38" s="172" t="s">
        <v>6412</v>
      </c>
      <c r="V38" s="172" t="s">
        <v>1924</v>
      </c>
      <c r="W38" s="171">
        <v>1</v>
      </c>
      <c r="X38" s="171">
        <v>1</v>
      </c>
      <c r="Y38" s="171">
        <v>0</v>
      </c>
      <c r="Z38" s="172" t="s">
        <v>3663</v>
      </c>
    </row>
    <row r="39" spans="1:26" ht="38.25" customHeight="1">
      <c r="A39" s="144">
        <v>35</v>
      </c>
      <c r="B39" s="144" t="s">
        <v>3443</v>
      </c>
      <c r="C39" s="144" t="s">
        <v>3643</v>
      </c>
      <c r="D39" s="172" t="s">
        <v>3664</v>
      </c>
      <c r="E39" s="172" t="s">
        <v>3475</v>
      </c>
      <c r="F39" s="148" t="s">
        <v>3665</v>
      </c>
      <c r="G39" s="172" t="s">
        <v>3647</v>
      </c>
      <c r="H39" s="172" t="s">
        <v>3666</v>
      </c>
      <c r="I39" s="171">
        <v>190</v>
      </c>
      <c r="J39" s="171">
        <v>0</v>
      </c>
      <c r="K39" s="171">
        <v>0</v>
      </c>
      <c r="L39" s="171">
        <v>190</v>
      </c>
      <c r="M39" s="171">
        <v>0</v>
      </c>
      <c r="N39" s="172"/>
      <c r="O39" s="172"/>
      <c r="P39" s="172" t="s">
        <v>261</v>
      </c>
      <c r="Q39" s="172"/>
      <c r="R39" s="172" t="s">
        <v>3667</v>
      </c>
      <c r="S39" s="172" t="s">
        <v>373</v>
      </c>
      <c r="T39" s="172" t="s">
        <v>527</v>
      </c>
      <c r="U39" s="172" t="s">
        <v>6412</v>
      </c>
      <c r="V39" s="172" t="s">
        <v>1924</v>
      </c>
      <c r="W39" s="171">
        <v>26.4</v>
      </c>
      <c r="X39" s="171">
        <v>26.4</v>
      </c>
      <c r="Y39" s="171">
        <v>0</v>
      </c>
      <c r="Z39" s="172" t="s">
        <v>3667</v>
      </c>
    </row>
    <row r="40" spans="1:26" ht="38.25" customHeight="1">
      <c r="A40" s="144">
        <v>36</v>
      </c>
      <c r="B40" s="144" t="s">
        <v>3443</v>
      </c>
      <c r="C40" s="144" t="s">
        <v>3643</v>
      </c>
      <c r="D40" s="172" t="s">
        <v>3668</v>
      </c>
      <c r="E40" s="172" t="s">
        <v>3475</v>
      </c>
      <c r="F40" s="148" t="s">
        <v>3669</v>
      </c>
      <c r="G40" s="172" t="s">
        <v>3670</v>
      </c>
      <c r="H40" s="172" t="s">
        <v>3671</v>
      </c>
      <c r="I40" s="171">
        <v>180</v>
      </c>
      <c r="J40" s="171">
        <v>0</v>
      </c>
      <c r="K40" s="171">
        <v>8</v>
      </c>
      <c r="L40" s="171">
        <v>172</v>
      </c>
      <c r="M40" s="171">
        <v>0</v>
      </c>
      <c r="N40" s="172"/>
      <c r="O40" s="172"/>
      <c r="P40" s="172" t="s">
        <v>304</v>
      </c>
      <c r="Q40" s="172"/>
      <c r="R40" s="172" t="s">
        <v>3672</v>
      </c>
      <c r="S40" s="172" t="s">
        <v>373</v>
      </c>
      <c r="T40" s="172" t="s">
        <v>501</v>
      </c>
      <c r="U40" s="172" t="s">
        <v>6355</v>
      </c>
      <c r="V40" s="172" t="s">
        <v>1924</v>
      </c>
      <c r="W40" s="171">
        <v>96</v>
      </c>
      <c r="X40" s="171">
        <v>96</v>
      </c>
      <c r="Y40" s="171">
        <v>0</v>
      </c>
      <c r="Z40" s="172" t="s">
        <v>3673</v>
      </c>
    </row>
    <row r="41" spans="1:26" s="3" customFormat="1" ht="38.25" customHeight="1">
      <c r="A41" s="144">
        <v>37</v>
      </c>
      <c r="B41" s="144" t="s">
        <v>3443</v>
      </c>
      <c r="C41" s="144" t="s">
        <v>3674</v>
      </c>
      <c r="D41" s="172" t="s">
        <v>3675</v>
      </c>
      <c r="E41" s="172" t="s">
        <v>3676</v>
      </c>
      <c r="F41" s="148" t="s">
        <v>3677</v>
      </c>
      <c r="G41" s="172" t="s">
        <v>7083</v>
      </c>
      <c r="H41" s="172" t="s">
        <v>3678</v>
      </c>
      <c r="I41" s="171">
        <v>30</v>
      </c>
      <c r="J41" s="171">
        <v>0</v>
      </c>
      <c r="K41" s="171">
        <v>0</v>
      </c>
      <c r="L41" s="171">
        <v>0</v>
      </c>
      <c r="M41" s="171">
        <v>30</v>
      </c>
      <c r="N41" s="172" t="s">
        <v>2902</v>
      </c>
      <c r="O41" s="172" t="s">
        <v>2902</v>
      </c>
      <c r="P41" s="172" t="s">
        <v>209</v>
      </c>
      <c r="Q41" s="172"/>
      <c r="R41" s="172" t="s">
        <v>3679</v>
      </c>
      <c r="S41" s="172" t="s">
        <v>373</v>
      </c>
      <c r="T41" s="172" t="s">
        <v>3480</v>
      </c>
      <c r="U41" s="172" t="s">
        <v>6355</v>
      </c>
      <c r="V41" s="172" t="s">
        <v>376</v>
      </c>
      <c r="W41" s="171">
        <v>8</v>
      </c>
      <c r="X41" s="171">
        <v>8</v>
      </c>
      <c r="Y41" s="171" t="s">
        <v>2902</v>
      </c>
      <c r="Z41" s="172" t="s">
        <v>3680</v>
      </c>
    </row>
    <row r="42" spans="1:26" s="3" customFormat="1" ht="38.25" customHeight="1">
      <c r="A42" s="144">
        <v>38</v>
      </c>
      <c r="B42" s="144" t="s">
        <v>3443</v>
      </c>
      <c r="C42" s="144" t="s">
        <v>3674</v>
      </c>
      <c r="D42" s="172" t="s">
        <v>3681</v>
      </c>
      <c r="E42" s="172" t="s">
        <v>3682</v>
      </c>
      <c r="F42" s="148" t="s">
        <v>3683</v>
      </c>
      <c r="G42" s="172" t="s">
        <v>3684</v>
      </c>
      <c r="H42" s="172" t="s">
        <v>3685</v>
      </c>
      <c r="I42" s="171">
        <v>86</v>
      </c>
      <c r="J42" s="171">
        <v>0</v>
      </c>
      <c r="K42" s="171">
        <v>80</v>
      </c>
      <c r="L42" s="171">
        <v>0</v>
      </c>
      <c r="M42" s="171">
        <v>6</v>
      </c>
      <c r="N42" s="172" t="s">
        <v>2902</v>
      </c>
      <c r="O42" s="172" t="s">
        <v>2902</v>
      </c>
      <c r="P42" s="172" t="s">
        <v>209</v>
      </c>
      <c r="Q42" s="172"/>
      <c r="R42" s="172" t="s">
        <v>3686</v>
      </c>
      <c r="S42" s="172" t="s">
        <v>373</v>
      </c>
      <c r="T42" s="172" t="s">
        <v>374</v>
      </c>
      <c r="U42" s="172" t="s">
        <v>6355</v>
      </c>
      <c r="V42" s="172" t="s">
        <v>1924</v>
      </c>
      <c r="W42" s="171">
        <v>55</v>
      </c>
      <c r="X42" s="171">
        <v>55</v>
      </c>
      <c r="Y42" s="171" t="s">
        <v>2902</v>
      </c>
      <c r="Z42" s="172" t="s">
        <v>3687</v>
      </c>
    </row>
    <row r="43" spans="1:26" s="3" customFormat="1" ht="38.25" customHeight="1">
      <c r="A43" s="144">
        <v>39</v>
      </c>
      <c r="B43" s="144" t="s">
        <v>3443</v>
      </c>
      <c r="C43" s="144" t="s">
        <v>3674</v>
      </c>
      <c r="D43" s="172" t="s">
        <v>3688</v>
      </c>
      <c r="E43" s="172" t="s">
        <v>3689</v>
      </c>
      <c r="F43" s="148" t="s">
        <v>3690</v>
      </c>
      <c r="G43" s="172" t="s">
        <v>7102</v>
      </c>
      <c r="H43" s="172" t="s">
        <v>3691</v>
      </c>
      <c r="I43" s="171">
        <v>80</v>
      </c>
      <c r="J43" s="171">
        <v>0</v>
      </c>
      <c r="K43" s="171">
        <v>0</v>
      </c>
      <c r="L43" s="171">
        <v>0</v>
      </c>
      <c r="M43" s="171">
        <v>80</v>
      </c>
      <c r="N43" s="172" t="s">
        <v>2902</v>
      </c>
      <c r="O43" s="172" t="s">
        <v>2902</v>
      </c>
      <c r="P43" s="172" t="s">
        <v>209</v>
      </c>
      <c r="Q43" s="172"/>
      <c r="R43" s="172" t="s">
        <v>3692</v>
      </c>
      <c r="S43" s="172" t="s">
        <v>373</v>
      </c>
      <c r="T43" s="172" t="s">
        <v>374</v>
      </c>
      <c r="U43" s="172" t="s">
        <v>3693</v>
      </c>
      <c r="V43" s="172" t="s">
        <v>3694</v>
      </c>
      <c r="W43" s="171">
        <v>50</v>
      </c>
      <c r="X43" s="171">
        <v>50</v>
      </c>
      <c r="Y43" s="171" t="s">
        <v>2902</v>
      </c>
      <c r="Z43" s="172" t="s">
        <v>1029</v>
      </c>
    </row>
    <row r="44" spans="1:26" s="3" customFormat="1" ht="38.25" customHeight="1">
      <c r="A44" s="144">
        <v>40</v>
      </c>
      <c r="B44" s="144" t="s">
        <v>3443</v>
      </c>
      <c r="C44" s="144" t="s">
        <v>3674</v>
      </c>
      <c r="D44" s="172" t="s">
        <v>3695</v>
      </c>
      <c r="E44" s="172" t="s">
        <v>3696</v>
      </c>
      <c r="F44" s="148" t="s">
        <v>3697</v>
      </c>
      <c r="G44" s="172" t="s">
        <v>7084</v>
      </c>
      <c r="H44" s="172" t="s">
        <v>3698</v>
      </c>
      <c r="I44" s="171">
        <v>100</v>
      </c>
      <c r="J44" s="171">
        <v>0</v>
      </c>
      <c r="K44" s="171">
        <v>50</v>
      </c>
      <c r="L44" s="171">
        <v>0</v>
      </c>
      <c r="M44" s="171">
        <v>50</v>
      </c>
      <c r="N44" s="172" t="s">
        <v>2902</v>
      </c>
      <c r="O44" s="172" t="s">
        <v>2902</v>
      </c>
      <c r="P44" s="172" t="s">
        <v>209</v>
      </c>
      <c r="Q44" s="172"/>
      <c r="R44" s="172" t="s">
        <v>373</v>
      </c>
      <c r="S44" s="172" t="s">
        <v>373</v>
      </c>
      <c r="T44" s="172" t="s">
        <v>374</v>
      </c>
      <c r="U44" s="172" t="s">
        <v>6355</v>
      </c>
      <c r="V44" s="172" t="s">
        <v>3699</v>
      </c>
      <c r="W44" s="171">
        <v>15</v>
      </c>
      <c r="X44" s="171">
        <v>15</v>
      </c>
      <c r="Y44" s="171" t="s">
        <v>2902</v>
      </c>
      <c r="Z44" s="172" t="s">
        <v>3700</v>
      </c>
    </row>
    <row r="45" spans="1:26" s="3" customFormat="1" ht="38.25" customHeight="1">
      <c r="A45" s="144">
        <v>41</v>
      </c>
      <c r="B45" s="144" t="s">
        <v>3443</v>
      </c>
      <c r="C45" s="144" t="s">
        <v>3674</v>
      </c>
      <c r="D45" s="172" t="s">
        <v>3701</v>
      </c>
      <c r="E45" s="172" t="s">
        <v>3702</v>
      </c>
      <c r="F45" s="148" t="s">
        <v>3703</v>
      </c>
      <c r="G45" s="172" t="s">
        <v>3704</v>
      </c>
      <c r="H45" s="172" t="s">
        <v>3705</v>
      </c>
      <c r="I45" s="171">
        <v>850</v>
      </c>
      <c r="J45" s="171">
        <v>80</v>
      </c>
      <c r="K45" s="171">
        <v>770</v>
      </c>
      <c r="L45" s="171">
        <v>0</v>
      </c>
      <c r="M45" s="171">
        <v>0</v>
      </c>
      <c r="N45" s="172" t="s">
        <v>3706</v>
      </c>
      <c r="O45" s="172" t="s">
        <v>511</v>
      </c>
      <c r="P45" s="172" t="s">
        <v>304</v>
      </c>
      <c r="Q45" s="172" t="s">
        <v>3707</v>
      </c>
      <c r="R45" s="172" t="s">
        <v>3708</v>
      </c>
      <c r="S45" s="172" t="s">
        <v>373</v>
      </c>
      <c r="T45" s="172" t="s">
        <v>374</v>
      </c>
      <c r="U45" s="172" t="s">
        <v>6355</v>
      </c>
      <c r="V45" s="172" t="s">
        <v>3709</v>
      </c>
      <c r="W45" s="171">
        <v>220</v>
      </c>
      <c r="X45" s="171">
        <v>219</v>
      </c>
      <c r="Y45" s="171">
        <v>1</v>
      </c>
      <c r="Z45" s="172" t="s">
        <v>3096</v>
      </c>
    </row>
    <row r="46" spans="1:26" s="3" customFormat="1" ht="38.25" customHeight="1">
      <c r="A46" s="144">
        <v>42</v>
      </c>
      <c r="B46" s="144" t="s">
        <v>3443</v>
      </c>
      <c r="C46" s="144" t="s">
        <v>3674</v>
      </c>
      <c r="D46" s="172" t="s">
        <v>3710</v>
      </c>
      <c r="E46" s="172" t="s">
        <v>3711</v>
      </c>
      <c r="F46" s="148" t="s">
        <v>3712</v>
      </c>
      <c r="G46" s="172" t="s">
        <v>3713</v>
      </c>
      <c r="H46" s="172" t="s">
        <v>1899</v>
      </c>
      <c r="I46" s="171">
        <v>100</v>
      </c>
      <c r="J46" s="171">
        <v>0</v>
      </c>
      <c r="K46" s="171">
        <v>100</v>
      </c>
      <c r="L46" s="171">
        <v>0</v>
      </c>
      <c r="M46" s="171">
        <v>0</v>
      </c>
      <c r="N46" s="172" t="s">
        <v>2902</v>
      </c>
      <c r="O46" s="172" t="s">
        <v>2902</v>
      </c>
      <c r="P46" s="172" t="s">
        <v>261</v>
      </c>
      <c r="Q46" s="172"/>
      <c r="R46" s="172" t="s">
        <v>2627</v>
      </c>
      <c r="S46" s="172" t="s">
        <v>373</v>
      </c>
      <c r="T46" s="172" t="s">
        <v>374</v>
      </c>
      <c r="U46" s="172" t="s">
        <v>6355</v>
      </c>
      <c r="V46" s="172" t="s">
        <v>1924</v>
      </c>
      <c r="W46" s="171">
        <v>181.55</v>
      </c>
      <c r="X46" s="171">
        <v>181</v>
      </c>
      <c r="Y46" s="171">
        <v>0.55000000000000004</v>
      </c>
      <c r="Z46" s="172" t="s">
        <v>3714</v>
      </c>
    </row>
    <row r="47" spans="1:26" s="3" customFormat="1" ht="38.25" customHeight="1">
      <c r="A47" s="144">
        <v>43</v>
      </c>
      <c r="B47" s="144" t="s">
        <v>3443</v>
      </c>
      <c r="C47" s="144" t="s">
        <v>3674</v>
      </c>
      <c r="D47" s="172" t="s">
        <v>3715</v>
      </c>
      <c r="E47" s="172" t="s">
        <v>3696</v>
      </c>
      <c r="F47" s="148" t="s">
        <v>3716</v>
      </c>
      <c r="G47" s="172" t="s">
        <v>3717</v>
      </c>
      <c r="H47" s="172" t="s">
        <v>3718</v>
      </c>
      <c r="I47" s="171">
        <v>70</v>
      </c>
      <c r="J47" s="171">
        <v>0</v>
      </c>
      <c r="K47" s="171">
        <v>70</v>
      </c>
      <c r="L47" s="171">
        <v>0</v>
      </c>
      <c r="M47" s="171">
        <v>0</v>
      </c>
      <c r="N47" s="172" t="s">
        <v>2902</v>
      </c>
      <c r="O47" s="172" t="s">
        <v>2902</v>
      </c>
      <c r="P47" s="172" t="s">
        <v>261</v>
      </c>
      <c r="Q47" s="172"/>
      <c r="R47" s="172" t="s">
        <v>3719</v>
      </c>
      <c r="S47" s="172" t="s">
        <v>373</v>
      </c>
      <c r="T47" s="172" t="s">
        <v>3720</v>
      </c>
      <c r="U47" s="172" t="s">
        <v>3721</v>
      </c>
      <c r="V47" s="172" t="s">
        <v>1924</v>
      </c>
      <c r="W47" s="171">
        <v>2.7</v>
      </c>
      <c r="X47" s="171">
        <v>2.7</v>
      </c>
      <c r="Y47" s="171" t="s">
        <v>2902</v>
      </c>
      <c r="Z47" s="172" t="s">
        <v>3722</v>
      </c>
    </row>
    <row r="48" spans="1:26" s="3" customFormat="1" ht="38.25" customHeight="1">
      <c r="A48" s="144">
        <v>44</v>
      </c>
      <c r="B48" s="144" t="s">
        <v>3443</v>
      </c>
      <c r="C48" s="144" t="s">
        <v>3723</v>
      </c>
      <c r="D48" s="172" t="s">
        <v>3724</v>
      </c>
      <c r="E48" s="172" t="s">
        <v>3725</v>
      </c>
      <c r="F48" s="148" t="s">
        <v>3726</v>
      </c>
      <c r="G48" s="172" t="s">
        <v>3727</v>
      </c>
      <c r="H48" s="172" t="s">
        <v>3728</v>
      </c>
      <c r="I48" s="171">
        <v>700</v>
      </c>
      <c r="J48" s="171">
        <v>0</v>
      </c>
      <c r="K48" s="171">
        <v>700</v>
      </c>
      <c r="L48" s="171">
        <v>0</v>
      </c>
      <c r="M48" s="171">
        <v>0</v>
      </c>
      <c r="N48" s="172"/>
      <c r="O48" s="172"/>
      <c r="P48" s="172" t="s">
        <v>209</v>
      </c>
      <c r="Q48" s="172"/>
      <c r="R48" s="172" t="s">
        <v>3729</v>
      </c>
      <c r="S48" s="172" t="s">
        <v>373</v>
      </c>
      <c r="T48" s="172" t="s">
        <v>374</v>
      </c>
      <c r="U48" s="172" t="s">
        <v>6355</v>
      </c>
      <c r="V48" s="172" t="s">
        <v>1924</v>
      </c>
      <c r="W48" s="171">
        <v>620</v>
      </c>
      <c r="X48" s="171">
        <v>615</v>
      </c>
      <c r="Y48" s="171">
        <v>5</v>
      </c>
      <c r="Z48" s="172" t="s">
        <v>3730</v>
      </c>
    </row>
    <row r="49" spans="1:26" s="3" customFormat="1" ht="38.25" customHeight="1">
      <c r="A49" s="144">
        <v>45</v>
      </c>
      <c r="B49" s="144" t="s">
        <v>3443</v>
      </c>
      <c r="C49" s="144" t="s">
        <v>3723</v>
      </c>
      <c r="D49" s="172" t="s">
        <v>3731</v>
      </c>
      <c r="E49" s="172" t="s">
        <v>3732</v>
      </c>
      <c r="F49" s="148" t="s">
        <v>3733</v>
      </c>
      <c r="G49" s="172" t="s">
        <v>3734</v>
      </c>
      <c r="H49" s="172" t="s">
        <v>3735</v>
      </c>
      <c r="I49" s="171">
        <v>60</v>
      </c>
      <c r="J49" s="171">
        <v>0</v>
      </c>
      <c r="K49" s="171">
        <v>60</v>
      </c>
      <c r="L49" s="171">
        <v>0</v>
      </c>
      <c r="M49" s="171">
        <v>0</v>
      </c>
      <c r="N49" s="172"/>
      <c r="O49" s="172"/>
      <c r="P49" s="172" t="s">
        <v>209</v>
      </c>
      <c r="Q49" s="172"/>
      <c r="R49" s="172" t="s">
        <v>3736</v>
      </c>
      <c r="S49" s="172" t="s">
        <v>373</v>
      </c>
      <c r="T49" s="172" t="s">
        <v>374</v>
      </c>
      <c r="U49" s="172" t="s">
        <v>6355</v>
      </c>
      <c r="V49" s="172" t="s">
        <v>1924</v>
      </c>
      <c r="W49" s="171">
        <v>38</v>
      </c>
      <c r="X49" s="171">
        <v>38</v>
      </c>
      <c r="Y49" s="171">
        <v>0</v>
      </c>
      <c r="Z49" s="172" t="s">
        <v>3737</v>
      </c>
    </row>
    <row r="50" spans="1:26" s="3" customFormat="1" ht="38.25" customHeight="1">
      <c r="A50" s="144">
        <v>46</v>
      </c>
      <c r="B50" s="144" t="s">
        <v>3443</v>
      </c>
      <c r="C50" s="144" t="s">
        <v>3723</v>
      </c>
      <c r="D50" s="172" t="s">
        <v>3738</v>
      </c>
      <c r="E50" s="172" t="s">
        <v>3739</v>
      </c>
      <c r="F50" s="148" t="s">
        <v>3740</v>
      </c>
      <c r="G50" s="172" t="s">
        <v>3741</v>
      </c>
      <c r="H50" s="172" t="s">
        <v>3636</v>
      </c>
      <c r="I50" s="171">
        <v>66</v>
      </c>
      <c r="J50" s="171">
        <v>0</v>
      </c>
      <c r="K50" s="171">
        <v>0</v>
      </c>
      <c r="L50" s="171">
        <v>60</v>
      </c>
      <c r="M50" s="171">
        <v>6</v>
      </c>
      <c r="N50" s="172"/>
      <c r="O50" s="172"/>
      <c r="P50" s="172" t="s">
        <v>436</v>
      </c>
      <c r="Q50" s="172"/>
      <c r="R50" s="172" t="s">
        <v>3742</v>
      </c>
      <c r="S50" s="172" t="s">
        <v>373</v>
      </c>
      <c r="T50" s="172" t="s">
        <v>374</v>
      </c>
      <c r="U50" s="172" t="s">
        <v>6355</v>
      </c>
      <c r="V50" s="172" t="s">
        <v>1924</v>
      </c>
      <c r="W50" s="171">
        <v>80</v>
      </c>
      <c r="X50" s="171">
        <v>80</v>
      </c>
      <c r="Y50" s="171">
        <v>0</v>
      </c>
      <c r="Z50" s="172" t="s">
        <v>3642</v>
      </c>
    </row>
    <row r="51" spans="1:26" s="3" customFormat="1" ht="38.25" customHeight="1">
      <c r="A51" s="144">
        <v>47</v>
      </c>
      <c r="B51" s="144" t="s">
        <v>3443</v>
      </c>
      <c r="C51" s="144" t="s">
        <v>3723</v>
      </c>
      <c r="D51" s="172" t="s">
        <v>3743</v>
      </c>
      <c r="E51" s="172" t="s">
        <v>3744</v>
      </c>
      <c r="F51" s="148" t="s">
        <v>3745</v>
      </c>
      <c r="G51" s="172" t="s">
        <v>3746</v>
      </c>
      <c r="H51" s="172" t="s">
        <v>3747</v>
      </c>
      <c r="I51" s="171">
        <v>805</v>
      </c>
      <c r="J51" s="171">
        <v>110</v>
      </c>
      <c r="K51" s="171">
        <v>645</v>
      </c>
      <c r="L51" s="171">
        <v>0</v>
      </c>
      <c r="M51" s="171">
        <v>50</v>
      </c>
      <c r="N51" s="172" t="s">
        <v>510</v>
      </c>
      <c r="O51" s="172" t="s">
        <v>511</v>
      </c>
      <c r="P51" s="172" t="s">
        <v>209</v>
      </c>
      <c r="Q51" s="172" t="s">
        <v>3748</v>
      </c>
      <c r="R51" s="172" t="s">
        <v>3749</v>
      </c>
      <c r="S51" s="172" t="s">
        <v>373</v>
      </c>
      <c r="T51" s="172" t="s">
        <v>374</v>
      </c>
      <c r="U51" s="172" t="s">
        <v>6355</v>
      </c>
      <c r="V51" s="172" t="s">
        <v>1924</v>
      </c>
      <c r="W51" s="171">
        <v>290</v>
      </c>
      <c r="X51" s="171">
        <v>284</v>
      </c>
      <c r="Y51" s="171">
        <v>6</v>
      </c>
      <c r="Z51" s="172" t="s">
        <v>3750</v>
      </c>
    </row>
    <row r="52" spans="1:26" s="3" customFormat="1" ht="38.25" customHeight="1">
      <c r="A52" s="144">
        <v>48</v>
      </c>
      <c r="B52" s="144" t="s">
        <v>3443</v>
      </c>
      <c r="C52" s="144" t="s">
        <v>3723</v>
      </c>
      <c r="D52" s="172" t="s">
        <v>3751</v>
      </c>
      <c r="E52" s="172" t="s">
        <v>3752</v>
      </c>
      <c r="F52" s="148" t="s">
        <v>3753</v>
      </c>
      <c r="G52" s="172" t="s">
        <v>3754</v>
      </c>
      <c r="H52" s="172" t="s">
        <v>3755</v>
      </c>
      <c r="I52" s="171">
        <v>110</v>
      </c>
      <c r="J52" s="171">
        <v>0</v>
      </c>
      <c r="K52" s="171">
        <v>60</v>
      </c>
      <c r="L52" s="171">
        <v>0</v>
      </c>
      <c r="M52" s="171">
        <v>50</v>
      </c>
      <c r="N52" s="172"/>
      <c r="O52" s="172"/>
      <c r="P52" s="172" t="s">
        <v>209</v>
      </c>
      <c r="Q52" s="172"/>
      <c r="R52" s="172" t="s">
        <v>3756</v>
      </c>
      <c r="S52" s="172" t="s">
        <v>373</v>
      </c>
      <c r="T52" s="172" t="s">
        <v>3757</v>
      </c>
      <c r="U52" s="172" t="s">
        <v>6355</v>
      </c>
      <c r="V52" s="172" t="s">
        <v>1924</v>
      </c>
      <c r="W52" s="171">
        <v>100</v>
      </c>
      <c r="X52" s="171">
        <v>100</v>
      </c>
      <c r="Y52" s="171">
        <v>0</v>
      </c>
      <c r="Z52" s="172" t="s">
        <v>3113</v>
      </c>
    </row>
    <row r="53" spans="1:26" s="3" customFormat="1" ht="38.25" customHeight="1">
      <c r="A53" s="144">
        <v>49</v>
      </c>
      <c r="B53" s="144" t="s">
        <v>3443</v>
      </c>
      <c r="C53" s="144" t="s">
        <v>3758</v>
      </c>
      <c r="D53" s="172" t="s">
        <v>3759</v>
      </c>
      <c r="E53" s="172" t="s">
        <v>3760</v>
      </c>
      <c r="F53" s="148" t="s">
        <v>3761</v>
      </c>
      <c r="G53" s="172" t="s">
        <v>3762</v>
      </c>
      <c r="H53" s="172" t="s">
        <v>2995</v>
      </c>
      <c r="I53" s="171">
        <v>1950</v>
      </c>
      <c r="J53" s="171">
        <v>650</v>
      </c>
      <c r="K53" s="171">
        <v>1300</v>
      </c>
      <c r="L53" s="171">
        <v>0</v>
      </c>
      <c r="M53" s="171">
        <v>0</v>
      </c>
      <c r="N53" s="172" t="s">
        <v>510</v>
      </c>
      <c r="O53" s="172" t="s">
        <v>3763</v>
      </c>
      <c r="P53" s="172" t="s">
        <v>247</v>
      </c>
      <c r="Q53" s="172"/>
      <c r="R53" s="172" t="s">
        <v>3764</v>
      </c>
      <c r="S53" s="172" t="s">
        <v>373</v>
      </c>
      <c r="T53" s="172" t="s">
        <v>3765</v>
      </c>
      <c r="U53" s="172" t="s">
        <v>595</v>
      </c>
      <c r="V53" s="172" t="s">
        <v>1924</v>
      </c>
      <c r="W53" s="171">
        <v>1180</v>
      </c>
      <c r="X53" s="171">
        <v>1180</v>
      </c>
      <c r="Y53" s="171">
        <v>0</v>
      </c>
      <c r="Z53" s="172" t="s">
        <v>3766</v>
      </c>
    </row>
    <row r="54" spans="1:26" s="3" customFormat="1" ht="38.25" customHeight="1">
      <c r="A54" s="144">
        <v>50</v>
      </c>
      <c r="B54" s="144" t="s">
        <v>3443</v>
      </c>
      <c r="C54" s="144" t="s">
        <v>3767</v>
      </c>
      <c r="D54" s="172" t="s">
        <v>3768</v>
      </c>
      <c r="E54" s="172" t="s">
        <v>3769</v>
      </c>
      <c r="F54" s="148" t="s">
        <v>3770</v>
      </c>
      <c r="G54" s="172" t="s">
        <v>3771</v>
      </c>
      <c r="H54" s="172" t="s">
        <v>3691</v>
      </c>
      <c r="I54" s="171">
        <v>35</v>
      </c>
      <c r="J54" s="171">
        <v>0</v>
      </c>
      <c r="K54" s="171">
        <v>0</v>
      </c>
      <c r="L54" s="171">
        <v>35</v>
      </c>
      <c r="M54" s="171">
        <v>0</v>
      </c>
      <c r="N54" s="172"/>
      <c r="O54" s="172"/>
      <c r="P54" s="172" t="s">
        <v>261</v>
      </c>
      <c r="Q54" s="172"/>
      <c r="R54" s="172" t="s">
        <v>2506</v>
      </c>
      <c r="S54" s="172" t="s">
        <v>373</v>
      </c>
      <c r="T54" s="172" t="s">
        <v>374</v>
      </c>
      <c r="U54" s="172" t="s">
        <v>6355</v>
      </c>
      <c r="V54" s="172" t="s">
        <v>529</v>
      </c>
      <c r="W54" s="171">
        <v>1</v>
      </c>
      <c r="X54" s="171">
        <v>1</v>
      </c>
      <c r="Y54" s="171">
        <v>0</v>
      </c>
      <c r="Z54" s="172" t="s">
        <v>3113</v>
      </c>
    </row>
    <row r="55" spans="1:26" ht="38.25" customHeight="1">
      <c r="A55" s="144">
        <v>51</v>
      </c>
      <c r="B55" s="144" t="s">
        <v>3443</v>
      </c>
      <c r="C55" s="144" t="s">
        <v>3767</v>
      </c>
      <c r="D55" s="172" t="s">
        <v>3772</v>
      </c>
      <c r="E55" s="172" t="s">
        <v>3773</v>
      </c>
      <c r="F55" s="148" t="s">
        <v>3774</v>
      </c>
      <c r="G55" s="172" t="s">
        <v>3775</v>
      </c>
      <c r="H55" s="172" t="s">
        <v>3705</v>
      </c>
      <c r="I55" s="171">
        <v>30</v>
      </c>
      <c r="J55" s="171">
        <v>0</v>
      </c>
      <c r="K55" s="171">
        <v>0</v>
      </c>
      <c r="L55" s="171">
        <v>30</v>
      </c>
      <c r="M55" s="171">
        <v>0</v>
      </c>
      <c r="N55" s="172"/>
      <c r="O55" s="172"/>
      <c r="P55" s="172" t="s">
        <v>304</v>
      </c>
      <c r="Q55" s="172"/>
      <c r="R55" s="172" t="s">
        <v>3776</v>
      </c>
      <c r="S55" s="172" t="s">
        <v>373</v>
      </c>
      <c r="T55" s="172" t="s">
        <v>3569</v>
      </c>
      <c r="U55" s="172" t="s">
        <v>595</v>
      </c>
      <c r="V55" s="172" t="s">
        <v>3777</v>
      </c>
      <c r="W55" s="171">
        <v>1</v>
      </c>
      <c r="X55" s="171">
        <v>1</v>
      </c>
      <c r="Y55" s="171">
        <v>0</v>
      </c>
      <c r="Z55" s="172" t="s">
        <v>271</v>
      </c>
    </row>
    <row r="56" spans="1:26" ht="38.25" customHeight="1">
      <c r="A56" s="144">
        <v>52</v>
      </c>
      <c r="B56" s="144" t="s">
        <v>3443</v>
      </c>
      <c r="C56" s="144" t="s">
        <v>3767</v>
      </c>
      <c r="D56" s="172" t="s">
        <v>3778</v>
      </c>
      <c r="E56" s="172" t="s">
        <v>3773</v>
      </c>
      <c r="F56" s="148" t="s">
        <v>3779</v>
      </c>
      <c r="G56" s="172" t="s">
        <v>3780</v>
      </c>
      <c r="H56" s="172" t="s">
        <v>1922</v>
      </c>
      <c r="I56" s="171">
        <v>18</v>
      </c>
      <c r="J56" s="171">
        <v>0</v>
      </c>
      <c r="K56" s="171">
        <v>0</v>
      </c>
      <c r="L56" s="171">
        <v>18</v>
      </c>
      <c r="M56" s="171">
        <v>0</v>
      </c>
      <c r="N56" s="172"/>
      <c r="O56" s="172"/>
      <c r="P56" s="172" t="s">
        <v>271</v>
      </c>
      <c r="Q56" s="172"/>
      <c r="R56" s="172" t="s">
        <v>3781</v>
      </c>
      <c r="S56" s="172" t="s">
        <v>373</v>
      </c>
      <c r="T56" s="172" t="s">
        <v>527</v>
      </c>
      <c r="U56" s="172" t="s">
        <v>6355</v>
      </c>
      <c r="V56" s="172" t="s">
        <v>3782</v>
      </c>
      <c r="W56" s="171">
        <v>5</v>
      </c>
      <c r="X56" s="171">
        <v>5</v>
      </c>
      <c r="Y56" s="171">
        <v>0</v>
      </c>
      <c r="Z56" s="172" t="s">
        <v>3783</v>
      </c>
    </row>
    <row r="57" spans="1:26" ht="38.25" customHeight="1">
      <c r="A57" s="144">
        <v>53</v>
      </c>
      <c r="B57" s="144" t="s">
        <v>3443</v>
      </c>
      <c r="C57" s="144" t="s">
        <v>3767</v>
      </c>
      <c r="D57" s="172" t="s">
        <v>3784</v>
      </c>
      <c r="E57" s="172" t="s">
        <v>3785</v>
      </c>
      <c r="F57" s="148" t="s">
        <v>3786</v>
      </c>
      <c r="G57" s="172" t="s">
        <v>3787</v>
      </c>
      <c r="H57" s="172" t="s">
        <v>3788</v>
      </c>
      <c r="I57" s="171">
        <v>579</v>
      </c>
      <c r="J57" s="171">
        <v>0</v>
      </c>
      <c r="K57" s="171">
        <v>100</v>
      </c>
      <c r="L57" s="171">
        <v>479</v>
      </c>
      <c r="M57" s="171">
        <v>0</v>
      </c>
      <c r="N57" s="172"/>
      <c r="O57" s="172"/>
      <c r="P57" s="172" t="s">
        <v>304</v>
      </c>
      <c r="Q57" s="172"/>
      <c r="R57" s="172" t="s">
        <v>3789</v>
      </c>
      <c r="S57" s="172" t="s">
        <v>373</v>
      </c>
      <c r="T57" s="172" t="s">
        <v>374</v>
      </c>
      <c r="U57" s="172" t="s">
        <v>6413</v>
      </c>
      <c r="V57" s="172" t="s">
        <v>376</v>
      </c>
      <c r="W57" s="171">
        <v>50</v>
      </c>
      <c r="X57" s="171">
        <v>40</v>
      </c>
      <c r="Y57" s="171">
        <v>10</v>
      </c>
      <c r="Z57" s="172" t="s">
        <v>3790</v>
      </c>
    </row>
    <row r="58" spans="1:26" ht="38.25" customHeight="1">
      <c r="A58" s="144">
        <v>54</v>
      </c>
      <c r="B58" s="144" t="s">
        <v>3443</v>
      </c>
      <c r="C58" s="144" t="s">
        <v>3767</v>
      </c>
      <c r="D58" s="172" t="s">
        <v>3791</v>
      </c>
      <c r="E58" s="172" t="s">
        <v>3792</v>
      </c>
      <c r="F58" s="148" t="s">
        <v>3793</v>
      </c>
      <c r="G58" s="172" t="s">
        <v>7085</v>
      </c>
      <c r="H58" s="172" t="s">
        <v>3794</v>
      </c>
      <c r="I58" s="171">
        <v>20</v>
      </c>
      <c r="J58" s="171">
        <v>0</v>
      </c>
      <c r="K58" s="171">
        <v>0</v>
      </c>
      <c r="L58" s="171">
        <v>20</v>
      </c>
      <c r="M58" s="171">
        <v>0</v>
      </c>
      <c r="N58" s="172"/>
      <c r="O58" s="172"/>
      <c r="P58" s="172" t="s">
        <v>209</v>
      </c>
      <c r="Q58" s="172"/>
      <c r="R58" s="172" t="s">
        <v>3795</v>
      </c>
      <c r="S58" s="172" t="s">
        <v>373</v>
      </c>
      <c r="T58" s="172" t="s">
        <v>374</v>
      </c>
      <c r="U58" s="172" t="s">
        <v>6355</v>
      </c>
      <c r="V58" s="172" t="s">
        <v>1924</v>
      </c>
      <c r="W58" s="171">
        <v>2</v>
      </c>
      <c r="X58" s="171">
        <v>2</v>
      </c>
      <c r="Y58" s="171">
        <v>0</v>
      </c>
      <c r="Z58" s="172" t="s">
        <v>1029</v>
      </c>
    </row>
    <row r="59" spans="1:26" ht="38.25" customHeight="1">
      <c r="A59" s="144">
        <v>55</v>
      </c>
      <c r="B59" s="144" t="s">
        <v>3443</v>
      </c>
      <c r="C59" s="144" t="s">
        <v>3767</v>
      </c>
      <c r="D59" s="172" t="s">
        <v>3796</v>
      </c>
      <c r="E59" s="172" t="s">
        <v>3797</v>
      </c>
      <c r="F59" s="148" t="s">
        <v>3798</v>
      </c>
      <c r="G59" s="172" t="s">
        <v>3799</v>
      </c>
      <c r="H59" s="172" t="s">
        <v>3001</v>
      </c>
      <c r="I59" s="171">
        <v>73</v>
      </c>
      <c r="J59" s="171">
        <v>0</v>
      </c>
      <c r="K59" s="171">
        <v>0</v>
      </c>
      <c r="L59" s="171">
        <v>73</v>
      </c>
      <c r="M59" s="171">
        <v>0</v>
      </c>
      <c r="N59" s="172"/>
      <c r="O59" s="172"/>
      <c r="P59" s="172" t="s">
        <v>247</v>
      </c>
      <c r="Q59" s="172"/>
      <c r="R59" s="172" t="s">
        <v>3800</v>
      </c>
      <c r="S59" s="172" t="s">
        <v>373</v>
      </c>
      <c r="T59" s="172" t="s">
        <v>814</v>
      </c>
      <c r="U59" s="172" t="s">
        <v>3801</v>
      </c>
      <c r="V59" s="172" t="s">
        <v>1924</v>
      </c>
      <c r="W59" s="171">
        <v>25</v>
      </c>
      <c r="X59" s="171">
        <v>25</v>
      </c>
      <c r="Y59" s="171">
        <v>0</v>
      </c>
      <c r="Z59" s="172" t="s">
        <v>3802</v>
      </c>
    </row>
    <row r="60" spans="1:26" ht="38.25" customHeight="1">
      <c r="A60" s="144">
        <v>56</v>
      </c>
      <c r="B60" s="144" t="s">
        <v>3443</v>
      </c>
      <c r="C60" s="144" t="s">
        <v>3767</v>
      </c>
      <c r="D60" s="172" t="s">
        <v>3803</v>
      </c>
      <c r="E60" s="172" t="s">
        <v>3804</v>
      </c>
      <c r="F60" s="148" t="s">
        <v>3805</v>
      </c>
      <c r="G60" s="172" t="s">
        <v>3806</v>
      </c>
      <c r="H60" s="172" t="s">
        <v>3691</v>
      </c>
      <c r="I60" s="171">
        <v>20</v>
      </c>
      <c r="J60" s="171">
        <v>0</v>
      </c>
      <c r="K60" s="171">
        <v>0</v>
      </c>
      <c r="L60" s="171">
        <v>20</v>
      </c>
      <c r="M60" s="171">
        <v>0</v>
      </c>
      <c r="N60" s="172"/>
      <c r="O60" s="172"/>
      <c r="P60" s="172" t="s">
        <v>209</v>
      </c>
      <c r="Q60" s="172"/>
      <c r="R60" s="172" t="s">
        <v>3807</v>
      </c>
      <c r="S60" s="172" t="s">
        <v>373</v>
      </c>
      <c r="T60" s="172" t="s">
        <v>374</v>
      </c>
      <c r="U60" s="172" t="s">
        <v>6355</v>
      </c>
      <c r="V60" s="172" t="s">
        <v>1924</v>
      </c>
      <c r="W60" s="171">
        <v>1</v>
      </c>
      <c r="X60" s="171">
        <v>1</v>
      </c>
      <c r="Y60" s="171">
        <v>0</v>
      </c>
      <c r="Z60" s="172" t="s">
        <v>1029</v>
      </c>
    </row>
    <row r="61" spans="1:26" ht="38.25" customHeight="1">
      <c r="A61" s="144">
        <v>57</v>
      </c>
      <c r="B61" s="144" t="s">
        <v>3443</v>
      </c>
      <c r="C61" s="144" t="s">
        <v>3767</v>
      </c>
      <c r="D61" s="172" t="s">
        <v>3808</v>
      </c>
      <c r="E61" s="172" t="s">
        <v>3809</v>
      </c>
      <c r="F61" s="148" t="s">
        <v>3810</v>
      </c>
      <c r="G61" s="172" t="s">
        <v>3811</v>
      </c>
      <c r="H61" s="172" t="s">
        <v>3812</v>
      </c>
      <c r="I61" s="171">
        <v>15</v>
      </c>
      <c r="J61" s="171">
        <v>0</v>
      </c>
      <c r="K61" s="171">
        <v>0</v>
      </c>
      <c r="L61" s="171">
        <v>15</v>
      </c>
      <c r="M61" s="171">
        <v>0</v>
      </c>
      <c r="N61" s="172"/>
      <c r="O61" s="172"/>
      <c r="P61" s="172" t="s">
        <v>209</v>
      </c>
      <c r="Q61" s="172"/>
      <c r="R61" s="172" t="s">
        <v>3813</v>
      </c>
      <c r="S61" s="172" t="s">
        <v>373</v>
      </c>
      <c r="T61" s="172" t="s">
        <v>3814</v>
      </c>
      <c r="U61" s="172" t="s">
        <v>6355</v>
      </c>
      <c r="V61" s="172" t="s">
        <v>529</v>
      </c>
      <c r="W61" s="171">
        <v>0.5</v>
      </c>
      <c r="X61" s="171">
        <v>0.5</v>
      </c>
      <c r="Y61" s="171">
        <v>0</v>
      </c>
      <c r="Z61" s="172" t="s">
        <v>271</v>
      </c>
    </row>
    <row r="62" spans="1:26" ht="38.25" customHeight="1">
      <c r="A62" s="144">
        <v>58</v>
      </c>
      <c r="B62" s="144" t="s">
        <v>3443</v>
      </c>
      <c r="C62" s="144" t="s">
        <v>3767</v>
      </c>
      <c r="D62" s="172" t="s">
        <v>3815</v>
      </c>
      <c r="E62" s="172" t="s">
        <v>3816</v>
      </c>
      <c r="F62" s="148" t="s">
        <v>3817</v>
      </c>
      <c r="G62" s="172" t="s">
        <v>3818</v>
      </c>
      <c r="H62" s="172" t="s">
        <v>3819</v>
      </c>
      <c r="I62" s="171">
        <v>95</v>
      </c>
      <c r="J62" s="171">
        <v>0</v>
      </c>
      <c r="K62" s="171">
        <v>0</v>
      </c>
      <c r="L62" s="171">
        <v>95</v>
      </c>
      <c r="M62" s="171">
        <v>0</v>
      </c>
      <c r="N62" s="172"/>
      <c r="O62" s="172"/>
      <c r="P62" s="172" t="s">
        <v>261</v>
      </c>
      <c r="Q62" s="172"/>
      <c r="R62" s="172" t="s">
        <v>3820</v>
      </c>
      <c r="S62" s="172" t="s">
        <v>373</v>
      </c>
      <c r="T62" s="172" t="s">
        <v>3821</v>
      </c>
      <c r="U62" s="172" t="s">
        <v>6355</v>
      </c>
      <c r="V62" s="172" t="s">
        <v>376</v>
      </c>
      <c r="W62" s="171">
        <v>5</v>
      </c>
      <c r="X62" s="171">
        <v>5</v>
      </c>
      <c r="Y62" s="171">
        <v>0</v>
      </c>
      <c r="Z62" s="172" t="s">
        <v>3822</v>
      </c>
    </row>
    <row r="63" spans="1:26" ht="38.25" customHeight="1">
      <c r="A63" s="144">
        <v>59</v>
      </c>
      <c r="B63" s="144" t="s">
        <v>3443</v>
      </c>
      <c r="C63" s="144" t="s">
        <v>3767</v>
      </c>
      <c r="D63" s="172" t="s">
        <v>3823</v>
      </c>
      <c r="E63" s="172" t="s">
        <v>3824</v>
      </c>
      <c r="F63" s="148" t="s">
        <v>3825</v>
      </c>
      <c r="G63" s="172" t="s">
        <v>3826</v>
      </c>
      <c r="H63" s="172" t="s">
        <v>3827</v>
      </c>
      <c r="I63" s="171">
        <v>30</v>
      </c>
      <c r="J63" s="171">
        <v>0</v>
      </c>
      <c r="K63" s="171">
        <v>0</v>
      </c>
      <c r="L63" s="171">
        <v>30</v>
      </c>
      <c r="M63" s="171">
        <v>0</v>
      </c>
      <c r="N63" s="172"/>
      <c r="O63" s="172"/>
      <c r="P63" s="172" t="s">
        <v>209</v>
      </c>
      <c r="Q63" s="172"/>
      <c r="R63" s="172" t="s">
        <v>3828</v>
      </c>
      <c r="S63" s="172" t="s">
        <v>373</v>
      </c>
      <c r="T63" s="172" t="s">
        <v>374</v>
      </c>
      <c r="U63" s="172" t="s">
        <v>6355</v>
      </c>
      <c r="V63" s="172" t="s">
        <v>1924</v>
      </c>
      <c r="W63" s="171">
        <v>3</v>
      </c>
      <c r="X63" s="171">
        <v>3</v>
      </c>
      <c r="Y63" s="171">
        <v>0</v>
      </c>
      <c r="Z63" s="172" t="s">
        <v>1029</v>
      </c>
    </row>
    <row r="64" spans="1:26" ht="38.25" customHeight="1">
      <c r="A64" s="144">
        <v>60</v>
      </c>
      <c r="B64" s="144" t="s">
        <v>3443</v>
      </c>
      <c r="C64" s="144" t="s">
        <v>3767</v>
      </c>
      <c r="D64" s="172" t="s">
        <v>3829</v>
      </c>
      <c r="E64" s="172" t="s">
        <v>3830</v>
      </c>
      <c r="F64" s="148" t="s">
        <v>3831</v>
      </c>
      <c r="G64" s="172" t="s">
        <v>3832</v>
      </c>
      <c r="H64" s="172" t="s">
        <v>3833</v>
      </c>
      <c r="I64" s="171">
        <v>140</v>
      </c>
      <c r="J64" s="171">
        <v>0</v>
      </c>
      <c r="K64" s="171">
        <v>0</v>
      </c>
      <c r="L64" s="171">
        <v>140</v>
      </c>
      <c r="M64" s="171">
        <v>0</v>
      </c>
      <c r="N64" s="172"/>
      <c r="O64" s="172"/>
      <c r="P64" s="172" t="s">
        <v>247</v>
      </c>
      <c r="Q64" s="172"/>
      <c r="R64" s="172" t="s">
        <v>3834</v>
      </c>
      <c r="S64" s="172" t="s">
        <v>373</v>
      </c>
      <c r="T64" s="172" t="s">
        <v>501</v>
      </c>
      <c r="U64" s="172" t="s">
        <v>6414</v>
      </c>
      <c r="V64" s="172" t="s">
        <v>529</v>
      </c>
      <c r="W64" s="171">
        <v>5</v>
      </c>
      <c r="X64" s="171">
        <v>5</v>
      </c>
      <c r="Y64" s="171">
        <v>0</v>
      </c>
      <c r="Z64" s="172" t="s">
        <v>1468</v>
      </c>
    </row>
    <row r="65" spans="1:26" ht="38.25" customHeight="1">
      <c r="A65" s="144">
        <v>61</v>
      </c>
      <c r="B65" s="144" t="s">
        <v>3443</v>
      </c>
      <c r="C65" s="144" t="s">
        <v>3767</v>
      </c>
      <c r="D65" s="172" t="s">
        <v>3835</v>
      </c>
      <c r="E65" s="172" t="s">
        <v>3836</v>
      </c>
      <c r="F65" s="148" t="s">
        <v>3837</v>
      </c>
      <c r="G65" s="172" t="s">
        <v>3799</v>
      </c>
      <c r="H65" s="172" t="s">
        <v>3812</v>
      </c>
      <c r="I65" s="171">
        <v>83</v>
      </c>
      <c r="J65" s="171">
        <v>0</v>
      </c>
      <c r="K65" s="171">
        <v>0</v>
      </c>
      <c r="L65" s="171">
        <v>83</v>
      </c>
      <c r="M65" s="171">
        <v>0</v>
      </c>
      <c r="N65" s="172"/>
      <c r="O65" s="172"/>
      <c r="P65" s="172" t="s">
        <v>247</v>
      </c>
      <c r="Q65" s="172"/>
      <c r="R65" s="172" t="s">
        <v>2627</v>
      </c>
      <c r="S65" s="172" t="s">
        <v>373</v>
      </c>
      <c r="T65" s="172" t="s">
        <v>814</v>
      </c>
      <c r="U65" s="172" t="s">
        <v>3801</v>
      </c>
      <c r="V65" s="172" t="s">
        <v>1924</v>
      </c>
      <c r="W65" s="171">
        <v>45</v>
      </c>
      <c r="X65" s="171">
        <v>45</v>
      </c>
      <c r="Y65" s="171">
        <v>0</v>
      </c>
      <c r="Z65" s="172" t="s">
        <v>3802</v>
      </c>
    </row>
    <row r="66" spans="1:26" ht="38.25" customHeight="1">
      <c r="A66" s="144">
        <v>62</v>
      </c>
      <c r="B66" s="144" t="s">
        <v>3443</v>
      </c>
      <c r="C66" s="144" t="s">
        <v>3838</v>
      </c>
      <c r="D66" s="172" t="s">
        <v>3839</v>
      </c>
      <c r="E66" s="172" t="s">
        <v>3840</v>
      </c>
      <c r="F66" s="148" t="s">
        <v>3841</v>
      </c>
      <c r="G66" s="172" t="s">
        <v>3842</v>
      </c>
      <c r="H66" s="172" t="s">
        <v>3843</v>
      </c>
      <c r="I66" s="171">
        <v>1850</v>
      </c>
      <c r="J66" s="171">
        <v>0</v>
      </c>
      <c r="K66" s="171">
        <v>0</v>
      </c>
      <c r="L66" s="171">
        <v>1850</v>
      </c>
      <c r="M66" s="171">
        <v>0</v>
      </c>
      <c r="N66" s="172"/>
      <c r="O66" s="172"/>
      <c r="P66" s="172" t="s">
        <v>209</v>
      </c>
      <c r="Q66" s="172"/>
      <c r="R66" s="172" t="s">
        <v>2533</v>
      </c>
      <c r="S66" s="172" t="s">
        <v>373</v>
      </c>
      <c r="T66" s="172" t="s">
        <v>613</v>
      </c>
      <c r="U66" s="172" t="s">
        <v>6355</v>
      </c>
      <c r="V66" s="172" t="s">
        <v>529</v>
      </c>
      <c r="W66" s="171">
        <v>0</v>
      </c>
      <c r="X66" s="171" t="s">
        <v>3844</v>
      </c>
      <c r="Y66" s="171" t="s">
        <v>3844</v>
      </c>
      <c r="Z66" s="172" t="s">
        <v>3845</v>
      </c>
    </row>
    <row r="67" spans="1:26" ht="38.25" customHeight="1">
      <c r="A67" s="144">
        <v>63</v>
      </c>
      <c r="B67" s="144" t="s">
        <v>3443</v>
      </c>
      <c r="C67" s="144" t="s">
        <v>3838</v>
      </c>
      <c r="D67" s="172" t="s">
        <v>3846</v>
      </c>
      <c r="E67" s="172" t="s">
        <v>3847</v>
      </c>
      <c r="F67" s="148" t="s">
        <v>3848</v>
      </c>
      <c r="G67" s="172" t="s">
        <v>3849</v>
      </c>
      <c r="H67" s="172" t="s">
        <v>3850</v>
      </c>
      <c r="I67" s="171">
        <v>50</v>
      </c>
      <c r="J67" s="171">
        <v>0</v>
      </c>
      <c r="K67" s="171">
        <v>0</v>
      </c>
      <c r="L67" s="171">
        <v>50</v>
      </c>
      <c r="M67" s="171">
        <v>0</v>
      </c>
      <c r="N67" s="172"/>
      <c r="O67" s="172"/>
      <c r="P67" s="172" t="s">
        <v>261</v>
      </c>
      <c r="Q67" s="172"/>
      <c r="R67" s="172" t="s">
        <v>3851</v>
      </c>
      <c r="S67" s="172" t="s">
        <v>373</v>
      </c>
      <c r="T67" s="172" t="s">
        <v>501</v>
      </c>
      <c r="U67" s="172" t="s">
        <v>6355</v>
      </c>
      <c r="V67" s="172" t="s">
        <v>529</v>
      </c>
      <c r="W67" s="171">
        <v>7</v>
      </c>
      <c r="X67" s="171">
        <v>7</v>
      </c>
      <c r="Y67" s="171">
        <v>0</v>
      </c>
      <c r="Z67" s="172" t="s">
        <v>3852</v>
      </c>
    </row>
    <row r="68" spans="1:26" ht="38.25" customHeight="1">
      <c r="A68" s="144">
        <v>64</v>
      </c>
      <c r="B68" s="144" t="s">
        <v>3443</v>
      </c>
      <c r="C68" s="144" t="s">
        <v>3838</v>
      </c>
      <c r="D68" s="172" t="s">
        <v>3853</v>
      </c>
      <c r="E68" s="172" t="s">
        <v>3854</v>
      </c>
      <c r="F68" s="148" t="s">
        <v>3855</v>
      </c>
      <c r="G68" s="172" t="s">
        <v>3856</v>
      </c>
      <c r="H68" s="172" t="s">
        <v>3857</v>
      </c>
      <c r="I68" s="171">
        <v>30</v>
      </c>
      <c r="J68" s="171">
        <v>0</v>
      </c>
      <c r="K68" s="171">
        <v>0</v>
      </c>
      <c r="L68" s="171">
        <v>30</v>
      </c>
      <c r="M68" s="171">
        <v>0</v>
      </c>
      <c r="N68" s="172"/>
      <c r="O68" s="172"/>
      <c r="P68" s="172" t="s">
        <v>261</v>
      </c>
      <c r="Q68" s="172"/>
      <c r="R68" s="172" t="s">
        <v>3858</v>
      </c>
      <c r="S68" s="172" t="s">
        <v>373</v>
      </c>
      <c r="T68" s="172" t="s">
        <v>501</v>
      </c>
      <c r="U68" s="172" t="s">
        <v>6355</v>
      </c>
      <c r="V68" s="172" t="s">
        <v>529</v>
      </c>
      <c r="W68" s="171">
        <v>12</v>
      </c>
      <c r="X68" s="171">
        <v>12</v>
      </c>
      <c r="Y68" s="171">
        <v>0</v>
      </c>
      <c r="Z68" s="172" t="s">
        <v>3859</v>
      </c>
    </row>
    <row r="69" spans="1:26" ht="38.25" customHeight="1">
      <c r="A69" s="144">
        <v>65</v>
      </c>
      <c r="B69" s="144" t="s">
        <v>3443</v>
      </c>
      <c r="C69" s="144" t="s">
        <v>3838</v>
      </c>
      <c r="D69" s="172" t="s">
        <v>3861</v>
      </c>
      <c r="E69" s="172" t="s">
        <v>3854</v>
      </c>
      <c r="F69" s="148" t="s">
        <v>3862</v>
      </c>
      <c r="G69" s="172" t="s">
        <v>3863</v>
      </c>
      <c r="H69" s="172" t="s">
        <v>3860</v>
      </c>
      <c r="I69" s="171">
        <v>10</v>
      </c>
      <c r="J69" s="171">
        <v>0</v>
      </c>
      <c r="K69" s="171">
        <v>0</v>
      </c>
      <c r="L69" s="171">
        <v>10</v>
      </c>
      <c r="M69" s="171">
        <v>0</v>
      </c>
      <c r="N69" s="172"/>
      <c r="O69" s="172"/>
      <c r="P69" s="172" t="s">
        <v>261</v>
      </c>
      <c r="Q69" s="172"/>
      <c r="R69" s="172" t="s">
        <v>3864</v>
      </c>
      <c r="S69" s="172" t="s">
        <v>373</v>
      </c>
      <c r="T69" s="172" t="s">
        <v>613</v>
      </c>
      <c r="U69" s="172" t="s">
        <v>6355</v>
      </c>
      <c r="V69" s="172" t="s">
        <v>529</v>
      </c>
      <c r="W69" s="171">
        <v>6</v>
      </c>
      <c r="X69" s="171">
        <v>6</v>
      </c>
      <c r="Y69" s="171">
        <v>0</v>
      </c>
      <c r="Z69" s="172" t="s">
        <v>2799</v>
      </c>
    </row>
    <row r="70" spans="1:26" ht="38.25" customHeight="1">
      <c r="A70" s="144">
        <v>66</v>
      </c>
      <c r="B70" s="144" t="s">
        <v>3443</v>
      </c>
      <c r="C70" s="144" t="s">
        <v>3865</v>
      </c>
      <c r="D70" s="172" t="s">
        <v>3866</v>
      </c>
      <c r="E70" s="172" t="s">
        <v>3867</v>
      </c>
      <c r="F70" s="148" t="s">
        <v>4976</v>
      </c>
      <c r="G70" s="172" t="s">
        <v>3868</v>
      </c>
      <c r="H70" s="172" t="s">
        <v>3869</v>
      </c>
      <c r="I70" s="171">
        <v>1195</v>
      </c>
      <c r="J70" s="171">
        <v>110</v>
      </c>
      <c r="K70" s="171">
        <v>55</v>
      </c>
      <c r="L70" s="171">
        <v>1030</v>
      </c>
      <c r="M70" s="171">
        <v>0</v>
      </c>
      <c r="N70" s="172" t="s">
        <v>510</v>
      </c>
      <c r="O70" s="172" t="s">
        <v>511</v>
      </c>
      <c r="P70" s="172" t="s">
        <v>261</v>
      </c>
      <c r="Q70" s="172" t="s">
        <v>3748</v>
      </c>
      <c r="R70" s="172" t="s">
        <v>3870</v>
      </c>
      <c r="S70" s="172" t="s">
        <v>373</v>
      </c>
      <c r="T70" s="172" t="s">
        <v>374</v>
      </c>
      <c r="U70" s="172" t="s">
        <v>6355</v>
      </c>
      <c r="V70" s="172" t="s">
        <v>1924</v>
      </c>
      <c r="W70" s="171">
        <v>1014</v>
      </c>
      <c r="X70" s="171">
        <v>1014</v>
      </c>
      <c r="Y70" s="171">
        <v>0</v>
      </c>
      <c r="Z70" s="172" t="s">
        <v>3096</v>
      </c>
    </row>
    <row r="71" spans="1:26" ht="38.25" customHeight="1">
      <c r="A71" s="144">
        <v>67</v>
      </c>
      <c r="B71" s="144" t="s">
        <v>3443</v>
      </c>
      <c r="C71" s="144" t="s">
        <v>3865</v>
      </c>
      <c r="D71" s="172" t="s">
        <v>3871</v>
      </c>
      <c r="E71" s="172" t="s">
        <v>3872</v>
      </c>
      <c r="F71" s="148" t="s">
        <v>3873</v>
      </c>
      <c r="G71" s="172" t="s">
        <v>3874</v>
      </c>
      <c r="H71" s="172" t="s">
        <v>3553</v>
      </c>
      <c r="I71" s="171">
        <v>3000</v>
      </c>
      <c r="J71" s="171">
        <v>0</v>
      </c>
      <c r="K71" s="171">
        <v>0</v>
      </c>
      <c r="L71" s="171">
        <v>3000</v>
      </c>
      <c r="M71" s="171">
        <v>0</v>
      </c>
      <c r="N71" s="172"/>
      <c r="O71" s="172"/>
      <c r="P71" s="172" t="s">
        <v>304</v>
      </c>
      <c r="Q71" s="172"/>
      <c r="R71" s="172" t="s">
        <v>3875</v>
      </c>
      <c r="S71" s="172" t="s">
        <v>373</v>
      </c>
      <c r="T71" s="172" t="s">
        <v>374</v>
      </c>
      <c r="U71" s="172" t="s">
        <v>6355</v>
      </c>
      <c r="V71" s="172" t="s">
        <v>1924</v>
      </c>
      <c r="W71" s="171">
        <v>1000</v>
      </c>
      <c r="X71" s="171">
        <v>1000</v>
      </c>
      <c r="Y71" s="171">
        <v>0</v>
      </c>
      <c r="Z71" s="172" t="s">
        <v>3876</v>
      </c>
    </row>
    <row r="72" spans="1:26" ht="38.25" customHeight="1">
      <c r="A72" s="144">
        <v>68</v>
      </c>
      <c r="B72" s="144" t="s">
        <v>3443</v>
      </c>
      <c r="C72" s="144" t="s">
        <v>3877</v>
      </c>
      <c r="D72" s="172" t="s">
        <v>3878</v>
      </c>
      <c r="E72" s="172" t="s">
        <v>3879</v>
      </c>
      <c r="F72" s="148" t="s">
        <v>3880</v>
      </c>
      <c r="G72" s="172" t="s">
        <v>3881</v>
      </c>
      <c r="H72" s="172" t="s">
        <v>3882</v>
      </c>
      <c r="I72" s="171">
        <v>80</v>
      </c>
      <c r="J72" s="171">
        <v>0</v>
      </c>
      <c r="K72" s="171">
        <v>0</v>
      </c>
      <c r="L72" s="171">
        <v>80</v>
      </c>
      <c r="M72" s="171">
        <v>0</v>
      </c>
      <c r="N72" s="172"/>
      <c r="O72" s="172"/>
      <c r="P72" s="172" t="s">
        <v>261</v>
      </c>
      <c r="Q72" s="172"/>
      <c r="R72" s="172" t="s">
        <v>3719</v>
      </c>
      <c r="S72" s="172" t="s">
        <v>373</v>
      </c>
      <c r="T72" s="172" t="s">
        <v>3757</v>
      </c>
      <c r="U72" s="172" t="s">
        <v>6355</v>
      </c>
      <c r="V72" s="172" t="s">
        <v>529</v>
      </c>
      <c r="W72" s="171">
        <v>40</v>
      </c>
      <c r="X72" s="171">
        <v>39</v>
      </c>
      <c r="Y72" s="171">
        <v>1</v>
      </c>
      <c r="Z72" s="172" t="s">
        <v>3883</v>
      </c>
    </row>
    <row r="73" spans="1:26" ht="38.25" customHeight="1">
      <c r="A73" s="144">
        <v>69</v>
      </c>
      <c r="B73" s="144" t="s">
        <v>3443</v>
      </c>
      <c r="C73" s="144" t="s">
        <v>3877</v>
      </c>
      <c r="D73" s="172" t="s">
        <v>3884</v>
      </c>
      <c r="E73" s="172" t="s">
        <v>3885</v>
      </c>
      <c r="F73" s="148" t="s">
        <v>3886</v>
      </c>
      <c r="G73" s="172" t="s">
        <v>3887</v>
      </c>
      <c r="H73" s="172" t="s">
        <v>3888</v>
      </c>
      <c r="I73" s="171">
        <v>50</v>
      </c>
      <c r="J73" s="171">
        <v>0</v>
      </c>
      <c r="K73" s="171">
        <v>0</v>
      </c>
      <c r="L73" s="171">
        <v>20</v>
      </c>
      <c r="M73" s="171">
        <v>30</v>
      </c>
      <c r="N73" s="172"/>
      <c r="O73" s="172"/>
      <c r="P73" s="172" t="s">
        <v>209</v>
      </c>
      <c r="Q73" s="172"/>
      <c r="R73" s="172" t="s">
        <v>3889</v>
      </c>
      <c r="S73" s="172" t="s">
        <v>373</v>
      </c>
      <c r="T73" s="172" t="s">
        <v>374</v>
      </c>
      <c r="U73" s="172" t="s">
        <v>6355</v>
      </c>
      <c r="V73" s="172" t="s">
        <v>529</v>
      </c>
      <c r="W73" s="171">
        <v>200</v>
      </c>
      <c r="X73" s="171">
        <v>190</v>
      </c>
      <c r="Y73" s="171">
        <v>10</v>
      </c>
      <c r="Z73" s="172" t="s">
        <v>3890</v>
      </c>
    </row>
    <row r="74" spans="1:26" ht="38.25" customHeight="1">
      <c r="A74" s="144">
        <v>70</v>
      </c>
      <c r="B74" s="144" t="s">
        <v>3443</v>
      </c>
      <c r="C74" s="144" t="s">
        <v>3877</v>
      </c>
      <c r="D74" s="172" t="s">
        <v>3891</v>
      </c>
      <c r="E74" s="172" t="s">
        <v>3892</v>
      </c>
      <c r="F74" s="148" t="s">
        <v>3893</v>
      </c>
      <c r="G74" s="172" t="s">
        <v>3894</v>
      </c>
      <c r="H74" s="172" t="s">
        <v>2470</v>
      </c>
      <c r="I74" s="171">
        <v>300</v>
      </c>
      <c r="J74" s="171">
        <v>0</v>
      </c>
      <c r="K74" s="171">
        <v>0</v>
      </c>
      <c r="L74" s="171">
        <v>100</v>
      </c>
      <c r="M74" s="171">
        <v>200</v>
      </c>
      <c r="N74" s="172"/>
      <c r="O74" s="172"/>
      <c r="P74" s="172" t="s">
        <v>261</v>
      </c>
      <c r="Q74" s="172"/>
      <c r="R74" s="172" t="s">
        <v>3895</v>
      </c>
      <c r="S74" s="172" t="s">
        <v>373</v>
      </c>
      <c r="T74" s="172" t="s">
        <v>814</v>
      </c>
      <c r="U74" s="172" t="s">
        <v>595</v>
      </c>
      <c r="V74" s="172" t="s">
        <v>529</v>
      </c>
      <c r="W74" s="171">
        <v>20</v>
      </c>
      <c r="X74" s="171">
        <v>20</v>
      </c>
      <c r="Y74" s="171">
        <v>0</v>
      </c>
      <c r="Z74" s="172" t="s">
        <v>3896</v>
      </c>
    </row>
    <row r="75" spans="1:26" ht="38.25" customHeight="1">
      <c r="A75" s="144">
        <v>71</v>
      </c>
      <c r="B75" s="144" t="s">
        <v>3443</v>
      </c>
      <c r="C75" s="144" t="s">
        <v>3877</v>
      </c>
      <c r="D75" s="172" t="s">
        <v>3897</v>
      </c>
      <c r="E75" s="172" t="s">
        <v>3898</v>
      </c>
      <c r="F75" s="148" t="s">
        <v>3899</v>
      </c>
      <c r="G75" s="172" t="s">
        <v>3900</v>
      </c>
      <c r="H75" s="172" t="s">
        <v>3901</v>
      </c>
      <c r="I75" s="171">
        <v>1123</v>
      </c>
      <c r="J75" s="171">
        <v>80</v>
      </c>
      <c r="K75" s="171">
        <v>40</v>
      </c>
      <c r="L75" s="171">
        <v>883</v>
      </c>
      <c r="M75" s="171">
        <v>120</v>
      </c>
      <c r="N75" s="172" t="s">
        <v>510</v>
      </c>
      <c r="O75" s="172" t="s">
        <v>511</v>
      </c>
      <c r="P75" s="172" t="s">
        <v>209</v>
      </c>
      <c r="Q75" s="172"/>
      <c r="R75" s="172" t="s">
        <v>3902</v>
      </c>
      <c r="S75" s="172" t="s">
        <v>373</v>
      </c>
      <c r="T75" s="172" t="s">
        <v>374</v>
      </c>
      <c r="U75" s="172" t="s">
        <v>6355</v>
      </c>
      <c r="V75" s="172" t="s">
        <v>1924</v>
      </c>
      <c r="W75" s="171">
        <v>287</v>
      </c>
      <c r="X75" s="171">
        <v>277</v>
      </c>
      <c r="Y75" s="171">
        <v>10</v>
      </c>
      <c r="Z75" s="172" t="s">
        <v>2391</v>
      </c>
    </row>
    <row r="76" spans="1:26" ht="38.25" customHeight="1">
      <c r="A76" s="144">
        <v>72</v>
      </c>
      <c r="B76" s="144" t="s">
        <v>3443</v>
      </c>
      <c r="C76" s="144" t="s">
        <v>3877</v>
      </c>
      <c r="D76" s="172" t="s">
        <v>3903</v>
      </c>
      <c r="E76" s="172" t="s">
        <v>3904</v>
      </c>
      <c r="F76" s="148" t="s">
        <v>3905</v>
      </c>
      <c r="G76" s="172" t="s">
        <v>7086</v>
      </c>
      <c r="H76" s="172" t="s">
        <v>3906</v>
      </c>
      <c r="I76" s="171">
        <v>1.9</v>
      </c>
      <c r="J76" s="171">
        <v>0</v>
      </c>
      <c r="K76" s="171">
        <v>0</v>
      </c>
      <c r="L76" s="171">
        <v>1.9</v>
      </c>
      <c r="M76" s="171">
        <v>0</v>
      </c>
      <c r="N76" s="172"/>
      <c r="O76" s="172"/>
      <c r="P76" s="172" t="s">
        <v>209</v>
      </c>
      <c r="Q76" s="172"/>
      <c r="R76" s="172" t="s">
        <v>3907</v>
      </c>
      <c r="S76" s="172" t="s">
        <v>373</v>
      </c>
      <c r="T76" s="172" t="s">
        <v>374</v>
      </c>
      <c r="U76" s="172" t="s">
        <v>6355</v>
      </c>
      <c r="V76" s="172" t="s">
        <v>1924</v>
      </c>
      <c r="W76" s="171">
        <v>468</v>
      </c>
      <c r="X76" s="171">
        <v>468</v>
      </c>
      <c r="Y76" s="171">
        <v>0</v>
      </c>
      <c r="Z76" s="172" t="s">
        <v>1029</v>
      </c>
    </row>
    <row r="77" spans="1:26" ht="38.25" customHeight="1">
      <c r="A77" s="144">
        <v>73</v>
      </c>
      <c r="B77" s="144" t="s">
        <v>3443</v>
      </c>
      <c r="C77" s="144" t="s">
        <v>3877</v>
      </c>
      <c r="D77" s="172" t="s">
        <v>3908</v>
      </c>
      <c r="E77" s="172" t="s">
        <v>3909</v>
      </c>
      <c r="F77" s="148" t="s">
        <v>3910</v>
      </c>
      <c r="G77" s="172" t="s">
        <v>7086</v>
      </c>
      <c r="H77" s="172" t="s">
        <v>3911</v>
      </c>
      <c r="I77" s="171">
        <v>1.9</v>
      </c>
      <c r="J77" s="171">
        <v>0</v>
      </c>
      <c r="K77" s="171">
        <v>0</v>
      </c>
      <c r="L77" s="171">
        <v>1.9</v>
      </c>
      <c r="M77" s="171">
        <v>0</v>
      </c>
      <c r="N77" s="172"/>
      <c r="O77" s="172"/>
      <c r="P77" s="172" t="s">
        <v>209</v>
      </c>
      <c r="Q77" s="172"/>
      <c r="R77" s="172" t="s">
        <v>3912</v>
      </c>
      <c r="S77" s="172" t="s">
        <v>373</v>
      </c>
      <c r="T77" s="172" t="s">
        <v>374</v>
      </c>
      <c r="U77" s="172" t="s">
        <v>6355</v>
      </c>
      <c r="V77" s="172" t="s">
        <v>1924</v>
      </c>
      <c r="W77" s="171">
        <v>250</v>
      </c>
      <c r="X77" s="171">
        <v>250</v>
      </c>
      <c r="Y77" s="171">
        <v>0</v>
      </c>
      <c r="Z77" s="172" t="s">
        <v>1029</v>
      </c>
    </row>
    <row r="78" spans="1:26" ht="38.25" customHeight="1">
      <c r="A78" s="144">
        <v>74</v>
      </c>
      <c r="B78" s="144" t="s">
        <v>3443</v>
      </c>
      <c r="C78" s="144" t="s">
        <v>3877</v>
      </c>
      <c r="D78" s="172" t="s">
        <v>3913</v>
      </c>
      <c r="E78" s="172" t="s">
        <v>3914</v>
      </c>
      <c r="F78" s="148" t="s">
        <v>3915</v>
      </c>
      <c r="G78" s="172" t="s">
        <v>7087</v>
      </c>
      <c r="H78" s="172" t="s">
        <v>3916</v>
      </c>
      <c r="I78" s="171">
        <v>50</v>
      </c>
      <c r="J78" s="171">
        <v>0</v>
      </c>
      <c r="K78" s="171">
        <v>0</v>
      </c>
      <c r="L78" s="171">
        <v>50</v>
      </c>
      <c r="M78" s="171">
        <v>0</v>
      </c>
      <c r="N78" s="172"/>
      <c r="O78" s="172"/>
      <c r="P78" s="172" t="s">
        <v>247</v>
      </c>
      <c r="Q78" s="172"/>
      <c r="R78" s="172" t="s">
        <v>3917</v>
      </c>
      <c r="S78" s="172" t="s">
        <v>373</v>
      </c>
      <c r="T78" s="172" t="s">
        <v>374</v>
      </c>
      <c r="U78" s="172" t="s">
        <v>6355</v>
      </c>
      <c r="V78" s="172" t="s">
        <v>1924</v>
      </c>
      <c r="W78" s="171">
        <v>20</v>
      </c>
      <c r="X78" s="171">
        <v>20</v>
      </c>
      <c r="Y78" s="171">
        <v>0</v>
      </c>
      <c r="Z78" s="172" t="s">
        <v>1029</v>
      </c>
    </row>
    <row r="79" spans="1:26" ht="38.25" customHeight="1">
      <c r="A79" s="144">
        <v>75</v>
      </c>
      <c r="B79" s="144" t="s">
        <v>3443</v>
      </c>
      <c r="C79" s="144" t="s">
        <v>3877</v>
      </c>
      <c r="D79" s="172" t="s">
        <v>3918</v>
      </c>
      <c r="E79" s="172" t="s">
        <v>3658</v>
      </c>
      <c r="F79" s="148" t="s">
        <v>3919</v>
      </c>
      <c r="G79" s="172" t="s">
        <v>7088</v>
      </c>
      <c r="H79" s="172" t="s">
        <v>3920</v>
      </c>
      <c r="I79" s="171">
        <v>1.9</v>
      </c>
      <c r="J79" s="171">
        <v>0</v>
      </c>
      <c r="K79" s="171">
        <v>0</v>
      </c>
      <c r="L79" s="171">
        <v>1.9</v>
      </c>
      <c r="M79" s="171">
        <v>0</v>
      </c>
      <c r="N79" s="172"/>
      <c r="O79" s="172"/>
      <c r="P79" s="172" t="s">
        <v>209</v>
      </c>
      <c r="Q79" s="172"/>
      <c r="R79" s="172" t="s">
        <v>3921</v>
      </c>
      <c r="S79" s="172" t="s">
        <v>373</v>
      </c>
      <c r="T79" s="172" t="s">
        <v>374</v>
      </c>
      <c r="U79" s="172" t="s">
        <v>6355</v>
      </c>
      <c r="V79" s="172" t="s">
        <v>1924</v>
      </c>
      <c r="W79" s="171">
        <v>160</v>
      </c>
      <c r="X79" s="171">
        <v>160</v>
      </c>
      <c r="Y79" s="171">
        <v>0</v>
      </c>
      <c r="Z79" s="172" t="s">
        <v>1029</v>
      </c>
    </row>
    <row r="80" spans="1:26" ht="38.25" customHeight="1">
      <c r="A80" s="144">
        <v>76</v>
      </c>
      <c r="B80" s="144" t="s">
        <v>3443</v>
      </c>
      <c r="C80" s="144" t="s">
        <v>3877</v>
      </c>
      <c r="D80" s="172" t="s">
        <v>3922</v>
      </c>
      <c r="E80" s="172" t="s">
        <v>3923</v>
      </c>
      <c r="F80" s="148" t="s">
        <v>3924</v>
      </c>
      <c r="G80" s="172" t="s">
        <v>7086</v>
      </c>
      <c r="H80" s="172" t="s">
        <v>3925</v>
      </c>
      <c r="I80" s="171">
        <v>40</v>
      </c>
      <c r="J80" s="171">
        <v>0</v>
      </c>
      <c r="K80" s="171">
        <v>0</v>
      </c>
      <c r="L80" s="171">
        <v>40</v>
      </c>
      <c r="M80" s="171">
        <v>0</v>
      </c>
      <c r="N80" s="172"/>
      <c r="O80" s="172"/>
      <c r="P80" s="172" t="s">
        <v>261</v>
      </c>
      <c r="Q80" s="172"/>
      <c r="R80" s="172" t="s">
        <v>3926</v>
      </c>
      <c r="S80" s="172" t="s">
        <v>373</v>
      </c>
      <c r="T80" s="172" t="s">
        <v>374</v>
      </c>
      <c r="U80" s="172" t="s">
        <v>6355</v>
      </c>
      <c r="V80" s="172" t="s">
        <v>1924</v>
      </c>
      <c r="W80" s="171">
        <v>0</v>
      </c>
      <c r="X80" s="171">
        <v>0</v>
      </c>
      <c r="Y80" s="171">
        <v>0</v>
      </c>
      <c r="Z80" s="172" t="s">
        <v>1029</v>
      </c>
    </row>
    <row r="81" spans="1:26" ht="38.25" customHeight="1">
      <c r="A81" s="144">
        <v>77</v>
      </c>
      <c r="B81" s="144" t="s">
        <v>3443</v>
      </c>
      <c r="C81" s="144" t="s">
        <v>3877</v>
      </c>
      <c r="D81" s="172" t="s">
        <v>3927</v>
      </c>
      <c r="E81" s="172" t="s">
        <v>3890</v>
      </c>
      <c r="F81" s="148" t="s">
        <v>3928</v>
      </c>
      <c r="G81" s="172" t="s">
        <v>3929</v>
      </c>
      <c r="H81" s="172" t="s">
        <v>3930</v>
      </c>
      <c r="I81" s="171">
        <v>54</v>
      </c>
      <c r="J81" s="171">
        <v>0</v>
      </c>
      <c r="K81" s="171">
        <v>0</v>
      </c>
      <c r="L81" s="171">
        <v>54</v>
      </c>
      <c r="M81" s="171">
        <v>0</v>
      </c>
      <c r="N81" s="172"/>
      <c r="O81" s="172"/>
      <c r="P81" s="172" t="s">
        <v>209</v>
      </c>
      <c r="Q81" s="172"/>
      <c r="R81" s="172" t="s">
        <v>3931</v>
      </c>
      <c r="S81" s="172" t="s">
        <v>373</v>
      </c>
      <c r="T81" s="172" t="s">
        <v>374</v>
      </c>
      <c r="U81" s="172" t="s">
        <v>6355</v>
      </c>
      <c r="V81" s="172" t="s">
        <v>1924</v>
      </c>
      <c r="W81" s="171">
        <v>100</v>
      </c>
      <c r="X81" s="171">
        <v>100</v>
      </c>
      <c r="Y81" s="171">
        <v>0</v>
      </c>
      <c r="Z81" s="172" t="s">
        <v>3512</v>
      </c>
    </row>
    <row r="82" spans="1:26" ht="38.25" customHeight="1">
      <c r="A82" s="144">
        <v>78</v>
      </c>
      <c r="B82" s="144" t="s">
        <v>3443</v>
      </c>
      <c r="C82" s="144" t="s">
        <v>3932</v>
      </c>
      <c r="D82" s="172" t="s">
        <v>3933</v>
      </c>
      <c r="E82" s="172" t="s">
        <v>3934</v>
      </c>
      <c r="F82" s="148" t="s">
        <v>3935</v>
      </c>
      <c r="G82" s="172" t="s">
        <v>3936</v>
      </c>
      <c r="H82" s="172" t="s">
        <v>3937</v>
      </c>
      <c r="I82" s="171">
        <v>130</v>
      </c>
      <c r="J82" s="171">
        <v>0</v>
      </c>
      <c r="K82" s="171">
        <v>0</v>
      </c>
      <c r="L82" s="171">
        <v>130</v>
      </c>
      <c r="M82" s="171">
        <v>0</v>
      </c>
      <c r="N82" s="172"/>
      <c r="O82" s="172"/>
      <c r="P82" s="172" t="s">
        <v>304</v>
      </c>
      <c r="Q82" s="172"/>
      <c r="R82" s="172" t="s">
        <v>3938</v>
      </c>
      <c r="S82" s="172" t="s">
        <v>373</v>
      </c>
      <c r="T82" s="172" t="s">
        <v>374</v>
      </c>
      <c r="U82" s="172" t="s">
        <v>6355</v>
      </c>
      <c r="V82" s="172" t="s">
        <v>1924</v>
      </c>
      <c r="W82" s="171">
        <v>30</v>
      </c>
      <c r="X82" s="171">
        <v>30</v>
      </c>
      <c r="Y82" s="171">
        <v>0</v>
      </c>
      <c r="Z82" s="172" t="s">
        <v>1468</v>
      </c>
    </row>
    <row r="83" spans="1:26" ht="38.25" customHeight="1">
      <c r="A83" s="144">
        <v>79</v>
      </c>
      <c r="B83" s="144" t="s">
        <v>3443</v>
      </c>
      <c r="C83" s="144" t="s">
        <v>3932</v>
      </c>
      <c r="D83" s="172" t="s">
        <v>3939</v>
      </c>
      <c r="E83" s="172" t="s">
        <v>3940</v>
      </c>
      <c r="F83" s="148" t="s">
        <v>3941</v>
      </c>
      <c r="G83" s="172" t="s">
        <v>3942</v>
      </c>
      <c r="H83" s="172" t="s">
        <v>3943</v>
      </c>
      <c r="I83" s="171">
        <v>500</v>
      </c>
      <c r="J83" s="171">
        <v>0</v>
      </c>
      <c r="K83" s="171">
        <v>0</v>
      </c>
      <c r="L83" s="171">
        <v>500</v>
      </c>
      <c r="M83" s="171">
        <v>0</v>
      </c>
      <c r="N83" s="172"/>
      <c r="O83" s="172"/>
      <c r="P83" s="172" t="s">
        <v>304</v>
      </c>
      <c r="Q83" s="172"/>
      <c r="R83" s="172" t="s">
        <v>3944</v>
      </c>
      <c r="S83" s="172" t="s">
        <v>373</v>
      </c>
      <c r="T83" s="172" t="s">
        <v>374</v>
      </c>
      <c r="U83" s="172" t="s">
        <v>6355</v>
      </c>
      <c r="V83" s="172" t="s">
        <v>1924</v>
      </c>
      <c r="W83" s="171">
        <v>150</v>
      </c>
      <c r="X83" s="171">
        <v>150</v>
      </c>
      <c r="Y83" s="171">
        <v>0</v>
      </c>
      <c r="Z83" s="172" t="s">
        <v>1468</v>
      </c>
    </row>
    <row r="84" spans="1:26" ht="38.25" customHeight="1">
      <c r="A84" s="144">
        <v>80</v>
      </c>
      <c r="B84" s="144" t="s">
        <v>3443</v>
      </c>
      <c r="C84" s="144" t="s">
        <v>3932</v>
      </c>
      <c r="D84" s="172" t="s">
        <v>3945</v>
      </c>
      <c r="E84" s="172" t="s">
        <v>3946</v>
      </c>
      <c r="F84" s="148" t="s">
        <v>3947</v>
      </c>
      <c r="G84" s="172" t="s">
        <v>3948</v>
      </c>
      <c r="H84" s="172" t="s">
        <v>3949</v>
      </c>
      <c r="I84" s="171">
        <v>80</v>
      </c>
      <c r="J84" s="171">
        <v>0</v>
      </c>
      <c r="K84" s="171">
        <v>0</v>
      </c>
      <c r="L84" s="171">
        <v>80</v>
      </c>
      <c r="M84" s="171">
        <v>0</v>
      </c>
      <c r="N84" s="172"/>
      <c r="O84" s="172"/>
      <c r="P84" s="172" t="s">
        <v>304</v>
      </c>
      <c r="Q84" s="172"/>
      <c r="R84" s="172" t="s">
        <v>3950</v>
      </c>
      <c r="S84" s="172" t="s">
        <v>373</v>
      </c>
      <c r="T84" s="172" t="s">
        <v>1466</v>
      </c>
      <c r="U84" s="172" t="s">
        <v>3503</v>
      </c>
      <c r="V84" s="172" t="s">
        <v>1924</v>
      </c>
      <c r="W84" s="171">
        <v>30</v>
      </c>
      <c r="X84" s="171">
        <v>30</v>
      </c>
      <c r="Y84" s="171">
        <v>0</v>
      </c>
      <c r="Z84" s="172" t="s">
        <v>1468</v>
      </c>
    </row>
    <row r="85" spans="1:26" ht="38.25" customHeight="1">
      <c r="A85" s="144">
        <v>81</v>
      </c>
      <c r="B85" s="144" t="s">
        <v>3443</v>
      </c>
      <c r="C85" s="144" t="s">
        <v>3951</v>
      </c>
      <c r="D85" s="172" t="s">
        <v>3952</v>
      </c>
      <c r="E85" s="172" t="s">
        <v>3953</v>
      </c>
      <c r="F85" s="148" t="s">
        <v>3954</v>
      </c>
      <c r="G85" s="172" t="s">
        <v>3955</v>
      </c>
      <c r="H85" s="172" t="s">
        <v>1922</v>
      </c>
      <c r="I85" s="171">
        <v>585</v>
      </c>
      <c r="J85" s="171">
        <v>0</v>
      </c>
      <c r="K85" s="171">
        <v>85</v>
      </c>
      <c r="L85" s="171">
        <v>500</v>
      </c>
      <c r="M85" s="171">
        <v>0</v>
      </c>
      <c r="N85" s="172"/>
      <c r="O85" s="172"/>
      <c r="P85" s="172" t="s">
        <v>304</v>
      </c>
      <c r="Q85" s="172"/>
      <c r="R85" s="172" t="s">
        <v>3956</v>
      </c>
      <c r="S85" s="172" t="s">
        <v>373</v>
      </c>
      <c r="T85" s="172" t="s">
        <v>374</v>
      </c>
      <c r="U85" s="172" t="s">
        <v>6355</v>
      </c>
      <c r="V85" s="172" t="s">
        <v>1924</v>
      </c>
      <c r="W85" s="171">
        <v>79</v>
      </c>
      <c r="X85" s="171">
        <v>79</v>
      </c>
      <c r="Y85" s="258">
        <v>0.3</v>
      </c>
      <c r="Z85" s="172" t="s">
        <v>3096</v>
      </c>
    </row>
    <row r="86" spans="1:26" ht="38.25" customHeight="1">
      <c r="A86" s="144">
        <v>82</v>
      </c>
      <c r="B86" s="144" t="s">
        <v>3443</v>
      </c>
      <c r="C86" s="144" t="s">
        <v>3951</v>
      </c>
      <c r="D86" s="172" t="s">
        <v>3957</v>
      </c>
      <c r="E86" s="172" t="s">
        <v>3958</v>
      </c>
      <c r="F86" s="148" t="s">
        <v>3959</v>
      </c>
      <c r="G86" s="172" t="s">
        <v>3960</v>
      </c>
      <c r="H86" s="172" t="s">
        <v>3961</v>
      </c>
      <c r="I86" s="171">
        <v>45</v>
      </c>
      <c r="J86" s="171">
        <v>0</v>
      </c>
      <c r="K86" s="171">
        <v>0</v>
      </c>
      <c r="L86" s="171">
        <v>45</v>
      </c>
      <c r="M86" s="171">
        <v>0</v>
      </c>
      <c r="N86" s="172"/>
      <c r="O86" s="172"/>
      <c r="P86" s="172" t="s">
        <v>209</v>
      </c>
      <c r="Q86" s="172"/>
      <c r="R86" s="172" t="s">
        <v>3962</v>
      </c>
      <c r="S86" s="172" t="s">
        <v>373</v>
      </c>
      <c r="T86" s="172" t="s">
        <v>374</v>
      </c>
      <c r="U86" s="172" t="s">
        <v>6355</v>
      </c>
      <c r="V86" s="172" t="s">
        <v>1924</v>
      </c>
      <c r="W86" s="171">
        <v>30</v>
      </c>
      <c r="X86" s="171">
        <v>30</v>
      </c>
      <c r="Y86" s="171">
        <v>0</v>
      </c>
      <c r="Z86" s="172" t="s">
        <v>3512</v>
      </c>
    </row>
    <row r="87" spans="1:26" ht="38.25" customHeight="1">
      <c r="A87" s="144">
        <v>83</v>
      </c>
      <c r="B87" s="144" t="s">
        <v>3443</v>
      </c>
      <c r="C87" s="144" t="s">
        <v>3951</v>
      </c>
      <c r="D87" s="172" t="s">
        <v>3963</v>
      </c>
      <c r="E87" s="172" t="s">
        <v>3964</v>
      </c>
      <c r="F87" s="148" t="s">
        <v>3965</v>
      </c>
      <c r="G87" s="172" t="s">
        <v>7089</v>
      </c>
      <c r="H87" s="172" t="s">
        <v>3961</v>
      </c>
      <c r="I87" s="171">
        <v>35</v>
      </c>
      <c r="J87" s="171">
        <v>0</v>
      </c>
      <c r="K87" s="171">
        <v>0</v>
      </c>
      <c r="L87" s="171">
        <v>35</v>
      </c>
      <c r="M87" s="171">
        <v>0</v>
      </c>
      <c r="N87" s="172"/>
      <c r="O87" s="172"/>
      <c r="P87" s="172" t="s">
        <v>209</v>
      </c>
      <c r="Q87" s="172"/>
      <c r="R87" s="172" t="s">
        <v>3966</v>
      </c>
      <c r="S87" s="172" t="s">
        <v>373</v>
      </c>
      <c r="T87" s="172" t="s">
        <v>374</v>
      </c>
      <c r="U87" s="172" t="s">
        <v>6355</v>
      </c>
      <c r="V87" s="172" t="s">
        <v>1924</v>
      </c>
      <c r="W87" s="171">
        <v>500</v>
      </c>
      <c r="X87" s="171">
        <v>500</v>
      </c>
      <c r="Y87" s="171">
        <v>0</v>
      </c>
      <c r="Z87" s="172" t="s">
        <v>3967</v>
      </c>
    </row>
    <row r="88" spans="1:26" ht="38.25" customHeight="1">
      <c r="A88" s="144">
        <v>84</v>
      </c>
      <c r="B88" s="144" t="s">
        <v>3443</v>
      </c>
      <c r="C88" s="144" t="s">
        <v>3951</v>
      </c>
      <c r="D88" s="172" t="s">
        <v>3968</v>
      </c>
      <c r="E88" s="172" t="s">
        <v>3969</v>
      </c>
      <c r="F88" s="148" t="s">
        <v>3970</v>
      </c>
      <c r="G88" s="172" t="s">
        <v>7089</v>
      </c>
      <c r="H88" s="172" t="s">
        <v>3971</v>
      </c>
      <c r="I88" s="171">
        <v>35</v>
      </c>
      <c r="J88" s="171">
        <v>0</v>
      </c>
      <c r="K88" s="171">
        <v>0</v>
      </c>
      <c r="L88" s="171">
        <v>25</v>
      </c>
      <c r="M88" s="171">
        <v>10</v>
      </c>
      <c r="N88" s="172"/>
      <c r="O88" s="172"/>
      <c r="P88" s="172" t="s">
        <v>209</v>
      </c>
      <c r="Q88" s="172"/>
      <c r="R88" s="172" t="s">
        <v>3972</v>
      </c>
      <c r="S88" s="172" t="s">
        <v>373</v>
      </c>
      <c r="T88" s="172" t="s">
        <v>374</v>
      </c>
      <c r="U88" s="172" t="s">
        <v>6355</v>
      </c>
      <c r="V88" s="172" t="s">
        <v>1924</v>
      </c>
      <c r="W88" s="171">
        <v>235</v>
      </c>
      <c r="X88" s="171">
        <v>235</v>
      </c>
      <c r="Y88" s="171">
        <v>0</v>
      </c>
      <c r="Z88" s="172" t="s">
        <v>3967</v>
      </c>
    </row>
    <row r="89" spans="1:26" ht="38.25" customHeight="1">
      <c r="A89" s="144">
        <v>85</v>
      </c>
      <c r="B89" s="144" t="s">
        <v>3443</v>
      </c>
      <c r="C89" s="144" t="s">
        <v>3973</v>
      </c>
      <c r="D89" s="172" t="s">
        <v>3974</v>
      </c>
      <c r="E89" s="172" t="s">
        <v>3975</v>
      </c>
      <c r="F89" s="148" t="s">
        <v>3976</v>
      </c>
      <c r="G89" s="172" t="s">
        <v>3977</v>
      </c>
      <c r="H89" s="172" t="s">
        <v>3978</v>
      </c>
      <c r="I89" s="171">
        <v>210</v>
      </c>
      <c r="J89" s="171">
        <v>0</v>
      </c>
      <c r="K89" s="171">
        <v>0</v>
      </c>
      <c r="L89" s="171">
        <v>210</v>
      </c>
      <c r="M89" s="171">
        <v>0</v>
      </c>
      <c r="N89" s="172"/>
      <c r="O89" s="172"/>
      <c r="P89" s="172" t="s">
        <v>436</v>
      </c>
      <c r="Q89" s="172"/>
      <c r="R89" s="172" t="s">
        <v>3979</v>
      </c>
      <c r="S89" s="172" t="s">
        <v>373</v>
      </c>
      <c r="T89" s="172" t="s">
        <v>501</v>
      </c>
      <c r="U89" s="172" t="s">
        <v>6416</v>
      </c>
      <c r="V89" s="172" t="s">
        <v>1924</v>
      </c>
      <c r="W89" s="171">
        <v>9</v>
      </c>
      <c r="X89" s="171">
        <v>9</v>
      </c>
      <c r="Y89" s="171">
        <v>0</v>
      </c>
      <c r="Z89" s="172" t="s">
        <v>3980</v>
      </c>
    </row>
    <row r="90" spans="1:26" ht="38.25" customHeight="1">
      <c r="A90" s="144">
        <v>86</v>
      </c>
      <c r="B90" s="144" t="s">
        <v>3443</v>
      </c>
      <c r="C90" s="144" t="s">
        <v>3981</v>
      </c>
      <c r="D90" s="172" t="s">
        <v>3982</v>
      </c>
      <c r="E90" s="172" t="s">
        <v>3642</v>
      </c>
      <c r="F90" s="148" t="s">
        <v>3983</v>
      </c>
      <c r="G90" s="172" t="s">
        <v>3459</v>
      </c>
      <c r="H90" s="172" t="s">
        <v>3984</v>
      </c>
      <c r="I90" s="171">
        <v>150</v>
      </c>
      <c r="J90" s="171">
        <v>0</v>
      </c>
      <c r="K90" s="171">
        <v>0</v>
      </c>
      <c r="L90" s="171">
        <v>150</v>
      </c>
      <c r="M90" s="171">
        <v>0</v>
      </c>
      <c r="N90" s="172"/>
      <c r="O90" s="172"/>
      <c r="P90" s="172" t="s">
        <v>436</v>
      </c>
      <c r="Q90" s="172"/>
      <c r="R90" s="172" t="s">
        <v>3979</v>
      </c>
      <c r="S90" s="172" t="s">
        <v>373</v>
      </c>
      <c r="T90" s="172" t="s">
        <v>595</v>
      </c>
      <c r="U90" s="172" t="s">
        <v>595</v>
      </c>
      <c r="V90" s="172" t="s">
        <v>6409</v>
      </c>
      <c r="W90" s="171">
        <v>7.2</v>
      </c>
      <c r="X90" s="171">
        <v>7.2</v>
      </c>
      <c r="Y90" s="171">
        <v>0</v>
      </c>
      <c r="Z90" s="172" t="s">
        <v>3985</v>
      </c>
    </row>
    <row r="91" spans="1:26" ht="38.25" customHeight="1">
      <c r="A91" s="144">
        <v>87</v>
      </c>
      <c r="B91" s="144" t="s">
        <v>3443</v>
      </c>
      <c r="C91" s="144" t="s">
        <v>3973</v>
      </c>
      <c r="D91" s="172" t="s">
        <v>3986</v>
      </c>
      <c r="E91" s="172" t="s">
        <v>3642</v>
      </c>
      <c r="F91" s="148" t="s">
        <v>3987</v>
      </c>
      <c r="G91" s="172" t="s">
        <v>3988</v>
      </c>
      <c r="H91" s="172" t="s">
        <v>3989</v>
      </c>
      <c r="I91" s="171">
        <v>379</v>
      </c>
      <c r="J91" s="171">
        <v>0</v>
      </c>
      <c r="K91" s="171">
        <v>0</v>
      </c>
      <c r="L91" s="171">
        <v>379</v>
      </c>
      <c r="M91" s="171">
        <v>0</v>
      </c>
      <c r="N91" s="172"/>
      <c r="O91" s="172"/>
      <c r="P91" s="172" t="s">
        <v>209</v>
      </c>
      <c r="Q91" s="172"/>
      <c r="R91" s="172" t="s">
        <v>3990</v>
      </c>
      <c r="S91" s="172" t="s">
        <v>373</v>
      </c>
      <c r="T91" s="172" t="s">
        <v>6409</v>
      </c>
      <c r="U91" s="172" t="s">
        <v>6409</v>
      </c>
      <c r="V91" s="172" t="s">
        <v>6409</v>
      </c>
      <c r="W91" s="171">
        <v>77</v>
      </c>
      <c r="X91" s="171">
        <v>77</v>
      </c>
      <c r="Y91" s="171">
        <v>0</v>
      </c>
      <c r="Z91" s="172" t="s">
        <v>3991</v>
      </c>
    </row>
    <row r="92" spans="1:26" ht="38.25" customHeight="1">
      <c r="A92" s="144">
        <v>88</v>
      </c>
      <c r="B92" s="144" t="s">
        <v>3443</v>
      </c>
      <c r="C92" s="144" t="s">
        <v>3992</v>
      </c>
      <c r="D92" s="172" t="s">
        <v>3993</v>
      </c>
      <c r="E92" s="172" t="s">
        <v>3531</v>
      </c>
      <c r="F92" s="148" t="s">
        <v>3994</v>
      </c>
      <c r="G92" s="172" t="s">
        <v>3995</v>
      </c>
      <c r="H92" s="172" t="s">
        <v>3996</v>
      </c>
      <c r="I92" s="171">
        <v>80</v>
      </c>
      <c r="J92" s="171">
        <v>0</v>
      </c>
      <c r="K92" s="171">
        <v>0</v>
      </c>
      <c r="L92" s="171">
        <v>40</v>
      </c>
      <c r="M92" s="171">
        <v>40</v>
      </c>
      <c r="N92" s="172"/>
      <c r="O92" s="172"/>
      <c r="P92" s="172" t="s">
        <v>209</v>
      </c>
      <c r="Q92" s="172"/>
      <c r="R92" s="172" t="s">
        <v>3907</v>
      </c>
      <c r="S92" s="172" t="s">
        <v>373</v>
      </c>
      <c r="T92" s="172" t="s">
        <v>374</v>
      </c>
      <c r="U92" s="172" t="s">
        <v>6355</v>
      </c>
      <c r="V92" s="172" t="s">
        <v>1924</v>
      </c>
      <c r="W92" s="171">
        <v>138</v>
      </c>
      <c r="X92" s="171">
        <v>138</v>
      </c>
      <c r="Y92" s="171">
        <v>0</v>
      </c>
      <c r="Z92" s="172" t="s">
        <v>1029</v>
      </c>
    </row>
    <row r="93" spans="1:26" ht="38.25" customHeight="1">
      <c r="A93" s="144">
        <v>89</v>
      </c>
      <c r="B93" s="144" t="s">
        <v>3443</v>
      </c>
      <c r="C93" s="144" t="s">
        <v>3992</v>
      </c>
      <c r="D93" s="172" t="s">
        <v>3997</v>
      </c>
      <c r="E93" s="172" t="s">
        <v>3909</v>
      </c>
      <c r="F93" s="148" t="s">
        <v>3994</v>
      </c>
      <c r="G93" s="172" t="s">
        <v>3998</v>
      </c>
      <c r="H93" s="172" t="s">
        <v>3999</v>
      </c>
      <c r="I93" s="171">
        <v>80</v>
      </c>
      <c r="J93" s="171">
        <v>0</v>
      </c>
      <c r="K93" s="171">
        <v>0</v>
      </c>
      <c r="L93" s="171">
        <v>40</v>
      </c>
      <c r="M93" s="171">
        <v>40</v>
      </c>
      <c r="N93" s="172"/>
      <c r="O93" s="172"/>
      <c r="P93" s="172" t="s">
        <v>209</v>
      </c>
      <c r="Q93" s="172"/>
      <c r="R93" s="172" t="s">
        <v>4000</v>
      </c>
      <c r="S93" s="172" t="s">
        <v>373</v>
      </c>
      <c r="T93" s="172" t="s">
        <v>374</v>
      </c>
      <c r="U93" s="172" t="s">
        <v>6355</v>
      </c>
      <c r="V93" s="172" t="s">
        <v>1924</v>
      </c>
      <c r="W93" s="171" t="s">
        <v>6410</v>
      </c>
      <c r="X93" s="171">
        <v>0</v>
      </c>
      <c r="Y93" s="171">
        <v>0</v>
      </c>
      <c r="Z93" s="172" t="s">
        <v>1029</v>
      </c>
    </row>
    <row r="94" spans="1:26" ht="38.25" customHeight="1">
      <c r="A94" s="144">
        <v>90</v>
      </c>
      <c r="B94" s="144" t="s">
        <v>3443</v>
      </c>
      <c r="C94" s="144" t="s">
        <v>3992</v>
      </c>
      <c r="D94" s="172" t="s">
        <v>4001</v>
      </c>
      <c r="E94" s="172" t="s">
        <v>4002</v>
      </c>
      <c r="F94" s="148" t="s">
        <v>4003</v>
      </c>
      <c r="G94" s="172" t="s">
        <v>4004</v>
      </c>
      <c r="H94" s="172" t="s">
        <v>4005</v>
      </c>
      <c r="I94" s="171">
        <v>80</v>
      </c>
      <c r="J94" s="171">
        <v>0</v>
      </c>
      <c r="K94" s="171">
        <v>0</v>
      </c>
      <c r="L94" s="171">
        <v>40</v>
      </c>
      <c r="M94" s="171">
        <v>40</v>
      </c>
      <c r="N94" s="172"/>
      <c r="O94" s="172"/>
      <c r="P94" s="172" t="s">
        <v>209</v>
      </c>
      <c r="Q94" s="172"/>
      <c r="R94" s="172" t="s">
        <v>4006</v>
      </c>
      <c r="S94" s="172" t="s">
        <v>373</v>
      </c>
      <c r="T94" s="172" t="s">
        <v>374</v>
      </c>
      <c r="U94" s="172" t="s">
        <v>6355</v>
      </c>
      <c r="V94" s="172" t="s">
        <v>1924</v>
      </c>
      <c r="W94" s="171">
        <v>75.900000000000006</v>
      </c>
      <c r="X94" s="171">
        <v>75.900000000000006</v>
      </c>
      <c r="Y94" s="171">
        <v>0</v>
      </c>
      <c r="Z94" s="172" t="s">
        <v>1029</v>
      </c>
    </row>
    <row r="95" spans="1:26" ht="38.25" customHeight="1">
      <c r="A95" s="144">
        <v>91</v>
      </c>
      <c r="B95" s="144" t="s">
        <v>3443</v>
      </c>
      <c r="C95" s="144" t="s">
        <v>3992</v>
      </c>
      <c r="D95" s="172" t="s">
        <v>4007</v>
      </c>
      <c r="E95" s="172" t="s">
        <v>3658</v>
      </c>
      <c r="F95" s="148" t="s">
        <v>4008</v>
      </c>
      <c r="G95" s="172" t="s">
        <v>4009</v>
      </c>
      <c r="H95" s="172" t="s">
        <v>4010</v>
      </c>
      <c r="I95" s="171">
        <v>80</v>
      </c>
      <c r="J95" s="171">
        <v>0</v>
      </c>
      <c r="K95" s="171">
        <v>0</v>
      </c>
      <c r="L95" s="171">
        <v>40</v>
      </c>
      <c r="M95" s="171">
        <v>40</v>
      </c>
      <c r="N95" s="172"/>
      <c r="O95" s="172"/>
      <c r="P95" s="172" t="s">
        <v>209</v>
      </c>
      <c r="Q95" s="172"/>
      <c r="R95" s="172" t="s">
        <v>3966</v>
      </c>
      <c r="S95" s="172" t="s">
        <v>373</v>
      </c>
      <c r="T95" s="172" t="s">
        <v>374</v>
      </c>
      <c r="U95" s="172" t="s">
        <v>6355</v>
      </c>
      <c r="V95" s="172" t="s">
        <v>1924</v>
      </c>
      <c r="W95" s="171">
        <v>302</v>
      </c>
      <c r="X95" s="171">
        <v>302</v>
      </c>
      <c r="Y95" s="171">
        <v>0</v>
      </c>
      <c r="Z95" s="172" t="s">
        <v>1029</v>
      </c>
    </row>
    <row r="96" spans="1:26" ht="38.25" customHeight="1">
      <c r="A96" s="144">
        <v>92</v>
      </c>
      <c r="B96" s="144" t="s">
        <v>3443</v>
      </c>
      <c r="C96" s="144" t="s">
        <v>3992</v>
      </c>
      <c r="D96" s="172" t="s">
        <v>4011</v>
      </c>
      <c r="E96" s="172" t="s">
        <v>3475</v>
      </c>
      <c r="F96" s="148" t="s">
        <v>4012</v>
      </c>
      <c r="G96" s="172" t="s">
        <v>7090</v>
      </c>
      <c r="H96" s="172" t="s">
        <v>4013</v>
      </c>
      <c r="I96" s="171" t="s">
        <v>3642</v>
      </c>
      <c r="J96" s="171">
        <v>0</v>
      </c>
      <c r="K96" s="171">
        <v>0</v>
      </c>
      <c r="L96" s="171">
        <v>0</v>
      </c>
      <c r="M96" s="171">
        <v>0</v>
      </c>
      <c r="N96" s="172"/>
      <c r="O96" s="172"/>
      <c r="P96" s="172" t="s">
        <v>436</v>
      </c>
      <c r="Q96" s="172"/>
      <c r="R96" s="172" t="s">
        <v>4014</v>
      </c>
      <c r="S96" s="172" t="s">
        <v>373</v>
      </c>
      <c r="T96" s="172" t="s">
        <v>374</v>
      </c>
      <c r="U96" s="172" t="s">
        <v>6355</v>
      </c>
      <c r="V96" s="172" t="s">
        <v>4015</v>
      </c>
      <c r="W96" s="171">
        <v>25</v>
      </c>
      <c r="X96" s="171">
        <v>25</v>
      </c>
      <c r="Y96" s="171">
        <v>0</v>
      </c>
      <c r="Z96" s="172" t="s">
        <v>4016</v>
      </c>
    </row>
    <row r="97" spans="1:26" ht="38.25" customHeight="1">
      <c r="A97" s="144">
        <v>93</v>
      </c>
      <c r="B97" s="144" t="s">
        <v>3443</v>
      </c>
      <c r="C97" s="144" t="s">
        <v>3992</v>
      </c>
      <c r="D97" s="172" t="s">
        <v>4017</v>
      </c>
      <c r="E97" s="172" t="s">
        <v>4018</v>
      </c>
      <c r="F97" s="148" t="s">
        <v>4019</v>
      </c>
      <c r="G97" s="172" t="s">
        <v>7099</v>
      </c>
      <c r="H97" s="172" t="s">
        <v>3698</v>
      </c>
      <c r="I97" s="171" t="s">
        <v>3642</v>
      </c>
      <c r="J97" s="171">
        <v>0</v>
      </c>
      <c r="K97" s="171">
        <v>0</v>
      </c>
      <c r="L97" s="171">
        <v>0</v>
      </c>
      <c r="M97" s="171">
        <v>0</v>
      </c>
      <c r="N97" s="172"/>
      <c r="O97" s="172"/>
      <c r="P97" s="172" t="s">
        <v>261</v>
      </c>
      <c r="Q97" s="172"/>
      <c r="R97" s="172" t="s">
        <v>4020</v>
      </c>
      <c r="S97" s="172" t="s">
        <v>373</v>
      </c>
      <c r="T97" s="172" t="s">
        <v>374</v>
      </c>
      <c r="U97" s="172" t="s">
        <v>6355</v>
      </c>
      <c r="V97" s="172" t="s">
        <v>1924</v>
      </c>
      <c r="W97" s="171">
        <v>27</v>
      </c>
      <c r="X97" s="171">
        <v>27</v>
      </c>
      <c r="Y97" s="171">
        <v>0</v>
      </c>
      <c r="Z97" s="172" t="s">
        <v>1029</v>
      </c>
    </row>
    <row r="98" spans="1:26" s="2" customFormat="1" ht="26.25" customHeight="1">
      <c r="A98" s="15"/>
      <c r="B98" s="15"/>
      <c r="C98" s="15"/>
    </row>
    <row r="99" spans="1:26" s="2" customFormat="1" ht="26.25" customHeight="1">
      <c r="A99" s="15"/>
      <c r="B99" s="15"/>
      <c r="C99" s="15"/>
    </row>
    <row r="100" spans="1:26" s="2" customFormat="1" ht="26.25" customHeight="1">
      <c r="A100" s="15"/>
      <c r="B100" s="15"/>
      <c r="C100" s="15"/>
    </row>
    <row r="101" spans="1:26" s="2" customFormat="1" ht="26.25" customHeight="1">
      <c r="A101" s="15"/>
      <c r="B101" s="15"/>
      <c r="C101" s="15"/>
    </row>
    <row r="102" spans="1:26" s="2" customFormat="1" ht="26.25" customHeight="1">
      <c r="A102" s="15"/>
      <c r="B102" s="15"/>
      <c r="C102" s="15"/>
    </row>
    <row r="103" spans="1:26" s="2" customFormat="1" ht="26.25" customHeight="1">
      <c r="A103" s="15"/>
      <c r="B103" s="15"/>
      <c r="C103" s="15"/>
    </row>
    <row r="104" spans="1:26" s="2" customFormat="1" ht="26.25" customHeight="1">
      <c r="A104" s="15"/>
      <c r="B104" s="15"/>
      <c r="C104" s="15"/>
    </row>
    <row r="105" spans="1:26" s="2" customFormat="1" ht="26.25" customHeight="1">
      <c r="A105" s="15"/>
      <c r="B105" s="15"/>
      <c r="C105" s="15"/>
    </row>
    <row r="106" spans="1:26" s="2" customFormat="1" ht="26.25" customHeight="1">
      <c r="A106" s="15"/>
      <c r="B106" s="15"/>
      <c r="C106" s="15"/>
    </row>
    <row r="107" spans="1:26" s="2" customFormat="1" ht="26.25" customHeight="1">
      <c r="A107" s="15"/>
      <c r="B107" s="15"/>
      <c r="C107" s="15"/>
    </row>
    <row r="108" spans="1:26" s="2" customFormat="1" ht="26.25" customHeight="1">
      <c r="A108" s="15"/>
      <c r="B108" s="15"/>
      <c r="C108" s="15"/>
    </row>
    <row r="109" spans="1:26" s="2" customFormat="1" ht="26.25" customHeight="1">
      <c r="A109" s="15"/>
      <c r="B109" s="15"/>
      <c r="C109" s="15"/>
    </row>
    <row r="110" spans="1:26" s="2" customFormat="1" ht="26.25" customHeight="1">
      <c r="A110" s="15"/>
      <c r="B110" s="15"/>
      <c r="C110" s="15"/>
    </row>
    <row r="111" spans="1:26" s="2" customFormat="1" ht="26.25" customHeight="1">
      <c r="A111" s="15"/>
      <c r="B111" s="15"/>
      <c r="C111" s="15"/>
    </row>
    <row r="112" spans="1:26" s="2" customFormat="1" ht="26.25" customHeight="1">
      <c r="A112" s="15"/>
      <c r="B112" s="15"/>
      <c r="C112" s="15"/>
    </row>
    <row r="113" spans="1:3" s="2" customFormat="1" ht="26.25" customHeight="1">
      <c r="A113" s="15"/>
      <c r="B113" s="15"/>
      <c r="C113" s="15"/>
    </row>
    <row r="114" spans="1:3" s="2" customFormat="1" ht="26.25" customHeight="1">
      <c r="A114" s="15"/>
      <c r="B114" s="15"/>
      <c r="C114" s="15"/>
    </row>
    <row r="115" spans="1:3" s="2" customFormat="1" ht="26.25" customHeight="1">
      <c r="A115" s="15"/>
      <c r="B115" s="15"/>
      <c r="C115" s="15"/>
    </row>
    <row r="116" spans="1:3" s="2" customFormat="1" ht="26.25" customHeight="1">
      <c r="A116" s="15"/>
      <c r="B116" s="15"/>
      <c r="C116" s="15"/>
    </row>
  </sheetData>
  <autoFilter ref="A4:Y40"/>
  <mergeCells count="5">
    <mergeCell ref="A1:Y2"/>
    <mergeCell ref="A3:E3"/>
    <mergeCell ref="I3:M3"/>
    <mergeCell ref="N3:O3"/>
    <mergeCell ref="W3:Y3"/>
  </mergeCells>
  <phoneticPr fontId="5" type="noConversion"/>
  <dataValidations count="1">
    <dataValidation type="list" allowBlank="1" showInputMessage="1" showErrorMessage="1" sqref="P5:Q97 B5:B97">
      <formula1>#REF!</formula1>
    </dataValidation>
  </dataValidations>
  <pageMargins left="0.19685039370078741" right="0.19685039370078741" top="0.35433070866141736" bottom="0.19685039370078741" header="0.19685039370078741" footer="0.19685039370078741"/>
  <pageSetup paperSize="9" scale="44" orientation="landscape" r:id="rId1"/>
  <headerFooter alignWithMargins="0"/>
  <rowBreaks count="3" manualBreakCount="3">
    <brk id="16" max="20" man="1"/>
    <brk id="28" max="20" man="1"/>
    <brk id="40" max="1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5"/>
  <sheetViews>
    <sheetView zoomScale="90" zoomScaleNormal="90" zoomScaleSheetLayoutView="90" workbookViewId="0">
      <pane ySplit="4" topLeftCell="A43" activePane="bottomLeft" state="frozen"/>
      <selection pane="bottomLeft" activeCell="G3" sqref="G1:G1048576"/>
    </sheetView>
  </sheetViews>
  <sheetFormatPr defaultRowHeight="13.5"/>
  <cols>
    <col min="1" max="1" width="6.6640625" style="6" customWidth="1"/>
    <col min="2" max="2" width="12.33203125" style="6" customWidth="1"/>
    <col min="3" max="3" width="9.109375" style="6" customWidth="1"/>
    <col min="4" max="4" width="17.6640625" style="1" customWidth="1"/>
    <col min="5" max="5" width="12.109375" style="1" customWidth="1"/>
    <col min="6" max="6" width="42" style="1" customWidth="1"/>
    <col min="7" max="7" width="25.109375" style="1" customWidth="1"/>
    <col min="8" max="8" width="12.21875" style="1" customWidth="1"/>
    <col min="9" max="9" width="14.21875" style="1" customWidth="1"/>
    <col min="10" max="11" width="7.6640625" style="1" customWidth="1"/>
    <col min="12" max="12" width="12" style="1" bestFit="1" customWidth="1"/>
    <col min="13" max="13" width="9.33203125" style="1" bestFit="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6" width="12.21875" style="1" customWidth="1"/>
    <col min="27" max="16384" width="8.88671875" style="1"/>
  </cols>
  <sheetData>
    <row r="1" spans="1:27" ht="29.25" customHeight="1">
      <c r="A1" s="304" t="s">
        <v>2538</v>
      </c>
      <c r="B1" s="304"/>
      <c r="C1" s="304"/>
      <c r="D1" s="304"/>
      <c r="E1" s="304"/>
      <c r="F1" s="304"/>
      <c r="G1" s="304"/>
      <c r="H1" s="304"/>
      <c r="I1" s="304"/>
      <c r="J1" s="304"/>
      <c r="K1" s="304"/>
      <c r="L1" s="304"/>
      <c r="M1" s="304"/>
      <c r="N1" s="304"/>
      <c r="O1" s="304"/>
      <c r="P1" s="304"/>
      <c r="Q1" s="304"/>
      <c r="R1" s="304"/>
      <c r="S1" s="304"/>
      <c r="T1" s="304"/>
      <c r="U1" s="304"/>
      <c r="V1" s="304"/>
      <c r="W1" s="304"/>
      <c r="X1" s="304"/>
      <c r="Y1" s="304"/>
      <c r="Z1" s="137"/>
      <c r="AA1" s="137"/>
    </row>
    <row r="2" spans="1:27"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38"/>
      <c r="AA2" s="138"/>
    </row>
    <row r="3" spans="1:27" s="2" customFormat="1" ht="60.75" customHeight="1">
      <c r="A3" s="311" t="s">
        <v>4993</v>
      </c>
      <c r="B3" s="311"/>
      <c r="C3" s="311"/>
      <c r="D3" s="311"/>
      <c r="E3" s="311"/>
      <c r="F3" s="138"/>
      <c r="G3" s="138"/>
      <c r="H3" s="138"/>
      <c r="I3" s="305" t="s">
        <v>4021</v>
      </c>
      <c r="J3" s="305"/>
      <c r="K3" s="305"/>
      <c r="L3" s="305"/>
      <c r="M3" s="305"/>
      <c r="N3" s="306" t="s">
        <v>6417</v>
      </c>
      <c r="O3" s="307"/>
      <c r="P3" s="40"/>
      <c r="Q3" s="40"/>
      <c r="R3" s="140"/>
      <c r="S3" s="140"/>
      <c r="T3" s="140"/>
      <c r="U3" s="140"/>
      <c r="V3" s="140"/>
      <c r="W3" s="312" t="s">
        <v>887</v>
      </c>
      <c r="X3" s="312"/>
      <c r="Y3" s="312"/>
      <c r="Z3" s="140"/>
      <c r="AA3" s="176"/>
    </row>
    <row r="4" spans="1:27" ht="39.75" customHeight="1">
      <c r="A4" s="141" t="s">
        <v>0</v>
      </c>
      <c r="B4" s="141" t="s">
        <v>2539</v>
      </c>
      <c r="C4" s="141" t="s">
        <v>889</v>
      </c>
      <c r="D4" s="141" t="s">
        <v>890</v>
      </c>
      <c r="E4" s="142" t="s">
        <v>2540</v>
      </c>
      <c r="F4" s="141" t="s">
        <v>892</v>
      </c>
      <c r="G4" s="142" t="s">
        <v>893</v>
      </c>
      <c r="H4" s="142" t="s">
        <v>894</v>
      </c>
      <c r="I4" s="142" t="s">
        <v>895</v>
      </c>
      <c r="J4" s="142" t="s">
        <v>3</v>
      </c>
      <c r="K4" s="142" t="s">
        <v>4</v>
      </c>
      <c r="L4" s="142" t="s">
        <v>2541</v>
      </c>
      <c r="M4" s="142" t="s">
        <v>899</v>
      </c>
      <c r="N4" s="142" t="s">
        <v>900</v>
      </c>
      <c r="O4" s="142" t="s">
        <v>67</v>
      </c>
      <c r="P4" s="142" t="s">
        <v>4971</v>
      </c>
      <c r="Q4" s="142" t="s">
        <v>2542</v>
      </c>
      <c r="R4" s="143" t="s">
        <v>2543</v>
      </c>
      <c r="S4" s="143" t="s">
        <v>2544</v>
      </c>
      <c r="T4" s="143" t="s">
        <v>904</v>
      </c>
      <c r="U4" s="143" t="s">
        <v>6415</v>
      </c>
      <c r="V4" s="143" t="s">
        <v>33</v>
      </c>
      <c r="W4" s="143" t="s">
        <v>906</v>
      </c>
      <c r="X4" s="143" t="s">
        <v>907</v>
      </c>
      <c r="Y4" s="143" t="s">
        <v>908</v>
      </c>
      <c r="Z4" s="143" t="s">
        <v>909</v>
      </c>
      <c r="AA4" s="137"/>
    </row>
    <row r="5" spans="1:27" ht="88.5" customHeight="1">
      <c r="A5" s="144">
        <v>1</v>
      </c>
      <c r="B5" s="144" t="s">
        <v>2545</v>
      </c>
      <c r="C5" s="144" t="s">
        <v>2546</v>
      </c>
      <c r="D5" s="79" t="s">
        <v>2547</v>
      </c>
      <c r="E5" s="79" t="s">
        <v>2548</v>
      </c>
      <c r="F5" s="148" t="s">
        <v>2549</v>
      </c>
      <c r="G5" s="79" t="s">
        <v>2550</v>
      </c>
      <c r="H5" s="79" t="s">
        <v>2551</v>
      </c>
      <c r="I5" s="173">
        <v>480</v>
      </c>
      <c r="J5" s="173">
        <v>0</v>
      </c>
      <c r="K5" s="173">
        <v>30</v>
      </c>
      <c r="L5" s="173">
        <v>450</v>
      </c>
      <c r="M5" s="173">
        <v>0</v>
      </c>
      <c r="N5" s="79"/>
      <c r="O5" s="79"/>
      <c r="P5" s="79" t="s">
        <v>917</v>
      </c>
      <c r="Q5" s="79"/>
      <c r="R5" s="79" t="s">
        <v>2552</v>
      </c>
      <c r="S5" s="79" t="s">
        <v>2553</v>
      </c>
      <c r="T5" s="79" t="s">
        <v>1254</v>
      </c>
      <c r="U5" s="80" t="s">
        <v>3420</v>
      </c>
      <c r="V5" s="79" t="s">
        <v>3421</v>
      </c>
      <c r="W5" s="173">
        <v>150</v>
      </c>
      <c r="X5" s="173">
        <v>150</v>
      </c>
      <c r="Y5" s="173">
        <v>0</v>
      </c>
      <c r="Z5" s="79" t="s">
        <v>2554</v>
      </c>
      <c r="AA5" s="137"/>
    </row>
    <row r="6" spans="1:27" ht="38.25" customHeight="1">
      <c r="A6" s="144">
        <v>2</v>
      </c>
      <c r="B6" s="144" t="s">
        <v>2555</v>
      </c>
      <c r="C6" s="144" t="s">
        <v>2556</v>
      </c>
      <c r="D6" s="79" t="s">
        <v>2557</v>
      </c>
      <c r="E6" s="79" t="s">
        <v>2558</v>
      </c>
      <c r="F6" s="152" t="s">
        <v>3424</v>
      </c>
      <c r="G6" s="79" t="s">
        <v>2559</v>
      </c>
      <c r="H6" s="79" t="s">
        <v>2560</v>
      </c>
      <c r="I6" s="173">
        <v>216</v>
      </c>
      <c r="J6" s="173">
        <v>0</v>
      </c>
      <c r="K6" s="173">
        <v>0</v>
      </c>
      <c r="L6" s="173">
        <v>216</v>
      </c>
      <c r="M6" s="173">
        <v>0</v>
      </c>
      <c r="N6" s="79"/>
      <c r="O6" s="79"/>
      <c r="P6" s="79" t="s">
        <v>247</v>
      </c>
      <c r="Q6" s="79"/>
      <c r="R6" s="79" t="s">
        <v>2561</v>
      </c>
      <c r="S6" s="79" t="s">
        <v>2553</v>
      </c>
      <c r="T6" s="79" t="s">
        <v>2562</v>
      </c>
      <c r="U6" s="79" t="s">
        <v>3442</v>
      </c>
      <c r="V6" s="79" t="s">
        <v>212</v>
      </c>
      <c r="W6" s="173">
        <f>SUM(X6:Y6)</f>
        <v>106</v>
      </c>
      <c r="X6" s="173">
        <v>102</v>
      </c>
      <c r="Y6" s="173">
        <v>4</v>
      </c>
      <c r="Z6" s="79" t="s">
        <v>2563</v>
      </c>
      <c r="AA6" s="137"/>
    </row>
    <row r="7" spans="1:27" ht="38.25" customHeight="1">
      <c r="A7" s="144">
        <v>3</v>
      </c>
      <c r="B7" s="144" t="s">
        <v>2555</v>
      </c>
      <c r="C7" s="144" t="s">
        <v>2546</v>
      </c>
      <c r="D7" s="79" t="s">
        <v>2564</v>
      </c>
      <c r="E7" s="145" t="s">
        <v>2565</v>
      </c>
      <c r="F7" s="148" t="s">
        <v>2566</v>
      </c>
      <c r="G7" s="79" t="s">
        <v>2567</v>
      </c>
      <c r="H7" s="79" t="s">
        <v>2568</v>
      </c>
      <c r="I7" s="173">
        <v>80</v>
      </c>
      <c r="J7" s="173">
        <v>0</v>
      </c>
      <c r="K7" s="173">
        <v>0</v>
      </c>
      <c r="L7" s="173">
        <v>80</v>
      </c>
      <c r="M7" s="173">
        <v>0</v>
      </c>
      <c r="N7" s="79"/>
      <c r="O7" s="79"/>
      <c r="P7" s="79" t="s">
        <v>304</v>
      </c>
      <c r="Q7" s="79"/>
      <c r="R7" s="79" t="s">
        <v>2569</v>
      </c>
      <c r="S7" s="79" t="s">
        <v>845</v>
      </c>
      <c r="T7" s="79" t="s">
        <v>921</v>
      </c>
      <c r="U7" s="79" t="s">
        <v>3441</v>
      </c>
      <c r="V7" s="79" t="s">
        <v>323</v>
      </c>
      <c r="W7" s="173">
        <f>SUM(X7:Y7)</f>
        <v>20</v>
      </c>
      <c r="X7" s="173">
        <v>20</v>
      </c>
      <c r="Y7" s="173">
        <v>0</v>
      </c>
      <c r="Z7" s="79" t="s">
        <v>2570</v>
      </c>
      <c r="AA7" s="137"/>
    </row>
    <row r="8" spans="1:27" ht="60.75" customHeight="1">
      <c r="A8" s="144">
        <v>4</v>
      </c>
      <c r="B8" s="144" t="s">
        <v>794</v>
      </c>
      <c r="C8" s="80" t="s">
        <v>2556</v>
      </c>
      <c r="D8" s="144" t="s">
        <v>2571</v>
      </c>
      <c r="E8" s="79" t="s">
        <v>2572</v>
      </c>
      <c r="F8" s="148" t="s">
        <v>2573</v>
      </c>
      <c r="G8" s="79" t="s">
        <v>2574</v>
      </c>
      <c r="H8" s="79" t="s">
        <v>638</v>
      </c>
      <c r="I8" s="173">
        <v>4640</v>
      </c>
      <c r="J8" s="184">
        <v>700</v>
      </c>
      <c r="K8" s="184">
        <v>170</v>
      </c>
      <c r="L8" s="184">
        <v>2600</v>
      </c>
      <c r="M8" s="184">
        <v>1170</v>
      </c>
      <c r="N8" s="144" t="s">
        <v>958</v>
      </c>
      <c r="O8" s="144" t="s">
        <v>2575</v>
      </c>
      <c r="P8" s="79" t="s">
        <v>917</v>
      </c>
      <c r="Q8" s="79"/>
      <c r="R8" s="79" t="s">
        <v>1739</v>
      </c>
      <c r="S8" s="79" t="s">
        <v>920</v>
      </c>
      <c r="T8" s="79" t="s">
        <v>944</v>
      </c>
      <c r="U8" s="79" t="s">
        <v>3419</v>
      </c>
      <c r="V8" s="79" t="s">
        <v>94</v>
      </c>
      <c r="W8" s="173">
        <f>SUM(X8:Y8)</f>
        <v>79</v>
      </c>
      <c r="X8" s="173">
        <v>79</v>
      </c>
      <c r="Y8" s="173">
        <v>0</v>
      </c>
      <c r="Z8" s="79" t="s">
        <v>2576</v>
      </c>
      <c r="AA8" s="137"/>
    </row>
    <row r="9" spans="1:27" ht="38.25" customHeight="1">
      <c r="A9" s="144">
        <v>5</v>
      </c>
      <c r="B9" s="144" t="s">
        <v>794</v>
      </c>
      <c r="C9" s="144" t="s">
        <v>2546</v>
      </c>
      <c r="D9" s="79" t="s">
        <v>2577</v>
      </c>
      <c r="E9" s="79" t="s">
        <v>2578</v>
      </c>
      <c r="F9" s="148" t="s">
        <v>2579</v>
      </c>
      <c r="G9" s="79" t="s">
        <v>2580</v>
      </c>
      <c r="H9" s="79" t="s">
        <v>2581</v>
      </c>
      <c r="I9" s="173">
        <v>466</v>
      </c>
      <c r="J9" s="173">
        <v>0</v>
      </c>
      <c r="K9" s="173">
        <v>150</v>
      </c>
      <c r="L9" s="173">
        <v>150</v>
      </c>
      <c r="M9" s="173">
        <v>166</v>
      </c>
      <c r="N9" s="79"/>
      <c r="O9" s="79"/>
      <c r="P9" s="79" t="s">
        <v>247</v>
      </c>
      <c r="Q9" s="79"/>
      <c r="R9" s="79" t="s">
        <v>2582</v>
      </c>
      <c r="S9" s="79" t="s">
        <v>108</v>
      </c>
      <c r="T9" s="79" t="s">
        <v>183</v>
      </c>
      <c r="U9" s="79" t="s">
        <v>355</v>
      </c>
      <c r="V9" s="79" t="s">
        <v>212</v>
      </c>
      <c r="W9" s="173">
        <f>SUM(X9:Y9)</f>
        <v>180</v>
      </c>
      <c r="X9" s="173">
        <v>180</v>
      </c>
      <c r="Y9" s="173">
        <v>0</v>
      </c>
      <c r="Z9" s="79" t="s">
        <v>2583</v>
      </c>
      <c r="AA9" s="137"/>
    </row>
    <row r="10" spans="1:27" ht="38.25" customHeight="1">
      <c r="A10" s="144">
        <v>6</v>
      </c>
      <c r="B10" s="144" t="s">
        <v>2584</v>
      </c>
      <c r="C10" s="144" t="s">
        <v>2546</v>
      </c>
      <c r="D10" s="79" t="s">
        <v>2585</v>
      </c>
      <c r="E10" s="79" t="s">
        <v>2586</v>
      </c>
      <c r="F10" s="148" t="s">
        <v>2587</v>
      </c>
      <c r="G10" s="79" t="s">
        <v>2588</v>
      </c>
      <c r="H10" s="79" t="s">
        <v>1784</v>
      </c>
      <c r="I10" s="173">
        <v>80</v>
      </c>
      <c r="J10" s="173">
        <v>40</v>
      </c>
      <c r="K10" s="173">
        <v>0</v>
      </c>
      <c r="L10" s="173">
        <v>40</v>
      </c>
      <c r="M10" s="173">
        <v>0</v>
      </c>
      <c r="N10" s="144" t="s">
        <v>2589</v>
      </c>
      <c r="O10" s="79" t="s">
        <v>2590</v>
      </c>
      <c r="P10" s="79" t="s">
        <v>140</v>
      </c>
      <c r="Q10" s="79"/>
      <c r="R10" s="79" t="s">
        <v>2591</v>
      </c>
      <c r="S10" s="79" t="s">
        <v>108</v>
      </c>
      <c r="T10" s="79" t="s">
        <v>3358</v>
      </c>
      <c r="U10" s="79" t="s">
        <v>3358</v>
      </c>
      <c r="V10" s="79" t="s">
        <v>935</v>
      </c>
      <c r="W10" s="173">
        <f t="shared" ref="W10" si="0">SUM(X10:Y10)</f>
        <v>0</v>
      </c>
      <c r="X10" s="173">
        <v>0</v>
      </c>
      <c r="Y10" s="173">
        <v>0</v>
      </c>
      <c r="Z10" s="79" t="s">
        <v>2592</v>
      </c>
      <c r="AA10" s="137" t="s">
        <v>2593</v>
      </c>
    </row>
    <row r="11" spans="1:27" ht="38.25" customHeight="1">
      <c r="A11" s="144">
        <v>7</v>
      </c>
      <c r="B11" s="144" t="s">
        <v>2555</v>
      </c>
      <c r="C11" s="144" t="s">
        <v>2594</v>
      </c>
      <c r="D11" s="79" t="s">
        <v>2595</v>
      </c>
      <c r="E11" s="79" t="s">
        <v>2596</v>
      </c>
      <c r="F11" s="148" t="s">
        <v>2597</v>
      </c>
      <c r="G11" s="79" t="s">
        <v>2598</v>
      </c>
      <c r="H11" s="79" t="s">
        <v>2599</v>
      </c>
      <c r="I11" s="173">
        <v>650</v>
      </c>
      <c r="J11" s="173">
        <v>0</v>
      </c>
      <c r="K11" s="173">
        <v>650</v>
      </c>
      <c r="L11" s="173">
        <v>0</v>
      </c>
      <c r="M11" s="173">
        <v>0</v>
      </c>
      <c r="N11" s="79"/>
      <c r="O11" s="79"/>
      <c r="P11" s="79" t="s">
        <v>304</v>
      </c>
      <c r="Q11" s="79"/>
      <c r="R11" s="79" t="s">
        <v>2600</v>
      </c>
      <c r="S11" s="79" t="s">
        <v>2553</v>
      </c>
      <c r="T11" s="79" t="s">
        <v>999</v>
      </c>
      <c r="U11" s="79" t="s">
        <v>3441</v>
      </c>
      <c r="V11" s="79" t="s">
        <v>935</v>
      </c>
      <c r="W11" s="173">
        <v>92</v>
      </c>
      <c r="X11" s="173">
        <v>92</v>
      </c>
      <c r="Y11" s="173">
        <v>0</v>
      </c>
      <c r="Z11" s="79" t="s">
        <v>2601</v>
      </c>
      <c r="AA11" s="137"/>
    </row>
    <row r="12" spans="1:27" ht="38.25" customHeight="1">
      <c r="A12" s="144">
        <v>8</v>
      </c>
      <c r="B12" s="144" t="s">
        <v>2584</v>
      </c>
      <c r="C12" s="144" t="s">
        <v>2602</v>
      </c>
      <c r="D12" s="79" t="s">
        <v>2603</v>
      </c>
      <c r="E12" s="79" t="s">
        <v>2604</v>
      </c>
      <c r="F12" s="148" t="s">
        <v>2605</v>
      </c>
      <c r="G12" s="79" t="s">
        <v>2606</v>
      </c>
      <c r="H12" s="79" t="s">
        <v>2607</v>
      </c>
      <c r="I12" s="173">
        <v>112</v>
      </c>
      <c r="J12" s="173">
        <v>0</v>
      </c>
      <c r="K12" s="173">
        <v>112</v>
      </c>
      <c r="L12" s="173">
        <v>0</v>
      </c>
      <c r="M12" s="173">
        <v>0</v>
      </c>
      <c r="N12" s="79"/>
      <c r="O12" s="79"/>
      <c r="P12" s="79" t="s">
        <v>788</v>
      </c>
      <c r="Q12" s="79"/>
      <c r="R12" s="79" t="s">
        <v>2608</v>
      </c>
      <c r="S12" s="79" t="s">
        <v>920</v>
      </c>
      <c r="T12" s="79" t="s">
        <v>999</v>
      </c>
      <c r="U12" s="79" t="s">
        <v>3441</v>
      </c>
      <c r="V12" s="79" t="s">
        <v>164</v>
      </c>
      <c r="W12" s="173">
        <f t="shared" ref="W12" si="1">SUM(X12:Y12)</f>
        <v>20</v>
      </c>
      <c r="X12" s="173">
        <v>20</v>
      </c>
      <c r="Y12" s="173">
        <v>0</v>
      </c>
      <c r="Z12" s="79" t="s">
        <v>2609</v>
      </c>
      <c r="AA12" s="137"/>
    </row>
    <row r="13" spans="1:27" ht="38.25" customHeight="1">
      <c r="A13" s="144">
        <v>9</v>
      </c>
      <c r="B13" s="144" t="s">
        <v>2555</v>
      </c>
      <c r="C13" s="144" t="s">
        <v>2594</v>
      </c>
      <c r="D13" s="79" t="s">
        <v>2610</v>
      </c>
      <c r="E13" s="79" t="s">
        <v>347</v>
      </c>
      <c r="F13" s="148" t="s">
        <v>2611</v>
      </c>
      <c r="G13" s="79" t="s">
        <v>2612</v>
      </c>
      <c r="H13" s="79" t="s">
        <v>259</v>
      </c>
      <c r="I13" s="173">
        <v>121</v>
      </c>
      <c r="J13" s="173">
        <v>0</v>
      </c>
      <c r="K13" s="173">
        <v>121</v>
      </c>
      <c r="L13" s="173">
        <v>0</v>
      </c>
      <c r="M13" s="173">
        <v>0</v>
      </c>
      <c r="N13" s="79"/>
      <c r="O13" s="79"/>
      <c r="P13" s="79" t="s">
        <v>209</v>
      </c>
      <c r="Q13" s="79"/>
      <c r="R13" s="79" t="s">
        <v>2613</v>
      </c>
      <c r="S13" s="79" t="s">
        <v>108</v>
      </c>
      <c r="T13" s="79" t="s">
        <v>1420</v>
      </c>
      <c r="U13" s="79" t="s">
        <v>3441</v>
      </c>
      <c r="V13" s="79" t="s">
        <v>94</v>
      </c>
      <c r="W13" s="173">
        <v>80</v>
      </c>
      <c r="X13" s="173">
        <v>80</v>
      </c>
      <c r="Y13" s="173">
        <v>0</v>
      </c>
      <c r="Z13" s="79" t="s">
        <v>2614</v>
      </c>
      <c r="AA13" s="137"/>
    </row>
    <row r="14" spans="1:27" ht="38.25" customHeight="1">
      <c r="A14" s="144">
        <v>10</v>
      </c>
      <c r="B14" s="144" t="s">
        <v>2555</v>
      </c>
      <c r="C14" s="144" t="s">
        <v>2615</v>
      </c>
      <c r="D14" s="79" t="s">
        <v>2616</v>
      </c>
      <c r="E14" s="79" t="s">
        <v>2617</v>
      </c>
      <c r="F14" s="148" t="s">
        <v>2618</v>
      </c>
      <c r="G14" s="79" t="s">
        <v>2619</v>
      </c>
      <c r="H14" s="79" t="s">
        <v>2620</v>
      </c>
      <c r="I14" s="173">
        <f>SUM(J14:M14)</f>
        <v>600</v>
      </c>
      <c r="J14" s="173">
        <v>0</v>
      </c>
      <c r="K14" s="173">
        <v>0</v>
      </c>
      <c r="L14" s="173">
        <v>600</v>
      </c>
      <c r="M14" s="173">
        <v>0</v>
      </c>
      <c r="N14" s="79"/>
      <c r="O14" s="79"/>
      <c r="P14" s="79" t="s">
        <v>304</v>
      </c>
      <c r="Q14" s="79"/>
      <c r="R14" s="79" t="s">
        <v>2621</v>
      </c>
      <c r="S14" s="79" t="s">
        <v>373</v>
      </c>
      <c r="T14" s="79" t="s">
        <v>527</v>
      </c>
      <c r="U14" s="79" t="s">
        <v>3441</v>
      </c>
      <c r="V14" s="79" t="s">
        <v>2622</v>
      </c>
      <c r="W14" s="173">
        <f>SUM(X14:Y14)</f>
        <v>160</v>
      </c>
      <c r="X14" s="173">
        <v>160</v>
      </c>
      <c r="Y14" s="173">
        <v>0</v>
      </c>
      <c r="Z14" s="79" t="s">
        <v>1468</v>
      </c>
      <c r="AA14" s="137"/>
    </row>
    <row r="15" spans="1:27" ht="38.25" customHeight="1">
      <c r="A15" s="144">
        <v>11</v>
      </c>
      <c r="B15" s="144" t="s">
        <v>2555</v>
      </c>
      <c r="C15" s="144" t="s">
        <v>2615</v>
      </c>
      <c r="D15" s="79" t="s">
        <v>2623</v>
      </c>
      <c r="E15" s="79" t="s">
        <v>2624</v>
      </c>
      <c r="F15" s="148" t="s">
        <v>2625</v>
      </c>
      <c r="G15" s="79" t="s">
        <v>2626</v>
      </c>
      <c r="H15" s="79" t="s">
        <v>193</v>
      </c>
      <c r="I15" s="173">
        <v>814</v>
      </c>
      <c r="J15" s="173">
        <v>0</v>
      </c>
      <c r="K15" s="173">
        <v>814</v>
      </c>
      <c r="L15" s="173">
        <v>0</v>
      </c>
      <c r="M15" s="173">
        <v>0</v>
      </c>
      <c r="N15" s="79"/>
      <c r="O15" s="79"/>
      <c r="P15" s="79" t="s">
        <v>261</v>
      </c>
      <c r="Q15" s="79"/>
      <c r="R15" s="79" t="s">
        <v>2627</v>
      </c>
      <c r="S15" s="79" t="s">
        <v>373</v>
      </c>
      <c r="T15" s="79" t="s">
        <v>814</v>
      </c>
      <c r="U15" s="79" t="s">
        <v>2628</v>
      </c>
      <c r="V15" s="79" t="s">
        <v>1924</v>
      </c>
      <c r="W15" s="173">
        <v>660</v>
      </c>
      <c r="X15" s="173">
        <v>600</v>
      </c>
      <c r="Y15" s="173">
        <v>60</v>
      </c>
      <c r="Z15" s="79" t="s">
        <v>1468</v>
      </c>
      <c r="AA15" s="137"/>
    </row>
    <row r="16" spans="1:27" ht="38.25" customHeight="1">
      <c r="A16" s="144">
        <v>12</v>
      </c>
      <c r="B16" s="144" t="s">
        <v>2555</v>
      </c>
      <c r="C16" s="144" t="s">
        <v>2615</v>
      </c>
      <c r="D16" s="79" t="s">
        <v>2629</v>
      </c>
      <c r="E16" s="79" t="s">
        <v>2630</v>
      </c>
      <c r="F16" s="148" t="s">
        <v>2631</v>
      </c>
      <c r="G16" s="79" t="s">
        <v>2632</v>
      </c>
      <c r="H16" s="79" t="s">
        <v>2633</v>
      </c>
      <c r="I16" s="173">
        <v>60</v>
      </c>
      <c r="J16" s="173">
        <v>0</v>
      </c>
      <c r="K16" s="173">
        <v>0</v>
      </c>
      <c r="L16" s="173">
        <v>60</v>
      </c>
      <c r="M16" s="173">
        <v>0</v>
      </c>
      <c r="N16" s="79"/>
      <c r="O16" s="79"/>
      <c r="P16" s="79" t="s">
        <v>209</v>
      </c>
      <c r="Q16" s="79"/>
      <c r="R16" s="79" t="s">
        <v>2634</v>
      </c>
      <c r="S16" s="79" t="s">
        <v>2635</v>
      </c>
      <c r="T16" s="79" t="s">
        <v>501</v>
      </c>
      <c r="U16" s="79" t="s">
        <v>3441</v>
      </c>
      <c r="V16" s="79" t="s">
        <v>1924</v>
      </c>
      <c r="W16" s="173">
        <v>100</v>
      </c>
      <c r="X16" s="173">
        <v>100</v>
      </c>
      <c r="Y16" s="173">
        <v>0</v>
      </c>
      <c r="Z16" s="79" t="s">
        <v>2636</v>
      </c>
      <c r="AA16" s="137"/>
    </row>
    <row r="17" spans="1:27" ht="38.25" customHeight="1">
      <c r="A17" s="144">
        <v>13</v>
      </c>
      <c r="B17" s="144" t="s">
        <v>794</v>
      </c>
      <c r="C17" s="144" t="s">
        <v>2637</v>
      </c>
      <c r="D17" s="79" t="s">
        <v>2638</v>
      </c>
      <c r="E17" s="79" t="s">
        <v>2639</v>
      </c>
      <c r="F17" s="148" t="s">
        <v>2640</v>
      </c>
      <c r="G17" s="79" t="s">
        <v>2641</v>
      </c>
      <c r="H17" s="79" t="s">
        <v>2642</v>
      </c>
      <c r="I17" s="173">
        <v>140</v>
      </c>
      <c r="J17" s="173">
        <v>0</v>
      </c>
      <c r="K17" s="173">
        <v>0</v>
      </c>
      <c r="L17" s="173">
        <v>140</v>
      </c>
      <c r="M17" s="173">
        <v>0</v>
      </c>
      <c r="N17" s="79"/>
      <c r="O17" s="79"/>
      <c r="P17" s="79" t="s">
        <v>261</v>
      </c>
      <c r="Q17" s="79"/>
      <c r="R17" s="79" t="s">
        <v>628</v>
      </c>
      <c r="S17" s="79" t="s">
        <v>108</v>
      </c>
      <c r="T17" s="79" t="s">
        <v>251</v>
      </c>
      <c r="U17" s="79" t="s">
        <v>93</v>
      </c>
      <c r="V17" s="79" t="s">
        <v>94</v>
      </c>
      <c r="W17" s="173">
        <v>120</v>
      </c>
      <c r="X17" s="173">
        <v>120</v>
      </c>
      <c r="Y17" s="173">
        <v>0</v>
      </c>
      <c r="Z17" s="79" t="s">
        <v>1069</v>
      </c>
      <c r="AA17" s="137"/>
    </row>
    <row r="18" spans="1:27" ht="38.25" customHeight="1">
      <c r="A18" s="144">
        <v>14</v>
      </c>
      <c r="B18" s="144" t="s">
        <v>2555</v>
      </c>
      <c r="C18" s="144" t="s">
        <v>2643</v>
      </c>
      <c r="D18" s="79" t="s">
        <v>2644</v>
      </c>
      <c r="E18" s="79" t="s">
        <v>2645</v>
      </c>
      <c r="F18" s="148" t="s">
        <v>2646</v>
      </c>
      <c r="G18" s="79" t="s">
        <v>2647</v>
      </c>
      <c r="H18" s="79" t="s">
        <v>2648</v>
      </c>
      <c r="I18" s="173">
        <v>185</v>
      </c>
      <c r="J18" s="173">
        <v>0</v>
      </c>
      <c r="K18" s="173">
        <v>0</v>
      </c>
      <c r="L18" s="173">
        <v>185</v>
      </c>
      <c r="M18" s="173">
        <v>0</v>
      </c>
      <c r="N18" s="79"/>
      <c r="O18" s="79"/>
      <c r="P18" s="79" t="s">
        <v>304</v>
      </c>
      <c r="Q18" s="79"/>
      <c r="R18" s="79" t="s">
        <v>2649</v>
      </c>
      <c r="S18" s="79" t="s">
        <v>373</v>
      </c>
      <c r="T18" s="79" t="s">
        <v>2650</v>
      </c>
      <c r="U18" s="79" t="s">
        <v>3441</v>
      </c>
      <c r="V18" s="79" t="s">
        <v>376</v>
      </c>
      <c r="W18" s="173">
        <v>30</v>
      </c>
      <c r="X18" s="173">
        <v>30</v>
      </c>
      <c r="Y18" s="173">
        <v>0</v>
      </c>
      <c r="Z18" s="79" t="s">
        <v>2651</v>
      </c>
      <c r="AA18" s="137"/>
    </row>
    <row r="19" spans="1:27" ht="38.25" customHeight="1">
      <c r="A19" s="144">
        <v>15</v>
      </c>
      <c r="B19" s="144" t="s">
        <v>2555</v>
      </c>
      <c r="C19" s="144" t="s">
        <v>2637</v>
      </c>
      <c r="D19" s="79" t="s">
        <v>2652</v>
      </c>
      <c r="E19" s="79" t="s">
        <v>2653</v>
      </c>
      <c r="F19" s="148" t="s">
        <v>2654</v>
      </c>
      <c r="G19" s="79" t="s">
        <v>2655</v>
      </c>
      <c r="H19" s="79" t="s">
        <v>2656</v>
      </c>
      <c r="I19" s="173">
        <v>260</v>
      </c>
      <c r="J19" s="173">
        <v>0</v>
      </c>
      <c r="K19" s="173">
        <v>0</v>
      </c>
      <c r="L19" s="173">
        <v>260</v>
      </c>
      <c r="M19" s="173">
        <v>0</v>
      </c>
      <c r="N19" s="79"/>
      <c r="O19" s="79"/>
      <c r="P19" s="79" t="s">
        <v>261</v>
      </c>
      <c r="Q19" s="79"/>
      <c r="R19" s="79" t="s">
        <v>2657</v>
      </c>
      <c r="S19" s="79" t="s">
        <v>373</v>
      </c>
      <c r="T19" s="79" t="s">
        <v>814</v>
      </c>
      <c r="U19" s="79" t="s">
        <v>93</v>
      </c>
      <c r="V19" s="79" t="s">
        <v>376</v>
      </c>
      <c r="W19" s="173">
        <f t="shared" ref="W19:W21" si="2">SUM(X19:Y19)</f>
        <v>627</v>
      </c>
      <c r="X19" s="173">
        <v>627</v>
      </c>
      <c r="Y19" s="173">
        <v>0</v>
      </c>
      <c r="Z19" s="79" t="s">
        <v>2009</v>
      </c>
      <c r="AA19" s="137"/>
    </row>
    <row r="20" spans="1:27" ht="38.25" customHeight="1">
      <c r="A20" s="144">
        <v>16</v>
      </c>
      <c r="B20" s="144" t="s">
        <v>2658</v>
      </c>
      <c r="C20" s="144" t="s">
        <v>2643</v>
      </c>
      <c r="D20" s="79" t="s">
        <v>2659</v>
      </c>
      <c r="E20" s="79" t="s">
        <v>2660</v>
      </c>
      <c r="F20" s="148" t="s">
        <v>2661</v>
      </c>
      <c r="G20" s="79" t="s">
        <v>2662</v>
      </c>
      <c r="H20" s="79" t="s">
        <v>2663</v>
      </c>
      <c r="I20" s="173">
        <v>587</v>
      </c>
      <c r="J20" s="173">
        <v>0</v>
      </c>
      <c r="K20" s="173">
        <v>0</v>
      </c>
      <c r="L20" s="173">
        <v>587</v>
      </c>
      <c r="M20" s="173">
        <v>0</v>
      </c>
      <c r="N20" s="79"/>
      <c r="O20" s="79"/>
      <c r="P20" s="79" t="s">
        <v>304</v>
      </c>
      <c r="Q20" s="79"/>
      <c r="R20" s="79" t="s">
        <v>2664</v>
      </c>
      <c r="S20" s="79" t="s">
        <v>373</v>
      </c>
      <c r="T20" s="79" t="s">
        <v>2665</v>
      </c>
      <c r="U20" s="79" t="s">
        <v>3441</v>
      </c>
      <c r="V20" s="79" t="s">
        <v>376</v>
      </c>
      <c r="W20" s="173">
        <v>100</v>
      </c>
      <c r="X20" s="173">
        <v>100</v>
      </c>
      <c r="Y20" s="173">
        <v>0</v>
      </c>
      <c r="Z20" s="79" t="s">
        <v>1468</v>
      </c>
      <c r="AA20" s="137"/>
    </row>
    <row r="21" spans="1:27" ht="38.25" customHeight="1">
      <c r="A21" s="144">
        <v>17</v>
      </c>
      <c r="B21" s="144" t="s">
        <v>2555</v>
      </c>
      <c r="C21" s="144" t="s">
        <v>2637</v>
      </c>
      <c r="D21" s="79" t="s">
        <v>2666</v>
      </c>
      <c r="E21" s="79" t="s">
        <v>2667</v>
      </c>
      <c r="F21" s="148" t="s">
        <v>2668</v>
      </c>
      <c r="G21" s="79" t="s">
        <v>2669</v>
      </c>
      <c r="H21" s="79" t="s">
        <v>2670</v>
      </c>
      <c r="I21" s="173">
        <v>250</v>
      </c>
      <c r="J21" s="173">
        <v>0</v>
      </c>
      <c r="K21" s="173">
        <v>0</v>
      </c>
      <c r="L21" s="173">
        <v>250</v>
      </c>
      <c r="M21" s="173">
        <v>0</v>
      </c>
      <c r="N21" s="79"/>
      <c r="O21" s="79"/>
      <c r="P21" s="79" t="s">
        <v>304</v>
      </c>
      <c r="Q21" s="79"/>
      <c r="R21" s="79" t="s">
        <v>2671</v>
      </c>
      <c r="S21" s="79" t="s">
        <v>373</v>
      </c>
      <c r="T21" s="79" t="s">
        <v>364</v>
      </c>
      <c r="U21" s="79" t="s">
        <v>93</v>
      </c>
      <c r="V21" s="79" t="s">
        <v>1924</v>
      </c>
      <c r="W21" s="173">
        <f t="shared" si="2"/>
        <v>120</v>
      </c>
      <c r="X21" s="173">
        <v>120</v>
      </c>
      <c r="Y21" s="173">
        <v>0</v>
      </c>
      <c r="Z21" s="79" t="s">
        <v>2391</v>
      </c>
      <c r="AA21" s="137"/>
    </row>
    <row r="22" spans="1:27" ht="38.25" customHeight="1">
      <c r="A22" s="144">
        <v>18</v>
      </c>
      <c r="B22" s="144" t="s">
        <v>2555</v>
      </c>
      <c r="C22" s="144" t="s">
        <v>2672</v>
      </c>
      <c r="D22" s="79" t="s">
        <v>2673</v>
      </c>
      <c r="E22" s="185" t="s">
        <v>2674</v>
      </c>
      <c r="F22" s="170" t="s">
        <v>2675</v>
      </c>
      <c r="G22" s="145" t="s">
        <v>2676</v>
      </c>
      <c r="H22" s="145" t="s">
        <v>2677</v>
      </c>
      <c r="I22" s="173">
        <f>J22+K22+L22+M22</f>
        <v>31</v>
      </c>
      <c r="J22" s="173">
        <v>0</v>
      </c>
      <c r="K22" s="173">
        <v>0</v>
      </c>
      <c r="L22" s="173">
        <v>20</v>
      </c>
      <c r="M22" s="173">
        <v>11</v>
      </c>
      <c r="N22" s="79"/>
      <c r="O22" s="79"/>
      <c r="P22" s="79" t="s">
        <v>788</v>
      </c>
      <c r="Q22" s="79"/>
      <c r="R22" s="79" t="s">
        <v>2678</v>
      </c>
      <c r="S22" s="79" t="s">
        <v>312</v>
      </c>
      <c r="T22" s="79" t="s">
        <v>2679</v>
      </c>
      <c r="U22" s="79" t="s">
        <v>3441</v>
      </c>
      <c r="V22" s="79" t="s">
        <v>164</v>
      </c>
      <c r="W22" s="173">
        <f>SUM(X22:Y22)</f>
        <v>36</v>
      </c>
      <c r="X22" s="173">
        <v>36</v>
      </c>
      <c r="Y22" s="173">
        <v>0</v>
      </c>
      <c r="Z22" s="79" t="s">
        <v>1184</v>
      </c>
      <c r="AA22" s="137"/>
    </row>
    <row r="23" spans="1:27" ht="38.25" customHeight="1">
      <c r="A23" s="144">
        <v>19</v>
      </c>
      <c r="B23" s="144" t="s">
        <v>2555</v>
      </c>
      <c r="C23" s="144" t="s">
        <v>2672</v>
      </c>
      <c r="D23" s="79" t="s">
        <v>2680</v>
      </c>
      <c r="E23" s="79" t="s">
        <v>2681</v>
      </c>
      <c r="F23" s="170" t="s">
        <v>2682</v>
      </c>
      <c r="G23" s="145" t="s">
        <v>2683</v>
      </c>
      <c r="H23" s="145" t="s">
        <v>2684</v>
      </c>
      <c r="I23" s="173">
        <f t="shared" ref="I23:I25" si="3">J23+K23+L23+M23</f>
        <v>1520</v>
      </c>
      <c r="J23" s="173">
        <v>400</v>
      </c>
      <c r="K23" s="173">
        <v>70</v>
      </c>
      <c r="L23" s="173">
        <v>870</v>
      </c>
      <c r="M23" s="173">
        <v>180</v>
      </c>
      <c r="N23" s="79" t="s">
        <v>3414</v>
      </c>
      <c r="O23" s="79" t="s">
        <v>2685</v>
      </c>
      <c r="P23" s="79" t="s">
        <v>1176</v>
      </c>
      <c r="Q23" s="79"/>
      <c r="R23" s="79" t="s">
        <v>2686</v>
      </c>
      <c r="S23" s="79" t="s">
        <v>108</v>
      </c>
      <c r="T23" s="79" t="s">
        <v>1420</v>
      </c>
      <c r="U23" s="79" t="s">
        <v>3418</v>
      </c>
      <c r="V23" s="79" t="s">
        <v>334</v>
      </c>
      <c r="W23" s="173">
        <f t="shared" ref="W23:W25" si="4">SUM(X23:Y23)</f>
        <v>1005</v>
      </c>
      <c r="X23" s="173">
        <v>1000</v>
      </c>
      <c r="Y23" s="173">
        <v>5</v>
      </c>
      <c r="Z23" s="79" t="s">
        <v>2687</v>
      </c>
      <c r="AA23" s="137"/>
    </row>
    <row r="24" spans="1:27" ht="38.25" customHeight="1">
      <c r="A24" s="144">
        <v>20</v>
      </c>
      <c r="B24" s="144" t="s">
        <v>794</v>
      </c>
      <c r="C24" s="144" t="s">
        <v>2688</v>
      </c>
      <c r="D24" s="79" t="s">
        <v>2689</v>
      </c>
      <c r="E24" s="79" t="s">
        <v>2690</v>
      </c>
      <c r="F24" s="170" t="s">
        <v>2691</v>
      </c>
      <c r="G24" s="145" t="s">
        <v>2676</v>
      </c>
      <c r="H24" s="145" t="s">
        <v>2692</v>
      </c>
      <c r="I24" s="173">
        <f t="shared" si="3"/>
        <v>15</v>
      </c>
      <c r="J24" s="173">
        <v>0</v>
      </c>
      <c r="K24" s="173">
        <v>0</v>
      </c>
      <c r="L24" s="173">
        <v>15</v>
      </c>
      <c r="M24" s="173">
        <v>0</v>
      </c>
      <c r="N24" s="79"/>
      <c r="O24" s="79"/>
      <c r="P24" s="79" t="s">
        <v>788</v>
      </c>
      <c r="Q24" s="79"/>
      <c r="R24" s="79" t="s">
        <v>2693</v>
      </c>
      <c r="S24" s="79" t="s">
        <v>108</v>
      </c>
      <c r="T24" s="79" t="s">
        <v>2694</v>
      </c>
      <c r="U24" s="79" t="s">
        <v>3441</v>
      </c>
      <c r="V24" s="79" t="s">
        <v>323</v>
      </c>
      <c r="W24" s="173">
        <f t="shared" si="4"/>
        <v>420</v>
      </c>
      <c r="X24" s="173">
        <v>420</v>
      </c>
      <c r="Y24" s="173">
        <v>0</v>
      </c>
      <c r="Z24" s="79" t="s">
        <v>1184</v>
      </c>
      <c r="AA24" s="137"/>
    </row>
    <row r="25" spans="1:27" ht="38.25" customHeight="1">
      <c r="A25" s="144">
        <v>21</v>
      </c>
      <c r="B25" s="144" t="s">
        <v>794</v>
      </c>
      <c r="C25" s="144" t="s">
        <v>2688</v>
      </c>
      <c r="D25" s="79" t="s">
        <v>2695</v>
      </c>
      <c r="E25" s="79" t="s">
        <v>2696</v>
      </c>
      <c r="F25" s="170" t="s">
        <v>2697</v>
      </c>
      <c r="G25" s="145" t="s">
        <v>2698</v>
      </c>
      <c r="H25" s="145" t="s">
        <v>2699</v>
      </c>
      <c r="I25" s="173">
        <f t="shared" si="3"/>
        <v>180</v>
      </c>
      <c r="J25" s="173">
        <v>0</v>
      </c>
      <c r="K25" s="173">
        <v>0</v>
      </c>
      <c r="L25" s="173">
        <v>180</v>
      </c>
      <c r="M25" s="173">
        <v>0</v>
      </c>
      <c r="N25" s="79"/>
      <c r="O25" s="79"/>
      <c r="P25" s="79" t="s">
        <v>5</v>
      </c>
      <c r="Q25" s="79"/>
      <c r="R25" s="79" t="s">
        <v>2700</v>
      </c>
      <c r="S25" s="79" t="s">
        <v>108</v>
      </c>
      <c r="T25" s="79" t="s">
        <v>183</v>
      </c>
      <c r="U25" s="79" t="s">
        <v>3417</v>
      </c>
      <c r="V25" s="79" t="s">
        <v>323</v>
      </c>
      <c r="W25" s="173">
        <f t="shared" si="4"/>
        <v>70</v>
      </c>
      <c r="X25" s="173">
        <v>70</v>
      </c>
      <c r="Y25" s="173">
        <v>0</v>
      </c>
      <c r="Z25" s="79" t="s">
        <v>133</v>
      </c>
      <c r="AA25" s="137"/>
    </row>
    <row r="26" spans="1:27" ht="38.25" customHeight="1">
      <c r="A26" s="144">
        <v>22</v>
      </c>
      <c r="B26" s="144" t="s">
        <v>2555</v>
      </c>
      <c r="C26" s="144" t="s">
        <v>2701</v>
      </c>
      <c r="D26" s="79" t="s">
        <v>2702</v>
      </c>
      <c r="E26" s="79" t="s">
        <v>2703</v>
      </c>
      <c r="F26" s="148" t="s">
        <v>2704</v>
      </c>
      <c r="G26" s="79" t="s">
        <v>2705</v>
      </c>
      <c r="H26" s="79" t="s">
        <v>753</v>
      </c>
      <c r="I26" s="173">
        <f t="shared" ref="I26:I27" si="5">SUM(J26:M26)</f>
        <v>2000</v>
      </c>
      <c r="J26" s="173">
        <v>0</v>
      </c>
      <c r="K26" s="173">
        <v>30</v>
      </c>
      <c r="L26" s="173">
        <v>1970</v>
      </c>
      <c r="M26" s="173">
        <v>0</v>
      </c>
      <c r="N26" s="79"/>
      <c r="O26" s="79"/>
      <c r="P26" s="79" t="s">
        <v>5</v>
      </c>
      <c r="Q26" s="79" t="s">
        <v>2706</v>
      </c>
      <c r="R26" s="79" t="s">
        <v>2707</v>
      </c>
      <c r="S26" s="79" t="s">
        <v>108</v>
      </c>
      <c r="T26" s="79" t="s">
        <v>91</v>
      </c>
      <c r="U26" s="79" t="s">
        <v>2708</v>
      </c>
      <c r="V26" s="79" t="s">
        <v>323</v>
      </c>
      <c r="W26" s="173">
        <f>SUM(X26:Y26)</f>
        <v>41</v>
      </c>
      <c r="X26" s="173">
        <v>41</v>
      </c>
      <c r="Y26" s="173">
        <v>0</v>
      </c>
      <c r="Z26" s="79" t="s">
        <v>417</v>
      </c>
      <c r="AA26" s="137"/>
    </row>
    <row r="27" spans="1:27" ht="38.25" customHeight="1">
      <c r="A27" s="144">
        <v>23</v>
      </c>
      <c r="B27" s="144" t="s">
        <v>794</v>
      </c>
      <c r="C27" s="144" t="s">
        <v>2701</v>
      </c>
      <c r="D27" s="79" t="s">
        <v>2709</v>
      </c>
      <c r="E27" s="79" t="s">
        <v>2710</v>
      </c>
      <c r="F27" s="148" t="s">
        <v>2711</v>
      </c>
      <c r="G27" s="79" t="s">
        <v>2712</v>
      </c>
      <c r="H27" s="79" t="s">
        <v>2439</v>
      </c>
      <c r="I27" s="173">
        <f t="shared" si="5"/>
        <v>158</v>
      </c>
      <c r="J27" s="173">
        <v>0</v>
      </c>
      <c r="K27" s="173">
        <v>0</v>
      </c>
      <c r="L27" s="173">
        <v>158</v>
      </c>
      <c r="M27" s="173">
        <v>0</v>
      </c>
      <c r="N27" s="79"/>
      <c r="O27" s="79"/>
      <c r="P27" s="79" t="s">
        <v>788</v>
      </c>
      <c r="Q27" s="79"/>
      <c r="R27" s="79" t="s">
        <v>2713</v>
      </c>
      <c r="S27" s="79" t="s">
        <v>108</v>
      </c>
      <c r="T27" s="79" t="s">
        <v>251</v>
      </c>
      <c r="U27" s="79" t="s">
        <v>2503</v>
      </c>
      <c r="V27" s="79" t="s">
        <v>323</v>
      </c>
      <c r="W27" s="173">
        <v>20</v>
      </c>
      <c r="X27" s="173">
        <v>20</v>
      </c>
      <c r="Y27" s="173">
        <v>0</v>
      </c>
      <c r="Z27" s="79" t="s">
        <v>2714</v>
      </c>
      <c r="AA27" s="137"/>
    </row>
    <row r="28" spans="1:27" ht="38.25" customHeight="1">
      <c r="A28" s="144">
        <v>24</v>
      </c>
      <c r="B28" s="144" t="s">
        <v>794</v>
      </c>
      <c r="C28" s="144" t="s">
        <v>2715</v>
      </c>
      <c r="D28" s="79" t="s">
        <v>2716</v>
      </c>
      <c r="E28" s="79" t="s">
        <v>774</v>
      </c>
      <c r="F28" s="148" t="s">
        <v>2717</v>
      </c>
      <c r="G28" s="79" t="s">
        <v>2718</v>
      </c>
      <c r="H28" s="79" t="s">
        <v>351</v>
      </c>
      <c r="I28" s="173">
        <v>740</v>
      </c>
      <c r="J28" s="186">
        <v>80</v>
      </c>
      <c r="K28" s="186">
        <v>70</v>
      </c>
      <c r="L28" s="186">
        <v>590</v>
      </c>
      <c r="M28" s="173">
        <v>0</v>
      </c>
      <c r="N28" s="80" t="s">
        <v>151</v>
      </c>
      <c r="O28" s="80" t="s">
        <v>426</v>
      </c>
      <c r="P28" s="79" t="s">
        <v>87</v>
      </c>
      <c r="Q28" s="79"/>
      <c r="R28" s="79" t="s">
        <v>2719</v>
      </c>
      <c r="S28" s="79" t="s">
        <v>312</v>
      </c>
      <c r="T28" s="79" t="s">
        <v>2720</v>
      </c>
      <c r="U28" s="79" t="s">
        <v>3441</v>
      </c>
      <c r="V28" s="79" t="s">
        <v>212</v>
      </c>
      <c r="W28" s="173">
        <v>59</v>
      </c>
      <c r="X28" s="173">
        <v>59</v>
      </c>
      <c r="Y28" s="173">
        <v>0</v>
      </c>
      <c r="Z28" s="79" t="s">
        <v>1369</v>
      </c>
      <c r="AA28" s="137"/>
    </row>
    <row r="29" spans="1:27" ht="38.25" customHeight="1">
      <c r="A29" s="144">
        <v>25</v>
      </c>
      <c r="B29" s="144" t="s">
        <v>794</v>
      </c>
      <c r="C29" s="144" t="s">
        <v>2715</v>
      </c>
      <c r="D29" s="79" t="s">
        <v>2721</v>
      </c>
      <c r="E29" s="79" t="s">
        <v>2722</v>
      </c>
      <c r="F29" s="148" t="s">
        <v>2723</v>
      </c>
      <c r="G29" s="79" t="s">
        <v>2724</v>
      </c>
      <c r="H29" s="79" t="s">
        <v>582</v>
      </c>
      <c r="I29" s="173">
        <v>100</v>
      </c>
      <c r="J29" s="173">
        <v>0</v>
      </c>
      <c r="K29" s="173">
        <v>0</v>
      </c>
      <c r="L29" s="187">
        <v>70</v>
      </c>
      <c r="M29" s="187">
        <v>30</v>
      </c>
      <c r="N29" s="155"/>
      <c r="O29" s="155"/>
      <c r="P29" s="79" t="s">
        <v>87</v>
      </c>
      <c r="Q29" s="79"/>
      <c r="R29" s="144" t="s">
        <v>2725</v>
      </c>
      <c r="S29" s="79" t="s">
        <v>108</v>
      </c>
      <c r="T29" s="79" t="s">
        <v>2720</v>
      </c>
      <c r="U29" s="79" t="s">
        <v>3441</v>
      </c>
      <c r="V29" s="79" t="s">
        <v>212</v>
      </c>
      <c r="W29" s="173">
        <v>30</v>
      </c>
      <c r="X29" s="173">
        <v>30</v>
      </c>
      <c r="Y29" s="173">
        <v>0</v>
      </c>
      <c r="Z29" s="79" t="s">
        <v>306</v>
      </c>
      <c r="AA29" s="137"/>
    </row>
    <row r="30" spans="1:27" ht="38.25" customHeight="1">
      <c r="A30" s="144">
        <v>26</v>
      </c>
      <c r="B30" s="144" t="s">
        <v>794</v>
      </c>
      <c r="C30" s="144" t="s">
        <v>2715</v>
      </c>
      <c r="D30" s="79" t="s">
        <v>2726</v>
      </c>
      <c r="E30" s="79" t="s">
        <v>2727</v>
      </c>
      <c r="F30" s="188" t="s">
        <v>2728</v>
      </c>
      <c r="G30" s="79" t="s">
        <v>2729</v>
      </c>
      <c r="H30" s="79" t="s">
        <v>2730</v>
      </c>
      <c r="I30" s="173">
        <v>80</v>
      </c>
      <c r="J30" s="173">
        <v>0</v>
      </c>
      <c r="K30" s="173">
        <v>0</v>
      </c>
      <c r="L30" s="173">
        <v>50</v>
      </c>
      <c r="M30" s="173">
        <v>30</v>
      </c>
      <c r="N30" s="79"/>
      <c r="O30" s="79"/>
      <c r="P30" s="79" t="s">
        <v>1181</v>
      </c>
      <c r="Q30" s="79"/>
      <c r="R30" s="79" t="s">
        <v>2731</v>
      </c>
      <c r="S30" s="79" t="s">
        <v>108</v>
      </c>
      <c r="T30" s="79" t="s">
        <v>2720</v>
      </c>
      <c r="U30" s="79" t="s">
        <v>3441</v>
      </c>
      <c r="V30" s="79" t="s">
        <v>334</v>
      </c>
      <c r="W30" s="173" t="s">
        <v>3411</v>
      </c>
      <c r="X30" s="173" t="s">
        <v>3411</v>
      </c>
      <c r="Y30" s="173" t="s">
        <v>3411</v>
      </c>
      <c r="Z30" s="79" t="s">
        <v>2732</v>
      </c>
      <c r="AA30" s="137"/>
    </row>
    <row r="31" spans="1:27" ht="38.25" customHeight="1">
      <c r="A31" s="144">
        <v>27</v>
      </c>
      <c r="B31" s="144" t="s">
        <v>2555</v>
      </c>
      <c r="C31" s="144" t="s">
        <v>2733</v>
      </c>
      <c r="D31" s="79" t="s">
        <v>2734</v>
      </c>
      <c r="E31" s="79" t="s">
        <v>2735</v>
      </c>
      <c r="F31" s="148" t="s">
        <v>2736</v>
      </c>
      <c r="G31" s="79" t="s">
        <v>2737</v>
      </c>
      <c r="H31" s="79" t="s">
        <v>2738</v>
      </c>
      <c r="I31" s="173">
        <v>45</v>
      </c>
      <c r="J31" s="173">
        <v>0</v>
      </c>
      <c r="K31" s="173">
        <v>0</v>
      </c>
      <c r="L31" s="173">
        <v>45</v>
      </c>
      <c r="M31" s="173">
        <v>0</v>
      </c>
      <c r="N31" s="79"/>
      <c r="O31" s="79"/>
      <c r="P31" s="79" t="s">
        <v>209</v>
      </c>
      <c r="Q31" s="79"/>
      <c r="R31" s="79" t="s">
        <v>1237</v>
      </c>
      <c r="S31" s="79" t="s">
        <v>108</v>
      </c>
      <c r="T31" s="79" t="s">
        <v>183</v>
      </c>
      <c r="U31" s="79" t="s">
        <v>3441</v>
      </c>
      <c r="V31" s="79" t="s">
        <v>212</v>
      </c>
      <c r="W31" s="173">
        <v>10</v>
      </c>
      <c r="X31" s="173">
        <v>10</v>
      </c>
      <c r="Y31" s="173">
        <v>0</v>
      </c>
      <c r="Z31" s="79" t="s">
        <v>133</v>
      </c>
      <c r="AA31" s="137"/>
    </row>
    <row r="32" spans="1:27" ht="38.25" customHeight="1">
      <c r="A32" s="144">
        <v>28</v>
      </c>
      <c r="B32" s="144" t="s">
        <v>2555</v>
      </c>
      <c r="C32" s="144" t="s">
        <v>2739</v>
      </c>
      <c r="D32" s="79" t="s">
        <v>2740</v>
      </c>
      <c r="E32" s="79" t="s">
        <v>2741</v>
      </c>
      <c r="F32" s="148" t="s">
        <v>2742</v>
      </c>
      <c r="G32" s="79" t="s">
        <v>2743</v>
      </c>
      <c r="H32" s="79" t="s">
        <v>2744</v>
      </c>
      <c r="I32" s="173">
        <v>45</v>
      </c>
      <c r="J32" s="173">
        <v>0</v>
      </c>
      <c r="K32" s="173">
        <v>0</v>
      </c>
      <c r="L32" s="173">
        <v>45</v>
      </c>
      <c r="M32" s="173">
        <v>0</v>
      </c>
      <c r="N32" s="79"/>
      <c r="O32" s="79"/>
      <c r="P32" s="79" t="s">
        <v>1181</v>
      </c>
      <c r="Q32" s="79"/>
      <c r="R32" s="79" t="s">
        <v>2745</v>
      </c>
      <c r="S32" s="79" t="s">
        <v>108</v>
      </c>
      <c r="T32" s="79" t="s">
        <v>183</v>
      </c>
      <c r="U32" s="79" t="s">
        <v>3441</v>
      </c>
      <c r="V32" s="79" t="s">
        <v>212</v>
      </c>
      <c r="W32" s="173">
        <v>5</v>
      </c>
      <c r="X32" s="173">
        <v>5</v>
      </c>
      <c r="Y32" s="173">
        <v>0</v>
      </c>
      <c r="Z32" s="79" t="s">
        <v>2009</v>
      </c>
      <c r="AA32" s="137"/>
    </row>
    <row r="33" spans="1:27" ht="38.25" customHeight="1">
      <c r="A33" s="144">
        <v>29</v>
      </c>
      <c r="B33" s="144" t="s">
        <v>2555</v>
      </c>
      <c r="C33" s="144" t="s">
        <v>2739</v>
      </c>
      <c r="D33" s="79" t="s">
        <v>2746</v>
      </c>
      <c r="E33" s="79" t="s">
        <v>2747</v>
      </c>
      <c r="F33" s="148" t="s">
        <v>2748</v>
      </c>
      <c r="G33" s="79" t="s">
        <v>2749</v>
      </c>
      <c r="H33" s="79" t="s">
        <v>2750</v>
      </c>
      <c r="I33" s="173">
        <v>750</v>
      </c>
      <c r="J33" s="173">
        <v>0</v>
      </c>
      <c r="K33" s="173">
        <v>280</v>
      </c>
      <c r="L33" s="173">
        <v>470</v>
      </c>
      <c r="M33" s="173">
        <v>0</v>
      </c>
      <c r="N33" s="79"/>
      <c r="O33" s="79"/>
      <c r="P33" s="79" t="s">
        <v>87</v>
      </c>
      <c r="Q33" s="79"/>
      <c r="R33" s="79" t="s">
        <v>2751</v>
      </c>
      <c r="S33" s="79" t="s">
        <v>108</v>
      </c>
      <c r="T33" s="79" t="s">
        <v>1420</v>
      </c>
      <c r="U33" s="79" t="s">
        <v>3441</v>
      </c>
      <c r="V33" s="79" t="s">
        <v>3411</v>
      </c>
      <c r="W33" s="173">
        <v>260</v>
      </c>
      <c r="X33" s="173">
        <v>260</v>
      </c>
      <c r="Y33" s="173">
        <v>0</v>
      </c>
      <c r="Z33" s="79" t="s">
        <v>2009</v>
      </c>
      <c r="AA33" s="137"/>
    </row>
    <row r="34" spans="1:27" ht="38.25" customHeight="1">
      <c r="A34" s="144">
        <v>30</v>
      </c>
      <c r="B34" s="147" t="s">
        <v>794</v>
      </c>
      <c r="C34" s="147" t="s">
        <v>2752</v>
      </c>
      <c r="D34" s="147" t="s">
        <v>2753</v>
      </c>
      <c r="E34" s="145" t="s">
        <v>2754</v>
      </c>
      <c r="F34" s="170" t="s">
        <v>2755</v>
      </c>
      <c r="G34" s="79" t="s">
        <v>2756</v>
      </c>
      <c r="H34" s="79" t="s">
        <v>1855</v>
      </c>
      <c r="I34" s="173">
        <v>1884</v>
      </c>
      <c r="J34" s="173">
        <v>320</v>
      </c>
      <c r="K34" s="173">
        <v>90</v>
      </c>
      <c r="L34" s="173">
        <v>1474</v>
      </c>
      <c r="M34" s="173">
        <v>0</v>
      </c>
      <c r="N34" s="79" t="s">
        <v>151</v>
      </c>
      <c r="O34" s="79" t="s">
        <v>426</v>
      </c>
      <c r="P34" s="79" t="s">
        <v>788</v>
      </c>
      <c r="Q34" s="145" t="s">
        <v>2411</v>
      </c>
      <c r="R34" s="147" t="s">
        <v>2757</v>
      </c>
      <c r="S34" s="147" t="s">
        <v>108</v>
      </c>
      <c r="T34" s="145" t="s">
        <v>1434</v>
      </c>
      <c r="U34" s="145" t="s">
        <v>2708</v>
      </c>
      <c r="V34" s="79" t="s">
        <v>212</v>
      </c>
      <c r="W34" s="173">
        <v>137</v>
      </c>
      <c r="X34" s="173">
        <v>131</v>
      </c>
      <c r="Y34" s="173">
        <v>6</v>
      </c>
      <c r="Z34" s="145" t="s">
        <v>2758</v>
      </c>
      <c r="AA34" s="137"/>
    </row>
    <row r="35" spans="1:27" ht="38.25" customHeight="1">
      <c r="A35" s="144">
        <v>31</v>
      </c>
      <c r="B35" s="147" t="s">
        <v>794</v>
      </c>
      <c r="C35" s="147" t="s">
        <v>2759</v>
      </c>
      <c r="D35" s="189" t="s">
        <v>2760</v>
      </c>
      <c r="E35" s="145" t="s">
        <v>2761</v>
      </c>
      <c r="F35" s="170" t="s">
        <v>2762</v>
      </c>
      <c r="G35" s="79" t="s">
        <v>2763</v>
      </c>
      <c r="H35" s="79" t="s">
        <v>230</v>
      </c>
      <c r="I35" s="173">
        <v>282</v>
      </c>
      <c r="J35" s="173">
        <v>0</v>
      </c>
      <c r="K35" s="173">
        <v>0</v>
      </c>
      <c r="L35" s="173">
        <v>282</v>
      </c>
      <c r="M35" s="173">
        <v>0</v>
      </c>
      <c r="N35" s="79"/>
      <c r="O35" s="79"/>
      <c r="P35" s="79" t="s">
        <v>140</v>
      </c>
      <c r="Q35" s="147"/>
      <c r="R35" s="147" t="s">
        <v>2764</v>
      </c>
      <c r="S35" s="147" t="s">
        <v>108</v>
      </c>
      <c r="T35" s="147" t="s">
        <v>198</v>
      </c>
      <c r="U35" s="79" t="s">
        <v>3441</v>
      </c>
      <c r="V35" s="79" t="s">
        <v>323</v>
      </c>
      <c r="W35" s="173">
        <v>10</v>
      </c>
      <c r="X35" s="173">
        <v>10</v>
      </c>
      <c r="Y35" s="173">
        <v>0</v>
      </c>
      <c r="Z35" s="147" t="s">
        <v>2765</v>
      </c>
      <c r="AA35" s="137"/>
    </row>
    <row r="36" spans="1:27" ht="38.25" customHeight="1">
      <c r="A36" s="144">
        <v>32</v>
      </c>
      <c r="B36" s="147" t="s">
        <v>794</v>
      </c>
      <c r="C36" s="147" t="s">
        <v>2759</v>
      </c>
      <c r="D36" s="79" t="s">
        <v>2766</v>
      </c>
      <c r="E36" s="79" t="s">
        <v>2767</v>
      </c>
      <c r="F36" s="148" t="s">
        <v>2768</v>
      </c>
      <c r="G36" s="79" t="s">
        <v>2769</v>
      </c>
      <c r="H36" s="79" t="s">
        <v>129</v>
      </c>
      <c r="I36" s="173">
        <v>322</v>
      </c>
      <c r="J36" s="173">
        <v>0</v>
      </c>
      <c r="K36" s="173">
        <v>0</v>
      </c>
      <c r="L36" s="173">
        <v>322</v>
      </c>
      <c r="M36" s="173">
        <v>0</v>
      </c>
      <c r="N36" s="79"/>
      <c r="O36" s="79"/>
      <c r="P36" s="79" t="s">
        <v>87</v>
      </c>
      <c r="Q36" s="147"/>
      <c r="R36" s="147" t="s">
        <v>2537</v>
      </c>
      <c r="S36" s="147" t="s">
        <v>312</v>
      </c>
      <c r="T36" s="147" t="s">
        <v>1420</v>
      </c>
      <c r="U36" s="79" t="s">
        <v>3441</v>
      </c>
      <c r="V36" s="79" t="s">
        <v>323</v>
      </c>
      <c r="W36" s="173">
        <v>63</v>
      </c>
      <c r="X36" s="173">
        <v>63</v>
      </c>
      <c r="Y36" s="173">
        <v>0</v>
      </c>
      <c r="Z36" s="147" t="s">
        <v>2770</v>
      </c>
      <c r="AA36" s="137"/>
    </row>
    <row r="37" spans="1:27" ht="38.25" customHeight="1">
      <c r="A37" s="144">
        <v>33</v>
      </c>
      <c r="B37" s="144" t="s">
        <v>2555</v>
      </c>
      <c r="C37" s="144" t="s">
        <v>2771</v>
      </c>
      <c r="D37" s="79" t="s">
        <v>2772</v>
      </c>
      <c r="E37" s="79" t="s">
        <v>2773</v>
      </c>
      <c r="F37" s="148" t="s">
        <v>2774</v>
      </c>
      <c r="G37" s="145" t="s">
        <v>2775</v>
      </c>
      <c r="H37" s="79" t="s">
        <v>783</v>
      </c>
      <c r="I37" s="173">
        <f>SUM(J37:M37)</f>
        <v>770</v>
      </c>
      <c r="J37" s="173">
        <v>0</v>
      </c>
      <c r="K37" s="173">
        <v>70</v>
      </c>
      <c r="L37" s="173">
        <v>700</v>
      </c>
      <c r="M37" s="173">
        <v>0</v>
      </c>
      <c r="N37" s="79"/>
      <c r="O37" s="79"/>
      <c r="P37" s="79" t="s">
        <v>209</v>
      </c>
      <c r="Q37" s="79" t="s">
        <v>248</v>
      </c>
      <c r="R37" s="79" t="s">
        <v>2776</v>
      </c>
      <c r="S37" s="79" t="s">
        <v>108</v>
      </c>
      <c r="T37" s="79" t="s">
        <v>91</v>
      </c>
      <c r="U37" s="79" t="s">
        <v>3441</v>
      </c>
      <c r="V37" s="79" t="s">
        <v>164</v>
      </c>
      <c r="W37" s="173">
        <f>SUM(X37:Y37)</f>
        <v>119</v>
      </c>
      <c r="X37" s="173">
        <v>118</v>
      </c>
      <c r="Y37" s="173">
        <v>1</v>
      </c>
      <c r="Z37" s="79" t="s">
        <v>114</v>
      </c>
      <c r="AA37" s="137"/>
    </row>
    <row r="38" spans="1:27" ht="38.25" customHeight="1">
      <c r="A38" s="144">
        <v>34</v>
      </c>
      <c r="B38" s="144" t="s">
        <v>2555</v>
      </c>
      <c r="C38" s="144" t="s">
        <v>2777</v>
      </c>
      <c r="D38" s="79" t="s">
        <v>2778</v>
      </c>
      <c r="E38" s="79" t="s">
        <v>2779</v>
      </c>
      <c r="F38" s="152" t="s">
        <v>2780</v>
      </c>
      <c r="G38" s="79" t="s">
        <v>2781</v>
      </c>
      <c r="H38" s="79" t="s">
        <v>2140</v>
      </c>
      <c r="I38" s="173">
        <v>30</v>
      </c>
      <c r="J38" s="173">
        <v>0</v>
      </c>
      <c r="K38" s="173">
        <v>10</v>
      </c>
      <c r="L38" s="173">
        <v>20</v>
      </c>
      <c r="M38" s="173">
        <v>0</v>
      </c>
      <c r="N38" s="79"/>
      <c r="O38" s="79"/>
      <c r="P38" s="79" t="s">
        <v>261</v>
      </c>
      <c r="Q38" s="79"/>
      <c r="R38" s="79" t="s">
        <v>2782</v>
      </c>
      <c r="S38" s="79" t="s">
        <v>373</v>
      </c>
      <c r="T38" s="79" t="s">
        <v>183</v>
      </c>
      <c r="U38" s="79" t="s">
        <v>3441</v>
      </c>
      <c r="V38" s="79" t="s">
        <v>529</v>
      </c>
      <c r="W38" s="173">
        <v>0</v>
      </c>
      <c r="X38" s="173">
        <v>0</v>
      </c>
      <c r="Y38" s="173">
        <v>0</v>
      </c>
      <c r="Z38" s="79" t="s">
        <v>1468</v>
      </c>
      <c r="AA38" s="190" t="s">
        <v>2783</v>
      </c>
    </row>
    <row r="39" spans="1:27" ht="38.25" customHeight="1">
      <c r="A39" s="144">
        <v>35</v>
      </c>
      <c r="B39" s="144" t="s">
        <v>794</v>
      </c>
      <c r="C39" s="144" t="s">
        <v>2784</v>
      </c>
      <c r="D39" s="79" t="s">
        <v>2785</v>
      </c>
      <c r="E39" s="79" t="s">
        <v>1274</v>
      </c>
      <c r="F39" s="148" t="s">
        <v>2786</v>
      </c>
      <c r="G39" s="79" t="s">
        <v>2787</v>
      </c>
      <c r="H39" s="79" t="s">
        <v>2788</v>
      </c>
      <c r="I39" s="173">
        <v>130</v>
      </c>
      <c r="J39" s="173">
        <v>0</v>
      </c>
      <c r="K39" s="173">
        <v>0</v>
      </c>
      <c r="L39" s="173">
        <v>130</v>
      </c>
      <c r="M39" s="173">
        <v>0</v>
      </c>
      <c r="N39" s="79"/>
      <c r="O39" s="79"/>
      <c r="P39" s="79" t="s">
        <v>304</v>
      </c>
      <c r="Q39" s="79"/>
      <c r="R39" s="79" t="s">
        <v>2789</v>
      </c>
      <c r="S39" s="79" t="s">
        <v>373</v>
      </c>
      <c r="T39" s="79" t="s">
        <v>183</v>
      </c>
      <c r="U39" s="79" t="s">
        <v>3441</v>
      </c>
      <c r="V39" s="79" t="s">
        <v>529</v>
      </c>
      <c r="W39" s="173">
        <f t="shared" ref="W39:W43" si="6">SUM(X39:Y39)</f>
        <v>20</v>
      </c>
      <c r="X39" s="173">
        <v>20</v>
      </c>
      <c r="Y39" s="173">
        <v>0</v>
      </c>
      <c r="Z39" s="79" t="s">
        <v>1468</v>
      </c>
      <c r="AA39" s="137"/>
    </row>
    <row r="40" spans="1:27" ht="38.25" customHeight="1">
      <c r="A40" s="144">
        <v>36</v>
      </c>
      <c r="B40" s="144" t="s">
        <v>794</v>
      </c>
      <c r="C40" s="144" t="s">
        <v>2777</v>
      </c>
      <c r="D40" s="79" t="s">
        <v>2790</v>
      </c>
      <c r="E40" s="79" t="s">
        <v>2791</v>
      </c>
      <c r="F40" s="148" t="s">
        <v>2792</v>
      </c>
      <c r="G40" s="79" t="s">
        <v>2793</v>
      </c>
      <c r="H40" s="79" t="s">
        <v>129</v>
      </c>
      <c r="I40" s="173">
        <v>30</v>
      </c>
      <c r="J40" s="173">
        <v>0</v>
      </c>
      <c r="K40" s="173">
        <v>0</v>
      </c>
      <c r="L40" s="173">
        <v>30</v>
      </c>
      <c r="M40" s="173">
        <v>0</v>
      </c>
      <c r="N40" s="79"/>
      <c r="O40" s="79"/>
      <c r="P40" s="79" t="s">
        <v>209</v>
      </c>
      <c r="Q40" s="79"/>
      <c r="R40" s="79" t="s">
        <v>2794</v>
      </c>
      <c r="S40" s="79" t="s">
        <v>373</v>
      </c>
      <c r="T40" s="79" t="s">
        <v>183</v>
      </c>
      <c r="U40" s="79" t="s">
        <v>3441</v>
      </c>
      <c r="V40" s="79" t="s">
        <v>529</v>
      </c>
      <c r="W40" s="173">
        <f t="shared" si="6"/>
        <v>10</v>
      </c>
      <c r="X40" s="173">
        <v>10</v>
      </c>
      <c r="Y40" s="173">
        <v>0</v>
      </c>
      <c r="Z40" s="79" t="s">
        <v>1468</v>
      </c>
      <c r="AA40" s="137"/>
    </row>
    <row r="41" spans="1:27" ht="38.25" customHeight="1">
      <c r="A41" s="144">
        <v>37</v>
      </c>
      <c r="B41" s="144" t="s">
        <v>794</v>
      </c>
      <c r="C41" s="144" t="s">
        <v>2777</v>
      </c>
      <c r="D41" s="79" t="s">
        <v>2795</v>
      </c>
      <c r="E41" s="79" t="s">
        <v>2167</v>
      </c>
      <c r="F41" s="148" t="s">
        <v>2796</v>
      </c>
      <c r="G41" s="172" t="s">
        <v>7091</v>
      </c>
      <c r="H41" s="79" t="s">
        <v>138</v>
      </c>
      <c r="I41" s="173">
        <v>90</v>
      </c>
      <c r="J41" s="173">
        <v>0</v>
      </c>
      <c r="K41" s="173">
        <v>0</v>
      </c>
      <c r="L41" s="173">
        <v>90</v>
      </c>
      <c r="M41" s="173">
        <v>0</v>
      </c>
      <c r="N41" s="79"/>
      <c r="O41" s="79"/>
      <c r="P41" s="79" t="s">
        <v>247</v>
      </c>
      <c r="Q41" s="79"/>
      <c r="R41" s="79" t="s">
        <v>2797</v>
      </c>
      <c r="S41" s="79" t="s">
        <v>373</v>
      </c>
      <c r="T41" s="79" t="s">
        <v>91</v>
      </c>
      <c r="U41" s="79" t="s">
        <v>2798</v>
      </c>
      <c r="V41" s="79" t="s">
        <v>529</v>
      </c>
      <c r="W41" s="173">
        <f t="shared" si="6"/>
        <v>18</v>
      </c>
      <c r="X41" s="173">
        <v>18</v>
      </c>
      <c r="Y41" s="173">
        <v>0</v>
      </c>
      <c r="Z41" s="79" t="s">
        <v>2799</v>
      </c>
      <c r="AA41" s="137"/>
    </row>
    <row r="42" spans="1:27" ht="38.25" customHeight="1">
      <c r="A42" s="144">
        <v>38</v>
      </c>
      <c r="B42" s="144" t="s">
        <v>794</v>
      </c>
      <c r="C42" s="144" t="s">
        <v>2777</v>
      </c>
      <c r="D42" s="79" t="s">
        <v>2800</v>
      </c>
      <c r="E42" s="79" t="s">
        <v>1639</v>
      </c>
      <c r="F42" s="148" t="s">
        <v>2801</v>
      </c>
      <c r="G42" s="79" t="s">
        <v>2802</v>
      </c>
      <c r="H42" s="79" t="s">
        <v>2803</v>
      </c>
      <c r="I42" s="173">
        <v>130</v>
      </c>
      <c r="J42" s="173">
        <v>0</v>
      </c>
      <c r="K42" s="173">
        <v>0</v>
      </c>
      <c r="L42" s="173">
        <v>130</v>
      </c>
      <c r="M42" s="173">
        <v>0</v>
      </c>
      <c r="N42" s="79"/>
      <c r="O42" s="79"/>
      <c r="P42" s="79" t="s">
        <v>304</v>
      </c>
      <c r="Q42" s="79"/>
      <c r="R42" s="79" t="s">
        <v>2804</v>
      </c>
      <c r="S42" s="79" t="s">
        <v>373</v>
      </c>
      <c r="T42" s="79" t="s">
        <v>501</v>
      </c>
      <c r="U42" s="79" t="s">
        <v>2805</v>
      </c>
      <c r="V42" s="79" t="s">
        <v>529</v>
      </c>
      <c r="W42" s="173">
        <f t="shared" si="6"/>
        <v>20</v>
      </c>
      <c r="X42" s="173">
        <v>20</v>
      </c>
      <c r="Y42" s="173">
        <v>0</v>
      </c>
      <c r="Z42" s="79" t="s">
        <v>1468</v>
      </c>
      <c r="AA42" s="137"/>
    </row>
    <row r="43" spans="1:27" s="3" customFormat="1" ht="38.25" customHeight="1">
      <c r="A43" s="144">
        <v>39</v>
      </c>
      <c r="B43" s="144" t="s">
        <v>2555</v>
      </c>
      <c r="C43" s="80" t="s">
        <v>2777</v>
      </c>
      <c r="D43" s="144" t="s">
        <v>2806</v>
      </c>
      <c r="E43" s="79" t="s">
        <v>2807</v>
      </c>
      <c r="F43" s="148" t="s">
        <v>2808</v>
      </c>
      <c r="G43" s="79" t="s">
        <v>2809</v>
      </c>
      <c r="H43" s="79" t="s">
        <v>129</v>
      </c>
      <c r="I43" s="173">
        <v>850</v>
      </c>
      <c r="J43" s="173">
        <v>230</v>
      </c>
      <c r="K43" s="173">
        <v>180</v>
      </c>
      <c r="L43" s="173">
        <v>440</v>
      </c>
      <c r="M43" s="173">
        <v>0</v>
      </c>
      <c r="N43" s="79" t="s">
        <v>510</v>
      </c>
      <c r="O43" s="79" t="s">
        <v>426</v>
      </c>
      <c r="P43" s="79" t="s">
        <v>209</v>
      </c>
      <c r="Q43" s="79" t="s">
        <v>1937</v>
      </c>
      <c r="R43" s="79" t="s">
        <v>2810</v>
      </c>
      <c r="S43" s="79" t="s">
        <v>373</v>
      </c>
      <c r="T43" s="79" t="s">
        <v>374</v>
      </c>
      <c r="U43" s="79" t="s">
        <v>3441</v>
      </c>
      <c r="V43" s="79" t="s">
        <v>376</v>
      </c>
      <c r="W43" s="173">
        <f t="shared" si="6"/>
        <v>327</v>
      </c>
      <c r="X43" s="173">
        <v>302</v>
      </c>
      <c r="Y43" s="173">
        <v>25</v>
      </c>
      <c r="Z43" s="79" t="s">
        <v>1468</v>
      </c>
      <c r="AA43" s="183"/>
    </row>
    <row r="44" spans="1:27" s="3" customFormat="1" ht="38.25" customHeight="1">
      <c r="A44" s="144">
        <v>40</v>
      </c>
      <c r="B44" s="144" t="s">
        <v>2555</v>
      </c>
      <c r="C44" s="144" t="s">
        <v>2811</v>
      </c>
      <c r="D44" s="79" t="s">
        <v>2812</v>
      </c>
      <c r="E44" s="79" t="s">
        <v>204</v>
      </c>
      <c r="F44" s="148" t="s">
        <v>2813</v>
      </c>
      <c r="G44" s="79" t="s">
        <v>2814</v>
      </c>
      <c r="H44" s="79" t="s">
        <v>2815</v>
      </c>
      <c r="I44" s="173">
        <v>850</v>
      </c>
      <c r="J44" s="173">
        <v>80</v>
      </c>
      <c r="K44" s="173">
        <v>70</v>
      </c>
      <c r="L44" s="173">
        <v>700</v>
      </c>
      <c r="M44" s="173">
        <v>0</v>
      </c>
      <c r="N44" s="79" t="s">
        <v>151</v>
      </c>
      <c r="O44" s="79" t="s">
        <v>426</v>
      </c>
      <c r="P44" s="79" t="s">
        <v>209</v>
      </c>
      <c r="Q44" s="79" t="s">
        <v>1937</v>
      </c>
      <c r="R44" s="79" t="s">
        <v>2816</v>
      </c>
      <c r="S44" s="79" t="s">
        <v>312</v>
      </c>
      <c r="T44" s="79" t="s">
        <v>183</v>
      </c>
      <c r="U44" s="79" t="s">
        <v>3441</v>
      </c>
      <c r="V44" s="79" t="s">
        <v>212</v>
      </c>
      <c r="W44" s="173">
        <f>SUM(X44:Y44)</f>
        <v>148</v>
      </c>
      <c r="X44" s="173">
        <v>143</v>
      </c>
      <c r="Y44" s="173">
        <v>5</v>
      </c>
      <c r="Z44" s="79" t="s">
        <v>2817</v>
      </c>
      <c r="AA44" s="183"/>
    </row>
    <row r="45" spans="1:27" s="3" customFormat="1" ht="38.25" customHeight="1">
      <c r="A45" s="144">
        <v>41</v>
      </c>
      <c r="B45" s="144" t="s">
        <v>794</v>
      </c>
      <c r="C45" s="144" t="s">
        <v>2811</v>
      </c>
      <c r="D45" s="79" t="s">
        <v>2818</v>
      </c>
      <c r="E45" s="79" t="s">
        <v>1165</v>
      </c>
      <c r="F45" s="148" t="s">
        <v>2819</v>
      </c>
      <c r="G45" s="79" t="s">
        <v>2820</v>
      </c>
      <c r="H45" s="79" t="s">
        <v>2821</v>
      </c>
      <c r="I45" s="173">
        <f t="shared" ref="I45" si="7">SUM(J45:M45)</f>
        <v>25</v>
      </c>
      <c r="J45" s="173">
        <v>0</v>
      </c>
      <c r="K45" s="173">
        <v>0</v>
      </c>
      <c r="L45" s="173">
        <v>20</v>
      </c>
      <c r="M45" s="173">
        <v>5</v>
      </c>
      <c r="N45" s="79"/>
      <c r="O45" s="79"/>
      <c r="P45" s="79" t="s">
        <v>1182</v>
      </c>
      <c r="Q45" s="79"/>
      <c r="R45" s="79" t="s">
        <v>628</v>
      </c>
      <c r="S45" s="191" t="s">
        <v>108</v>
      </c>
      <c r="T45" s="79" t="s">
        <v>183</v>
      </c>
      <c r="U45" s="79" t="s">
        <v>3441</v>
      </c>
      <c r="V45" s="79" t="s">
        <v>212</v>
      </c>
      <c r="W45" s="173">
        <f t="shared" ref="W45:W51" si="8">SUM(X45:Y45)</f>
        <v>3</v>
      </c>
      <c r="X45" s="173">
        <v>3</v>
      </c>
      <c r="Y45" s="192">
        <v>0</v>
      </c>
      <c r="Z45" s="79" t="s">
        <v>2822</v>
      </c>
      <c r="AA45" s="183"/>
    </row>
    <row r="46" spans="1:27" s="3" customFormat="1" ht="38.25" customHeight="1">
      <c r="A46" s="144">
        <v>42</v>
      </c>
      <c r="B46" s="144" t="s">
        <v>2555</v>
      </c>
      <c r="C46" s="144" t="s">
        <v>2823</v>
      </c>
      <c r="D46" s="79" t="s">
        <v>2824</v>
      </c>
      <c r="E46" s="79" t="s">
        <v>2825</v>
      </c>
      <c r="F46" s="148" t="s">
        <v>2826</v>
      </c>
      <c r="G46" s="79" t="s">
        <v>2827</v>
      </c>
      <c r="H46" s="79" t="s">
        <v>2828</v>
      </c>
      <c r="I46" s="173">
        <f>SUM(J46:M46)</f>
        <v>111</v>
      </c>
      <c r="J46" s="173">
        <v>0</v>
      </c>
      <c r="K46" s="173">
        <v>0</v>
      </c>
      <c r="L46" s="173">
        <v>71</v>
      </c>
      <c r="M46" s="173">
        <v>40</v>
      </c>
      <c r="N46" s="79"/>
      <c r="O46" s="79"/>
      <c r="P46" s="79" t="s">
        <v>261</v>
      </c>
      <c r="Q46" s="79"/>
      <c r="R46" s="79" t="s">
        <v>2829</v>
      </c>
      <c r="S46" s="79" t="s">
        <v>373</v>
      </c>
      <c r="T46" s="79" t="s">
        <v>374</v>
      </c>
      <c r="U46" s="79" t="s">
        <v>3441</v>
      </c>
      <c r="V46" s="79" t="s">
        <v>376</v>
      </c>
      <c r="W46" s="173">
        <f t="shared" si="8"/>
        <v>495</v>
      </c>
      <c r="X46" s="173">
        <v>495</v>
      </c>
      <c r="Y46" s="173">
        <v>0</v>
      </c>
      <c r="Z46" s="79" t="s">
        <v>2830</v>
      </c>
      <c r="AA46" s="183"/>
    </row>
    <row r="47" spans="1:27" s="3" customFormat="1" ht="38.25" customHeight="1">
      <c r="A47" s="144">
        <v>43</v>
      </c>
      <c r="B47" s="144" t="s">
        <v>2555</v>
      </c>
      <c r="C47" s="144" t="s">
        <v>2823</v>
      </c>
      <c r="D47" s="79" t="s">
        <v>2831</v>
      </c>
      <c r="E47" s="79" t="s">
        <v>2832</v>
      </c>
      <c r="F47" s="148" t="s">
        <v>2833</v>
      </c>
      <c r="G47" s="79" t="s">
        <v>2834</v>
      </c>
      <c r="H47" s="79" t="s">
        <v>1035</v>
      </c>
      <c r="I47" s="173">
        <f t="shared" ref="I47:I51" si="9">SUM(J47:M47)</f>
        <v>290</v>
      </c>
      <c r="J47" s="173">
        <v>0</v>
      </c>
      <c r="K47" s="173">
        <v>0</v>
      </c>
      <c r="L47" s="173">
        <v>250</v>
      </c>
      <c r="M47" s="173">
        <v>40</v>
      </c>
      <c r="N47" s="79"/>
      <c r="O47" s="79"/>
      <c r="P47" s="79" t="s">
        <v>209</v>
      </c>
      <c r="Q47" s="79"/>
      <c r="R47" s="79" t="s">
        <v>2835</v>
      </c>
      <c r="S47" s="79" t="s">
        <v>373</v>
      </c>
      <c r="T47" s="79" t="s">
        <v>374</v>
      </c>
      <c r="U47" s="79" t="s">
        <v>3441</v>
      </c>
      <c r="V47" s="79" t="s">
        <v>2836</v>
      </c>
      <c r="W47" s="173">
        <f t="shared" si="8"/>
        <v>135</v>
      </c>
      <c r="X47" s="173">
        <v>135</v>
      </c>
      <c r="Y47" s="173">
        <v>0</v>
      </c>
      <c r="Z47" s="79" t="s">
        <v>2837</v>
      </c>
      <c r="AA47" s="183"/>
    </row>
    <row r="48" spans="1:27" s="3" customFormat="1" ht="38.25" customHeight="1">
      <c r="A48" s="144">
        <v>44</v>
      </c>
      <c r="B48" s="144" t="s">
        <v>2555</v>
      </c>
      <c r="C48" s="144" t="s">
        <v>2823</v>
      </c>
      <c r="D48" s="79" t="s">
        <v>2838</v>
      </c>
      <c r="E48" s="79" t="s">
        <v>2839</v>
      </c>
      <c r="F48" s="148" t="s">
        <v>2840</v>
      </c>
      <c r="G48" s="79" t="s">
        <v>2841</v>
      </c>
      <c r="H48" s="79" t="s">
        <v>2842</v>
      </c>
      <c r="I48" s="173">
        <f t="shared" si="9"/>
        <v>160</v>
      </c>
      <c r="J48" s="173">
        <v>0</v>
      </c>
      <c r="K48" s="173">
        <v>0</v>
      </c>
      <c r="L48" s="173">
        <v>150</v>
      </c>
      <c r="M48" s="173">
        <v>10</v>
      </c>
      <c r="N48" s="79"/>
      <c r="O48" s="79"/>
      <c r="P48" s="79" t="s">
        <v>261</v>
      </c>
      <c r="Q48" s="79"/>
      <c r="R48" s="79" t="s">
        <v>2843</v>
      </c>
      <c r="S48" s="79" t="s">
        <v>373</v>
      </c>
      <c r="T48" s="79" t="s">
        <v>374</v>
      </c>
      <c r="U48" s="79" t="s">
        <v>3441</v>
      </c>
      <c r="V48" s="79" t="s">
        <v>1924</v>
      </c>
      <c r="W48" s="173">
        <f t="shared" si="8"/>
        <v>61</v>
      </c>
      <c r="X48" s="173">
        <v>61</v>
      </c>
      <c r="Y48" s="173">
        <v>0</v>
      </c>
      <c r="Z48" s="79" t="s">
        <v>2844</v>
      </c>
      <c r="AA48" s="183"/>
    </row>
    <row r="49" spans="1:27" s="3" customFormat="1" ht="38.25" customHeight="1">
      <c r="A49" s="144">
        <v>45</v>
      </c>
      <c r="B49" s="144" t="s">
        <v>2555</v>
      </c>
      <c r="C49" s="144" t="s">
        <v>2823</v>
      </c>
      <c r="D49" s="79" t="s">
        <v>2845</v>
      </c>
      <c r="E49" s="79" t="s">
        <v>2167</v>
      </c>
      <c r="F49" s="148" t="s">
        <v>2846</v>
      </c>
      <c r="G49" s="172" t="s">
        <v>7092</v>
      </c>
      <c r="H49" s="79" t="s">
        <v>2847</v>
      </c>
      <c r="I49" s="173">
        <f t="shared" si="9"/>
        <v>85</v>
      </c>
      <c r="J49" s="173">
        <v>0</v>
      </c>
      <c r="K49" s="173">
        <v>0</v>
      </c>
      <c r="L49" s="173">
        <v>50</v>
      </c>
      <c r="M49" s="173">
        <v>35</v>
      </c>
      <c r="N49" s="79"/>
      <c r="O49" s="79"/>
      <c r="P49" s="79" t="s">
        <v>209</v>
      </c>
      <c r="Q49" s="79"/>
      <c r="R49" s="79" t="s">
        <v>2848</v>
      </c>
      <c r="S49" s="79" t="s">
        <v>373</v>
      </c>
      <c r="T49" s="79" t="s">
        <v>374</v>
      </c>
      <c r="U49" s="79" t="s">
        <v>3441</v>
      </c>
      <c r="V49" s="79" t="s">
        <v>2849</v>
      </c>
      <c r="W49" s="173">
        <f t="shared" si="8"/>
        <v>32</v>
      </c>
      <c r="X49" s="173">
        <v>32</v>
      </c>
      <c r="Y49" s="173">
        <v>0</v>
      </c>
      <c r="Z49" s="79" t="s">
        <v>2850</v>
      </c>
      <c r="AA49" s="183"/>
    </row>
    <row r="50" spans="1:27" s="3" customFormat="1" ht="38.25" customHeight="1">
      <c r="A50" s="144">
        <v>46</v>
      </c>
      <c r="B50" s="144" t="s">
        <v>2555</v>
      </c>
      <c r="C50" s="144" t="s">
        <v>2823</v>
      </c>
      <c r="D50" s="79" t="s">
        <v>2851</v>
      </c>
      <c r="E50" s="79" t="s">
        <v>2852</v>
      </c>
      <c r="F50" s="148" t="s">
        <v>2853</v>
      </c>
      <c r="G50" s="79" t="s">
        <v>2854</v>
      </c>
      <c r="H50" s="79" t="s">
        <v>2855</v>
      </c>
      <c r="I50" s="173">
        <f t="shared" si="9"/>
        <v>800</v>
      </c>
      <c r="J50" s="173">
        <v>80</v>
      </c>
      <c r="K50" s="173">
        <v>70</v>
      </c>
      <c r="L50" s="173">
        <v>600</v>
      </c>
      <c r="M50" s="173">
        <v>50</v>
      </c>
      <c r="N50" s="79" t="s">
        <v>1377</v>
      </c>
      <c r="O50" s="79" t="s">
        <v>426</v>
      </c>
      <c r="P50" s="79" t="s">
        <v>304</v>
      </c>
      <c r="Q50" s="79" t="s">
        <v>1937</v>
      </c>
      <c r="R50" s="79" t="s">
        <v>2856</v>
      </c>
      <c r="S50" s="79" t="s">
        <v>373</v>
      </c>
      <c r="T50" s="79" t="s">
        <v>501</v>
      </c>
      <c r="U50" s="79" t="s">
        <v>2857</v>
      </c>
      <c r="V50" s="79" t="s">
        <v>529</v>
      </c>
      <c r="W50" s="173">
        <f t="shared" si="8"/>
        <v>160</v>
      </c>
      <c r="X50" s="173">
        <v>157</v>
      </c>
      <c r="Y50" s="173">
        <v>3</v>
      </c>
      <c r="Z50" s="79" t="s">
        <v>2858</v>
      </c>
      <c r="AA50" s="183"/>
    </row>
    <row r="51" spans="1:27" s="3" customFormat="1" ht="38.25" customHeight="1">
      <c r="A51" s="144">
        <v>47</v>
      </c>
      <c r="B51" s="144" t="s">
        <v>2555</v>
      </c>
      <c r="C51" s="144" t="s">
        <v>2823</v>
      </c>
      <c r="D51" s="79" t="s">
        <v>2859</v>
      </c>
      <c r="E51" s="79" t="s">
        <v>2860</v>
      </c>
      <c r="F51" s="148" t="s">
        <v>2861</v>
      </c>
      <c r="G51" s="79" t="s">
        <v>2862</v>
      </c>
      <c r="H51" s="79" t="s">
        <v>2863</v>
      </c>
      <c r="I51" s="173">
        <f t="shared" si="9"/>
        <v>610</v>
      </c>
      <c r="J51" s="173">
        <v>0</v>
      </c>
      <c r="K51" s="173">
        <v>0</v>
      </c>
      <c r="L51" s="173">
        <v>550</v>
      </c>
      <c r="M51" s="173">
        <v>60</v>
      </c>
      <c r="N51" s="79"/>
      <c r="O51" s="79"/>
      <c r="P51" s="79" t="s">
        <v>261</v>
      </c>
      <c r="Q51" s="79"/>
      <c r="R51" s="79" t="s">
        <v>2864</v>
      </c>
      <c r="S51" s="79" t="s">
        <v>373</v>
      </c>
      <c r="T51" s="79" t="s">
        <v>374</v>
      </c>
      <c r="U51" s="79" t="s">
        <v>3441</v>
      </c>
      <c r="V51" s="79" t="s">
        <v>2836</v>
      </c>
      <c r="W51" s="173">
        <f t="shared" si="8"/>
        <v>217</v>
      </c>
      <c r="X51" s="173">
        <v>217</v>
      </c>
      <c r="Y51" s="173">
        <v>0</v>
      </c>
      <c r="Z51" s="79" t="s">
        <v>2865</v>
      </c>
      <c r="AA51" s="183"/>
    </row>
    <row r="52" spans="1:27" s="3" customFormat="1" ht="38.25" customHeight="1">
      <c r="A52" s="144">
        <v>48</v>
      </c>
      <c r="B52" s="144" t="s">
        <v>2555</v>
      </c>
      <c r="C52" s="144" t="s">
        <v>2866</v>
      </c>
      <c r="D52" s="79" t="s">
        <v>2867</v>
      </c>
      <c r="E52" s="79" t="s">
        <v>2868</v>
      </c>
      <c r="F52" s="148" t="s">
        <v>2869</v>
      </c>
      <c r="G52" s="79" t="s">
        <v>2870</v>
      </c>
      <c r="H52" s="79" t="s">
        <v>1649</v>
      </c>
      <c r="I52" s="173">
        <v>890</v>
      </c>
      <c r="J52" s="173">
        <v>120</v>
      </c>
      <c r="K52" s="173">
        <v>70</v>
      </c>
      <c r="L52" s="173">
        <v>700</v>
      </c>
      <c r="M52" s="173">
        <v>0</v>
      </c>
      <c r="N52" s="79" t="s">
        <v>3414</v>
      </c>
      <c r="O52" s="79" t="s">
        <v>2871</v>
      </c>
      <c r="P52" s="79" t="s">
        <v>247</v>
      </c>
      <c r="Q52" s="145" t="s">
        <v>2872</v>
      </c>
      <c r="R52" s="79" t="s">
        <v>2873</v>
      </c>
      <c r="S52" s="79" t="s">
        <v>108</v>
      </c>
      <c r="T52" s="147" t="s">
        <v>183</v>
      </c>
      <c r="U52" s="147" t="s">
        <v>3415</v>
      </c>
      <c r="V52" s="79" t="s">
        <v>323</v>
      </c>
      <c r="W52" s="173">
        <v>144.69999999999999</v>
      </c>
      <c r="X52" s="173">
        <v>143</v>
      </c>
      <c r="Y52" s="173">
        <v>1.7</v>
      </c>
      <c r="Z52" s="79" t="s">
        <v>2874</v>
      </c>
      <c r="AA52" s="183"/>
    </row>
    <row r="53" spans="1:27" s="3" customFormat="1" ht="38.25" customHeight="1">
      <c r="A53" s="144">
        <v>49</v>
      </c>
      <c r="B53" s="144" t="s">
        <v>2555</v>
      </c>
      <c r="C53" s="144" t="s">
        <v>2866</v>
      </c>
      <c r="D53" s="79" t="s">
        <v>2875</v>
      </c>
      <c r="E53" s="79" t="s">
        <v>2292</v>
      </c>
      <c r="F53" s="148" t="s">
        <v>2876</v>
      </c>
      <c r="G53" s="79" t="s">
        <v>2877</v>
      </c>
      <c r="H53" s="79" t="s">
        <v>2878</v>
      </c>
      <c r="I53" s="173">
        <v>90</v>
      </c>
      <c r="J53" s="173">
        <v>0</v>
      </c>
      <c r="K53" s="173">
        <v>0</v>
      </c>
      <c r="L53" s="173">
        <v>90</v>
      </c>
      <c r="M53" s="173">
        <v>0</v>
      </c>
      <c r="N53" s="193"/>
      <c r="O53" s="79"/>
      <c r="P53" s="79" t="s">
        <v>209</v>
      </c>
      <c r="Q53" s="79"/>
      <c r="R53" s="79" t="s">
        <v>2879</v>
      </c>
      <c r="S53" s="79" t="s">
        <v>373</v>
      </c>
      <c r="T53" s="147" t="s">
        <v>183</v>
      </c>
      <c r="U53" s="147" t="s">
        <v>3358</v>
      </c>
      <c r="V53" s="79" t="s">
        <v>376</v>
      </c>
      <c r="W53" s="173">
        <v>55</v>
      </c>
      <c r="X53" s="173">
        <v>54</v>
      </c>
      <c r="Y53" s="173">
        <v>0.5</v>
      </c>
      <c r="Z53" s="79" t="s">
        <v>2880</v>
      </c>
      <c r="AA53" s="183"/>
    </row>
    <row r="54" spans="1:27" s="3" customFormat="1" ht="38.25" customHeight="1">
      <c r="A54" s="144">
        <v>50</v>
      </c>
      <c r="B54" s="144" t="s">
        <v>2555</v>
      </c>
      <c r="C54" s="144" t="s">
        <v>2866</v>
      </c>
      <c r="D54" s="191" t="s">
        <v>2881</v>
      </c>
      <c r="E54" s="79" t="s">
        <v>2882</v>
      </c>
      <c r="F54" s="194" t="s">
        <v>2883</v>
      </c>
      <c r="G54" s="191" t="s">
        <v>2884</v>
      </c>
      <c r="H54" s="191" t="s">
        <v>2885</v>
      </c>
      <c r="I54" s="195">
        <v>20</v>
      </c>
      <c r="J54" s="173">
        <v>0</v>
      </c>
      <c r="K54" s="173">
        <v>0</v>
      </c>
      <c r="L54" s="195">
        <v>20</v>
      </c>
      <c r="M54" s="173">
        <v>0</v>
      </c>
      <c r="N54" s="191"/>
      <c r="O54" s="191"/>
      <c r="P54" s="79" t="s">
        <v>209</v>
      </c>
      <c r="Q54" s="79"/>
      <c r="R54" s="191" t="s">
        <v>2886</v>
      </c>
      <c r="S54" s="191" t="s">
        <v>373</v>
      </c>
      <c r="T54" s="147" t="s">
        <v>630</v>
      </c>
      <c r="U54" s="147" t="s">
        <v>3411</v>
      </c>
      <c r="V54" s="191" t="s">
        <v>1924</v>
      </c>
      <c r="W54" s="195">
        <v>10.5</v>
      </c>
      <c r="X54" s="195">
        <v>9.5</v>
      </c>
      <c r="Y54" s="173">
        <v>0.5</v>
      </c>
      <c r="Z54" s="191" t="s">
        <v>2887</v>
      </c>
      <c r="AA54" s="183"/>
    </row>
    <row r="55" spans="1:27" s="3" customFormat="1" ht="38.25" customHeight="1">
      <c r="A55" s="144">
        <v>51</v>
      </c>
      <c r="B55" s="144" t="s">
        <v>2555</v>
      </c>
      <c r="C55" s="144" t="s">
        <v>2866</v>
      </c>
      <c r="D55" s="79" t="s">
        <v>2888</v>
      </c>
      <c r="E55" s="79" t="s">
        <v>2889</v>
      </c>
      <c r="F55" s="148" t="s">
        <v>2890</v>
      </c>
      <c r="G55" s="79" t="s">
        <v>2891</v>
      </c>
      <c r="H55" s="79" t="s">
        <v>820</v>
      </c>
      <c r="I55" s="173">
        <v>18</v>
      </c>
      <c r="J55" s="173">
        <v>0</v>
      </c>
      <c r="K55" s="173">
        <v>0</v>
      </c>
      <c r="L55" s="173">
        <v>15</v>
      </c>
      <c r="M55" s="173">
        <v>3</v>
      </c>
      <c r="N55" s="191"/>
      <c r="O55" s="79"/>
      <c r="P55" s="79" t="s">
        <v>261</v>
      </c>
      <c r="Q55" s="79"/>
      <c r="R55" s="79" t="s">
        <v>628</v>
      </c>
      <c r="S55" s="79" t="s">
        <v>108</v>
      </c>
      <c r="T55" s="147" t="s">
        <v>183</v>
      </c>
      <c r="U55" s="147" t="s">
        <v>3416</v>
      </c>
      <c r="V55" s="79" t="s">
        <v>376</v>
      </c>
      <c r="W55" s="173">
        <v>20.5</v>
      </c>
      <c r="X55" s="173">
        <v>20</v>
      </c>
      <c r="Y55" s="173">
        <v>0.5</v>
      </c>
      <c r="Z55" s="79" t="s">
        <v>2892</v>
      </c>
      <c r="AA55" s="183"/>
    </row>
  </sheetData>
  <autoFilter ref="A4:Y55"/>
  <mergeCells count="5">
    <mergeCell ref="A1:Y2"/>
    <mergeCell ref="I3:M3"/>
    <mergeCell ref="N3:O3"/>
    <mergeCell ref="W3:Y3"/>
    <mergeCell ref="A3:E3"/>
  </mergeCells>
  <phoneticPr fontId="5" type="noConversion"/>
  <dataValidations count="11">
    <dataValidation type="list" allowBlank="1" showInputMessage="1" showErrorMessage="1" sqref="Q6 B5:B16 P46:P55 B31:B33 P31:P37 B44 B18:B26 P44 P5:P27 N54:N55 B46:B55 B37:B42">
      <formula1>#REF!</formula1>
    </dataValidation>
    <dataValidation type="list" allowBlank="1" showInputMessage="1" showErrorMessage="1" sqref="B34:B35 B45">
      <formula1>$B$54:$B$55</formula1>
    </dataValidation>
    <dataValidation type="list" allowBlank="1" showInputMessage="1" showErrorMessage="1" sqref="B27 B36">
      <formula1>$B$52:$B$55</formula1>
    </dataValidation>
    <dataValidation type="list" allowBlank="1" showInputMessage="1" showErrorMessage="1" sqref="O45">
      <formula1>$O$54:$O$55</formula1>
    </dataValidation>
    <dataValidation type="list" allowBlank="1" showInputMessage="1" showErrorMessage="1" sqref="P38:P43">
      <formula1>$P$7:$P$11</formula1>
    </dataValidation>
    <dataValidation type="list" allowBlank="1" showInputMessage="1" showErrorMessage="1" sqref="B43">
      <formula1>#REF!</formula1>
    </dataValidation>
    <dataValidation type="list" allowBlank="1" showInputMessage="1" showErrorMessage="1" sqref="P28:P30">
      <formula1>$P$7:$P$12</formula1>
    </dataValidation>
    <dataValidation type="list" allowBlank="1" showInputMessage="1" showErrorMessage="1" sqref="B28:B30">
      <formula1>$B$7:$B$23</formula1>
    </dataValidation>
    <dataValidation type="list" allowBlank="1" showInputMessage="1" showErrorMessage="1" sqref="O27">
      <formula1>$N$52:$N$53</formula1>
    </dataValidation>
    <dataValidation showDropDown="1" showInputMessage="1" showErrorMessage="1" sqref="Q5 Q7:Q25 Q27:Q30 Q53:Q55 Q45:Q49 Q51 Q38:Q42"/>
    <dataValidation type="list" allowBlank="1" showInputMessage="1" showErrorMessage="1" sqref="B17">
      <formula1>$B$11:$B$27</formula1>
    </dataValidation>
  </dataValidations>
  <pageMargins left="0.19685039370078741" right="0.19685039370078741" top="0.35433070866141736" bottom="0.19685039370078741" header="0.19685039370078741" footer="0.19685039370078741"/>
  <pageSetup paperSize="9" scale="44" orientation="landscape" r:id="rId1"/>
  <headerFooter alignWithMargins="0"/>
  <rowBreaks count="3" manualBreakCount="3">
    <brk id="16" max="20" man="1"/>
    <brk id="29" max="20" man="1"/>
    <brk id="42" max="1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12"/>
  <sheetViews>
    <sheetView zoomScale="90" zoomScaleNormal="90" zoomScaleSheetLayoutView="90" workbookViewId="0">
      <pane xSplit="5" ySplit="2" topLeftCell="F29" activePane="bottomRight" state="frozen"/>
      <selection pane="topRight" activeCell="F1" sqref="F1"/>
      <selection pane="bottomLeft" activeCell="A3" sqref="A3"/>
      <selection pane="bottomRight" activeCell="G3" sqref="G1:G1048576"/>
    </sheetView>
  </sheetViews>
  <sheetFormatPr defaultRowHeight="13.5"/>
  <cols>
    <col min="1" max="1" width="5.109375" style="6" customWidth="1"/>
    <col min="2" max="2" width="12.33203125" style="6" customWidth="1"/>
    <col min="3" max="3" width="9.109375" style="6" customWidth="1"/>
    <col min="4" max="4" width="17.6640625" style="1" customWidth="1"/>
    <col min="5" max="5" width="12.109375" style="1" customWidth="1"/>
    <col min="6" max="6" width="42" style="1" customWidth="1"/>
    <col min="7" max="7" width="25.109375" style="1" customWidth="1"/>
    <col min="8" max="8" width="12.21875" style="1" customWidth="1"/>
    <col min="9" max="9" width="14.21875" style="1" customWidth="1"/>
    <col min="10" max="13" width="7.6640625" style="1" customWidth="1"/>
    <col min="14" max="14" width="10.21875" style="15" customWidth="1"/>
    <col min="15" max="15" width="30.21875" style="15" customWidth="1"/>
    <col min="16" max="16" width="12.77734375" style="1" customWidth="1"/>
    <col min="17" max="17" width="12.77734375" style="16" customWidth="1"/>
    <col min="18" max="18" width="12.77734375" style="1" customWidth="1"/>
    <col min="19" max="19" width="12.21875" style="1" customWidth="1"/>
    <col min="20" max="20" width="13.33203125" style="1" customWidth="1"/>
    <col min="21" max="21" width="12.77734375" style="1" customWidth="1"/>
    <col min="22" max="22" width="12.21875" style="1" customWidth="1"/>
    <col min="23" max="23" width="12.21875" style="30" customWidth="1"/>
    <col min="24" max="25" width="12.21875" style="280" customWidth="1"/>
    <col min="26" max="26" width="12.21875" style="1" customWidth="1"/>
    <col min="27" max="27" width="21.33203125" style="1" customWidth="1"/>
    <col min="28" max="16384" width="8.88671875" style="1"/>
  </cols>
  <sheetData>
    <row r="1" spans="1:27" ht="29.25" customHeight="1">
      <c r="A1" s="304" t="s">
        <v>5398</v>
      </c>
      <c r="B1" s="304"/>
      <c r="C1" s="304"/>
      <c r="D1" s="304"/>
      <c r="E1" s="304"/>
      <c r="F1" s="304"/>
      <c r="G1" s="304"/>
      <c r="H1" s="304"/>
      <c r="I1" s="304"/>
      <c r="J1" s="304"/>
      <c r="K1" s="304"/>
      <c r="L1" s="304"/>
      <c r="M1" s="304"/>
      <c r="N1" s="304"/>
      <c r="O1" s="304"/>
      <c r="P1" s="304"/>
      <c r="Q1" s="304"/>
      <c r="R1" s="304"/>
      <c r="S1" s="304"/>
      <c r="T1" s="304"/>
      <c r="U1" s="304"/>
      <c r="V1" s="304"/>
      <c r="W1" s="304"/>
      <c r="X1" s="304"/>
      <c r="Y1" s="304"/>
      <c r="Z1" s="137"/>
      <c r="AA1" s="137"/>
    </row>
    <row r="2" spans="1:27"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38"/>
      <c r="AA2" s="138"/>
    </row>
    <row r="3" spans="1:27" s="2" customFormat="1" ht="22.5" customHeight="1">
      <c r="A3" s="323" t="s">
        <v>6418</v>
      </c>
      <c r="B3" s="323"/>
      <c r="C3" s="323"/>
      <c r="D3" s="323"/>
      <c r="E3" s="323"/>
      <c r="F3" s="138"/>
      <c r="G3" s="138"/>
      <c r="H3" s="138"/>
      <c r="I3" s="324" t="s">
        <v>5400</v>
      </c>
      <c r="J3" s="324"/>
      <c r="K3" s="324"/>
      <c r="L3" s="324"/>
      <c r="M3" s="324"/>
      <c r="N3" s="325" t="s">
        <v>6417</v>
      </c>
      <c r="O3" s="326"/>
      <c r="P3" s="40"/>
      <c r="Q3" s="181"/>
      <c r="R3" s="140"/>
      <c r="S3" s="140"/>
      <c r="T3" s="140"/>
      <c r="U3" s="140"/>
      <c r="V3" s="140"/>
      <c r="W3" s="324" t="s">
        <v>5401</v>
      </c>
      <c r="X3" s="324"/>
      <c r="Y3" s="324"/>
      <c r="Z3" s="140"/>
      <c r="AA3" s="176"/>
    </row>
    <row r="4" spans="1:27" ht="39.75" customHeight="1">
      <c r="A4" s="141" t="s">
        <v>5402</v>
      </c>
      <c r="B4" s="141" t="s">
        <v>5403</v>
      </c>
      <c r="C4" s="141" t="s">
        <v>5404</v>
      </c>
      <c r="D4" s="141" t="s">
        <v>5405</v>
      </c>
      <c r="E4" s="142" t="s">
        <v>5406</v>
      </c>
      <c r="F4" s="141" t="s">
        <v>5407</v>
      </c>
      <c r="G4" s="142" t="s">
        <v>5408</v>
      </c>
      <c r="H4" s="142" t="s">
        <v>5409</v>
      </c>
      <c r="I4" s="142" t="s">
        <v>5410</v>
      </c>
      <c r="J4" s="142" t="s">
        <v>5411</v>
      </c>
      <c r="K4" s="142" t="s">
        <v>5412</v>
      </c>
      <c r="L4" s="142" t="s">
        <v>5413</v>
      </c>
      <c r="M4" s="142" t="s">
        <v>5414</v>
      </c>
      <c r="N4" s="142" t="s">
        <v>5415</v>
      </c>
      <c r="O4" s="142" t="s">
        <v>5416</v>
      </c>
      <c r="P4" s="142" t="s">
        <v>5417</v>
      </c>
      <c r="Q4" s="142" t="s">
        <v>7056</v>
      </c>
      <c r="R4" s="143" t="s">
        <v>5419</v>
      </c>
      <c r="S4" s="143" t="s">
        <v>5420</v>
      </c>
      <c r="T4" s="143" t="s">
        <v>5421</v>
      </c>
      <c r="U4" s="143" t="s">
        <v>6415</v>
      </c>
      <c r="V4" s="143" t="s">
        <v>5422</v>
      </c>
      <c r="W4" s="179" t="s">
        <v>5423</v>
      </c>
      <c r="X4" s="180" t="s">
        <v>5424</v>
      </c>
      <c r="Y4" s="180" t="s">
        <v>5425</v>
      </c>
      <c r="Z4" s="143" t="s">
        <v>5426</v>
      </c>
    </row>
    <row r="5" spans="1:27" ht="88.5" customHeight="1">
      <c r="A5" s="144">
        <v>1</v>
      </c>
      <c r="B5" s="144" t="s">
        <v>6404</v>
      </c>
      <c r="C5" s="144" t="s">
        <v>6419</v>
      </c>
      <c r="D5" s="172" t="s">
        <v>6420</v>
      </c>
      <c r="E5" s="172" t="s">
        <v>6421</v>
      </c>
      <c r="F5" s="188" t="s">
        <v>6422</v>
      </c>
      <c r="G5" s="172" t="s">
        <v>6423</v>
      </c>
      <c r="H5" s="172" t="s">
        <v>6424</v>
      </c>
      <c r="I5" s="171">
        <f>SUM(J5:M5)</f>
        <v>1300</v>
      </c>
      <c r="J5" s="171">
        <v>0</v>
      </c>
      <c r="K5" s="171">
        <v>500</v>
      </c>
      <c r="L5" s="171">
        <v>800</v>
      </c>
      <c r="M5" s="171">
        <v>0</v>
      </c>
      <c r="N5" s="144"/>
      <c r="O5" s="144"/>
      <c r="P5" s="172" t="s">
        <v>6384</v>
      </c>
      <c r="Q5" s="172"/>
      <c r="R5" s="172" t="s">
        <v>6425</v>
      </c>
      <c r="S5" s="172" t="s">
        <v>5434</v>
      </c>
      <c r="T5" s="144" t="s">
        <v>6362</v>
      </c>
      <c r="U5" s="172" t="s">
        <v>6355</v>
      </c>
      <c r="V5" s="172" t="s">
        <v>5915</v>
      </c>
      <c r="W5" s="81">
        <f t="shared" ref="W5:W34" si="0">SUM(X5:Y5)</f>
        <v>288.3</v>
      </c>
      <c r="X5" s="81">
        <v>282.5</v>
      </c>
      <c r="Y5" s="81">
        <v>5.8</v>
      </c>
      <c r="Z5" s="172" t="s">
        <v>6426</v>
      </c>
    </row>
    <row r="6" spans="1:27" ht="61.5" customHeight="1">
      <c r="A6" s="144">
        <v>2</v>
      </c>
      <c r="B6" s="144" t="s">
        <v>6404</v>
      </c>
      <c r="C6" s="144" t="s">
        <v>6419</v>
      </c>
      <c r="D6" s="172" t="s">
        <v>6427</v>
      </c>
      <c r="E6" s="172" t="s">
        <v>6428</v>
      </c>
      <c r="F6" s="148" t="s">
        <v>2893</v>
      </c>
      <c r="G6" s="172" t="s">
        <v>2894</v>
      </c>
      <c r="H6" s="172" t="s">
        <v>1947</v>
      </c>
      <c r="I6" s="171">
        <f t="shared" ref="I6:I34" si="1">SUM(J6:M6)</f>
        <v>800</v>
      </c>
      <c r="J6" s="171">
        <v>0</v>
      </c>
      <c r="K6" s="171">
        <v>500</v>
      </c>
      <c r="L6" s="171">
        <v>300</v>
      </c>
      <c r="M6" s="171">
        <v>0</v>
      </c>
      <c r="N6" s="172"/>
      <c r="O6" s="172"/>
      <c r="P6" s="172" t="s">
        <v>304</v>
      </c>
      <c r="Q6" s="172"/>
      <c r="R6" s="172" t="s">
        <v>6429</v>
      </c>
      <c r="S6" s="172" t="s">
        <v>5434</v>
      </c>
      <c r="T6" s="172" t="s">
        <v>6362</v>
      </c>
      <c r="U6" s="172" t="s">
        <v>6355</v>
      </c>
      <c r="V6" s="172" t="s">
        <v>5915</v>
      </c>
      <c r="W6" s="81">
        <f t="shared" si="0"/>
        <v>208</v>
      </c>
      <c r="X6" s="81">
        <v>203</v>
      </c>
      <c r="Y6" s="81">
        <v>5</v>
      </c>
      <c r="Z6" s="172" t="s">
        <v>6430</v>
      </c>
    </row>
    <row r="7" spans="1:27" ht="76.5" customHeight="1">
      <c r="A7" s="144">
        <v>3</v>
      </c>
      <c r="B7" s="144" t="s">
        <v>6431</v>
      </c>
      <c r="C7" s="144" t="s">
        <v>6432</v>
      </c>
      <c r="D7" s="172" t="s">
        <v>6433</v>
      </c>
      <c r="E7" s="172" t="s">
        <v>6434</v>
      </c>
      <c r="F7" s="188" t="s">
        <v>6435</v>
      </c>
      <c r="G7" s="172" t="s">
        <v>6436</v>
      </c>
      <c r="H7" s="172" t="s">
        <v>6437</v>
      </c>
      <c r="I7" s="171">
        <v>615</v>
      </c>
      <c r="J7" s="171">
        <v>80</v>
      </c>
      <c r="K7" s="171">
        <v>0</v>
      </c>
      <c r="L7" s="171">
        <v>535</v>
      </c>
      <c r="M7" s="171">
        <v>0</v>
      </c>
      <c r="N7" s="144" t="s">
        <v>510</v>
      </c>
      <c r="O7" s="144" t="s">
        <v>7053</v>
      </c>
      <c r="P7" s="172" t="s">
        <v>304</v>
      </c>
      <c r="Q7" s="172" t="s">
        <v>6323</v>
      </c>
      <c r="R7" s="172" t="s">
        <v>6438</v>
      </c>
      <c r="S7" s="172" t="s">
        <v>373</v>
      </c>
      <c r="T7" s="172" t="s">
        <v>814</v>
      </c>
      <c r="U7" s="172" t="s">
        <v>595</v>
      </c>
      <c r="V7" s="172" t="s">
        <v>1924</v>
      </c>
      <c r="W7" s="81">
        <v>265</v>
      </c>
      <c r="X7" s="81">
        <v>255</v>
      </c>
      <c r="Y7" s="81">
        <v>10</v>
      </c>
      <c r="Z7" s="172" t="s">
        <v>3423</v>
      </c>
    </row>
    <row r="8" spans="1:27" ht="54" customHeight="1">
      <c r="A8" s="144">
        <v>4</v>
      </c>
      <c r="B8" s="144" t="s">
        <v>6431</v>
      </c>
      <c r="C8" s="144" t="s">
        <v>6432</v>
      </c>
      <c r="D8" s="172" t="s">
        <v>6439</v>
      </c>
      <c r="E8" s="172" t="s">
        <v>6440</v>
      </c>
      <c r="F8" s="188" t="s">
        <v>6441</v>
      </c>
      <c r="G8" s="172" t="s">
        <v>7094</v>
      </c>
      <c r="H8" s="172" t="s">
        <v>3621</v>
      </c>
      <c r="I8" s="171">
        <v>20</v>
      </c>
      <c r="J8" s="171">
        <v>0</v>
      </c>
      <c r="K8" s="171">
        <v>0</v>
      </c>
      <c r="L8" s="171">
        <v>5</v>
      </c>
      <c r="M8" s="171">
        <v>15</v>
      </c>
      <c r="N8" s="172"/>
      <c r="O8" s="172"/>
      <c r="P8" s="172" t="s">
        <v>436</v>
      </c>
      <c r="Q8" s="172"/>
      <c r="R8" s="172" t="s">
        <v>6443</v>
      </c>
      <c r="S8" s="172" t="s">
        <v>373</v>
      </c>
      <c r="T8" s="172" t="s">
        <v>374</v>
      </c>
      <c r="U8" s="172" t="s">
        <v>5128</v>
      </c>
      <c r="V8" s="172" t="s">
        <v>1924</v>
      </c>
      <c r="W8" s="81">
        <v>5</v>
      </c>
      <c r="X8" s="81">
        <v>5</v>
      </c>
      <c r="Y8" s="81">
        <v>0</v>
      </c>
      <c r="Z8" s="172" t="s">
        <v>6444</v>
      </c>
    </row>
    <row r="9" spans="1:27" ht="50.25" customHeight="1">
      <c r="A9" s="144">
        <v>5</v>
      </c>
      <c r="B9" s="144" t="s">
        <v>6431</v>
      </c>
      <c r="C9" s="144" t="s">
        <v>6432</v>
      </c>
      <c r="D9" s="172" t="s">
        <v>6445</v>
      </c>
      <c r="E9" s="172" t="s">
        <v>6446</v>
      </c>
      <c r="F9" s="148" t="s">
        <v>6447</v>
      </c>
      <c r="G9" s="172" t="s">
        <v>6448</v>
      </c>
      <c r="H9" s="172">
        <v>2018</v>
      </c>
      <c r="I9" s="171">
        <v>200</v>
      </c>
      <c r="J9" s="171">
        <v>0</v>
      </c>
      <c r="K9" s="171">
        <v>0</v>
      </c>
      <c r="L9" s="171">
        <v>200</v>
      </c>
      <c r="M9" s="171"/>
      <c r="N9" s="172"/>
      <c r="O9" s="172"/>
      <c r="P9" s="172" t="s">
        <v>247</v>
      </c>
      <c r="Q9" s="172"/>
      <c r="R9" s="172" t="s">
        <v>3956</v>
      </c>
      <c r="S9" s="172" t="s">
        <v>373</v>
      </c>
      <c r="T9" s="172" t="s">
        <v>814</v>
      </c>
      <c r="U9" s="172" t="s">
        <v>5037</v>
      </c>
      <c r="V9" s="172" t="s">
        <v>1924</v>
      </c>
      <c r="W9" s="320" t="s">
        <v>6450</v>
      </c>
      <c r="X9" s="321"/>
      <c r="Y9" s="322"/>
      <c r="Z9" s="172" t="s">
        <v>6449</v>
      </c>
      <c r="AA9" s="263"/>
    </row>
    <row r="10" spans="1:27" ht="38.25" customHeight="1">
      <c r="A10" s="144">
        <v>6</v>
      </c>
      <c r="B10" s="144" t="s">
        <v>6431</v>
      </c>
      <c r="C10" s="144" t="s">
        <v>6451</v>
      </c>
      <c r="D10" s="172" t="s">
        <v>6452</v>
      </c>
      <c r="E10" s="172" t="s">
        <v>6453</v>
      </c>
      <c r="F10" s="148" t="s">
        <v>6454</v>
      </c>
      <c r="G10" s="172" t="s">
        <v>6455</v>
      </c>
      <c r="H10" s="172" t="s">
        <v>6456</v>
      </c>
      <c r="I10" s="171">
        <v>960</v>
      </c>
      <c r="J10" s="171">
        <v>0</v>
      </c>
      <c r="K10" s="171">
        <v>0</v>
      </c>
      <c r="L10" s="171">
        <v>900</v>
      </c>
      <c r="M10" s="171">
        <v>60</v>
      </c>
      <c r="N10" s="172"/>
      <c r="O10" s="172"/>
      <c r="P10" s="172" t="s">
        <v>304</v>
      </c>
      <c r="Q10" s="172"/>
      <c r="R10" s="172" t="s">
        <v>6457</v>
      </c>
      <c r="S10" s="172" t="s">
        <v>373</v>
      </c>
      <c r="T10" s="172" t="s">
        <v>501</v>
      </c>
      <c r="U10" s="172" t="s">
        <v>6373</v>
      </c>
      <c r="V10" s="172" t="s">
        <v>529</v>
      </c>
      <c r="W10" s="81">
        <v>407</v>
      </c>
      <c r="X10" s="81">
        <v>407</v>
      </c>
      <c r="Y10" s="81">
        <v>0</v>
      </c>
      <c r="Z10" s="172" t="s">
        <v>6458</v>
      </c>
    </row>
    <row r="11" spans="1:27" ht="38.25" customHeight="1">
      <c r="A11" s="144">
        <v>7</v>
      </c>
      <c r="B11" s="144" t="s">
        <v>6431</v>
      </c>
      <c r="C11" s="144" t="s">
        <v>6451</v>
      </c>
      <c r="D11" s="172" t="s">
        <v>6459</v>
      </c>
      <c r="E11" s="172" t="s">
        <v>6460</v>
      </c>
      <c r="F11" s="148" t="s">
        <v>6461</v>
      </c>
      <c r="G11" s="172" t="s">
        <v>6462</v>
      </c>
      <c r="H11" s="172" t="s">
        <v>3961</v>
      </c>
      <c r="I11" s="171">
        <v>71.599999999999994</v>
      </c>
      <c r="J11" s="171">
        <v>0</v>
      </c>
      <c r="K11" s="171">
        <v>0</v>
      </c>
      <c r="L11" s="161">
        <v>66</v>
      </c>
      <c r="M11" s="161">
        <v>5.6</v>
      </c>
      <c r="N11" s="144"/>
      <c r="O11" s="144"/>
      <c r="P11" s="172" t="s">
        <v>247</v>
      </c>
      <c r="Q11" s="172"/>
      <c r="R11" s="172" t="s">
        <v>6463</v>
      </c>
      <c r="S11" s="172" t="s">
        <v>373</v>
      </c>
      <c r="T11" s="172" t="s">
        <v>374</v>
      </c>
      <c r="U11" s="172" t="s">
        <v>5063</v>
      </c>
      <c r="V11" s="172" t="s">
        <v>529</v>
      </c>
      <c r="W11" s="81">
        <v>48</v>
      </c>
      <c r="X11" s="81">
        <v>48</v>
      </c>
      <c r="Y11" s="81">
        <v>0</v>
      </c>
      <c r="Z11" s="172" t="s">
        <v>6464</v>
      </c>
      <c r="AA11" s="1" t="s">
        <v>6442</v>
      </c>
    </row>
    <row r="12" spans="1:27" ht="38.25" customHeight="1">
      <c r="A12" s="144">
        <v>8</v>
      </c>
      <c r="B12" s="144" t="s">
        <v>6431</v>
      </c>
      <c r="C12" s="144" t="s">
        <v>6451</v>
      </c>
      <c r="D12" s="172" t="s">
        <v>2895</v>
      </c>
      <c r="E12" s="172" t="s">
        <v>6465</v>
      </c>
      <c r="F12" s="148" t="s">
        <v>6466</v>
      </c>
      <c r="G12" s="172" t="s">
        <v>6467</v>
      </c>
      <c r="H12" s="172" t="s">
        <v>4898</v>
      </c>
      <c r="I12" s="171">
        <v>48.4</v>
      </c>
      <c r="J12" s="171">
        <v>0</v>
      </c>
      <c r="K12" s="171">
        <v>0</v>
      </c>
      <c r="L12" s="171">
        <v>42</v>
      </c>
      <c r="M12" s="171">
        <v>6.4</v>
      </c>
      <c r="N12" s="172"/>
      <c r="O12" s="172"/>
      <c r="P12" s="172" t="s">
        <v>261</v>
      </c>
      <c r="Q12" s="172"/>
      <c r="R12" s="172" t="s">
        <v>6468</v>
      </c>
      <c r="S12" s="172" t="s">
        <v>373</v>
      </c>
      <c r="T12" s="172" t="s">
        <v>374</v>
      </c>
      <c r="U12" s="172" t="s">
        <v>5063</v>
      </c>
      <c r="V12" s="172" t="s">
        <v>529</v>
      </c>
      <c r="W12" s="81">
        <v>1.4</v>
      </c>
      <c r="X12" s="81">
        <v>1.4</v>
      </c>
      <c r="Y12" s="81">
        <v>0</v>
      </c>
      <c r="Z12" s="172" t="s">
        <v>6469</v>
      </c>
    </row>
    <row r="13" spans="1:27" ht="38.25" customHeight="1">
      <c r="A13" s="144">
        <v>9</v>
      </c>
      <c r="B13" s="144" t="s">
        <v>6431</v>
      </c>
      <c r="C13" s="144" t="s">
        <v>6451</v>
      </c>
      <c r="D13" s="172" t="s">
        <v>2896</v>
      </c>
      <c r="E13" s="172" t="s">
        <v>6470</v>
      </c>
      <c r="F13" s="199" t="s">
        <v>6471</v>
      </c>
      <c r="G13" s="172" t="s">
        <v>6472</v>
      </c>
      <c r="H13" s="172" t="s">
        <v>6473</v>
      </c>
      <c r="I13" s="171">
        <v>80</v>
      </c>
      <c r="J13" s="171">
        <v>0</v>
      </c>
      <c r="K13" s="171">
        <v>0</v>
      </c>
      <c r="L13" s="161">
        <v>46</v>
      </c>
      <c r="M13" s="161">
        <v>34</v>
      </c>
      <c r="N13" s="144"/>
      <c r="O13" s="144"/>
      <c r="P13" s="172" t="s">
        <v>261</v>
      </c>
      <c r="Q13" s="172"/>
      <c r="R13" s="172" t="s">
        <v>4953</v>
      </c>
      <c r="S13" s="172" t="s">
        <v>373</v>
      </c>
      <c r="T13" s="172" t="s">
        <v>501</v>
      </c>
      <c r="U13" s="172" t="s">
        <v>5063</v>
      </c>
      <c r="V13" s="172" t="s">
        <v>529</v>
      </c>
      <c r="W13" s="81">
        <v>200</v>
      </c>
      <c r="X13" s="81">
        <v>200</v>
      </c>
      <c r="Y13" s="81">
        <v>0</v>
      </c>
      <c r="Z13" s="172" t="s">
        <v>6474</v>
      </c>
    </row>
    <row r="14" spans="1:27" ht="38.25" customHeight="1">
      <c r="A14" s="144">
        <v>10</v>
      </c>
      <c r="B14" s="144" t="s">
        <v>6431</v>
      </c>
      <c r="C14" s="144" t="s">
        <v>6451</v>
      </c>
      <c r="D14" s="172" t="s">
        <v>2897</v>
      </c>
      <c r="E14" s="172" t="s">
        <v>6475</v>
      </c>
      <c r="F14" s="148" t="s">
        <v>6476</v>
      </c>
      <c r="G14" s="172" t="s">
        <v>6477</v>
      </c>
      <c r="H14" s="172" t="s">
        <v>3001</v>
      </c>
      <c r="I14" s="171">
        <v>76</v>
      </c>
      <c r="J14" s="171">
        <v>0</v>
      </c>
      <c r="K14" s="171">
        <v>0</v>
      </c>
      <c r="L14" s="171">
        <v>66</v>
      </c>
      <c r="M14" s="171">
        <v>10</v>
      </c>
      <c r="N14" s="172"/>
      <c r="O14" s="172"/>
      <c r="P14" s="172" t="s">
        <v>261</v>
      </c>
      <c r="Q14" s="172"/>
      <c r="R14" s="172" t="s">
        <v>2973</v>
      </c>
      <c r="S14" s="172" t="s">
        <v>373</v>
      </c>
      <c r="T14" s="172" t="s">
        <v>374</v>
      </c>
      <c r="U14" s="172" t="s">
        <v>5063</v>
      </c>
      <c r="V14" s="172" t="s">
        <v>529</v>
      </c>
      <c r="W14" s="81">
        <v>25</v>
      </c>
      <c r="X14" s="81">
        <v>25</v>
      </c>
      <c r="Y14" s="81">
        <v>0</v>
      </c>
      <c r="Z14" s="172" t="s">
        <v>6478</v>
      </c>
    </row>
    <row r="15" spans="1:27" ht="54" customHeight="1">
      <c r="A15" s="144">
        <v>11</v>
      </c>
      <c r="B15" s="144" t="s">
        <v>6479</v>
      </c>
      <c r="C15" s="144" t="s">
        <v>6480</v>
      </c>
      <c r="D15" s="172" t="s">
        <v>7049</v>
      </c>
      <c r="E15" s="172" t="s">
        <v>6481</v>
      </c>
      <c r="F15" s="148" t="s">
        <v>6482</v>
      </c>
      <c r="G15" s="172" t="s">
        <v>6483</v>
      </c>
      <c r="H15" s="268" t="s">
        <v>6484</v>
      </c>
      <c r="I15" s="171">
        <f t="shared" si="1"/>
        <v>565</v>
      </c>
      <c r="J15" s="171">
        <v>0</v>
      </c>
      <c r="K15" s="171">
        <v>15</v>
      </c>
      <c r="L15" s="171">
        <v>550</v>
      </c>
      <c r="M15" s="171">
        <v>0</v>
      </c>
      <c r="N15" s="172"/>
      <c r="O15" s="172"/>
      <c r="P15" s="172" t="s">
        <v>5477</v>
      </c>
      <c r="Q15" s="172"/>
      <c r="R15" s="172" t="s">
        <v>6485</v>
      </c>
      <c r="S15" s="172" t="s">
        <v>5035</v>
      </c>
      <c r="T15" s="172" t="s">
        <v>5519</v>
      </c>
      <c r="U15" s="172" t="s">
        <v>595</v>
      </c>
      <c r="V15" s="172" t="s">
        <v>5038</v>
      </c>
      <c r="W15" s="81">
        <f t="shared" si="0"/>
        <v>372.5</v>
      </c>
      <c r="X15" s="81">
        <v>371</v>
      </c>
      <c r="Y15" s="81">
        <v>1.5</v>
      </c>
      <c r="Z15" s="172" t="s">
        <v>6486</v>
      </c>
    </row>
    <row r="16" spans="1:27" ht="57.75" customHeight="1">
      <c r="A16" s="144">
        <v>12</v>
      </c>
      <c r="B16" s="144" t="s">
        <v>6487</v>
      </c>
      <c r="C16" s="144" t="s">
        <v>6488</v>
      </c>
      <c r="D16" s="172" t="s">
        <v>6489</v>
      </c>
      <c r="E16" s="172" t="s">
        <v>6490</v>
      </c>
      <c r="F16" s="148" t="s">
        <v>6491</v>
      </c>
      <c r="G16" s="172" t="s">
        <v>6492</v>
      </c>
      <c r="H16" s="172" t="s">
        <v>6493</v>
      </c>
      <c r="I16" s="171">
        <f t="shared" si="1"/>
        <v>78</v>
      </c>
      <c r="J16" s="171">
        <v>0</v>
      </c>
      <c r="K16" s="171">
        <v>0</v>
      </c>
      <c r="L16" s="171">
        <v>78</v>
      </c>
      <c r="M16" s="171">
        <v>0</v>
      </c>
      <c r="N16" s="172"/>
      <c r="O16" s="172"/>
      <c r="P16" s="172" t="s">
        <v>5277</v>
      </c>
      <c r="Q16" s="172"/>
      <c r="R16" s="172" t="s">
        <v>6494</v>
      </c>
      <c r="S16" s="172" t="s">
        <v>5035</v>
      </c>
      <c r="T16" s="172" t="s">
        <v>5519</v>
      </c>
      <c r="U16" s="172" t="s">
        <v>595</v>
      </c>
      <c r="V16" s="172" t="s">
        <v>5038</v>
      </c>
      <c r="W16" s="81">
        <f t="shared" si="0"/>
        <v>2.1</v>
      </c>
      <c r="X16" s="81">
        <v>2.1</v>
      </c>
      <c r="Y16" s="81">
        <v>0</v>
      </c>
      <c r="Z16" s="172" t="s">
        <v>6495</v>
      </c>
    </row>
    <row r="17" spans="1:28" ht="38.25" customHeight="1">
      <c r="A17" s="144">
        <v>13</v>
      </c>
      <c r="B17" s="144" t="s">
        <v>6487</v>
      </c>
      <c r="C17" s="144" t="s">
        <v>6488</v>
      </c>
      <c r="D17" s="172" t="s">
        <v>6496</v>
      </c>
      <c r="E17" s="172" t="s">
        <v>6497</v>
      </c>
      <c r="F17" s="148" t="s">
        <v>6498</v>
      </c>
      <c r="G17" s="172" t="s">
        <v>6499</v>
      </c>
      <c r="H17" s="172" t="s">
        <v>6500</v>
      </c>
      <c r="I17" s="171">
        <f t="shared" si="1"/>
        <v>100</v>
      </c>
      <c r="J17" s="171">
        <v>0</v>
      </c>
      <c r="K17" s="171">
        <v>0</v>
      </c>
      <c r="L17" s="171">
        <v>100</v>
      </c>
      <c r="M17" s="171">
        <v>0</v>
      </c>
      <c r="N17" s="172"/>
      <c r="O17" s="172"/>
      <c r="P17" s="172" t="s">
        <v>5346</v>
      </c>
      <c r="Q17" s="172"/>
      <c r="R17" s="172" t="s">
        <v>6501</v>
      </c>
      <c r="S17" s="172" t="s">
        <v>5035</v>
      </c>
      <c r="T17" s="172" t="s">
        <v>5519</v>
      </c>
      <c r="U17" s="172" t="s">
        <v>595</v>
      </c>
      <c r="V17" s="172" t="s">
        <v>5038</v>
      </c>
      <c r="W17" s="81">
        <f t="shared" si="0"/>
        <v>9.7000000000000011</v>
      </c>
      <c r="X17" s="81">
        <v>9.4</v>
      </c>
      <c r="Y17" s="81">
        <v>0.3</v>
      </c>
      <c r="Z17" s="172" t="s">
        <v>6502</v>
      </c>
    </row>
    <row r="18" spans="1:28" ht="38.25" customHeight="1">
      <c r="A18" s="144">
        <v>14</v>
      </c>
      <c r="B18" s="144" t="s">
        <v>6487</v>
      </c>
      <c r="C18" s="144" t="s">
        <v>6488</v>
      </c>
      <c r="D18" s="172" t="s">
        <v>6503</v>
      </c>
      <c r="E18" s="172" t="s">
        <v>6504</v>
      </c>
      <c r="F18" s="148" t="s">
        <v>6505</v>
      </c>
      <c r="G18" s="172" t="s">
        <v>6506</v>
      </c>
      <c r="H18" s="172" t="s">
        <v>6507</v>
      </c>
      <c r="I18" s="171">
        <f t="shared" si="1"/>
        <v>150</v>
      </c>
      <c r="J18" s="171">
        <v>0</v>
      </c>
      <c r="K18" s="171">
        <v>0</v>
      </c>
      <c r="L18" s="171">
        <v>150</v>
      </c>
      <c r="M18" s="171">
        <v>0</v>
      </c>
      <c r="N18" s="144"/>
      <c r="O18" s="144"/>
      <c r="P18" s="172" t="s">
        <v>5287</v>
      </c>
      <c r="Q18" s="172"/>
      <c r="R18" s="172" t="s">
        <v>6508</v>
      </c>
      <c r="S18" s="172" t="s">
        <v>5172</v>
      </c>
      <c r="T18" s="172" t="s">
        <v>6509</v>
      </c>
      <c r="U18" s="172" t="s">
        <v>5174</v>
      </c>
      <c r="V18" s="172" t="s">
        <v>6510</v>
      </c>
      <c r="W18" s="81">
        <f t="shared" si="0"/>
        <v>132.19999999999999</v>
      </c>
      <c r="X18" s="81">
        <v>132</v>
      </c>
      <c r="Y18" s="81">
        <v>0.2</v>
      </c>
      <c r="Z18" s="172" t="s">
        <v>6511</v>
      </c>
    </row>
    <row r="19" spans="1:28" ht="38.25" customHeight="1">
      <c r="A19" s="144">
        <v>15</v>
      </c>
      <c r="B19" s="144" t="s">
        <v>6512</v>
      </c>
      <c r="C19" s="144" t="s">
        <v>6513</v>
      </c>
      <c r="D19" s="172" t="s">
        <v>6514</v>
      </c>
      <c r="E19" s="172" t="s">
        <v>6515</v>
      </c>
      <c r="F19" s="148" t="s">
        <v>6516</v>
      </c>
      <c r="G19" s="172" t="s">
        <v>6517</v>
      </c>
      <c r="H19" s="172" t="s">
        <v>6518</v>
      </c>
      <c r="I19" s="171">
        <f t="shared" si="1"/>
        <v>720</v>
      </c>
      <c r="J19" s="171">
        <v>360</v>
      </c>
      <c r="K19" s="171">
        <v>180</v>
      </c>
      <c r="L19" s="171">
        <v>180</v>
      </c>
      <c r="M19" s="171">
        <v>0</v>
      </c>
      <c r="N19" s="144" t="s">
        <v>5183</v>
      </c>
      <c r="O19" s="144" t="s">
        <v>6519</v>
      </c>
      <c r="P19" s="172" t="s">
        <v>6520</v>
      </c>
      <c r="Q19" s="172"/>
      <c r="R19" s="172" t="s">
        <v>6508</v>
      </c>
      <c r="S19" s="172" t="s">
        <v>5172</v>
      </c>
      <c r="T19" s="172" t="s">
        <v>6509</v>
      </c>
      <c r="U19" s="172" t="s">
        <v>5174</v>
      </c>
      <c r="V19" s="172" t="s">
        <v>6510</v>
      </c>
      <c r="W19" s="81">
        <f t="shared" si="0"/>
        <v>100.2</v>
      </c>
      <c r="X19" s="81">
        <v>100.2</v>
      </c>
      <c r="Y19" s="81">
        <v>0</v>
      </c>
      <c r="Z19" s="172" t="s">
        <v>6521</v>
      </c>
    </row>
    <row r="20" spans="1:28" ht="38.25" customHeight="1">
      <c r="A20" s="144">
        <v>16</v>
      </c>
      <c r="B20" s="144" t="s">
        <v>6512</v>
      </c>
      <c r="C20" s="144" t="s">
        <v>6513</v>
      </c>
      <c r="D20" s="172" t="s">
        <v>6522</v>
      </c>
      <c r="E20" s="172" t="s">
        <v>6523</v>
      </c>
      <c r="F20" s="148" t="s">
        <v>6524</v>
      </c>
      <c r="G20" s="172" t="s">
        <v>6525</v>
      </c>
      <c r="H20" s="172" t="s">
        <v>6526</v>
      </c>
      <c r="I20" s="171">
        <f t="shared" si="1"/>
        <v>600</v>
      </c>
      <c r="J20" s="171">
        <v>0</v>
      </c>
      <c r="K20" s="171">
        <v>0</v>
      </c>
      <c r="L20" s="184">
        <v>600</v>
      </c>
      <c r="M20" s="171">
        <v>0</v>
      </c>
      <c r="N20" s="172"/>
      <c r="O20" s="172"/>
      <c r="P20" s="172" t="s">
        <v>6520</v>
      </c>
      <c r="Q20" s="172"/>
      <c r="R20" s="172" t="s">
        <v>6527</v>
      </c>
      <c r="S20" s="172" t="s">
        <v>5172</v>
      </c>
      <c r="T20" s="172" t="s">
        <v>6528</v>
      </c>
      <c r="U20" s="172" t="s">
        <v>595</v>
      </c>
      <c r="V20" s="172" t="s">
        <v>6529</v>
      </c>
      <c r="W20" s="81">
        <f t="shared" si="0"/>
        <v>22</v>
      </c>
      <c r="X20" s="81">
        <v>21.7</v>
      </c>
      <c r="Y20" s="81">
        <v>0.3</v>
      </c>
      <c r="Z20" s="172" t="s">
        <v>6530</v>
      </c>
    </row>
    <row r="21" spans="1:28" ht="38.25" customHeight="1">
      <c r="A21" s="144">
        <v>17</v>
      </c>
      <c r="B21" s="144" t="s">
        <v>6512</v>
      </c>
      <c r="C21" s="144" t="s">
        <v>6513</v>
      </c>
      <c r="D21" s="172" t="s">
        <v>6531</v>
      </c>
      <c r="E21" s="172" t="s">
        <v>6532</v>
      </c>
      <c r="F21" s="199" t="s">
        <v>6533</v>
      </c>
      <c r="G21" s="172" t="s">
        <v>6534</v>
      </c>
      <c r="H21" s="172" t="s">
        <v>6518</v>
      </c>
      <c r="I21" s="171">
        <f t="shared" si="1"/>
        <v>600</v>
      </c>
      <c r="J21" s="171">
        <v>0</v>
      </c>
      <c r="K21" s="171">
        <v>0</v>
      </c>
      <c r="L21" s="184">
        <v>600</v>
      </c>
      <c r="M21" s="171">
        <v>0</v>
      </c>
      <c r="N21" s="172"/>
      <c r="O21" s="172"/>
      <c r="P21" s="172" t="s">
        <v>6520</v>
      </c>
      <c r="Q21" s="172"/>
      <c r="R21" s="172" t="s">
        <v>6535</v>
      </c>
      <c r="S21" s="172" t="s">
        <v>5172</v>
      </c>
      <c r="T21" s="172" t="s">
        <v>6509</v>
      </c>
      <c r="U21" s="172" t="s">
        <v>5174</v>
      </c>
      <c r="V21" s="172" t="s">
        <v>6510</v>
      </c>
      <c r="W21" s="81">
        <f t="shared" si="0"/>
        <v>53.8</v>
      </c>
      <c r="X21" s="81">
        <v>53.8</v>
      </c>
      <c r="Y21" s="81">
        <v>0</v>
      </c>
      <c r="Z21" s="172" t="s">
        <v>6530</v>
      </c>
    </row>
    <row r="22" spans="1:28" ht="38.25" customHeight="1">
      <c r="A22" s="144">
        <v>18</v>
      </c>
      <c r="B22" s="144" t="s">
        <v>6512</v>
      </c>
      <c r="C22" s="144" t="s">
        <v>6513</v>
      </c>
      <c r="D22" s="172" t="s">
        <v>6536</v>
      </c>
      <c r="E22" s="172" t="s">
        <v>6537</v>
      </c>
      <c r="F22" s="148" t="s">
        <v>6538</v>
      </c>
      <c r="G22" s="172" t="s">
        <v>6539</v>
      </c>
      <c r="H22" s="172" t="s">
        <v>6540</v>
      </c>
      <c r="I22" s="171">
        <f t="shared" si="1"/>
        <v>557</v>
      </c>
      <c r="J22" s="171">
        <v>0</v>
      </c>
      <c r="K22" s="171">
        <v>0</v>
      </c>
      <c r="L22" s="173">
        <v>557</v>
      </c>
      <c r="M22" s="171">
        <v>0</v>
      </c>
      <c r="N22" s="144"/>
      <c r="O22" s="144"/>
      <c r="P22" s="172" t="s">
        <v>6520</v>
      </c>
      <c r="Q22" s="172"/>
      <c r="R22" s="172" t="s">
        <v>6541</v>
      </c>
      <c r="S22" s="172" t="s">
        <v>5172</v>
      </c>
      <c r="T22" s="172" t="s">
        <v>6509</v>
      </c>
      <c r="U22" s="172" t="s">
        <v>5174</v>
      </c>
      <c r="V22" s="172" t="s">
        <v>6510</v>
      </c>
      <c r="W22" s="81">
        <f t="shared" si="0"/>
        <v>59.9</v>
      </c>
      <c r="X22" s="81">
        <v>59.9</v>
      </c>
      <c r="Y22" s="81">
        <v>0</v>
      </c>
      <c r="Z22" s="172" t="s">
        <v>6542</v>
      </c>
    </row>
    <row r="23" spans="1:28" ht="38.25" customHeight="1">
      <c r="A23" s="144">
        <v>19</v>
      </c>
      <c r="B23" s="144" t="s">
        <v>6512</v>
      </c>
      <c r="C23" s="144" t="s">
        <v>6513</v>
      </c>
      <c r="D23" s="144" t="s">
        <v>6543</v>
      </c>
      <c r="E23" s="172" t="s">
        <v>6544</v>
      </c>
      <c r="F23" s="148" t="s">
        <v>6545</v>
      </c>
      <c r="G23" s="172" t="s">
        <v>6546</v>
      </c>
      <c r="H23" s="172" t="s">
        <v>6547</v>
      </c>
      <c r="I23" s="171">
        <f t="shared" si="1"/>
        <v>209</v>
      </c>
      <c r="J23" s="171">
        <v>0</v>
      </c>
      <c r="K23" s="171">
        <v>0</v>
      </c>
      <c r="L23" s="171">
        <v>209</v>
      </c>
      <c r="M23" s="171">
        <v>0</v>
      </c>
      <c r="N23" s="144"/>
      <c r="O23" s="144"/>
      <c r="P23" s="172" t="s">
        <v>5477</v>
      </c>
      <c r="Q23" s="172"/>
      <c r="R23" s="172" t="s">
        <v>6548</v>
      </c>
      <c r="S23" s="172" t="s">
        <v>5035</v>
      </c>
      <c r="T23" s="172" t="s">
        <v>5519</v>
      </c>
      <c r="U23" s="172" t="s">
        <v>595</v>
      </c>
      <c r="V23" s="172" t="s">
        <v>5038</v>
      </c>
      <c r="W23" s="81">
        <f t="shared" si="0"/>
        <v>1390</v>
      </c>
      <c r="X23" s="81">
        <v>1388.8</v>
      </c>
      <c r="Y23" s="81">
        <v>1.2</v>
      </c>
      <c r="Z23" s="172" t="s">
        <v>6549</v>
      </c>
    </row>
    <row r="24" spans="1:28" ht="38.25" customHeight="1">
      <c r="A24" s="144">
        <v>20</v>
      </c>
      <c r="B24" s="144" t="s">
        <v>6487</v>
      </c>
      <c r="C24" s="144" t="s">
        <v>6488</v>
      </c>
      <c r="D24" s="144" t="s">
        <v>6550</v>
      </c>
      <c r="E24" s="172" t="s">
        <v>6551</v>
      </c>
      <c r="F24" s="148" t="s">
        <v>7050</v>
      </c>
      <c r="G24" s="172" t="s">
        <v>6552</v>
      </c>
      <c r="H24" s="172" t="s">
        <v>6553</v>
      </c>
      <c r="I24" s="171">
        <v>1400</v>
      </c>
      <c r="J24" s="171">
        <v>400</v>
      </c>
      <c r="K24" s="171">
        <v>0</v>
      </c>
      <c r="L24" s="171">
        <v>1000</v>
      </c>
      <c r="M24" s="171">
        <v>0</v>
      </c>
      <c r="N24" s="144" t="s">
        <v>6554</v>
      </c>
      <c r="O24" s="144" t="s">
        <v>6550</v>
      </c>
      <c r="P24" s="172" t="s">
        <v>6555</v>
      </c>
      <c r="Q24" s="172"/>
      <c r="R24" s="172" t="s">
        <v>6556</v>
      </c>
      <c r="S24" s="172" t="s">
        <v>5739</v>
      </c>
      <c r="T24" s="172" t="s">
        <v>5519</v>
      </c>
      <c r="U24" s="172" t="s">
        <v>595</v>
      </c>
      <c r="V24" s="172" t="s">
        <v>5038</v>
      </c>
      <c r="W24" s="81" t="s">
        <v>6409</v>
      </c>
      <c r="X24" s="81" t="s">
        <v>6409</v>
      </c>
      <c r="Y24" s="81" t="s">
        <v>6409</v>
      </c>
      <c r="Z24" s="172" t="s">
        <v>6549</v>
      </c>
      <c r="AA24" s="259" t="s">
        <v>6557</v>
      </c>
      <c r="AB24" s="260"/>
    </row>
    <row r="25" spans="1:28" ht="38.25" customHeight="1">
      <c r="A25" s="144">
        <v>21</v>
      </c>
      <c r="B25" s="144" t="s">
        <v>6487</v>
      </c>
      <c r="C25" s="144" t="s">
        <v>6488</v>
      </c>
      <c r="D25" s="144" t="s">
        <v>6558</v>
      </c>
      <c r="E25" s="172" t="s">
        <v>6559</v>
      </c>
      <c r="F25" s="148" t="s">
        <v>6560</v>
      </c>
      <c r="G25" s="172" t="s">
        <v>6552</v>
      </c>
      <c r="H25" s="172" t="s">
        <v>6547</v>
      </c>
      <c r="I25" s="171">
        <f t="shared" si="1"/>
        <v>300</v>
      </c>
      <c r="J25" s="171">
        <v>0</v>
      </c>
      <c r="K25" s="171">
        <v>0</v>
      </c>
      <c r="L25" s="184">
        <v>300</v>
      </c>
      <c r="M25" s="171">
        <v>0</v>
      </c>
      <c r="N25" s="172"/>
      <c r="O25" s="172"/>
      <c r="P25" s="172" t="s">
        <v>5477</v>
      </c>
      <c r="Q25" s="172"/>
      <c r="R25" s="172" t="s">
        <v>5606</v>
      </c>
      <c r="S25" s="172" t="s">
        <v>5035</v>
      </c>
      <c r="T25" s="172" t="s">
        <v>5519</v>
      </c>
      <c r="U25" s="172" t="s">
        <v>595</v>
      </c>
      <c r="V25" s="172" t="s">
        <v>5038</v>
      </c>
      <c r="W25" s="81">
        <f t="shared" si="0"/>
        <v>801.7</v>
      </c>
      <c r="X25" s="81">
        <v>801.7</v>
      </c>
      <c r="Y25" s="81">
        <v>0</v>
      </c>
      <c r="Z25" s="172" t="s">
        <v>6549</v>
      </c>
    </row>
    <row r="26" spans="1:28" ht="38.25" customHeight="1">
      <c r="A26" s="144">
        <v>22</v>
      </c>
      <c r="B26" s="144" t="s">
        <v>6487</v>
      </c>
      <c r="C26" s="144" t="s">
        <v>6488</v>
      </c>
      <c r="D26" s="269" t="s">
        <v>6561</v>
      </c>
      <c r="E26" s="172" t="s">
        <v>6562</v>
      </c>
      <c r="F26" s="148" t="s">
        <v>6563</v>
      </c>
      <c r="G26" s="172" t="s">
        <v>6552</v>
      </c>
      <c r="H26" s="172" t="s">
        <v>6547</v>
      </c>
      <c r="I26" s="171">
        <f t="shared" si="1"/>
        <v>510</v>
      </c>
      <c r="J26" s="171">
        <v>0</v>
      </c>
      <c r="K26" s="171">
        <v>0</v>
      </c>
      <c r="L26" s="184">
        <v>510</v>
      </c>
      <c r="M26" s="171">
        <v>0</v>
      </c>
      <c r="N26" s="144"/>
      <c r="O26" s="144"/>
      <c r="P26" s="172" t="s">
        <v>6564</v>
      </c>
      <c r="Q26" s="172"/>
      <c r="R26" s="172" t="s">
        <v>6501</v>
      </c>
      <c r="S26" s="172" t="s">
        <v>5035</v>
      </c>
      <c r="T26" s="172" t="s">
        <v>5519</v>
      </c>
      <c r="U26" s="172" t="s">
        <v>595</v>
      </c>
      <c r="V26" s="172" t="s">
        <v>5038</v>
      </c>
      <c r="W26" s="81">
        <f t="shared" si="0"/>
        <v>154.5</v>
      </c>
      <c r="X26" s="81">
        <v>154.5</v>
      </c>
      <c r="Y26" s="81">
        <v>0</v>
      </c>
      <c r="Z26" s="172" t="s">
        <v>6549</v>
      </c>
    </row>
    <row r="27" spans="1:28" ht="38.25" customHeight="1">
      <c r="A27" s="144">
        <v>23</v>
      </c>
      <c r="B27" s="144" t="s">
        <v>6487</v>
      </c>
      <c r="C27" s="144" t="s">
        <v>6488</v>
      </c>
      <c r="D27" s="172" t="s">
        <v>6565</v>
      </c>
      <c r="E27" s="172" t="s">
        <v>6566</v>
      </c>
      <c r="F27" s="148" t="s">
        <v>6567</v>
      </c>
      <c r="G27" s="172" t="s">
        <v>6546</v>
      </c>
      <c r="H27" s="172" t="s">
        <v>6568</v>
      </c>
      <c r="I27" s="171">
        <f t="shared" si="1"/>
        <v>420</v>
      </c>
      <c r="J27" s="171">
        <v>0</v>
      </c>
      <c r="K27" s="171">
        <v>0</v>
      </c>
      <c r="L27" s="184">
        <v>420</v>
      </c>
      <c r="M27" s="171">
        <v>0</v>
      </c>
      <c r="N27" s="144"/>
      <c r="O27" s="144"/>
      <c r="P27" s="172" t="s">
        <v>6520</v>
      </c>
      <c r="Q27" s="172"/>
      <c r="R27" s="172" t="s">
        <v>6569</v>
      </c>
      <c r="S27" s="172" t="s">
        <v>5172</v>
      </c>
      <c r="T27" s="172" t="s">
        <v>6528</v>
      </c>
      <c r="U27" s="172" t="s">
        <v>595</v>
      </c>
      <c r="V27" s="172" t="s">
        <v>6529</v>
      </c>
      <c r="W27" s="81">
        <f t="shared" si="0"/>
        <v>109.8</v>
      </c>
      <c r="X27" s="81">
        <v>109.8</v>
      </c>
      <c r="Y27" s="81">
        <v>0</v>
      </c>
      <c r="Z27" s="172" t="s">
        <v>6530</v>
      </c>
    </row>
    <row r="28" spans="1:28" ht="71.25" customHeight="1">
      <c r="A28" s="144">
        <v>24</v>
      </c>
      <c r="B28" s="144" t="s">
        <v>6512</v>
      </c>
      <c r="C28" s="144" t="s">
        <v>6570</v>
      </c>
      <c r="D28" s="172" t="s">
        <v>2900</v>
      </c>
      <c r="E28" s="172" t="s">
        <v>6571</v>
      </c>
      <c r="F28" s="148" t="s">
        <v>6572</v>
      </c>
      <c r="G28" s="172" t="s">
        <v>6573</v>
      </c>
      <c r="H28" s="172" t="s">
        <v>6574</v>
      </c>
      <c r="I28" s="171">
        <f t="shared" si="1"/>
        <v>500</v>
      </c>
      <c r="J28" s="171">
        <v>0</v>
      </c>
      <c r="K28" s="171">
        <v>0</v>
      </c>
      <c r="L28" s="173">
        <v>500</v>
      </c>
      <c r="M28" s="171">
        <v>0</v>
      </c>
      <c r="N28" s="144"/>
      <c r="O28" s="144"/>
      <c r="P28" s="172" t="s">
        <v>304</v>
      </c>
      <c r="Q28" s="172"/>
      <c r="R28" s="172" t="s">
        <v>2901</v>
      </c>
      <c r="S28" s="172" t="s">
        <v>373</v>
      </c>
      <c r="T28" s="172" t="s">
        <v>374</v>
      </c>
      <c r="U28" s="172" t="s">
        <v>5174</v>
      </c>
      <c r="V28" s="172" t="s">
        <v>1924</v>
      </c>
      <c r="W28" s="81">
        <f t="shared" si="0"/>
        <v>68</v>
      </c>
      <c r="X28" s="81">
        <v>67.2</v>
      </c>
      <c r="Y28" s="81">
        <v>0.8</v>
      </c>
      <c r="Z28" s="172" t="s">
        <v>2903</v>
      </c>
    </row>
    <row r="29" spans="1:28" ht="48.75" customHeight="1">
      <c r="A29" s="144">
        <v>25</v>
      </c>
      <c r="B29" s="144" t="s">
        <v>6512</v>
      </c>
      <c r="C29" s="144" t="s">
        <v>6570</v>
      </c>
      <c r="D29" s="172" t="s">
        <v>2904</v>
      </c>
      <c r="E29" s="172" t="s">
        <v>6575</v>
      </c>
      <c r="F29" s="148" t="s">
        <v>6576</v>
      </c>
      <c r="G29" s="172" t="s">
        <v>6577</v>
      </c>
      <c r="H29" s="172" t="s">
        <v>6578</v>
      </c>
      <c r="I29" s="171">
        <f t="shared" si="1"/>
        <v>170</v>
      </c>
      <c r="J29" s="171">
        <v>0</v>
      </c>
      <c r="K29" s="171">
        <v>0</v>
      </c>
      <c r="L29" s="173">
        <v>170</v>
      </c>
      <c r="M29" s="171">
        <v>0</v>
      </c>
      <c r="N29" s="172"/>
      <c r="O29" s="172"/>
      <c r="P29" s="172" t="s">
        <v>6579</v>
      </c>
      <c r="Q29" s="172"/>
      <c r="R29" s="172" t="s">
        <v>2905</v>
      </c>
      <c r="S29" s="172" t="s">
        <v>373</v>
      </c>
      <c r="T29" s="172" t="s">
        <v>374</v>
      </c>
      <c r="U29" s="172" t="s">
        <v>5174</v>
      </c>
      <c r="V29" s="172" t="s">
        <v>1924</v>
      </c>
      <c r="W29" s="81">
        <f t="shared" si="0"/>
        <v>80</v>
      </c>
      <c r="X29" s="81">
        <v>78</v>
      </c>
      <c r="Y29" s="81">
        <v>2</v>
      </c>
      <c r="Z29" s="172" t="s">
        <v>2906</v>
      </c>
    </row>
    <row r="30" spans="1:28" ht="38.25" customHeight="1">
      <c r="A30" s="144">
        <v>26</v>
      </c>
      <c r="B30" s="144" t="s">
        <v>6512</v>
      </c>
      <c r="C30" s="144" t="s">
        <v>6580</v>
      </c>
      <c r="D30" s="172" t="s">
        <v>6581</v>
      </c>
      <c r="E30" s="172" t="s">
        <v>6582</v>
      </c>
      <c r="F30" s="148" t="s">
        <v>6583</v>
      </c>
      <c r="G30" s="172" t="s">
        <v>6584</v>
      </c>
      <c r="H30" s="172" t="s">
        <v>6585</v>
      </c>
      <c r="I30" s="171">
        <f t="shared" si="1"/>
        <v>300</v>
      </c>
      <c r="J30" s="171">
        <v>0</v>
      </c>
      <c r="K30" s="171">
        <v>0</v>
      </c>
      <c r="L30" s="173">
        <v>300</v>
      </c>
      <c r="M30" s="171">
        <v>0</v>
      </c>
      <c r="N30" s="144"/>
      <c r="O30" s="144"/>
      <c r="P30" s="172" t="s">
        <v>261</v>
      </c>
      <c r="Q30" s="172"/>
      <c r="R30" s="172" t="s">
        <v>6586</v>
      </c>
      <c r="S30" s="172" t="s">
        <v>5218</v>
      </c>
      <c r="T30" s="172" t="s">
        <v>6587</v>
      </c>
      <c r="U30" s="172" t="s">
        <v>5063</v>
      </c>
      <c r="V30" s="172" t="s">
        <v>6588</v>
      </c>
      <c r="W30" s="81">
        <f t="shared" si="0"/>
        <v>1166</v>
      </c>
      <c r="X30" s="81">
        <v>1166</v>
      </c>
      <c r="Y30" s="81">
        <v>0</v>
      </c>
      <c r="Z30" s="172" t="s">
        <v>6589</v>
      </c>
    </row>
    <row r="31" spans="1:28" ht="38.25" customHeight="1">
      <c r="A31" s="144">
        <v>27</v>
      </c>
      <c r="B31" s="144" t="s">
        <v>6479</v>
      </c>
      <c r="C31" s="144" t="s">
        <v>6590</v>
      </c>
      <c r="D31" s="172" t="s">
        <v>6591</v>
      </c>
      <c r="E31" s="172" t="s">
        <v>6592</v>
      </c>
      <c r="F31" s="148" t="s">
        <v>6593</v>
      </c>
      <c r="G31" s="172" t="s">
        <v>6594</v>
      </c>
      <c r="H31" s="172" t="s">
        <v>6595</v>
      </c>
      <c r="I31" s="171">
        <f t="shared" si="1"/>
        <v>100</v>
      </c>
      <c r="J31" s="171">
        <v>0</v>
      </c>
      <c r="K31" s="171">
        <v>0</v>
      </c>
      <c r="L31" s="173">
        <v>100</v>
      </c>
      <c r="M31" s="171">
        <v>0</v>
      </c>
      <c r="N31" s="144"/>
      <c r="O31" s="144"/>
      <c r="P31" s="172" t="s">
        <v>261</v>
      </c>
      <c r="Q31" s="172"/>
      <c r="R31" s="172" t="s">
        <v>6596</v>
      </c>
      <c r="S31" s="172" t="s">
        <v>5047</v>
      </c>
      <c r="T31" s="172" t="s">
        <v>5048</v>
      </c>
      <c r="U31" s="172" t="s">
        <v>5077</v>
      </c>
      <c r="V31" s="172" t="s">
        <v>6054</v>
      </c>
      <c r="W31" s="81">
        <f t="shared" si="0"/>
        <v>60</v>
      </c>
      <c r="X31" s="81">
        <v>60</v>
      </c>
      <c r="Y31" s="81">
        <v>0</v>
      </c>
      <c r="Z31" s="172" t="s">
        <v>6597</v>
      </c>
    </row>
    <row r="32" spans="1:28" ht="38.25" customHeight="1">
      <c r="A32" s="144">
        <v>28</v>
      </c>
      <c r="B32" s="144" t="s">
        <v>6598</v>
      </c>
      <c r="C32" s="144" t="s">
        <v>6599</v>
      </c>
      <c r="D32" s="172" t="s">
        <v>6600</v>
      </c>
      <c r="E32" s="172" t="s">
        <v>6601</v>
      </c>
      <c r="F32" s="148" t="s">
        <v>6602</v>
      </c>
      <c r="G32" s="172" t="s">
        <v>6603</v>
      </c>
      <c r="H32" s="172" t="s">
        <v>6604</v>
      </c>
      <c r="I32" s="171">
        <f t="shared" si="1"/>
        <v>40</v>
      </c>
      <c r="J32" s="171">
        <v>0</v>
      </c>
      <c r="K32" s="171">
        <v>0</v>
      </c>
      <c r="L32" s="173">
        <v>30</v>
      </c>
      <c r="M32" s="171">
        <v>10</v>
      </c>
      <c r="N32" s="144"/>
      <c r="O32" s="144"/>
      <c r="P32" s="172" t="s">
        <v>261</v>
      </c>
      <c r="Q32" s="172"/>
      <c r="R32" s="172" t="s">
        <v>6605</v>
      </c>
      <c r="S32" s="172" t="s">
        <v>5047</v>
      </c>
      <c r="T32" s="172" t="s">
        <v>5095</v>
      </c>
      <c r="U32" s="172" t="s">
        <v>5077</v>
      </c>
      <c r="V32" s="172" t="s">
        <v>6054</v>
      </c>
      <c r="W32" s="81">
        <f t="shared" si="0"/>
        <v>3</v>
      </c>
      <c r="X32" s="81">
        <v>3</v>
      </c>
      <c r="Y32" s="81">
        <v>0</v>
      </c>
      <c r="Z32" s="172" t="s">
        <v>6606</v>
      </c>
    </row>
    <row r="33" spans="1:26" s="3" customFormat="1" ht="38.25" customHeight="1">
      <c r="A33" s="144">
        <v>29</v>
      </c>
      <c r="B33" s="144" t="s">
        <v>6598</v>
      </c>
      <c r="C33" s="144" t="s">
        <v>6599</v>
      </c>
      <c r="D33" s="172" t="s">
        <v>6607</v>
      </c>
      <c r="E33" s="172" t="s">
        <v>6608</v>
      </c>
      <c r="F33" s="148" t="s">
        <v>6609</v>
      </c>
      <c r="G33" s="172" t="s">
        <v>6610</v>
      </c>
      <c r="H33" s="172" t="s">
        <v>6611</v>
      </c>
      <c r="I33" s="171">
        <f t="shared" si="1"/>
        <v>65</v>
      </c>
      <c r="J33" s="171">
        <v>0</v>
      </c>
      <c r="K33" s="171">
        <v>0</v>
      </c>
      <c r="L33" s="173">
        <v>65</v>
      </c>
      <c r="M33" s="171">
        <v>0</v>
      </c>
      <c r="N33" s="144"/>
      <c r="O33" s="144"/>
      <c r="P33" s="172" t="s">
        <v>209</v>
      </c>
      <c r="Q33" s="172"/>
      <c r="R33" s="172" t="s">
        <v>6612</v>
      </c>
      <c r="S33" s="172" t="s">
        <v>5047</v>
      </c>
      <c r="T33" s="172" t="s">
        <v>5095</v>
      </c>
      <c r="U33" s="172" t="s">
        <v>5077</v>
      </c>
      <c r="V33" s="172" t="s">
        <v>6054</v>
      </c>
      <c r="W33" s="81">
        <f t="shared" si="0"/>
        <v>40</v>
      </c>
      <c r="X33" s="81">
        <v>40</v>
      </c>
      <c r="Y33" s="81">
        <v>0</v>
      </c>
      <c r="Z33" s="172" t="s">
        <v>6613</v>
      </c>
    </row>
    <row r="34" spans="1:26" s="3" customFormat="1" ht="38.25" customHeight="1">
      <c r="A34" s="144">
        <v>30</v>
      </c>
      <c r="B34" s="144" t="s">
        <v>6598</v>
      </c>
      <c r="C34" s="144" t="s">
        <v>6599</v>
      </c>
      <c r="D34" s="172" t="s">
        <v>6614</v>
      </c>
      <c r="E34" s="172" t="s">
        <v>6615</v>
      </c>
      <c r="F34" s="148" t="s">
        <v>6616</v>
      </c>
      <c r="G34" s="172" t="s">
        <v>6617</v>
      </c>
      <c r="H34" s="172" t="s">
        <v>6618</v>
      </c>
      <c r="I34" s="171">
        <f t="shared" si="1"/>
        <v>90</v>
      </c>
      <c r="J34" s="171">
        <v>0</v>
      </c>
      <c r="K34" s="171">
        <v>0</v>
      </c>
      <c r="L34" s="173">
        <v>90</v>
      </c>
      <c r="M34" s="171">
        <v>0</v>
      </c>
      <c r="N34" s="144"/>
      <c r="O34" s="144"/>
      <c r="P34" s="172" t="s">
        <v>209</v>
      </c>
      <c r="Q34" s="172"/>
      <c r="R34" s="172" t="s">
        <v>6619</v>
      </c>
      <c r="S34" s="172" t="s">
        <v>5035</v>
      </c>
      <c r="T34" s="172" t="s">
        <v>5138</v>
      </c>
      <c r="U34" s="172" t="s">
        <v>5128</v>
      </c>
      <c r="V34" s="172" t="s">
        <v>5038</v>
      </c>
      <c r="W34" s="81">
        <f t="shared" si="0"/>
        <v>300</v>
      </c>
      <c r="X34" s="81">
        <v>300</v>
      </c>
      <c r="Y34" s="81">
        <v>0</v>
      </c>
      <c r="Z34" s="172" t="s">
        <v>6620</v>
      </c>
    </row>
    <row r="35" spans="1:26" s="3" customFormat="1" ht="51" customHeight="1">
      <c r="A35" s="144">
        <v>31</v>
      </c>
      <c r="B35" s="144" t="s">
        <v>6431</v>
      </c>
      <c r="C35" s="144" t="s">
        <v>6621</v>
      </c>
      <c r="D35" s="172" t="s">
        <v>6622</v>
      </c>
      <c r="E35" s="172" t="s">
        <v>6623</v>
      </c>
      <c r="F35" s="148" t="s">
        <v>6624</v>
      </c>
      <c r="G35" s="172" t="s">
        <v>6625</v>
      </c>
      <c r="H35" s="172" t="s">
        <v>6626</v>
      </c>
      <c r="I35" s="171">
        <v>730</v>
      </c>
      <c r="J35" s="171">
        <v>200</v>
      </c>
      <c r="K35" s="171">
        <v>0</v>
      </c>
      <c r="L35" s="173">
        <v>500</v>
      </c>
      <c r="M35" s="171">
        <v>30</v>
      </c>
      <c r="N35" s="172" t="s">
        <v>510</v>
      </c>
      <c r="O35" s="144" t="s">
        <v>7053</v>
      </c>
      <c r="P35" s="172" t="s">
        <v>209</v>
      </c>
      <c r="Q35" s="172" t="s">
        <v>7054</v>
      </c>
      <c r="R35" s="172" t="s">
        <v>6627</v>
      </c>
      <c r="S35" s="172" t="s">
        <v>373</v>
      </c>
      <c r="T35" s="172" t="s">
        <v>501</v>
      </c>
      <c r="U35" s="172" t="s">
        <v>3466</v>
      </c>
      <c r="V35" s="172" t="s">
        <v>1924</v>
      </c>
      <c r="W35" s="81">
        <v>498</v>
      </c>
      <c r="X35" s="81">
        <v>469</v>
      </c>
      <c r="Y35" s="81">
        <v>29</v>
      </c>
      <c r="Z35" s="172" t="s">
        <v>6628</v>
      </c>
    </row>
    <row r="36" spans="1:26" s="3" customFormat="1" ht="48" customHeight="1">
      <c r="A36" s="144">
        <v>32</v>
      </c>
      <c r="B36" s="144" t="s">
        <v>6431</v>
      </c>
      <c r="C36" s="144" t="s">
        <v>6621</v>
      </c>
      <c r="D36" s="172" t="s">
        <v>6629</v>
      </c>
      <c r="E36" s="172" t="s">
        <v>6630</v>
      </c>
      <c r="F36" s="148" t="s">
        <v>6631</v>
      </c>
      <c r="G36" s="172" t="s">
        <v>7095</v>
      </c>
      <c r="H36" s="172" t="s">
        <v>3989</v>
      </c>
      <c r="I36" s="171">
        <v>202</v>
      </c>
      <c r="J36" s="171">
        <v>0</v>
      </c>
      <c r="K36" s="171">
        <v>0</v>
      </c>
      <c r="L36" s="173">
        <v>200</v>
      </c>
      <c r="M36" s="171">
        <v>2</v>
      </c>
      <c r="N36" s="144"/>
      <c r="O36" s="144"/>
      <c r="P36" s="172" t="s">
        <v>247</v>
      </c>
      <c r="Q36" s="172"/>
      <c r="R36" s="172" t="s">
        <v>6632</v>
      </c>
      <c r="S36" s="172" t="s">
        <v>373</v>
      </c>
      <c r="T36" s="172" t="s">
        <v>3480</v>
      </c>
      <c r="U36" s="172" t="s">
        <v>5128</v>
      </c>
      <c r="V36" s="172" t="s">
        <v>1924</v>
      </c>
      <c r="W36" s="81">
        <v>300</v>
      </c>
      <c r="X36" s="81">
        <v>250</v>
      </c>
      <c r="Y36" s="81">
        <v>50</v>
      </c>
      <c r="Z36" s="172" t="s">
        <v>6633</v>
      </c>
    </row>
    <row r="37" spans="1:26" s="3" customFormat="1" ht="38.25" customHeight="1">
      <c r="A37" s="144">
        <v>33</v>
      </c>
      <c r="B37" s="144" t="s">
        <v>6431</v>
      </c>
      <c r="C37" s="144" t="s">
        <v>6621</v>
      </c>
      <c r="D37" s="172" t="s">
        <v>6634</v>
      </c>
      <c r="E37" s="172" t="s">
        <v>6635</v>
      </c>
      <c r="F37" s="148" t="s">
        <v>6636</v>
      </c>
      <c r="G37" s="172" t="s">
        <v>7096</v>
      </c>
      <c r="H37" s="172" t="s">
        <v>6637</v>
      </c>
      <c r="I37" s="171">
        <v>40</v>
      </c>
      <c r="J37" s="171">
        <v>0</v>
      </c>
      <c r="K37" s="171">
        <v>0</v>
      </c>
      <c r="L37" s="173">
        <v>35</v>
      </c>
      <c r="M37" s="171">
        <v>5</v>
      </c>
      <c r="N37" s="144"/>
      <c r="O37" s="144"/>
      <c r="P37" s="172" t="s">
        <v>209</v>
      </c>
      <c r="Q37" s="172"/>
      <c r="R37" s="172" t="s">
        <v>6638</v>
      </c>
      <c r="S37" s="172" t="s">
        <v>3494</v>
      </c>
      <c r="T37" s="172" t="s">
        <v>3480</v>
      </c>
      <c r="U37" s="172" t="s">
        <v>5063</v>
      </c>
      <c r="V37" s="172" t="s">
        <v>1924</v>
      </c>
      <c r="W37" s="81">
        <v>20</v>
      </c>
      <c r="X37" s="81">
        <v>19</v>
      </c>
      <c r="Y37" s="81">
        <v>1</v>
      </c>
      <c r="Z37" s="172" t="s">
        <v>6639</v>
      </c>
    </row>
    <row r="38" spans="1:26" s="3" customFormat="1" ht="38.25" customHeight="1">
      <c r="A38" s="144">
        <v>34</v>
      </c>
      <c r="B38" s="144" t="s">
        <v>6431</v>
      </c>
      <c r="C38" s="144" t="s">
        <v>6621</v>
      </c>
      <c r="D38" s="172" t="s">
        <v>6640</v>
      </c>
      <c r="E38" s="172" t="s">
        <v>6641</v>
      </c>
      <c r="F38" s="148" t="s">
        <v>6642</v>
      </c>
      <c r="G38" s="172" t="s">
        <v>7097</v>
      </c>
      <c r="H38" s="172" t="s">
        <v>6643</v>
      </c>
      <c r="I38" s="171">
        <v>30</v>
      </c>
      <c r="J38" s="171">
        <v>0</v>
      </c>
      <c r="K38" s="171">
        <v>0</v>
      </c>
      <c r="L38" s="173">
        <v>20</v>
      </c>
      <c r="M38" s="171">
        <v>10</v>
      </c>
      <c r="N38" s="144"/>
      <c r="O38" s="144"/>
      <c r="P38" s="172" t="s">
        <v>261</v>
      </c>
      <c r="Q38" s="172"/>
      <c r="R38" s="172" t="s">
        <v>2506</v>
      </c>
      <c r="S38" s="172" t="s">
        <v>3494</v>
      </c>
      <c r="T38" s="172" t="s">
        <v>3480</v>
      </c>
      <c r="U38" s="172" t="s">
        <v>5063</v>
      </c>
      <c r="V38" s="172" t="s">
        <v>1924</v>
      </c>
      <c r="W38" s="81">
        <v>10</v>
      </c>
      <c r="X38" s="81">
        <v>10</v>
      </c>
      <c r="Y38" s="81">
        <v>0</v>
      </c>
      <c r="Z38" s="172" t="s">
        <v>6644</v>
      </c>
    </row>
    <row r="39" spans="1:26" s="3" customFormat="1" ht="60.75" customHeight="1">
      <c r="A39" s="144">
        <v>35</v>
      </c>
      <c r="B39" s="144" t="s">
        <v>6431</v>
      </c>
      <c r="C39" s="144" t="s">
        <v>6645</v>
      </c>
      <c r="D39" s="172" t="s">
        <v>6646</v>
      </c>
      <c r="E39" s="172" t="s">
        <v>6647</v>
      </c>
      <c r="F39" s="148" t="s">
        <v>6648</v>
      </c>
      <c r="G39" s="172" t="s">
        <v>6649</v>
      </c>
      <c r="H39" s="172" t="s">
        <v>3882</v>
      </c>
      <c r="I39" s="171">
        <v>300</v>
      </c>
      <c r="J39" s="171">
        <v>0</v>
      </c>
      <c r="K39" s="161">
        <v>10</v>
      </c>
      <c r="L39" s="184">
        <v>290</v>
      </c>
      <c r="M39" s="171">
        <v>0</v>
      </c>
      <c r="N39" s="144"/>
      <c r="O39" s="144"/>
      <c r="P39" s="144" t="s">
        <v>247</v>
      </c>
      <c r="Q39" s="172"/>
      <c r="R39" s="144" t="s">
        <v>4190</v>
      </c>
      <c r="S39" s="144" t="s">
        <v>373</v>
      </c>
      <c r="T39" s="144" t="s">
        <v>814</v>
      </c>
      <c r="U39" s="144" t="s">
        <v>595</v>
      </c>
      <c r="V39" s="144" t="s">
        <v>1924</v>
      </c>
      <c r="W39" s="81">
        <v>271</v>
      </c>
      <c r="X39" s="174">
        <v>271</v>
      </c>
      <c r="Y39" s="174">
        <v>0</v>
      </c>
      <c r="Z39" s="144" t="s">
        <v>6650</v>
      </c>
    </row>
    <row r="40" spans="1:26" s="3" customFormat="1" ht="47.25" customHeight="1">
      <c r="A40" s="144">
        <v>36</v>
      </c>
      <c r="B40" s="144" t="s">
        <v>6431</v>
      </c>
      <c r="C40" s="144" t="s">
        <v>6645</v>
      </c>
      <c r="D40" s="144" t="s">
        <v>6651</v>
      </c>
      <c r="E40" s="172" t="s">
        <v>6652</v>
      </c>
      <c r="F40" s="148" t="s">
        <v>6653</v>
      </c>
      <c r="G40" s="172" t="s">
        <v>6654</v>
      </c>
      <c r="H40" s="172" t="s">
        <v>4898</v>
      </c>
      <c r="I40" s="171">
        <v>290</v>
      </c>
      <c r="J40" s="171">
        <v>0</v>
      </c>
      <c r="K40" s="171">
        <v>0</v>
      </c>
      <c r="L40" s="184">
        <v>290</v>
      </c>
      <c r="M40" s="171">
        <v>0</v>
      </c>
      <c r="N40" s="144"/>
      <c r="O40" s="144"/>
      <c r="P40" s="144" t="s">
        <v>247</v>
      </c>
      <c r="Q40" s="172"/>
      <c r="R40" s="144" t="s">
        <v>6655</v>
      </c>
      <c r="S40" s="144" t="s">
        <v>373</v>
      </c>
      <c r="T40" s="144" t="s">
        <v>374</v>
      </c>
      <c r="U40" s="172" t="s">
        <v>5077</v>
      </c>
      <c r="V40" s="144" t="s">
        <v>1924</v>
      </c>
      <c r="W40" s="81">
        <v>59</v>
      </c>
      <c r="X40" s="174">
        <v>59</v>
      </c>
      <c r="Y40" s="174">
        <v>0</v>
      </c>
      <c r="Z40" s="144" t="s">
        <v>6650</v>
      </c>
    </row>
    <row r="41" spans="1:26" s="3" customFormat="1" ht="49.5" customHeight="1">
      <c r="A41" s="144">
        <v>37</v>
      </c>
      <c r="B41" s="144" t="s">
        <v>6431</v>
      </c>
      <c r="C41" s="144" t="s">
        <v>6645</v>
      </c>
      <c r="D41" s="144" t="s">
        <v>6656</v>
      </c>
      <c r="E41" s="172" t="s">
        <v>6657</v>
      </c>
      <c r="F41" s="148" t="s">
        <v>6658</v>
      </c>
      <c r="G41" s="172" t="s">
        <v>6659</v>
      </c>
      <c r="H41" s="172" t="s">
        <v>4898</v>
      </c>
      <c r="I41" s="171">
        <v>50</v>
      </c>
      <c r="J41" s="171">
        <v>0</v>
      </c>
      <c r="K41" s="171">
        <v>0</v>
      </c>
      <c r="L41" s="184">
        <v>50</v>
      </c>
      <c r="M41" s="171">
        <v>0</v>
      </c>
      <c r="N41" s="144"/>
      <c r="O41" s="144"/>
      <c r="P41" s="144" t="s">
        <v>247</v>
      </c>
      <c r="Q41" s="172"/>
      <c r="R41" s="144" t="s">
        <v>1472</v>
      </c>
      <c r="S41" s="144" t="s">
        <v>373</v>
      </c>
      <c r="T41" s="144" t="s">
        <v>374</v>
      </c>
      <c r="U41" s="172" t="s">
        <v>6660</v>
      </c>
      <c r="V41" s="144" t="s">
        <v>1924</v>
      </c>
      <c r="W41" s="81">
        <v>20</v>
      </c>
      <c r="X41" s="174">
        <v>20</v>
      </c>
      <c r="Y41" s="174">
        <v>0</v>
      </c>
      <c r="Z41" s="172" t="s">
        <v>6661</v>
      </c>
    </row>
    <row r="42" spans="1:26" s="3" customFormat="1" ht="75.75" customHeight="1">
      <c r="A42" s="144">
        <v>38</v>
      </c>
      <c r="B42" s="144" t="s">
        <v>6431</v>
      </c>
      <c r="C42" s="144" t="s">
        <v>2909</v>
      </c>
      <c r="D42" s="172" t="s">
        <v>6662</v>
      </c>
      <c r="E42" s="172" t="s">
        <v>6663</v>
      </c>
      <c r="F42" s="148" t="s">
        <v>6664</v>
      </c>
      <c r="G42" s="172" t="s">
        <v>6665</v>
      </c>
      <c r="H42" s="172" t="s">
        <v>6666</v>
      </c>
      <c r="I42" s="171">
        <v>490</v>
      </c>
      <c r="J42" s="171">
        <v>0</v>
      </c>
      <c r="K42" s="171">
        <v>0</v>
      </c>
      <c r="L42" s="173">
        <v>490</v>
      </c>
      <c r="M42" s="171">
        <v>0</v>
      </c>
      <c r="N42" s="144"/>
      <c r="O42" s="144"/>
      <c r="P42" s="172" t="s">
        <v>261</v>
      </c>
      <c r="Q42" s="172"/>
      <c r="R42" s="144" t="s">
        <v>2910</v>
      </c>
      <c r="S42" s="144" t="s">
        <v>373</v>
      </c>
      <c r="T42" s="144" t="s">
        <v>2911</v>
      </c>
      <c r="U42" s="172" t="s">
        <v>6660</v>
      </c>
      <c r="V42" s="172" t="s">
        <v>376</v>
      </c>
      <c r="W42" s="81">
        <v>500</v>
      </c>
      <c r="X42" s="81">
        <v>500</v>
      </c>
      <c r="Y42" s="81">
        <v>0</v>
      </c>
      <c r="Z42" s="172" t="s">
        <v>6667</v>
      </c>
    </row>
    <row r="43" spans="1:26" s="3" customFormat="1" ht="47.25" customHeight="1">
      <c r="A43" s="144">
        <v>39</v>
      </c>
      <c r="B43" s="144" t="s">
        <v>6431</v>
      </c>
      <c r="C43" s="144" t="s">
        <v>2909</v>
      </c>
      <c r="D43" s="172" t="s">
        <v>6668</v>
      </c>
      <c r="E43" s="172" t="s">
        <v>6669</v>
      </c>
      <c r="F43" s="148" t="s">
        <v>6670</v>
      </c>
      <c r="G43" s="172" t="s">
        <v>6671</v>
      </c>
      <c r="H43" s="172" t="s">
        <v>3827</v>
      </c>
      <c r="I43" s="171">
        <v>32</v>
      </c>
      <c r="J43" s="171">
        <v>0</v>
      </c>
      <c r="K43" s="171">
        <v>0</v>
      </c>
      <c r="L43" s="173">
        <v>32</v>
      </c>
      <c r="M43" s="171">
        <v>0</v>
      </c>
      <c r="N43" s="144"/>
      <c r="O43" s="144"/>
      <c r="P43" s="172" t="s">
        <v>261</v>
      </c>
      <c r="Q43" s="172"/>
      <c r="R43" s="144" t="s">
        <v>2506</v>
      </c>
      <c r="S43" s="144" t="s">
        <v>373</v>
      </c>
      <c r="T43" s="144" t="s">
        <v>613</v>
      </c>
      <c r="U43" s="172" t="s">
        <v>5077</v>
      </c>
      <c r="V43" s="172" t="s">
        <v>1924</v>
      </c>
      <c r="W43" s="81">
        <v>20</v>
      </c>
      <c r="X43" s="81">
        <v>20</v>
      </c>
      <c r="Y43" s="81">
        <v>0</v>
      </c>
      <c r="Z43" s="172" t="s">
        <v>6672</v>
      </c>
    </row>
    <row r="44" spans="1:26" s="3" customFormat="1" ht="38.25" customHeight="1">
      <c r="A44" s="144">
        <v>40</v>
      </c>
      <c r="B44" s="144" t="s">
        <v>6431</v>
      </c>
      <c r="C44" s="144" t="s">
        <v>2909</v>
      </c>
      <c r="D44" s="172" t="s">
        <v>6673</v>
      </c>
      <c r="E44" s="172" t="s">
        <v>6674</v>
      </c>
      <c r="F44" s="148" t="s">
        <v>6675</v>
      </c>
      <c r="G44" s="172" t="s">
        <v>6676</v>
      </c>
      <c r="H44" s="172" t="s">
        <v>6677</v>
      </c>
      <c r="I44" s="171">
        <v>295</v>
      </c>
      <c r="J44" s="171">
        <v>7</v>
      </c>
      <c r="K44" s="171">
        <v>0</v>
      </c>
      <c r="L44" s="173">
        <v>288</v>
      </c>
      <c r="M44" s="171">
        <v>0</v>
      </c>
      <c r="N44" s="144"/>
      <c r="O44" s="144"/>
      <c r="P44" s="172" t="s">
        <v>304</v>
      </c>
      <c r="Q44" s="172"/>
      <c r="R44" s="144" t="s">
        <v>2912</v>
      </c>
      <c r="S44" s="144" t="s">
        <v>373</v>
      </c>
      <c r="T44" s="144" t="s">
        <v>2911</v>
      </c>
      <c r="U44" s="172" t="s">
        <v>5077</v>
      </c>
      <c r="V44" s="172" t="s">
        <v>1924</v>
      </c>
      <c r="W44" s="81">
        <v>5</v>
      </c>
      <c r="X44" s="81">
        <v>5</v>
      </c>
      <c r="Y44" s="81">
        <v>0</v>
      </c>
      <c r="Z44" s="172" t="s">
        <v>6678</v>
      </c>
    </row>
    <row r="45" spans="1:26" s="3" customFormat="1" ht="65.25" customHeight="1">
      <c r="A45" s="144">
        <v>41</v>
      </c>
      <c r="B45" s="144" t="s">
        <v>6431</v>
      </c>
      <c r="C45" s="144" t="s">
        <v>2909</v>
      </c>
      <c r="D45" s="172" t="s">
        <v>6679</v>
      </c>
      <c r="E45" s="172" t="s">
        <v>6680</v>
      </c>
      <c r="F45" s="148" t="s">
        <v>6681</v>
      </c>
      <c r="G45" s="172" t="s">
        <v>6682</v>
      </c>
      <c r="H45" s="172" t="s">
        <v>6683</v>
      </c>
      <c r="I45" s="171">
        <v>230</v>
      </c>
      <c r="J45" s="171">
        <v>0</v>
      </c>
      <c r="K45" s="171">
        <v>0</v>
      </c>
      <c r="L45" s="173">
        <v>230</v>
      </c>
      <c r="M45" s="171">
        <v>0</v>
      </c>
      <c r="N45" s="144"/>
      <c r="O45" s="144"/>
      <c r="P45" s="172" t="s">
        <v>247</v>
      </c>
      <c r="Q45" s="172"/>
      <c r="R45" s="144" t="s">
        <v>2520</v>
      </c>
      <c r="S45" s="144" t="s">
        <v>373</v>
      </c>
      <c r="T45" s="144" t="s">
        <v>2911</v>
      </c>
      <c r="U45" s="172" t="s">
        <v>5063</v>
      </c>
      <c r="V45" s="172" t="s">
        <v>1924</v>
      </c>
      <c r="W45" s="81">
        <v>7</v>
      </c>
      <c r="X45" s="81">
        <v>7</v>
      </c>
      <c r="Y45" s="81">
        <v>0</v>
      </c>
      <c r="Z45" s="144" t="s">
        <v>6684</v>
      </c>
    </row>
    <row r="46" spans="1:26" s="3" customFormat="1" ht="48" customHeight="1">
      <c r="A46" s="144">
        <v>42</v>
      </c>
      <c r="B46" s="144" t="s">
        <v>6431</v>
      </c>
      <c r="C46" s="144" t="s">
        <v>2909</v>
      </c>
      <c r="D46" s="172" t="s">
        <v>6685</v>
      </c>
      <c r="E46" s="172" t="s">
        <v>6686</v>
      </c>
      <c r="F46" s="148" t="s">
        <v>6687</v>
      </c>
      <c r="G46" s="172" t="s">
        <v>6688</v>
      </c>
      <c r="H46" s="172" t="s">
        <v>6689</v>
      </c>
      <c r="I46" s="171">
        <v>120</v>
      </c>
      <c r="J46" s="171">
        <v>0</v>
      </c>
      <c r="K46" s="171">
        <v>0</v>
      </c>
      <c r="L46" s="173">
        <v>120</v>
      </c>
      <c r="M46" s="171">
        <v>0</v>
      </c>
      <c r="N46" s="144"/>
      <c r="O46" s="144"/>
      <c r="P46" s="172" t="s">
        <v>261</v>
      </c>
      <c r="Q46" s="172"/>
      <c r="R46" s="144" t="s">
        <v>2914</v>
      </c>
      <c r="S46" s="144" t="s">
        <v>373</v>
      </c>
      <c r="T46" s="144" t="s">
        <v>613</v>
      </c>
      <c r="U46" s="172" t="s">
        <v>5063</v>
      </c>
      <c r="V46" s="172" t="s">
        <v>1924</v>
      </c>
      <c r="W46" s="81">
        <v>50</v>
      </c>
      <c r="X46" s="81">
        <v>50</v>
      </c>
      <c r="Y46" s="81">
        <v>0</v>
      </c>
      <c r="Z46" s="172" t="s">
        <v>6690</v>
      </c>
    </row>
    <row r="47" spans="1:26" ht="73.5" customHeight="1">
      <c r="A47" s="144">
        <v>43</v>
      </c>
      <c r="B47" s="144" t="s">
        <v>6431</v>
      </c>
      <c r="C47" s="144" t="s">
        <v>6691</v>
      </c>
      <c r="D47" s="172" t="s">
        <v>6692</v>
      </c>
      <c r="E47" s="172" t="s">
        <v>6693</v>
      </c>
      <c r="F47" s="148" t="s">
        <v>6694</v>
      </c>
      <c r="G47" s="172" t="s">
        <v>6695</v>
      </c>
      <c r="H47" s="172" t="s">
        <v>6696</v>
      </c>
      <c r="I47" s="171">
        <v>410</v>
      </c>
      <c r="J47" s="171">
        <v>0</v>
      </c>
      <c r="K47" s="171">
        <v>10</v>
      </c>
      <c r="L47" s="173">
        <v>400</v>
      </c>
      <c r="M47" s="171">
        <v>0</v>
      </c>
      <c r="N47" s="144"/>
      <c r="O47" s="144"/>
      <c r="P47" s="172" t="s">
        <v>247</v>
      </c>
      <c r="Q47" s="172"/>
      <c r="R47" s="172" t="s">
        <v>6697</v>
      </c>
      <c r="S47" s="172" t="s">
        <v>373</v>
      </c>
      <c r="T47" s="172" t="s">
        <v>2920</v>
      </c>
      <c r="U47" s="172" t="s">
        <v>5063</v>
      </c>
      <c r="V47" s="172" t="s">
        <v>1924</v>
      </c>
      <c r="W47" s="81">
        <v>81.3</v>
      </c>
      <c r="X47" s="81">
        <v>81.3</v>
      </c>
      <c r="Y47" s="81">
        <v>0</v>
      </c>
      <c r="Z47" s="172" t="s">
        <v>6698</v>
      </c>
    </row>
    <row r="48" spans="1:26" ht="48" customHeight="1">
      <c r="A48" s="144">
        <v>44</v>
      </c>
      <c r="B48" s="144" t="s">
        <v>6431</v>
      </c>
      <c r="C48" s="144" t="s">
        <v>6691</v>
      </c>
      <c r="D48" s="172" t="s">
        <v>6699</v>
      </c>
      <c r="E48" s="172" t="s">
        <v>6700</v>
      </c>
      <c r="F48" s="148" t="s">
        <v>6701</v>
      </c>
      <c r="G48" s="172" t="s">
        <v>6702</v>
      </c>
      <c r="H48" s="172" t="s">
        <v>6683</v>
      </c>
      <c r="I48" s="171">
        <v>30</v>
      </c>
      <c r="J48" s="171">
        <v>0</v>
      </c>
      <c r="K48" s="171">
        <v>0</v>
      </c>
      <c r="L48" s="173">
        <v>10</v>
      </c>
      <c r="M48" s="171">
        <v>20</v>
      </c>
      <c r="N48" s="144"/>
      <c r="O48" s="144"/>
      <c r="P48" s="172" t="s">
        <v>436</v>
      </c>
      <c r="Q48" s="172"/>
      <c r="R48" s="172" t="s">
        <v>6703</v>
      </c>
      <c r="S48" s="172" t="s">
        <v>373</v>
      </c>
      <c r="T48" s="172" t="s">
        <v>6704</v>
      </c>
      <c r="U48" s="172" t="s">
        <v>5128</v>
      </c>
      <c r="V48" s="172" t="s">
        <v>1924</v>
      </c>
      <c r="W48" s="81">
        <v>5</v>
      </c>
      <c r="X48" s="81">
        <v>5</v>
      </c>
      <c r="Y48" s="81">
        <v>0</v>
      </c>
      <c r="Z48" s="172" t="s">
        <v>6705</v>
      </c>
    </row>
    <row r="49" spans="1:27" ht="69.75" customHeight="1">
      <c r="A49" s="144">
        <v>45</v>
      </c>
      <c r="B49" s="144" t="s">
        <v>6431</v>
      </c>
      <c r="C49" s="144" t="s">
        <v>6691</v>
      </c>
      <c r="D49" s="172" t="s">
        <v>6706</v>
      </c>
      <c r="E49" s="172" t="s">
        <v>6707</v>
      </c>
      <c r="F49" s="148" t="s">
        <v>6708</v>
      </c>
      <c r="G49" s="172" t="s">
        <v>6709</v>
      </c>
      <c r="H49" s="172" t="s">
        <v>403</v>
      </c>
      <c r="I49" s="171">
        <v>40</v>
      </c>
      <c r="J49" s="171">
        <v>0</v>
      </c>
      <c r="K49" s="171">
        <v>0</v>
      </c>
      <c r="L49" s="173">
        <v>40</v>
      </c>
      <c r="M49" s="171">
        <v>0</v>
      </c>
      <c r="N49" s="144"/>
      <c r="O49" s="144"/>
      <c r="P49" s="172" t="s">
        <v>209</v>
      </c>
      <c r="Q49" s="172"/>
      <c r="R49" s="172" t="s">
        <v>6710</v>
      </c>
      <c r="S49" s="172" t="s">
        <v>373</v>
      </c>
      <c r="T49" s="172" t="s">
        <v>6704</v>
      </c>
      <c r="U49" s="172" t="s">
        <v>5128</v>
      </c>
      <c r="V49" s="172" t="s">
        <v>1924</v>
      </c>
      <c r="W49" s="81">
        <v>50</v>
      </c>
      <c r="X49" s="81">
        <v>50</v>
      </c>
      <c r="Y49" s="81">
        <v>0</v>
      </c>
      <c r="Z49" s="172" t="s">
        <v>6711</v>
      </c>
    </row>
    <row r="50" spans="1:27" ht="60.75" customHeight="1">
      <c r="A50" s="144">
        <v>46</v>
      </c>
      <c r="B50" s="144" t="s">
        <v>6431</v>
      </c>
      <c r="C50" s="144" t="s">
        <v>6691</v>
      </c>
      <c r="D50" s="172" t="s">
        <v>6712</v>
      </c>
      <c r="E50" s="172" t="s">
        <v>6657</v>
      </c>
      <c r="F50" s="148" t="s">
        <v>6713</v>
      </c>
      <c r="G50" s="172" t="s">
        <v>6714</v>
      </c>
      <c r="H50" s="172" t="s">
        <v>3819</v>
      </c>
      <c r="I50" s="171">
        <v>0</v>
      </c>
      <c r="J50" s="171">
        <v>0</v>
      </c>
      <c r="K50" s="171">
        <v>0</v>
      </c>
      <c r="L50" s="173"/>
      <c r="M50" s="171">
        <v>0</v>
      </c>
      <c r="N50" s="144"/>
      <c r="O50" s="144"/>
      <c r="P50" s="172" t="s">
        <v>209</v>
      </c>
      <c r="Q50" s="172"/>
      <c r="R50" s="172" t="s">
        <v>6715</v>
      </c>
      <c r="S50" s="172" t="s">
        <v>373</v>
      </c>
      <c r="T50" s="172" t="s">
        <v>6704</v>
      </c>
      <c r="U50" s="172" t="s">
        <v>5128</v>
      </c>
      <c r="V50" s="172" t="s">
        <v>1924</v>
      </c>
      <c r="W50" s="81">
        <v>10</v>
      </c>
      <c r="X50" s="81">
        <v>10</v>
      </c>
      <c r="Y50" s="81">
        <v>0</v>
      </c>
      <c r="Z50" s="172" t="s">
        <v>6716</v>
      </c>
    </row>
    <row r="51" spans="1:27" ht="60.75" customHeight="1">
      <c r="A51" s="144">
        <v>47</v>
      </c>
      <c r="B51" s="144" t="s">
        <v>6431</v>
      </c>
      <c r="C51" s="144" t="s">
        <v>6691</v>
      </c>
      <c r="D51" s="172" t="s">
        <v>6717</v>
      </c>
      <c r="E51" s="172" t="s">
        <v>3475</v>
      </c>
      <c r="F51" s="148" t="s">
        <v>6718</v>
      </c>
      <c r="G51" s="172" t="s">
        <v>6719</v>
      </c>
      <c r="H51" s="172" t="s">
        <v>3510</v>
      </c>
      <c r="I51" s="171">
        <v>50</v>
      </c>
      <c r="J51" s="171">
        <v>0</v>
      </c>
      <c r="K51" s="171">
        <v>0</v>
      </c>
      <c r="L51" s="173">
        <v>50</v>
      </c>
      <c r="M51" s="171">
        <v>0</v>
      </c>
      <c r="N51" s="144"/>
      <c r="O51" s="144"/>
      <c r="P51" s="172" t="s">
        <v>247</v>
      </c>
      <c r="Q51" s="172"/>
      <c r="R51" s="172" t="s">
        <v>6720</v>
      </c>
      <c r="S51" s="172" t="s">
        <v>373</v>
      </c>
      <c r="T51" s="172" t="s">
        <v>2920</v>
      </c>
      <c r="U51" s="172" t="s">
        <v>5128</v>
      </c>
      <c r="V51" s="172" t="s">
        <v>1924</v>
      </c>
      <c r="W51" s="327" t="s">
        <v>7057</v>
      </c>
      <c r="X51" s="328"/>
      <c r="Y51" s="329"/>
      <c r="Z51" s="172" t="s">
        <v>6721</v>
      </c>
      <c r="AA51" s="259"/>
    </row>
    <row r="52" spans="1:27" ht="103.5" customHeight="1">
      <c r="A52" s="144">
        <v>48</v>
      </c>
      <c r="B52" s="144" t="s">
        <v>6431</v>
      </c>
      <c r="C52" s="144" t="s">
        <v>2922</v>
      </c>
      <c r="D52" s="172" t="s">
        <v>6722</v>
      </c>
      <c r="E52" s="172" t="s">
        <v>6723</v>
      </c>
      <c r="F52" s="148" t="s">
        <v>6724</v>
      </c>
      <c r="G52" s="172" t="s">
        <v>6725</v>
      </c>
      <c r="H52" s="172" t="s">
        <v>6726</v>
      </c>
      <c r="I52" s="171">
        <v>680</v>
      </c>
      <c r="J52" s="171">
        <v>0</v>
      </c>
      <c r="K52" s="171">
        <v>0</v>
      </c>
      <c r="L52" s="173">
        <v>570</v>
      </c>
      <c r="M52" s="171">
        <v>0</v>
      </c>
      <c r="N52" s="144" t="s">
        <v>510</v>
      </c>
      <c r="O52" s="144" t="s">
        <v>7053</v>
      </c>
      <c r="P52" s="144" t="s">
        <v>209</v>
      </c>
      <c r="Q52" s="172" t="s">
        <v>7055</v>
      </c>
      <c r="R52" s="144" t="s">
        <v>2915</v>
      </c>
      <c r="S52" s="144" t="s">
        <v>373</v>
      </c>
      <c r="T52" s="144" t="s">
        <v>2920</v>
      </c>
      <c r="U52" s="172" t="s">
        <v>5128</v>
      </c>
      <c r="V52" s="144" t="s">
        <v>529</v>
      </c>
      <c r="W52" s="81">
        <v>330</v>
      </c>
      <c r="X52" s="174">
        <v>328</v>
      </c>
      <c r="Y52" s="174">
        <v>2</v>
      </c>
      <c r="Z52" s="172" t="s">
        <v>6727</v>
      </c>
    </row>
    <row r="53" spans="1:27" ht="45.75" customHeight="1">
      <c r="A53" s="144">
        <v>49</v>
      </c>
      <c r="B53" s="144" t="s">
        <v>6431</v>
      </c>
      <c r="C53" s="144" t="s">
        <v>2922</v>
      </c>
      <c r="D53" s="172" t="s">
        <v>6728</v>
      </c>
      <c r="E53" s="172" t="s">
        <v>6729</v>
      </c>
      <c r="F53" s="148" t="s">
        <v>6730</v>
      </c>
      <c r="G53" s="172" t="s">
        <v>6731</v>
      </c>
      <c r="H53" s="172" t="s">
        <v>6732</v>
      </c>
      <c r="I53" s="171">
        <v>600</v>
      </c>
      <c r="J53" s="171">
        <v>0</v>
      </c>
      <c r="K53" s="171">
        <v>300</v>
      </c>
      <c r="L53" s="173">
        <v>300</v>
      </c>
      <c r="M53" s="171">
        <v>0</v>
      </c>
      <c r="N53" s="144"/>
      <c r="O53" s="144"/>
      <c r="P53" s="172" t="s">
        <v>247</v>
      </c>
      <c r="Q53" s="172"/>
      <c r="R53" s="172" t="s">
        <v>2916</v>
      </c>
      <c r="S53" s="172" t="s">
        <v>373</v>
      </c>
      <c r="T53" s="172" t="s">
        <v>814</v>
      </c>
      <c r="U53" s="172" t="s">
        <v>595</v>
      </c>
      <c r="V53" s="172" t="s">
        <v>1924</v>
      </c>
      <c r="W53" s="81">
        <v>102.4</v>
      </c>
      <c r="X53" s="81">
        <v>100.9</v>
      </c>
      <c r="Y53" s="81">
        <v>1.5</v>
      </c>
      <c r="Z53" s="172" t="s">
        <v>2917</v>
      </c>
      <c r="AA53" s="261" t="s">
        <v>6442</v>
      </c>
    </row>
    <row r="54" spans="1:27" ht="63" customHeight="1">
      <c r="A54" s="144">
        <v>50</v>
      </c>
      <c r="B54" s="144" t="s">
        <v>6431</v>
      </c>
      <c r="C54" s="144" t="s">
        <v>2922</v>
      </c>
      <c r="D54" s="172" t="s">
        <v>6733</v>
      </c>
      <c r="E54" s="172" t="s">
        <v>6734</v>
      </c>
      <c r="F54" s="148" t="s">
        <v>6735</v>
      </c>
      <c r="G54" s="172" t="s">
        <v>2918</v>
      </c>
      <c r="H54" s="172" t="s">
        <v>3588</v>
      </c>
      <c r="I54" s="171">
        <v>360</v>
      </c>
      <c r="J54" s="171">
        <v>0</v>
      </c>
      <c r="K54" s="171">
        <v>0</v>
      </c>
      <c r="L54" s="173">
        <v>360</v>
      </c>
      <c r="M54" s="171">
        <v>0</v>
      </c>
      <c r="N54" s="144"/>
      <c r="O54" s="144"/>
      <c r="P54" s="172" t="s">
        <v>247</v>
      </c>
      <c r="Q54" s="172"/>
      <c r="R54" s="172" t="s">
        <v>2919</v>
      </c>
      <c r="S54" s="172" t="s">
        <v>373</v>
      </c>
      <c r="T54" s="172" t="s">
        <v>2920</v>
      </c>
      <c r="U54" s="172" t="s">
        <v>6736</v>
      </c>
      <c r="V54" s="172" t="s">
        <v>376</v>
      </c>
      <c r="W54" s="81">
        <v>73</v>
      </c>
      <c r="X54" s="81">
        <v>71</v>
      </c>
      <c r="Y54" s="81">
        <v>2</v>
      </c>
      <c r="Z54" s="172" t="s">
        <v>2921</v>
      </c>
    </row>
    <row r="55" spans="1:27" ht="38.25" customHeight="1">
      <c r="A55" s="144">
        <v>51</v>
      </c>
      <c r="B55" s="144" t="s">
        <v>6431</v>
      </c>
      <c r="C55" s="144" t="s">
        <v>2922</v>
      </c>
      <c r="D55" s="144" t="s">
        <v>2923</v>
      </c>
      <c r="E55" s="172" t="s">
        <v>6465</v>
      </c>
      <c r="F55" s="199" t="s">
        <v>2924</v>
      </c>
      <c r="G55" s="172" t="s">
        <v>2925</v>
      </c>
      <c r="H55" s="172" t="s">
        <v>2926</v>
      </c>
      <c r="I55" s="171">
        <v>65</v>
      </c>
      <c r="J55" s="171">
        <v>0</v>
      </c>
      <c r="K55" s="171">
        <v>0</v>
      </c>
      <c r="L55" s="184">
        <v>55</v>
      </c>
      <c r="M55" s="161">
        <v>10</v>
      </c>
      <c r="N55" s="144"/>
      <c r="O55" s="144"/>
      <c r="P55" s="144" t="s">
        <v>209</v>
      </c>
      <c r="Q55" s="172"/>
      <c r="R55" s="144" t="s">
        <v>404</v>
      </c>
      <c r="S55" s="144" t="s">
        <v>373</v>
      </c>
      <c r="T55" s="144" t="s">
        <v>374</v>
      </c>
      <c r="U55" s="172" t="s">
        <v>5128</v>
      </c>
      <c r="V55" s="144" t="s">
        <v>1924</v>
      </c>
      <c r="W55" s="81">
        <v>15</v>
      </c>
      <c r="X55" s="174">
        <v>15</v>
      </c>
      <c r="Y55" s="174">
        <v>0</v>
      </c>
      <c r="Z55" s="172" t="s">
        <v>2927</v>
      </c>
    </row>
    <row r="56" spans="1:27" ht="65.25" customHeight="1">
      <c r="A56" s="144">
        <v>52</v>
      </c>
      <c r="B56" s="144" t="s">
        <v>6431</v>
      </c>
      <c r="C56" s="144" t="s">
        <v>2922</v>
      </c>
      <c r="D56" s="172" t="s">
        <v>6737</v>
      </c>
      <c r="E56" s="172" t="s">
        <v>6680</v>
      </c>
      <c r="F56" s="148" t="s">
        <v>6738</v>
      </c>
      <c r="G56" s="172" t="s">
        <v>2928</v>
      </c>
      <c r="H56" s="172" t="s">
        <v>6739</v>
      </c>
      <c r="I56" s="171">
        <v>225</v>
      </c>
      <c r="J56" s="171">
        <v>0</v>
      </c>
      <c r="K56" s="171">
        <v>0</v>
      </c>
      <c r="L56" s="173">
        <v>200</v>
      </c>
      <c r="M56" s="171">
        <v>25</v>
      </c>
      <c r="N56" s="144"/>
      <c r="O56" s="144"/>
      <c r="P56" s="172" t="s">
        <v>209</v>
      </c>
      <c r="Q56" s="172"/>
      <c r="R56" s="172" t="s">
        <v>2929</v>
      </c>
      <c r="S56" s="172" t="s">
        <v>373</v>
      </c>
      <c r="T56" s="172" t="s">
        <v>374</v>
      </c>
      <c r="U56" s="172" t="s">
        <v>5128</v>
      </c>
      <c r="V56" s="172" t="s">
        <v>376</v>
      </c>
      <c r="W56" s="81">
        <v>82</v>
      </c>
      <c r="X56" s="81">
        <v>82</v>
      </c>
      <c r="Y56" s="81">
        <v>0</v>
      </c>
      <c r="Z56" s="172" t="s">
        <v>2930</v>
      </c>
    </row>
    <row r="57" spans="1:27" ht="53.25" customHeight="1">
      <c r="A57" s="144">
        <v>53</v>
      </c>
      <c r="B57" s="144" t="s">
        <v>6431</v>
      </c>
      <c r="C57" s="144" t="s">
        <v>6740</v>
      </c>
      <c r="D57" s="172" t="s">
        <v>6741</v>
      </c>
      <c r="E57" s="172" t="s">
        <v>6742</v>
      </c>
      <c r="F57" s="148" t="s">
        <v>6743</v>
      </c>
      <c r="G57" s="172" t="s">
        <v>6744</v>
      </c>
      <c r="H57" s="172" t="s">
        <v>6745</v>
      </c>
      <c r="I57" s="171">
        <v>762</v>
      </c>
      <c r="J57" s="171">
        <v>0</v>
      </c>
      <c r="K57" s="171">
        <v>0</v>
      </c>
      <c r="L57" s="173">
        <v>762</v>
      </c>
      <c r="M57" s="171">
        <v>0</v>
      </c>
      <c r="N57" s="144"/>
      <c r="O57" s="144"/>
      <c r="P57" s="144" t="s">
        <v>261</v>
      </c>
      <c r="Q57" s="172"/>
      <c r="R57" s="144" t="s">
        <v>6746</v>
      </c>
      <c r="S57" s="144" t="s">
        <v>373</v>
      </c>
      <c r="T57" s="144" t="s">
        <v>6747</v>
      </c>
      <c r="U57" s="144" t="s">
        <v>595</v>
      </c>
      <c r="V57" s="144" t="s">
        <v>1924</v>
      </c>
      <c r="W57" s="81">
        <v>483.6</v>
      </c>
      <c r="X57" s="174">
        <v>482.6</v>
      </c>
      <c r="Y57" s="174">
        <v>1</v>
      </c>
      <c r="Z57" s="172" t="s">
        <v>6748</v>
      </c>
    </row>
    <row r="58" spans="1:27" ht="38.25" customHeight="1">
      <c r="A58" s="144">
        <v>54</v>
      </c>
      <c r="B58" s="144" t="s">
        <v>6431</v>
      </c>
      <c r="C58" s="144" t="s">
        <v>6740</v>
      </c>
      <c r="D58" s="172" t="s">
        <v>6749</v>
      </c>
      <c r="E58" s="172" t="s">
        <v>6750</v>
      </c>
      <c r="F58" s="148" t="s">
        <v>6751</v>
      </c>
      <c r="G58" s="172" t="s">
        <v>6752</v>
      </c>
      <c r="H58" s="172" t="s">
        <v>2470</v>
      </c>
      <c r="I58" s="171">
        <v>35</v>
      </c>
      <c r="J58" s="171">
        <v>0</v>
      </c>
      <c r="K58" s="171">
        <v>0</v>
      </c>
      <c r="L58" s="173">
        <v>35</v>
      </c>
      <c r="M58" s="171">
        <v>0</v>
      </c>
      <c r="N58" s="144"/>
      <c r="O58" s="144"/>
      <c r="P58" s="144" t="s">
        <v>261</v>
      </c>
      <c r="Q58" s="172"/>
      <c r="R58" s="172" t="s">
        <v>6753</v>
      </c>
      <c r="S58" s="144" t="s">
        <v>373</v>
      </c>
      <c r="T58" s="144" t="s">
        <v>613</v>
      </c>
      <c r="U58" s="172" t="s">
        <v>5063</v>
      </c>
      <c r="V58" s="144" t="s">
        <v>1924</v>
      </c>
      <c r="W58" s="81">
        <v>3</v>
      </c>
      <c r="X58" s="174">
        <v>3</v>
      </c>
      <c r="Y58" s="174">
        <v>0</v>
      </c>
      <c r="Z58" s="172" t="s">
        <v>6754</v>
      </c>
    </row>
    <row r="59" spans="1:27" ht="77.25" customHeight="1">
      <c r="A59" s="144">
        <v>55</v>
      </c>
      <c r="B59" s="144" t="s">
        <v>6431</v>
      </c>
      <c r="C59" s="144" t="s">
        <v>6740</v>
      </c>
      <c r="D59" s="172" t="s">
        <v>6755</v>
      </c>
      <c r="E59" s="172" t="s">
        <v>6756</v>
      </c>
      <c r="F59" s="148" t="s">
        <v>6757</v>
      </c>
      <c r="G59" s="172" t="s">
        <v>6758</v>
      </c>
      <c r="H59" s="172" t="s">
        <v>6759</v>
      </c>
      <c r="I59" s="171">
        <v>15</v>
      </c>
      <c r="J59" s="171">
        <v>0</v>
      </c>
      <c r="K59" s="171">
        <v>0</v>
      </c>
      <c r="L59" s="173">
        <v>15</v>
      </c>
      <c r="M59" s="171">
        <v>0</v>
      </c>
      <c r="N59" s="144"/>
      <c r="O59" s="144"/>
      <c r="P59" s="144" t="s">
        <v>261</v>
      </c>
      <c r="Q59" s="172"/>
      <c r="R59" s="144" t="s">
        <v>6753</v>
      </c>
      <c r="S59" s="144" t="s">
        <v>373</v>
      </c>
      <c r="T59" s="144" t="s">
        <v>613</v>
      </c>
      <c r="U59" s="172" t="s">
        <v>5063</v>
      </c>
      <c r="V59" s="172" t="s">
        <v>1467</v>
      </c>
      <c r="W59" s="81">
        <v>1</v>
      </c>
      <c r="X59" s="174">
        <v>1</v>
      </c>
      <c r="Y59" s="174">
        <v>0</v>
      </c>
      <c r="Z59" s="172" t="s">
        <v>2931</v>
      </c>
    </row>
    <row r="60" spans="1:27" ht="48" customHeight="1">
      <c r="A60" s="144">
        <v>56</v>
      </c>
      <c r="B60" s="144" t="s">
        <v>6431</v>
      </c>
      <c r="C60" s="144" t="s">
        <v>6740</v>
      </c>
      <c r="D60" s="172" t="s">
        <v>6760</v>
      </c>
      <c r="E60" s="172" t="s">
        <v>6761</v>
      </c>
      <c r="F60" s="148" t="s">
        <v>6762</v>
      </c>
      <c r="G60" s="172" t="s">
        <v>6763</v>
      </c>
      <c r="H60" s="172" t="s">
        <v>2990</v>
      </c>
      <c r="I60" s="171">
        <v>90</v>
      </c>
      <c r="J60" s="171">
        <v>0</v>
      </c>
      <c r="K60" s="171">
        <v>0</v>
      </c>
      <c r="L60" s="173">
        <v>90</v>
      </c>
      <c r="M60" s="171">
        <v>0</v>
      </c>
      <c r="N60" s="144"/>
      <c r="O60" s="144"/>
      <c r="P60" s="144" t="s">
        <v>247</v>
      </c>
      <c r="Q60" s="172"/>
      <c r="R60" s="144" t="s">
        <v>2932</v>
      </c>
      <c r="S60" s="144" t="s">
        <v>373</v>
      </c>
      <c r="T60" s="144" t="s">
        <v>6764</v>
      </c>
      <c r="U60" s="172" t="s">
        <v>5077</v>
      </c>
      <c r="V60" s="144" t="s">
        <v>1924</v>
      </c>
      <c r="W60" s="81">
        <v>14</v>
      </c>
      <c r="X60" s="174">
        <v>14</v>
      </c>
      <c r="Y60" s="174">
        <v>0</v>
      </c>
      <c r="Z60" s="172" t="s">
        <v>6765</v>
      </c>
    </row>
    <row r="61" spans="1:27" ht="59.25" customHeight="1">
      <c r="A61" s="144">
        <v>57</v>
      </c>
      <c r="B61" s="144" t="s">
        <v>6431</v>
      </c>
      <c r="C61" s="144" t="s">
        <v>6740</v>
      </c>
      <c r="D61" s="172" t="s">
        <v>6766</v>
      </c>
      <c r="E61" s="172" t="s">
        <v>6750</v>
      </c>
      <c r="F61" s="148" t="s">
        <v>6767</v>
      </c>
      <c r="G61" s="172" t="s">
        <v>6768</v>
      </c>
      <c r="H61" s="172" t="s">
        <v>1922</v>
      </c>
      <c r="I61" s="171">
        <v>70</v>
      </c>
      <c r="J61" s="171">
        <v>0</v>
      </c>
      <c r="K61" s="171">
        <v>0</v>
      </c>
      <c r="L61" s="173">
        <v>70</v>
      </c>
      <c r="M61" s="171">
        <v>0</v>
      </c>
      <c r="N61" s="144"/>
      <c r="O61" s="144"/>
      <c r="P61" s="144" t="s">
        <v>261</v>
      </c>
      <c r="Q61" s="172"/>
      <c r="R61" s="144" t="s">
        <v>6769</v>
      </c>
      <c r="S61" s="144" t="s">
        <v>373</v>
      </c>
      <c r="T61" s="144" t="s">
        <v>6764</v>
      </c>
      <c r="U61" s="172" t="s">
        <v>5077</v>
      </c>
      <c r="V61" s="144" t="s">
        <v>1924</v>
      </c>
      <c r="W61" s="81">
        <v>6</v>
      </c>
      <c r="X61" s="174">
        <v>6</v>
      </c>
      <c r="Y61" s="174">
        <v>0</v>
      </c>
      <c r="Z61" s="172" t="s">
        <v>6770</v>
      </c>
    </row>
    <row r="62" spans="1:27" ht="48.75" customHeight="1">
      <c r="A62" s="144">
        <v>58</v>
      </c>
      <c r="B62" s="144" t="s">
        <v>6431</v>
      </c>
      <c r="C62" s="144" t="s">
        <v>6740</v>
      </c>
      <c r="D62" s="172" t="s">
        <v>6771</v>
      </c>
      <c r="E62" s="172" t="s">
        <v>6772</v>
      </c>
      <c r="F62" s="148" t="s">
        <v>6773</v>
      </c>
      <c r="G62" s="172" t="s">
        <v>6774</v>
      </c>
      <c r="H62" s="172" t="s">
        <v>6775</v>
      </c>
      <c r="I62" s="171">
        <v>70</v>
      </c>
      <c r="J62" s="171">
        <v>0</v>
      </c>
      <c r="K62" s="171">
        <v>0</v>
      </c>
      <c r="L62" s="173">
        <v>70</v>
      </c>
      <c r="M62" s="171">
        <v>0</v>
      </c>
      <c r="N62" s="144"/>
      <c r="O62" s="144"/>
      <c r="P62" s="144" t="s">
        <v>261</v>
      </c>
      <c r="Q62" s="172"/>
      <c r="R62" s="144" t="s">
        <v>6776</v>
      </c>
      <c r="S62" s="144" t="s">
        <v>373</v>
      </c>
      <c r="T62" s="144" t="s">
        <v>613</v>
      </c>
      <c r="U62" s="172" t="s">
        <v>5077</v>
      </c>
      <c r="V62" s="172" t="s">
        <v>6777</v>
      </c>
      <c r="W62" s="81">
        <v>1.5</v>
      </c>
      <c r="X62" s="174">
        <v>1.5</v>
      </c>
      <c r="Y62" s="174">
        <v>0</v>
      </c>
      <c r="Z62" s="172" t="s">
        <v>6778</v>
      </c>
    </row>
    <row r="63" spans="1:27" ht="40.5" customHeight="1">
      <c r="A63" s="144">
        <v>59</v>
      </c>
      <c r="B63" s="144" t="s">
        <v>6431</v>
      </c>
      <c r="C63" s="144" t="s">
        <v>6779</v>
      </c>
      <c r="D63" s="172" t="s">
        <v>6780</v>
      </c>
      <c r="E63" s="172" t="s">
        <v>6781</v>
      </c>
      <c r="F63" s="148" t="s">
        <v>6782</v>
      </c>
      <c r="G63" s="172" t="s">
        <v>2933</v>
      </c>
      <c r="H63" s="172" t="s">
        <v>6783</v>
      </c>
      <c r="I63" s="171">
        <v>70</v>
      </c>
      <c r="J63" s="171">
        <v>0</v>
      </c>
      <c r="K63" s="171">
        <v>0</v>
      </c>
      <c r="L63" s="173">
        <v>50</v>
      </c>
      <c r="M63" s="171">
        <v>20</v>
      </c>
      <c r="N63" s="144"/>
      <c r="O63" s="144"/>
      <c r="P63" s="172" t="s">
        <v>209</v>
      </c>
      <c r="Q63" s="172"/>
      <c r="R63" s="172" t="s">
        <v>6784</v>
      </c>
      <c r="S63" s="172" t="s">
        <v>373</v>
      </c>
      <c r="T63" s="172" t="s">
        <v>6764</v>
      </c>
      <c r="U63" s="172" t="s">
        <v>5063</v>
      </c>
      <c r="V63" s="172" t="s">
        <v>529</v>
      </c>
      <c r="W63" s="81">
        <v>26</v>
      </c>
      <c r="X63" s="81">
        <v>26</v>
      </c>
      <c r="Y63" s="81">
        <v>0</v>
      </c>
      <c r="Z63" s="172" t="s">
        <v>6785</v>
      </c>
    </row>
    <row r="64" spans="1:27" ht="131.25" customHeight="1">
      <c r="A64" s="144">
        <v>60</v>
      </c>
      <c r="B64" s="144" t="s">
        <v>6431</v>
      </c>
      <c r="C64" s="144" t="s">
        <v>6779</v>
      </c>
      <c r="D64" s="172" t="s">
        <v>2934</v>
      </c>
      <c r="E64" s="172" t="s">
        <v>6786</v>
      </c>
      <c r="F64" s="148" t="s">
        <v>6787</v>
      </c>
      <c r="G64" s="172" t="s">
        <v>2935</v>
      </c>
      <c r="H64" s="172" t="s">
        <v>3547</v>
      </c>
      <c r="I64" s="171">
        <v>1610</v>
      </c>
      <c r="J64" s="171">
        <v>110</v>
      </c>
      <c r="K64" s="171">
        <v>0</v>
      </c>
      <c r="L64" s="173">
        <v>1500</v>
      </c>
      <c r="M64" s="171">
        <v>0</v>
      </c>
      <c r="N64" s="144" t="s">
        <v>510</v>
      </c>
      <c r="O64" s="144" t="s">
        <v>7053</v>
      </c>
      <c r="P64" s="172" t="s">
        <v>261</v>
      </c>
      <c r="Q64" s="172" t="s">
        <v>7055</v>
      </c>
      <c r="R64" s="172" t="s">
        <v>6788</v>
      </c>
      <c r="S64" s="172" t="s">
        <v>373</v>
      </c>
      <c r="T64" s="172" t="s">
        <v>6764</v>
      </c>
      <c r="U64" s="172" t="s">
        <v>5063</v>
      </c>
      <c r="V64" s="172" t="s">
        <v>3628</v>
      </c>
      <c r="W64" s="81">
        <v>447</v>
      </c>
      <c r="X64" s="81">
        <v>437</v>
      </c>
      <c r="Y64" s="81">
        <v>10</v>
      </c>
      <c r="Z64" s="172" t="s">
        <v>6789</v>
      </c>
    </row>
    <row r="65" spans="1:27" ht="63" customHeight="1">
      <c r="A65" s="144">
        <v>61</v>
      </c>
      <c r="B65" s="144" t="s">
        <v>6431</v>
      </c>
      <c r="C65" s="144" t="s">
        <v>6779</v>
      </c>
      <c r="D65" s="172" t="s">
        <v>2937</v>
      </c>
      <c r="E65" s="172" t="s">
        <v>6790</v>
      </c>
      <c r="F65" s="148" t="s">
        <v>2938</v>
      </c>
      <c r="G65" s="172" t="s">
        <v>6791</v>
      </c>
      <c r="H65" s="172" t="s">
        <v>3819</v>
      </c>
      <c r="I65" s="171">
        <v>135</v>
      </c>
      <c r="J65" s="171">
        <v>0</v>
      </c>
      <c r="K65" s="171">
        <v>0</v>
      </c>
      <c r="L65" s="173">
        <v>105</v>
      </c>
      <c r="M65" s="171">
        <v>30</v>
      </c>
      <c r="N65" s="144"/>
      <c r="O65" s="144"/>
      <c r="P65" s="172" t="s">
        <v>247</v>
      </c>
      <c r="Q65" s="172"/>
      <c r="R65" s="172" t="s">
        <v>6792</v>
      </c>
      <c r="S65" s="172" t="s">
        <v>373</v>
      </c>
      <c r="T65" s="172" t="s">
        <v>6764</v>
      </c>
      <c r="U65" s="172" t="s">
        <v>5063</v>
      </c>
      <c r="V65" s="172" t="s">
        <v>529</v>
      </c>
      <c r="W65" s="81">
        <v>21</v>
      </c>
      <c r="X65" s="81">
        <v>21</v>
      </c>
      <c r="Y65" s="81">
        <v>0</v>
      </c>
      <c r="Z65" s="172" t="s">
        <v>6793</v>
      </c>
    </row>
    <row r="66" spans="1:27" ht="39.75" customHeight="1">
      <c r="A66" s="144">
        <v>62</v>
      </c>
      <c r="B66" s="144" t="s">
        <v>6431</v>
      </c>
      <c r="C66" s="144" t="s">
        <v>6779</v>
      </c>
      <c r="D66" s="172" t="s">
        <v>2939</v>
      </c>
      <c r="E66" s="172" t="s">
        <v>6794</v>
      </c>
      <c r="F66" s="148" t="s">
        <v>2940</v>
      </c>
      <c r="G66" s="172" t="s">
        <v>2941</v>
      </c>
      <c r="H66" s="172" t="s">
        <v>6795</v>
      </c>
      <c r="I66" s="171">
        <v>51.5</v>
      </c>
      <c r="J66" s="171">
        <v>0</v>
      </c>
      <c r="K66" s="171">
        <v>0</v>
      </c>
      <c r="L66" s="173">
        <v>36</v>
      </c>
      <c r="M66" s="171">
        <v>15.5</v>
      </c>
      <c r="N66" s="144"/>
      <c r="O66" s="144"/>
      <c r="P66" s="172" t="s">
        <v>209</v>
      </c>
      <c r="Q66" s="172"/>
      <c r="R66" s="172" t="s">
        <v>6796</v>
      </c>
      <c r="S66" s="172" t="s">
        <v>373</v>
      </c>
      <c r="T66" s="172" t="s">
        <v>6764</v>
      </c>
      <c r="U66" s="172" t="s">
        <v>5063</v>
      </c>
      <c r="V66" s="172" t="s">
        <v>529</v>
      </c>
      <c r="W66" s="81">
        <v>4</v>
      </c>
      <c r="X66" s="81">
        <v>4</v>
      </c>
      <c r="Y66" s="81">
        <v>0</v>
      </c>
      <c r="Z66" s="172" t="s">
        <v>6797</v>
      </c>
    </row>
    <row r="67" spans="1:27" ht="47.25" customHeight="1">
      <c r="A67" s="144">
        <v>63</v>
      </c>
      <c r="B67" s="144" t="s">
        <v>6431</v>
      </c>
      <c r="C67" s="144" t="s">
        <v>6779</v>
      </c>
      <c r="D67" s="172" t="s">
        <v>2942</v>
      </c>
      <c r="E67" s="172" t="s">
        <v>6798</v>
      </c>
      <c r="F67" s="148" t="s">
        <v>2943</v>
      </c>
      <c r="G67" s="172" t="s">
        <v>2944</v>
      </c>
      <c r="H67" s="172" t="s">
        <v>2945</v>
      </c>
      <c r="I67" s="171">
        <v>40</v>
      </c>
      <c r="J67" s="171">
        <v>0</v>
      </c>
      <c r="K67" s="171">
        <v>0</v>
      </c>
      <c r="L67" s="173">
        <v>20</v>
      </c>
      <c r="M67" s="171">
        <v>20</v>
      </c>
      <c r="N67" s="144"/>
      <c r="O67" s="144"/>
      <c r="P67" s="172" t="s">
        <v>209</v>
      </c>
      <c r="Q67" s="172"/>
      <c r="R67" s="172" t="s">
        <v>6799</v>
      </c>
      <c r="S67" s="172" t="s">
        <v>373</v>
      </c>
      <c r="T67" s="172" t="s">
        <v>6764</v>
      </c>
      <c r="U67" s="172" t="s">
        <v>5063</v>
      </c>
      <c r="V67" s="172" t="s">
        <v>529</v>
      </c>
      <c r="W67" s="330" t="s">
        <v>6800</v>
      </c>
      <c r="X67" s="331"/>
      <c r="Y67" s="332"/>
      <c r="Z67" s="172" t="s">
        <v>3642</v>
      </c>
      <c r="AA67" s="259"/>
    </row>
    <row r="68" spans="1:27" s="260" customFormat="1" ht="72" customHeight="1">
      <c r="A68" s="144">
        <v>64</v>
      </c>
      <c r="B68" s="144" t="s">
        <v>6479</v>
      </c>
      <c r="C68" s="270" t="s">
        <v>6801</v>
      </c>
      <c r="D68" s="172" t="s">
        <v>6802</v>
      </c>
      <c r="E68" s="172" t="s">
        <v>6803</v>
      </c>
      <c r="F68" s="148" t="s">
        <v>6804</v>
      </c>
      <c r="G68" s="172" t="s">
        <v>6805</v>
      </c>
      <c r="H68" s="172" t="s">
        <v>6806</v>
      </c>
      <c r="I68" s="171">
        <f t="shared" ref="I68:I78" si="2">SUM(J68:M68)</f>
        <v>50</v>
      </c>
      <c r="J68" s="171">
        <v>0</v>
      </c>
      <c r="K68" s="171">
        <v>0</v>
      </c>
      <c r="L68" s="173">
        <v>50</v>
      </c>
      <c r="M68" s="171">
        <v>0</v>
      </c>
      <c r="N68" s="144"/>
      <c r="O68" s="144"/>
      <c r="P68" s="172" t="s">
        <v>5170</v>
      </c>
      <c r="Q68" s="172"/>
      <c r="R68" s="172" t="s">
        <v>6807</v>
      </c>
      <c r="S68" s="172" t="s">
        <v>5218</v>
      </c>
      <c r="T68" s="172" t="s">
        <v>6587</v>
      </c>
      <c r="U68" s="172" t="s">
        <v>5063</v>
      </c>
      <c r="V68" s="172" t="s">
        <v>6808</v>
      </c>
      <c r="W68" s="81">
        <f t="shared" ref="W68:W107" si="3">SUM(X68:Y68)</f>
        <v>15</v>
      </c>
      <c r="X68" s="81">
        <v>15</v>
      </c>
      <c r="Y68" s="81">
        <v>0</v>
      </c>
      <c r="Z68" s="172" t="s">
        <v>6809</v>
      </c>
    </row>
    <row r="69" spans="1:27" s="260" customFormat="1" ht="56.25" customHeight="1">
      <c r="A69" s="144">
        <v>65</v>
      </c>
      <c r="B69" s="144" t="s">
        <v>6479</v>
      </c>
      <c r="C69" s="270" t="s">
        <v>6801</v>
      </c>
      <c r="D69" s="172" t="s">
        <v>6810</v>
      </c>
      <c r="E69" s="172" t="s">
        <v>6811</v>
      </c>
      <c r="F69" s="148" t="s">
        <v>6812</v>
      </c>
      <c r="G69" s="172" t="s">
        <v>6813</v>
      </c>
      <c r="H69" s="172" t="s">
        <v>6814</v>
      </c>
      <c r="I69" s="171">
        <f t="shared" si="2"/>
        <v>50</v>
      </c>
      <c r="J69" s="171">
        <v>0</v>
      </c>
      <c r="K69" s="171">
        <v>0</v>
      </c>
      <c r="L69" s="184">
        <v>50</v>
      </c>
      <c r="M69" s="171">
        <v>0</v>
      </c>
      <c r="N69" s="144"/>
      <c r="O69" s="144"/>
      <c r="P69" s="144" t="s">
        <v>6815</v>
      </c>
      <c r="Q69" s="172"/>
      <c r="R69" s="144" t="s">
        <v>6816</v>
      </c>
      <c r="S69" s="172" t="s">
        <v>5218</v>
      </c>
      <c r="T69" s="172" t="s">
        <v>6587</v>
      </c>
      <c r="U69" s="172" t="s">
        <v>5063</v>
      </c>
      <c r="V69" s="172" t="s">
        <v>6808</v>
      </c>
      <c r="W69" s="330" t="s">
        <v>6818</v>
      </c>
      <c r="X69" s="331"/>
      <c r="Y69" s="332"/>
      <c r="Z69" s="172" t="s">
        <v>6817</v>
      </c>
      <c r="AA69" s="259"/>
    </row>
    <row r="70" spans="1:27" s="260" customFormat="1" ht="60">
      <c r="A70" s="144">
        <v>66</v>
      </c>
      <c r="B70" s="144" t="s">
        <v>6479</v>
      </c>
      <c r="C70" s="270" t="s">
        <v>6801</v>
      </c>
      <c r="D70" s="172" t="s">
        <v>6819</v>
      </c>
      <c r="E70" s="172" t="s">
        <v>6820</v>
      </c>
      <c r="F70" s="148" t="s">
        <v>6821</v>
      </c>
      <c r="G70" s="172" t="s">
        <v>6822</v>
      </c>
      <c r="H70" s="172" t="s">
        <v>6823</v>
      </c>
      <c r="I70" s="171">
        <f t="shared" si="2"/>
        <v>50</v>
      </c>
      <c r="J70" s="171">
        <v>0</v>
      </c>
      <c r="K70" s="171">
        <v>0</v>
      </c>
      <c r="L70" s="173">
        <v>50</v>
      </c>
      <c r="M70" s="171">
        <v>0</v>
      </c>
      <c r="N70" s="144"/>
      <c r="O70" s="144"/>
      <c r="P70" s="172" t="s">
        <v>304</v>
      </c>
      <c r="Q70" s="172"/>
      <c r="R70" s="172" t="s">
        <v>6824</v>
      </c>
      <c r="S70" s="172" t="s">
        <v>5218</v>
      </c>
      <c r="T70" s="172" t="s">
        <v>6587</v>
      </c>
      <c r="U70" s="172" t="s">
        <v>5063</v>
      </c>
      <c r="V70" s="172" t="s">
        <v>6808</v>
      </c>
      <c r="W70" s="81">
        <f t="shared" si="3"/>
        <v>25</v>
      </c>
      <c r="X70" s="81">
        <v>25</v>
      </c>
      <c r="Y70" s="81">
        <v>0</v>
      </c>
      <c r="Z70" s="172" t="s">
        <v>6825</v>
      </c>
    </row>
    <row r="71" spans="1:27" s="260" customFormat="1" ht="48">
      <c r="A71" s="144">
        <v>67</v>
      </c>
      <c r="B71" s="144" t="s">
        <v>6479</v>
      </c>
      <c r="C71" s="270" t="s">
        <v>6801</v>
      </c>
      <c r="D71" s="172" t="s">
        <v>6826</v>
      </c>
      <c r="E71" s="172" t="s">
        <v>6827</v>
      </c>
      <c r="F71" s="148" t="s">
        <v>6828</v>
      </c>
      <c r="G71" s="172" t="s">
        <v>6829</v>
      </c>
      <c r="H71" s="172" t="s">
        <v>6830</v>
      </c>
      <c r="I71" s="171">
        <f t="shared" si="2"/>
        <v>50</v>
      </c>
      <c r="J71" s="171">
        <v>0</v>
      </c>
      <c r="K71" s="171">
        <v>0</v>
      </c>
      <c r="L71" s="173">
        <v>50</v>
      </c>
      <c r="M71" s="171">
        <v>0</v>
      </c>
      <c r="N71" s="144"/>
      <c r="O71" s="144"/>
      <c r="P71" s="172" t="s">
        <v>247</v>
      </c>
      <c r="Q71" s="172"/>
      <c r="R71" s="172" t="s">
        <v>6831</v>
      </c>
      <c r="S71" s="172" t="s">
        <v>5218</v>
      </c>
      <c r="T71" s="172" t="s">
        <v>6587</v>
      </c>
      <c r="U71" s="172" t="s">
        <v>5063</v>
      </c>
      <c r="V71" s="172" t="s">
        <v>6808</v>
      </c>
      <c r="W71" s="81">
        <f t="shared" si="3"/>
        <v>9</v>
      </c>
      <c r="X71" s="81">
        <v>9</v>
      </c>
      <c r="Y71" s="81">
        <v>0</v>
      </c>
      <c r="Z71" s="172" t="s">
        <v>6832</v>
      </c>
    </row>
    <row r="72" spans="1:27" s="260" customFormat="1" ht="48">
      <c r="A72" s="144">
        <v>68</v>
      </c>
      <c r="B72" s="144" t="s">
        <v>6479</v>
      </c>
      <c r="C72" s="270" t="s">
        <v>6801</v>
      </c>
      <c r="D72" s="172" t="s">
        <v>6833</v>
      </c>
      <c r="E72" s="172" t="s">
        <v>6834</v>
      </c>
      <c r="F72" s="148" t="s">
        <v>6835</v>
      </c>
      <c r="G72" s="172" t="s">
        <v>6836</v>
      </c>
      <c r="H72" s="172" t="s">
        <v>6837</v>
      </c>
      <c r="I72" s="171">
        <f t="shared" si="2"/>
        <v>50</v>
      </c>
      <c r="J72" s="171">
        <v>0</v>
      </c>
      <c r="K72" s="171">
        <v>0</v>
      </c>
      <c r="L72" s="173">
        <v>50</v>
      </c>
      <c r="M72" s="171">
        <v>0</v>
      </c>
      <c r="N72" s="144"/>
      <c r="O72" s="144"/>
      <c r="P72" s="172" t="s">
        <v>6838</v>
      </c>
      <c r="Q72" s="172"/>
      <c r="R72" s="172" t="s">
        <v>6839</v>
      </c>
      <c r="S72" s="172" t="s">
        <v>6840</v>
      </c>
      <c r="T72" s="172" t="s">
        <v>6841</v>
      </c>
      <c r="U72" s="172" t="s">
        <v>6842</v>
      </c>
      <c r="V72" s="172" t="s">
        <v>6843</v>
      </c>
      <c r="W72" s="81">
        <f t="shared" si="3"/>
        <v>7</v>
      </c>
      <c r="X72" s="81">
        <v>7</v>
      </c>
      <c r="Y72" s="81">
        <v>0</v>
      </c>
      <c r="Z72" s="172" t="s">
        <v>6844</v>
      </c>
    </row>
    <row r="73" spans="1:27" s="260" customFormat="1" ht="74.25" customHeight="1">
      <c r="A73" s="144">
        <v>69</v>
      </c>
      <c r="B73" s="144" t="s">
        <v>6845</v>
      </c>
      <c r="C73" s="270" t="s">
        <v>6846</v>
      </c>
      <c r="D73" s="172" t="s">
        <v>6847</v>
      </c>
      <c r="E73" s="172" t="s">
        <v>6848</v>
      </c>
      <c r="F73" s="148" t="s">
        <v>6849</v>
      </c>
      <c r="G73" s="172" t="s">
        <v>6850</v>
      </c>
      <c r="H73" s="172" t="s">
        <v>6851</v>
      </c>
      <c r="I73" s="171">
        <f t="shared" si="2"/>
        <v>1100</v>
      </c>
      <c r="J73" s="171">
        <v>200</v>
      </c>
      <c r="K73" s="171">
        <v>0</v>
      </c>
      <c r="L73" s="173">
        <v>900</v>
      </c>
      <c r="M73" s="171">
        <v>0</v>
      </c>
      <c r="N73" s="144" t="s">
        <v>6852</v>
      </c>
      <c r="O73" s="144" t="s">
        <v>6853</v>
      </c>
      <c r="P73" s="172" t="s">
        <v>247</v>
      </c>
      <c r="Q73" s="172" t="s">
        <v>7054</v>
      </c>
      <c r="R73" s="172" t="s">
        <v>6854</v>
      </c>
      <c r="S73" s="172" t="s">
        <v>5325</v>
      </c>
      <c r="T73" s="172" t="s">
        <v>5326</v>
      </c>
      <c r="U73" s="172" t="s">
        <v>5976</v>
      </c>
      <c r="V73" s="172" t="s">
        <v>6855</v>
      </c>
      <c r="W73" s="81">
        <f t="shared" si="3"/>
        <v>326</v>
      </c>
      <c r="X73" s="174">
        <v>310</v>
      </c>
      <c r="Y73" s="174">
        <v>16</v>
      </c>
      <c r="Z73" s="172" t="s">
        <v>6856</v>
      </c>
    </row>
    <row r="74" spans="1:27" s="260" customFormat="1" ht="38.25" customHeight="1">
      <c r="A74" s="144">
        <v>70</v>
      </c>
      <c r="B74" s="144" t="s">
        <v>6857</v>
      </c>
      <c r="C74" s="270" t="s">
        <v>6858</v>
      </c>
      <c r="D74" s="172" t="s">
        <v>6859</v>
      </c>
      <c r="E74" s="172" t="s">
        <v>6860</v>
      </c>
      <c r="F74" s="148" t="s">
        <v>6861</v>
      </c>
      <c r="G74" s="172" t="s">
        <v>6862</v>
      </c>
      <c r="H74" s="172" t="s">
        <v>6863</v>
      </c>
      <c r="I74" s="171">
        <f t="shared" si="2"/>
        <v>50</v>
      </c>
      <c r="J74" s="171">
        <v>0</v>
      </c>
      <c r="K74" s="171">
        <v>0</v>
      </c>
      <c r="L74" s="173">
        <v>50</v>
      </c>
      <c r="M74" s="171">
        <v>0</v>
      </c>
      <c r="N74" s="144"/>
      <c r="O74" s="144"/>
      <c r="P74" s="172" t="s">
        <v>261</v>
      </c>
      <c r="Q74" s="172"/>
      <c r="R74" s="172" t="s">
        <v>6864</v>
      </c>
      <c r="S74" s="172" t="s">
        <v>5325</v>
      </c>
      <c r="T74" s="144" t="s">
        <v>5326</v>
      </c>
      <c r="U74" s="172" t="s">
        <v>5976</v>
      </c>
      <c r="V74" s="144" t="s">
        <v>6855</v>
      </c>
      <c r="W74" s="81">
        <f t="shared" si="3"/>
        <v>52</v>
      </c>
      <c r="X74" s="174">
        <v>52</v>
      </c>
      <c r="Y74" s="174">
        <v>0</v>
      </c>
      <c r="Z74" s="172" t="s">
        <v>6865</v>
      </c>
    </row>
    <row r="75" spans="1:27" s="260" customFormat="1" ht="38.25" customHeight="1">
      <c r="A75" s="144">
        <v>71</v>
      </c>
      <c r="B75" s="144" t="s">
        <v>6857</v>
      </c>
      <c r="C75" s="270" t="s">
        <v>6858</v>
      </c>
      <c r="D75" s="172" t="s">
        <v>6866</v>
      </c>
      <c r="E75" s="172" t="s">
        <v>6867</v>
      </c>
      <c r="F75" s="148" t="s">
        <v>6868</v>
      </c>
      <c r="G75" s="172" t="s">
        <v>6869</v>
      </c>
      <c r="H75" s="172" t="s">
        <v>6870</v>
      </c>
      <c r="I75" s="171">
        <f t="shared" si="2"/>
        <v>400</v>
      </c>
      <c r="J75" s="171">
        <v>0</v>
      </c>
      <c r="K75" s="171">
        <v>0</v>
      </c>
      <c r="L75" s="173">
        <v>400</v>
      </c>
      <c r="M75" s="171">
        <v>0</v>
      </c>
      <c r="N75" s="144"/>
      <c r="O75" s="144"/>
      <c r="P75" s="172" t="s">
        <v>261</v>
      </c>
      <c r="Q75" s="172"/>
      <c r="R75" s="172" t="s">
        <v>6871</v>
      </c>
      <c r="S75" s="172" t="s">
        <v>5218</v>
      </c>
      <c r="T75" s="144" t="s">
        <v>6587</v>
      </c>
      <c r="U75" s="172" t="s">
        <v>5063</v>
      </c>
      <c r="V75" s="144" t="s">
        <v>6808</v>
      </c>
      <c r="W75" s="81">
        <f t="shared" si="3"/>
        <v>98</v>
      </c>
      <c r="X75" s="174">
        <v>98</v>
      </c>
      <c r="Y75" s="277">
        <v>0</v>
      </c>
      <c r="Z75" s="172" t="s">
        <v>6872</v>
      </c>
    </row>
    <row r="76" spans="1:27" ht="38.25" customHeight="1">
      <c r="A76" s="144">
        <v>72</v>
      </c>
      <c r="B76" s="144" t="s">
        <v>6479</v>
      </c>
      <c r="C76" s="144" t="s">
        <v>6873</v>
      </c>
      <c r="D76" s="172" t="s">
        <v>6874</v>
      </c>
      <c r="E76" s="172" t="s">
        <v>6875</v>
      </c>
      <c r="F76" s="148" t="s">
        <v>6876</v>
      </c>
      <c r="G76" s="172" t="s">
        <v>6877</v>
      </c>
      <c r="H76" s="172" t="s">
        <v>6878</v>
      </c>
      <c r="I76" s="171">
        <f t="shared" si="2"/>
        <v>45</v>
      </c>
      <c r="J76" s="171">
        <v>0</v>
      </c>
      <c r="K76" s="171">
        <v>0</v>
      </c>
      <c r="L76" s="173">
        <v>45</v>
      </c>
      <c r="M76" s="171">
        <v>0</v>
      </c>
      <c r="N76" s="144"/>
      <c r="O76" s="144"/>
      <c r="P76" s="172" t="s">
        <v>261</v>
      </c>
      <c r="Q76" s="172"/>
      <c r="R76" s="172" t="s">
        <v>6879</v>
      </c>
      <c r="S76" s="172" t="s">
        <v>5218</v>
      </c>
      <c r="T76" s="172" t="s">
        <v>6880</v>
      </c>
      <c r="U76" s="172" t="s">
        <v>5063</v>
      </c>
      <c r="V76" s="172" t="s">
        <v>6588</v>
      </c>
      <c r="W76" s="339" t="s">
        <v>6882</v>
      </c>
      <c r="X76" s="340"/>
      <c r="Y76" s="341"/>
      <c r="Z76" s="172" t="s">
        <v>6881</v>
      </c>
      <c r="AA76" s="262"/>
    </row>
    <row r="77" spans="1:27" ht="38.25" customHeight="1">
      <c r="A77" s="144">
        <v>73</v>
      </c>
      <c r="B77" s="144" t="s">
        <v>6479</v>
      </c>
      <c r="C77" s="144" t="s">
        <v>6873</v>
      </c>
      <c r="D77" s="172" t="s">
        <v>6883</v>
      </c>
      <c r="E77" s="172" t="s">
        <v>6827</v>
      </c>
      <c r="F77" s="148" t="s">
        <v>6884</v>
      </c>
      <c r="G77" s="172" t="s">
        <v>6885</v>
      </c>
      <c r="H77" s="172" t="s">
        <v>6886</v>
      </c>
      <c r="I77" s="171">
        <f t="shared" si="2"/>
        <v>30</v>
      </c>
      <c r="J77" s="171">
        <v>0</v>
      </c>
      <c r="K77" s="171">
        <v>0</v>
      </c>
      <c r="L77" s="173">
        <v>30</v>
      </c>
      <c r="M77" s="171">
        <v>0</v>
      </c>
      <c r="N77" s="144"/>
      <c r="O77" s="144"/>
      <c r="P77" s="172" t="s">
        <v>261</v>
      </c>
      <c r="Q77" s="172"/>
      <c r="R77" s="172" t="s">
        <v>6605</v>
      </c>
      <c r="S77" s="172" t="s">
        <v>5047</v>
      </c>
      <c r="T77" s="172" t="s">
        <v>6887</v>
      </c>
      <c r="U77" s="172" t="s">
        <v>5077</v>
      </c>
      <c r="V77" s="172" t="s">
        <v>6054</v>
      </c>
      <c r="W77" s="342" t="s">
        <v>6882</v>
      </c>
      <c r="X77" s="343"/>
      <c r="Y77" s="344"/>
      <c r="Z77" s="172" t="s">
        <v>6888</v>
      </c>
      <c r="AA77" s="262"/>
    </row>
    <row r="78" spans="1:27" ht="51" customHeight="1">
      <c r="A78" s="144">
        <v>74</v>
      </c>
      <c r="B78" s="144" t="s">
        <v>6598</v>
      </c>
      <c r="C78" s="144" t="s">
        <v>6889</v>
      </c>
      <c r="D78" s="172" t="s">
        <v>6890</v>
      </c>
      <c r="E78" s="172" t="s">
        <v>6891</v>
      </c>
      <c r="F78" s="148" t="s">
        <v>6892</v>
      </c>
      <c r="G78" s="172" t="s">
        <v>6893</v>
      </c>
      <c r="H78" s="172" t="s">
        <v>6886</v>
      </c>
      <c r="I78" s="171">
        <f t="shared" si="2"/>
        <v>20</v>
      </c>
      <c r="J78" s="171">
        <v>0</v>
      </c>
      <c r="K78" s="171">
        <v>0</v>
      </c>
      <c r="L78" s="173">
        <v>20</v>
      </c>
      <c r="M78" s="171">
        <v>0</v>
      </c>
      <c r="N78" s="144"/>
      <c r="O78" s="144"/>
      <c r="P78" s="172" t="s">
        <v>436</v>
      </c>
      <c r="Q78" s="172"/>
      <c r="R78" s="172" t="s">
        <v>6894</v>
      </c>
      <c r="S78" s="172" t="s">
        <v>5047</v>
      </c>
      <c r="T78" s="172" t="s">
        <v>6887</v>
      </c>
      <c r="U78" s="172" t="s">
        <v>5077</v>
      </c>
      <c r="V78" s="172" t="s">
        <v>6054</v>
      </c>
      <c r="W78" s="345" t="s">
        <v>6882</v>
      </c>
      <c r="X78" s="346"/>
      <c r="Y78" s="347"/>
      <c r="Z78" s="172" t="s">
        <v>6895</v>
      </c>
      <c r="AA78" s="262"/>
    </row>
    <row r="79" spans="1:27" ht="77.25" customHeight="1">
      <c r="A79" s="144">
        <v>75</v>
      </c>
      <c r="B79" s="144" t="s">
        <v>6431</v>
      </c>
      <c r="C79" s="144" t="s">
        <v>6896</v>
      </c>
      <c r="D79" s="172" t="s">
        <v>6897</v>
      </c>
      <c r="E79" s="172" t="s">
        <v>6898</v>
      </c>
      <c r="F79" s="148" t="s">
        <v>6899</v>
      </c>
      <c r="G79" s="172" t="s">
        <v>6900</v>
      </c>
      <c r="H79" s="172" t="s">
        <v>3728</v>
      </c>
      <c r="I79" s="171">
        <v>970</v>
      </c>
      <c r="J79" s="171">
        <v>80</v>
      </c>
      <c r="K79" s="171">
        <v>0</v>
      </c>
      <c r="L79" s="173">
        <v>890</v>
      </c>
      <c r="M79" s="171">
        <v>0</v>
      </c>
      <c r="N79" s="144" t="s">
        <v>510</v>
      </c>
      <c r="O79" s="144" t="s">
        <v>7053</v>
      </c>
      <c r="P79" s="172" t="s">
        <v>247</v>
      </c>
      <c r="Q79" s="172" t="s">
        <v>6323</v>
      </c>
      <c r="R79" s="144" t="s">
        <v>2947</v>
      </c>
      <c r="S79" s="144" t="s">
        <v>373</v>
      </c>
      <c r="T79" s="172" t="s">
        <v>374</v>
      </c>
      <c r="U79" s="172" t="s">
        <v>5128</v>
      </c>
      <c r="V79" s="172" t="s">
        <v>6901</v>
      </c>
      <c r="W79" s="81">
        <v>285</v>
      </c>
      <c r="X79" s="81">
        <v>274</v>
      </c>
      <c r="Y79" s="81">
        <v>11</v>
      </c>
      <c r="Z79" s="172" t="s">
        <v>2948</v>
      </c>
    </row>
    <row r="80" spans="1:27" ht="48" customHeight="1">
      <c r="A80" s="144">
        <v>76</v>
      </c>
      <c r="B80" s="144" t="s">
        <v>6431</v>
      </c>
      <c r="C80" s="144" t="s">
        <v>6896</v>
      </c>
      <c r="D80" s="172" t="s">
        <v>2949</v>
      </c>
      <c r="E80" s="172" t="s">
        <v>6902</v>
      </c>
      <c r="F80" s="148" t="s">
        <v>6903</v>
      </c>
      <c r="G80" s="172" t="s">
        <v>6900</v>
      </c>
      <c r="H80" s="172" t="s">
        <v>3888</v>
      </c>
      <c r="I80" s="171">
        <v>900</v>
      </c>
      <c r="J80" s="171">
        <v>0</v>
      </c>
      <c r="K80" s="171">
        <v>0</v>
      </c>
      <c r="L80" s="173">
        <v>900</v>
      </c>
      <c r="M80" s="171">
        <v>0</v>
      </c>
      <c r="N80" s="144"/>
      <c r="O80" s="144"/>
      <c r="P80" s="144" t="s">
        <v>261</v>
      </c>
      <c r="Q80" s="172"/>
      <c r="R80" s="144" t="s">
        <v>2627</v>
      </c>
      <c r="S80" s="144" t="s">
        <v>373</v>
      </c>
      <c r="T80" s="144" t="s">
        <v>814</v>
      </c>
      <c r="U80" s="144" t="s">
        <v>595</v>
      </c>
      <c r="V80" s="144" t="s">
        <v>1924</v>
      </c>
      <c r="W80" s="81">
        <v>700</v>
      </c>
      <c r="X80" s="174">
        <v>678</v>
      </c>
      <c r="Y80" s="174">
        <v>22</v>
      </c>
      <c r="Z80" s="172" t="s">
        <v>2950</v>
      </c>
    </row>
    <row r="81" spans="1:26" ht="45.75" customHeight="1">
      <c r="A81" s="144">
        <v>77</v>
      </c>
      <c r="B81" s="144" t="s">
        <v>6431</v>
      </c>
      <c r="C81" s="144" t="s">
        <v>6896</v>
      </c>
      <c r="D81" s="172" t="s">
        <v>2951</v>
      </c>
      <c r="E81" s="172" t="s">
        <v>6798</v>
      </c>
      <c r="F81" s="148" t="s">
        <v>6904</v>
      </c>
      <c r="G81" s="172" t="s">
        <v>6905</v>
      </c>
      <c r="H81" s="172" t="s">
        <v>721</v>
      </c>
      <c r="I81" s="171">
        <v>100</v>
      </c>
      <c r="J81" s="171">
        <v>0</v>
      </c>
      <c r="K81" s="171">
        <v>0</v>
      </c>
      <c r="L81" s="184">
        <v>100</v>
      </c>
      <c r="M81" s="171">
        <v>0</v>
      </c>
      <c r="N81" s="144"/>
      <c r="O81" s="144"/>
      <c r="P81" s="144" t="s">
        <v>304</v>
      </c>
      <c r="Q81" s="172"/>
      <c r="R81" s="144" t="s">
        <v>2953</v>
      </c>
      <c r="S81" s="144" t="s">
        <v>373</v>
      </c>
      <c r="T81" s="144" t="s">
        <v>2954</v>
      </c>
      <c r="U81" s="172" t="s">
        <v>5128</v>
      </c>
      <c r="V81" s="144" t="s">
        <v>1924</v>
      </c>
      <c r="W81" s="81">
        <v>10</v>
      </c>
      <c r="X81" s="174">
        <v>10</v>
      </c>
      <c r="Y81" s="174">
        <v>0</v>
      </c>
      <c r="Z81" s="172" t="s">
        <v>2955</v>
      </c>
    </row>
    <row r="82" spans="1:26" ht="48.75" customHeight="1">
      <c r="A82" s="144">
        <v>78</v>
      </c>
      <c r="B82" s="144" t="s">
        <v>6431</v>
      </c>
      <c r="C82" s="144" t="s">
        <v>6896</v>
      </c>
      <c r="D82" s="172" t="s">
        <v>6906</v>
      </c>
      <c r="E82" s="172" t="s">
        <v>6657</v>
      </c>
      <c r="F82" s="148" t="s">
        <v>6907</v>
      </c>
      <c r="G82" s="172" t="s">
        <v>6908</v>
      </c>
      <c r="H82" s="172" t="s">
        <v>2956</v>
      </c>
      <c r="I82" s="171">
        <v>200</v>
      </c>
      <c r="J82" s="171">
        <v>0</v>
      </c>
      <c r="K82" s="171">
        <v>0</v>
      </c>
      <c r="L82" s="173">
        <v>100</v>
      </c>
      <c r="M82" s="171">
        <v>100</v>
      </c>
      <c r="N82" s="144"/>
      <c r="O82" s="144"/>
      <c r="P82" s="172" t="s">
        <v>209</v>
      </c>
      <c r="Q82" s="172"/>
      <c r="R82" s="172" t="s">
        <v>6909</v>
      </c>
      <c r="S82" s="172" t="s">
        <v>373</v>
      </c>
      <c r="T82" s="172" t="s">
        <v>374</v>
      </c>
      <c r="U82" s="172" t="s">
        <v>5128</v>
      </c>
      <c r="V82" s="172" t="s">
        <v>1924</v>
      </c>
      <c r="W82" s="81">
        <v>100</v>
      </c>
      <c r="X82" s="81">
        <v>100</v>
      </c>
      <c r="Y82" s="81">
        <v>0</v>
      </c>
      <c r="Z82" s="172" t="s">
        <v>6910</v>
      </c>
    </row>
    <row r="83" spans="1:26" ht="80.25" customHeight="1">
      <c r="A83" s="144">
        <v>79</v>
      </c>
      <c r="B83" s="144" t="s">
        <v>6487</v>
      </c>
      <c r="C83" s="144" t="s">
        <v>6911</v>
      </c>
      <c r="D83" s="172" t="s">
        <v>6912</v>
      </c>
      <c r="E83" s="172" t="s">
        <v>6913</v>
      </c>
      <c r="F83" s="148" t="s">
        <v>6914</v>
      </c>
      <c r="G83" s="172" t="s">
        <v>6915</v>
      </c>
      <c r="H83" s="172" t="s">
        <v>6916</v>
      </c>
      <c r="I83" s="171">
        <f t="shared" ref="I83:I84" si="4">SUM(J83:M83)</f>
        <v>500</v>
      </c>
      <c r="J83" s="171">
        <v>0</v>
      </c>
      <c r="K83" s="171">
        <v>0</v>
      </c>
      <c r="L83" s="173">
        <v>500</v>
      </c>
      <c r="M83" s="171">
        <v>0</v>
      </c>
      <c r="N83" s="144"/>
      <c r="O83" s="144"/>
      <c r="P83" s="172" t="s">
        <v>6815</v>
      </c>
      <c r="Q83" s="172"/>
      <c r="R83" s="172" t="s">
        <v>6917</v>
      </c>
      <c r="S83" s="172" t="s">
        <v>5218</v>
      </c>
      <c r="T83" s="172" t="s">
        <v>5228</v>
      </c>
      <c r="U83" s="172" t="s">
        <v>5229</v>
      </c>
      <c r="V83" s="172" t="s">
        <v>6588</v>
      </c>
      <c r="W83" s="81">
        <f t="shared" ref="W83:W84" si="5">SUM(X83:Y83)</f>
        <v>198</v>
      </c>
      <c r="X83" s="81">
        <v>197</v>
      </c>
      <c r="Y83" s="81">
        <v>1</v>
      </c>
      <c r="Z83" s="172" t="s">
        <v>6918</v>
      </c>
    </row>
    <row r="84" spans="1:26" ht="80.25" customHeight="1">
      <c r="A84" s="144">
        <v>80</v>
      </c>
      <c r="B84" s="144" t="s">
        <v>6479</v>
      </c>
      <c r="C84" s="144" t="s">
        <v>6919</v>
      </c>
      <c r="D84" s="172" t="s">
        <v>6920</v>
      </c>
      <c r="E84" s="172" t="s">
        <v>6921</v>
      </c>
      <c r="F84" s="148" t="s">
        <v>6922</v>
      </c>
      <c r="G84" s="172" t="s">
        <v>6915</v>
      </c>
      <c r="H84" s="172" t="s">
        <v>6923</v>
      </c>
      <c r="I84" s="171">
        <f t="shared" si="4"/>
        <v>280</v>
      </c>
      <c r="J84" s="171">
        <v>0</v>
      </c>
      <c r="K84" s="171">
        <v>0</v>
      </c>
      <c r="L84" s="173">
        <v>280</v>
      </c>
      <c r="M84" s="171">
        <v>0</v>
      </c>
      <c r="N84" s="144"/>
      <c r="O84" s="144"/>
      <c r="P84" s="172" t="s">
        <v>6815</v>
      </c>
      <c r="Q84" s="172"/>
      <c r="R84" s="172" t="s">
        <v>6924</v>
      </c>
      <c r="S84" s="172" t="s">
        <v>5218</v>
      </c>
      <c r="T84" s="172" t="s">
        <v>5228</v>
      </c>
      <c r="U84" s="172" t="s">
        <v>5229</v>
      </c>
      <c r="V84" s="172" t="s">
        <v>6588</v>
      </c>
      <c r="W84" s="81">
        <f t="shared" si="5"/>
        <v>47</v>
      </c>
      <c r="X84" s="81">
        <v>46</v>
      </c>
      <c r="Y84" s="81">
        <v>1</v>
      </c>
      <c r="Z84" s="172" t="s">
        <v>6925</v>
      </c>
    </row>
    <row r="85" spans="1:26" ht="83.25" customHeight="1">
      <c r="A85" s="144">
        <v>81</v>
      </c>
      <c r="B85" s="144" t="s">
        <v>6431</v>
      </c>
      <c r="C85" s="144" t="s">
        <v>6926</v>
      </c>
      <c r="D85" s="172" t="s">
        <v>6927</v>
      </c>
      <c r="E85" s="172" t="s">
        <v>6928</v>
      </c>
      <c r="F85" s="148" t="s">
        <v>6929</v>
      </c>
      <c r="G85" s="172" t="s">
        <v>6930</v>
      </c>
      <c r="H85" s="172" t="s">
        <v>3597</v>
      </c>
      <c r="I85" s="171">
        <v>925</v>
      </c>
      <c r="J85" s="171">
        <v>0</v>
      </c>
      <c r="K85" s="171">
        <v>25</v>
      </c>
      <c r="L85" s="173">
        <v>900</v>
      </c>
      <c r="M85" s="171">
        <v>0</v>
      </c>
      <c r="N85" s="144"/>
      <c r="O85" s="144"/>
      <c r="P85" s="172" t="s">
        <v>261</v>
      </c>
      <c r="Q85" s="172"/>
      <c r="R85" s="172" t="s">
        <v>6931</v>
      </c>
      <c r="S85" s="172" t="s">
        <v>373</v>
      </c>
      <c r="T85" s="172" t="s">
        <v>374</v>
      </c>
      <c r="U85" s="172" t="s">
        <v>5976</v>
      </c>
      <c r="V85" s="172" t="s">
        <v>1924</v>
      </c>
      <c r="W85" s="81">
        <v>301</v>
      </c>
      <c r="X85" s="81">
        <v>301</v>
      </c>
      <c r="Y85" s="81">
        <v>0</v>
      </c>
      <c r="Z85" s="172" t="s">
        <v>3077</v>
      </c>
    </row>
    <row r="86" spans="1:26" ht="76.5" customHeight="1">
      <c r="A86" s="144">
        <v>82</v>
      </c>
      <c r="B86" s="144" t="s">
        <v>6431</v>
      </c>
      <c r="C86" s="144" t="s">
        <v>6926</v>
      </c>
      <c r="D86" s="172" t="s">
        <v>6932</v>
      </c>
      <c r="E86" s="172" t="s">
        <v>6933</v>
      </c>
      <c r="F86" s="148" t="s">
        <v>6934</v>
      </c>
      <c r="G86" s="172" t="s">
        <v>6930</v>
      </c>
      <c r="H86" s="172" t="s">
        <v>3465</v>
      </c>
      <c r="I86" s="171">
        <v>740</v>
      </c>
      <c r="J86" s="171">
        <v>0</v>
      </c>
      <c r="K86" s="171">
        <v>0</v>
      </c>
      <c r="L86" s="173">
        <v>740</v>
      </c>
      <c r="M86" s="171">
        <v>0</v>
      </c>
      <c r="N86" s="144"/>
      <c r="O86" s="144"/>
      <c r="P86" s="172" t="s">
        <v>261</v>
      </c>
      <c r="Q86" s="172"/>
      <c r="R86" s="172" t="s">
        <v>2627</v>
      </c>
      <c r="S86" s="172" t="s">
        <v>373</v>
      </c>
      <c r="T86" s="172" t="s">
        <v>374</v>
      </c>
      <c r="U86" s="172" t="s">
        <v>5976</v>
      </c>
      <c r="V86" s="172" t="s">
        <v>1924</v>
      </c>
      <c r="W86" s="81">
        <v>246</v>
      </c>
      <c r="X86" s="81">
        <v>246</v>
      </c>
      <c r="Y86" s="81">
        <v>0</v>
      </c>
      <c r="Z86" s="172" t="s">
        <v>3077</v>
      </c>
    </row>
    <row r="87" spans="1:26" ht="53.25" customHeight="1">
      <c r="A87" s="144">
        <v>83</v>
      </c>
      <c r="B87" s="144" t="s">
        <v>6431</v>
      </c>
      <c r="C87" s="144" t="s">
        <v>6926</v>
      </c>
      <c r="D87" s="172" t="s">
        <v>6935</v>
      </c>
      <c r="E87" s="172" t="s">
        <v>6936</v>
      </c>
      <c r="F87" s="148" t="s">
        <v>6937</v>
      </c>
      <c r="G87" s="172" t="s">
        <v>6938</v>
      </c>
      <c r="H87" s="172" t="s">
        <v>3592</v>
      </c>
      <c r="I87" s="171">
        <v>71.5</v>
      </c>
      <c r="J87" s="171">
        <v>0</v>
      </c>
      <c r="K87" s="171">
        <v>0</v>
      </c>
      <c r="L87" s="173">
        <v>65</v>
      </c>
      <c r="M87" s="171">
        <v>6.5</v>
      </c>
      <c r="N87" s="144"/>
      <c r="O87" s="144"/>
      <c r="P87" s="172" t="s">
        <v>261</v>
      </c>
      <c r="Q87" s="172"/>
      <c r="R87" s="172" t="s">
        <v>6939</v>
      </c>
      <c r="S87" s="172" t="s">
        <v>373</v>
      </c>
      <c r="T87" s="172" t="s">
        <v>374</v>
      </c>
      <c r="U87" s="172" t="s">
        <v>5976</v>
      </c>
      <c r="V87" s="172" t="s">
        <v>1924</v>
      </c>
      <c r="W87" s="81">
        <v>62</v>
      </c>
      <c r="X87" s="81">
        <v>62</v>
      </c>
      <c r="Y87" s="81">
        <v>0</v>
      </c>
      <c r="Z87" s="172" t="s">
        <v>6940</v>
      </c>
    </row>
    <row r="88" spans="1:26" ht="42" customHeight="1">
      <c r="A88" s="144">
        <v>84</v>
      </c>
      <c r="B88" s="144" t="s">
        <v>6431</v>
      </c>
      <c r="C88" s="144" t="s">
        <v>6926</v>
      </c>
      <c r="D88" s="172" t="s">
        <v>6941</v>
      </c>
      <c r="E88" s="172" t="s">
        <v>6942</v>
      </c>
      <c r="F88" s="148" t="s">
        <v>6943</v>
      </c>
      <c r="G88" s="172" t="s">
        <v>6944</v>
      </c>
      <c r="H88" s="172" t="s">
        <v>3568</v>
      </c>
      <c r="I88" s="171">
        <v>60</v>
      </c>
      <c r="J88" s="171">
        <v>0</v>
      </c>
      <c r="K88" s="171">
        <v>0</v>
      </c>
      <c r="L88" s="173">
        <v>60</v>
      </c>
      <c r="M88" s="171">
        <v>0</v>
      </c>
      <c r="N88" s="144"/>
      <c r="O88" s="144"/>
      <c r="P88" s="172" t="s">
        <v>209</v>
      </c>
      <c r="Q88" s="172"/>
      <c r="R88" s="172" t="s">
        <v>6945</v>
      </c>
      <c r="S88" s="172" t="s">
        <v>373</v>
      </c>
      <c r="T88" s="172" t="s">
        <v>374</v>
      </c>
      <c r="U88" s="172" t="s">
        <v>5976</v>
      </c>
      <c r="V88" s="172" t="s">
        <v>1924</v>
      </c>
      <c r="W88" s="81">
        <v>35</v>
      </c>
      <c r="X88" s="81">
        <v>35</v>
      </c>
      <c r="Y88" s="81">
        <v>0</v>
      </c>
      <c r="Z88" s="172" t="s">
        <v>6946</v>
      </c>
    </row>
    <row r="89" spans="1:26" ht="59.25" customHeight="1">
      <c r="A89" s="144">
        <v>85</v>
      </c>
      <c r="B89" s="144" t="s">
        <v>6431</v>
      </c>
      <c r="C89" s="144" t="s">
        <v>6947</v>
      </c>
      <c r="D89" s="172" t="s">
        <v>6948</v>
      </c>
      <c r="E89" s="172" t="s">
        <v>6949</v>
      </c>
      <c r="F89" s="148" t="s">
        <v>2958</v>
      </c>
      <c r="G89" s="172" t="s">
        <v>6950</v>
      </c>
      <c r="H89" s="172" t="s">
        <v>3517</v>
      </c>
      <c r="I89" s="171">
        <v>240</v>
      </c>
      <c r="J89" s="171">
        <v>0</v>
      </c>
      <c r="K89" s="171">
        <v>0</v>
      </c>
      <c r="L89" s="173">
        <v>70</v>
      </c>
      <c r="M89" s="171">
        <v>170</v>
      </c>
      <c r="N89" s="144"/>
      <c r="O89" s="144"/>
      <c r="P89" s="172" t="s">
        <v>209</v>
      </c>
      <c r="Q89" s="172"/>
      <c r="R89" s="172" t="s">
        <v>2959</v>
      </c>
      <c r="S89" s="172" t="s">
        <v>373</v>
      </c>
      <c r="T89" s="172" t="s">
        <v>374</v>
      </c>
      <c r="U89" s="172" t="s">
        <v>5976</v>
      </c>
      <c r="V89" s="172" t="s">
        <v>2902</v>
      </c>
      <c r="W89" s="81">
        <v>40</v>
      </c>
      <c r="X89" s="81">
        <v>39.700000000000003</v>
      </c>
      <c r="Y89" s="81">
        <v>0.3</v>
      </c>
      <c r="Z89" s="172" t="s">
        <v>2960</v>
      </c>
    </row>
    <row r="90" spans="1:26" ht="91.5" customHeight="1">
      <c r="A90" s="144">
        <v>86</v>
      </c>
      <c r="B90" s="144" t="s">
        <v>6431</v>
      </c>
      <c r="C90" s="144" t="s">
        <v>6947</v>
      </c>
      <c r="D90" s="172" t="s">
        <v>2961</v>
      </c>
      <c r="E90" s="172" t="s">
        <v>6951</v>
      </c>
      <c r="F90" s="148" t="s">
        <v>6952</v>
      </c>
      <c r="G90" s="172" t="s">
        <v>2962</v>
      </c>
      <c r="H90" s="172" t="s">
        <v>3678</v>
      </c>
      <c r="I90" s="171">
        <v>90</v>
      </c>
      <c r="J90" s="171">
        <v>0</v>
      </c>
      <c r="K90" s="171">
        <v>0</v>
      </c>
      <c r="L90" s="173">
        <v>50</v>
      </c>
      <c r="M90" s="171">
        <v>40</v>
      </c>
      <c r="N90" s="144"/>
      <c r="O90" s="144"/>
      <c r="P90" s="172" t="s">
        <v>261</v>
      </c>
      <c r="Q90" s="172"/>
      <c r="R90" s="172" t="s">
        <v>2963</v>
      </c>
      <c r="S90" s="172" t="s">
        <v>373</v>
      </c>
      <c r="T90" s="172" t="s">
        <v>374</v>
      </c>
      <c r="U90" s="172" t="s">
        <v>5976</v>
      </c>
      <c r="V90" s="172" t="s">
        <v>2902</v>
      </c>
      <c r="W90" s="81">
        <v>30</v>
      </c>
      <c r="X90" s="81">
        <v>30</v>
      </c>
      <c r="Y90" s="81">
        <v>0</v>
      </c>
      <c r="Z90" s="172" t="s">
        <v>6953</v>
      </c>
    </row>
    <row r="91" spans="1:26" ht="63" customHeight="1">
      <c r="A91" s="144">
        <v>87</v>
      </c>
      <c r="B91" s="144" t="s">
        <v>6431</v>
      </c>
      <c r="C91" s="144" t="s">
        <v>6947</v>
      </c>
      <c r="D91" s="172" t="s">
        <v>2964</v>
      </c>
      <c r="E91" s="172" t="s">
        <v>6954</v>
      </c>
      <c r="F91" s="148" t="s">
        <v>2965</v>
      </c>
      <c r="G91" s="172" t="s">
        <v>2966</v>
      </c>
      <c r="H91" s="172" t="s">
        <v>2967</v>
      </c>
      <c r="I91" s="171">
        <v>412</v>
      </c>
      <c r="J91" s="171">
        <v>0</v>
      </c>
      <c r="K91" s="171">
        <v>0</v>
      </c>
      <c r="L91" s="173">
        <v>202</v>
      </c>
      <c r="M91" s="171">
        <v>210</v>
      </c>
      <c r="N91" s="144"/>
      <c r="O91" s="144"/>
      <c r="P91" s="172" t="s">
        <v>247</v>
      </c>
      <c r="Q91" s="172"/>
      <c r="R91" s="172" t="s">
        <v>2968</v>
      </c>
      <c r="S91" s="172" t="s">
        <v>373</v>
      </c>
      <c r="T91" s="172" t="s">
        <v>374</v>
      </c>
      <c r="U91" s="172" t="s">
        <v>5976</v>
      </c>
      <c r="V91" s="172" t="s">
        <v>2902</v>
      </c>
      <c r="W91" s="81">
        <v>100.4</v>
      </c>
      <c r="X91" s="81">
        <v>100.4</v>
      </c>
      <c r="Y91" s="81">
        <v>0</v>
      </c>
      <c r="Z91" s="172" t="s">
        <v>6955</v>
      </c>
    </row>
    <row r="92" spans="1:26" ht="84" customHeight="1">
      <c r="A92" s="144">
        <v>88</v>
      </c>
      <c r="B92" s="144" t="s">
        <v>6431</v>
      </c>
      <c r="C92" s="144" t="s">
        <v>6947</v>
      </c>
      <c r="D92" s="172" t="s">
        <v>2969</v>
      </c>
      <c r="E92" s="172" t="s">
        <v>6956</v>
      </c>
      <c r="F92" s="148" t="s">
        <v>2970</v>
      </c>
      <c r="G92" s="172" t="s">
        <v>2971</v>
      </c>
      <c r="H92" s="172" t="s">
        <v>6957</v>
      </c>
      <c r="I92" s="171">
        <v>90</v>
      </c>
      <c r="J92" s="171">
        <v>0</v>
      </c>
      <c r="K92" s="171">
        <v>0</v>
      </c>
      <c r="L92" s="173">
        <v>40</v>
      </c>
      <c r="M92" s="171">
        <v>50</v>
      </c>
      <c r="N92" s="144"/>
      <c r="O92" s="144"/>
      <c r="P92" s="172" t="s">
        <v>261</v>
      </c>
      <c r="Q92" s="172"/>
      <c r="R92" s="172" t="s">
        <v>2973</v>
      </c>
      <c r="S92" s="172" t="s">
        <v>373</v>
      </c>
      <c r="T92" s="172" t="s">
        <v>374</v>
      </c>
      <c r="U92" s="172" t="s">
        <v>5976</v>
      </c>
      <c r="V92" s="172" t="s">
        <v>2902</v>
      </c>
      <c r="W92" s="81">
        <v>10</v>
      </c>
      <c r="X92" s="81">
        <v>9.9</v>
      </c>
      <c r="Y92" s="81">
        <v>0.1</v>
      </c>
      <c r="Z92" s="172" t="s">
        <v>6958</v>
      </c>
    </row>
    <row r="93" spans="1:26" ht="111.75" customHeight="1">
      <c r="A93" s="144">
        <v>89</v>
      </c>
      <c r="B93" s="144" t="s">
        <v>6431</v>
      </c>
      <c r="C93" s="144" t="s">
        <v>6947</v>
      </c>
      <c r="D93" s="172" t="s">
        <v>6959</v>
      </c>
      <c r="E93" s="172" t="s">
        <v>6960</v>
      </c>
      <c r="F93" s="148" t="s">
        <v>2974</v>
      </c>
      <c r="G93" s="172" t="s">
        <v>7052</v>
      </c>
      <c r="H93" s="172" t="s">
        <v>4898</v>
      </c>
      <c r="I93" s="171">
        <v>371</v>
      </c>
      <c r="J93" s="171">
        <v>0</v>
      </c>
      <c r="K93" s="171">
        <v>15</v>
      </c>
      <c r="L93" s="173">
        <v>280</v>
      </c>
      <c r="M93" s="171">
        <v>76</v>
      </c>
      <c r="N93" s="144"/>
      <c r="O93" s="144"/>
      <c r="P93" s="172" t="s">
        <v>261</v>
      </c>
      <c r="Q93" s="172"/>
      <c r="R93" s="172" t="s">
        <v>2975</v>
      </c>
      <c r="S93" s="172" t="s">
        <v>373</v>
      </c>
      <c r="T93" s="172" t="s">
        <v>374</v>
      </c>
      <c r="U93" s="172" t="s">
        <v>5976</v>
      </c>
      <c r="V93" s="172" t="s">
        <v>2902</v>
      </c>
      <c r="W93" s="81">
        <v>609.9</v>
      </c>
      <c r="X93" s="81">
        <v>608.1</v>
      </c>
      <c r="Y93" s="81">
        <v>1.8</v>
      </c>
      <c r="Z93" s="172" t="s">
        <v>6961</v>
      </c>
    </row>
    <row r="94" spans="1:26" ht="96" customHeight="1">
      <c r="A94" s="144">
        <v>90</v>
      </c>
      <c r="B94" s="144" t="s">
        <v>6431</v>
      </c>
      <c r="C94" s="144" t="s">
        <v>6947</v>
      </c>
      <c r="D94" s="172" t="s">
        <v>6962</v>
      </c>
      <c r="E94" s="172" t="s">
        <v>6798</v>
      </c>
      <c r="F94" s="148" t="s">
        <v>6963</v>
      </c>
      <c r="G94" s="172" t="s">
        <v>2976</v>
      </c>
      <c r="H94" s="172" t="s">
        <v>3812</v>
      </c>
      <c r="I94" s="171">
        <v>140</v>
      </c>
      <c r="J94" s="171">
        <v>0</v>
      </c>
      <c r="K94" s="171">
        <v>0</v>
      </c>
      <c r="L94" s="173">
        <v>60</v>
      </c>
      <c r="M94" s="171">
        <v>80</v>
      </c>
      <c r="N94" s="144"/>
      <c r="O94" s="144"/>
      <c r="P94" s="172" t="s">
        <v>261</v>
      </c>
      <c r="Q94" s="172"/>
      <c r="R94" s="172" t="s">
        <v>2977</v>
      </c>
      <c r="S94" s="172" t="s">
        <v>373</v>
      </c>
      <c r="T94" s="172" t="s">
        <v>374</v>
      </c>
      <c r="U94" s="172" t="s">
        <v>5976</v>
      </c>
      <c r="V94" s="172" t="s">
        <v>2902</v>
      </c>
      <c r="W94" s="81">
        <v>35</v>
      </c>
      <c r="X94" s="81">
        <v>35</v>
      </c>
      <c r="Y94" s="81">
        <v>0</v>
      </c>
      <c r="Z94" s="172" t="s">
        <v>6964</v>
      </c>
    </row>
    <row r="95" spans="1:26" ht="53.25" customHeight="1">
      <c r="A95" s="144">
        <v>91</v>
      </c>
      <c r="B95" s="271" t="s">
        <v>6431</v>
      </c>
      <c r="C95" s="267" t="s">
        <v>2978</v>
      </c>
      <c r="D95" s="264" t="s">
        <v>6965</v>
      </c>
      <c r="E95" s="264" t="s">
        <v>6966</v>
      </c>
      <c r="F95" s="272" t="s">
        <v>2979</v>
      </c>
      <c r="G95" s="264" t="s">
        <v>2980</v>
      </c>
      <c r="H95" s="264" t="s">
        <v>721</v>
      </c>
      <c r="I95" s="171">
        <v>298</v>
      </c>
      <c r="J95" s="171">
        <v>0</v>
      </c>
      <c r="K95" s="171">
        <v>15</v>
      </c>
      <c r="L95" s="173">
        <v>283</v>
      </c>
      <c r="M95" s="171">
        <v>0</v>
      </c>
      <c r="N95" s="271"/>
      <c r="O95" s="271"/>
      <c r="P95" s="273" t="s">
        <v>261</v>
      </c>
      <c r="Q95" s="274"/>
      <c r="R95" s="264" t="s">
        <v>2981</v>
      </c>
      <c r="S95" s="264" t="s">
        <v>373</v>
      </c>
      <c r="T95" s="264" t="s">
        <v>2982</v>
      </c>
      <c r="U95" s="172" t="s">
        <v>6842</v>
      </c>
      <c r="V95" s="267" t="s">
        <v>1924</v>
      </c>
      <c r="W95" s="81">
        <v>987</v>
      </c>
      <c r="X95" s="81">
        <v>987</v>
      </c>
      <c r="Y95" s="81">
        <v>0</v>
      </c>
      <c r="Z95" s="264" t="s">
        <v>2983</v>
      </c>
    </row>
    <row r="96" spans="1:26" ht="38.25" customHeight="1">
      <c r="A96" s="144">
        <v>92</v>
      </c>
      <c r="B96" s="271" t="s">
        <v>6431</v>
      </c>
      <c r="C96" s="267" t="s">
        <v>2978</v>
      </c>
      <c r="D96" s="264" t="s">
        <v>2984</v>
      </c>
      <c r="E96" s="264" t="s">
        <v>6967</v>
      </c>
      <c r="F96" s="272" t="s">
        <v>7051</v>
      </c>
      <c r="G96" s="264" t="s">
        <v>2985</v>
      </c>
      <c r="H96" s="264" t="s">
        <v>2986</v>
      </c>
      <c r="I96" s="171">
        <v>280</v>
      </c>
      <c r="J96" s="171">
        <v>0</v>
      </c>
      <c r="K96" s="171">
        <v>0</v>
      </c>
      <c r="L96" s="173">
        <v>280</v>
      </c>
      <c r="M96" s="171">
        <v>0</v>
      </c>
      <c r="N96" s="271"/>
      <c r="O96" s="271"/>
      <c r="P96" s="267" t="s">
        <v>271</v>
      </c>
      <c r="Q96" s="274"/>
      <c r="R96" s="267" t="s">
        <v>2987</v>
      </c>
      <c r="S96" s="264" t="s">
        <v>373</v>
      </c>
      <c r="T96" s="264" t="s">
        <v>2982</v>
      </c>
      <c r="U96" s="172" t="s">
        <v>6842</v>
      </c>
      <c r="V96" s="267" t="s">
        <v>1924</v>
      </c>
      <c r="W96" s="81">
        <v>55</v>
      </c>
      <c r="X96" s="174">
        <v>55</v>
      </c>
      <c r="Y96" s="81">
        <v>0</v>
      </c>
      <c r="Z96" s="264" t="s">
        <v>2988</v>
      </c>
    </row>
    <row r="97" spans="1:27" ht="38.25" customHeight="1">
      <c r="A97" s="144">
        <v>93</v>
      </c>
      <c r="B97" s="271" t="s">
        <v>6431</v>
      </c>
      <c r="C97" s="267" t="s">
        <v>2978</v>
      </c>
      <c r="D97" s="264" t="s">
        <v>2989</v>
      </c>
      <c r="E97" s="264" t="s">
        <v>6968</v>
      </c>
      <c r="F97" s="275" t="s">
        <v>6969</v>
      </c>
      <c r="G97" s="264" t="s">
        <v>2985</v>
      </c>
      <c r="H97" s="264" t="s">
        <v>2990</v>
      </c>
      <c r="I97" s="171">
        <v>180</v>
      </c>
      <c r="J97" s="171">
        <v>0</v>
      </c>
      <c r="K97" s="171">
        <v>0</v>
      </c>
      <c r="L97" s="184">
        <v>180</v>
      </c>
      <c r="M97" s="171">
        <v>0</v>
      </c>
      <c r="N97" s="271"/>
      <c r="O97" s="271"/>
      <c r="P97" s="267" t="s">
        <v>261</v>
      </c>
      <c r="Q97" s="274"/>
      <c r="R97" s="267" t="s">
        <v>2991</v>
      </c>
      <c r="S97" s="264" t="s">
        <v>373</v>
      </c>
      <c r="T97" s="264" t="s">
        <v>2982</v>
      </c>
      <c r="U97" s="172" t="s">
        <v>6842</v>
      </c>
      <c r="V97" s="267" t="s">
        <v>1924</v>
      </c>
      <c r="W97" s="81">
        <v>90</v>
      </c>
      <c r="X97" s="174">
        <v>90</v>
      </c>
      <c r="Y97" s="81">
        <v>0</v>
      </c>
      <c r="Z97" s="264" t="s">
        <v>2992</v>
      </c>
    </row>
    <row r="98" spans="1:27" ht="38.25" customHeight="1">
      <c r="A98" s="144">
        <v>94</v>
      </c>
      <c r="B98" s="271" t="s">
        <v>6431</v>
      </c>
      <c r="C98" s="267" t="s">
        <v>2978</v>
      </c>
      <c r="D98" s="264" t="s">
        <v>2993</v>
      </c>
      <c r="E98" s="264" t="s">
        <v>6970</v>
      </c>
      <c r="F98" s="275" t="s">
        <v>2994</v>
      </c>
      <c r="G98" s="264" t="s">
        <v>6971</v>
      </c>
      <c r="H98" s="264" t="s">
        <v>2995</v>
      </c>
      <c r="I98" s="171">
        <v>30</v>
      </c>
      <c r="J98" s="171">
        <v>0</v>
      </c>
      <c r="K98" s="171">
        <v>0</v>
      </c>
      <c r="L98" s="184">
        <v>30</v>
      </c>
      <c r="M98" s="171">
        <v>0</v>
      </c>
      <c r="N98" s="271"/>
      <c r="O98" s="271"/>
      <c r="P98" s="267" t="s">
        <v>209</v>
      </c>
      <c r="Q98" s="274"/>
      <c r="R98" s="267" t="s">
        <v>2996</v>
      </c>
      <c r="S98" s="264" t="s">
        <v>373</v>
      </c>
      <c r="T98" s="264" t="s">
        <v>2997</v>
      </c>
      <c r="U98" s="172" t="s">
        <v>6842</v>
      </c>
      <c r="V98" s="267" t="s">
        <v>1924</v>
      </c>
      <c r="W98" s="333" t="s">
        <v>6972</v>
      </c>
      <c r="X98" s="334"/>
      <c r="Y98" s="335"/>
      <c r="Z98" s="264" t="s">
        <v>2998</v>
      </c>
      <c r="AA98" s="265"/>
    </row>
    <row r="99" spans="1:27" ht="38.25" customHeight="1">
      <c r="A99" s="144">
        <v>95</v>
      </c>
      <c r="B99" s="271" t="s">
        <v>6431</v>
      </c>
      <c r="C99" s="267" t="s">
        <v>2978</v>
      </c>
      <c r="D99" s="264" t="s">
        <v>2999</v>
      </c>
      <c r="E99" s="264" t="s">
        <v>6973</v>
      </c>
      <c r="F99" s="275" t="s">
        <v>3000</v>
      </c>
      <c r="G99" s="264" t="s">
        <v>6974</v>
      </c>
      <c r="H99" s="264" t="s">
        <v>3001</v>
      </c>
      <c r="I99" s="171">
        <v>60</v>
      </c>
      <c r="J99" s="171">
        <v>0</v>
      </c>
      <c r="K99" s="171">
        <v>0</v>
      </c>
      <c r="L99" s="173">
        <v>60</v>
      </c>
      <c r="M99" s="171">
        <v>0</v>
      </c>
      <c r="N99" s="271"/>
      <c r="O99" s="271"/>
      <c r="P99" s="267" t="s">
        <v>261</v>
      </c>
      <c r="Q99" s="274"/>
      <c r="R99" s="267" t="s">
        <v>3002</v>
      </c>
      <c r="S99" s="264" t="s">
        <v>373</v>
      </c>
      <c r="T99" s="264" t="s">
        <v>2997</v>
      </c>
      <c r="U99" s="172" t="s">
        <v>6842</v>
      </c>
      <c r="V99" s="267" t="s">
        <v>1924</v>
      </c>
      <c r="W99" s="81">
        <v>5</v>
      </c>
      <c r="X99" s="174">
        <v>5</v>
      </c>
      <c r="Y99" s="81">
        <v>0</v>
      </c>
      <c r="Z99" s="264" t="s">
        <v>3003</v>
      </c>
      <c r="AA99" s="266"/>
    </row>
    <row r="100" spans="1:27" ht="38.25" customHeight="1">
      <c r="A100" s="144">
        <v>96</v>
      </c>
      <c r="B100" s="271" t="s">
        <v>6431</v>
      </c>
      <c r="C100" s="267" t="s">
        <v>2978</v>
      </c>
      <c r="D100" s="264" t="s">
        <v>3004</v>
      </c>
      <c r="E100" s="264" t="s">
        <v>6975</v>
      </c>
      <c r="F100" s="276" t="s">
        <v>3005</v>
      </c>
      <c r="G100" s="264" t="s">
        <v>3422</v>
      </c>
      <c r="H100" s="264" t="s">
        <v>721</v>
      </c>
      <c r="I100" s="171">
        <v>0</v>
      </c>
      <c r="J100" s="171">
        <v>0</v>
      </c>
      <c r="K100" s="171">
        <v>0</v>
      </c>
      <c r="L100" s="171">
        <v>0</v>
      </c>
      <c r="M100" s="171">
        <v>0</v>
      </c>
      <c r="N100" s="271"/>
      <c r="O100" s="271"/>
      <c r="P100" s="267" t="s">
        <v>261</v>
      </c>
      <c r="Q100" s="274"/>
      <c r="R100" s="267" t="s">
        <v>3006</v>
      </c>
      <c r="S100" s="267" t="s">
        <v>373</v>
      </c>
      <c r="T100" s="267" t="s">
        <v>3007</v>
      </c>
      <c r="U100" s="172" t="s">
        <v>6842</v>
      </c>
      <c r="V100" s="267" t="s">
        <v>1924</v>
      </c>
      <c r="W100" s="81">
        <v>2.5</v>
      </c>
      <c r="X100" s="174">
        <v>2.5</v>
      </c>
      <c r="Y100" s="174">
        <v>0</v>
      </c>
      <c r="Z100" s="267" t="s">
        <v>3008</v>
      </c>
      <c r="AA100" s="266"/>
    </row>
    <row r="101" spans="1:27" ht="66.75" customHeight="1">
      <c r="A101" s="144">
        <v>97</v>
      </c>
      <c r="B101" s="144" t="s">
        <v>6845</v>
      </c>
      <c r="C101" s="144" t="s">
        <v>6976</v>
      </c>
      <c r="D101" s="172" t="s">
        <v>6977</v>
      </c>
      <c r="E101" s="172" t="s">
        <v>6978</v>
      </c>
      <c r="F101" s="148" t="s">
        <v>6979</v>
      </c>
      <c r="G101" s="172" t="s">
        <v>6980</v>
      </c>
      <c r="H101" s="172" t="s">
        <v>6981</v>
      </c>
      <c r="I101" s="171">
        <f t="shared" ref="I101:I107" si="6">SUM(J101:M101)</f>
        <v>750</v>
      </c>
      <c r="J101" s="171">
        <v>0</v>
      </c>
      <c r="K101" s="171">
        <v>0</v>
      </c>
      <c r="L101" s="173">
        <v>750</v>
      </c>
      <c r="M101" s="171">
        <v>0</v>
      </c>
      <c r="N101" s="144"/>
      <c r="O101" s="144"/>
      <c r="P101" s="144" t="s">
        <v>209</v>
      </c>
      <c r="Q101" s="172"/>
      <c r="R101" s="144" t="s">
        <v>6982</v>
      </c>
      <c r="S101" s="144" t="s">
        <v>6840</v>
      </c>
      <c r="T101" s="196" t="s">
        <v>6841</v>
      </c>
      <c r="U101" s="172" t="s">
        <v>6842</v>
      </c>
      <c r="V101" s="144" t="s">
        <v>6983</v>
      </c>
      <c r="W101" s="336" t="s">
        <v>6985</v>
      </c>
      <c r="X101" s="337"/>
      <c r="Y101" s="338"/>
      <c r="Z101" s="172" t="s">
        <v>6984</v>
      </c>
      <c r="AA101" s="261"/>
    </row>
    <row r="102" spans="1:27" ht="51.75" customHeight="1">
      <c r="A102" s="144">
        <v>98</v>
      </c>
      <c r="B102" s="144" t="s">
        <v>6857</v>
      </c>
      <c r="C102" s="172" t="s">
        <v>3009</v>
      </c>
      <c r="D102" s="172" t="s">
        <v>6986</v>
      </c>
      <c r="E102" s="172" t="s">
        <v>6987</v>
      </c>
      <c r="F102" s="148" t="s">
        <v>6988</v>
      </c>
      <c r="G102" s="148" t="s">
        <v>6989</v>
      </c>
      <c r="H102" s="268" t="s">
        <v>6990</v>
      </c>
      <c r="I102" s="171">
        <f t="shared" si="6"/>
        <v>250</v>
      </c>
      <c r="J102" s="171">
        <v>0</v>
      </c>
      <c r="K102" s="171">
        <v>0</v>
      </c>
      <c r="L102" s="184">
        <v>250</v>
      </c>
      <c r="M102" s="171">
        <v>0</v>
      </c>
      <c r="N102" s="144"/>
      <c r="O102" s="144"/>
      <c r="P102" s="144" t="s">
        <v>247</v>
      </c>
      <c r="Q102" s="172"/>
      <c r="R102" s="144" t="s">
        <v>3010</v>
      </c>
      <c r="S102" s="144" t="s">
        <v>373</v>
      </c>
      <c r="T102" s="144" t="s">
        <v>374</v>
      </c>
      <c r="U102" s="172" t="s">
        <v>5976</v>
      </c>
      <c r="V102" s="144" t="s">
        <v>529</v>
      </c>
      <c r="W102" s="81">
        <f t="shared" si="3"/>
        <v>89.5</v>
      </c>
      <c r="X102" s="174">
        <v>89</v>
      </c>
      <c r="Y102" s="174">
        <v>0.5</v>
      </c>
      <c r="Z102" s="172" t="s">
        <v>6991</v>
      </c>
    </row>
    <row r="103" spans="1:27" ht="57.75" customHeight="1">
      <c r="A103" s="144">
        <v>99</v>
      </c>
      <c r="B103" s="144" t="s">
        <v>6857</v>
      </c>
      <c r="C103" s="172" t="s">
        <v>3009</v>
      </c>
      <c r="D103" s="172" t="s">
        <v>6992</v>
      </c>
      <c r="E103" s="172" t="s">
        <v>6993</v>
      </c>
      <c r="F103" s="148" t="s">
        <v>3011</v>
      </c>
      <c r="G103" s="172" t="s">
        <v>6994</v>
      </c>
      <c r="H103" s="172" t="s">
        <v>6995</v>
      </c>
      <c r="I103" s="171">
        <f t="shared" si="6"/>
        <v>250</v>
      </c>
      <c r="J103" s="171">
        <v>0</v>
      </c>
      <c r="K103" s="171">
        <v>0</v>
      </c>
      <c r="L103" s="184">
        <v>250</v>
      </c>
      <c r="M103" s="171">
        <v>0</v>
      </c>
      <c r="N103" s="144"/>
      <c r="O103" s="144"/>
      <c r="P103" s="144" t="s">
        <v>209</v>
      </c>
      <c r="Q103" s="172"/>
      <c r="R103" s="144" t="s">
        <v>3012</v>
      </c>
      <c r="S103" s="144" t="s">
        <v>373</v>
      </c>
      <c r="T103" s="144" t="s">
        <v>374</v>
      </c>
      <c r="U103" s="172" t="s">
        <v>5976</v>
      </c>
      <c r="V103" s="144" t="s">
        <v>376</v>
      </c>
      <c r="W103" s="81">
        <f t="shared" si="3"/>
        <v>47.1</v>
      </c>
      <c r="X103" s="174">
        <v>47.1</v>
      </c>
      <c r="Y103" s="174">
        <v>0</v>
      </c>
      <c r="Z103" s="172" t="s">
        <v>6996</v>
      </c>
    </row>
    <row r="104" spans="1:27" ht="120" customHeight="1">
      <c r="A104" s="144">
        <v>100</v>
      </c>
      <c r="B104" s="144" t="s">
        <v>6857</v>
      </c>
      <c r="C104" s="144" t="s">
        <v>6997</v>
      </c>
      <c r="D104" s="172" t="s">
        <v>6998</v>
      </c>
      <c r="E104" s="172" t="s">
        <v>6999</v>
      </c>
      <c r="F104" s="148" t="s">
        <v>7000</v>
      </c>
      <c r="G104" s="172" t="s">
        <v>7001</v>
      </c>
      <c r="H104" s="172" t="s">
        <v>7002</v>
      </c>
      <c r="I104" s="171">
        <f t="shared" si="6"/>
        <v>800</v>
      </c>
      <c r="J104" s="171">
        <v>200</v>
      </c>
      <c r="K104" s="171">
        <v>0</v>
      </c>
      <c r="L104" s="173">
        <v>600</v>
      </c>
      <c r="M104" s="171">
        <v>0</v>
      </c>
      <c r="N104" s="144" t="s">
        <v>7003</v>
      </c>
      <c r="O104" s="144" t="s">
        <v>7053</v>
      </c>
      <c r="P104" s="172" t="s">
        <v>261</v>
      </c>
      <c r="Q104" s="172" t="s">
        <v>7054</v>
      </c>
      <c r="R104" s="172" t="s">
        <v>7004</v>
      </c>
      <c r="S104" s="172" t="s">
        <v>5218</v>
      </c>
      <c r="T104" s="172" t="s">
        <v>5219</v>
      </c>
      <c r="U104" s="172" t="s">
        <v>7005</v>
      </c>
      <c r="V104" s="172" t="s">
        <v>6588</v>
      </c>
      <c r="W104" s="81">
        <f t="shared" si="3"/>
        <v>520.5</v>
      </c>
      <c r="X104" s="81">
        <v>469.1</v>
      </c>
      <c r="Y104" s="81">
        <v>51.4</v>
      </c>
      <c r="Z104" s="172" t="s">
        <v>7006</v>
      </c>
    </row>
    <row r="105" spans="1:27" ht="93.75" customHeight="1">
      <c r="A105" s="144">
        <v>101</v>
      </c>
      <c r="B105" s="144" t="s">
        <v>6479</v>
      </c>
      <c r="C105" s="144" t="s">
        <v>7007</v>
      </c>
      <c r="D105" s="172" t="s">
        <v>7008</v>
      </c>
      <c r="E105" s="172" t="s">
        <v>7009</v>
      </c>
      <c r="F105" s="148" t="s">
        <v>7010</v>
      </c>
      <c r="G105" s="172" t="s">
        <v>7011</v>
      </c>
      <c r="H105" s="172" t="s">
        <v>7012</v>
      </c>
      <c r="I105" s="171">
        <f t="shared" si="6"/>
        <v>100</v>
      </c>
      <c r="J105" s="171">
        <v>0</v>
      </c>
      <c r="K105" s="171">
        <v>0</v>
      </c>
      <c r="L105" s="173">
        <v>100</v>
      </c>
      <c r="M105" s="171">
        <v>0</v>
      </c>
      <c r="N105" s="144"/>
      <c r="O105" s="144"/>
      <c r="P105" s="172" t="s">
        <v>247</v>
      </c>
      <c r="Q105" s="172"/>
      <c r="R105" s="172" t="s">
        <v>7013</v>
      </c>
      <c r="S105" s="172" t="s">
        <v>5218</v>
      </c>
      <c r="T105" s="172" t="s">
        <v>5219</v>
      </c>
      <c r="U105" s="172" t="s">
        <v>7014</v>
      </c>
      <c r="V105" s="172" t="s">
        <v>6588</v>
      </c>
      <c r="W105" s="81">
        <f t="shared" si="3"/>
        <v>20</v>
      </c>
      <c r="X105" s="81">
        <v>20</v>
      </c>
      <c r="Y105" s="81">
        <v>0</v>
      </c>
      <c r="Z105" s="172" t="s">
        <v>7015</v>
      </c>
    </row>
    <row r="106" spans="1:27" ht="51.75" customHeight="1">
      <c r="A106" s="144">
        <v>102</v>
      </c>
      <c r="B106" s="144" t="s">
        <v>6479</v>
      </c>
      <c r="C106" s="144" t="s">
        <v>7007</v>
      </c>
      <c r="D106" s="172" t="s">
        <v>7016</v>
      </c>
      <c r="E106" s="172" t="s">
        <v>7017</v>
      </c>
      <c r="F106" s="148" t="s">
        <v>7018</v>
      </c>
      <c r="G106" s="172" t="s">
        <v>7019</v>
      </c>
      <c r="H106" s="172" t="s">
        <v>7020</v>
      </c>
      <c r="I106" s="171">
        <f t="shared" si="6"/>
        <v>70</v>
      </c>
      <c r="J106" s="171">
        <v>0</v>
      </c>
      <c r="K106" s="171">
        <v>0</v>
      </c>
      <c r="L106" s="173">
        <v>70</v>
      </c>
      <c r="M106" s="171">
        <v>0</v>
      </c>
      <c r="N106" s="144"/>
      <c r="O106" s="144"/>
      <c r="P106" s="172" t="s">
        <v>209</v>
      </c>
      <c r="Q106" s="172"/>
      <c r="R106" s="172" t="s">
        <v>7021</v>
      </c>
      <c r="S106" s="172" t="s">
        <v>5325</v>
      </c>
      <c r="T106" s="172" t="s">
        <v>7022</v>
      </c>
      <c r="U106" s="172" t="s">
        <v>7023</v>
      </c>
      <c r="V106" s="172" t="s">
        <v>5328</v>
      </c>
      <c r="W106" s="81">
        <f t="shared" si="3"/>
        <v>21.3</v>
      </c>
      <c r="X106" s="81">
        <v>21.2</v>
      </c>
      <c r="Y106" s="81">
        <v>0.1</v>
      </c>
      <c r="Z106" s="172" t="s">
        <v>7024</v>
      </c>
    </row>
    <row r="107" spans="1:27" ht="62.25" customHeight="1">
      <c r="A107" s="144">
        <v>103</v>
      </c>
      <c r="B107" s="144" t="s">
        <v>6857</v>
      </c>
      <c r="C107" s="144" t="s">
        <v>7025</v>
      </c>
      <c r="D107" s="172" t="s">
        <v>7026</v>
      </c>
      <c r="E107" s="172" t="s">
        <v>7027</v>
      </c>
      <c r="F107" s="148" t="s">
        <v>7028</v>
      </c>
      <c r="G107" s="172" t="s">
        <v>7029</v>
      </c>
      <c r="H107" s="172" t="s">
        <v>7030</v>
      </c>
      <c r="I107" s="171">
        <f t="shared" si="6"/>
        <v>90</v>
      </c>
      <c r="J107" s="171">
        <v>0</v>
      </c>
      <c r="K107" s="171">
        <v>0</v>
      </c>
      <c r="L107" s="173">
        <v>30</v>
      </c>
      <c r="M107" s="171">
        <v>60</v>
      </c>
      <c r="N107" s="144"/>
      <c r="O107" s="144"/>
      <c r="P107" s="172" t="s">
        <v>209</v>
      </c>
      <c r="Q107" s="172"/>
      <c r="R107" s="172" t="s">
        <v>7031</v>
      </c>
      <c r="S107" s="172" t="s">
        <v>5325</v>
      </c>
      <c r="T107" s="172" t="s">
        <v>7032</v>
      </c>
      <c r="U107" s="172" t="s">
        <v>5976</v>
      </c>
      <c r="V107" s="172" t="s">
        <v>5328</v>
      </c>
      <c r="W107" s="81">
        <f t="shared" si="3"/>
        <v>23.8</v>
      </c>
      <c r="X107" s="81">
        <v>23.8</v>
      </c>
      <c r="Y107" s="81">
        <v>0</v>
      </c>
      <c r="Z107" s="172" t="s">
        <v>7033</v>
      </c>
    </row>
    <row r="108" spans="1:27" ht="83.25" customHeight="1">
      <c r="A108" s="144">
        <v>104</v>
      </c>
      <c r="B108" s="144" t="s">
        <v>6431</v>
      </c>
      <c r="C108" s="144" t="s">
        <v>7034</v>
      </c>
      <c r="D108" s="172" t="s">
        <v>7035</v>
      </c>
      <c r="E108" s="172" t="s">
        <v>7036</v>
      </c>
      <c r="F108" s="148" t="s">
        <v>7037</v>
      </c>
      <c r="G108" s="172" t="s">
        <v>7038</v>
      </c>
      <c r="H108" s="172" t="s">
        <v>7039</v>
      </c>
      <c r="I108" s="171">
        <v>90</v>
      </c>
      <c r="J108" s="171">
        <v>0</v>
      </c>
      <c r="K108" s="171">
        <v>0</v>
      </c>
      <c r="L108" s="173">
        <v>90</v>
      </c>
      <c r="M108" s="171">
        <v>0</v>
      </c>
      <c r="N108" s="144"/>
      <c r="O108" s="144"/>
      <c r="P108" s="172" t="s">
        <v>261</v>
      </c>
      <c r="Q108" s="172"/>
      <c r="R108" s="172" t="s">
        <v>7040</v>
      </c>
      <c r="S108" s="172" t="s">
        <v>373</v>
      </c>
      <c r="T108" s="172" t="s">
        <v>374</v>
      </c>
      <c r="U108" s="172" t="s">
        <v>5063</v>
      </c>
      <c r="V108" s="172" t="s">
        <v>376</v>
      </c>
      <c r="W108" s="81">
        <v>44</v>
      </c>
      <c r="X108" s="81">
        <v>44</v>
      </c>
      <c r="Y108" s="81">
        <v>0</v>
      </c>
      <c r="Z108" s="172" t="s">
        <v>7041</v>
      </c>
    </row>
    <row r="109" spans="1:27" ht="77.25" customHeight="1">
      <c r="A109" s="144">
        <v>105</v>
      </c>
      <c r="B109" s="144" t="s">
        <v>6431</v>
      </c>
      <c r="C109" s="144" t="s">
        <v>7034</v>
      </c>
      <c r="D109" s="172" t="s">
        <v>7042</v>
      </c>
      <c r="E109" s="172" t="s">
        <v>7043</v>
      </c>
      <c r="F109" s="148" t="s">
        <v>7044</v>
      </c>
      <c r="G109" s="172" t="s">
        <v>7093</v>
      </c>
      <c r="H109" s="172" t="s">
        <v>7045</v>
      </c>
      <c r="I109" s="171">
        <v>60</v>
      </c>
      <c r="J109" s="171">
        <v>0</v>
      </c>
      <c r="K109" s="171">
        <v>0</v>
      </c>
      <c r="L109" s="173">
        <v>50</v>
      </c>
      <c r="M109" s="171">
        <v>10</v>
      </c>
      <c r="N109" s="144"/>
      <c r="O109" s="144"/>
      <c r="P109" s="172" t="s">
        <v>261</v>
      </c>
      <c r="Q109" s="172"/>
      <c r="R109" s="172" t="s">
        <v>7046</v>
      </c>
      <c r="S109" s="172" t="s">
        <v>373</v>
      </c>
      <c r="T109" s="172" t="s">
        <v>374</v>
      </c>
      <c r="U109" s="172" t="s">
        <v>5063</v>
      </c>
      <c r="V109" s="172" t="s">
        <v>7047</v>
      </c>
      <c r="W109" s="81">
        <v>98.5</v>
      </c>
      <c r="X109" s="81">
        <v>98.5</v>
      </c>
      <c r="Y109" s="81">
        <v>0</v>
      </c>
      <c r="Z109" s="172" t="s">
        <v>7048</v>
      </c>
    </row>
    <row r="110" spans="1:27" s="2" customFormat="1" ht="26.25" customHeight="1">
      <c r="A110" s="15"/>
      <c r="B110" s="15"/>
      <c r="C110" s="15"/>
      <c r="N110" s="15"/>
      <c r="O110" s="15"/>
      <c r="Q110" s="16"/>
      <c r="W110" s="278"/>
      <c r="X110" s="279"/>
      <c r="Y110" s="279"/>
    </row>
    <row r="111" spans="1:27" s="2" customFormat="1" ht="26.25" customHeight="1">
      <c r="A111" s="15"/>
      <c r="B111" s="15"/>
      <c r="C111" s="15"/>
      <c r="N111" s="15"/>
      <c r="O111" s="15"/>
      <c r="Q111" s="16"/>
      <c r="W111" s="278"/>
      <c r="X111" s="279"/>
      <c r="Y111" s="279"/>
    </row>
    <row r="112" spans="1:27" s="2" customFormat="1" ht="26.25" customHeight="1">
      <c r="A112" s="15"/>
      <c r="B112" s="15"/>
      <c r="C112" s="15"/>
      <c r="N112" s="15"/>
      <c r="O112" s="15"/>
      <c r="Q112" s="16"/>
      <c r="W112" s="278"/>
      <c r="X112" s="279"/>
      <c r="Y112" s="279"/>
    </row>
  </sheetData>
  <mergeCells count="14">
    <mergeCell ref="W51:Y51"/>
    <mergeCell ref="W67:Y67"/>
    <mergeCell ref="W69:Y69"/>
    <mergeCell ref="W98:Y98"/>
    <mergeCell ref="W101:Y101"/>
    <mergeCell ref="W76:Y76"/>
    <mergeCell ref="W77:Y77"/>
    <mergeCell ref="W78:Y78"/>
    <mergeCell ref="W9:Y9"/>
    <mergeCell ref="A1:Y2"/>
    <mergeCell ref="A3:E3"/>
    <mergeCell ref="I3:M3"/>
    <mergeCell ref="N3:O3"/>
    <mergeCell ref="W3:Y3"/>
  </mergeCells>
  <phoneticPr fontId="5" type="noConversion"/>
  <dataValidations count="4">
    <dataValidation type="list" allowBlank="1" showInputMessage="1" showErrorMessage="1" sqref="P39:P41">
      <formula1>$N$40:$N$64</formula1>
    </dataValidation>
    <dataValidation type="list" allowBlank="1" showInputMessage="1" showErrorMessage="1" sqref="P56:P59 P101:P109 P6:P9 P30:P38 P42:P46 P61:P68 P70:P95 B5:B109">
      <formula1>#REF!</formula1>
    </dataValidation>
    <dataValidation type="list" allowBlank="1" showInputMessage="1" showErrorMessage="1" sqref="P47:P51">
      <formula1>$O$9:$O$26</formula1>
    </dataValidation>
    <dataValidation type="list" allowBlank="1" showInputMessage="1" showErrorMessage="1" sqref="P52:P55">
      <formula1>$M$4:$M$9</formula1>
    </dataValidation>
  </dataValidations>
  <pageMargins left="0.19685039370078741" right="0.19685039370078741" top="0.35433070866141736" bottom="0.19685039370078741" header="0.19685039370078741" footer="0.19685039370078741"/>
  <pageSetup paperSize="9" scale="44" orientation="landscape" r:id="rId1"/>
  <headerFooter alignWithMargins="0"/>
  <rowBreaks count="3" manualBreakCount="3">
    <brk id="4" max="20" man="1"/>
    <brk id="17" max="20" man="1"/>
    <brk id="30" max="1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7"/>
  <sheetViews>
    <sheetView zoomScale="90" zoomScaleNormal="90" zoomScaleSheetLayoutView="90" workbookViewId="0">
      <pane ySplit="4" topLeftCell="A77" activePane="bottomLeft" state="frozen"/>
      <selection pane="bottomLeft" sqref="A1:Y2"/>
    </sheetView>
  </sheetViews>
  <sheetFormatPr defaultRowHeight="13.5"/>
  <cols>
    <col min="1" max="1" width="5.109375" style="6" customWidth="1"/>
    <col min="2" max="2" width="12.33203125" style="6" customWidth="1"/>
    <col min="3" max="3" width="9.109375" style="6" customWidth="1"/>
    <col min="4" max="4" width="18.88671875" style="1" bestFit="1" customWidth="1"/>
    <col min="5" max="5" width="12.109375" style="1" customWidth="1"/>
    <col min="6" max="6" width="42" style="1" customWidth="1"/>
    <col min="7" max="7" width="25.109375" style="1" customWidth="1"/>
    <col min="8" max="8" width="12.21875" style="1" customWidth="1"/>
    <col min="9" max="9" width="14.21875" style="1" customWidth="1"/>
    <col min="10" max="13" width="7.6640625" style="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6" width="12.21875" style="1" customWidth="1"/>
    <col min="27" max="16384" width="8.88671875" style="1"/>
  </cols>
  <sheetData>
    <row r="1" spans="1:27" ht="29.25" customHeight="1">
      <c r="A1" s="304" t="s">
        <v>5398</v>
      </c>
      <c r="B1" s="304"/>
      <c r="C1" s="304"/>
      <c r="D1" s="304"/>
      <c r="E1" s="304"/>
      <c r="F1" s="304"/>
      <c r="G1" s="304"/>
      <c r="H1" s="304"/>
      <c r="I1" s="304"/>
      <c r="J1" s="304"/>
      <c r="K1" s="304"/>
      <c r="L1" s="304"/>
      <c r="M1" s="304"/>
      <c r="N1" s="304"/>
      <c r="O1" s="304"/>
      <c r="P1" s="304"/>
      <c r="Q1" s="304"/>
      <c r="R1" s="304"/>
      <c r="S1" s="304"/>
      <c r="T1" s="304"/>
      <c r="U1" s="304"/>
      <c r="V1" s="304"/>
      <c r="W1" s="304"/>
      <c r="X1" s="304"/>
      <c r="Y1" s="304"/>
      <c r="Z1" s="137"/>
    </row>
    <row r="2" spans="1:27"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38"/>
    </row>
    <row r="3" spans="1:27" s="2" customFormat="1" ht="53.25" customHeight="1">
      <c r="A3" s="311" t="s">
        <v>5399</v>
      </c>
      <c r="B3" s="311"/>
      <c r="C3" s="311"/>
      <c r="D3" s="311"/>
      <c r="E3" s="311"/>
      <c r="F3" s="138"/>
      <c r="G3" s="138"/>
      <c r="H3" s="138"/>
      <c r="I3" s="305" t="s">
        <v>5400</v>
      </c>
      <c r="J3" s="305"/>
      <c r="K3" s="305"/>
      <c r="L3" s="305"/>
      <c r="M3" s="305"/>
      <c r="N3" s="306" t="s">
        <v>6417</v>
      </c>
      <c r="O3" s="307"/>
      <c r="P3" s="40"/>
      <c r="Q3" s="40"/>
      <c r="R3" s="140"/>
      <c r="S3" s="140"/>
      <c r="T3" s="140"/>
      <c r="U3" s="140"/>
      <c r="V3" s="140"/>
      <c r="W3" s="312" t="s">
        <v>5401</v>
      </c>
      <c r="X3" s="312"/>
      <c r="Y3" s="312"/>
      <c r="Z3" s="140"/>
      <c r="AA3" s="17"/>
    </row>
    <row r="4" spans="1:27" ht="39.75" customHeight="1">
      <c r="A4" s="141" t="s">
        <v>5402</v>
      </c>
      <c r="B4" s="141" t="s">
        <v>5403</v>
      </c>
      <c r="C4" s="141" t="s">
        <v>5404</v>
      </c>
      <c r="D4" s="141" t="s">
        <v>5405</v>
      </c>
      <c r="E4" s="142" t="s">
        <v>5406</v>
      </c>
      <c r="F4" s="141" t="s">
        <v>5407</v>
      </c>
      <c r="G4" s="142" t="s">
        <v>5408</v>
      </c>
      <c r="H4" s="142" t="s">
        <v>5409</v>
      </c>
      <c r="I4" s="142" t="s">
        <v>5410</v>
      </c>
      <c r="J4" s="142" t="s">
        <v>5411</v>
      </c>
      <c r="K4" s="142" t="s">
        <v>5412</v>
      </c>
      <c r="L4" s="142" t="s">
        <v>5413</v>
      </c>
      <c r="M4" s="142" t="s">
        <v>5414</v>
      </c>
      <c r="N4" s="142" t="s">
        <v>5415</v>
      </c>
      <c r="O4" s="142" t="s">
        <v>5416</v>
      </c>
      <c r="P4" s="142" t="s">
        <v>5417</v>
      </c>
      <c r="Q4" s="142" t="s">
        <v>5418</v>
      </c>
      <c r="R4" s="143" t="s">
        <v>5419</v>
      </c>
      <c r="S4" s="143" t="s">
        <v>5420</v>
      </c>
      <c r="T4" s="143" t="s">
        <v>5421</v>
      </c>
      <c r="U4" s="143" t="s">
        <v>6415</v>
      </c>
      <c r="V4" s="143" t="s">
        <v>5422</v>
      </c>
      <c r="W4" s="143" t="s">
        <v>5423</v>
      </c>
      <c r="X4" s="143" t="s">
        <v>5424</v>
      </c>
      <c r="Y4" s="143" t="s">
        <v>5425</v>
      </c>
      <c r="Z4" s="143" t="s">
        <v>5426</v>
      </c>
    </row>
    <row r="5" spans="1:27" ht="87" customHeight="1">
      <c r="A5" s="155">
        <v>1</v>
      </c>
      <c r="B5" s="155" t="s">
        <v>3014</v>
      </c>
      <c r="C5" s="155" t="s">
        <v>5427</v>
      </c>
      <c r="D5" s="80" t="s">
        <v>5428</v>
      </c>
      <c r="E5" s="80" t="s">
        <v>5429</v>
      </c>
      <c r="F5" s="136" t="s">
        <v>5430</v>
      </c>
      <c r="G5" s="80" t="s">
        <v>5431</v>
      </c>
      <c r="H5" s="80" t="s">
        <v>5432</v>
      </c>
      <c r="I5" s="81">
        <f>SUM(J5:M5)</f>
        <v>500</v>
      </c>
      <c r="J5" s="81">
        <v>0</v>
      </c>
      <c r="K5" s="81">
        <v>135</v>
      </c>
      <c r="L5" s="81">
        <v>365</v>
      </c>
      <c r="M5" s="81">
        <v>0</v>
      </c>
      <c r="N5" s="80"/>
      <c r="O5" s="31"/>
      <c r="P5" s="80" t="s">
        <v>304</v>
      </c>
      <c r="Q5" s="80"/>
      <c r="R5" s="80" t="s">
        <v>5433</v>
      </c>
      <c r="S5" s="80" t="s">
        <v>5434</v>
      </c>
      <c r="T5" s="80" t="s">
        <v>5435</v>
      </c>
      <c r="U5" s="80" t="s">
        <v>5436</v>
      </c>
      <c r="V5" s="80" t="s">
        <v>5437</v>
      </c>
      <c r="W5" s="81">
        <f>SUM(X5:Y5)</f>
        <v>100</v>
      </c>
      <c r="X5" s="81">
        <v>100</v>
      </c>
      <c r="Y5" s="81">
        <v>0</v>
      </c>
      <c r="Z5" s="80" t="s">
        <v>5438</v>
      </c>
    </row>
    <row r="6" spans="1:27" ht="78" customHeight="1">
      <c r="A6" s="155">
        <v>2</v>
      </c>
      <c r="B6" s="155" t="s">
        <v>3014</v>
      </c>
      <c r="C6" s="155" t="s">
        <v>5427</v>
      </c>
      <c r="D6" s="80" t="s">
        <v>5439</v>
      </c>
      <c r="E6" s="80" t="s">
        <v>5440</v>
      </c>
      <c r="F6" s="136" t="s">
        <v>5441</v>
      </c>
      <c r="G6" s="80" t="s">
        <v>5442</v>
      </c>
      <c r="H6" s="80" t="s">
        <v>5443</v>
      </c>
      <c r="I6" s="81">
        <f t="shared" ref="I6:I69" si="0">SUM(J6:M6)</f>
        <v>250</v>
      </c>
      <c r="J6" s="81">
        <v>0</v>
      </c>
      <c r="K6" s="81">
        <v>30</v>
      </c>
      <c r="L6" s="81">
        <v>220</v>
      </c>
      <c r="M6" s="81">
        <v>0</v>
      </c>
      <c r="N6" s="80"/>
      <c r="O6" s="80"/>
      <c r="P6" s="80" t="s">
        <v>261</v>
      </c>
      <c r="Q6" s="80"/>
      <c r="R6" s="80" t="s">
        <v>5444</v>
      </c>
      <c r="S6" s="80" t="s">
        <v>5035</v>
      </c>
      <c r="T6" s="80" t="s">
        <v>5138</v>
      </c>
      <c r="U6" s="80" t="s">
        <v>5128</v>
      </c>
      <c r="V6" s="80" t="s">
        <v>5129</v>
      </c>
      <c r="W6" s="81">
        <f t="shared" ref="W6:W8" si="1">SUM(X6:Y6)</f>
        <v>50</v>
      </c>
      <c r="X6" s="81">
        <v>50</v>
      </c>
      <c r="Y6" s="81">
        <v>0</v>
      </c>
      <c r="Z6" s="80" t="s">
        <v>5445</v>
      </c>
    </row>
    <row r="7" spans="1:27" ht="78" customHeight="1">
      <c r="A7" s="155">
        <v>3</v>
      </c>
      <c r="B7" s="155" t="s">
        <v>3014</v>
      </c>
      <c r="C7" s="155" t="s">
        <v>5446</v>
      </c>
      <c r="D7" s="80" t="s">
        <v>5447</v>
      </c>
      <c r="E7" s="80" t="s">
        <v>5160</v>
      </c>
      <c r="F7" s="136" t="s">
        <v>5448</v>
      </c>
      <c r="G7" s="80" t="s">
        <v>5449</v>
      </c>
      <c r="H7" s="80" t="s">
        <v>5450</v>
      </c>
      <c r="I7" s="81">
        <f t="shared" si="0"/>
        <v>170</v>
      </c>
      <c r="J7" s="81">
        <v>0</v>
      </c>
      <c r="K7" s="81">
        <v>0</v>
      </c>
      <c r="L7" s="81">
        <v>170</v>
      </c>
      <c r="M7" s="81">
        <v>0</v>
      </c>
      <c r="N7" s="80"/>
      <c r="O7" s="80"/>
      <c r="P7" s="80" t="s">
        <v>209</v>
      </c>
      <c r="Q7" s="80"/>
      <c r="R7" s="80" t="s">
        <v>5451</v>
      </c>
      <c r="S7" s="80" t="s">
        <v>5035</v>
      </c>
      <c r="T7" s="80" t="s">
        <v>5127</v>
      </c>
      <c r="U7" s="80" t="s">
        <v>5452</v>
      </c>
      <c r="V7" s="80" t="s">
        <v>5129</v>
      </c>
      <c r="W7" s="81">
        <f t="shared" si="1"/>
        <v>100</v>
      </c>
      <c r="X7" s="81">
        <v>100</v>
      </c>
      <c r="Y7" s="81">
        <v>0</v>
      </c>
      <c r="Z7" s="80" t="s">
        <v>5310</v>
      </c>
    </row>
    <row r="8" spans="1:27" ht="60">
      <c r="A8" s="155">
        <v>4</v>
      </c>
      <c r="B8" s="155" t="s">
        <v>3014</v>
      </c>
      <c r="C8" s="155" t="s">
        <v>5446</v>
      </c>
      <c r="D8" s="80" t="s">
        <v>5453</v>
      </c>
      <c r="E8" s="80" t="s">
        <v>5160</v>
      </c>
      <c r="F8" s="136" t="s">
        <v>5454</v>
      </c>
      <c r="G8" s="80" t="s">
        <v>5455</v>
      </c>
      <c r="H8" s="80" t="s">
        <v>5456</v>
      </c>
      <c r="I8" s="81">
        <f t="shared" si="0"/>
        <v>60</v>
      </c>
      <c r="J8" s="81">
        <v>0</v>
      </c>
      <c r="K8" s="81">
        <v>0</v>
      </c>
      <c r="L8" s="81">
        <v>60</v>
      </c>
      <c r="M8" s="81">
        <v>0</v>
      </c>
      <c r="N8" s="80"/>
      <c r="O8" s="80"/>
      <c r="P8" s="80" t="s">
        <v>247</v>
      </c>
      <c r="Q8" s="80"/>
      <c r="R8" s="80" t="s">
        <v>5457</v>
      </c>
      <c r="S8" s="80" t="s">
        <v>5035</v>
      </c>
      <c r="T8" s="80" t="s">
        <v>5127</v>
      </c>
      <c r="U8" s="80" t="s">
        <v>5268</v>
      </c>
      <c r="V8" s="80" t="s">
        <v>5129</v>
      </c>
      <c r="W8" s="81">
        <f t="shared" si="1"/>
        <v>20</v>
      </c>
      <c r="X8" s="81">
        <v>20</v>
      </c>
      <c r="Y8" s="81">
        <v>0</v>
      </c>
      <c r="Z8" s="80" t="s">
        <v>5458</v>
      </c>
    </row>
    <row r="9" spans="1:27" s="35" customFormat="1" ht="132" customHeight="1">
      <c r="A9" s="155">
        <v>5</v>
      </c>
      <c r="B9" s="155" t="s">
        <v>3014</v>
      </c>
      <c r="C9" s="155" t="s">
        <v>3016</v>
      </c>
      <c r="D9" s="80" t="s">
        <v>3017</v>
      </c>
      <c r="E9" s="80" t="s">
        <v>5459</v>
      </c>
      <c r="F9" s="82" t="s">
        <v>5460</v>
      </c>
      <c r="G9" s="80" t="s">
        <v>5461</v>
      </c>
      <c r="H9" s="80" t="s">
        <v>5462</v>
      </c>
      <c r="I9" s="81">
        <f t="shared" si="0"/>
        <v>1400</v>
      </c>
      <c r="J9" s="81">
        <v>110</v>
      </c>
      <c r="K9" s="81">
        <v>110</v>
      </c>
      <c r="L9" s="81">
        <v>1180</v>
      </c>
      <c r="M9" s="81">
        <v>0</v>
      </c>
      <c r="N9" s="80" t="s">
        <v>510</v>
      </c>
      <c r="O9" s="80" t="s">
        <v>511</v>
      </c>
      <c r="P9" s="80" t="s">
        <v>304</v>
      </c>
      <c r="Q9" s="80" t="s">
        <v>5463</v>
      </c>
      <c r="R9" s="80" t="s">
        <v>3018</v>
      </c>
      <c r="S9" s="80" t="s">
        <v>373</v>
      </c>
      <c r="T9" s="155" t="s">
        <v>501</v>
      </c>
      <c r="U9" s="80" t="s">
        <v>5464</v>
      </c>
      <c r="V9" s="80" t="s">
        <v>529</v>
      </c>
      <c r="W9" s="81">
        <f>SUM(X9:Y9)</f>
        <v>99.9</v>
      </c>
      <c r="X9" s="81">
        <v>99</v>
      </c>
      <c r="Y9" s="81">
        <v>0.9</v>
      </c>
      <c r="Z9" s="80" t="s">
        <v>5465</v>
      </c>
    </row>
    <row r="10" spans="1:27" s="35" customFormat="1" ht="159" customHeight="1">
      <c r="A10" s="155">
        <v>6</v>
      </c>
      <c r="B10" s="155" t="s">
        <v>3014</v>
      </c>
      <c r="C10" s="155" t="s">
        <v>3016</v>
      </c>
      <c r="D10" s="80" t="s">
        <v>5466</v>
      </c>
      <c r="E10" s="80" t="s">
        <v>5467</v>
      </c>
      <c r="F10" s="82" t="s">
        <v>5468</v>
      </c>
      <c r="G10" s="80" t="s">
        <v>5461</v>
      </c>
      <c r="H10" s="80" t="s">
        <v>5378</v>
      </c>
      <c r="I10" s="81">
        <f t="shared" si="0"/>
        <v>70</v>
      </c>
      <c r="J10" s="81">
        <v>0</v>
      </c>
      <c r="K10" s="81">
        <v>0</v>
      </c>
      <c r="L10" s="81">
        <v>70</v>
      </c>
      <c r="M10" s="81">
        <v>0</v>
      </c>
      <c r="N10" s="80"/>
      <c r="O10" s="80"/>
      <c r="P10" s="80" t="s">
        <v>5346</v>
      </c>
      <c r="Q10" s="80"/>
      <c r="R10" s="80" t="s">
        <v>5469</v>
      </c>
      <c r="S10" s="80" t="s">
        <v>5035</v>
      </c>
      <c r="T10" s="155" t="s">
        <v>501</v>
      </c>
      <c r="U10" s="80" t="s">
        <v>5464</v>
      </c>
      <c r="V10" s="80" t="s">
        <v>529</v>
      </c>
      <c r="W10" s="81">
        <f t="shared" ref="W10:W13" si="2">SUM(X10:Y10)</f>
        <v>10</v>
      </c>
      <c r="X10" s="81">
        <v>10</v>
      </c>
      <c r="Y10" s="81">
        <v>0</v>
      </c>
      <c r="Z10" s="80" t="s">
        <v>5470</v>
      </c>
    </row>
    <row r="11" spans="1:27" ht="38.25" customHeight="1">
      <c r="A11" s="155">
        <v>7</v>
      </c>
      <c r="B11" s="155" t="s">
        <v>3014</v>
      </c>
      <c r="C11" s="155" t="s">
        <v>5471</v>
      </c>
      <c r="D11" s="80" t="s">
        <v>5472</v>
      </c>
      <c r="E11" s="80" t="s">
        <v>5473</v>
      </c>
      <c r="F11" s="136" t="s">
        <v>5474</v>
      </c>
      <c r="G11" s="80" t="s">
        <v>5475</v>
      </c>
      <c r="H11" s="80" t="s">
        <v>5476</v>
      </c>
      <c r="I11" s="81">
        <f t="shared" si="0"/>
        <v>80</v>
      </c>
      <c r="J11" s="81">
        <v>0</v>
      </c>
      <c r="K11" s="81">
        <v>0</v>
      </c>
      <c r="L11" s="81">
        <v>80</v>
      </c>
      <c r="M11" s="81">
        <v>0</v>
      </c>
      <c r="N11" s="80"/>
      <c r="O11" s="80"/>
      <c r="P11" s="80" t="s">
        <v>247</v>
      </c>
      <c r="Q11" s="80"/>
      <c r="R11" s="80" t="s">
        <v>5477</v>
      </c>
      <c r="S11" s="80" t="s">
        <v>5035</v>
      </c>
      <c r="T11" s="80" t="s">
        <v>5478</v>
      </c>
      <c r="U11" s="80" t="s">
        <v>5478</v>
      </c>
      <c r="V11" s="81" t="s">
        <v>5038</v>
      </c>
      <c r="W11" s="81">
        <f t="shared" si="2"/>
        <v>30</v>
      </c>
      <c r="X11" s="81">
        <v>30</v>
      </c>
      <c r="Y11" s="81">
        <v>0</v>
      </c>
      <c r="Z11" s="80" t="s">
        <v>5479</v>
      </c>
    </row>
    <row r="12" spans="1:27" ht="38.25" customHeight="1">
      <c r="A12" s="155">
        <v>8</v>
      </c>
      <c r="B12" s="155" t="s">
        <v>5480</v>
      </c>
      <c r="C12" s="155" t="s">
        <v>5481</v>
      </c>
      <c r="D12" s="80" t="s">
        <v>5482</v>
      </c>
      <c r="E12" s="80" t="s">
        <v>5483</v>
      </c>
      <c r="F12" s="136" t="s">
        <v>5484</v>
      </c>
      <c r="G12" s="80" t="s">
        <v>5485</v>
      </c>
      <c r="H12" s="80" t="s">
        <v>5486</v>
      </c>
      <c r="I12" s="81">
        <f t="shared" si="0"/>
        <v>500</v>
      </c>
      <c r="J12" s="81">
        <v>0</v>
      </c>
      <c r="K12" s="81">
        <v>0</v>
      </c>
      <c r="L12" s="81">
        <v>500</v>
      </c>
      <c r="M12" s="81">
        <v>0</v>
      </c>
      <c r="N12" s="80"/>
      <c r="O12" s="80"/>
      <c r="P12" s="80" t="s">
        <v>5477</v>
      </c>
      <c r="Q12" s="80"/>
      <c r="R12" s="80" t="s">
        <v>5487</v>
      </c>
      <c r="S12" s="80" t="s">
        <v>5035</v>
      </c>
      <c r="T12" s="80" t="s">
        <v>5036</v>
      </c>
      <c r="U12" s="80" t="s">
        <v>5037</v>
      </c>
      <c r="V12" s="80" t="s">
        <v>5038</v>
      </c>
      <c r="W12" s="81">
        <f t="shared" si="2"/>
        <v>50</v>
      </c>
      <c r="X12" s="81">
        <v>50</v>
      </c>
      <c r="Y12" s="81"/>
      <c r="Z12" s="80" t="s">
        <v>5488</v>
      </c>
    </row>
    <row r="13" spans="1:27" ht="38.25" customHeight="1">
      <c r="A13" s="155">
        <v>9</v>
      </c>
      <c r="B13" s="155" t="s">
        <v>5480</v>
      </c>
      <c r="C13" s="155" t="s">
        <v>5481</v>
      </c>
      <c r="D13" s="80" t="s">
        <v>5489</v>
      </c>
      <c r="E13" s="80" t="s">
        <v>5483</v>
      </c>
      <c r="F13" s="136" t="s">
        <v>5490</v>
      </c>
      <c r="G13" s="80" t="s">
        <v>5491</v>
      </c>
      <c r="H13" s="80" t="s">
        <v>5492</v>
      </c>
      <c r="I13" s="81">
        <f t="shared" si="0"/>
        <v>90</v>
      </c>
      <c r="J13" s="81">
        <v>0</v>
      </c>
      <c r="K13" s="81">
        <v>45</v>
      </c>
      <c r="L13" s="81">
        <v>45</v>
      </c>
      <c r="M13" s="81">
        <v>0</v>
      </c>
      <c r="N13" s="80"/>
      <c r="O13" s="80"/>
      <c r="P13" s="80" t="s">
        <v>5477</v>
      </c>
      <c r="Q13" s="80"/>
      <c r="R13" s="80" t="s">
        <v>5493</v>
      </c>
      <c r="S13" s="80" t="s">
        <v>5035</v>
      </c>
      <c r="T13" s="80" t="s">
        <v>5127</v>
      </c>
      <c r="U13" s="80" t="s">
        <v>5128</v>
      </c>
      <c r="V13" s="80" t="s">
        <v>5129</v>
      </c>
      <c r="W13" s="81">
        <f t="shared" si="2"/>
        <v>5</v>
      </c>
      <c r="X13" s="81">
        <v>5</v>
      </c>
      <c r="Y13" s="81">
        <v>0</v>
      </c>
      <c r="Z13" s="80" t="s">
        <v>5494</v>
      </c>
    </row>
    <row r="14" spans="1:27" ht="38.25" customHeight="1">
      <c r="A14" s="155">
        <v>10</v>
      </c>
      <c r="B14" s="155" t="s">
        <v>5480</v>
      </c>
      <c r="C14" s="155" t="s">
        <v>5481</v>
      </c>
      <c r="D14" s="80" t="s">
        <v>5495</v>
      </c>
      <c r="E14" s="80" t="s">
        <v>5496</v>
      </c>
      <c r="F14" s="136" t="s">
        <v>5497</v>
      </c>
      <c r="G14" s="80" t="s">
        <v>5491</v>
      </c>
      <c r="H14" s="80" t="s">
        <v>5396</v>
      </c>
      <c r="I14" s="81">
        <f t="shared" si="0"/>
        <v>140</v>
      </c>
      <c r="J14" s="81">
        <v>0</v>
      </c>
      <c r="K14" s="81">
        <v>28</v>
      </c>
      <c r="L14" s="81">
        <v>112</v>
      </c>
      <c r="M14" s="81">
        <v>0</v>
      </c>
      <c r="N14" s="80"/>
      <c r="O14" s="80"/>
      <c r="P14" s="80" t="s">
        <v>5477</v>
      </c>
      <c r="Q14" s="80"/>
      <c r="R14" s="80" t="s">
        <v>5498</v>
      </c>
      <c r="S14" s="80" t="s">
        <v>5035</v>
      </c>
      <c r="T14" s="80" t="s">
        <v>5127</v>
      </c>
      <c r="U14" s="80" t="s">
        <v>5128</v>
      </c>
      <c r="V14" s="80" t="s">
        <v>5129</v>
      </c>
      <c r="W14" s="81" t="s">
        <v>5478</v>
      </c>
      <c r="X14" s="81" t="s">
        <v>5478</v>
      </c>
      <c r="Y14" s="81" t="s">
        <v>5478</v>
      </c>
      <c r="Z14" s="80" t="s">
        <v>5488</v>
      </c>
    </row>
    <row r="15" spans="1:27" ht="48">
      <c r="A15" s="155">
        <v>11</v>
      </c>
      <c r="B15" s="155" t="s">
        <v>5480</v>
      </c>
      <c r="C15" s="155" t="s">
        <v>5499</v>
      </c>
      <c r="D15" s="80" t="s">
        <v>5500</v>
      </c>
      <c r="E15" s="80" t="s">
        <v>5371</v>
      </c>
      <c r="F15" s="136" t="s">
        <v>5501</v>
      </c>
      <c r="G15" s="80" t="s">
        <v>5502</v>
      </c>
      <c r="H15" s="80" t="s">
        <v>5503</v>
      </c>
      <c r="I15" s="81">
        <f t="shared" si="0"/>
        <v>23</v>
      </c>
      <c r="J15" s="81">
        <v>10</v>
      </c>
      <c r="K15" s="81">
        <v>3</v>
      </c>
      <c r="L15" s="81">
        <v>7</v>
      </c>
      <c r="M15" s="81">
        <v>3</v>
      </c>
      <c r="N15" s="80" t="s">
        <v>5504</v>
      </c>
      <c r="O15" s="80" t="s">
        <v>5505</v>
      </c>
      <c r="P15" s="80" t="s">
        <v>5506</v>
      </c>
      <c r="Q15" s="80"/>
      <c r="R15" s="80" t="s">
        <v>5507</v>
      </c>
      <c r="S15" s="80" t="s">
        <v>5035</v>
      </c>
      <c r="T15" s="80" t="s">
        <v>5508</v>
      </c>
      <c r="U15" s="80" t="s">
        <v>5128</v>
      </c>
      <c r="V15" s="80" t="s">
        <v>5509</v>
      </c>
      <c r="W15" s="81">
        <f>SUM(X15:Y15)</f>
        <v>1.1000000000000001</v>
      </c>
      <c r="X15" s="81">
        <v>1.1000000000000001</v>
      </c>
      <c r="Y15" s="81">
        <v>0</v>
      </c>
      <c r="Z15" s="80" t="s">
        <v>5510</v>
      </c>
    </row>
    <row r="16" spans="1:27" ht="72">
      <c r="A16" s="155">
        <v>12</v>
      </c>
      <c r="B16" s="155" t="s">
        <v>3014</v>
      </c>
      <c r="C16" s="155" t="s">
        <v>3019</v>
      </c>
      <c r="D16" s="80" t="s">
        <v>3020</v>
      </c>
      <c r="E16" s="80" t="s">
        <v>5511</v>
      </c>
      <c r="F16" s="82" t="s">
        <v>3021</v>
      </c>
      <c r="G16" s="80" t="s">
        <v>3022</v>
      </c>
      <c r="H16" s="80" t="s">
        <v>3023</v>
      </c>
      <c r="I16" s="81">
        <f t="shared" si="0"/>
        <v>500</v>
      </c>
      <c r="J16" s="81">
        <v>0</v>
      </c>
      <c r="K16" s="81">
        <v>0</v>
      </c>
      <c r="L16" s="81">
        <v>500</v>
      </c>
      <c r="M16" s="81">
        <v>0</v>
      </c>
      <c r="N16" s="80"/>
      <c r="O16" s="80"/>
      <c r="P16" s="80" t="s">
        <v>209</v>
      </c>
      <c r="Q16" s="234"/>
      <c r="R16" s="80" t="s">
        <v>3024</v>
      </c>
      <c r="S16" s="80" t="s">
        <v>373</v>
      </c>
      <c r="T16" s="80" t="s">
        <v>374</v>
      </c>
      <c r="U16" s="80" t="s">
        <v>5128</v>
      </c>
      <c r="V16" s="80" t="s">
        <v>376</v>
      </c>
      <c r="W16" s="81">
        <v>50</v>
      </c>
      <c r="X16" s="81">
        <v>50</v>
      </c>
      <c r="Y16" s="81">
        <v>0</v>
      </c>
      <c r="Z16" s="80" t="s">
        <v>3025</v>
      </c>
    </row>
    <row r="17" spans="1:27" ht="36">
      <c r="A17" s="155">
        <v>13</v>
      </c>
      <c r="B17" s="80" t="s">
        <v>5480</v>
      </c>
      <c r="C17" s="155" t="s">
        <v>5512</v>
      </c>
      <c r="D17" s="80" t="s">
        <v>5513</v>
      </c>
      <c r="E17" s="80" t="s">
        <v>5514</v>
      </c>
      <c r="F17" s="136" t="s">
        <v>5515</v>
      </c>
      <c r="G17" s="80" t="s">
        <v>5516</v>
      </c>
      <c r="H17" s="80" t="s">
        <v>5517</v>
      </c>
      <c r="I17" s="81">
        <f t="shared" si="0"/>
        <v>45</v>
      </c>
      <c r="J17" s="81">
        <v>0</v>
      </c>
      <c r="K17" s="81">
        <v>0</v>
      </c>
      <c r="L17" s="81">
        <v>45</v>
      </c>
      <c r="M17" s="81"/>
      <c r="N17" s="80"/>
      <c r="O17" s="80"/>
      <c r="P17" s="80" t="s">
        <v>5477</v>
      </c>
      <c r="Q17" s="234"/>
      <c r="R17" s="234" t="s">
        <v>5518</v>
      </c>
      <c r="S17" s="80" t="s">
        <v>5035</v>
      </c>
      <c r="T17" s="80" t="s">
        <v>5519</v>
      </c>
      <c r="U17" s="80" t="s">
        <v>5037</v>
      </c>
      <c r="V17" s="80" t="s">
        <v>5038</v>
      </c>
      <c r="W17" s="81">
        <f>SUM(X17:Y17)</f>
        <v>20</v>
      </c>
      <c r="X17" s="81">
        <v>20</v>
      </c>
      <c r="Y17" s="81">
        <v>0</v>
      </c>
      <c r="Z17" s="80" t="s">
        <v>5208</v>
      </c>
    </row>
    <row r="18" spans="1:27" s="6" customFormat="1" ht="96.75" customHeight="1">
      <c r="A18" s="155">
        <v>14</v>
      </c>
      <c r="B18" s="234" t="s">
        <v>5480</v>
      </c>
      <c r="C18" s="234" t="s">
        <v>5520</v>
      </c>
      <c r="D18" s="234" t="s">
        <v>5521</v>
      </c>
      <c r="E18" s="175" t="s">
        <v>5522</v>
      </c>
      <c r="F18" s="207" t="s">
        <v>5523</v>
      </c>
      <c r="G18" s="175" t="s">
        <v>5524</v>
      </c>
      <c r="H18" s="175" t="s">
        <v>5525</v>
      </c>
      <c r="I18" s="81">
        <f t="shared" si="0"/>
        <v>1000</v>
      </c>
      <c r="J18" s="81">
        <v>200</v>
      </c>
      <c r="K18" s="81">
        <v>200</v>
      </c>
      <c r="L18" s="81">
        <v>600</v>
      </c>
      <c r="M18" s="81">
        <v>0</v>
      </c>
      <c r="N18" s="80" t="s">
        <v>5305</v>
      </c>
      <c r="O18" s="80" t="s">
        <v>5306</v>
      </c>
      <c r="P18" s="234" t="s">
        <v>247</v>
      </c>
      <c r="Q18" s="175" t="s">
        <v>5526</v>
      </c>
      <c r="R18" s="234" t="s">
        <v>5527</v>
      </c>
      <c r="S18" s="234" t="s">
        <v>5035</v>
      </c>
      <c r="T18" s="207" t="s">
        <v>5528</v>
      </c>
      <c r="U18" s="175" t="s">
        <v>5529</v>
      </c>
      <c r="V18" s="175" t="s">
        <v>5530</v>
      </c>
      <c r="W18" s="81">
        <f>SUM(X18:Y18)</f>
        <v>250</v>
      </c>
      <c r="X18" s="81">
        <v>243</v>
      </c>
      <c r="Y18" s="81">
        <v>7</v>
      </c>
      <c r="Z18" s="234" t="s">
        <v>5531</v>
      </c>
      <c r="AA18" s="68"/>
    </row>
    <row r="19" spans="1:27" ht="96.75" customHeight="1">
      <c r="A19" s="155">
        <v>15</v>
      </c>
      <c r="B19" s="234" t="s">
        <v>5480</v>
      </c>
      <c r="C19" s="234" t="s">
        <v>5520</v>
      </c>
      <c r="D19" s="80" t="s">
        <v>5532</v>
      </c>
      <c r="E19" s="80" t="s">
        <v>5533</v>
      </c>
      <c r="F19" s="82" t="s">
        <v>5534</v>
      </c>
      <c r="G19" s="80" t="s">
        <v>5535</v>
      </c>
      <c r="H19" s="80" t="s">
        <v>5536</v>
      </c>
      <c r="I19" s="81">
        <f t="shared" si="0"/>
        <v>210</v>
      </c>
      <c r="J19" s="81">
        <v>0</v>
      </c>
      <c r="K19" s="81">
        <v>210</v>
      </c>
      <c r="L19" s="81">
        <v>0</v>
      </c>
      <c r="M19" s="81">
        <v>0</v>
      </c>
      <c r="N19" s="80"/>
      <c r="O19" s="80"/>
      <c r="P19" s="80" t="s">
        <v>5277</v>
      </c>
      <c r="Q19" s="234"/>
      <c r="R19" s="80" t="s">
        <v>5537</v>
      </c>
      <c r="S19" s="234" t="s">
        <v>5035</v>
      </c>
      <c r="T19" s="207" t="s">
        <v>5528</v>
      </c>
      <c r="U19" s="175" t="s">
        <v>5529</v>
      </c>
      <c r="V19" s="80" t="s">
        <v>5530</v>
      </c>
      <c r="W19" s="81">
        <v>63</v>
      </c>
      <c r="X19" s="81">
        <v>63</v>
      </c>
      <c r="Y19" s="81">
        <v>0</v>
      </c>
      <c r="Z19" s="80" t="s">
        <v>5538</v>
      </c>
    </row>
    <row r="20" spans="1:27" ht="96.75" customHeight="1">
      <c r="A20" s="155">
        <v>16</v>
      </c>
      <c r="B20" s="234" t="s">
        <v>3014</v>
      </c>
      <c r="C20" s="234" t="s">
        <v>3027</v>
      </c>
      <c r="D20" s="234" t="s">
        <v>3028</v>
      </c>
      <c r="E20" s="175" t="s">
        <v>3029</v>
      </c>
      <c r="F20" s="82" t="s">
        <v>5539</v>
      </c>
      <c r="G20" s="175" t="s">
        <v>5540</v>
      </c>
      <c r="H20" s="175" t="s">
        <v>5541</v>
      </c>
      <c r="I20" s="81">
        <f t="shared" si="0"/>
        <v>360</v>
      </c>
      <c r="J20" s="81">
        <v>0</v>
      </c>
      <c r="K20" s="81">
        <v>360</v>
      </c>
      <c r="L20" s="81">
        <v>0</v>
      </c>
      <c r="M20" s="81">
        <v>0</v>
      </c>
      <c r="N20" s="80"/>
      <c r="O20" s="80"/>
      <c r="P20" s="80" t="s">
        <v>209</v>
      </c>
      <c r="Q20" s="234"/>
      <c r="R20" s="234" t="s">
        <v>3030</v>
      </c>
      <c r="S20" s="234" t="s">
        <v>5035</v>
      </c>
      <c r="T20" s="207" t="s">
        <v>5528</v>
      </c>
      <c r="U20" s="175" t="s">
        <v>5529</v>
      </c>
      <c r="V20" s="175" t="s">
        <v>3031</v>
      </c>
      <c r="W20" s="81">
        <v>230</v>
      </c>
      <c r="X20" s="81">
        <v>225</v>
      </c>
      <c r="Y20" s="81">
        <v>5</v>
      </c>
      <c r="Z20" s="234" t="s">
        <v>5531</v>
      </c>
    </row>
    <row r="21" spans="1:27" ht="96.75" customHeight="1">
      <c r="A21" s="155">
        <v>17</v>
      </c>
      <c r="B21" s="234" t="s">
        <v>3014</v>
      </c>
      <c r="C21" s="234" t="s">
        <v>3027</v>
      </c>
      <c r="D21" s="80" t="s">
        <v>5542</v>
      </c>
      <c r="E21" s="80" t="s">
        <v>5440</v>
      </c>
      <c r="F21" s="136" t="s">
        <v>5543</v>
      </c>
      <c r="G21" s="80" t="s">
        <v>5544</v>
      </c>
      <c r="H21" s="80" t="s">
        <v>5545</v>
      </c>
      <c r="I21" s="81">
        <f t="shared" si="0"/>
        <v>210</v>
      </c>
      <c r="J21" s="81">
        <v>0</v>
      </c>
      <c r="K21" s="81">
        <v>0</v>
      </c>
      <c r="L21" s="81">
        <v>210</v>
      </c>
      <c r="M21" s="81">
        <v>0</v>
      </c>
      <c r="N21" s="80"/>
      <c r="O21" s="80"/>
      <c r="P21" s="80" t="s">
        <v>209</v>
      </c>
      <c r="Q21" s="234"/>
      <c r="R21" s="80" t="s">
        <v>5546</v>
      </c>
      <c r="S21" s="234" t="s">
        <v>5035</v>
      </c>
      <c r="T21" s="207" t="s">
        <v>5528</v>
      </c>
      <c r="U21" s="175" t="s">
        <v>5529</v>
      </c>
      <c r="V21" s="175" t="s">
        <v>5530</v>
      </c>
      <c r="W21" s="81">
        <f t="shared" ref="W21" si="3">SUM(X21:Y21)</f>
        <v>50</v>
      </c>
      <c r="X21" s="81">
        <v>50</v>
      </c>
      <c r="Y21" s="81">
        <v>0</v>
      </c>
      <c r="Z21" s="234" t="s">
        <v>5531</v>
      </c>
    </row>
    <row r="22" spans="1:27" ht="89.25" customHeight="1">
      <c r="A22" s="155">
        <v>18</v>
      </c>
      <c r="B22" s="155" t="s">
        <v>5480</v>
      </c>
      <c r="C22" s="155" t="s">
        <v>5547</v>
      </c>
      <c r="D22" s="80" t="s">
        <v>5548</v>
      </c>
      <c r="E22" s="80" t="s">
        <v>5549</v>
      </c>
      <c r="F22" s="136" t="s">
        <v>5550</v>
      </c>
      <c r="G22" s="80" t="s">
        <v>5551</v>
      </c>
      <c r="H22" s="80" t="s">
        <v>5552</v>
      </c>
      <c r="I22" s="81">
        <f t="shared" si="0"/>
        <v>360</v>
      </c>
      <c r="J22" s="81">
        <v>0</v>
      </c>
      <c r="K22" s="81">
        <v>0</v>
      </c>
      <c r="L22" s="81">
        <v>360</v>
      </c>
      <c r="M22" s="81">
        <v>0</v>
      </c>
      <c r="N22" s="80"/>
      <c r="O22" s="80"/>
      <c r="P22" s="80" t="s">
        <v>209</v>
      </c>
      <c r="Q22" s="234"/>
      <c r="R22" s="80" t="s">
        <v>5553</v>
      </c>
      <c r="S22" s="80" t="s">
        <v>5035</v>
      </c>
      <c r="T22" s="80" t="s">
        <v>5127</v>
      </c>
      <c r="U22" s="80" t="s">
        <v>5128</v>
      </c>
      <c r="V22" s="80" t="s">
        <v>5269</v>
      </c>
      <c r="W22" s="81">
        <v>180</v>
      </c>
      <c r="X22" s="81">
        <v>179</v>
      </c>
      <c r="Y22" s="81">
        <v>1</v>
      </c>
      <c r="Z22" s="80" t="s">
        <v>5554</v>
      </c>
    </row>
    <row r="23" spans="1:27" ht="153.75" customHeight="1">
      <c r="A23" s="155">
        <v>19</v>
      </c>
      <c r="B23" s="155" t="s">
        <v>5480</v>
      </c>
      <c r="C23" s="155" t="s">
        <v>5547</v>
      </c>
      <c r="D23" s="80" t="s">
        <v>5555</v>
      </c>
      <c r="E23" s="80" t="s">
        <v>5556</v>
      </c>
      <c r="F23" s="136" t="s">
        <v>5557</v>
      </c>
      <c r="G23" s="80" t="s">
        <v>5558</v>
      </c>
      <c r="H23" s="80" t="s">
        <v>5525</v>
      </c>
      <c r="I23" s="81">
        <f t="shared" si="0"/>
        <v>1150</v>
      </c>
      <c r="J23" s="81">
        <v>110</v>
      </c>
      <c r="K23" s="81">
        <v>110</v>
      </c>
      <c r="L23" s="81">
        <v>930</v>
      </c>
      <c r="M23" s="81">
        <v>0</v>
      </c>
      <c r="N23" s="80" t="s">
        <v>5305</v>
      </c>
      <c r="O23" s="80" t="s">
        <v>5306</v>
      </c>
      <c r="P23" s="80" t="s">
        <v>5346</v>
      </c>
      <c r="Q23" s="175" t="s">
        <v>5463</v>
      </c>
      <c r="R23" s="80" t="s">
        <v>5559</v>
      </c>
      <c r="S23" s="80" t="s">
        <v>5035</v>
      </c>
      <c r="T23" s="80" t="s">
        <v>5127</v>
      </c>
      <c r="U23" s="80" t="s">
        <v>5128</v>
      </c>
      <c r="V23" s="80" t="s">
        <v>5269</v>
      </c>
      <c r="W23" s="81">
        <v>762</v>
      </c>
      <c r="X23" s="81">
        <v>760</v>
      </c>
      <c r="Y23" s="81">
        <v>2</v>
      </c>
      <c r="Z23" s="80" t="s">
        <v>5554</v>
      </c>
    </row>
    <row r="24" spans="1:27" ht="77.25" customHeight="1">
      <c r="A24" s="155">
        <v>20</v>
      </c>
      <c r="B24" s="155" t="s">
        <v>5480</v>
      </c>
      <c r="C24" s="155" t="s">
        <v>5547</v>
      </c>
      <c r="D24" s="80" t="s">
        <v>5560</v>
      </c>
      <c r="E24" s="80" t="s">
        <v>5376</v>
      </c>
      <c r="F24" s="136" t="s">
        <v>5561</v>
      </c>
      <c r="G24" s="80" t="s">
        <v>5562</v>
      </c>
      <c r="H24" s="80" t="s">
        <v>5563</v>
      </c>
      <c r="I24" s="81">
        <f t="shared" si="0"/>
        <v>140</v>
      </c>
      <c r="J24" s="81">
        <v>0</v>
      </c>
      <c r="K24" s="81">
        <v>0</v>
      </c>
      <c r="L24" s="81">
        <v>70</v>
      </c>
      <c r="M24" s="81">
        <v>70</v>
      </c>
      <c r="N24" s="80"/>
      <c r="O24" s="80"/>
      <c r="P24" s="80" t="s">
        <v>209</v>
      </c>
      <c r="Q24" s="234"/>
      <c r="R24" s="80" t="s">
        <v>5564</v>
      </c>
      <c r="S24" s="80" t="s">
        <v>5035</v>
      </c>
      <c r="T24" s="80" t="s">
        <v>5127</v>
      </c>
      <c r="U24" s="80" t="s">
        <v>5128</v>
      </c>
      <c r="V24" s="80" t="s">
        <v>5269</v>
      </c>
      <c r="W24" s="81">
        <v>41</v>
      </c>
      <c r="X24" s="81">
        <v>41</v>
      </c>
      <c r="Y24" s="81">
        <v>0</v>
      </c>
      <c r="Z24" s="80" t="s">
        <v>5554</v>
      </c>
    </row>
    <row r="25" spans="1:27" ht="54.75" customHeight="1">
      <c r="A25" s="155">
        <v>21</v>
      </c>
      <c r="B25" s="155" t="s">
        <v>3014</v>
      </c>
      <c r="C25" s="155" t="s">
        <v>5565</v>
      </c>
      <c r="D25" s="80" t="s">
        <v>5566</v>
      </c>
      <c r="E25" s="80" t="s">
        <v>5567</v>
      </c>
      <c r="F25" s="136" t="s">
        <v>5568</v>
      </c>
      <c r="G25" s="80" t="s">
        <v>5569</v>
      </c>
      <c r="H25" s="80" t="s">
        <v>5492</v>
      </c>
      <c r="I25" s="81">
        <f t="shared" si="0"/>
        <v>790</v>
      </c>
      <c r="J25" s="81">
        <v>0</v>
      </c>
      <c r="K25" s="81">
        <v>40</v>
      </c>
      <c r="L25" s="81">
        <v>750</v>
      </c>
      <c r="M25" s="81">
        <v>0</v>
      </c>
      <c r="N25" s="80"/>
      <c r="O25" s="80"/>
      <c r="P25" s="80" t="s">
        <v>5477</v>
      </c>
      <c r="Q25" s="80"/>
      <c r="R25" s="80" t="s">
        <v>5570</v>
      </c>
      <c r="S25" s="80" t="s">
        <v>5035</v>
      </c>
      <c r="T25" s="80" t="s">
        <v>5571</v>
      </c>
      <c r="U25" s="80" t="s">
        <v>5128</v>
      </c>
      <c r="V25" s="80" t="s">
        <v>5038</v>
      </c>
      <c r="W25" s="81">
        <f>SUM(X25:Y25)</f>
        <v>95.942999999999998</v>
      </c>
      <c r="X25" s="81">
        <v>95.942999999999998</v>
      </c>
      <c r="Y25" s="81">
        <v>0</v>
      </c>
      <c r="Z25" s="80" t="s">
        <v>5208</v>
      </c>
    </row>
    <row r="26" spans="1:27" ht="48" customHeight="1">
      <c r="A26" s="155">
        <v>22</v>
      </c>
      <c r="B26" s="155" t="s">
        <v>3014</v>
      </c>
      <c r="C26" s="155" t="s">
        <v>5565</v>
      </c>
      <c r="D26" s="80" t="s">
        <v>5572</v>
      </c>
      <c r="E26" s="80" t="s">
        <v>5573</v>
      </c>
      <c r="F26" s="136" t="s">
        <v>5574</v>
      </c>
      <c r="G26" s="80" t="s">
        <v>5575</v>
      </c>
      <c r="H26" s="80" t="s">
        <v>5503</v>
      </c>
      <c r="I26" s="81">
        <f t="shared" si="0"/>
        <v>50</v>
      </c>
      <c r="J26" s="81">
        <v>0</v>
      </c>
      <c r="K26" s="81">
        <v>0</v>
      </c>
      <c r="L26" s="81">
        <v>50</v>
      </c>
      <c r="M26" s="81">
        <v>0</v>
      </c>
      <c r="N26" s="80"/>
      <c r="O26" s="80"/>
      <c r="P26" s="80" t="s">
        <v>247</v>
      </c>
      <c r="Q26" s="80"/>
      <c r="R26" s="80" t="s">
        <v>5576</v>
      </c>
      <c r="S26" s="80" t="s">
        <v>5035</v>
      </c>
      <c r="T26" s="80" t="s">
        <v>5571</v>
      </c>
      <c r="U26" s="80" t="s">
        <v>5128</v>
      </c>
      <c r="V26" s="80" t="s">
        <v>5038</v>
      </c>
      <c r="W26" s="81">
        <f t="shared" ref="W26:W27" si="4">SUM(X26:Y26)</f>
        <v>10</v>
      </c>
      <c r="X26" s="81">
        <v>10</v>
      </c>
      <c r="Y26" s="81">
        <v>0</v>
      </c>
      <c r="Z26" s="80" t="s">
        <v>5208</v>
      </c>
    </row>
    <row r="27" spans="1:27" ht="51.75" customHeight="1">
      <c r="A27" s="155">
        <v>23</v>
      </c>
      <c r="B27" s="155" t="s">
        <v>3014</v>
      </c>
      <c r="C27" s="155" t="s">
        <v>5565</v>
      </c>
      <c r="D27" s="80" t="s">
        <v>5577</v>
      </c>
      <c r="E27" s="80" t="s">
        <v>5578</v>
      </c>
      <c r="F27" s="136" t="s">
        <v>5579</v>
      </c>
      <c r="G27" s="80" t="s">
        <v>5580</v>
      </c>
      <c r="H27" s="80" t="s">
        <v>5503</v>
      </c>
      <c r="I27" s="81">
        <f t="shared" si="0"/>
        <v>50</v>
      </c>
      <c r="J27" s="81">
        <v>0</v>
      </c>
      <c r="K27" s="81">
        <v>0</v>
      </c>
      <c r="L27" s="81">
        <v>50</v>
      </c>
      <c r="M27" s="81">
        <v>0</v>
      </c>
      <c r="N27" s="80"/>
      <c r="O27" s="80"/>
      <c r="P27" s="80" t="s">
        <v>209</v>
      </c>
      <c r="Q27" s="80"/>
      <c r="R27" s="80" t="s">
        <v>5256</v>
      </c>
      <c r="S27" s="80" t="s">
        <v>5035</v>
      </c>
      <c r="T27" s="80" t="s">
        <v>5571</v>
      </c>
      <c r="U27" s="80" t="s">
        <v>5128</v>
      </c>
      <c r="V27" s="80" t="s">
        <v>5038</v>
      </c>
      <c r="W27" s="81">
        <f t="shared" si="4"/>
        <v>50</v>
      </c>
      <c r="X27" s="81">
        <v>50</v>
      </c>
      <c r="Y27" s="81">
        <v>0</v>
      </c>
      <c r="Z27" s="80" t="s">
        <v>5208</v>
      </c>
    </row>
    <row r="28" spans="1:27" ht="68.25" customHeight="1">
      <c r="A28" s="155">
        <v>24</v>
      </c>
      <c r="B28" s="155" t="s">
        <v>3014</v>
      </c>
      <c r="C28" s="155" t="s">
        <v>5581</v>
      </c>
      <c r="D28" s="80" t="s">
        <v>3034</v>
      </c>
      <c r="E28" s="80" t="s">
        <v>5582</v>
      </c>
      <c r="F28" s="136" t="s">
        <v>5583</v>
      </c>
      <c r="G28" s="80" t="s">
        <v>3035</v>
      </c>
      <c r="H28" s="80" t="s">
        <v>5584</v>
      </c>
      <c r="I28" s="81">
        <f t="shared" si="0"/>
        <v>2000</v>
      </c>
      <c r="J28" s="81">
        <v>0</v>
      </c>
      <c r="K28" s="81">
        <v>0</v>
      </c>
      <c r="L28" s="81">
        <v>1400</v>
      </c>
      <c r="M28" s="81">
        <v>600</v>
      </c>
      <c r="N28" s="80"/>
      <c r="O28" s="80"/>
      <c r="P28" s="80" t="s">
        <v>247</v>
      </c>
      <c r="Q28" s="80" t="s">
        <v>5585</v>
      </c>
      <c r="R28" s="80" t="s">
        <v>3036</v>
      </c>
      <c r="S28" s="80" t="s">
        <v>373</v>
      </c>
      <c r="T28" s="80" t="s">
        <v>527</v>
      </c>
      <c r="U28" s="80" t="s">
        <v>3037</v>
      </c>
      <c r="V28" s="80" t="s">
        <v>376</v>
      </c>
      <c r="W28" s="349">
        <f>SUM(X28:Y28)</f>
        <v>1232</v>
      </c>
      <c r="X28" s="349">
        <v>1176</v>
      </c>
      <c r="Y28" s="349">
        <v>56</v>
      </c>
      <c r="Z28" s="348" t="s">
        <v>5586</v>
      </c>
    </row>
    <row r="29" spans="1:27" ht="78" customHeight="1">
      <c r="A29" s="155">
        <v>25</v>
      </c>
      <c r="B29" s="155" t="s">
        <v>3014</v>
      </c>
      <c r="C29" s="155" t="s">
        <v>3038</v>
      </c>
      <c r="D29" s="80" t="s">
        <v>5587</v>
      </c>
      <c r="E29" s="80" t="s">
        <v>5582</v>
      </c>
      <c r="F29" s="136" t="s">
        <v>5588</v>
      </c>
      <c r="G29" s="80" t="s">
        <v>5589</v>
      </c>
      <c r="H29" s="80" t="s">
        <v>5590</v>
      </c>
      <c r="I29" s="81">
        <f t="shared" si="0"/>
        <v>337</v>
      </c>
      <c r="J29" s="81">
        <v>0</v>
      </c>
      <c r="K29" s="81">
        <v>0</v>
      </c>
      <c r="L29" s="81">
        <v>337</v>
      </c>
      <c r="M29" s="81">
        <v>0</v>
      </c>
      <c r="N29" s="80"/>
      <c r="O29" s="80"/>
      <c r="P29" s="80" t="s">
        <v>304</v>
      </c>
      <c r="Q29" s="80"/>
      <c r="R29" s="80" t="s">
        <v>5591</v>
      </c>
      <c r="S29" s="80" t="s">
        <v>373</v>
      </c>
      <c r="T29" s="80" t="s">
        <v>501</v>
      </c>
      <c r="U29" s="80" t="s">
        <v>5592</v>
      </c>
      <c r="V29" s="80" t="s">
        <v>376</v>
      </c>
      <c r="W29" s="349"/>
      <c r="X29" s="349"/>
      <c r="Y29" s="349"/>
      <c r="Z29" s="348"/>
    </row>
    <row r="30" spans="1:27" ht="68.25" customHeight="1">
      <c r="A30" s="155">
        <v>26</v>
      </c>
      <c r="B30" s="155" t="s">
        <v>3014</v>
      </c>
      <c r="C30" s="155" t="s">
        <v>3038</v>
      </c>
      <c r="D30" s="80" t="s">
        <v>3039</v>
      </c>
      <c r="E30" s="80" t="s">
        <v>5593</v>
      </c>
      <c r="F30" s="136" t="s">
        <v>3040</v>
      </c>
      <c r="G30" s="80" t="s">
        <v>3035</v>
      </c>
      <c r="H30" s="80" t="s">
        <v>5594</v>
      </c>
      <c r="I30" s="81">
        <f t="shared" si="0"/>
        <v>90</v>
      </c>
      <c r="J30" s="81">
        <v>0</v>
      </c>
      <c r="K30" s="81">
        <v>0</v>
      </c>
      <c r="L30" s="81">
        <v>90</v>
      </c>
      <c r="M30" s="81">
        <v>0</v>
      </c>
      <c r="N30" s="80"/>
      <c r="O30" s="80"/>
      <c r="P30" s="80" t="s">
        <v>261</v>
      </c>
      <c r="Q30" s="80"/>
      <c r="R30" s="80" t="s">
        <v>3041</v>
      </c>
      <c r="S30" s="80" t="s">
        <v>373</v>
      </c>
      <c r="T30" s="80" t="s">
        <v>527</v>
      </c>
      <c r="U30" s="80" t="s">
        <v>5595</v>
      </c>
      <c r="V30" s="80" t="s">
        <v>376</v>
      </c>
      <c r="W30" s="81">
        <f t="shared" ref="W30" si="5">SUM(X30:Y30)</f>
        <v>50</v>
      </c>
      <c r="X30" s="81">
        <v>50</v>
      </c>
      <c r="Y30" s="81">
        <v>0</v>
      </c>
      <c r="Z30" s="80" t="s">
        <v>3042</v>
      </c>
    </row>
    <row r="31" spans="1:27" ht="60.75" customHeight="1">
      <c r="A31" s="155">
        <v>27</v>
      </c>
      <c r="B31" s="155" t="s">
        <v>3014</v>
      </c>
      <c r="C31" s="155" t="s">
        <v>3038</v>
      </c>
      <c r="D31" s="80" t="s">
        <v>5596</v>
      </c>
      <c r="E31" s="80" t="s">
        <v>5597</v>
      </c>
      <c r="F31" s="136" t="s">
        <v>5598</v>
      </c>
      <c r="G31" s="80" t="s">
        <v>3035</v>
      </c>
      <c r="H31" s="80" t="s">
        <v>5599</v>
      </c>
      <c r="I31" s="81">
        <f t="shared" si="0"/>
        <v>120</v>
      </c>
      <c r="J31" s="81">
        <v>0</v>
      </c>
      <c r="K31" s="81">
        <v>0</v>
      </c>
      <c r="L31" s="81">
        <v>120</v>
      </c>
      <c r="M31" s="81">
        <v>0</v>
      </c>
      <c r="N31" s="80"/>
      <c r="O31" s="80"/>
      <c r="P31" s="80" t="s">
        <v>261</v>
      </c>
      <c r="Q31" s="80"/>
      <c r="R31" s="80" t="s">
        <v>5600</v>
      </c>
      <c r="S31" s="80" t="s">
        <v>373</v>
      </c>
      <c r="T31" s="80" t="s">
        <v>527</v>
      </c>
      <c r="U31" s="80" t="s">
        <v>5595</v>
      </c>
      <c r="V31" s="80" t="s">
        <v>376</v>
      </c>
      <c r="W31" s="81" t="s">
        <v>5601</v>
      </c>
      <c r="X31" s="81">
        <v>0</v>
      </c>
      <c r="Y31" s="81">
        <v>0</v>
      </c>
      <c r="Z31" s="80" t="s">
        <v>5602</v>
      </c>
    </row>
    <row r="32" spans="1:27" ht="60" customHeight="1">
      <c r="A32" s="155">
        <v>28</v>
      </c>
      <c r="B32" s="155" t="s">
        <v>3014</v>
      </c>
      <c r="C32" s="155" t="s">
        <v>3038</v>
      </c>
      <c r="D32" s="80" t="s">
        <v>5603</v>
      </c>
      <c r="E32" s="80" t="s">
        <v>5604</v>
      </c>
      <c r="F32" s="136" t="s">
        <v>5605</v>
      </c>
      <c r="G32" s="80" t="s">
        <v>3035</v>
      </c>
      <c r="H32" s="80" t="s">
        <v>5396</v>
      </c>
      <c r="I32" s="81">
        <f t="shared" si="0"/>
        <v>700</v>
      </c>
      <c r="J32" s="81">
        <v>0</v>
      </c>
      <c r="K32" s="81">
        <v>0</v>
      </c>
      <c r="L32" s="81">
        <v>350</v>
      </c>
      <c r="M32" s="81">
        <v>350</v>
      </c>
      <c r="N32" s="80"/>
      <c r="O32" s="80"/>
      <c r="P32" s="80" t="s">
        <v>261</v>
      </c>
      <c r="Q32" s="80"/>
      <c r="R32" s="80" t="s">
        <v>5606</v>
      </c>
      <c r="S32" s="80" t="s">
        <v>373</v>
      </c>
      <c r="T32" s="80" t="s">
        <v>527</v>
      </c>
      <c r="U32" s="80" t="s">
        <v>5595</v>
      </c>
      <c r="V32" s="80" t="s">
        <v>376</v>
      </c>
      <c r="W32" s="81" t="s">
        <v>5601</v>
      </c>
      <c r="X32" s="81">
        <v>0</v>
      </c>
      <c r="Y32" s="81">
        <v>0</v>
      </c>
      <c r="Z32" s="80" t="s">
        <v>5607</v>
      </c>
    </row>
    <row r="33" spans="1:26" ht="59.25" customHeight="1">
      <c r="A33" s="155">
        <v>29</v>
      </c>
      <c r="B33" s="155" t="s">
        <v>3014</v>
      </c>
      <c r="C33" s="155" t="s">
        <v>5581</v>
      </c>
      <c r="D33" s="80" t="s">
        <v>5608</v>
      </c>
      <c r="E33" s="80" t="s">
        <v>5609</v>
      </c>
      <c r="F33" s="136" t="s">
        <v>5610</v>
      </c>
      <c r="G33" s="80" t="s">
        <v>5611</v>
      </c>
      <c r="H33" s="80" t="s">
        <v>5612</v>
      </c>
      <c r="I33" s="81">
        <f t="shared" si="0"/>
        <v>120</v>
      </c>
      <c r="J33" s="81">
        <v>0</v>
      </c>
      <c r="K33" s="81">
        <v>0</v>
      </c>
      <c r="L33" s="81">
        <v>100</v>
      </c>
      <c r="M33" s="81">
        <v>20</v>
      </c>
      <c r="N33" s="80"/>
      <c r="O33" s="80"/>
      <c r="P33" s="80" t="s">
        <v>247</v>
      </c>
      <c r="Q33" s="80"/>
      <c r="R33" s="80" t="s">
        <v>5457</v>
      </c>
      <c r="S33" s="80" t="s">
        <v>5035</v>
      </c>
      <c r="T33" s="80" t="s">
        <v>5127</v>
      </c>
      <c r="U33" s="80" t="s">
        <v>5452</v>
      </c>
      <c r="V33" s="80" t="s">
        <v>376</v>
      </c>
      <c r="W33" s="81">
        <f t="shared" ref="W33" si="6">SUM(X33:Y33)</f>
        <v>1.5</v>
      </c>
      <c r="X33" s="81">
        <v>1.5</v>
      </c>
      <c r="Y33" s="81"/>
      <c r="Z33" s="80" t="s">
        <v>5613</v>
      </c>
    </row>
    <row r="34" spans="1:26" ht="36">
      <c r="A34" s="155">
        <v>30</v>
      </c>
      <c r="B34" s="155" t="s">
        <v>3014</v>
      </c>
      <c r="C34" s="155" t="s">
        <v>3043</v>
      </c>
      <c r="D34" s="80" t="s">
        <v>5614</v>
      </c>
      <c r="E34" s="80" t="s">
        <v>5615</v>
      </c>
      <c r="F34" s="136" t="s">
        <v>5616</v>
      </c>
      <c r="G34" s="80" t="s">
        <v>5617</v>
      </c>
      <c r="H34" s="80" t="s">
        <v>3588</v>
      </c>
      <c r="I34" s="250">
        <v>640</v>
      </c>
      <c r="J34" s="250">
        <v>0</v>
      </c>
      <c r="K34" s="250">
        <v>40</v>
      </c>
      <c r="L34" s="250">
        <v>600</v>
      </c>
      <c r="M34" s="250">
        <v>0</v>
      </c>
      <c r="N34" s="80"/>
      <c r="O34" s="80"/>
      <c r="P34" s="80" t="s">
        <v>209</v>
      </c>
      <c r="Q34" s="175" t="s">
        <v>5618</v>
      </c>
      <c r="R34" s="80" t="s">
        <v>5619</v>
      </c>
      <c r="S34" s="80" t="s">
        <v>373</v>
      </c>
      <c r="T34" s="80" t="s">
        <v>374</v>
      </c>
      <c r="U34" s="80" t="s">
        <v>5620</v>
      </c>
      <c r="V34" s="80" t="s">
        <v>529</v>
      </c>
      <c r="W34" s="250">
        <v>75</v>
      </c>
      <c r="X34" s="250">
        <v>75</v>
      </c>
      <c r="Y34" s="250">
        <v>0</v>
      </c>
      <c r="Z34" s="80" t="s">
        <v>1468</v>
      </c>
    </row>
    <row r="35" spans="1:26" ht="36">
      <c r="A35" s="155">
        <v>31</v>
      </c>
      <c r="B35" s="155" t="s">
        <v>3014</v>
      </c>
      <c r="C35" s="155" t="s">
        <v>3043</v>
      </c>
      <c r="D35" s="80" t="s">
        <v>3044</v>
      </c>
      <c r="E35" s="80" t="s">
        <v>5621</v>
      </c>
      <c r="F35" s="136" t="s">
        <v>3045</v>
      </c>
      <c r="G35" s="80" t="s">
        <v>5622</v>
      </c>
      <c r="H35" s="80" t="s">
        <v>2995</v>
      </c>
      <c r="I35" s="250">
        <v>90</v>
      </c>
      <c r="J35" s="250">
        <v>0</v>
      </c>
      <c r="K35" s="250">
        <v>0</v>
      </c>
      <c r="L35" s="250">
        <v>90</v>
      </c>
      <c r="M35" s="250">
        <v>0</v>
      </c>
      <c r="N35" s="80"/>
      <c r="O35" s="80"/>
      <c r="P35" s="80" t="s">
        <v>209</v>
      </c>
      <c r="Q35" s="80"/>
      <c r="R35" s="80" t="s">
        <v>3046</v>
      </c>
      <c r="S35" s="80" t="s">
        <v>373</v>
      </c>
      <c r="T35" s="80" t="s">
        <v>2920</v>
      </c>
      <c r="U35" s="80" t="s">
        <v>5620</v>
      </c>
      <c r="V35" s="80" t="s">
        <v>529</v>
      </c>
      <c r="W35" s="250">
        <v>50</v>
      </c>
      <c r="X35" s="250">
        <v>50</v>
      </c>
      <c r="Y35" s="250">
        <v>0</v>
      </c>
      <c r="Z35" s="80" t="s">
        <v>3047</v>
      </c>
    </row>
    <row r="36" spans="1:26" ht="48">
      <c r="A36" s="155">
        <v>32</v>
      </c>
      <c r="B36" s="155" t="s">
        <v>3014</v>
      </c>
      <c r="C36" s="155" t="s">
        <v>3043</v>
      </c>
      <c r="D36" s="80" t="s">
        <v>5623</v>
      </c>
      <c r="E36" s="80" t="s">
        <v>3914</v>
      </c>
      <c r="F36" s="136" t="s">
        <v>5624</v>
      </c>
      <c r="G36" s="80" t="s">
        <v>3048</v>
      </c>
      <c r="H36" s="80" t="s">
        <v>2986</v>
      </c>
      <c r="I36" s="250">
        <v>240</v>
      </c>
      <c r="J36" s="250">
        <v>0</v>
      </c>
      <c r="K36" s="250">
        <v>0</v>
      </c>
      <c r="L36" s="250">
        <v>240</v>
      </c>
      <c r="M36" s="250">
        <v>0</v>
      </c>
      <c r="N36" s="80"/>
      <c r="O36" s="80"/>
      <c r="P36" s="80" t="s">
        <v>209</v>
      </c>
      <c r="Q36" s="80"/>
      <c r="R36" s="80" t="s">
        <v>5625</v>
      </c>
      <c r="S36" s="80" t="s">
        <v>373</v>
      </c>
      <c r="T36" s="80" t="s">
        <v>2920</v>
      </c>
      <c r="U36" s="80" t="s">
        <v>5620</v>
      </c>
      <c r="V36" s="80" t="s">
        <v>529</v>
      </c>
      <c r="W36" s="250">
        <v>0</v>
      </c>
      <c r="X36" s="250">
        <v>0</v>
      </c>
      <c r="Y36" s="250">
        <v>0</v>
      </c>
      <c r="Z36" s="80" t="s">
        <v>3113</v>
      </c>
    </row>
    <row r="37" spans="1:26" ht="38.25" customHeight="1">
      <c r="A37" s="155">
        <v>33</v>
      </c>
      <c r="B37" s="155" t="s">
        <v>3014</v>
      </c>
      <c r="C37" s="155" t="s">
        <v>3043</v>
      </c>
      <c r="D37" s="80" t="s">
        <v>5626</v>
      </c>
      <c r="E37" s="80" t="s">
        <v>5627</v>
      </c>
      <c r="F37" s="136" t="s">
        <v>5628</v>
      </c>
      <c r="G37" s="80" t="s">
        <v>5629</v>
      </c>
      <c r="H37" s="80" t="s">
        <v>3961</v>
      </c>
      <c r="I37" s="250">
        <v>300</v>
      </c>
      <c r="J37" s="250">
        <v>0</v>
      </c>
      <c r="K37" s="250">
        <v>100</v>
      </c>
      <c r="L37" s="250">
        <v>200</v>
      </c>
      <c r="M37" s="250">
        <v>0</v>
      </c>
      <c r="N37" s="80"/>
      <c r="O37" s="80"/>
      <c r="P37" s="80" t="s">
        <v>436</v>
      </c>
      <c r="Q37" s="80"/>
      <c r="R37" s="80" t="s">
        <v>5630</v>
      </c>
      <c r="S37" s="80" t="s">
        <v>373</v>
      </c>
      <c r="T37" s="80" t="s">
        <v>2920</v>
      </c>
      <c r="U37" s="80" t="s">
        <v>5620</v>
      </c>
      <c r="V37" s="80" t="s">
        <v>529</v>
      </c>
      <c r="W37" s="250">
        <v>0</v>
      </c>
      <c r="X37" s="250">
        <v>0</v>
      </c>
      <c r="Y37" s="250">
        <v>0</v>
      </c>
      <c r="Z37" s="80" t="s">
        <v>1468</v>
      </c>
    </row>
    <row r="38" spans="1:26" ht="60">
      <c r="A38" s="155">
        <v>34</v>
      </c>
      <c r="B38" s="155" t="s">
        <v>3014</v>
      </c>
      <c r="C38" s="155" t="s">
        <v>5631</v>
      </c>
      <c r="D38" s="80" t="s">
        <v>5632</v>
      </c>
      <c r="E38" s="80" t="s">
        <v>5633</v>
      </c>
      <c r="F38" s="136" t="s">
        <v>3049</v>
      </c>
      <c r="G38" s="80" t="s">
        <v>5634</v>
      </c>
      <c r="H38" s="80" t="s">
        <v>5462</v>
      </c>
      <c r="I38" s="81">
        <f t="shared" si="0"/>
        <v>440</v>
      </c>
      <c r="J38" s="81">
        <v>0</v>
      </c>
      <c r="K38" s="81">
        <v>40</v>
      </c>
      <c r="L38" s="81">
        <v>400</v>
      </c>
      <c r="M38" s="81">
        <v>0</v>
      </c>
      <c r="N38" s="80"/>
      <c r="O38" s="80"/>
      <c r="P38" s="80" t="s">
        <v>209</v>
      </c>
      <c r="Q38" s="80"/>
      <c r="R38" s="80" t="s">
        <v>5635</v>
      </c>
      <c r="S38" s="80" t="s">
        <v>5035</v>
      </c>
      <c r="T38" s="80" t="s">
        <v>5636</v>
      </c>
      <c r="U38" s="80" t="s">
        <v>3050</v>
      </c>
      <c r="V38" s="80" t="s">
        <v>529</v>
      </c>
      <c r="W38" s="81">
        <f>SUM(X38:Y38)</f>
        <v>72</v>
      </c>
      <c r="X38" s="81">
        <v>72</v>
      </c>
      <c r="Y38" s="81">
        <v>0</v>
      </c>
      <c r="Z38" s="80" t="s">
        <v>5637</v>
      </c>
    </row>
    <row r="39" spans="1:26" ht="60">
      <c r="A39" s="155">
        <v>35</v>
      </c>
      <c r="B39" s="155" t="s">
        <v>3014</v>
      </c>
      <c r="C39" s="155" t="s">
        <v>5631</v>
      </c>
      <c r="D39" s="80" t="s">
        <v>5638</v>
      </c>
      <c r="E39" s="80" t="s">
        <v>5639</v>
      </c>
      <c r="F39" s="136" t="s">
        <v>5640</v>
      </c>
      <c r="G39" s="80" t="s">
        <v>5634</v>
      </c>
      <c r="H39" s="80" t="s">
        <v>5492</v>
      </c>
      <c r="I39" s="81">
        <f t="shared" si="0"/>
        <v>150</v>
      </c>
      <c r="J39" s="81">
        <v>0</v>
      </c>
      <c r="K39" s="81">
        <v>0</v>
      </c>
      <c r="L39" s="81">
        <v>150</v>
      </c>
      <c r="M39" s="81">
        <v>0</v>
      </c>
      <c r="N39" s="80"/>
      <c r="O39" s="80"/>
      <c r="P39" s="80" t="s">
        <v>209</v>
      </c>
      <c r="Q39" s="80"/>
      <c r="R39" s="80" t="s">
        <v>5641</v>
      </c>
      <c r="S39" s="80" t="s">
        <v>5035</v>
      </c>
      <c r="T39" s="80" t="s">
        <v>5636</v>
      </c>
      <c r="U39" s="80" t="s">
        <v>3050</v>
      </c>
      <c r="V39" s="80" t="s">
        <v>529</v>
      </c>
      <c r="W39" s="81">
        <f t="shared" ref="W39:W41" si="7">SUM(X39:Y39)</f>
        <v>20</v>
      </c>
      <c r="X39" s="81">
        <v>20</v>
      </c>
      <c r="Y39" s="81">
        <v>0</v>
      </c>
      <c r="Z39" s="80" t="s">
        <v>5642</v>
      </c>
    </row>
    <row r="40" spans="1:26" ht="48.75" customHeight="1">
      <c r="A40" s="155">
        <v>36</v>
      </c>
      <c r="B40" s="155" t="s">
        <v>3014</v>
      </c>
      <c r="C40" s="155" t="s">
        <v>5631</v>
      </c>
      <c r="D40" s="80" t="s">
        <v>3051</v>
      </c>
      <c r="E40" s="80" t="s">
        <v>3052</v>
      </c>
      <c r="F40" s="136" t="s">
        <v>5643</v>
      </c>
      <c r="G40" s="80" t="s">
        <v>5644</v>
      </c>
      <c r="H40" s="80" t="s">
        <v>3053</v>
      </c>
      <c r="I40" s="81">
        <f t="shared" si="0"/>
        <v>400</v>
      </c>
      <c r="J40" s="81">
        <v>0</v>
      </c>
      <c r="K40" s="81">
        <v>0</v>
      </c>
      <c r="L40" s="81">
        <v>400</v>
      </c>
      <c r="M40" s="81">
        <v>0</v>
      </c>
      <c r="N40" s="80"/>
      <c r="O40" s="80"/>
      <c r="P40" s="80" t="s">
        <v>209</v>
      </c>
      <c r="Q40" s="80"/>
      <c r="R40" s="80" t="s">
        <v>5645</v>
      </c>
      <c r="S40" s="80" t="s">
        <v>5035</v>
      </c>
      <c r="T40" s="80" t="s">
        <v>5519</v>
      </c>
      <c r="U40" s="80" t="s">
        <v>2805</v>
      </c>
      <c r="V40" s="80" t="s">
        <v>376</v>
      </c>
      <c r="W40" s="81">
        <f t="shared" si="7"/>
        <v>302</v>
      </c>
      <c r="X40" s="81">
        <v>300</v>
      </c>
      <c r="Y40" s="81">
        <v>2</v>
      </c>
      <c r="Z40" s="80" t="s">
        <v>5310</v>
      </c>
    </row>
    <row r="41" spans="1:26" ht="60">
      <c r="A41" s="155">
        <v>37</v>
      </c>
      <c r="B41" s="155" t="s">
        <v>3014</v>
      </c>
      <c r="C41" s="155" t="s">
        <v>5631</v>
      </c>
      <c r="D41" s="80" t="s">
        <v>3054</v>
      </c>
      <c r="E41" s="80" t="s">
        <v>3055</v>
      </c>
      <c r="F41" s="136" t="s">
        <v>5646</v>
      </c>
      <c r="G41" s="80" t="s">
        <v>5647</v>
      </c>
      <c r="H41" s="80" t="s">
        <v>5648</v>
      </c>
      <c r="I41" s="81">
        <f t="shared" si="0"/>
        <v>100</v>
      </c>
      <c r="J41" s="81">
        <v>0</v>
      </c>
      <c r="K41" s="81">
        <v>0</v>
      </c>
      <c r="L41" s="81">
        <v>100</v>
      </c>
      <c r="M41" s="81">
        <v>0</v>
      </c>
      <c r="N41" s="80"/>
      <c r="O41" s="80"/>
      <c r="P41" s="80" t="s">
        <v>304</v>
      </c>
      <c r="Q41" s="80"/>
      <c r="R41" s="80" t="s">
        <v>5649</v>
      </c>
      <c r="S41" s="80" t="s">
        <v>5035</v>
      </c>
      <c r="T41" s="80" t="s">
        <v>527</v>
      </c>
      <c r="U41" s="80" t="s">
        <v>3056</v>
      </c>
      <c r="V41" s="80" t="s">
        <v>529</v>
      </c>
      <c r="W41" s="81">
        <f t="shared" si="7"/>
        <v>10</v>
      </c>
      <c r="X41" s="81">
        <v>10</v>
      </c>
      <c r="Y41" s="81">
        <v>0</v>
      </c>
      <c r="Z41" s="80" t="s">
        <v>5342</v>
      </c>
    </row>
    <row r="42" spans="1:26" s="58" customFormat="1" ht="62.25" customHeight="1">
      <c r="A42" s="155">
        <v>38</v>
      </c>
      <c r="B42" s="102" t="s">
        <v>5480</v>
      </c>
      <c r="C42" s="102" t="s">
        <v>5631</v>
      </c>
      <c r="D42" s="75" t="s">
        <v>5650</v>
      </c>
      <c r="E42" s="75" t="s">
        <v>5651</v>
      </c>
      <c r="F42" s="108" t="s">
        <v>5652</v>
      </c>
      <c r="G42" s="75" t="s">
        <v>5653</v>
      </c>
      <c r="H42" s="75" t="s">
        <v>5654</v>
      </c>
      <c r="I42" s="81">
        <f t="shared" si="0"/>
        <v>100</v>
      </c>
      <c r="J42" s="81">
        <v>0</v>
      </c>
      <c r="K42" s="110">
        <v>20</v>
      </c>
      <c r="L42" s="110">
        <v>80</v>
      </c>
      <c r="M42" s="81">
        <v>0</v>
      </c>
      <c r="N42" s="75"/>
      <c r="O42" s="75"/>
      <c r="P42" s="75" t="s">
        <v>247</v>
      </c>
      <c r="Q42" s="75"/>
      <c r="R42" s="75" t="s">
        <v>5655</v>
      </c>
      <c r="S42" s="75" t="s">
        <v>5035</v>
      </c>
      <c r="T42" s="75" t="s">
        <v>5127</v>
      </c>
      <c r="U42" s="75" t="s">
        <v>5268</v>
      </c>
      <c r="V42" s="75" t="s">
        <v>5129</v>
      </c>
      <c r="W42" s="110">
        <f>SUM(X42:Y42)</f>
        <v>60</v>
      </c>
      <c r="X42" s="110">
        <v>60</v>
      </c>
      <c r="Y42" s="81">
        <v>0</v>
      </c>
      <c r="Z42" s="75" t="s">
        <v>5342</v>
      </c>
    </row>
    <row r="43" spans="1:26" ht="48">
      <c r="A43" s="155">
        <v>39</v>
      </c>
      <c r="B43" s="155" t="s">
        <v>5480</v>
      </c>
      <c r="C43" s="155" t="s">
        <v>5656</v>
      </c>
      <c r="D43" s="80" t="s">
        <v>5657</v>
      </c>
      <c r="E43" s="80" t="s">
        <v>5658</v>
      </c>
      <c r="F43" s="136" t="s">
        <v>5659</v>
      </c>
      <c r="G43" s="80" t="s">
        <v>5660</v>
      </c>
      <c r="H43" s="80" t="s">
        <v>5661</v>
      </c>
      <c r="I43" s="81">
        <f t="shared" si="0"/>
        <v>500</v>
      </c>
      <c r="J43" s="81">
        <v>0</v>
      </c>
      <c r="K43" s="81">
        <v>0</v>
      </c>
      <c r="L43" s="186">
        <v>500</v>
      </c>
      <c r="M43" s="81">
        <v>0</v>
      </c>
      <c r="N43" s="80"/>
      <c r="O43" s="80"/>
      <c r="P43" s="80" t="s">
        <v>304</v>
      </c>
      <c r="Q43" s="175" t="s">
        <v>5389</v>
      </c>
      <c r="R43" s="80" t="s">
        <v>5662</v>
      </c>
      <c r="S43" s="80" t="s">
        <v>5035</v>
      </c>
      <c r="T43" s="80" t="s">
        <v>5636</v>
      </c>
      <c r="U43" s="80" t="s">
        <v>5663</v>
      </c>
      <c r="V43" s="80" t="s">
        <v>5129</v>
      </c>
      <c r="W43" s="81">
        <v>99</v>
      </c>
      <c r="X43" s="81">
        <v>99</v>
      </c>
      <c r="Y43" s="81">
        <v>0</v>
      </c>
      <c r="Z43" s="80" t="s">
        <v>5664</v>
      </c>
    </row>
    <row r="44" spans="1:26" ht="48">
      <c r="A44" s="155">
        <v>40</v>
      </c>
      <c r="B44" s="155" t="s">
        <v>5480</v>
      </c>
      <c r="C44" s="155" t="s">
        <v>5656</v>
      </c>
      <c r="D44" s="80" t="s">
        <v>5665</v>
      </c>
      <c r="E44" s="80" t="s">
        <v>5666</v>
      </c>
      <c r="F44" s="82" t="s">
        <v>5667</v>
      </c>
      <c r="G44" s="80" t="s">
        <v>5660</v>
      </c>
      <c r="H44" s="80" t="s">
        <v>5668</v>
      </c>
      <c r="I44" s="81">
        <f t="shared" si="0"/>
        <v>0</v>
      </c>
      <c r="J44" s="81">
        <v>0</v>
      </c>
      <c r="K44" s="81">
        <v>0</v>
      </c>
      <c r="L44" s="81">
        <v>0</v>
      </c>
      <c r="M44" s="81">
        <v>0</v>
      </c>
      <c r="N44" s="80"/>
      <c r="O44" s="80"/>
      <c r="P44" s="80" t="s">
        <v>5277</v>
      </c>
      <c r="Q44" s="108"/>
      <c r="R44" s="80" t="s">
        <v>5669</v>
      </c>
      <c r="S44" s="80" t="s">
        <v>5035</v>
      </c>
      <c r="T44" s="80" t="s">
        <v>5636</v>
      </c>
      <c r="U44" s="80" t="s">
        <v>5663</v>
      </c>
      <c r="V44" s="80" t="s">
        <v>5129</v>
      </c>
      <c r="W44" s="81">
        <v>339</v>
      </c>
      <c r="X44" s="81">
        <v>339</v>
      </c>
      <c r="Y44" s="81">
        <v>0</v>
      </c>
      <c r="Z44" s="80" t="s">
        <v>5670</v>
      </c>
    </row>
    <row r="45" spans="1:26" ht="36">
      <c r="A45" s="155">
        <v>41</v>
      </c>
      <c r="B45" s="155" t="s">
        <v>5480</v>
      </c>
      <c r="C45" s="155" t="s">
        <v>5656</v>
      </c>
      <c r="D45" s="80" t="s">
        <v>5671</v>
      </c>
      <c r="E45" s="80" t="s">
        <v>5672</v>
      </c>
      <c r="F45" s="136" t="s">
        <v>5673</v>
      </c>
      <c r="G45" s="80" t="s">
        <v>5660</v>
      </c>
      <c r="H45" s="80" t="s">
        <v>5674</v>
      </c>
      <c r="I45" s="81">
        <f t="shared" si="0"/>
        <v>0</v>
      </c>
      <c r="J45" s="81">
        <v>0</v>
      </c>
      <c r="K45" s="81">
        <v>0</v>
      </c>
      <c r="L45" s="81">
        <v>0</v>
      </c>
      <c r="M45" s="81">
        <v>0</v>
      </c>
      <c r="N45" s="80"/>
      <c r="O45" s="80"/>
      <c r="P45" s="80" t="s">
        <v>304</v>
      </c>
      <c r="Q45" s="80"/>
      <c r="R45" s="80" t="s">
        <v>5675</v>
      </c>
      <c r="S45" s="80" t="s">
        <v>5035</v>
      </c>
      <c r="T45" s="80" t="s">
        <v>5636</v>
      </c>
      <c r="U45" s="80" t="s">
        <v>5663</v>
      </c>
      <c r="V45" s="80" t="s">
        <v>5129</v>
      </c>
      <c r="W45" s="81">
        <v>1</v>
      </c>
      <c r="X45" s="81">
        <v>1</v>
      </c>
      <c r="Y45" s="81">
        <v>0</v>
      </c>
      <c r="Z45" s="80" t="s">
        <v>5676</v>
      </c>
    </row>
    <row r="46" spans="1:26" ht="48">
      <c r="A46" s="155">
        <v>42</v>
      </c>
      <c r="B46" s="155" t="s">
        <v>5480</v>
      </c>
      <c r="C46" s="155" t="s">
        <v>5656</v>
      </c>
      <c r="D46" s="80" t="s">
        <v>5677</v>
      </c>
      <c r="E46" s="80" t="s">
        <v>5678</v>
      </c>
      <c r="F46" s="136" t="s">
        <v>5679</v>
      </c>
      <c r="G46" s="80" t="s">
        <v>5660</v>
      </c>
      <c r="H46" s="80" t="s">
        <v>5680</v>
      </c>
      <c r="I46" s="81">
        <f t="shared" si="0"/>
        <v>0</v>
      </c>
      <c r="J46" s="81">
        <v>0</v>
      </c>
      <c r="K46" s="81">
        <v>0</v>
      </c>
      <c r="L46" s="81">
        <v>0</v>
      </c>
      <c r="M46" s="81">
        <v>0</v>
      </c>
      <c r="N46" s="80"/>
      <c r="O46" s="80"/>
      <c r="P46" s="80" t="s">
        <v>5346</v>
      </c>
      <c r="Q46" s="80"/>
      <c r="R46" s="80" t="s">
        <v>5681</v>
      </c>
      <c r="S46" s="80" t="s">
        <v>5035</v>
      </c>
      <c r="T46" s="80" t="s">
        <v>5636</v>
      </c>
      <c r="U46" s="80" t="s">
        <v>5663</v>
      </c>
      <c r="V46" s="80" t="s">
        <v>5129</v>
      </c>
      <c r="W46" s="81">
        <v>16</v>
      </c>
      <c r="X46" s="81">
        <v>16</v>
      </c>
      <c r="Y46" s="81">
        <v>0</v>
      </c>
      <c r="Z46" s="80" t="s">
        <v>5682</v>
      </c>
    </row>
    <row r="47" spans="1:26" ht="36">
      <c r="A47" s="155">
        <v>43</v>
      </c>
      <c r="B47" s="155" t="s">
        <v>5480</v>
      </c>
      <c r="C47" s="155" t="s">
        <v>5656</v>
      </c>
      <c r="D47" s="155" t="s">
        <v>5683</v>
      </c>
      <c r="E47" s="80" t="s">
        <v>5684</v>
      </c>
      <c r="F47" s="82" t="s">
        <v>5685</v>
      </c>
      <c r="G47" s="80" t="s">
        <v>5660</v>
      </c>
      <c r="H47" s="80" t="s">
        <v>5686</v>
      </c>
      <c r="I47" s="81">
        <f t="shared" si="0"/>
        <v>0</v>
      </c>
      <c r="J47" s="81">
        <v>0</v>
      </c>
      <c r="K47" s="81">
        <v>0</v>
      </c>
      <c r="L47" s="81">
        <v>0</v>
      </c>
      <c r="M47" s="81">
        <v>0</v>
      </c>
      <c r="N47" s="80"/>
      <c r="O47" s="80"/>
      <c r="P47" s="155" t="s">
        <v>5277</v>
      </c>
      <c r="Q47" s="80"/>
      <c r="R47" s="155" t="s">
        <v>5687</v>
      </c>
      <c r="S47" s="155" t="s">
        <v>5035</v>
      </c>
      <c r="T47" s="80" t="s">
        <v>5636</v>
      </c>
      <c r="U47" s="80" t="s">
        <v>5663</v>
      </c>
      <c r="V47" s="80" t="s">
        <v>5129</v>
      </c>
      <c r="W47" s="81">
        <v>94</v>
      </c>
      <c r="X47" s="81">
        <v>94</v>
      </c>
      <c r="Y47" s="81">
        <v>0</v>
      </c>
      <c r="Z47" s="80" t="s">
        <v>3057</v>
      </c>
    </row>
    <row r="48" spans="1:26" ht="76.5" customHeight="1">
      <c r="A48" s="155">
        <v>44</v>
      </c>
      <c r="B48" s="155" t="s">
        <v>3014</v>
      </c>
      <c r="C48" s="155" t="s">
        <v>3058</v>
      </c>
      <c r="D48" s="80" t="s">
        <v>5688</v>
      </c>
      <c r="E48" s="80" t="s">
        <v>3059</v>
      </c>
      <c r="F48" s="136" t="s">
        <v>3060</v>
      </c>
      <c r="G48" s="80" t="s">
        <v>3061</v>
      </c>
      <c r="H48" s="80" t="s">
        <v>3062</v>
      </c>
      <c r="I48" s="81">
        <f t="shared" si="0"/>
        <v>610</v>
      </c>
      <c r="J48" s="81">
        <v>0</v>
      </c>
      <c r="K48" s="81">
        <v>100</v>
      </c>
      <c r="L48" s="81">
        <v>510</v>
      </c>
      <c r="M48" s="81">
        <v>0</v>
      </c>
      <c r="N48" s="80"/>
      <c r="O48" s="80"/>
      <c r="P48" s="80" t="s">
        <v>209</v>
      </c>
      <c r="Q48" s="80"/>
      <c r="R48" s="80" t="s">
        <v>3063</v>
      </c>
      <c r="S48" s="80" t="s">
        <v>373</v>
      </c>
      <c r="T48" s="80" t="s">
        <v>374</v>
      </c>
      <c r="U48" s="80" t="s">
        <v>5128</v>
      </c>
      <c r="V48" s="80" t="s">
        <v>529</v>
      </c>
      <c r="W48" s="81">
        <v>123</v>
      </c>
      <c r="X48" s="81">
        <v>123</v>
      </c>
      <c r="Y48" s="81">
        <v>0</v>
      </c>
      <c r="Z48" s="80" t="s">
        <v>3064</v>
      </c>
    </row>
    <row r="49" spans="1:26" ht="84">
      <c r="A49" s="155">
        <v>45</v>
      </c>
      <c r="B49" s="155" t="s">
        <v>3014</v>
      </c>
      <c r="C49" s="155" t="s">
        <v>3058</v>
      </c>
      <c r="D49" s="80" t="s">
        <v>5689</v>
      </c>
      <c r="E49" s="80" t="s">
        <v>5690</v>
      </c>
      <c r="F49" s="136" t="s">
        <v>5691</v>
      </c>
      <c r="G49" s="80" t="s">
        <v>3065</v>
      </c>
      <c r="H49" s="80" t="s">
        <v>5692</v>
      </c>
      <c r="I49" s="81">
        <f t="shared" si="0"/>
        <v>200</v>
      </c>
      <c r="J49" s="81">
        <v>0</v>
      </c>
      <c r="K49" s="81">
        <v>0</v>
      </c>
      <c r="L49" s="81">
        <v>200</v>
      </c>
      <c r="M49" s="81">
        <v>0</v>
      </c>
      <c r="N49" s="80"/>
      <c r="O49" s="80"/>
      <c r="P49" s="80" t="s">
        <v>261</v>
      </c>
      <c r="Q49" s="80"/>
      <c r="R49" s="80" t="s">
        <v>3066</v>
      </c>
      <c r="S49" s="80" t="s">
        <v>373</v>
      </c>
      <c r="T49" s="80" t="s">
        <v>374</v>
      </c>
      <c r="U49" s="80" t="s">
        <v>5128</v>
      </c>
      <c r="V49" s="80" t="s">
        <v>529</v>
      </c>
      <c r="W49" s="81">
        <v>21</v>
      </c>
      <c r="X49" s="81">
        <v>21</v>
      </c>
      <c r="Y49" s="81">
        <v>0</v>
      </c>
      <c r="Z49" s="80" t="s">
        <v>5693</v>
      </c>
    </row>
    <row r="50" spans="1:26" ht="96">
      <c r="A50" s="155">
        <v>46</v>
      </c>
      <c r="B50" s="155" t="s">
        <v>5480</v>
      </c>
      <c r="C50" s="155" t="s">
        <v>5694</v>
      </c>
      <c r="D50" s="80" t="s">
        <v>5695</v>
      </c>
      <c r="E50" s="80" t="s">
        <v>5690</v>
      </c>
      <c r="F50" s="136" t="s">
        <v>5696</v>
      </c>
      <c r="G50" s="80" t="s">
        <v>5697</v>
      </c>
      <c r="H50" s="80" t="s">
        <v>5698</v>
      </c>
      <c r="I50" s="81">
        <f t="shared" si="0"/>
        <v>98</v>
      </c>
      <c r="J50" s="81">
        <v>0</v>
      </c>
      <c r="K50" s="81">
        <v>0</v>
      </c>
      <c r="L50" s="81">
        <v>98</v>
      </c>
      <c r="M50" s="81">
        <v>0</v>
      </c>
      <c r="N50" s="80"/>
      <c r="O50" s="80"/>
      <c r="P50" s="80" t="s">
        <v>5477</v>
      </c>
      <c r="Q50" s="80"/>
      <c r="R50" s="80" t="s">
        <v>5477</v>
      </c>
      <c r="S50" s="80" t="s">
        <v>5035</v>
      </c>
      <c r="T50" s="80" t="s">
        <v>5138</v>
      </c>
      <c r="U50" s="80" t="s">
        <v>5128</v>
      </c>
      <c r="V50" s="80" t="s">
        <v>5129</v>
      </c>
      <c r="W50" s="81">
        <f t="shared" ref="W50" si="8">SUM(X50:Y50)</f>
        <v>50</v>
      </c>
      <c r="X50" s="81">
        <v>50</v>
      </c>
      <c r="Y50" s="81">
        <v>0</v>
      </c>
      <c r="Z50" s="80" t="s">
        <v>5208</v>
      </c>
    </row>
    <row r="51" spans="1:26" ht="38.25" customHeight="1">
      <c r="A51" s="155">
        <v>47</v>
      </c>
      <c r="B51" s="155" t="s">
        <v>5480</v>
      </c>
      <c r="C51" s="155" t="s">
        <v>5699</v>
      </c>
      <c r="D51" s="80" t="s">
        <v>5700</v>
      </c>
      <c r="E51" s="80" t="s">
        <v>5371</v>
      </c>
      <c r="F51" s="136" t="s">
        <v>5701</v>
      </c>
      <c r="G51" s="80" t="s">
        <v>5702</v>
      </c>
      <c r="H51" s="80" t="s">
        <v>5703</v>
      </c>
      <c r="I51" s="81">
        <f t="shared" si="0"/>
        <v>100</v>
      </c>
      <c r="J51" s="81">
        <v>0</v>
      </c>
      <c r="K51" s="81">
        <v>0</v>
      </c>
      <c r="L51" s="81">
        <v>100</v>
      </c>
      <c r="M51" s="81">
        <v>0</v>
      </c>
      <c r="N51" s="80"/>
      <c r="O51" s="80"/>
      <c r="P51" s="80" t="s">
        <v>5477</v>
      </c>
      <c r="Q51" s="80"/>
      <c r="R51" s="80" t="s">
        <v>5704</v>
      </c>
      <c r="S51" s="80" t="s">
        <v>5035</v>
      </c>
      <c r="T51" s="80" t="s">
        <v>5636</v>
      </c>
      <c r="U51" s="80" t="s">
        <v>5705</v>
      </c>
      <c r="V51" s="80" t="s">
        <v>5129</v>
      </c>
      <c r="W51" s="81">
        <f>SUM(X51:Y51)</f>
        <v>65</v>
      </c>
      <c r="X51" s="81">
        <v>64</v>
      </c>
      <c r="Y51" s="81">
        <v>1</v>
      </c>
      <c r="Z51" s="80" t="s">
        <v>5706</v>
      </c>
    </row>
    <row r="52" spans="1:26" ht="38.25" customHeight="1">
      <c r="A52" s="155">
        <v>48</v>
      </c>
      <c r="B52" s="155" t="s">
        <v>5480</v>
      </c>
      <c r="C52" s="155" t="s">
        <v>5699</v>
      </c>
      <c r="D52" s="80" t="s">
        <v>5707</v>
      </c>
      <c r="E52" s="80" t="s">
        <v>5371</v>
      </c>
      <c r="F52" s="136" t="s">
        <v>5708</v>
      </c>
      <c r="G52" s="80" t="s">
        <v>5709</v>
      </c>
      <c r="H52" s="80" t="s">
        <v>5710</v>
      </c>
      <c r="I52" s="81">
        <f t="shared" si="0"/>
        <v>300</v>
      </c>
      <c r="J52" s="81">
        <v>0</v>
      </c>
      <c r="K52" s="81">
        <v>0</v>
      </c>
      <c r="L52" s="81">
        <v>300</v>
      </c>
      <c r="M52" s="81">
        <v>0</v>
      </c>
      <c r="N52" s="80"/>
      <c r="O52" s="80"/>
      <c r="P52" s="80" t="s">
        <v>5277</v>
      </c>
      <c r="Q52" s="80"/>
      <c r="R52" s="80" t="s">
        <v>5711</v>
      </c>
      <c r="S52" s="80" t="s">
        <v>5035</v>
      </c>
      <c r="T52" s="80" t="s">
        <v>5138</v>
      </c>
      <c r="U52" s="80" t="s">
        <v>5128</v>
      </c>
      <c r="V52" s="80" t="s">
        <v>5269</v>
      </c>
      <c r="W52" s="81">
        <f t="shared" ref="W52:W53" si="9">SUM(X52:Y52)</f>
        <v>45</v>
      </c>
      <c r="X52" s="81">
        <v>45</v>
      </c>
      <c r="Y52" s="81">
        <v>0</v>
      </c>
      <c r="Z52" s="80" t="s">
        <v>5712</v>
      </c>
    </row>
    <row r="53" spans="1:26" ht="38.25" customHeight="1">
      <c r="A53" s="155">
        <v>49</v>
      </c>
      <c r="B53" s="155" t="s">
        <v>5480</v>
      </c>
      <c r="C53" s="155" t="s">
        <v>5699</v>
      </c>
      <c r="D53" s="80" t="s">
        <v>5713</v>
      </c>
      <c r="E53" s="80" t="s">
        <v>5371</v>
      </c>
      <c r="F53" s="136" t="s">
        <v>5714</v>
      </c>
      <c r="G53" s="80" t="s">
        <v>5715</v>
      </c>
      <c r="H53" s="80" t="s">
        <v>5716</v>
      </c>
      <c r="I53" s="81">
        <f t="shared" si="0"/>
        <v>100</v>
      </c>
      <c r="J53" s="81">
        <v>0</v>
      </c>
      <c r="K53" s="81">
        <v>40</v>
      </c>
      <c r="L53" s="81">
        <v>60</v>
      </c>
      <c r="M53" s="81">
        <v>0</v>
      </c>
      <c r="N53" s="80"/>
      <c r="O53" s="80"/>
      <c r="P53" s="80" t="s">
        <v>5277</v>
      </c>
      <c r="Q53" s="80"/>
      <c r="R53" s="80" t="s">
        <v>5717</v>
      </c>
      <c r="S53" s="80" t="s">
        <v>5035</v>
      </c>
      <c r="T53" s="80" t="s">
        <v>5138</v>
      </c>
      <c r="U53" s="80" t="s">
        <v>5128</v>
      </c>
      <c r="V53" s="80" t="s">
        <v>5269</v>
      </c>
      <c r="W53" s="81">
        <f t="shared" si="9"/>
        <v>20</v>
      </c>
      <c r="X53" s="81">
        <v>20</v>
      </c>
      <c r="Y53" s="81">
        <v>0</v>
      </c>
      <c r="Z53" s="80" t="s">
        <v>5718</v>
      </c>
    </row>
    <row r="54" spans="1:26" ht="96">
      <c r="A54" s="155">
        <v>50</v>
      </c>
      <c r="B54" s="155" t="s">
        <v>3014</v>
      </c>
      <c r="C54" s="80" t="s">
        <v>5719</v>
      </c>
      <c r="D54" s="80" t="s">
        <v>5720</v>
      </c>
      <c r="E54" s="80" t="s">
        <v>5721</v>
      </c>
      <c r="F54" s="136" t="s">
        <v>5722</v>
      </c>
      <c r="G54" s="80" t="s">
        <v>5723</v>
      </c>
      <c r="H54" s="80" t="s">
        <v>5304</v>
      </c>
      <c r="I54" s="81">
        <f t="shared" si="0"/>
        <v>120</v>
      </c>
      <c r="J54" s="81">
        <v>0</v>
      </c>
      <c r="K54" s="81">
        <v>0</v>
      </c>
      <c r="L54" s="174">
        <v>120</v>
      </c>
      <c r="M54" s="81">
        <v>0</v>
      </c>
      <c r="N54" s="155"/>
      <c r="O54" s="155"/>
      <c r="P54" s="80" t="s">
        <v>209</v>
      </c>
      <c r="Q54" s="80"/>
      <c r="R54" s="80" t="s">
        <v>5724</v>
      </c>
      <c r="S54" s="80" t="s">
        <v>5035</v>
      </c>
      <c r="T54" s="80" t="s">
        <v>5138</v>
      </c>
      <c r="U54" s="80" t="s">
        <v>5725</v>
      </c>
      <c r="V54" s="80" t="s">
        <v>5726</v>
      </c>
      <c r="W54" s="81">
        <v>16</v>
      </c>
      <c r="X54" s="81">
        <v>16</v>
      </c>
      <c r="Y54" s="81">
        <v>0</v>
      </c>
      <c r="Z54" s="80" t="s">
        <v>5727</v>
      </c>
    </row>
    <row r="55" spans="1:26" ht="48">
      <c r="A55" s="155">
        <v>51</v>
      </c>
      <c r="B55" s="155" t="s">
        <v>3014</v>
      </c>
      <c r="C55" s="80" t="s">
        <v>5719</v>
      </c>
      <c r="D55" s="80" t="s">
        <v>5728</v>
      </c>
      <c r="E55" s="80" t="s">
        <v>5729</v>
      </c>
      <c r="F55" s="136" t="s">
        <v>5730</v>
      </c>
      <c r="G55" s="80" t="s">
        <v>5731</v>
      </c>
      <c r="H55" s="80" t="s">
        <v>5732</v>
      </c>
      <c r="I55" s="81">
        <f t="shared" si="0"/>
        <v>0</v>
      </c>
      <c r="J55" s="81">
        <v>0</v>
      </c>
      <c r="K55" s="81">
        <v>0</v>
      </c>
      <c r="L55" s="81">
        <v>0</v>
      </c>
      <c r="M55" s="81">
        <v>0</v>
      </c>
      <c r="N55" s="80"/>
      <c r="O55" s="80"/>
      <c r="P55" s="80" t="s">
        <v>304</v>
      </c>
      <c r="Q55" s="80"/>
      <c r="R55" s="80" t="s">
        <v>5733</v>
      </c>
      <c r="S55" s="80" t="s">
        <v>5035</v>
      </c>
      <c r="T55" s="80" t="s">
        <v>5138</v>
      </c>
      <c r="U55" s="80" t="s">
        <v>5725</v>
      </c>
      <c r="V55" s="80" t="s">
        <v>5269</v>
      </c>
      <c r="W55" s="81" t="s">
        <v>5478</v>
      </c>
      <c r="X55" s="81">
        <v>0</v>
      </c>
      <c r="Y55" s="81">
        <v>0</v>
      </c>
      <c r="Z55" s="80" t="s">
        <v>5734</v>
      </c>
    </row>
    <row r="56" spans="1:26" ht="36">
      <c r="A56" s="155">
        <v>52</v>
      </c>
      <c r="B56" s="155" t="s">
        <v>3014</v>
      </c>
      <c r="C56" s="155" t="s">
        <v>5719</v>
      </c>
      <c r="D56" s="80" t="s">
        <v>5735</v>
      </c>
      <c r="E56" s="80" t="s">
        <v>5721</v>
      </c>
      <c r="F56" s="136" t="s">
        <v>5736</v>
      </c>
      <c r="G56" s="80" t="s">
        <v>5723</v>
      </c>
      <c r="H56" s="80" t="s">
        <v>5737</v>
      </c>
      <c r="I56" s="81">
        <f t="shared" si="0"/>
        <v>100</v>
      </c>
      <c r="J56" s="81">
        <v>0</v>
      </c>
      <c r="K56" s="81">
        <v>0</v>
      </c>
      <c r="L56" s="174">
        <v>100</v>
      </c>
      <c r="M56" s="81">
        <v>0</v>
      </c>
      <c r="N56" s="155"/>
      <c r="O56" s="155"/>
      <c r="P56" s="155" t="s">
        <v>247</v>
      </c>
      <c r="Q56" s="155"/>
      <c r="R56" s="155" t="s">
        <v>5738</v>
      </c>
      <c r="S56" s="80" t="s">
        <v>5739</v>
      </c>
      <c r="T56" s="80" t="s">
        <v>5138</v>
      </c>
      <c r="U56" s="80" t="s">
        <v>5725</v>
      </c>
      <c r="V56" s="80" t="s">
        <v>5269</v>
      </c>
      <c r="W56" s="81" t="s">
        <v>5478</v>
      </c>
      <c r="X56" s="81">
        <v>0</v>
      </c>
      <c r="Y56" s="81">
        <v>0</v>
      </c>
      <c r="Z56" s="80" t="s">
        <v>5740</v>
      </c>
    </row>
    <row r="57" spans="1:26" ht="72" customHeight="1">
      <c r="A57" s="155">
        <v>53</v>
      </c>
      <c r="B57" s="155" t="s">
        <v>3014</v>
      </c>
      <c r="C57" s="80" t="s">
        <v>3068</v>
      </c>
      <c r="D57" s="80" t="s">
        <v>5741</v>
      </c>
      <c r="E57" s="136" t="s">
        <v>5742</v>
      </c>
      <c r="F57" s="82" t="s">
        <v>5900</v>
      </c>
      <c r="G57" s="80" t="s">
        <v>3070</v>
      </c>
      <c r="H57" s="80" t="s">
        <v>5743</v>
      </c>
      <c r="I57" s="81">
        <f t="shared" si="0"/>
        <v>300</v>
      </c>
      <c r="J57" s="81">
        <v>0</v>
      </c>
      <c r="K57" s="81">
        <v>0</v>
      </c>
      <c r="L57" s="81">
        <v>300</v>
      </c>
      <c r="M57" s="81">
        <v>0</v>
      </c>
      <c r="N57" s="80"/>
      <c r="O57" s="80"/>
      <c r="P57" s="80" t="s">
        <v>209</v>
      </c>
      <c r="Q57" s="80"/>
      <c r="R57" s="80" t="s">
        <v>5744</v>
      </c>
      <c r="S57" s="80" t="s">
        <v>373</v>
      </c>
      <c r="T57" s="80" t="s">
        <v>3071</v>
      </c>
      <c r="U57" s="80" t="s">
        <v>5745</v>
      </c>
      <c r="V57" s="80" t="s">
        <v>529</v>
      </c>
      <c r="W57" s="81">
        <f>X57+Y57</f>
        <v>320</v>
      </c>
      <c r="X57" s="81">
        <v>320</v>
      </c>
      <c r="Y57" s="81">
        <v>0</v>
      </c>
      <c r="Z57" s="80" t="s">
        <v>5746</v>
      </c>
    </row>
    <row r="58" spans="1:26" ht="81" customHeight="1">
      <c r="A58" s="155">
        <v>54</v>
      </c>
      <c r="B58" s="155" t="s">
        <v>3014</v>
      </c>
      <c r="C58" s="80" t="s">
        <v>3068</v>
      </c>
      <c r="D58" s="80" t="s">
        <v>5747</v>
      </c>
      <c r="E58" s="136" t="s">
        <v>5748</v>
      </c>
      <c r="F58" s="82" t="s">
        <v>3072</v>
      </c>
      <c r="G58" s="80" t="s">
        <v>3073</v>
      </c>
      <c r="H58" s="80" t="s">
        <v>5503</v>
      </c>
      <c r="I58" s="81">
        <f t="shared" si="0"/>
        <v>414</v>
      </c>
      <c r="J58" s="81">
        <v>0</v>
      </c>
      <c r="K58" s="81">
        <v>24</v>
      </c>
      <c r="L58" s="81">
        <v>390</v>
      </c>
      <c r="M58" s="81">
        <v>0</v>
      </c>
      <c r="N58" s="80"/>
      <c r="O58" s="80"/>
      <c r="P58" s="80" t="s">
        <v>261</v>
      </c>
      <c r="Q58" s="80"/>
      <c r="R58" s="80" t="s">
        <v>5749</v>
      </c>
      <c r="S58" s="80" t="s">
        <v>373</v>
      </c>
      <c r="T58" s="80" t="s">
        <v>3071</v>
      </c>
      <c r="U58" s="80" t="s">
        <v>5745</v>
      </c>
      <c r="V58" s="80" t="s">
        <v>529</v>
      </c>
      <c r="W58" s="81">
        <f>X58+Y58</f>
        <v>120</v>
      </c>
      <c r="X58" s="81">
        <v>120</v>
      </c>
      <c r="Y58" s="81">
        <v>0</v>
      </c>
      <c r="Z58" s="80" t="s">
        <v>3074</v>
      </c>
    </row>
    <row r="59" spans="1:26" ht="73.5" customHeight="1">
      <c r="A59" s="155">
        <v>55</v>
      </c>
      <c r="B59" s="155" t="s">
        <v>3014</v>
      </c>
      <c r="C59" s="80" t="s">
        <v>3068</v>
      </c>
      <c r="D59" s="80" t="s">
        <v>5750</v>
      </c>
      <c r="E59" s="136" t="s">
        <v>5751</v>
      </c>
      <c r="F59" s="82" t="s">
        <v>3075</v>
      </c>
      <c r="G59" s="80" t="s">
        <v>3076</v>
      </c>
      <c r="H59" s="80" t="s">
        <v>5752</v>
      </c>
      <c r="I59" s="81">
        <f t="shared" si="0"/>
        <v>200</v>
      </c>
      <c r="J59" s="81">
        <v>0</v>
      </c>
      <c r="K59" s="81">
        <v>0</v>
      </c>
      <c r="L59" s="81">
        <v>200</v>
      </c>
      <c r="M59" s="81">
        <v>0</v>
      </c>
      <c r="N59" s="80"/>
      <c r="O59" s="80"/>
      <c r="P59" s="80" t="s">
        <v>209</v>
      </c>
      <c r="Q59" s="80"/>
      <c r="R59" s="80" t="s">
        <v>5553</v>
      </c>
      <c r="S59" s="80" t="s">
        <v>373</v>
      </c>
      <c r="T59" s="80" t="s">
        <v>3071</v>
      </c>
      <c r="U59" s="80" t="s">
        <v>5745</v>
      </c>
      <c r="V59" s="80" t="s">
        <v>529</v>
      </c>
      <c r="W59" s="81">
        <f>X59+Y59</f>
        <v>170</v>
      </c>
      <c r="X59" s="81">
        <v>170</v>
      </c>
      <c r="Y59" s="81">
        <v>0</v>
      </c>
      <c r="Z59" s="80" t="s">
        <v>3077</v>
      </c>
    </row>
    <row r="60" spans="1:26" ht="44.25" customHeight="1">
      <c r="A60" s="155">
        <v>56</v>
      </c>
      <c r="B60" s="155" t="s">
        <v>5480</v>
      </c>
      <c r="C60" s="155" t="s">
        <v>5753</v>
      </c>
      <c r="D60" s="80" t="s">
        <v>5754</v>
      </c>
      <c r="E60" s="80" t="s">
        <v>5755</v>
      </c>
      <c r="F60" s="136" t="s">
        <v>5756</v>
      </c>
      <c r="G60" s="80" t="s">
        <v>5757</v>
      </c>
      <c r="H60" s="80" t="s">
        <v>5503</v>
      </c>
      <c r="I60" s="81">
        <f t="shared" si="0"/>
        <v>350</v>
      </c>
      <c r="J60" s="81">
        <v>0</v>
      </c>
      <c r="K60" s="81">
        <v>150</v>
      </c>
      <c r="L60" s="81">
        <v>200</v>
      </c>
      <c r="M60" s="81">
        <v>0</v>
      </c>
      <c r="N60" s="80"/>
      <c r="O60" s="80"/>
      <c r="P60" s="80" t="s">
        <v>5477</v>
      </c>
      <c r="Q60" s="80"/>
      <c r="R60" s="80" t="s">
        <v>5758</v>
      </c>
      <c r="S60" s="80" t="s">
        <v>5035</v>
      </c>
      <c r="T60" s="80" t="s">
        <v>5138</v>
      </c>
      <c r="U60" s="80" t="s">
        <v>5128</v>
      </c>
      <c r="V60" s="80" t="s">
        <v>5269</v>
      </c>
      <c r="W60" s="81">
        <f>SUM(X60:Y60)</f>
        <v>35</v>
      </c>
      <c r="X60" s="81">
        <v>35</v>
      </c>
      <c r="Y60" s="81">
        <v>0</v>
      </c>
      <c r="Z60" s="80" t="s">
        <v>5759</v>
      </c>
    </row>
    <row r="61" spans="1:26" ht="55.5" customHeight="1">
      <c r="A61" s="155">
        <v>57</v>
      </c>
      <c r="B61" s="155" t="s">
        <v>5480</v>
      </c>
      <c r="C61" s="155" t="s">
        <v>5760</v>
      </c>
      <c r="D61" s="80" t="s">
        <v>5761</v>
      </c>
      <c r="E61" s="80" t="s">
        <v>5762</v>
      </c>
      <c r="F61" s="136" t="s">
        <v>5763</v>
      </c>
      <c r="G61" s="80" t="s">
        <v>5764</v>
      </c>
      <c r="H61" s="251" t="s">
        <v>5765</v>
      </c>
      <c r="I61" s="81">
        <f t="shared" si="0"/>
        <v>530</v>
      </c>
      <c r="J61" s="81">
        <v>0</v>
      </c>
      <c r="K61" s="81">
        <v>0</v>
      </c>
      <c r="L61" s="81">
        <v>530</v>
      </c>
      <c r="M61" s="81">
        <v>0</v>
      </c>
      <c r="N61" s="80"/>
      <c r="O61" s="80"/>
      <c r="P61" s="80" t="s">
        <v>5265</v>
      </c>
      <c r="Q61" s="80"/>
      <c r="R61" s="80" t="s">
        <v>3078</v>
      </c>
      <c r="S61" s="80" t="s">
        <v>373</v>
      </c>
      <c r="T61" s="80" t="s">
        <v>374</v>
      </c>
      <c r="U61" s="80" t="s">
        <v>5128</v>
      </c>
      <c r="V61" s="80" t="s">
        <v>529</v>
      </c>
      <c r="W61" s="81">
        <v>200</v>
      </c>
      <c r="X61" s="81">
        <v>200</v>
      </c>
      <c r="Y61" s="81">
        <v>0</v>
      </c>
      <c r="Z61" s="80" t="s">
        <v>5766</v>
      </c>
    </row>
    <row r="62" spans="1:26" ht="55.5" customHeight="1">
      <c r="A62" s="155">
        <v>58</v>
      </c>
      <c r="B62" s="155" t="s">
        <v>5480</v>
      </c>
      <c r="C62" s="155" t="s">
        <v>5760</v>
      </c>
      <c r="D62" s="80" t="s">
        <v>5767</v>
      </c>
      <c r="E62" s="80" t="s">
        <v>5160</v>
      </c>
      <c r="F62" s="136" t="s">
        <v>5768</v>
      </c>
      <c r="G62" s="80" t="s">
        <v>5769</v>
      </c>
      <c r="H62" s="251" t="s">
        <v>5770</v>
      </c>
      <c r="I62" s="81">
        <f t="shared" si="0"/>
        <v>270</v>
      </c>
      <c r="J62" s="81">
        <v>0</v>
      </c>
      <c r="K62" s="81">
        <v>0</v>
      </c>
      <c r="L62" s="81">
        <v>270</v>
      </c>
      <c r="M62" s="81">
        <v>0</v>
      </c>
      <c r="N62" s="80"/>
      <c r="O62" s="80"/>
      <c r="P62" s="80" t="s">
        <v>5277</v>
      </c>
      <c r="Q62" s="80"/>
      <c r="R62" s="80" t="s">
        <v>3079</v>
      </c>
      <c r="S62" s="80" t="s">
        <v>373</v>
      </c>
      <c r="T62" s="80" t="s">
        <v>374</v>
      </c>
      <c r="U62" s="80" t="s">
        <v>5128</v>
      </c>
      <c r="V62" s="80" t="s">
        <v>529</v>
      </c>
      <c r="W62" s="81">
        <v>320</v>
      </c>
      <c r="X62" s="81">
        <v>320</v>
      </c>
      <c r="Y62" s="81">
        <v>0</v>
      </c>
      <c r="Z62" s="80" t="s">
        <v>5771</v>
      </c>
    </row>
    <row r="63" spans="1:26" ht="67.5" customHeight="1">
      <c r="A63" s="155">
        <v>59</v>
      </c>
      <c r="B63" s="155" t="s">
        <v>5480</v>
      </c>
      <c r="C63" s="155" t="s">
        <v>5760</v>
      </c>
      <c r="D63" s="80" t="s">
        <v>5772</v>
      </c>
      <c r="E63" s="80" t="s">
        <v>5160</v>
      </c>
      <c r="F63" s="136" t="s">
        <v>5773</v>
      </c>
      <c r="G63" s="80" t="s">
        <v>5774</v>
      </c>
      <c r="H63" s="251" t="s">
        <v>5136</v>
      </c>
      <c r="I63" s="81">
        <f t="shared" si="0"/>
        <v>656</v>
      </c>
      <c r="J63" s="81">
        <v>328</v>
      </c>
      <c r="K63" s="81">
        <v>98</v>
      </c>
      <c r="L63" s="81">
        <v>230</v>
      </c>
      <c r="M63" s="81">
        <v>0</v>
      </c>
      <c r="N63" s="80" t="s">
        <v>5305</v>
      </c>
      <c r="O63" s="80" t="s">
        <v>5775</v>
      </c>
      <c r="P63" s="80" t="s">
        <v>5477</v>
      </c>
      <c r="Q63" s="80"/>
      <c r="R63" s="80" t="s">
        <v>3080</v>
      </c>
      <c r="S63" s="80" t="s">
        <v>373</v>
      </c>
      <c r="T63" s="80" t="s">
        <v>374</v>
      </c>
      <c r="U63" s="80" t="s">
        <v>5128</v>
      </c>
      <c r="V63" s="80" t="s">
        <v>529</v>
      </c>
      <c r="W63" s="81">
        <v>320</v>
      </c>
      <c r="X63" s="81">
        <v>320</v>
      </c>
      <c r="Y63" s="81">
        <v>0</v>
      </c>
      <c r="Z63" s="80" t="s">
        <v>5771</v>
      </c>
    </row>
    <row r="64" spans="1:26" ht="81" customHeight="1">
      <c r="A64" s="155">
        <v>60</v>
      </c>
      <c r="B64" s="155" t="s">
        <v>3014</v>
      </c>
      <c r="C64" s="155" t="s">
        <v>5776</v>
      </c>
      <c r="D64" s="80" t="s">
        <v>5777</v>
      </c>
      <c r="E64" s="80" t="s">
        <v>5778</v>
      </c>
      <c r="F64" s="136" t="s">
        <v>5779</v>
      </c>
      <c r="G64" s="80" t="s">
        <v>5780</v>
      </c>
      <c r="H64" s="80" t="s">
        <v>5264</v>
      </c>
      <c r="I64" s="81">
        <f t="shared" si="0"/>
        <v>450</v>
      </c>
      <c r="J64" s="81">
        <v>0</v>
      </c>
      <c r="K64" s="81">
        <v>0</v>
      </c>
      <c r="L64" s="81">
        <v>450</v>
      </c>
      <c r="M64" s="81">
        <v>0</v>
      </c>
      <c r="N64" s="80"/>
      <c r="O64" s="80"/>
      <c r="P64" s="80" t="s">
        <v>247</v>
      </c>
      <c r="Q64" s="175" t="s">
        <v>5389</v>
      </c>
      <c r="R64" s="80" t="s">
        <v>5781</v>
      </c>
      <c r="S64" s="80" t="s">
        <v>5035</v>
      </c>
      <c r="T64" s="80" t="s">
        <v>5138</v>
      </c>
      <c r="U64" s="80" t="s">
        <v>5782</v>
      </c>
      <c r="V64" s="80" t="s">
        <v>5038</v>
      </c>
      <c r="W64" s="81">
        <f>SUM(X64:Y64)</f>
        <v>100</v>
      </c>
      <c r="X64" s="81">
        <v>99</v>
      </c>
      <c r="Y64" s="81">
        <v>1</v>
      </c>
      <c r="Z64" s="80" t="s">
        <v>5208</v>
      </c>
    </row>
    <row r="65" spans="1:26" ht="63.75" customHeight="1">
      <c r="A65" s="155">
        <v>61</v>
      </c>
      <c r="B65" s="155" t="s">
        <v>3014</v>
      </c>
      <c r="C65" s="155" t="s">
        <v>5776</v>
      </c>
      <c r="D65" s="80" t="s">
        <v>5783</v>
      </c>
      <c r="E65" s="80" t="s">
        <v>5784</v>
      </c>
      <c r="F65" s="136" t="s">
        <v>5785</v>
      </c>
      <c r="G65" s="80" t="s">
        <v>5780</v>
      </c>
      <c r="H65" s="80" t="s">
        <v>5786</v>
      </c>
      <c r="I65" s="81">
        <f t="shared" si="0"/>
        <v>63</v>
      </c>
      <c r="J65" s="81">
        <v>0</v>
      </c>
      <c r="K65" s="81">
        <v>0</v>
      </c>
      <c r="L65" s="81">
        <v>63</v>
      </c>
      <c r="M65" s="81">
        <v>0</v>
      </c>
      <c r="N65" s="80"/>
      <c r="O65" s="80"/>
      <c r="P65" s="80" t="s">
        <v>304</v>
      </c>
      <c r="Q65" s="80"/>
      <c r="R65" s="80" t="s">
        <v>5787</v>
      </c>
      <c r="S65" s="80" t="s">
        <v>5035</v>
      </c>
      <c r="T65" s="80" t="s">
        <v>5138</v>
      </c>
      <c r="U65" s="80" t="s">
        <v>5782</v>
      </c>
      <c r="V65" s="80" t="s">
        <v>5038</v>
      </c>
      <c r="W65" s="81">
        <f t="shared" ref="W65" si="10">SUM(X65:Y65)</f>
        <v>20</v>
      </c>
      <c r="X65" s="81">
        <v>20</v>
      </c>
      <c r="Y65" s="81">
        <v>0</v>
      </c>
      <c r="Z65" s="80" t="s">
        <v>5208</v>
      </c>
    </row>
    <row r="66" spans="1:26" ht="108.75" customHeight="1">
      <c r="A66" s="155">
        <v>62</v>
      </c>
      <c r="B66" s="155" t="s">
        <v>5480</v>
      </c>
      <c r="C66" s="155" t="s">
        <v>5788</v>
      </c>
      <c r="D66" s="80" t="s">
        <v>5789</v>
      </c>
      <c r="E66" s="80" t="s">
        <v>5790</v>
      </c>
      <c r="F66" s="252" t="s">
        <v>5791</v>
      </c>
      <c r="G66" s="80" t="s">
        <v>5792</v>
      </c>
      <c r="H66" s="80" t="s">
        <v>5793</v>
      </c>
      <c r="I66" s="81">
        <f t="shared" si="0"/>
        <v>1800</v>
      </c>
      <c r="J66" s="81">
        <v>720</v>
      </c>
      <c r="K66" s="81">
        <v>324</v>
      </c>
      <c r="L66" s="81">
        <v>756</v>
      </c>
      <c r="M66" s="81">
        <v>0</v>
      </c>
      <c r="N66" s="80" t="s">
        <v>5305</v>
      </c>
      <c r="O66" s="80" t="s">
        <v>5794</v>
      </c>
      <c r="P66" s="80" t="s">
        <v>5477</v>
      </c>
      <c r="Q66" s="234"/>
      <c r="R66" s="80" t="s">
        <v>5795</v>
      </c>
      <c r="S66" s="80" t="s">
        <v>5035</v>
      </c>
      <c r="T66" s="80" t="s">
        <v>5796</v>
      </c>
      <c r="U66" s="80" t="s">
        <v>5128</v>
      </c>
      <c r="V66" s="80" t="s">
        <v>5797</v>
      </c>
      <c r="W66" s="81">
        <v>199</v>
      </c>
      <c r="X66" s="81">
        <v>179</v>
      </c>
      <c r="Y66" s="81">
        <v>20</v>
      </c>
      <c r="Z66" s="247" t="s">
        <v>5798</v>
      </c>
    </row>
    <row r="67" spans="1:26" s="2" customFormat="1" ht="70.5" customHeight="1">
      <c r="A67" s="155">
        <v>63</v>
      </c>
      <c r="B67" s="155" t="s">
        <v>3014</v>
      </c>
      <c r="C67" s="155" t="s">
        <v>5788</v>
      </c>
      <c r="D67" s="80" t="s">
        <v>5799</v>
      </c>
      <c r="E67" s="80" t="s">
        <v>5800</v>
      </c>
      <c r="F67" s="136" t="s">
        <v>5801</v>
      </c>
      <c r="G67" s="80" t="s">
        <v>5802</v>
      </c>
      <c r="H67" s="80" t="s">
        <v>5803</v>
      </c>
      <c r="I67" s="81">
        <f t="shared" si="0"/>
        <v>200</v>
      </c>
      <c r="J67" s="81">
        <v>0</v>
      </c>
      <c r="K67" s="81">
        <v>36</v>
      </c>
      <c r="L67" s="81">
        <v>164</v>
      </c>
      <c r="M67" s="81">
        <v>0</v>
      </c>
      <c r="N67" s="80"/>
      <c r="O67" s="80"/>
      <c r="P67" s="80" t="s">
        <v>247</v>
      </c>
      <c r="Q67" s="80"/>
      <c r="R67" s="80" t="s">
        <v>5804</v>
      </c>
      <c r="S67" s="80" t="s">
        <v>5035</v>
      </c>
      <c r="T67" s="80" t="s">
        <v>5796</v>
      </c>
      <c r="U67" s="80" t="s">
        <v>5128</v>
      </c>
      <c r="V67" s="80" t="s">
        <v>5129</v>
      </c>
      <c r="W67" s="81">
        <f>SUM(X67:Y67)</f>
        <v>19</v>
      </c>
      <c r="X67" s="81">
        <v>19</v>
      </c>
      <c r="Y67" s="81">
        <v>0</v>
      </c>
      <c r="Z67" s="80" t="s">
        <v>5805</v>
      </c>
    </row>
    <row r="68" spans="1:26" s="2" customFormat="1" ht="88.5" customHeight="1">
      <c r="A68" s="155">
        <v>64</v>
      </c>
      <c r="B68" s="155" t="s">
        <v>3014</v>
      </c>
      <c r="C68" s="155" t="s">
        <v>5806</v>
      </c>
      <c r="D68" s="80" t="s">
        <v>5807</v>
      </c>
      <c r="E68" s="80" t="s">
        <v>5808</v>
      </c>
      <c r="F68" s="136" t="s">
        <v>5809</v>
      </c>
      <c r="G68" s="80" t="s">
        <v>5810</v>
      </c>
      <c r="H68" s="80" t="s">
        <v>5811</v>
      </c>
      <c r="I68" s="81">
        <f t="shared" si="0"/>
        <v>49</v>
      </c>
      <c r="J68" s="81">
        <v>0</v>
      </c>
      <c r="K68" s="81">
        <v>0</v>
      </c>
      <c r="L68" s="81">
        <v>49</v>
      </c>
      <c r="M68" s="81">
        <v>0</v>
      </c>
      <c r="N68" s="80"/>
      <c r="O68" s="80"/>
      <c r="P68" s="80" t="s">
        <v>209</v>
      </c>
      <c r="Q68" s="80"/>
      <c r="R68" s="80" t="s">
        <v>5812</v>
      </c>
      <c r="S68" s="80" t="s">
        <v>5035</v>
      </c>
      <c r="T68" s="80" t="s">
        <v>5138</v>
      </c>
      <c r="U68" s="80" t="s">
        <v>5128</v>
      </c>
      <c r="V68" s="80" t="s">
        <v>5813</v>
      </c>
      <c r="W68" s="81">
        <f>SUM(X68:Y68)</f>
        <v>15</v>
      </c>
      <c r="X68" s="81">
        <v>15</v>
      </c>
      <c r="Y68" s="81">
        <v>0</v>
      </c>
      <c r="Z68" s="80" t="s">
        <v>5814</v>
      </c>
    </row>
    <row r="69" spans="1:26" ht="38.25" customHeight="1">
      <c r="A69" s="155">
        <v>65</v>
      </c>
      <c r="B69" s="155" t="s">
        <v>5480</v>
      </c>
      <c r="C69" s="155" t="s">
        <v>5815</v>
      </c>
      <c r="D69" s="80" t="s">
        <v>5816</v>
      </c>
      <c r="E69" s="80" t="s">
        <v>5690</v>
      </c>
      <c r="F69" s="136" t="s">
        <v>5817</v>
      </c>
      <c r="G69" s="80" t="s">
        <v>5818</v>
      </c>
      <c r="H69" s="80" t="s">
        <v>5819</v>
      </c>
      <c r="I69" s="81">
        <f t="shared" si="0"/>
        <v>60</v>
      </c>
      <c r="J69" s="81">
        <v>0</v>
      </c>
      <c r="K69" s="81">
        <v>0</v>
      </c>
      <c r="L69" s="81">
        <v>40</v>
      </c>
      <c r="M69" s="81">
        <v>20</v>
      </c>
      <c r="N69" s="80"/>
      <c r="O69" s="80"/>
      <c r="P69" s="253" t="s">
        <v>209</v>
      </c>
      <c r="Q69" s="80"/>
      <c r="R69" s="80" t="s">
        <v>5820</v>
      </c>
      <c r="S69" s="80" t="s">
        <v>5035</v>
      </c>
      <c r="T69" s="80" t="s">
        <v>5821</v>
      </c>
      <c r="U69" s="80" t="s">
        <v>5128</v>
      </c>
      <c r="V69" s="80" t="s">
        <v>5129</v>
      </c>
      <c r="W69" s="81">
        <f>SUM(X69:Y69)</f>
        <v>49.9</v>
      </c>
      <c r="X69" s="81">
        <v>49.9</v>
      </c>
      <c r="Y69" s="81">
        <v>0</v>
      </c>
      <c r="Z69" s="80" t="s">
        <v>5822</v>
      </c>
    </row>
    <row r="70" spans="1:26" ht="38.25" customHeight="1">
      <c r="A70" s="155">
        <v>66</v>
      </c>
      <c r="B70" s="155" t="s">
        <v>5480</v>
      </c>
      <c r="C70" s="155" t="s">
        <v>5815</v>
      </c>
      <c r="D70" s="80" t="s">
        <v>5823</v>
      </c>
      <c r="E70" s="80" t="s">
        <v>5690</v>
      </c>
      <c r="F70" s="136" t="s">
        <v>5824</v>
      </c>
      <c r="G70" s="80" t="s">
        <v>5825</v>
      </c>
      <c r="H70" s="80" t="s">
        <v>5826</v>
      </c>
      <c r="I70" s="81">
        <f t="shared" ref="I70:I78" si="11">SUM(J70:M70)</f>
        <v>60</v>
      </c>
      <c r="J70" s="81">
        <v>0</v>
      </c>
      <c r="K70" s="81">
        <v>15</v>
      </c>
      <c r="L70" s="81">
        <v>27</v>
      </c>
      <c r="M70" s="81">
        <v>18</v>
      </c>
      <c r="N70" s="80"/>
      <c r="O70" s="80"/>
      <c r="P70" s="80" t="s">
        <v>209</v>
      </c>
      <c r="Q70" s="80"/>
      <c r="R70" s="80" t="s">
        <v>5827</v>
      </c>
      <c r="S70" s="80" t="s">
        <v>5035</v>
      </c>
      <c r="T70" s="80" t="s">
        <v>5821</v>
      </c>
      <c r="U70" s="80" t="s">
        <v>5128</v>
      </c>
      <c r="V70" s="80" t="s">
        <v>5129</v>
      </c>
      <c r="W70" s="81">
        <f t="shared" ref="W70:W78" si="12">SUM(X70:Y70)</f>
        <v>29.9</v>
      </c>
      <c r="X70" s="81">
        <v>29.9</v>
      </c>
      <c r="Y70" s="81">
        <v>0</v>
      </c>
      <c r="Z70" s="80" t="s">
        <v>5822</v>
      </c>
    </row>
    <row r="71" spans="1:26" ht="38.25" customHeight="1">
      <c r="A71" s="155">
        <v>67</v>
      </c>
      <c r="B71" s="155" t="s">
        <v>5480</v>
      </c>
      <c r="C71" s="155" t="s">
        <v>5815</v>
      </c>
      <c r="D71" s="80" t="s">
        <v>5828</v>
      </c>
      <c r="E71" s="80" t="s">
        <v>5829</v>
      </c>
      <c r="F71" s="136" t="s">
        <v>5830</v>
      </c>
      <c r="G71" s="80" t="s">
        <v>5831</v>
      </c>
      <c r="H71" s="80" t="s">
        <v>5832</v>
      </c>
      <c r="I71" s="81">
        <f t="shared" si="11"/>
        <v>200</v>
      </c>
      <c r="J71" s="81">
        <v>0</v>
      </c>
      <c r="K71" s="81">
        <v>0</v>
      </c>
      <c r="L71" s="81">
        <v>200</v>
      </c>
      <c r="M71" s="81">
        <v>0</v>
      </c>
      <c r="N71" s="80"/>
      <c r="O71" s="80"/>
      <c r="P71" s="80" t="s">
        <v>436</v>
      </c>
      <c r="Q71" s="80"/>
      <c r="R71" s="80" t="s">
        <v>5833</v>
      </c>
      <c r="S71" s="80" t="s">
        <v>5035</v>
      </c>
      <c r="T71" s="80" t="s">
        <v>5519</v>
      </c>
      <c r="U71" s="80" t="s">
        <v>5037</v>
      </c>
      <c r="V71" s="80" t="s">
        <v>5038</v>
      </c>
      <c r="W71" s="81">
        <f t="shared" si="12"/>
        <v>49.9</v>
      </c>
      <c r="X71" s="81">
        <v>49.9</v>
      </c>
      <c r="Y71" s="81">
        <v>0</v>
      </c>
      <c r="Z71" s="80" t="s">
        <v>5834</v>
      </c>
    </row>
    <row r="72" spans="1:26" ht="38.25" customHeight="1">
      <c r="A72" s="155">
        <v>68</v>
      </c>
      <c r="B72" s="155" t="s">
        <v>5480</v>
      </c>
      <c r="C72" s="155" t="s">
        <v>5815</v>
      </c>
      <c r="D72" s="80" t="s">
        <v>5835</v>
      </c>
      <c r="E72" s="80" t="s">
        <v>5690</v>
      </c>
      <c r="F72" s="136" t="s">
        <v>5836</v>
      </c>
      <c r="G72" s="75" t="s">
        <v>5837</v>
      </c>
      <c r="H72" s="80" t="s">
        <v>5838</v>
      </c>
      <c r="I72" s="81">
        <f t="shared" si="11"/>
        <v>43</v>
      </c>
      <c r="J72" s="81">
        <v>0</v>
      </c>
      <c r="K72" s="81">
        <v>8</v>
      </c>
      <c r="L72" s="81">
        <v>20</v>
      </c>
      <c r="M72" s="81">
        <v>15</v>
      </c>
      <c r="N72" s="80"/>
      <c r="O72" s="80"/>
      <c r="P72" s="80" t="s">
        <v>304</v>
      </c>
      <c r="Q72" s="80"/>
      <c r="R72" s="80" t="s">
        <v>5839</v>
      </c>
      <c r="S72" s="80" t="s">
        <v>5035</v>
      </c>
      <c r="T72" s="80" t="s">
        <v>5127</v>
      </c>
      <c r="U72" s="80" t="s">
        <v>5128</v>
      </c>
      <c r="V72" s="80" t="s">
        <v>5129</v>
      </c>
      <c r="W72" s="81">
        <f t="shared" si="12"/>
        <v>49.9</v>
      </c>
      <c r="X72" s="81">
        <v>49.9</v>
      </c>
      <c r="Y72" s="81">
        <v>0</v>
      </c>
      <c r="Z72" s="80" t="s">
        <v>5458</v>
      </c>
    </row>
    <row r="73" spans="1:26" ht="38.25" customHeight="1">
      <c r="A73" s="155">
        <v>69</v>
      </c>
      <c r="B73" s="155" t="s">
        <v>5480</v>
      </c>
      <c r="C73" s="155" t="s">
        <v>5815</v>
      </c>
      <c r="D73" s="80" t="s">
        <v>5840</v>
      </c>
      <c r="E73" s="80" t="s">
        <v>5841</v>
      </c>
      <c r="F73" s="136" t="s">
        <v>5842</v>
      </c>
      <c r="G73" s="80" t="s">
        <v>5843</v>
      </c>
      <c r="H73" s="80" t="s">
        <v>5844</v>
      </c>
      <c r="I73" s="81">
        <f t="shared" si="11"/>
        <v>675</v>
      </c>
      <c r="J73" s="81">
        <v>0</v>
      </c>
      <c r="K73" s="81">
        <v>0</v>
      </c>
      <c r="L73" s="81">
        <v>675</v>
      </c>
      <c r="M73" s="81">
        <v>0</v>
      </c>
      <c r="N73" s="80"/>
      <c r="O73" s="80"/>
      <c r="P73" s="80" t="s">
        <v>436</v>
      </c>
      <c r="Q73" s="80" t="s">
        <v>5389</v>
      </c>
      <c r="R73" s="80" t="s">
        <v>5845</v>
      </c>
      <c r="S73" s="80" t="s">
        <v>5035</v>
      </c>
      <c r="T73" s="80" t="s">
        <v>5636</v>
      </c>
      <c r="U73" s="80" t="s">
        <v>5128</v>
      </c>
      <c r="V73" s="80" t="s">
        <v>5129</v>
      </c>
      <c r="W73" s="81">
        <f t="shared" si="12"/>
        <v>203</v>
      </c>
      <c r="X73" s="81">
        <v>202</v>
      </c>
      <c r="Y73" s="81">
        <v>1</v>
      </c>
      <c r="Z73" s="80" t="s">
        <v>5846</v>
      </c>
    </row>
    <row r="74" spans="1:26" ht="38.25" customHeight="1">
      <c r="A74" s="155">
        <v>70</v>
      </c>
      <c r="B74" s="155" t="s">
        <v>5480</v>
      </c>
      <c r="C74" s="155" t="s">
        <v>5815</v>
      </c>
      <c r="D74" s="80" t="s">
        <v>5847</v>
      </c>
      <c r="E74" s="80" t="s">
        <v>5848</v>
      </c>
      <c r="F74" s="136" t="s">
        <v>5849</v>
      </c>
      <c r="G74" s="175" t="s">
        <v>5850</v>
      </c>
      <c r="H74" s="80" t="s">
        <v>5819</v>
      </c>
      <c r="I74" s="81">
        <f t="shared" si="11"/>
        <v>600</v>
      </c>
      <c r="J74" s="81">
        <v>0</v>
      </c>
      <c r="K74" s="81">
        <v>0</v>
      </c>
      <c r="L74" s="81">
        <v>600</v>
      </c>
      <c r="M74" s="81">
        <v>0</v>
      </c>
      <c r="N74" s="80"/>
      <c r="O74" s="80"/>
      <c r="P74" s="80" t="s">
        <v>247</v>
      </c>
      <c r="Q74" s="80"/>
      <c r="R74" s="80" t="s">
        <v>5851</v>
      </c>
      <c r="S74" s="80" t="s">
        <v>5035</v>
      </c>
      <c r="T74" s="80" t="s">
        <v>5636</v>
      </c>
      <c r="U74" s="80" t="s">
        <v>5128</v>
      </c>
      <c r="V74" s="80" t="s">
        <v>5129</v>
      </c>
      <c r="W74" s="81">
        <f t="shared" si="12"/>
        <v>310</v>
      </c>
      <c r="X74" s="81">
        <v>309.5</v>
      </c>
      <c r="Y74" s="81">
        <v>0.5</v>
      </c>
      <c r="Z74" s="80" t="s">
        <v>5822</v>
      </c>
    </row>
    <row r="75" spans="1:26" ht="38.25" customHeight="1">
      <c r="A75" s="155">
        <v>71</v>
      </c>
      <c r="B75" s="155" t="s">
        <v>5480</v>
      </c>
      <c r="C75" s="155" t="s">
        <v>5815</v>
      </c>
      <c r="D75" s="80" t="s">
        <v>3081</v>
      </c>
      <c r="E75" s="80" t="s">
        <v>5852</v>
      </c>
      <c r="F75" s="104" t="s">
        <v>5853</v>
      </c>
      <c r="G75" s="75" t="s">
        <v>5854</v>
      </c>
      <c r="H75" s="80" t="s">
        <v>5855</v>
      </c>
      <c r="I75" s="81">
        <f t="shared" si="11"/>
        <v>600</v>
      </c>
      <c r="J75" s="81">
        <v>0</v>
      </c>
      <c r="K75" s="81">
        <v>150</v>
      </c>
      <c r="L75" s="81">
        <v>250</v>
      </c>
      <c r="M75" s="81">
        <v>200</v>
      </c>
      <c r="N75" s="80"/>
      <c r="O75" s="80"/>
      <c r="P75" s="80" t="s">
        <v>247</v>
      </c>
      <c r="Q75" s="80"/>
      <c r="R75" s="80" t="s">
        <v>5856</v>
      </c>
      <c r="S75" s="80" t="s">
        <v>5035</v>
      </c>
      <c r="T75" s="80" t="s">
        <v>5138</v>
      </c>
      <c r="U75" s="80" t="s">
        <v>5128</v>
      </c>
      <c r="V75" s="80" t="s">
        <v>5129</v>
      </c>
      <c r="W75" s="81">
        <f t="shared" si="12"/>
        <v>11.9</v>
      </c>
      <c r="X75" s="81">
        <v>11.9</v>
      </c>
      <c r="Y75" s="81">
        <v>0</v>
      </c>
      <c r="Z75" s="80" t="s">
        <v>5822</v>
      </c>
    </row>
    <row r="76" spans="1:26" ht="38.25" customHeight="1">
      <c r="A76" s="155">
        <v>72</v>
      </c>
      <c r="B76" s="155" t="s">
        <v>5480</v>
      </c>
      <c r="C76" s="155" t="s">
        <v>5815</v>
      </c>
      <c r="D76" s="80" t="s">
        <v>5857</v>
      </c>
      <c r="E76" s="80" t="s">
        <v>5858</v>
      </c>
      <c r="F76" s="104" t="s">
        <v>5859</v>
      </c>
      <c r="G76" s="75" t="s">
        <v>5860</v>
      </c>
      <c r="H76" s="80" t="s">
        <v>5826</v>
      </c>
      <c r="I76" s="81">
        <f t="shared" si="11"/>
        <v>120</v>
      </c>
      <c r="J76" s="81">
        <v>0</v>
      </c>
      <c r="K76" s="81">
        <v>50</v>
      </c>
      <c r="L76" s="81">
        <v>50</v>
      </c>
      <c r="M76" s="81">
        <v>20</v>
      </c>
      <c r="N76" s="80"/>
      <c r="O76" s="80"/>
      <c r="P76" s="80" t="s">
        <v>436</v>
      </c>
      <c r="Q76" s="80"/>
      <c r="R76" s="80" t="s">
        <v>5861</v>
      </c>
      <c r="S76" s="80" t="s">
        <v>5035</v>
      </c>
      <c r="T76" s="80" t="s">
        <v>5821</v>
      </c>
      <c r="U76" s="80" t="s">
        <v>5128</v>
      </c>
      <c r="V76" s="80" t="s">
        <v>5129</v>
      </c>
      <c r="W76" s="81">
        <f t="shared" si="12"/>
        <v>19.899999999999999</v>
      </c>
      <c r="X76" s="81">
        <v>19.899999999999999</v>
      </c>
      <c r="Y76" s="81">
        <v>0</v>
      </c>
      <c r="Z76" s="80" t="s">
        <v>5862</v>
      </c>
    </row>
    <row r="77" spans="1:26" ht="38.25" customHeight="1">
      <c r="A77" s="155">
        <v>73</v>
      </c>
      <c r="B77" s="155" t="s">
        <v>5480</v>
      </c>
      <c r="C77" s="155" t="s">
        <v>5815</v>
      </c>
      <c r="D77" s="80" t="s">
        <v>5863</v>
      </c>
      <c r="E77" s="80" t="s">
        <v>5864</v>
      </c>
      <c r="F77" s="207" t="s">
        <v>5865</v>
      </c>
      <c r="G77" s="80" t="s">
        <v>5866</v>
      </c>
      <c r="H77" s="80" t="s">
        <v>5867</v>
      </c>
      <c r="I77" s="81">
        <f t="shared" si="11"/>
        <v>260</v>
      </c>
      <c r="J77" s="81">
        <v>0</v>
      </c>
      <c r="K77" s="81">
        <v>27</v>
      </c>
      <c r="L77" s="81">
        <v>233</v>
      </c>
      <c r="M77" s="81">
        <v>0</v>
      </c>
      <c r="N77" s="80"/>
      <c r="O77" s="80"/>
      <c r="P77" s="80" t="s">
        <v>436</v>
      </c>
      <c r="Q77" s="80"/>
      <c r="R77" s="80" t="s">
        <v>5868</v>
      </c>
      <c r="S77" s="80" t="s">
        <v>5035</v>
      </c>
      <c r="T77" s="80" t="s">
        <v>5636</v>
      </c>
      <c r="U77" s="80" t="s">
        <v>5128</v>
      </c>
      <c r="V77" s="80" t="s">
        <v>5129</v>
      </c>
      <c r="W77" s="81">
        <f t="shared" si="12"/>
        <v>349.9</v>
      </c>
      <c r="X77" s="81">
        <v>349.9</v>
      </c>
      <c r="Y77" s="81">
        <v>0</v>
      </c>
      <c r="Z77" s="80" t="s">
        <v>5869</v>
      </c>
    </row>
    <row r="78" spans="1:26" ht="156.75" customHeight="1">
      <c r="A78" s="155">
        <v>74</v>
      </c>
      <c r="B78" s="155" t="s">
        <v>3014</v>
      </c>
      <c r="C78" s="155" t="s">
        <v>5870</v>
      </c>
      <c r="D78" s="80" t="s">
        <v>5871</v>
      </c>
      <c r="E78" s="80" t="s">
        <v>5872</v>
      </c>
      <c r="F78" s="254" t="s">
        <v>5873</v>
      </c>
      <c r="G78" s="80" t="s">
        <v>5874</v>
      </c>
      <c r="H78" s="80" t="s">
        <v>5875</v>
      </c>
      <c r="I78" s="81">
        <f t="shared" si="11"/>
        <v>1000</v>
      </c>
      <c r="J78" s="81">
        <v>0</v>
      </c>
      <c r="K78" s="81">
        <v>0</v>
      </c>
      <c r="L78" s="81">
        <v>1000</v>
      </c>
      <c r="M78" s="81"/>
      <c r="N78" s="80"/>
      <c r="O78" s="31"/>
      <c r="P78" s="80" t="s">
        <v>247</v>
      </c>
      <c r="Q78" s="80"/>
      <c r="R78" s="80" t="s">
        <v>5876</v>
      </c>
      <c r="S78" s="80" t="s">
        <v>5035</v>
      </c>
      <c r="T78" s="80" t="s">
        <v>5796</v>
      </c>
      <c r="U78" s="80" t="s">
        <v>5877</v>
      </c>
      <c r="V78" s="80" t="s">
        <v>5269</v>
      </c>
      <c r="W78" s="81">
        <f t="shared" si="12"/>
        <v>400</v>
      </c>
      <c r="X78" s="81">
        <v>400</v>
      </c>
      <c r="Y78" s="81">
        <v>0</v>
      </c>
      <c r="Z78" s="80" t="s">
        <v>5878</v>
      </c>
    </row>
    <row r="79" spans="1:26" s="2" customFormat="1" ht="48">
      <c r="A79" s="255">
        <v>75</v>
      </c>
      <c r="B79" s="255" t="s">
        <v>5480</v>
      </c>
      <c r="C79" s="255" t="s">
        <v>5879</v>
      </c>
      <c r="D79" s="80" t="s">
        <v>5880</v>
      </c>
      <c r="E79" s="80" t="s">
        <v>5881</v>
      </c>
      <c r="F79" s="136" t="s">
        <v>5882</v>
      </c>
      <c r="G79" s="80" t="s">
        <v>5883</v>
      </c>
      <c r="H79" s="80" t="s">
        <v>5884</v>
      </c>
      <c r="I79" s="81">
        <v>250</v>
      </c>
      <c r="J79" s="81"/>
      <c r="K79" s="81"/>
      <c r="L79" s="81">
        <v>250</v>
      </c>
      <c r="M79" s="256"/>
      <c r="N79" s="256"/>
      <c r="O79" s="256"/>
      <c r="P79" s="255" t="s">
        <v>5346</v>
      </c>
      <c r="Q79" s="256"/>
      <c r="R79" s="80" t="s">
        <v>2506</v>
      </c>
      <c r="S79" s="80" t="s">
        <v>373</v>
      </c>
      <c r="T79" s="80" t="s">
        <v>814</v>
      </c>
      <c r="U79" s="80" t="s">
        <v>595</v>
      </c>
      <c r="V79" s="80" t="s">
        <v>529</v>
      </c>
      <c r="W79" s="81">
        <v>352</v>
      </c>
      <c r="X79" s="81">
        <v>350</v>
      </c>
      <c r="Y79" s="81">
        <v>2</v>
      </c>
      <c r="Z79" s="80" t="s">
        <v>5885</v>
      </c>
    </row>
    <row r="80" spans="1:26" s="2" customFormat="1" ht="48">
      <c r="A80" s="255">
        <v>76</v>
      </c>
      <c r="B80" s="255" t="s">
        <v>5480</v>
      </c>
      <c r="C80" s="255" t="s">
        <v>5879</v>
      </c>
      <c r="D80" s="80" t="s">
        <v>5886</v>
      </c>
      <c r="E80" s="80" t="s">
        <v>5887</v>
      </c>
      <c r="F80" s="136" t="s">
        <v>5888</v>
      </c>
      <c r="G80" s="80" t="s">
        <v>5889</v>
      </c>
      <c r="H80" s="80" t="s">
        <v>5890</v>
      </c>
      <c r="I80" s="81">
        <v>70</v>
      </c>
      <c r="J80" s="81">
        <v>0</v>
      </c>
      <c r="K80" s="81">
        <v>14</v>
      </c>
      <c r="L80" s="81">
        <v>56</v>
      </c>
      <c r="M80" s="256"/>
      <c r="N80" s="256"/>
      <c r="O80" s="256"/>
      <c r="P80" s="255" t="s">
        <v>5477</v>
      </c>
      <c r="Q80" s="256"/>
      <c r="R80" s="80" t="s">
        <v>5891</v>
      </c>
      <c r="S80" s="80" t="s">
        <v>5035</v>
      </c>
      <c r="T80" s="80" t="s">
        <v>814</v>
      </c>
      <c r="U80" s="80" t="s">
        <v>5037</v>
      </c>
      <c r="V80" s="80" t="s">
        <v>5129</v>
      </c>
      <c r="W80" s="81">
        <f t="shared" ref="W80" si="13">SUM(X80:Y80)</f>
        <v>50</v>
      </c>
      <c r="X80" s="81">
        <v>50</v>
      </c>
      <c r="Y80" s="81">
        <v>0</v>
      </c>
      <c r="Z80" s="80" t="s">
        <v>5892</v>
      </c>
    </row>
    <row r="81" spans="1:26" s="2" customFormat="1" ht="84">
      <c r="A81" s="255">
        <v>77</v>
      </c>
      <c r="B81" s="255" t="s">
        <v>5480</v>
      </c>
      <c r="C81" s="255" t="s">
        <v>5879</v>
      </c>
      <c r="D81" s="80" t="s">
        <v>5893</v>
      </c>
      <c r="E81" s="80" t="s">
        <v>5894</v>
      </c>
      <c r="F81" s="136" t="s">
        <v>5895</v>
      </c>
      <c r="G81" s="80" t="s">
        <v>5896</v>
      </c>
      <c r="H81" s="80" t="s">
        <v>5897</v>
      </c>
      <c r="I81" s="81">
        <v>1851</v>
      </c>
      <c r="J81" s="81"/>
      <c r="K81" s="81">
        <v>104</v>
      </c>
      <c r="L81" s="81">
        <v>1747</v>
      </c>
      <c r="M81" s="256"/>
      <c r="N81" s="256"/>
      <c r="O81" s="256"/>
      <c r="P81" s="255" t="s">
        <v>5265</v>
      </c>
      <c r="Q81" s="256"/>
      <c r="R81" s="80" t="s">
        <v>5898</v>
      </c>
      <c r="S81" s="80" t="s">
        <v>5035</v>
      </c>
      <c r="T81" s="80" t="s">
        <v>5519</v>
      </c>
      <c r="U81" s="80" t="s">
        <v>5037</v>
      </c>
      <c r="V81" s="80" t="s">
        <v>5690</v>
      </c>
      <c r="W81" s="81">
        <v>45</v>
      </c>
      <c r="X81" s="81">
        <v>36</v>
      </c>
      <c r="Y81" s="81">
        <v>9</v>
      </c>
      <c r="Z81" s="80" t="s">
        <v>5899</v>
      </c>
    </row>
    <row r="82" spans="1:26" s="2" customFormat="1" ht="26.25" customHeight="1">
      <c r="A82" s="15"/>
      <c r="B82" s="15"/>
      <c r="C82" s="15"/>
    </row>
    <row r="83" spans="1:26" s="2" customFormat="1" ht="26.25" customHeight="1">
      <c r="A83" s="15"/>
      <c r="B83" s="15"/>
      <c r="C83" s="15"/>
    </row>
    <row r="84" spans="1:26" s="2" customFormat="1" ht="26.25" customHeight="1">
      <c r="A84" s="15"/>
      <c r="B84" s="15"/>
      <c r="C84" s="15"/>
    </row>
    <row r="85" spans="1:26" s="2" customFormat="1" ht="26.25" customHeight="1">
      <c r="A85" s="15"/>
      <c r="B85" s="15"/>
      <c r="C85" s="15"/>
    </row>
    <row r="86" spans="1:26" s="2" customFormat="1" ht="26.25" customHeight="1">
      <c r="A86" s="15"/>
      <c r="B86" s="15"/>
      <c r="C86" s="15"/>
    </row>
    <row r="87" spans="1:26" s="2" customFormat="1" ht="26.25" customHeight="1">
      <c r="A87" s="15"/>
      <c r="B87" s="15"/>
      <c r="C87" s="15"/>
    </row>
    <row r="88" spans="1:26" s="2" customFormat="1" ht="26.25" customHeight="1">
      <c r="A88" s="15"/>
      <c r="B88" s="15"/>
      <c r="C88" s="15"/>
    </row>
    <row r="89" spans="1:26" s="2" customFormat="1" ht="26.25" customHeight="1">
      <c r="A89" s="15"/>
      <c r="B89" s="15"/>
      <c r="C89" s="15"/>
    </row>
    <row r="90" spans="1:26" s="2" customFormat="1" ht="26.25" customHeight="1">
      <c r="A90" s="15"/>
      <c r="B90" s="15"/>
      <c r="C90" s="15"/>
    </row>
    <row r="91" spans="1:26" s="2" customFormat="1" ht="26.25" customHeight="1">
      <c r="A91" s="15"/>
      <c r="B91" s="15"/>
      <c r="C91" s="15"/>
    </row>
    <row r="92" spans="1:26" s="2" customFormat="1" ht="26.25" customHeight="1">
      <c r="A92" s="15"/>
      <c r="B92" s="15"/>
      <c r="C92" s="15"/>
    </row>
    <row r="93" spans="1:26" s="2" customFormat="1" ht="26.25" customHeight="1">
      <c r="A93" s="15"/>
      <c r="B93" s="15"/>
      <c r="C93" s="15"/>
    </row>
    <row r="94" spans="1:26" s="2" customFormat="1" ht="26.25" customHeight="1">
      <c r="A94" s="15"/>
      <c r="B94" s="15"/>
      <c r="C94" s="15"/>
    </row>
    <row r="95" spans="1:26" s="2" customFormat="1" ht="26.25" customHeight="1">
      <c r="A95" s="15"/>
      <c r="B95" s="15"/>
      <c r="C95" s="15"/>
    </row>
    <row r="96" spans="1:26" s="2" customFormat="1" ht="26.25" customHeight="1">
      <c r="A96" s="15"/>
      <c r="B96" s="15"/>
      <c r="C96" s="15"/>
    </row>
    <row r="97" spans="1:3" s="2" customFormat="1" ht="26.25" customHeight="1">
      <c r="A97" s="15"/>
      <c r="B97" s="15"/>
      <c r="C97" s="15"/>
    </row>
  </sheetData>
  <autoFilter ref="A4:Y8"/>
  <mergeCells count="9">
    <mergeCell ref="Z28:Z29"/>
    <mergeCell ref="A1:Y2"/>
    <mergeCell ref="A3:E3"/>
    <mergeCell ref="I3:M3"/>
    <mergeCell ref="N3:O3"/>
    <mergeCell ref="W3:Y3"/>
    <mergeCell ref="W28:W29"/>
    <mergeCell ref="X28:X29"/>
    <mergeCell ref="Y28:Y29"/>
  </mergeCells>
  <phoneticPr fontId="5" type="noConversion"/>
  <dataValidations count="5">
    <dataValidation type="list" allowBlank="1" showInputMessage="1" showErrorMessage="1" sqref="B20:B78 P78:Q78 P11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B11:B14 IX11 ST11 ACP11 AML11 AWH11 BGD11 BPZ11 BZV11 CJR11 CTN11 DDJ11 DNF11 DXB11 EGX11 EQT11 FAP11 FKL11 FUH11 GED11 GNZ11 GXV11 HHR11 HRN11 IBJ11 ILF11 IVB11 JEX11 JOT11 JYP11 KIL11 KSH11 LCD11 LLZ11 LVV11 MFR11 MPN11 MZJ11 NJF11 NTB11 OCX11 OMT11 OWP11 PGL11 PQH11 QAD11 QJZ11 QTV11 RDR11 RNN11 RXJ11 SHF11 SRB11 TAX11 TKT11 TUP11 UEL11 UOH11 UYD11 VHZ11 VRV11 WBR11 WLN11 WVJ11 P12:Q14 R49 P48:P50 P43:P46 Q35:Q37 P61:P77 N29 Q19 P20:Q21 Q22 Q24 R16 P16 B16 Q65 P38:Q42 Q45:Q47 P51:Q60 B5:B8 P22:P37 P5:Q8 Q74:Q77 Q67:Q72">
      <formula1>#REF!</formula1>
    </dataValidation>
    <dataValidation type="list" allowBlank="1" showInputMessage="1" showErrorMessage="1" sqref="B15 B19">
      <formula1>$B$5:$B$8</formula1>
    </dataValidation>
    <dataValidation type="list" allowBlank="1" showInputMessage="1" showErrorMessage="1" sqref="P15:Q15">
      <formula1>$P$5:$P$8</formula1>
    </dataValidation>
    <dataValidation type="list" allowBlank="1" showInputMessage="1" showErrorMessage="1" sqref="B18">
      <formula1>$B$7:$B$8</formula1>
    </dataValidation>
    <dataValidation type="list" allowBlank="1" showInputMessage="1" showErrorMessage="1" sqref="P18">
      <formula1>$O$7:$O$8</formula1>
    </dataValidation>
  </dataValidations>
  <pageMargins left="0.19685039370078741" right="0.19685039370078741" top="0.35433070866141736" bottom="0.19685039370078741" header="0.19685039370078741" footer="0.19685039370078741"/>
  <pageSetup paperSize="9" scale="44"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0"/>
  <sheetViews>
    <sheetView zoomScale="90" zoomScaleNormal="90" zoomScaleSheetLayoutView="85" workbookViewId="0">
      <pane xSplit="5" ySplit="4" topLeftCell="F9" activePane="bottomRight" state="frozen"/>
      <selection pane="topRight" activeCell="F1" sqref="F1"/>
      <selection pane="bottomLeft" activeCell="A6" sqref="A6"/>
      <selection pane="bottomRight" activeCell="G3" sqref="G1:G1048576"/>
    </sheetView>
  </sheetViews>
  <sheetFormatPr defaultRowHeight="13.5"/>
  <cols>
    <col min="1" max="1" width="5.109375" style="6" customWidth="1"/>
    <col min="2" max="2" width="12.33203125" style="6" customWidth="1"/>
    <col min="3" max="3" width="9.109375" style="6" customWidth="1"/>
    <col min="4" max="4" width="17.6640625" style="1" customWidth="1"/>
    <col min="5" max="5" width="12.109375" style="1" customWidth="1"/>
    <col min="6" max="6" width="42" style="1" customWidth="1"/>
    <col min="7" max="7" width="25.109375" style="1" customWidth="1"/>
    <col min="8" max="8" width="12.21875" style="1" customWidth="1"/>
    <col min="9" max="9" width="14.21875" style="1" customWidth="1"/>
    <col min="10" max="13" width="7.6640625" style="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6" width="12.21875" style="1" customWidth="1"/>
    <col min="27" max="16384" width="8.88671875" style="1"/>
  </cols>
  <sheetData>
    <row r="1" spans="1:27" ht="29.25" customHeight="1">
      <c r="A1" s="304" t="s">
        <v>5398</v>
      </c>
      <c r="B1" s="304"/>
      <c r="C1" s="304"/>
      <c r="D1" s="304"/>
      <c r="E1" s="304"/>
      <c r="F1" s="304"/>
      <c r="G1" s="304"/>
      <c r="H1" s="304"/>
      <c r="I1" s="304"/>
      <c r="J1" s="304"/>
      <c r="K1" s="304"/>
      <c r="L1" s="304"/>
      <c r="M1" s="304"/>
      <c r="N1" s="304"/>
      <c r="O1" s="304"/>
      <c r="P1" s="304"/>
      <c r="Q1" s="304"/>
      <c r="R1" s="304"/>
      <c r="S1" s="304"/>
      <c r="T1" s="304"/>
      <c r="U1" s="304"/>
      <c r="V1" s="304"/>
      <c r="W1" s="304"/>
      <c r="X1" s="304"/>
      <c r="Y1" s="304"/>
      <c r="Z1" s="137"/>
    </row>
    <row r="2" spans="1:27"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38"/>
    </row>
    <row r="3" spans="1:27" s="2" customFormat="1" ht="57" customHeight="1">
      <c r="A3" s="311" t="s">
        <v>5901</v>
      </c>
      <c r="B3" s="311"/>
      <c r="C3" s="311"/>
      <c r="D3" s="311"/>
      <c r="E3" s="311"/>
      <c r="F3" s="138"/>
      <c r="G3" s="138"/>
      <c r="H3" s="138"/>
      <c r="I3" s="305" t="s">
        <v>5400</v>
      </c>
      <c r="J3" s="305"/>
      <c r="K3" s="305"/>
      <c r="L3" s="305"/>
      <c r="M3" s="305"/>
      <c r="N3" s="306" t="s">
        <v>6417</v>
      </c>
      <c r="O3" s="307"/>
      <c r="P3" s="40"/>
      <c r="Q3" s="40"/>
      <c r="R3" s="140"/>
      <c r="S3" s="140"/>
      <c r="T3" s="140"/>
      <c r="U3" s="140"/>
      <c r="V3" s="140"/>
      <c r="W3" s="312" t="s">
        <v>5401</v>
      </c>
      <c r="X3" s="312"/>
      <c r="Y3" s="312"/>
      <c r="Z3" s="140"/>
      <c r="AA3" s="17"/>
    </row>
    <row r="4" spans="1:27" ht="46.5" customHeight="1">
      <c r="A4" s="141" t="s">
        <v>5402</v>
      </c>
      <c r="B4" s="141" t="s">
        <v>5403</v>
      </c>
      <c r="C4" s="141" t="s">
        <v>5404</v>
      </c>
      <c r="D4" s="141" t="s">
        <v>5405</v>
      </c>
      <c r="E4" s="142" t="s">
        <v>5406</v>
      </c>
      <c r="F4" s="141" t="s">
        <v>5407</v>
      </c>
      <c r="G4" s="142" t="s">
        <v>5408</v>
      </c>
      <c r="H4" s="142" t="s">
        <v>5902</v>
      </c>
      <c r="I4" s="142" t="s">
        <v>5903</v>
      </c>
      <c r="J4" s="142" t="s">
        <v>5411</v>
      </c>
      <c r="K4" s="142" t="s">
        <v>5412</v>
      </c>
      <c r="L4" s="142" t="s">
        <v>5413</v>
      </c>
      <c r="M4" s="142" t="s">
        <v>5414</v>
      </c>
      <c r="N4" s="142" t="s">
        <v>5415</v>
      </c>
      <c r="O4" s="142" t="s">
        <v>5416</v>
      </c>
      <c r="P4" s="142" t="s">
        <v>5417</v>
      </c>
      <c r="Q4" s="142" t="s">
        <v>5418</v>
      </c>
      <c r="R4" s="143" t="s">
        <v>5419</v>
      </c>
      <c r="S4" s="143" t="s">
        <v>5420</v>
      </c>
      <c r="T4" s="143" t="s">
        <v>5421</v>
      </c>
      <c r="U4" s="143" t="s">
        <v>6415</v>
      </c>
      <c r="V4" s="143" t="s">
        <v>5422</v>
      </c>
      <c r="W4" s="143" t="s">
        <v>5423</v>
      </c>
      <c r="X4" s="143" t="s">
        <v>5424</v>
      </c>
      <c r="Y4" s="143" t="s">
        <v>5425</v>
      </c>
      <c r="Z4" s="143" t="s">
        <v>5426</v>
      </c>
    </row>
    <row r="5" spans="1:27" s="64" customFormat="1" ht="48">
      <c r="A5" s="144">
        <v>1</v>
      </c>
      <c r="B5" s="144" t="s">
        <v>5904</v>
      </c>
      <c r="C5" s="144" t="s">
        <v>5905</v>
      </c>
      <c r="D5" s="172" t="s">
        <v>5906</v>
      </c>
      <c r="E5" s="84" t="s">
        <v>5907</v>
      </c>
      <c r="F5" s="85" t="s">
        <v>5908</v>
      </c>
      <c r="G5" s="84" t="s">
        <v>5909</v>
      </c>
      <c r="H5" s="84" t="s">
        <v>5910</v>
      </c>
      <c r="I5" s="86">
        <f>SUM(J5:M5)</f>
        <v>727</v>
      </c>
      <c r="J5" s="86">
        <v>0</v>
      </c>
      <c r="K5" s="86">
        <v>0</v>
      </c>
      <c r="L5" s="86">
        <v>655</v>
      </c>
      <c r="M5" s="86">
        <v>72</v>
      </c>
      <c r="N5" s="172"/>
      <c r="O5" s="172"/>
      <c r="P5" s="172" t="s">
        <v>5911</v>
      </c>
      <c r="Q5" s="172"/>
      <c r="R5" s="172" t="s">
        <v>5912</v>
      </c>
      <c r="S5" s="172" t="s">
        <v>5434</v>
      </c>
      <c r="T5" s="172" t="s">
        <v>5913</v>
      </c>
      <c r="U5" s="145" t="s">
        <v>5914</v>
      </c>
      <c r="V5" s="146" t="s">
        <v>5915</v>
      </c>
      <c r="W5" s="110">
        <f>SUM(X5:Y5)</f>
        <v>2900</v>
      </c>
      <c r="X5" s="110">
        <v>2790</v>
      </c>
      <c r="Y5" s="110">
        <v>110</v>
      </c>
      <c r="Z5" s="145" t="s">
        <v>5916</v>
      </c>
    </row>
    <row r="6" spans="1:27" s="64" customFormat="1" ht="60">
      <c r="A6" s="144">
        <v>2</v>
      </c>
      <c r="B6" s="144" t="s">
        <v>5904</v>
      </c>
      <c r="C6" s="144" t="s">
        <v>5917</v>
      </c>
      <c r="D6" s="172" t="s">
        <v>5918</v>
      </c>
      <c r="E6" s="84" t="s">
        <v>5919</v>
      </c>
      <c r="F6" s="85" t="s">
        <v>5920</v>
      </c>
      <c r="G6" s="84" t="s">
        <v>5921</v>
      </c>
      <c r="H6" s="84" t="s">
        <v>5922</v>
      </c>
      <c r="I6" s="86">
        <f t="shared" ref="I6:I62" si="0">SUM(J6:M6)</f>
        <v>450</v>
      </c>
      <c r="J6" s="86">
        <v>0</v>
      </c>
      <c r="K6" s="86">
        <v>0</v>
      </c>
      <c r="L6" s="86">
        <v>450</v>
      </c>
      <c r="M6" s="86">
        <v>0</v>
      </c>
      <c r="N6" s="172"/>
      <c r="O6" s="172"/>
      <c r="P6" s="172" t="s">
        <v>5911</v>
      </c>
      <c r="Q6" s="172"/>
      <c r="R6" s="147" t="s">
        <v>5923</v>
      </c>
      <c r="S6" s="172" t="s">
        <v>5434</v>
      </c>
      <c r="T6" s="172" t="s">
        <v>5913</v>
      </c>
      <c r="U6" s="145" t="s">
        <v>5914</v>
      </c>
      <c r="V6" s="146" t="s">
        <v>5915</v>
      </c>
      <c r="W6" s="110">
        <f t="shared" ref="W6:W62" si="1">SUM(X6:Y6)</f>
        <v>5</v>
      </c>
      <c r="X6" s="110">
        <v>4</v>
      </c>
      <c r="Y6" s="110">
        <v>1</v>
      </c>
      <c r="Z6" s="172" t="s">
        <v>5916</v>
      </c>
    </row>
    <row r="7" spans="1:27" s="64" customFormat="1" ht="48">
      <c r="A7" s="144">
        <v>3</v>
      </c>
      <c r="B7" s="144" t="s">
        <v>5904</v>
      </c>
      <c r="C7" s="144" t="s">
        <v>5917</v>
      </c>
      <c r="D7" s="172" t="s">
        <v>5924</v>
      </c>
      <c r="E7" s="84" t="s">
        <v>5925</v>
      </c>
      <c r="F7" s="85" t="s">
        <v>5926</v>
      </c>
      <c r="G7" s="84" t="s">
        <v>5927</v>
      </c>
      <c r="H7" s="84" t="s">
        <v>5928</v>
      </c>
      <c r="I7" s="86">
        <f t="shared" si="0"/>
        <v>1071</v>
      </c>
      <c r="J7" s="86">
        <v>0</v>
      </c>
      <c r="K7" s="86">
        <v>40</v>
      </c>
      <c r="L7" s="86">
        <v>971</v>
      </c>
      <c r="M7" s="86">
        <v>60</v>
      </c>
      <c r="N7" s="172"/>
      <c r="O7" s="172"/>
      <c r="P7" s="172" t="s">
        <v>5911</v>
      </c>
      <c r="Q7" s="172"/>
      <c r="R7" s="172" t="s">
        <v>2957</v>
      </c>
      <c r="S7" s="172" t="s">
        <v>90</v>
      </c>
      <c r="T7" s="172" t="s">
        <v>183</v>
      </c>
      <c r="U7" s="172" t="s">
        <v>3377</v>
      </c>
      <c r="V7" s="84" t="s">
        <v>94</v>
      </c>
      <c r="W7" s="110">
        <f t="shared" si="1"/>
        <v>1502</v>
      </c>
      <c r="X7" s="110">
        <v>1492</v>
      </c>
      <c r="Y7" s="110">
        <v>10</v>
      </c>
      <c r="Z7" s="172" t="s">
        <v>65</v>
      </c>
    </row>
    <row r="8" spans="1:27" s="64" customFormat="1" ht="72">
      <c r="A8" s="144">
        <v>4</v>
      </c>
      <c r="B8" s="144" t="s">
        <v>3083</v>
      </c>
      <c r="C8" s="144" t="s">
        <v>3082</v>
      </c>
      <c r="D8" s="172" t="s">
        <v>3084</v>
      </c>
      <c r="E8" s="172" t="s">
        <v>5929</v>
      </c>
      <c r="F8" s="85" t="s">
        <v>4972</v>
      </c>
      <c r="G8" s="84" t="s">
        <v>5930</v>
      </c>
      <c r="H8" s="172" t="s">
        <v>979</v>
      </c>
      <c r="I8" s="86">
        <f t="shared" si="0"/>
        <v>140</v>
      </c>
      <c r="J8" s="86">
        <v>0</v>
      </c>
      <c r="K8" s="171">
        <v>20</v>
      </c>
      <c r="L8" s="171">
        <v>80</v>
      </c>
      <c r="M8" s="171">
        <v>40</v>
      </c>
      <c r="N8" s="172"/>
      <c r="O8" s="172"/>
      <c r="P8" s="172" t="s">
        <v>209</v>
      </c>
      <c r="Q8" s="172"/>
      <c r="R8" s="172" t="s">
        <v>3085</v>
      </c>
      <c r="S8" s="172" t="s">
        <v>90</v>
      </c>
      <c r="T8" s="172" t="s">
        <v>222</v>
      </c>
      <c r="U8" s="172" t="s">
        <v>3377</v>
      </c>
      <c r="V8" s="172" t="s">
        <v>94</v>
      </c>
      <c r="W8" s="110">
        <f t="shared" si="1"/>
        <v>320</v>
      </c>
      <c r="X8" s="81">
        <v>315</v>
      </c>
      <c r="Y8" s="81">
        <v>5</v>
      </c>
      <c r="Z8" s="172" t="s">
        <v>96</v>
      </c>
    </row>
    <row r="9" spans="1:27" s="64" customFormat="1" ht="84">
      <c r="A9" s="144">
        <v>5</v>
      </c>
      <c r="B9" s="144" t="s">
        <v>3083</v>
      </c>
      <c r="C9" s="144" t="s">
        <v>3086</v>
      </c>
      <c r="D9" s="172" t="s">
        <v>3087</v>
      </c>
      <c r="E9" s="172" t="s">
        <v>3088</v>
      </c>
      <c r="F9" s="85" t="s">
        <v>4973</v>
      </c>
      <c r="G9" s="84" t="s">
        <v>3089</v>
      </c>
      <c r="H9" s="172" t="s">
        <v>2476</v>
      </c>
      <c r="I9" s="86">
        <f t="shared" si="0"/>
        <v>150</v>
      </c>
      <c r="J9" s="86">
        <v>0</v>
      </c>
      <c r="K9" s="171">
        <v>20</v>
      </c>
      <c r="L9" s="171">
        <v>90</v>
      </c>
      <c r="M9" s="171">
        <v>40</v>
      </c>
      <c r="N9" s="172"/>
      <c r="O9" s="172"/>
      <c r="P9" s="172" t="s">
        <v>304</v>
      </c>
      <c r="Q9" s="172"/>
      <c r="R9" s="172" t="s">
        <v>3090</v>
      </c>
      <c r="S9" s="172" t="s">
        <v>373</v>
      </c>
      <c r="T9" s="172" t="s">
        <v>374</v>
      </c>
      <c r="U9" s="172" t="s">
        <v>3377</v>
      </c>
      <c r="V9" s="172" t="s">
        <v>529</v>
      </c>
      <c r="W9" s="110">
        <f t="shared" si="1"/>
        <v>180</v>
      </c>
      <c r="X9" s="81">
        <v>179.5</v>
      </c>
      <c r="Y9" s="81">
        <v>0.5</v>
      </c>
      <c r="Z9" s="172" t="s">
        <v>114</v>
      </c>
    </row>
    <row r="10" spans="1:27" s="64" customFormat="1" ht="48">
      <c r="A10" s="144">
        <v>6</v>
      </c>
      <c r="B10" s="144" t="s">
        <v>3083</v>
      </c>
      <c r="C10" s="144" t="s">
        <v>3091</v>
      </c>
      <c r="D10" s="172" t="s">
        <v>3092</v>
      </c>
      <c r="E10" s="172" t="s">
        <v>3093</v>
      </c>
      <c r="F10" s="148" t="s">
        <v>4974</v>
      </c>
      <c r="G10" s="172" t="s">
        <v>3094</v>
      </c>
      <c r="H10" s="172" t="s">
        <v>120</v>
      </c>
      <c r="I10" s="86">
        <f t="shared" si="0"/>
        <v>480</v>
      </c>
      <c r="J10" s="86">
        <v>0</v>
      </c>
      <c r="K10" s="86">
        <v>0</v>
      </c>
      <c r="L10" s="171">
        <v>450</v>
      </c>
      <c r="M10" s="171">
        <v>30</v>
      </c>
      <c r="N10" s="172"/>
      <c r="O10" s="172"/>
      <c r="P10" s="172" t="s">
        <v>304</v>
      </c>
      <c r="Q10" s="172"/>
      <c r="R10" s="172" t="s">
        <v>3095</v>
      </c>
      <c r="S10" s="172" t="s">
        <v>90</v>
      </c>
      <c r="T10" s="172" t="s">
        <v>527</v>
      </c>
      <c r="U10" s="172" t="s">
        <v>5931</v>
      </c>
      <c r="V10" s="172" t="s">
        <v>5038</v>
      </c>
      <c r="W10" s="110">
        <f t="shared" si="1"/>
        <v>90</v>
      </c>
      <c r="X10" s="81">
        <v>89</v>
      </c>
      <c r="Y10" s="81">
        <v>1</v>
      </c>
      <c r="Z10" s="172" t="s">
        <v>3096</v>
      </c>
    </row>
    <row r="11" spans="1:27" s="64" customFormat="1" ht="72">
      <c r="A11" s="144">
        <v>7</v>
      </c>
      <c r="B11" s="144" t="s">
        <v>3083</v>
      </c>
      <c r="C11" s="144" t="s">
        <v>3091</v>
      </c>
      <c r="D11" s="172" t="s">
        <v>5932</v>
      </c>
      <c r="E11" s="172" t="s">
        <v>5933</v>
      </c>
      <c r="F11" s="148" t="s">
        <v>5934</v>
      </c>
      <c r="G11" s="172" t="s">
        <v>3097</v>
      </c>
      <c r="H11" s="172" t="s">
        <v>5890</v>
      </c>
      <c r="I11" s="86">
        <f t="shared" si="0"/>
        <v>4020</v>
      </c>
      <c r="J11" s="86">
        <v>0</v>
      </c>
      <c r="K11" s="86">
        <v>20</v>
      </c>
      <c r="L11" s="171">
        <v>600</v>
      </c>
      <c r="M11" s="171">
        <v>3400</v>
      </c>
      <c r="N11" s="172"/>
      <c r="O11" s="172"/>
      <c r="P11" s="172" t="s">
        <v>304</v>
      </c>
      <c r="Q11" s="172" t="s">
        <v>5935</v>
      </c>
      <c r="R11" s="172" t="s">
        <v>3098</v>
      </c>
      <c r="S11" s="172" t="s">
        <v>5035</v>
      </c>
      <c r="T11" s="172" t="s">
        <v>527</v>
      </c>
      <c r="U11" s="172" t="s">
        <v>5931</v>
      </c>
      <c r="V11" s="172" t="s">
        <v>5038</v>
      </c>
      <c r="W11" s="110">
        <f t="shared" si="1"/>
        <v>667</v>
      </c>
      <c r="X11" s="81">
        <v>647</v>
      </c>
      <c r="Y11" s="81">
        <v>20</v>
      </c>
      <c r="Z11" s="172" t="s">
        <v>3099</v>
      </c>
    </row>
    <row r="12" spans="1:27" s="64" customFormat="1" ht="72">
      <c r="A12" s="144">
        <v>8</v>
      </c>
      <c r="B12" s="144" t="s">
        <v>3083</v>
      </c>
      <c r="C12" s="144" t="s">
        <v>3091</v>
      </c>
      <c r="D12" s="172" t="s">
        <v>5936</v>
      </c>
      <c r="E12" s="172" t="s">
        <v>5937</v>
      </c>
      <c r="F12" s="148" t="s">
        <v>5938</v>
      </c>
      <c r="G12" s="172" t="s">
        <v>3100</v>
      </c>
      <c r="H12" s="172" t="s">
        <v>5939</v>
      </c>
      <c r="I12" s="86">
        <f t="shared" si="0"/>
        <v>1185</v>
      </c>
      <c r="J12" s="86">
        <v>0</v>
      </c>
      <c r="K12" s="86">
        <v>20</v>
      </c>
      <c r="L12" s="171">
        <v>875</v>
      </c>
      <c r="M12" s="171">
        <v>290</v>
      </c>
      <c r="N12" s="172"/>
      <c r="O12" s="172"/>
      <c r="P12" s="172" t="s">
        <v>247</v>
      </c>
      <c r="Q12" s="172"/>
      <c r="R12" s="172" t="s">
        <v>5940</v>
      </c>
      <c r="S12" s="172" t="s">
        <v>5035</v>
      </c>
      <c r="T12" s="172" t="s">
        <v>501</v>
      </c>
      <c r="U12" s="172" t="s">
        <v>5941</v>
      </c>
      <c r="V12" s="172" t="s">
        <v>1924</v>
      </c>
      <c r="W12" s="110">
        <f t="shared" si="1"/>
        <v>440</v>
      </c>
      <c r="X12" s="81">
        <v>433</v>
      </c>
      <c r="Y12" s="81">
        <v>7</v>
      </c>
      <c r="Z12" s="172" t="s">
        <v>3099</v>
      </c>
    </row>
    <row r="13" spans="1:27" s="64" customFormat="1" ht="60">
      <c r="A13" s="144">
        <v>9</v>
      </c>
      <c r="B13" s="144" t="s">
        <v>3083</v>
      </c>
      <c r="C13" s="144" t="s">
        <v>3091</v>
      </c>
      <c r="D13" s="172" t="s">
        <v>5942</v>
      </c>
      <c r="E13" s="172" t="s">
        <v>5933</v>
      </c>
      <c r="F13" s="148" t="s">
        <v>5943</v>
      </c>
      <c r="G13" s="172" t="s">
        <v>5944</v>
      </c>
      <c r="H13" s="172" t="s">
        <v>5945</v>
      </c>
      <c r="I13" s="86">
        <f t="shared" si="0"/>
        <v>1050</v>
      </c>
      <c r="J13" s="171">
        <v>600</v>
      </c>
      <c r="K13" s="171">
        <v>200</v>
      </c>
      <c r="L13" s="171">
        <v>100</v>
      </c>
      <c r="M13" s="171">
        <v>150</v>
      </c>
      <c r="N13" s="172" t="s">
        <v>5305</v>
      </c>
      <c r="O13" s="172" t="s">
        <v>5946</v>
      </c>
      <c r="P13" s="172" t="s">
        <v>247</v>
      </c>
      <c r="Q13" s="172"/>
      <c r="R13" s="172" t="s">
        <v>3101</v>
      </c>
      <c r="S13" s="172" t="s">
        <v>5035</v>
      </c>
      <c r="T13" s="172" t="s">
        <v>501</v>
      </c>
      <c r="U13" s="172" t="s">
        <v>5947</v>
      </c>
      <c r="V13" s="172" t="s">
        <v>376</v>
      </c>
      <c r="W13" s="110">
        <f t="shared" si="1"/>
        <v>510</v>
      </c>
      <c r="X13" s="81">
        <v>504</v>
      </c>
      <c r="Y13" s="81">
        <v>6</v>
      </c>
      <c r="Z13" s="172" t="s">
        <v>3102</v>
      </c>
    </row>
    <row r="14" spans="1:27" s="64" customFormat="1" ht="36">
      <c r="A14" s="144">
        <v>10</v>
      </c>
      <c r="B14" s="144" t="s">
        <v>5948</v>
      </c>
      <c r="C14" s="144" t="s">
        <v>5949</v>
      </c>
      <c r="D14" s="172" t="s">
        <v>5950</v>
      </c>
      <c r="E14" s="172" t="s">
        <v>5951</v>
      </c>
      <c r="F14" s="148" t="s">
        <v>5952</v>
      </c>
      <c r="G14" s="172" t="s">
        <v>5953</v>
      </c>
      <c r="H14" s="172" t="s">
        <v>5954</v>
      </c>
      <c r="I14" s="86">
        <f t="shared" si="0"/>
        <v>1115</v>
      </c>
      <c r="J14" s="171">
        <v>110</v>
      </c>
      <c r="K14" s="171">
        <v>55</v>
      </c>
      <c r="L14" s="171">
        <v>950</v>
      </c>
      <c r="M14" s="86">
        <v>0</v>
      </c>
      <c r="N14" s="172" t="s">
        <v>5305</v>
      </c>
      <c r="O14" s="172" t="s">
        <v>5306</v>
      </c>
      <c r="P14" s="172" t="s">
        <v>5265</v>
      </c>
      <c r="Q14" s="172" t="s">
        <v>5463</v>
      </c>
      <c r="R14" s="172" t="s">
        <v>5955</v>
      </c>
      <c r="S14" s="172" t="s">
        <v>5035</v>
      </c>
      <c r="T14" s="172" t="s">
        <v>5636</v>
      </c>
      <c r="U14" s="172" t="s">
        <v>5956</v>
      </c>
      <c r="V14" s="172" t="s">
        <v>5038</v>
      </c>
      <c r="W14" s="110">
        <f t="shared" si="1"/>
        <v>355</v>
      </c>
      <c r="X14" s="81">
        <v>322</v>
      </c>
      <c r="Y14" s="81">
        <v>33</v>
      </c>
      <c r="Z14" s="172" t="s">
        <v>5039</v>
      </c>
    </row>
    <row r="15" spans="1:27" s="64" customFormat="1" ht="60">
      <c r="A15" s="144">
        <v>11</v>
      </c>
      <c r="B15" s="144" t="s">
        <v>5948</v>
      </c>
      <c r="C15" s="144" t="s">
        <v>5949</v>
      </c>
      <c r="D15" s="172" t="s">
        <v>5957</v>
      </c>
      <c r="E15" s="172" t="s">
        <v>5958</v>
      </c>
      <c r="F15" s="149" t="s">
        <v>5959</v>
      </c>
      <c r="G15" s="172" t="s">
        <v>5960</v>
      </c>
      <c r="H15" s="172" t="s">
        <v>5752</v>
      </c>
      <c r="I15" s="86">
        <f t="shared" si="0"/>
        <v>50</v>
      </c>
      <c r="J15" s="86">
        <v>0</v>
      </c>
      <c r="K15" s="86">
        <v>0</v>
      </c>
      <c r="L15" s="171">
        <v>34</v>
      </c>
      <c r="M15" s="171">
        <v>16</v>
      </c>
      <c r="N15" s="172"/>
      <c r="O15" s="172"/>
      <c r="P15" s="172" t="s">
        <v>247</v>
      </c>
      <c r="Q15" s="172"/>
      <c r="R15" s="172" t="s">
        <v>5961</v>
      </c>
      <c r="S15" s="172" t="s">
        <v>5035</v>
      </c>
      <c r="T15" s="172" t="s">
        <v>5138</v>
      </c>
      <c r="U15" s="172" t="s">
        <v>5128</v>
      </c>
      <c r="V15" s="172" t="s">
        <v>5038</v>
      </c>
      <c r="W15" s="110">
        <f t="shared" si="1"/>
        <v>20</v>
      </c>
      <c r="X15" s="81">
        <v>19</v>
      </c>
      <c r="Y15" s="81">
        <v>1</v>
      </c>
      <c r="Z15" s="172" t="s">
        <v>5310</v>
      </c>
    </row>
    <row r="16" spans="1:27" s="64" customFormat="1" ht="48">
      <c r="A16" s="144">
        <v>12</v>
      </c>
      <c r="B16" s="144" t="s">
        <v>3083</v>
      </c>
      <c r="C16" s="144" t="s">
        <v>5962</v>
      </c>
      <c r="D16" s="172" t="s">
        <v>5963</v>
      </c>
      <c r="E16" s="172" t="s">
        <v>5964</v>
      </c>
      <c r="F16" s="148" t="s">
        <v>5965</v>
      </c>
      <c r="G16" s="172" t="s">
        <v>5966</v>
      </c>
      <c r="H16" s="172" t="s">
        <v>5967</v>
      </c>
      <c r="I16" s="86">
        <f t="shared" si="0"/>
        <v>390</v>
      </c>
      <c r="J16" s="86">
        <v>0</v>
      </c>
      <c r="K16" s="86">
        <v>0</v>
      </c>
      <c r="L16" s="171">
        <v>390</v>
      </c>
      <c r="M16" s="86">
        <v>0</v>
      </c>
      <c r="N16" s="172"/>
      <c r="O16" s="172"/>
      <c r="P16" s="172" t="s">
        <v>247</v>
      </c>
      <c r="Q16" s="172"/>
      <c r="R16" s="172" t="s">
        <v>5968</v>
      </c>
      <c r="S16" s="172" t="s">
        <v>5035</v>
      </c>
      <c r="T16" s="172" t="s">
        <v>5636</v>
      </c>
      <c r="U16" s="172" t="s">
        <v>5969</v>
      </c>
      <c r="V16" s="172" t="s">
        <v>5038</v>
      </c>
      <c r="W16" s="110">
        <f t="shared" si="1"/>
        <v>150</v>
      </c>
      <c r="X16" s="81">
        <v>150</v>
      </c>
      <c r="Y16" s="81">
        <v>0</v>
      </c>
      <c r="Z16" s="172" t="s">
        <v>5310</v>
      </c>
    </row>
    <row r="17" spans="1:26" s="64" customFormat="1" ht="60">
      <c r="A17" s="144">
        <v>13</v>
      </c>
      <c r="B17" s="144" t="s">
        <v>3083</v>
      </c>
      <c r="C17" s="144" t="s">
        <v>3103</v>
      </c>
      <c r="D17" s="172" t="s">
        <v>5970</v>
      </c>
      <c r="E17" s="172" t="s">
        <v>5971</v>
      </c>
      <c r="F17" s="149" t="s">
        <v>5972</v>
      </c>
      <c r="G17" s="172" t="s">
        <v>5973</v>
      </c>
      <c r="H17" s="150" t="s">
        <v>5974</v>
      </c>
      <c r="I17" s="86">
        <f t="shared" si="0"/>
        <v>214</v>
      </c>
      <c r="J17" s="86">
        <v>0</v>
      </c>
      <c r="K17" s="86">
        <v>4</v>
      </c>
      <c r="L17" s="171">
        <v>200</v>
      </c>
      <c r="M17" s="171">
        <v>10</v>
      </c>
      <c r="N17" s="172"/>
      <c r="O17" s="172"/>
      <c r="P17" s="172" t="s">
        <v>209</v>
      </c>
      <c r="Q17" s="172"/>
      <c r="R17" s="172" t="s">
        <v>5975</v>
      </c>
      <c r="S17" s="172" t="s">
        <v>5325</v>
      </c>
      <c r="T17" s="172" t="s">
        <v>5326</v>
      </c>
      <c r="U17" s="172" t="s">
        <v>5976</v>
      </c>
      <c r="V17" s="172" t="s">
        <v>5977</v>
      </c>
      <c r="W17" s="110">
        <f t="shared" si="1"/>
        <v>170</v>
      </c>
      <c r="X17" s="73">
        <v>170</v>
      </c>
      <c r="Y17" s="151">
        <v>0</v>
      </c>
      <c r="Z17" s="147" t="s">
        <v>5978</v>
      </c>
    </row>
    <row r="18" spans="1:26" s="64" customFormat="1" ht="36">
      <c r="A18" s="144">
        <v>14</v>
      </c>
      <c r="B18" s="144" t="s">
        <v>3083</v>
      </c>
      <c r="C18" s="144" t="s">
        <v>3103</v>
      </c>
      <c r="D18" s="172" t="s">
        <v>5979</v>
      </c>
      <c r="E18" s="172" t="s">
        <v>5980</v>
      </c>
      <c r="F18" s="148" t="s">
        <v>5981</v>
      </c>
      <c r="G18" s="172" t="s">
        <v>5982</v>
      </c>
      <c r="H18" s="150" t="s">
        <v>5983</v>
      </c>
      <c r="I18" s="86">
        <f t="shared" si="0"/>
        <v>120</v>
      </c>
      <c r="J18" s="86">
        <v>0</v>
      </c>
      <c r="K18" s="171">
        <v>20</v>
      </c>
      <c r="L18" s="171">
        <v>90</v>
      </c>
      <c r="M18" s="171">
        <v>10</v>
      </c>
      <c r="N18" s="172"/>
      <c r="O18" s="172"/>
      <c r="P18" s="172" t="s">
        <v>209</v>
      </c>
      <c r="Q18" s="172"/>
      <c r="R18" s="172" t="s">
        <v>5984</v>
      </c>
      <c r="S18" s="172" t="s">
        <v>5325</v>
      </c>
      <c r="T18" s="172" t="s">
        <v>5326</v>
      </c>
      <c r="U18" s="172" t="s">
        <v>5976</v>
      </c>
      <c r="V18" s="172" t="s">
        <v>5977</v>
      </c>
      <c r="W18" s="110">
        <f t="shared" si="1"/>
        <v>180</v>
      </c>
      <c r="X18" s="73">
        <v>180</v>
      </c>
      <c r="Y18" s="151">
        <v>0</v>
      </c>
      <c r="Z18" s="147" t="s">
        <v>5985</v>
      </c>
    </row>
    <row r="19" spans="1:26" s="64" customFormat="1" ht="72">
      <c r="A19" s="144">
        <v>15</v>
      </c>
      <c r="B19" s="144" t="s">
        <v>5986</v>
      </c>
      <c r="C19" s="144" t="s">
        <v>5987</v>
      </c>
      <c r="D19" s="172" t="s">
        <v>5988</v>
      </c>
      <c r="E19" s="172" t="s">
        <v>5989</v>
      </c>
      <c r="F19" s="148" t="s">
        <v>5990</v>
      </c>
      <c r="G19" s="172" t="s">
        <v>5991</v>
      </c>
      <c r="H19" s="172" t="s">
        <v>5992</v>
      </c>
      <c r="I19" s="86">
        <f t="shared" si="0"/>
        <v>240</v>
      </c>
      <c r="J19" s="86">
        <v>0</v>
      </c>
      <c r="K19" s="86">
        <v>0</v>
      </c>
      <c r="L19" s="171">
        <v>240</v>
      </c>
      <c r="M19" s="86">
        <v>0</v>
      </c>
      <c r="N19" s="172"/>
      <c r="O19" s="172"/>
      <c r="P19" s="172" t="s">
        <v>209</v>
      </c>
      <c r="Q19" s="172"/>
      <c r="R19" s="172" t="s">
        <v>5993</v>
      </c>
      <c r="S19" s="172" t="s">
        <v>5994</v>
      </c>
      <c r="T19" s="172" t="s">
        <v>5326</v>
      </c>
      <c r="U19" s="172" t="s">
        <v>5976</v>
      </c>
      <c r="V19" s="172" t="s">
        <v>502</v>
      </c>
      <c r="W19" s="110">
        <f t="shared" si="1"/>
        <v>70</v>
      </c>
      <c r="X19" s="81">
        <v>70</v>
      </c>
      <c r="Y19" s="81">
        <v>0</v>
      </c>
      <c r="Z19" s="172" t="s">
        <v>5995</v>
      </c>
    </row>
    <row r="20" spans="1:26" s="64" customFormat="1" ht="84">
      <c r="A20" s="144">
        <v>16</v>
      </c>
      <c r="B20" s="144" t="s">
        <v>3083</v>
      </c>
      <c r="C20" s="144" t="s">
        <v>5996</v>
      </c>
      <c r="D20" s="172" t="s">
        <v>5997</v>
      </c>
      <c r="E20" s="172" t="s">
        <v>5998</v>
      </c>
      <c r="F20" s="152" t="s">
        <v>5999</v>
      </c>
      <c r="G20" s="172" t="s">
        <v>6000</v>
      </c>
      <c r="H20" s="172" t="s">
        <v>5369</v>
      </c>
      <c r="I20" s="86">
        <f t="shared" si="0"/>
        <v>479</v>
      </c>
      <c r="J20" s="86">
        <v>0</v>
      </c>
      <c r="K20" s="86">
        <v>0</v>
      </c>
      <c r="L20" s="171">
        <v>325</v>
      </c>
      <c r="M20" s="171">
        <v>154</v>
      </c>
      <c r="N20" s="172"/>
      <c r="O20" s="172"/>
      <c r="P20" s="172" t="s">
        <v>209</v>
      </c>
      <c r="Q20" s="172"/>
      <c r="R20" s="172" t="s">
        <v>6001</v>
      </c>
      <c r="S20" s="172" t="s">
        <v>5035</v>
      </c>
      <c r="T20" s="172" t="s">
        <v>5138</v>
      </c>
      <c r="U20" s="172" t="s">
        <v>5128</v>
      </c>
      <c r="V20" s="172" t="s">
        <v>5269</v>
      </c>
      <c r="W20" s="110">
        <f t="shared" si="1"/>
        <v>476</v>
      </c>
      <c r="X20" s="81">
        <v>473</v>
      </c>
      <c r="Y20" s="81">
        <v>3</v>
      </c>
      <c r="Z20" s="172" t="s">
        <v>5642</v>
      </c>
    </row>
    <row r="21" spans="1:26" s="64" customFormat="1" ht="72">
      <c r="A21" s="144">
        <v>17</v>
      </c>
      <c r="B21" s="144" t="s">
        <v>3083</v>
      </c>
      <c r="C21" s="144" t="s">
        <v>6002</v>
      </c>
      <c r="D21" s="172" t="s">
        <v>6003</v>
      </c>
      <c r="E21" s="172" t="s">
        <v>6004</v>
      </c>
      <c r="F21" s="152" t="s">
        <v>6005</v>
      </c>
      <c r="G21" s="172" t="s">
        <v>6006</v>
      </c>
      <c r="H21" s="172" t="s">
        <v>6007</v>
      </c>
      <c r="I21" s="86">
        <f t="shared" si="0"/>
        <v>1220</v>
      </c>
      <c r="J21" s="86">
        <v>0</v>
      </c>
      <c r="K21" s="86">
        <v>20</v>
      </c>
      <c r="L21" s="171">
        <v>1140</v>
      </c>
      <c r="M21" s="171">
        <v>60</v>
      </c>
      <c r="N21" s="172"/>
      <c r="O21" s="172"/>
      <c r="P21" s="172" t="s">
        <v>304</v>
      </c>
      <c r="Q21" s="75"/>
      <c r="R21" s="172" t="s">
        <v>6008</v>
      </c>
      <c r="S21" s="172" t="s">
        <v>5035</v>
      </c>
      <c r="T21" s="172" t="s">
        <v>5127</v>
      </c>
      <c r="U21" s="172" t="s">
        <v>6009</v>
      </c>
      <c r="V21" s="172" t="s">
        <v>5269</v>
      </c>
      <c r="W21" s="110">
        <f t="shared" si="1"/>
        <v>805</v>
      </c>
      <c r="X21" s="81">
        <v>805</v>
      </c>
      <c r="Y21" s="81">
        <v>0</v>
      </c>
      <c r="Z21" s="172" t="s">
        <v>6010</v>
      </c>
    </row>
    <row r="22" spans="1:26" s="64" customFormat="1" ht="48">
      <c r="A22" s="144">
        <v>18</v>
      </c>
      <c r="B22" s="144" t="s">
        <v>3083</v>
      </c>
      <c r="C22" s="144" t="s">
        <v>6002</v>
      </c>
      <c r="D22" s="172" t="s">
        <v>6011</v>
      </c>
      <c r="E22" s="172" t="s">
        <v>6012</v>
      </c>
      <c r="F22" s="152" t="s">
        <v>6013</v>
      </c>
      <c r="G22" s="172" t="s">
        <v>6014</v>
      </c>
      <c r="H22" s="172" t="s">
        <v>6015</v>
      </c>
      <c r="I22" s="86">
        <f t="shared" si="0"/>
        <v>120</v>
      </c>
      <c r="J22" s="86">
        <v>0</v>
      </c>
      <c r="K22" s="86">
        <v>0</v>
      </c>
      <c r="L22" s="171">
        <v>100</v>
      </c>
      <c r="M22" s="171">
        <v>20</v>
      </c>
      <c r="N22" s="172"/>
      <c r="O22" s="172"/>
      <c r="P22" s="172" t="s">
        <v>209</v>
      </c>
      <c r="Q22" s="172"/>
      <c r="R22" s="172" t="s">
        <v>6016</v>
      </c>
      <c r="S22" s="172" t="s">
        <v>5035</v>
      </c>
      <c r="T22" s="172" t="s">
        <v>5138</v>
      </c>
      <c r="U22" s="172" t="s">
        <v>5128</v>
      </c>
      <c r="V22" s="172" t="s">
        <v>5269</v>
      </c>
      <c r="W22" s="110">
        <v>59</v>
      </c>
      <c r="X22" s="81">
        <v>59</v>
      </c>
      <c r="Y22" s="81">
        <v>0</v>
      </c>
      <c r="Z22" s="172" t="s">
        <v>6017</v>
      </c>
    </row>
    <row r="23" spans="1:26" s="64" customFormat="1" ht="64.5" customHeight="1">
      <c r="A23" s="144">
        <v>19</v>
      </c>
      <c r="B23" s="144" t="s">
        <v>5948</v>
      </c>
      <c r="C23" s="144" t="s">
        <v>6002</v>
      </c>
      <c r="D23" s="172" t="s">
        <v>6018</v>
      </c>
      <c r="E23" s="172" t="s">
        <v>6019</v>
      </c>
      <c r="F23" s="152" t="s">
        <v>6020</v>
      </c>
      <c r="G23" s="172" t="s">
        <v>6021</v>
      </c>
      <c r="H23" s="172" t="s">
        <v>6022</v>
      </c>
      <c r="I23" s="86">
        <f t="shared" si="0"/>
        <v>300</v>
      </c>
      <c r="J23" s="86">
        <v>0</v>
      </c>
      <c r="K23" s="86">
        <v>0</v>
      </c>
      <c r="L23" s="171">
        <v>300</v>
      </c>
      <c r="M23" s="86">
        <v>0</v>
      </c>
      <c r="N23" s="172"/>
      <c r="O23" s="172"/>
      <c r="P23" s="172" t="s">
        <v>5265</v>
      </c>
      <c r="Q23" s="172"/>
      <c r="R23" s="172" t="s">
        <v>6023</v>
      </c>
      <c r="S23" s="172" t="s">
        <v>5035</v>
      </c>
      <c r="T23" s="172" t="s">
        <v>5636</v>
      </c>
      <c r="U23" s="172" t="s">
        <v>5128</v>
      </c>
      <c r="V23" s="172" t="s">
        <v>5038</v>
      </c>
      <c r="W23" s="110">
        <f t="shared" si="1"/>
        <v>29.7</v>
      </c>
      <c r="X23" s="81">
        <v>29.7</v>
      </c>
      <c r="Y23" s="81">
        <v>0</v>
      </c>
      <c r="Z23" s="172" t="s">
        <v>6024</v>
      </c>
    </row>
    <row r="24" spans="1:26" s="64" customFormat="1" ht="60">
      <c r="A24" s="144">
        <v>20</v>
      </c>
      <c r="B24" s="144" t="s">
        <v>3083</v>
      </c>
      <c r="C24" s="144" t="s">
        <v>6002</v>
      </c>
      <c r="D24" s="172" t="s">
        <v>6025</v>
      </c>
      <c r="E24" s="172" t="s">
        <v>6026</v>
      </c>
      <c r="F24" s="152" t="s">
        <v>6027</v>
      </c>
      <c r="G24" s="172" t="s">
        <v>6028</v>
      </c>
      <c r="H24" s="172" t="s">
        <v>5396</v>
      </c>
      <c r="I24" s="86">
        <f t="shared" si="0"/>
        <v>50</v>
      </c>
      <c r="J24" s="86">
        <v>0</v>
      </c>
      <c r="K24" s="86">
        <v>0</v>
      </c>
      <c r="L24" s="171">
        <v>12.5</v>
      </c>
      <c r="M24" s="171">
        <v>37.5</v>
      </c>
      <c r="N24" s="172"/>
      <c r="O24" s="172"/>
      <c r="P24" s="172" t="s">
        <v>247</v>
      </c>
      <c r="Q24" s="172"/>
      <c r="R24" s="172" t="s">
        <v>6029</v>
      </c>
      <c r="S24" s="172" t="s">
        <v>5035</v>
      </c>
      <c r="T24" s="172" t="s">
        <v>5138</v>
      </c>
      <c r="U24" s="172" t="s">
        <v>5128</v>
      </c>
      <c r="V24" s="172" t="s">
        <v>5038</v>
      </c>
      <c r="W24" s="110" t="s">
        <v>5478</v>
      </c>
      <c r="X24" s="110" t="s">
        <v>5478</v>
      </c>
      <c r="Y24" s="110" t="s">
        <v>5478</v>
      </c>
      <c r="Z24" s="172" t="s">
        <v>5342</v>
      </c>
    </row>
    <row r="25" spans="1:26" s="64" customFormat="1" ht="72">
      <c r="A25" s="144">
        <v>21</v>
      </c>
      <c r="B25" s="144" t="s">
        <v>5948</v>
      </c>
      <c r="C25" s="144" t="s">
        <v>6030</v>
      </c>
      <c r="D25" s="172" t="s">
        <v>6031</v>
      </c>
      <c r="E25" s="172" t="s">
        <v>6032</v>
      </c>
      <c r="F25" s="148" t="s">
        <v>6033</v>
      </c>
      <c r="G25" s="172" t="s">
        <v>6034</v>
      </c>
      <c r="H25" s="172" t="s">
        <v>6035</v>
      </c>
      <c r="I25" s="86">
        <f t="shared" si="0"/>
        <v>2105</v>
      </c>
      <c r="J25" s="171">
        <v>80</v>
      </c>
      <c r="K25" s="171">
        <v>40</v>
      </c>
      <c r="L25" s="171">
        <v>1985</v>
      </c>
      <c r="M25" s="86">
        <v>0</v>
      </c>
      <c r="N25" s="172" t="s">
        <v>5305</v>
      </c>
      <c r="O25" s="172" t="s">
        <v>5306</v>
      </c>
      <c r="P25" s="172" t="s">
        <v>5265</v>
      </c>
      <c r="Q25" s="172" t="s">
        <v>5307</v>
      </c>
      <c r="R25" s="172" t="s">
        <v>6036</v>
      </c>
      <c r="S25" s="172" t="s">
        <v>5035</v>
      </c>
      <c r="T25" s="172" t="s">
        <v>5636</v>
      </c>
      <c r="U25" s="172" t="s">
        <v>6037</v>
      </c>
      <c r="V25" s="172" t="s">
        <v>5129</v>
      </c>
      <c r="W25" s="110">
        <f t="shared" si="1"/>
        <v>408</v>
      </c>
      <c r="X25" s="81">
        <v>408</v>
      </c>
      <c r="Y25" s="81">
        <v>0</v>
      </c>
      <c r="Z25" s="172" t="s">
        <v>5458</v>
      </c>
    </row>
    <row r="26" spans="1:26" s="64" customFormat="1" ht="48">
      <c r="A26" s="144">
        <v>22</v>
      </c>
      <c r="B26" s="144" t="s">
        <v>3083</v>
      </c>
      <c r="C26" s="144" t="s">
        <v>6038</v>
      </c>
      <c r="D26" s="172" t="s">
        <v>6039</v>
      </c>
      <c r="E26" s="172" t="s">
        <v>6040</v>
      </c>
      <c r="F26" s="148" t="s">
        <v>6041</v>
      </c>
      <c r="G26" s="172" t="s">
        <v>6042</v>
      </c>
      <c r="H26" s="172" t="s">
        <v>6043</v>
      </c>
      <c r="I26" s="86">
        <f t="shared" si="0"/>
        <v>646</v>
      </c>
      <c r="J26" s="86">
        <v>0</v>
      </c>
      <c r="K26" s="171">
        <v>36</v>
      </c>
      <c r="L26" s="171">
        <v>480</v>
      </c>
      <c r="M26" s="171">
        <v>130</v>
      </c>
      <c r="N26" s="172"/>
      <c r="O26" s="172"/>
      <c r="P26" s="172" t="s">
        <v>271</v>
      </c>
      <c r="Q26" s="153" ph="1"/>
      <c r="R26" s="172" t="s">
        <v>5822</v>
      </c>
      <c r="S26" s="172" t="s">
        <v>5035</v>
      </c>
      <c r="T26" s="172" t="s">
        <v>6044</v>
      </c>
      <c r="U26" s="172" t="s">
        <v>5128</v>
      </c>
      <c r="V26" s="172" t="s">
        <v>6045</v>
      </c>
      <c r="W26" s="110">
        <f t="shared" si="1"/>
        <v>130</v>
      </c>
      <c r="X26" s="81">
        <v>130</v>
      </c>
      <c r="Y26" s="81">
        <v>0</v>
      </c>
      <c r="Z26" s="172" t="s">
        <v>6046</v>
      </c>
    </row>
    <row r="27" spans="1:26" s="64" customFormat="1" ht="60">
      <c r="A27" s="144">
        <v>23</v>
      </c>
      <c r="B27" s="144" t="s">
        <v>3083</v>
      </c>
      <c r="C27" s="144" t="s">
        <v>6038</v>
      </c>
      <c r="D27" s="172" t="s">
        <v>6047</v>
      </c>
      <c r="E27" s="172" t="s">
        <v>6048</v>
      </c>
      <c r="F27" s="148" t="s">
        <v>6049</v>
      </c>
      <c r="G27" s="172" t="s">
        <v>6050</v>
      </c>
      <c r="H27" s="172" t="s">
        <v>6051</v>
      </c>
      <c r="I27" s="86">
        <f t="shared" si="0"/>
        <v>368</v>
      </c>
      <c r="J27" s="86">
        <v>0</v>
      </c>
      <c r="K27" s="86">
        <v>60</v>
      </c>
      <c r="L27" s="171">
        <v>308</v>
      </c>
      <c r="M27" s="86">
        <v>0</v>
      </c>
      <c r="N27" s="172"/>
      <c r="O27" s="172"/>
      <c r="P27" s="172" t="s">
        <v>247</v>
      </c>
      <c r="Q27" s="153" ph="1"/>
      <c r="R27" s="172" t="s">
        <v>6052</v>
      </c>
      <c r="S27" s="172" t="s">
        <v>5047</v>
      </c>
      <c r="T27" s="172" t="s">
        <v>6053</v>
      </c>
      <c r="U27" s="172" t="s">
        <v>5049</v>
      </c>
      <c r="V27" s="172" t="s">
        <v>6054</v>
      </c>
      <c r="W27" s="110">
        <f t="shared" si="1"/>
        <v>233.5</v>
      </c>
      <c r="X27" s="81">
        <v>229</v>
      </c>
      <c r="Y27" s="81">
        <v>4.5</v>
      </c>
      <c r="Z27" s="172" t="s">
        <v>6055</v>
      </c>
    </row>
    <row r="28" spans="1:26" s="64" customFormat="1" ht="48">
      <c r="A28" s="144">
        <v>24</v>
      </c>
      <c r="B28" s="144" t="s">
        <v>3083</v>
      </c>
      <c r="C28" s="144" t="s">
        <v>6056</v>
      </c>
      <c r="D28" s="172" t="s">
        <v>6057</v>
      </c>
      <c r="E28" s="172" t="s">
        <v>6058</v>
      </c>
      <c r="F28" s="148" t="s">
        <v>6059</v>
      </c>
      <c r="G28" s="172" t="s">
        <v>6060</v>
      </c>
      <c r="H28" s="172" t="s">
        <v>6061</v>
      </c>
      <c r="I28" s="86">
        <f t="shared" si="0"/>
        <v>160</v>
      </c>
      <c r="J28" s="86">
        <v>0</v>
      </c>
      <c r="K28" s="86">
        <v>0</v>
      </c>
      <c r="L28" s="171">
        <v>160</v>
      </c>
      <c r="M28" s="86">
        <v>0</v>
      </c>
      <c r="N28" s="172"/>
      <c r="O28" s="172"/>
      <c r="P28" s="172" t="s">
        <v>304</v>
      </c>
      <c r="Q28" s="153" ph="1"/>
      <c r="R28" s="172" t="s">
        <v>6062</v>
      </c>
      <c r="S28" s="172" t="s">
        <v>5047</v>
      </c>
      <c r="T28" s="172" t="s">
        <v>6063</v>
      </c>
      <c r="U28" s="172" t="s">
        <v>6064</v>
      </c>
      <c r="V28" s="172" t="s">
        <v>6065</v>
      </c>
      <c r="W28" s="110">
        <f t="shared" si="1"/>
        <v>6</v>
      </c>
      <c r="X28" s="81">
        <v>6</v>
      </c>
      <c r="Y28" s="81">
        <v>0</v>
      </c>
      <c r="Z28" s="172" t="s">
        <v>6066</v>
      </c>
    </row>
    <row r="29" spans="1:26" s="64" customFormat="1" ht="45.75" customHeight="1">
      <c r="A29" s="144">
        <v>25</v>
      </c>
      <c r="B29" s="144" t="s">
        <v>6067</v>
      </c>
      <c r="C29" s="144" t="s">
        <v>6056</v>
      </c>
      <c r="D29" s="172" t="s">
        <v>6068</v>
      </c>
      <c r="E29" s="172" t="s">
        <v>6069</v>
      </c>
      <c r="F29" s="148" t="s">
        <v>6070</v>
      </c>
      <c r="G29" s="172" t="s">
        <v>6071</v>
      </c>
      <c r="H29" s="172" t="s">
        <v>6072</v>
      </c>
      <c r="I29" s="86">
        <f t="shared" si="0"/>
        <v>85</v>
      </c>
      <c r="J29" s="86">
        <v>0</v>
      </c>
      <c r="K29" s="171">
        <v>15</v>
      </c>
      <c r="L29" s="171">
        <v>40</v>
      </c>
      <c r="M29" s="171">
        <v>30</v>
      </c>
      <c r="N29" s="172"/>
      <c r="O29" s="172"/>
      <c r="P29" s="172" t="s">
        <v>5093</v>
      </c>
      <c r="Q29" s="153" ph="1"/>
      <c r="R29" s="172" t="s">
        <v>6073</v>
      </c>
      <c r="S29" s="172" t="s">
        <v>5325</v>
      </c>
      <c r="T29" s="172" t="s">
        <v>5326</v>
      </c>
      <c r="U29" s="172" t="s">
        <v>5976</v>
      </c>
      <c r="V29" s="172" t="s">
        <v>5328</v>
      </c>
      <c r="W29" s="110">
        <f t="shared" si="1"/>
        <v>29</v>
      </c>
      <c r="X29" s="81">
        <v>29</v>
      </c>
      <c r="Y29" s="81">
        <v>0</v>
      </c>
      <c r="Z29" s="172" t="s">
        <v>6074</v>
      </c>
    </row>
    <row r="30" spans="1:26" s="64" customFormat="1" ht="36">
      <c r="A30" s="144">
        <v>26</v>
      </c>
      <c r="B30" s="144" t="s">
        <v>3083</v>
      </c>
      <c r="C30" s="144" t="s">
        <v>6075</v>
      </c>
      <c r="D30" s="172" t="s">
        <v>6076</v>
      </c>
      <c r="E30" s="172" t="s">
        <v>6077</v>
      </c>
      <c r="F30" s="148" t="s">
        <v>6078</v>
      </c>
      <c r="G30" s="172" t="s">
        <v>6079</v>
      </c>
      <c r="H30" s="172" t="s">
        <v>6080</v>
      </c>
      <c r="I30" s="86">
        <f t="shared" si="0"/>
        <v>180</v>
      </c>
      <c r="J30" s="86">
        <v>0</v>
      </c>
      <c r="K30" s="86">
        <v>0</v>
      </c>
      <c r="L30" s="171">
        <v>180</v>
      </c>
      <c r="M30" s="86">
        <v>0</v>
      </c>
      <c r="N30" s="172"/>
      <c r="O30" s="172"/>
      <c r="P30" s="172" t="s">
        <v>5323</v>
      </c>
      <c r="Q30" s="153" ph="1"/>
      <c r="R30" s="172" t="s">
        <v>6081</v>
      </c>
      <c r="S30" s="172" t="s">
        <v>5325</v>
      </c>
      <c r="T30" s="172" t="s">
        <v>5326</v>
      </c>
      <c r="U30" s="172" t="s">
        <v>5976</v>
      </c>
      <c r="V30" s="172" t="s">
        <v>5328</v>
      </c>
      <c r="W30" s="110">
        <f t="shared" si="1"/>
        <v>70</v>
      </c>
      <c r="X30" s="81">
        <v>69</v>
      </c>
      <c r="Y30" s="81">
        <v>1</v>
      </c>
      <c r="Z30" s="172" t="s">
        <v>6082</v>
      </c>
    </row>
    <row r="31" spans="1:26" s="64" customFormat="1" ht="36">
      <c r="A31" s="144">
        <v>27</v>
      </c>
      <c r="B31" s="144" t="s">
        <v>3083</v>
      </c>
      <c r="C31" s="144" t="s">
        <v>3104</v>
      </c>
      <c r="D31" s="172" t="s">
        <v>6083</v>
      </c>
      <c r="E31" s="172" t="s">
        <v>6084</v>
      </c>
      <c r="F31" s="148" t="s">
        <v>6085</v>
      </c>
      <c r="G31" s="172" t="s">
        <v>6086</v>
      </c>
      <c r="H31" s="172" t="s">
        <v>5974</v>
      </c>
      <c r="I31" s="86">
        <f t="shared" si="0"/>
        <v>200</v>
      </c>
      <c r="J31" s="86">
        <v>0</v>
      </c>
      <c r="K31" s="86">
        <v>0</v>
      </c>
      <c r="L31" s="171">
        <v>200</v>
      </c>
      <c r="M31" s="86">
        <v>0</v>
      </c>
      <c r="N31" s="172"/>
      <c r="O31" s="172"/>
      <c r="P31" s="172" t="s">
        <v>6087</v>
      </c>
      <c r="Q31" s="172"/>
      <c r="R31" s="172" t="s">
        <v>6088</v>
      </c>
      <c r="S31" s="172" t="s">
        <v>5325</v>
      </c>
      <c r="T31" s="172" t="s">
        <v>5326</v>
      </c>
      <c r="U31" s="172" t="s">
        <v>6089</v>
      </c>
      <c r="V31" s="172" t="s">
        <v>6054</v>
      </c>
      <c r="W31" s="110">
        <f t="shared" si="1"/>
        <v>420</v>
      </c>
      <c r="X31" s="81">
        <v>420</v>
      </c>
      <c r="Y31" s="81">
        <v>0</v>
      </c>
      <c r="Z31" s="172" t="s">
        <v>6090</v>
      </c>
    </row>
    <row r="32" spans="1:26" s="64" customFormat="1" ht="72.75" customHeight="1">
      <c r="A32" s="144">
        <v>28</v>
      </c>
      <c r="B32" s="144" t="s">
        <v>3083</v>
      </c>
      <c r="C32" s="144" t="s">
        <v>3104</v>
      </c>
      <c r="D32" s="172" t="s">
        <v>3105</v>
      </c>
      <c r="E32" s="172" t="s">
        <v>6091</v>
      </c>
      <c r="F32" s="148" t="s">
        <v>6092</v>
      </c>
      <c r="G32" s="172" t="s">
        <v>6093</v>
      </c>
      <c r="H32" s="172" t="s">
        <v>6094</v>
      </c>
      <c r="I32" s="86">
        <f t="shared" si="0"/>
        <v>400</v>
      </c>
      <c r="J32" s="86">
        <v>0</v>
      </c>
      <c r="K32" s="86">
        <v>0</v>
      </c>
      <c r="L32" s="171">
        <v>290</v>
      </c>
      <c r="M32" s="171">
        <v>110</v>
      </c>
      <c r="N32" s="172"/>
      <c r="O32" s="172"/>
      <c r="P32" s="172" t="s">
        <v>436</v>
      </c>
      <c r="Q32" s="172"/>
      <c r="R32" s="172" t="s">
        <v>3106</v>
      </c>
      <c r="S32" s="172" t="s">
        <v>373</v>
      </c>
      <c r="T32" s="172" t="s">
        <v>374</v>
      </c>
      <c r="U32" s="172" t="s">
        <v>6095</v>
      </c>
      <c r="V32" s="172" t="s">
        <v>1924</v>
      </c>
      <c r="W32" s="110">
        <f t="shared" si="1"/>
        <v>50</v>
      </c>
      <c r="X32" s="81">
        <v>45</v>
      </c>
      <c r="Y32" s="81">
        <v>5</v>
      </c>
      <c r="Z32" s="172" t="s">
        <v>3107</v>
      </c>
    </row>
    <row r="33" spans="1:26" s="64" customFormat="1" ht="36">
      <c r="A33" s="144">
        <v>29</v>
      </c>
      <c r="B33" s="144" t="s">
        <v>3083</v>
      </c>
      <c r="C33" s="144" t="s">
        <v>6096</v>
      </c>
      <c r="D33" s="172" t="s">
        <v>6097</v>
      </c>
      <c r="E33" s="172" t="s">
        <v>6098</v>
      </c>
      <c r="F33" s="148" t="s">
        <v>6099</v>
      </c>
      <c r="G33" s="172" t="s">
        <v>6100</v>
      </c>
      <c r="H33" s="172" t="s">
        <v>6101</v>
      </c>
      <c r="I33" s="86">
        <f t="shared" si="0"/>
        <v>930</v>
      </c>
      <c r="J33" s="86">
        <v>0</v>
      </c>
      <c r="K33" s="86">
        <v>20</v>
      </c>
      <c r="L33" s="171">
        <v>600</v>
      </c>
      <c r="M33" s="171">
        <v>310</v>
      </c>
      <c r="N33" s="172"/>
      <c r="O33" s="172"/>
      <c r="P33" s="172" t="s">
        <v>5477</v>
      </c>
      <c r="Q33" s="172"/>
      <c r="R33" s="172" t="s">
        <v>6102</v>
      </c>
      <c r="S33" s="172" t="s">
        <v>5035</v>
      </c>
      <c r="T33" s="172" t="s">
        <v>5138</v>
      </c>
      <c r="U33" s="172" t="s">
        <v>6103</v>
      </c>
      <c r="V33" s="172" t="s">
        <v>5038</v>
      </c>
      <c r="W33" s="110">
        <f t="shared" si="1"/>
        <v>380</v>
      </c>
      <c r="X33" s="81">
        <v>360</v>
      </c>
      <c r="Y33" s="81">
        <v>20</v>
      </c>
      <c r="Z33" s="172" t="s">
        <v>6104</v>
      </c>
    </row>
    <row r="34" spans="1:26" s="69" customFormat="1" ht="48">
      <c r="A34" s="144">
        <v>30</v>
      </c>
      <c r="B34" s="144" t="s">
        <v>3083</v>
      </c>
      <c r="C34" s="144" t="s">
        <v>6105</v>
      </c>
      <c r="D34" s="172" t="s">
        <v>6106</v>
      </c>
      <c r="E34" s="172" t="s">
        <v>6107</v>
      </c>
      <c r="F34" s="152" t="s">
        <v>6108</v>
      </c>
      <c r="G34" s="172" t="s">
        <v>6109</v>
      </c>
      <c r="H34" s="172" t="s">
        <v>6110</v>
      </c>
      <c r="I34" s="86">
        <f t="shared" si="0"/>
        <v>693</v>
      </c>
      <c r="J34" s="86">
        <v>0</v>
      </c>
      <c r="K34" s="86">
        <v>20</v>
      </c>
      <c r="L34" s="171">
        <v>505</v>
      </c>
      <c r="M34" s="171">
        <v>168</v>
      </c>
      <c r="N34" s="172"/>
      <c r="O34" s="172"/>
      <c r="P34" s="172" t="s">
        <v>304</v>
      </c>
      <c r="Q34" s="172"/>
      <c r="R34" s="172" t="s">
        <v>6111</v>
      </c>
      <c r="S34" s="172" t="s">
        <v>5035</v>
      </c>
      <c r="T34" s="172" t="s">
        <v>5127</v>
      </c>
      <c r="U34" s="172" t="s">
        <v>5452</v>
      </c>
      <c r="V34" s="172" t="s">
        <v>5269</v>
      </c>
      <c r="W34" s="110">
        <f t="shared" si="1"/>
        <v>14</v>
      </c>
      <c r="X34" s="81">
        <v>13</v>
      </c>
      <c r="Y34" s="81">
        <v>1</v>
      </c>
      <c r="Z34" s="172" t="s">
        <v>6112</v>
      </c>
    </row>
    <row r="35" spans="1:26" s="69" customFormat="1" ht="36">
      <c r="A35" s="144">
        <v>31</v>
      </c>
      <c r="B35" s="144" t="s">
        <v>5948</v>
      </c>
      <c r="C35" s="144" t="s">
        <v>6105</v>
      </c>
      <c r="D35" s="172" t="s">
        <v>6113</v>
      </c>
      <c r="E35" s="172" t="s">
        <v>5133</v>
      </c>
      <c r="F35" s="148" t="s">
        <v>6114</v>
      </c>
      <c r="G35" s="172" t="s">
        <v>6115</v>
      </c>
      <c r="H35" s="172" t="s">
        <v>6116</v>
      </c>
      <c r="I35" s="86">
        <f t="shared" si="0"/>
        <v>100</v>
      </c>
      <c r="J35" s="86">
        <v>0</v>
      </c>
      <c r="K35" s="86">
        <v>0</v>
      </c>
      <c r="L35" s="171">
        <v>100</v>
      </c>
      <c r="M35" s="86">
        <v>0</v>
      </c>
      <c r="N35" s="172"/>
      <c r="O35" s="172"/>
      <c r="P35" s="172" t="s">
        <v>304</v>
      </c>
      <c r="Q35" s="172"/>
      <c r="R35" s="172" t="s">
        <v>6117</v>
      </c>
      <c r="S35" s="172" t="s">
        <v>5035</v>
      </c>
      <c r="T35" s="172" t="s">
        <v>5138</v>
      </c>
      <c r="U35" s="172" t="s">
        <v>5128</v>
      </c>
      <c r="V35" s="172" t="s">
        <v>5129</v>
      </c>
      <c r="W35" s="110">
        <f t="shared" si="1"/>
        <v>2</v>
      </c>
      <c r="X35" s="81">
        <v>2</v>
      </c>
      <c r="Y35" s="81">
        <v>0</v>
      </c>
      <c r="Z35" s="172" t="s">
        <v>6118</v>
      </c>
    </row>
    <row r="36" spans="1:26" s="64" customFormat="1" ht="48">
      <c r="A36" s="144">
        <v>32</v>
      </c>
      <c r="B36" s="144" t="s">
        <v>3083</v>
      </c>
      <c r="C36" s="144" t="s">
        <v>3108</v>
      </c>
      <c r="D36" s="172" t="s">
        <v>6119</v>
      </c>
      <c r="E36" s="172" t="s">
        <v>6120</v>
      </c>
      <c r="F36" s="148" t="s">
        <v>6121</v>
      </c>
      <c r="G36" s="172" t="s">
        <v>6122</v>
      </c>
      <c r="H36" s="172" t="s">
        <v>6123</v>
      </c>
      <c r="I36" s="86">
        <f t="shared" si="0"/>
        <v>580</v>
      </c>
      <c r="J36" s="86">
        <v>0</v>
      </c>
      <c r="K36" s="86">
        <v>10</v>
      </c>
      <c r="L36" s="171">
        <v>570</v>
      </c>
      <c r="M36" s="257">
        <v>0</v>
      </c>
      <c r="N36" s="172"/>
      <c r="O36" s="172"/>
      <c r="P36" s="172" t="s">
        <v>304</v>
      </c>
      <c r="Q36" s="172"/>
      <c r="R36" s="172" t="s">
        <v>6124</v>
      </c>
      <c r="S36" s="172" t="s">
        <v>5325</v>
      </c>
      <c r="T36" s="172" t="s">
        <v>6125</v>
      </c>
      <c r="U36" s="172" t="s">
        <v>6089</v>
      </c>
      <c r="V36" s="172" t="s">
        <v>6126</v>
      </c>
      <c r="W36" s="110">
        <f t="shared" si="1"/>
        <v>52</v>
      </c>
      <c r="X36" s="81">
        <v>52</v>
      </c>
      <c r="Y36" s="81">
        <v>0</v>
      </c>
      <c r="Z36" s="172" t="s">
        <v>6127</v>
      </c>
    </row>
    <row r="37" spans="1:26" s="64" customFormat="1" ht="49.5" customHeight="1">
      <c r="A37" s="144">
        <v>33</v>
      </c>
      <c r="B37" s="144" t="s">
        <v>3083</v>
      </c>
      <c r="C37" s="144" t="s">
        <v>3108</v>
      </c>
      <c r="D37" s="172" t="s">
        <v>6128</v>
      </c>
      <c r="E37" s="172" t="s">
        <v>6129</v>
      </c>
      <c r="F37" s="148" t="s">
        <v>6130</v>
      </c>
      <c r="G37" s="172" t="s">
        <v>6131</v>
      </c>
      <c r="H37" s="172" t="s">
        <v>6132</v>
      </c>
      <c r="I37" s="86">
        <v>100</v>
      </c>
      <c r="J37" s="86"/>
      <c r="K37" s="86">
        <v>4</v>
      </c>
      <c r="L37" s="171">
        <v>96</v>
      </c>
      <c r="M37" s="257"/>
      <c r="N37" s="249"/>
      <c r="O37" s="249"/>
      <c r="P37" s="172" t="s">
        <v>6087</v>
      </c>
      <c r="Q37" s="249"/>
      <c r="R37" s="172" t="s">
        <v>6133</v>
      </c>
      <c r="S37" s="172" t="s">
        <v>5325</v>
      </c>
      <c r="T37" s="172" t="s">
        <v>5326</v>
      </c>
      <c r="U37" s="172" t="s">
        <v>5976</v>
      </c>
      <c r="V37" s="172" t="s">
        <v>6134</v>
      </c>
      <c r="W37" s="86">
        <v>52</v>
      </c>
      <c r="X37" s="171">
        <v>52</v>
      </c>
      <c r="Y37" s="171"/>
      <c r="Z37" s="172" t="s">
        <v>6135</v>
      </c>
    </row>
    <row r="38" spans="1:26" s="64" customFormat="1" ht="48">
      <c r="A38" s="144">
        <v>34</v>
      </c>
      <c r="B38" s="144" t="s">
        <v>3083</v>
      </c>
      <c r="C38" s="144" t="s">
        <v>3109</v>
      </c>
      <c r="D38" s="172" t="s">
        <v>3110</v>
      </c>
      <c r="E38" s="172" t="s">
        <v>6136</v>
      </c>
      <c r="F38" s="148" t="s">
        <v>6137</v>
      </c>
      <c r="G38" s="172" t="s">
        <v>6138</v>
      </c>
      <c r="H38" s="172" t="s">
        <v>3111</v>
      </c>
      <c r="I38" s="86">
        <f t="shared" si="0"/>
        <v>300</v>
      </c>
      <c r="J38" s="86">
        <v>0</v>
      </c>
      <c r="K38" s="86">
        <v>40</v>
      </c>
      <c r="L38" s="171">
        <v>250</v>
      </c>
      <c r="M38" s="86">
        <v>10</v>
      </c>
      <c r="N38" s="172"/>
      <c r="O38" s="172"/>
      <c r="P38" s="172" t="s">
        <v>261</v>
      </c>
      <c r="Q38" s="172"/>
      <c r="R38" s="172" t="s">
        <v>3112</v>
      </c>
      <c r="S38" s="172" t="s">
        <v>373</v>
      </c>
      <c r="T38" s="172" t="s">
        <v>6139</v>
      </c>
      <c r="U38" s="172" t="s">
        <v>6140</v>
      </c>
      <c r="V38" s="172" t="s">
        <v>529</v>
      </c>
      <c r="W38" s="110">
        <f t="shared" si="1"/>
        <v>1240</v>
      </c>
      <c r="X38" s="81">
        <v>1220</v>
      </c>
      <c r="Y38" s="81">
        <v>20</v>
      </c>
      <c r="Z38" s="172" t="s">
        <v>3113</v>
      </c>
    </row>
    <row r="39" spans="1:26" s="64" customFormat="1" ht="63.75" customHeight="1">
      <c r="A39" s="144">
        <v>35</v>
      </c>
      <c r="B39" s="144" t="s">
        <v>3083</v>
      </c>
      <c r="C39" s="144" t="s">
        <v>3109</v>
      </c>
      <c r="D39" s="172" t="s">
        <v>6141</v>
      </c>
      <c r="E39" s="172" t="s">
        <v>6142</v>
      </c>
      <c r="F39" s="148" t="s">
        <v>6143</v>
      </c>
      <c r="G39" s="172" t="s">
        <v>6144</v>
      </c>
      <c r="H39" s="172" t="s">
        <v>3114</v>
      </c>
      <c r="I39" s="86">
        <f t="shared" si="0"/>
        <v>100</v>
      </c>
      <c r="J39" s="86">
        <v>0</v>
      </c>
      <c r="K39" s="171">
        <v>30</v>
      </c>
      <c r="L39" s="171">
        <v>70</v>
      </c>
      <c r="M39" s="86">
        <v>0</v>
      </c>
      <c r="N39" s="172"/>
      <c r="O39" s="172"/>
      <c r="P39" s="172" t="s">
        <v>304</v>
      </c>
      <c r="Q39" s="172"/>
      <c r="R39" s="172" t="s">
        <v>3115</v>
      </c>
      <c r="S39" s="172" t="s">
        <v>373</v>
      </c>
      <c r="T39" s="172" t="s">
        <v>501</v>
      </c>
      <c r="U39" s="172" t="s">
        <v>6145</v>
      </c>
      <c r="V39" s="172" t="s">
        <v>529</v>
      </c>
      <c r="W39" s="110">
        <f t="shared" si="1"/>
        <v>29</v>
      </c>
      <c r="X39" s="81">
        <v>29</v>
      </c>
      <c r="Y39" s="81">
        <v>0</v>
      </c>
      <c r="Z39" s="172" t="s">
        <v>2391</v>
      </c>
    </row>
    <row r="40" spans="1:26" s="64" customFormat="1" ht="52.5" customHeight="1">
      <c r="A40" s="144">
        <v>36</v>
      </c>
      <c r="B40" s="144" t="s">
        <v>3083</v>
      </c>
      <c r="C40" s="144" t="s">
        <v>6146</v>
      </c>
      <c r="D40" s="172" t="s">
        <v>6147</v>
      </c>
      <c r="E40" s="172" t="s">
        <v>6148</v>
      </c>
      <c r="F40" s="148" t="s">
        <v>6149</v>
      </c>
      <c r="G40" s="172" t="s">
        <v>6150</v>
      </c>
      <c r="H40" s="172" t="s">
        <v>6151</v>
      </c>
      <c r="I40" s="86">
        <f t="shared" si="0"/>
        <v>120</v>
      </c>
      <c r="J40" s="86">
        <v>0</v>
      </c>
      <c r="K40" s="86">
        <v>0</v>
      </c>
      <c r="L40" s="171">
        <v>120</v>
      </c>
      <c r="M40" s="86">
        <v>0</v>
      </c>
      <c r="N40" s="172"/>
      <c r="O40" s="172"/>
      <c r="P40" s="172" t="s">
        <v>6152</v>
      </c>
      <c r="Q40" s="172"/>
      <c r="R40" s="172" t="s">
        <v>6153</v>
      </c>
      <c r="S40" s="172" t="s">
        <v>6154</v>
      </c>
      <c r="T40" s="172" t="s">
        <v>6155</v>
      </c>
      <c r="U40" s="172" t="s">
        <v>6156</v>
      </c>
      <c r="V40" s="172" t="s">
        <v>6157</v>
      </c>
      <c r="W40" s="110">
        <f t="shared" si="1"/>
        <v>3</v>
      </c>
      <c r="X40" s="81">
        <v>2</v>
      </c>
      <c r="Y40" s="81">
        <v>1</v>
      </c>
      <c r="Z40" s="172" t="s">
        <v>6158</v>
      </c>
    </row>
    <row r="41" spans="1:26" s="70" customFormat="1" ht="36">
      <c r="A41" s="144">
        <v>37</v>
      </c>
      <c r="B41" s="144" t="s">
        <v>3083</v>
      </c>
      <c r="C41" s="144" t="s">
        <v>6159</v>
      </c>
      <c r="D41" s="172" t="s">
        <v>6160</v>
      </c>
      <c r="E41" s="172" t="s">
        <v>6161</v>
      </c>
      <c r="F41" s="148" t="s">
        <v>6162</v>
      </c>
      <c r="G41" s="172" t="s">
        <v>6163</v>
      </c>
      <c r="H41" s="172" t="s">
        <v>6164</v>
      </c>
      <c r="I41" s="86">
        <f t="shared" si="0"/>
        <v>100</v>
      </c>
      <c r="J41" s="86">
        <v>0</v>
      </c>
      <c r="K41" s="171">
        <v>15</v>
      </c>
      <c r="L41" s="171">
        <v>55</v>
      </c>
      <c r="M41" s="171">
        <v>30</v>
      </c>
      <c r="N41" s="172"/>
      <c r="O41" s="172"/>
      <c r="P41" s="172" t="s">
        <v>209</v>
      </c>
      <c r="Q41" s="172"/>
      <c r="R41" s="172" t="s">
        <v>6165</v>
      </c>
      <c r="S41" s="172" t="s">
        <v>5035</v>
      </c>
      <c r="T41" s="172" t="s">
        <v>5138</v>
      </c>
      <c r="U41" s="172" t="s">
        <v>5128</v>
      </c>
      <c r="V41" s="172" t="s">
        <v>5129</v>
      </c>
      <c r="W41" s="110">
        <f t="shared" si="1"/>
        <v>600</v>
      </c>
      <c r="X41" s="81">
        <v>600</v>
      </c>
      <c r="Y41" s="81">
        <v>0</v>
      </c>
      <c r="Z41" s="172" t="s">
        <v>6166</v>
      </c>
    </row>
    <row r="42" spans="1:26" s="70" customFormat="1" ht="36">
      <c r="A42" s="144">
        <v>38</v>
      </c>
      <c r="B42" s="144" t="s">
        <v>3083</v>
      </c>
      <c r="C42" s="144" t="s">
        <v>6167</v>
      </c>
      <c r="D42" s="172" t="s">
        <v>6168</v>
      </c>
      <c r="E42" s="172" t="s">
        <v>6169</v>
      </c>
      <c r="F42" s="148" t="s">
        <v>6170</v>
      </c>
      <c r="G42" s="172" t="s">
        <v>6171</v>
      </c>
      <c r="H42" s="172" t="s">
        <v>6172</v>
      </c>
      <c r="I42" s="86">
        <f t="shared" si="0"/>
        <v>37</v>
      </c>
      <c r="J42" s="86">
        <v>0</v>
      </c>
      <c r="K42" s="171">
        <v>7</v>
      </c>
      <c r="L42" s="171">
        <v>10</v>
      </c>
      <c r="M42" s="171">
        <v>20</v>
      </c>
      <c r="N42" s="172"/>
      <c r="O42" s="172"/>
      <c r="P42" s="172" t="s">
        <v>261</v>
      </c>
      <c r="Q42" s="172"/>
      <c r="R42" s="172" t="s">
        <v>6173</v>
      </c>
      <c r="S42" s="172" t="s">
        <v>5325</v>
      </c>
      <c r="T42" s="172" t="s">
        <v>6174</v>
      </c>
      <c r="U42" s="172" t="s">
        <v>5077</v>
      </c>
      <c r="V42" s="172" t="s">
        <v>5078</v>
      </c>
      <c r="W42" s="110">
        <f t="shared" si="1"/>
        <v>3</v>
      </c>
      <c r="X42" s="81">
        <v>3</v>
      </c>
      <c r="Y42" s="81">
        <v>0</v>
      </c>
      <c r="Z42" s="172" t="s">
        <v>5199</v>
      </c>
    </row>
    <row r="43" spans="1:26" s="70" customFormat="1" ht="36">
      <c r="A43" s="144">
        <v>39</v>
      </c>
      <c r="B43" s="144" t="s">
        <v>3083</v>
      </c>
      <c r="C43" s="144" t="s">
        <v>6175</v>
      </c>
      <c r="D43" s="172" t="s">
        <v>6176</v>
      </c>
      <c r="E43" s="172" t="s">
        <v>6177</v>
      </c>
      <c r="F43" s="148" t="s">
        <v>6178</v>
      </c>
      <c r="G43" s="172" t="s">
        <v>6179</v>
      </c>
      <c r="H43" s="172" t="s">
        <v>6180</v>
      </c>
      <c r="I43" s="86">
        <f t="shared" si="0"/>
        <v>100</v>
      </c>
      <c r="J43" s="86">
        <v>0</v>
      </c>
      <c r="K43" s="171">
        <v>50</v>
      </c>
      <c r="L43" s="171">
        <v>50</v>
      </c>
      <c r="M43" s="86">
        <v>0</v>
      </c>
      <c r="N43" s="172"/>
      <c r="O43" s="172"/>
      <c r="P43" s="172" t="s">
        <v>304</v>
      </c>
      <c r="Q43" s="172"/>
      <c r="R43" s="172" t="s">
        <v>6181</v>
      </c>
      <c r="S43" s="172" t="s">
        <v>5035</v>
      </c>
      <c r="T43" s="172" t="s">
        <v>6182</v>
      </c>
      <c r="U43" s="172" t="s">
        <v>5128</v>
      </c>
      <c r="V43" s="172" t="s">
        <v>5269</v>
      </c>
      <c r="W43" s="110">
        <f t="shared" si="1"/>
        <v>17</v>
      </c>
      <c r="X43" s="81">
        <v>16</v>
      </c>
      <c r="Y43" s="81">
        <v>1</v>
      </c>
      <c r="Z43" s="172" t="s">
        <v>6183</v>
      </c>
    </row>
    <row r="44" spans="1:26" s="64" customFormat="1" ht="36">
      <c r="A44" s="144">
        <v>40</v>
      </c>
      <c r="B44" s="144" t="s">
        <v>3083</v>
      </c>
      <c r="C44" s="144" t="s">
        <v>6184</v>
      </c>
      <c r="D44" s="172" t="s">
        <v>6185</v>
      </c>
      <c r="E44" s="172" t="s">
        <v>6186</v>
      </c>
      <c r="F44" s="148" t="s">
        <v>6187</v>
      </c>
      <c r="G44" s="172" t="s">
        <v>6188</v>
      </c>
      <c r="H44" s="172" t="s">
        <v>6189</v>
      </c>
      <c r="I44" s="86">
        <f t="shared" si="0"/>
        <v>150</v>
      </c>
      <c r="J44" s="86">
        <v>0</v>
      </c>
      <c r="K44" s="86">
        <v>0</v>
      </c>
      <c r="L44" s="171">
        <v>150</v>
      </c>
      <c r="M44" s="86">
        <v>0</v>
      </c>
      <c r="N44" s="172"/>
      <c r="O44" s="172"/>
      <c r="P44" s="172" t="s">
        <v>209</v>
      </c>
      <c r="Q44" s="172"/>
      <c r="R44" s="172" t="s">
        <v>6190</v>
      </c>
      <c r="S44" s="172" t="s">
        <v>5047</v>
      </c>
      <c r="T44" s="172" t="s">
        <v>6191</v>
      </c>
      <c r="U44" s="172" t="s">
        <v>5049</v>
      </c>
      <c r="V44" s="172" t="s">
        <v>6054</v>
      </c>
      <c r="W44" s="110">
        <f t="shared" si="1"/>
        <v>59</v>
      </c>
      <c r="X44" s="81">
        <v>58</v>
      </c>
      <c r="Y44" s="81">
        <v>1</v>
      </c>
      <c r="Z44" s="172" t="s">
        <v>6192</v>
      </c>
    </row>
    <row r="45" spans="1:26" s="64" customFormat="1" ht="36">
      <c r="A45" s="144">
        <v>41</v>
      </c>
      <c r="B45" s="144" t="s">
        <v>3083</v>
      </c>
      <c r="C45" s="144" t="s">
        <v>6193</v>
      </c>
      <c r="D45" s="172" t="s">
        <v>6194</v>
      </c>
      <c r="E45" s="172" t="s">
        <v>6195</v>
      </c>
      <c r="F45" s="148" t="s">
        <v>6196</v>
      </c>
      <c r="G45" s="172" t="s">
        <v>6188</v>
      </c>
      <c r="H45" s="172" t="s">
        <v>6197</v>
      </c>
      <c r="I45" s="86">
        <f t="shared" si="0"/>
        <v>400</v>
      </c>
      <c r="J45" s="171"/>
      <c r="K45" s="86">
        <v>0</v>
      </c>
      <c r="L45" s="171">
        <v>400</v>
      </c>
      <c r="M45" s="86">
        <v>0</v>
      </c>
      <c r="N45" s="172"/>
      <c r="O45" s="172"/>
      <c r="P45" s="172" t="s">
        <v>209</v>
      </c>
      <c r="Q45" s="172"/>
      <c r="R45" s="172" t="s">
        <v>6198</v>
      </c>
      <c r="S45" s="172" t="s">
        <v>5047</v>
      </c>
      <c r="T45" s="172" t="s">
        <v>6199</v>
      </c>
      <c r="U45" s="172" t="s">
        <v>5077</v>
      </c>
      <c r="V45" s="172" t="s">
        <v>5050</v>
      </c>
      <c r="W45" s="110">
        <f t="shared" si="1"/>
        <v>90</v>
      </c>
      <c r="X45" s="81">
        <v>89</v>
      </c>
      <c r="Y45" s="81">
        <v>1</v>
      </c>
      <c r="Z45" s="172" t="s">
        <v>6200</v>
      </c>
    </row>
    <row r="46" spans="1:26" s="64" customFormat="1" ht="36">
      <c r="A46" s="144">
        <v>42</v>
      </c>
      <c r="B46" s="144" t="s">
        <v>3083</v>
      </c>
      <c r="C46" s="144" t="s">
        <v>6193</v>
      </c>
      <c r="D46" s="172" t="s">
        <v>6201</v>
      </c>
      <c r="E46" s="172" t="s">
        <v>6202</v>
      </c>
      <c r="F46" s="148" t="s">
        <v>6203</v>
      </c>
      <c r="G46" s="172" t="s">
        <v>6188</v>
      </c>
      <c r="H46" s="172" t="s">
        <v>6204</v>
      </c>
      <c r="I46" s="86">
        <f t="shared" si="0"/>
        <v>170</v>
      </c>
      <c r="J46" s="171"/>
      <c r="K46" s="86">
        <v>20</v>
      </c>
      <c r="L46" s="171">
        <v>150</v>
      </c>
      <c r="M46" s="86">
        <v>0</v>
      </c>
      <c r="N46" s="172"/>
      <c r="O46" s="172"/>
      <c r="P46" s="172" t="s">
        <v>247</v>
      </c>
      <c r="Q46" s="172" t="s">
        <v>6205</v>
      </c>
      <c r="R46" s="172" t="s">
        <v>6206</v>
      </c>
      <c r="S46" s="172" t="s">
        <v>5047</v>
      </c>
      <c r="T46" s="172" t="s">
        <v>6191</v>
      </c>
      <c r="U46" s="172" t="s">
        <v>5049</v>
      </c>
      <c r="V46" s="172" t="s">
        <v>6054</v>
      </c>
      <c r="W46" s="110">
        <f t="shared" si="1"/>
        <v>109</v>
      </c>
      <c r="X46" s="81">
        <v>108</v>
      </c>
      <c r="Y46" s="81">
        <v>1</v>
      </c>
      <c r="Z46" s="172" t="s">
        <v>6207</v>
      </c>
    </row>
    <row r="47" spans="1:26" s="64" customFormat="1" ht="72">
      <c r="A47" s="144">
        <v>43</v>
      </c>
      <c r="B47" s="146" t="s">
        <v>6067</v>
      </c>
      <c r="C47" s="84" t="s">
        <v>6208</v>
      </c>
      <c r="D47" s="84" t="s">
        <v>6209</v>
      </c>
      <c r="E47" s="172" t="s">
        <v>6210</v>
      </c>
      <c r="F47" s="154" t="s">
        <v>6211</v>
      </c>
      <c r="G47" s="84" t="s">
        <v>6212</v>
      </c>
      <c r="H47" s="84" t="s">
        <v>6213</v>
      </c>
      <c r="I47" s="86">
        <f t="shared" si="0"/>
        <v>525</v>
      </c>
      <c r="J47" s="86">
        <v>0</v>
      </c>
      <c r="K47" s="86">
        <v>0</v>
      </c>
      <c r="L47" s="171">
        <v>525</v>
      </c>
      <c r="M47" s="86">
        <v>0</v>
      </c>
      <c r="N47" s="172"/>
      <c r="O47" s="172"/>
      <c r="P47" s="84" t="s">
        <v>6087</v>
      </c>
      <c r="Q47" s="172"/>
      <c r="R47" s="84" t="s">
        <v>6214</v>
      </c>
      <c r="S47" s="84" t="s">
        <v>5047</v>
      </c>
      <c r="T47" s="84" t="s">
        <v>5095</v>
      </c>
      <c r="U47" s="84" t="s">
        <v>6215</v>
      </c>
      <c r="V47" s="84" t="s">
        <v>6054</v>
      </c>
      <c r="W47" s="110">
        <f t="shared" si="1"/>
        <v>480</v>
      </c>
      <c r="X47" s="81">
        <v>479</v>
      </c>
      <c r="Y47" s="81">
        <v>1</v>
      </c>
      <c r="Z47" s="84" t="s">
        <v>6216</v>
      </c>
    </row>
    <row r="48" spans="1:26" s="64" customFormat="1" ht="72">
      <c r="A48" s="144">
        <v>44</v>
      </c>
      <c r="B48" s="146" t="s">
        <v>6067</v>
      </c>
      <c r="C48" s="84" t="s">
        <v>6208</v>
      </c>
      <c r="D48" s="84" t="s">
        <v>6217</v>
      </c>
      <c r="E48" s="172" t="s">
        <v>6218</v>
      </c>
      <c r="F48" s="154" t="s">
        <v>6219</v>
      </c>
      <c r="G48" s="84" t="s">
        <v>6220</v>
      </c>
      <c r="H48" s="84" t="s">
        <v>6221</v>
      </c>
      <c r="I48" s="86">
        <f t="shared" si="0"/>
        <v>125</v>
      </c>
      <c r="J48" s="86">
        <v>0</v>
      </c>
      <c r="K48" s="86">
        <v>0</v>
      </c>
      <c r="L48" s="171">
        <v>125</v>
      </c>
      <c r="M48" s="86">
        <v>0</v>
      </c>
      <c r="N48" s="172"/>
      <c r="O48" s="172"/>
      <c r="P48" s="84" t="s">
        <v>5346</v>
      </c>
      <c r="Q48" s="172"/>
      <c r="R48" s="84" t="s">
        <v>6222</v>
      </c>
      <c r="S48" s="84" t="s">
        <v>5035</v>
      </c>
      <c r="T48" s="84" t="s">
        <v>5127</v>
      </c>
      <c r="U48" s="84" t="s">
        <v>5725</v>
      </c>
      <c r="V48" s="84" t="s">
        <v>5038</v>
      </c>
      <c r="W48" s="110">
        <f t="shared" si="1"/>
        <v>550</v>
      </c>
      <c r="X48" s="81">
        <v>549</v>
      </c>
      <c r="Y48" s="81">
        <v>1</v>
      </c>
      <c r="Z48" s="84" t="s">
        <v>6223</v>
      </c>
    </row>
    <row r="49" spans="1:26" s="64" customFormat="1" ht="48">
      <c r="A49" s="144">
        <v>45</v>
      </c>
      <c r="B49" s="146" t="s">
        <v>5948</v>
      </c>
      <c r="C49" s="84" t="s">
        <v>6224</v>
      </c>
      <c r="D49" s="84" t="s">
        <v>6225</v>
      </c>
      <c r="E49" s="172" t="s">
        <v>6226</v>
      </c>
      <c r="F49" s="154" t="s">
        <v>6227</v>
      </c>
      <c r="G49" s="84" t="s">
        <v>6228</v>
      </c>
      <c r="H49" s="84" t="s">
        <v>5136</v>
      </c>
      <c r="I49" s="86">
        <f t="shared" si="0"/>
        <v>400</v>
      </c>
      <c r="J49" s="86">
        <v>0</v>
      </c>
      <c r="K49" s="86">
        <v>20</v>
      </c>
      <c r="L49" s="171">
        <v>380</v>
      </c>
      <c r="M49" s="86">
        <v>0</v>
      </c>
      <c r="N49" s="172"/>
      <c r="O49" s="172"/>
      <c r="P49" s="84" t="s">
        <v>5277</v>
      </c>
      <c r="Q49" s="172" t="s">
        <v>5389</v>
      </c>
      <c r="R49" s="84" t="s">
        <v>6229</v>
      </c>
      <c r="S49" s="84" t="s">
        <v>5035</v>
      </c>
      <c r="T49" s="84" t="s">
        <v>5138</v>
      </c>
      <c r="U49" s="84" t="s">
        <v>5725</v>
      </c>
      <c r="V49" s="84" t="s">
        <v>5038</v>
      </c>
      <c r="W49" s="110">
        <f t="shared" si="1"/>
        <v>253</v>
      </c>
      <c r="X49" s="81">
        <v>251</v>
      </c>
      <c r="Y49" s="81">
        <v>2</v>
      </c>
      <c r="Z49" s="84" t="s">
        <v>6230</v>
      </c>
    </row>
    <row r="50" spans="1:26" s="64" customFormat="1" ht="84">
      <c r="A50" s="144">
        <v>46</v>
      </c>
      <c r="B50" s="146" t="s">
        <v>5948</v>
      </c>
      <c r="C50" s="84" t="s">
        <v>6224</v>
      </c>
      <c r="D50" s="84" t="s">
        <v>6231</v>
      </c>
      <c r="E50" s="172" t="s">
        <v>6232</v>
      </c>
      <c r="F50" s="154" t="s">
        <v>6233</v>
      </c>
      <c r="G50" s="84" t="s">
        <v>6220</v>
      </c>
      <c r="H50" s="84" t="s">
        <v>5654</v>
      </c>
      <c r="I50" s="86">
        <f t="shared" si="0"/>
        <v>260</v>
      </c>
      <c r="J50" s="86">
        <v>0</v>
      </c>
      <c r="K50" s="86">
        <v>60</v>
      </c>
      <c r="L50" s="171">
        <v>200</v>
      </c>
      <c r="M50" s="86">
        <v>0</v>
      </c>
      <c r="N50" s="172"/>
      <c r="O50" s="172"/>
      <c r="P50" s="84" t="s">
        <v>5346</v>
      </c>
      <c r="Q50" s="172"/>
      <c r="R50" s="84" t="s">
        <v>6234</v>
      </c>
      <c r="S50" s="84" t="s">
        <v>5035</v>
      </c>
      <c r="T50" s="84" t="s">
        <v>6235</v>
      </c>
      <c r="U50" s="84" t="s">
        <v>5725</v>
      </c>
      <c r="V50" s="84" t="s">
        <v>5038</v>
      </c>
      <c r="W50" s="110">
        <f t="shared" si="1"/>
        <v>1214</v>
      </c>
      <c r="X50" s="81">
        <v>1213</v>
      </c>
      <c r="Y50" s="81">
        <v>1</v>
      </c>
      <c r="Z50" s="84" t="s">
        <v>6223</v>
      </c>
    </row>
    <row r="51" spans="1:26" s="64" customFormat="1" ht="48">
      <c r="A51" s="144">
        <v>47</v>
      </c>
      <c r="B51" s="144" t="s">
        <v>5948</v>
      </c>
      <c r="C51" s="144" t="s">
        <v>6236</v>
      </c>
      <c r="D51" s="172" t="s">
        <v>6237</v>
      </c>
      <c r="E51" s="172" t="s">
        <v>6238</v>
      </c>
      <c r="F51" s="148" t="s">
        <v>6239</v>
      </c>
      <c r="G51" s="172" t="s">
        <v>6240</v>
      </c>
      <c r="H51" s="172" t="s">
        <v>6241</v>
      </c>
      <c r="I51" s="86">
        <f t="shared" si="0"/>
        <v>150</v>
      </c>
      <c r="J51" s="86">
        <v>0</v>
      </c>
      <c r="K51" s="86">
        <v>0</v>
      </c>
      <c r="L51" s="171">
        <v>40</v>
      </c>
      <c r="M51" s="171">
        <v>110</v>
      </c>
      <c r="N51" s="172"/>
      <c r="O51" s="172"/>
      <c r="P51" s="172" t="s">
        <v>209</v>
      </c>
      <c r="Q51" s="172"/>
      <c r="R51" s="172" t="s">
        <v>5256</v>
      </c>
      <c r="S51" s="172" t="s">
        <v>5035</v>
      </c>
      <c r="T51" s="172" t="s">
        <v>5138</v>
      </c>
      <c r="U51" s="172" t="s">
        <v>6242</v>
      </c>
      <c r="V51" s="172" t="s">
        <v>5038</v>
      </c>
      <c r="W51" s="110">
        <f t="shared" si="1"/>
        <v>40</v>
      </c>
      <c r="X51" s="81">
        <v>40</v>
      </c>
      <c r="Y51" s="81">
        <v>0</v>
      </c>
      <c r="Z51" s="172" t="s">
        <v>6243</v>
      </c>
    </row>
    <row r="52" spans="1:26" s="64" customFormat="1" ht="48">
      <c r="A52" s="144">
        <v>48</v>
      </c>
      <c r="B52" s="144" t="s">
        <v>3083</v>
      </c>
      <c r="C52" s="144" t="s">
        <v>6236</v>
      </c>
      <c r="D52" s="172" t="s">
        <v>6244</v>
      </c>
      <c r="E52" s="172" t="s">
        <v>6245</v>
      </c>
      <c r="F52" s="148" t="s">
        <v>6246</v>
      </c>
      <c r="G52" s="172" t="s">
        <v>6247</v>
      </c>
      <c r="H52" s="172" t="s">
        <v>6248</v>
      </c>
      <c r="I52" s="86">
        <f t="shared" si="0"/>
        <v>108</v>
      </c>
      <c r="J52" s="86">
        <v>0</v>
      </c>
      <c r="K52" s="171">
        <v>8</v>
      </c>
      <c r="L52" s="171">
        <v>95</v>
      </c>
      <c r="M52" s="86">
        <v>5</v>
      </c>
      <c r="N52" s="172"/>
      <c r="O52" s="172"/>
      <c r="P52" s="172" t="s">
        <v>5346</v>
      </c>
      <c r="Q52" s="172"/>
      <c r="R52" s="172" t="s">
        <v>5681</v>
      </c>
      <c r="S52" s="172" t="s">
        <v>5035</v>
      </c>
      <c r="T52" s="172" t="s">
        <v>5138</v>
      </c>
      <c r="U52" s="172" t="s">
        <v>5128</v>
      </c>
      <c r="V52" s="172" t="s">
        <v>376</v>
      </c>
      <c r="W52" s="110">
        <f t="shared" si="1"/>
        <v>142</v>
      </c>
      <c r="X52" s="81">
        <v>141</v>
      </c>
      <c r="Y52" s="73">
        <v>1</v>
      </c>
      <c r="Z52" s="147" t="s">
        <v>5814</v>
      </c>
    </row>
    <row r="53" spans="1:26" s="64" customFormat="1" ht="48">
      <c r="A53" s="144">
        <v>49</v>
      </c>
      <c r="B53" s="144" t="s">
        <v>5948</v>
      </c>
      <c r="C53" s="144" t="s">
        <v>6236</v>
      </c>
      <c r="D53" s="172" t="s">
        <v>6249</v>
      </c>
      <c r="E53" s="172" t="s">
        <v>6250</v>
      </c>
      <c r="F53" s="148" t="s">
        <v>6251</v>
      </c>
      <c r="G53" s="172" t="s">
        <v>6252</v>
      </c>
      <c r="H53" s="172" t="s">
        <v>6164</v>
      </c>
      <c r="I53" s="86">
        <f t="shared" si="0"/>
        <v>154</v>
      </c>
      <c r="J53" s="86">
        <v>0</v>
      </c>
      <c r="K53" s="171">
        <v>22</v>
      </c>
      <c r="L53" s="171">
        <v>132</v>
      </c>
      <c r="M53" s="86">
        <v>0</v>
      </c>
      <c r="N53" s="172"/>
      <c r="O53" s="172"/>
      <c r="P53" s="172" t="s">
        <v>5346</v>
      </c>
      <c r="Q53" s="172"/>
      <c r="R53" s="172" t="s">
        <v>6253</v>
      </c>
      <c r="S53" s="172" t="s">
        <v>5035</v>
      </c>
      <c r="T53" s="172" t="s">
        <v>5519</v>
      </c>
      <c r="U53" s="172" t="s">
        <v>5128</v>
      </c>
      <c r="V53" s="172" t="s">
        <v>5269</v>
      </c>
      <c r="W53" s="110">
        <f t="shared" si="1"/>
        <v>3</v>
      </c>
      <c r="X53" s="81">
        <v>3</v>
      </c>
      <c r="Y53" s="81">
        <v>0</v>
      </c>
      <c r="Z53" s="172" t="s">
        <v>5458</v>
      </c>
    </row>
    <row r="54" spans="1:26" s="64" customFormat="1" ht="60">
      <c r="A54" s="144">
        <v>50</v>
      </c>
      <c r="B54" s="144" t="s">
        <v>5948</v>
      </c>
      <c r="C54" s="144" t="s">
        <v>6236</v>
      </c>
      <c r="D54" s="172" t="s">
        <v>6254</v>
      </c>
      <c r="E54" s="172" t="s">
        <v>6255</v>
      </c>
      <c r="F54" s="148" t="s">
        <v>6256</v>
      </c>
      <c r="G54" s="172" t="s">
        <v>6257</v>
      </c>
      <c r="H54" s="172" t="s">
        <v>5304</v>
      </c>
      <c r="I54" s="86">
        <f t="shared" si="0"/>
        <v>2052</v>
      </c>
      <c r="J54" s="171">
        <v>200</v>
      </c>
      <c r="K54" s="171">
        <v>200</v>
      </c>
      <c r="L54" s="171">
        <v>1652</v>
      </c>
      <c r="M54" s="86">
        <v>0</v>
      </c>
      <c r="N54" s="172" t="s">
        <v>5305</v>
      </c>
      <c r="O54" s="172" t="s">
        <v>5306</v>
      </c>
      <c r="P54" s="172" t="s">
        <v>209</v>
      </c>
      <c r="Q54" s="172" t="s">
        <v>5526</v>
      </c>
      <c r="R54" s="172" t="s">
        <v>6258</v>
      </c>
      <c r="S54" s="172" t="s">
        <v>5035</v>
      </c>
      <c r="T54" s="172" t="s">
        <v>5138</v>
      </c>
      <c r="U54" s="172" t="s">
        <v>6259</v>
      </c>
      <c r="V54" s="172" t="s">
        <v>5328</v>
      </c>
      <c r="W54" s="110">
        <f t="shared" si="1"/>
        <v>207</v>
      </c>
      <c r="X54" s="81">
        <v>206</v>
      </c>
      <c r="Y54" s="81">
        <v>1</v>
      </c>
      <c r="Z54" s="172" t="s">
        <v>6260</v>
      </c>
    </row>
    <row r="55" spans="1:26" s="64" customFormat="1" ht="36">
      <c r="A55" s="144">
        <v>51</v>
      </c>
      <c r="B55" s="144" t="s">
        <v>5986</v>
      </c>
      <c r="C55" s="144" t="s">
        <v>6261</v>
      </c>
      <c r="D55" s="172" t="s">
        <v>6262</v>
      </c>
      <c r="E55" s="172" t="s">
        <v>6263</v>
      </c>
      <c r="F55" s="148" t="s">
        <v>6264</v>
      </c>
      <c r="G55" s="172" t="s">
        <v>6265</v>
      </c>
      <c r="H55" s="172" t="s">
        <v>6266</v>
      </c>
      <c r="I55" s="86">
        <f t="shared" si="0"/>
        <v>140</v>
      </c>
      <c r="J55" s="86">
        <v>0</v>
      </c>
      <c r="K55" s="171">
        <v>40</v>
      </c>
      <c r="L55" s="171">
        <v>100</v>
      </c>
      <c r="M55" s="86">
        <v>0</v>
      </c>
      <c r="N55" s="172"/>
      <c r="O55" s="172"/>
      <c r="P55" s="172" t="s">
        <v>247</v>
      </c>
      <c r="Q55" s="172"/>
      <c r="R55" s="172" t="s">
        <v>6267</v>
      </c>
      <c r="S55" s="172" t="s">
        <v>5035</v>
      </c>
      <c r="T55" s="172" t="s">
        <v>5138</v>
      </c>
      <c r="U55" s="172" t="s">
        <v>5128</v>
      </c>
      <c r="V55" s="172" t="s">
        <v>5038</v>
      </c>
      <c r="W55" s="110">
        <f t="shared" si="1"/>
        <v>3.5</v>
      </c>
      <c r="X55" s="81">
        <v>3.5</v>
      </c>
      <c r="Y55" s="81">
        <v>0</v>
      </c>
      <c r="Z55" s="172" t="s">
        <v>5706</v>
      </c>
    </row>
    <row r="56" spans="1:26" s="64" customFormat="1" ht="60">
      <c r="A56" s="144">
        <v>52</v>
      </c>
      <c r="B56" s="144" t="s">
        <v>3083</v>
      </c>
      <c r="C56" s="144" t="s">
        <v>3117</v>
      </c>
      <c r="D56" s="172" t="s">
        <v>3118</v>
      </c>
      <c r="E56" s="172" t="s">
        <v>6268</v>
      </c>
      <c r="F56" s="148" t="s">
        <v>6269</v>
      </c>
      <c r="G56" s="172" t="s">
        <v>6270</v>
      </c>
      <c r="H56" s="172" t="s">
        <v>3119</v>
      </c>
      <c r="I56" s="86">
        <f t="shared" si="0"/>
        <v>299</v>
      </c>
      <c r="J56" s="86">
        <v>0</v>
      </c>
      <c r="K56" s="86">
        <v>0</v>
      </c>
      <c r="L56" s="171">
        <v>299</v>
      </c>
      <c r="M56" s="86">
        <v>0</v>
      </c>
      <c r="N56" s="172"/>
      <c r="O56" s="172"/>
      <c r="P56" s="172" t="s">
        <v>5477</v>
      </c>
      <c r="Q56" s="172"/>
      <c r="R56" s="172" t="s">
        <v>6271</v>
      </c>
      <c r="S56" s="172" t="s">
        <v>5035</v>
      </c>
      <c r="T56" s="172" t="s">
        <v>374</v>
      </c>
      <c r="U56" s="172" t="s">
        <v>6272</v>
      </c>
      <c r="V56" s="172" t="s">
        <v>3120</v>
      </c>
      <c r="W56" s="110">
        <f t="shared" si="1"/>
        <v>238.45</v>
      </c>
      <c r="X56" s="81">
        <v>237.5</v>
      </c>
      <c r="Y56" s="81">
        <v>0.95</v>
      </c>
      <c r="Z56" s="172" t="s">
        <v>1468</v>
      </c>
    </row>
    <row r="57" spans="1:26" s="64" customFormat="1" ht="60">
      <c r="A57" s="144">
        <v>53</v>
      </c>
      <c r="B57" s="155" t="s">
        <v>3083</v>
      </c>
      <c r="C57" s="155" t="s">
        <v>3117</v>
      </c>
      <c r="D57" s="80" t="s">
        <v>3121</v>
      </c>
      <c r="E57" s="172" t="s">
        <v>6268</v>
      </c>
      <c r="F57" s="136" t="s">
        <v>6273</v>
      </c>
      <c r="G57" s="75" t="s">
        <v>6274</v>
      </c>
      <c r="H57" s="84" t="s">
        <v>5264</v>
      </c>
      <c r="I57" s="86">
        <f t="shared" si="0"/>
        <v>870</v>
      </c>
      <c r="J57" s="86">
        <v>0</v>
      </c>
      <c r="K57" s="86">
        <v>20</v>
      </c>
      <c r="L57" s="81">
        <v>800</v>
      </c>
      <c r="M57" s="81">
        <v>50</v>
      </c>
      <c r="N57" s="80"/>
      <c r="O57" s="80"/>
      <c r="P57" s="80" t="s">
        <v>209</v>
      </c>
      <c r="Q57" s="172" t="s">
        <v>5389</v>
      </c>
      <c r="R57" s="172" t="s">
        <v>6275</v>
      </c>
      <c r="S57" s="172" t="s">
        <v>5035</v>
      </c>
      <c r="T57" s="84" t="s">
        <v>374</v>
      </c>
      <c r="U57" s="145" t="s">
        <v>5128</v>
      </c>
      <c r="V57" s="84" t="s">
        <v>3122</v>
      </c>
      <c r="W57" s="110">
        <f t="shared" si="1"/>
        <v>238.45</v>
      </c>
      <c r="X57" s="81">
        <v>237.5</v>
      </c>
      <c r="Y57" s="81">
        <v>0.95</v>
      </c>
      <c r="Z57" s="172" t="s">
        <v>1468</v>
      </c>
    </row>
    <row r="58" spans="1:26" s="64" customFormat="1" ht="96">
      <c r="A58" s="144">
        <v>54</v>
      </c>
      <c r="B58" s="144" t="s">
        <v>5948</v>
      </c>
      <c r="C58" s="144" t="s">
        <v>6276</v>
      </c>
      <c r="D58" s="172" t="s">
        <v>6277</v>
      </c>
      <c r="E58" s="172" t="s">
        <v>6278</v>
      </c>
      <c r="F58" s="148" t="s">
        <v>6279</v>
      </c>
      <c r="G58" s="172" t="s">
        <v>6280</v>
      </c>
      <c r="H58" s="172" t="s">
        <v>5594</v>
      </c>
      <c r="I58" s="86">
        <f t="shared" si="0"/>
        <v>1308</v>
      </c>
      <c r="J58" s="86">
        <v>0</v>
      </c>
      <c r="K58" s="86">
        <v>20</v>
      </c>
      <c r="L58" s="171">
        <v>1288</v>
      </c>
      <c r="M58" s="86">
        <v>0</v>
      </c>
      <c r="N58" s="172"/>
      <c r="O58" s="172"/>
      <c r="P58" s="172" t="s">
        <v>5477</v>
      </c>
      <c r="Q58" s="172"/>
      <c r="R58" s="172" t="s">
        <v>6281</v>
      </c>
      <c r="S58" s="172" t="s">
        <v>5035</v>
      </c>
      <c r="T58" s="172" t="s">
        <v>5636</v>
      </c>
      <c r="U58" s="172" t="s">
        <v>6282</v>
      </c>
      <c r="V58" s="172" t="s">
        <v>5038</v>
      </c>
      <c r="W58" s="110">
        <f t="shared" si="1"/>
        <v>200</v>
      </c>
      <c r="X58" s="81">
        <v>200</v>
      </c>
      <c r="Y58" s="81">
        <v>0</v>
      </c>
      <c r="Z58" s="172" t="s">
        <v>6283</v>
      </c>
    </row>
    <row r="59" spans="1:26" s="64" customFormat="1" ht="24">
      <c r="A59" s="144">
        <v>55</v>
      </c>
      <c r="B59" s="144" t="s">
        <v>5948</v>
      </c>
      <c r="C59" s="144" t="s">
        <v>6276</v>
      </c>
      <c r="D59" s="145" t="s">
        <v>6284</v>
      </c>
      <c r="E59" s="145" t="s">
        <v>6285</v>
      </c>
      <c r="F59" s="156" t="s">
        <v>6286</v>
      </c>
      <c r="G59" s="145" t="s">
        <v>6287</v>
      </c>
      <c r="H59" s="145" t="s">
        <v>6288</v>
      </c>
      <c r="I59" s="86">
        <f t="shared" si="0"/>
        <v>60</v>
      </c>
      <c r="J59" s="86">
        <v>0</v>
      </c>
      <c r="K59" s="86">
        <v>8</v>
      </c>
      <c r="L59" s="171">
        <v>50</v>
      </c>
      <c r="M59" s="171">
        <v>2</v>
      </c>
      <c r="N59" s="172"/>
      <c r="O59" s="172"/>
      <c r="P59" s="172" t="s">
        <v>436</v>
      </c>
      <c r="Q59" s="172"/>
      <c r="R59" s="147" t="s">
        <v>6289</v>
      </c>
      <c r="S59" s="172" t="s">
        <v>5035</v>
      </c>
      <c r="T59" s="147" t="s">
        <v>5138</v>
      </c>
      <c r="U59" s="145" t="s">
        <v>5128</v>
      </c>
      <c r="V59" s="172" t="s">
        <v>5038</v>
      </c>
      <c r="W59" s="110">
        <f t="shared" si="1"/>
        <v>100</v>
      </c>
      <c r="X59" s="81">
        <v>100</v>
      </c>
      <c r="Y59" s="81">
        <v>0</v>
      </c>
      <c r="Z59" s="147" t="s">
        <v>5039</v>
      </c>
    </row>
    <row r="60" spans="1:26" s="64" customFormat="1" ht="60">
      <c r="A60" s="144">
        <v>56</v>
      </c>
      <c r="B60" s="144" t="s">
        <v>3083</v>
      </c>
      <c r="C60" s="144" t="s">
        <v>6290</v>
      </c>
      <c r="D60" s="172" t="s">
        <v>6291</v>
      </c>
      <c r="E60" s="172" t="s">
        <v>6292</v>
      </c>
      <c r="F60" s="152" t="s">
        <v>6293</v>
      </c>
      <c r="G60" s="172" t="s">
        <v>6294</v>
      </c>
      <c r="H60" s="172" t="s">
        <v>6022</v>
      </c>
      <c r="I60" s="86">
        <f t="shared" si="0"/>
        <v>150</v>
      </c>
      <c r="J60" s="86">
        <v>0</v>
      </c>
      <c r="K60" s="86">
        <v>0</v>
      </c>
      <c r="L60" s="171">
        <v>150</v>
      </c>
      <c r="M60" s="86">
        <v>0</v>
      </c>
      <c r="N60" s="172"/>
      <c r="O60" s="172"/>
      <c r="P60" s="172" t="s">
        <v>247</v>
      </c>
      <c r="Q60" s="172"/>
      <c r="R60" s="172" t="s">
        <v>6295</v>
      </c>
      <c r="S60" s="172" t="s">
        <v>5035</v>
      </c>
      <c r="T60" s="172" t="s">
        <v>6296</v>
      </c>
      <c r="U60" s="172" t="s">
        <v>5128</v>
      </c>
      <c r="V60" s="172" t="s">
        <v>5129</v>
      </c>
      <c r="W60" s="110">
        <f t="shared" si="1"/>
        <v>29.018999999999998</v>
      </c>
      <c r="X60" s="81">
        <v>29.018999999999998</v>
      </c>
      <c r="Y60" s="81">
        <v>0</v>
      </c>
      <c r="Z60" s="172" t="s">
        <v>6297</v>
      </c>
    </row>
    <row r="61" spans="1:26" s="64" customFormat="1" ht="36">
      <c r="A61" s="144">
        <v>57</v>
      </c>
      <c r="B61" s="144" t="s">
        <v>3083</v>
      </c>
      <c r="C61" s="144" t="s">
        <v>6290</v>
      </c>
      <c r="D61" s="172" t="s">
        <v>6298</v>
      </c>
      <c r="E61" s="172" t="s">
        <v>6299</v>
      </c>
      <c r="F61" s="148" t="s">
        <v>6300</v>
      </c>
      <c r="G61" s="172" t="s">
        <v>6301</v>
      </c>
      <c r="H61" s="172" t="s">
        <v>6302</v>
      </c>
      <c r="I61" s="86">
        <f t="shared" si="0"/>
        <v>338</v>
      </c>
      <c r="J61" s="86">
        <v>0</v>
      </c>
      <c r="K61" s="86">
        <v>20</v>
      </c>
      <c r="L61" s="171">
        <v>288</v>
      </c>
      <c r="M61" s="171">
        <v>30</v>
      </c>
      <c r="N61" s="172"/>
      <c r="O61" s="172"/>
      <c r="P61" s="172" t="s">
        <v>261</v>
      </c>
      <c r="Q61" s="153"/>
      <c r="R61" s="172" t="s">
        <v>6303</v>
      </c>
      <c r="S61" s="172" t="s">
        <v>5035</v>
      </c>
      <c r="T61" s="172" t="s">
        <v>6304</v>
      </c>
      <c r="U61" s="172" t="s">
        <v>5128</v>
      </c>
      <c r="V61" s="172" t="s">
        <v>5269</v>
      </c>
      <c r="W61" s="110">
        <f t="shared" si="1"/>
        <v>55</v>
      </c>
      <c r="X61" s="81">
        <v>55</v>
      </c>
      <c r="Y61" s="81">
        <v>0</v>
      </c>
      <c r="Z61" s="172" t="s">
        <v>5458</v>
      </c>
    </row>
    <row r="62" spans="1:26" s="64" customFormat="1" ht="72">
      <c r="A62" s="144">
        <v>58</v>
      </c>
      <c r="B62" s="144" t="s">
        <v>5948</v>
      </c>
      <c r="C62" s="144" t="s">
        <v>6290</v>
      </c>
      <c r="D62" s="172" t="s">
        <v>6305</v>
      </c>
      <c r="E62" s="172" t="s">
        <v>6306</v>
      </c>
      <c r="F62" s="148" t="s">
        <v>6307</v>
      </c>
      <c r="G62" s="172" t="s">
        <v>6308</v>
      </c>
      <c r="H62" s="172" t="s">
        <v>6309</v>
      </c>
      <c r="I62" s="86">
        <f t="shared" si="0"/>
        <v>490</v>
      </c>
      <c r="J62" s="86">
        <v>0</v>
      </c>
      <c r="K62" s="86">
        <v>0</v>
      </c>
      <c r="L62" s="171">
        <v>450</v>
      </c>
      <c r="M62" s="171">
        <v>40</v>
      </c>
      <c r="N62" s="172"/>
      <c r="O62" s="172"/>
      <c r="P62" s="172" t="s">
        <v>5323</v>
      </c>
      <c r="Q62" s="172"/>
      <c r="R62" s="172" t="s">
        <v>6310</v>
      </c>
      <c r="S62" s="172" t="s">
        <v>5325</v>
      </c>
      <c r="T62" s="172" t="s">
        <v>5326</v>
      </c>
      <c r="U62" s="172" t="s">
        <v>6311</v>
      </c>
      <c r="V62" s="172" t="s">
        <v>6134</v>
      </c>
      <c r="W62" s="110">
        <f t="shared" si="1"/>
        <v>600</v>
      </c>
      <c r="X62" s="81">
        <v>600</v>
      </c>
      <c r="Y62" s="81">
        <v>0</v>
      </c>
      <c r="Z62" s="172" t="s">
        <v>6312</v>
      </c>
    </row>
    <row r="63" spans="1:26" s="41" customFormat="1" ht="26.25" customHeight="1">
      <c r="A63" s="42"/>
      <c r="B63" s="42"/>
      <c r="C63" s="42"/>
    </row>
    <row r="64" spans="1:26" s="41" customFormat="1" ht="26.25" customHeight="1">
      <c r="A64" s="42"/>
      <c r="B64" s="42"/>
      <c r="C64" s="42"/>
    </row>
    <row r="65" spans="1:3" s="41" customFormat="1" ht="26.25" customHeight="1">
      <c r="A65" s="42"/>
      <c r="B65" s="42"/>
      <c r="C65" s="42"/>
    </row>
    <row r="66" spans="1:3" s="41" customFormat="1" ht="26.25" customHeight="1">
      <c r="A66" s="42"/>
      <c r="B66" s="42"/>
      <c r="C66" s="42"/>
    </row>
    <row r="67" spans="1:3" s="2" customFormat="1" ht="26.25" customHeight="1">
      <c r="A67" s="15"/>
      <c r="B67" s="15"/>
      <c r="C67" s="15"/>
    </row>
    <row r="68" spans="1:3" s="2" customFormat="1" ht="26.25" customHeight="1">
      <c r="A68" s="15"/>
      <c r="B68" s="15"/>
      <c r="C68" s="15"/>
    </row>
    <row r="69" spans="1:3" s="2" customFormat="1" ht="26.25" customHeight="1">
      <c r="A69" s="15"/>
      <c r="B69" s="15"/>
      <c r="C69" s="15"/>
    </row>
    <row r="70" spans="1:3" s="2" customFormat="1" ht="26.25" customHeight="1">
      <c r="A70" s="15"/>
      <c r="B70" s="15"/>
      <c r="C70" s="15"/>
    </row>
    <row r="71" spans="1:3" s="2" customFormat="1" ht="26.25" customHeight="1">
      <c r="A71" s="15"/>
      <c r="B71" s="15"/>
      <c r="C71" s="15"/>
    </row>
    <row r="72" spans="1:3" s="2" customFormat="1" ht="26.25" customHeight="1">
      <c r="A72" s="15"/>
      <c r="B72" s="15"/>
      <c r="C72" s="15"/>
    </row>
    <row r="73" spans="1:3" s="2" customFormat="1" ht="26.25" customHeight="1">
      <c r="A73" s="15"/>
      <c r="B73" s="15"/>
      <c r="C73" s="15"/>
    </row>
    <row r="74" spans="1:3" s="2" customFormat="1" ht="26.25" customHeight="1">
      <c r="A74" s="15"/>
      <c r="B74" s="15"/>
      <c r="C74" s="15"/>
    </row>
    <row r="75" spans="1:3" s="2" customFormat="1" ht="26.25" customHeight="1">
      <c r="A75" s="15"/>
      <c r="B75" s="15"/>
      <c r="C75" s="15"/>
    </row>
    <row r="76" spans="1:3" s="2" customFormat="1" ht="26.25" customHeight="1">
      <c r="A76" s="15"/>
      <c r="B76" s="15"/>
      <c r="C76" s="15"/>
    </row>
    <row r="77" spans="1:3" s="2" customFormat="1" ht="26.25" customHeight="1">
      <c r="A77" s="15"/>
      <c r="B77" s="15"/>
      <c r="C77" s="15"/>
    </row>
    <row r="78" spans="1:3" s="2" customFormat="1" ht="26.25" customHeight="1">
      <c r="A78" s="15"/>
      <c r="B78" s="15"/>
      <c r="C78" s="15"/>
    </row>
    <row r="79" spans="1:3" s="2" customFormat="1" ht="26.25" customHeight="1">
      <c r="A79" s="15"/>
      <c r="B79" s="15"/>
      <c r="C79" s="15"/>
    </row>
    <row r="80" spans="1:3" s="2" customFormat="1" ht="26.25" customHeight="1">
      <c r="A80" s="15"/>
      <c r="B80" s="15"/>
      <c r="C80" s="15"/>
    </row>
  </sheetData>
  <mergeCells count="5">
    <mergeCell ref="A1:Y2"/>
    <mergeCell ref="A3:E3"/>
    <mergeCell ref="I3:M3"/>
    <mergeCell ref="N3:O3"/>
    <mergeCell ref="W3:Y3"/>
  </mergeCells>
  <phoneticPr fontId="5" type="noConversion"/>
  <dataValidations count="11">
    <dataValidation type="list" allowBlank="1" showInputMessage="1" showErrorMessage="1" sqref="P20:Q20 P25 P59:P61 B5:B7 P5:P7 P62:Q62 O40 P21 P51:Q51 P53:Q53 P55:Q55 P54 O52 N23 P10:P19 Q58:Q59 P24:Q24 B10:B21 B23:B25 Q44:Q45 B44:B55 B58:B62 P44:P50 B31:B40 Q36:Q39 P32:P36 P38:P39">
      <formula1>#REF!</formula1>
    </dataValidation>
    <dataValidation type="list" allowBlank="1" showInputMessage="1" showErrorMessage="1" sqref="B22">
      <formula1>$B$9:$B$24</formula1>
    </dataValidation>
    <dataValidation type="list" allowBlank="1" showInputMessage="1" showErrorMessage="1" sqref="P22:Q22 Q47:Q48 Q50">
      <formula1>$P$9:$P$13</formula1>
    </dataValidation>
    <dataValidation type="list" allowBlank="1" showInputMessage="1" showErrorMessage="1" sqref="B56:B57">
      <formula1>$B$9:$B$25</formula1>
    </dataValidation>
    <dataValidation type="list" allowBlank="1" showInputMessage="1" showErrorMessage="1" sqref="P56:P57">
      <formula1>$P$9:$P$14</formula1>
    </dataValidation>
    <dataValidation type="list" allowBlank="1" showInputMessage="1" showErrorMessage="1" sqref="B41:B43">
      <formula1>$B$186:$B$202</formula1>
    </dataValidation>
    <dataValidation type="list" allowBlank="1" showInputMessage="1" showErrorMessage="1" sqref="P41:Q43">
      <formula1>$P$186:$P$191</formula1>
    </dataValidation>
    <dataValidation type="list" allowBlank="1" showInputMessage="1" showErrorMessage="1" sqref="P8:P9">
      <formula1>$P$14:$P$19</formula1>
    </dataValidation>
    <dataValidation type="list" allowBlank="1" showInputMessage="1" showErrorMessage="1" sqref="B8:B9">
      <formula1>$B$14:$B$29</formula1>
    </dataValidation>
    <dataValidation type="list" allowBlank="1" showInputMessage="1" showErrorMessage="1" sqref="B26:B30">
      <formula1>$B$11:$B$27</formula1>
    </dataValidation>
    <dataValidation type="list" allowBlank="1" showInputMessage="1" showErrorMessage="1" sqref="P26:Q30">
      <formula1>$P$11:$P$16</formula1>
    </dataValidation>
  </dataValidations>
  <pageMargins left="0.19685039370078741" right="0.19685039370078741" top="0.35433070866141736" bottom="0.19685039370078741" header="0.19685039370078741" footer="0.19685039370078741"/>
  <pageSetup paperSize="8" scale="45" orientation="landscape" r:id="rId1"/>
  <headerFooter alignWithMargins="0"/>
  <rowBreaks count="3" manualBreakCount="3">
    <brk id="22" max="26" man="1"/>
    <brk id="34" max="26" man="1"/>
    <brk id="51" max="26"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0"/>
  <sheetViews>
    <sheetView zoomScale="90" zoomScaleNormal="90" zoomScaleSheetLayoutView="90" workbookViewId="0">
      <pane ySplit="4" topLeftCell="A18" activePane="bottomLeft" state="frozen"/>
      <selection pane="bottomLeft" activeCell="I21" sqref="I21"/>
    </sheetView>
  </sheetViews>
  <sheetFormatPr defaultRowHeight="13.5"/>
  <cols>
    <col min="1" max="1" width="5.109375" style="6" customWidth="1"/>
    <col min="2" max="2" width="12.33203125" style="6" customWidth="1"/>
    <col min="3" max="3" width="9.109375" style="6" customWidth="1"/>
    <col min="4" max="4" width="17.6640625" style="1" customWidth="1"/>
    <col min="5" max="5" width="12.109375" style="1" customWidth="1"/>
    <col min="6" max="6" width="42" style="1" customWidth="1"/>
    <col min="7" max="7" width="25.109375" style="1" customWidth="1"/>
    <col min="8" max="8" width="12.21875" style="1" customWidth="1"/>
    <col min="9" max="9" width="14.21875" style="1" customWidth="1"/>
    <col min="10" max="13" width="7.6640625" style="1" customWidth="1"/>
    <col min="14" max="14" width="10.21875" style="1" customWidth="1"/>
    <col min="15" max="15" width="30.21875" style="1" customWidth="1"/>
    <col min="16" max="18" width="12.77734375" style="1" customWidth="1"/>
    <col min="19" max="19" width="12.21875" style="1" customWidth="1"/>
    <col min="20" max="20" width="13.33203125" style="1" customWidth="1"/>
    <col min="21" max="21" width="12.77734375" style="1" customWidth="1"/>
    <col min="22" max="25" width="12.21875" style="1" customWidth="1"/>
    <col min="26" max="26" width="12.21875" style="16" customWidth="1"/>
    <col min="27" max="16384" width="8.88671875" style="1"/>
  </cols>
  <sheetData>
    <row r="1" spans="1:27" ht="29.25" customHeight="1">
      <c r="A1" s="304" t="s">
        <v>46</v>
      </c>
      <c r="B1" s="304"/>
      <c r="C1" s="304"/>
      <c r="D1" s="304"/>
      <c r="E1" s="304"/>
      <c r="F1" s="304"/>
      <c r="G1" s="304"/>
      <c r="H1" s="304"/>
      <c r="I1" s="304"/>
      <c r="J1" s="304"/>
      <c r="K1" s="304"/>
      <c r="L1" s="304"/>
      <c r="M1" s="304"/>
      <c r="N1" s="304"/>
      <c r="O1" s="304"/>
      <c r="P1" s="304"/>
      <c r="Q1" s="304"/>
      <c r="R1" s="304"/>
      <c r="S1" s="304"/>
      <c r="T1" s="304"/>
      <c r="U1" s="304"/>
      <c r="V1" s="304"/>
      <c r="W1" s="304"/>
      <c r="X1" s="304"/>
      <c r="Y1" s="304"/>
      <c r="Z1" s="157"/>
    </row>
    <row r="2" spans="1:27" s="2" customFormat="1" ht="17.25" customHeight="1">
      <c r="A2" s="304"/>
      <c r="B2" s="304"/>
      <c r="C2" s="304"/>
      <c r="D2" s="304"/>
      <c r="E2" s="304"/>
      <c r="F2" s="304"/>
      <c r="G2" s="304"/>
      <c r="H2" s="304"/>
      <c r="I2" s="304"/>
      <c r="J2" s="304"/>
      <c r="K2" s="304"/>
      <c r="L2" s="304"/>
      <c r="M2" s="304"/>
      <c r="N2" s="304"/>
      <c r="O2" s="304"/>
      <c r="P2" s="304"/>
      <c r="Q2" s="304"/>
      <c r="R2" s="304"/>
      <c r="S2" s="304"/>
      <c r="T2" s="304"/>
      <c r="U2" s="304"/>
      <c r="V2" s="304"/>
      <c r="W2" s="304"/>
      <c r="X2" s="304"/>
      <c r="Y2" s="304"/>
      <c r="Z2" s="157"/>
    </row>
    <row r="3" spans="1:27" s="2" customFormat="1" ht="50.25" customHeight="1">
      <c r="A3" s="311" t="s">
        <v>4992</v>
      </c>
      <c r="B3" s="311"/>
      <c r="C3" s="311"/>
      <c r="D3" s="311"/>
      <c r="E3" s="311"/>
      <c r="F3" s="138"/>
      <c r="G3" s="138"/>
      <c r="H3" s="138"/>
      <c r="I3" s="305" t="s">
        <v>4021</v>
      </c>
      <c r="J3" s="305"/>
      <c r="K3" s="305"/>
      <c r="L3" s="305"/>
      <c r="M3" s="305"/>
      <c r="N3" s="306" t="s">
        <v>6417</v>
      </c>
      <c r="O3" s="307"/>
      <c r="P3" s="40"/>
      <c r="Q3" s="40"/>
      <c r="R3" s="140"/>
      <c r="S3" s="140"/>
      <c r="T3" s="140"/>
      <c r="U3" s="140"/>
      <c r="V3" s="140"/>
      <c r="W3" s="312" t="s">
        <v>43</v>
      </c>
      <c r="X3" s="312"/>
      <c r="Y3" s="312"/>
      <c r="Z3" s="158"/>
      <c r="AA3" s="17"/>
    </row>
    <row r="4" spans="1:27" ht="39.75" customHeight="1">
      <c r="A4" s="141" t="s">
        <v>3124</v>
      </c>
      <c r="B4" s="141" t="s">
        <v>3125</v>
      </c>
      <c r="C4" s="141" t="s">
        <v>3126</v>
      </c>
      <c r="D4" s="141" t="s">
        <v>1</v>
      </c>
      <c r="E4" s="142" t="s">
        <v>45</v>
      </c>
      <c r="F4" s="141" t="s">
        <v>3127</v>
      </c>
      <c r="G4" s="142" t="s">
        <v>3128</v>
      </c>
      <c r="H4" s="142" t="s">
        <v>3129</v>
      </c>
      <c r="I4" s="142" t="s">
        <v>44</v>
      </c>
      <c r="J4" s="142" t="s">
        <v>3130</v>
      </c>
      <c r="K4" s="142" t="s">
        <v>3131</v>
      </c>
      <c r="L4" s="142" t="s">
        <v>481</v>
      </c>
      <c r="M4" s="142" t="s">
        <v>39</v>
      </c>
      <c r="N4" s="142" t="s">
        <v>3132</v>
      </c>
      <c r="O4" s="142" t="s">
        <v>3133</v>
      </c>
      <c r="P4" s="142" t="s">
        <v>4971</v>
      </c>
      <c r="Q4" s="142" t="s">
        <v>42</v>
      </c>
      <c r="R4" s="143" t="s">
        <v>30</v>
      </c>
      <c r="S4" s="143" t="s">
        <v>3134</v>
      </c>
      <c r="T4" s="143" t="s">
        <v>32</v>
      </c>
      <c r="U4" s="143" t="s">
        <v>6415</v>
      </c>
      <c r="V4" s="143" t="s">
        <v>3135</v>
      </c>
      <c r="W4" s="143" t="s">
        <v>41</v>
      </c>
      <c r="X4" s="143" t="s">
        <v>3136</v>
      </c>
      <c r="Y4" s="143" t="s">
        <v>77</v>
      </c>
      <c r="Z4" s="143" t="s">
        <v>3137</v>
      </c>
    </row>
    <row r="5" spans="1:27" ht="38.25" customHeight="1">
      <c r="A5" s="144">
        <v>1</v>
      </c>
      <c r="B5" s="144" t="s">
        <v>3138</v>
      </c>
      <c r="C5" s="144" t="s">
        <v>3140</v>
      </c>
      <c r="D5" s="79" t="s">
        <v>3141</v>
      </c>
      <c r="E5" s="79" t="s">
        <v>3142</v>
      </c>
      <c r="F5" s="159" t="s">
        <v>3143</v>
      </c>
      <c r="G5" s="160" t="s">
        <v>3144</v>
      </c>
      <c r="H5" s="79" t="s">
        <v>3145</v>
      </c>
      <c r="I5" s="281">
        <f t="shared" ref="I5:I6" si="0">SUM(J5:M5)</f>
        <v>400</v>
      </c>
      <c r="J5" s="281">
        <v>0</v>
      </c>
      <c r="K5" s="281">
        <v>400</v>
      </c>
      <c r="L5" s="281">
        <v>0</v>
      </c>
      <c r="M5" s="281">
        <v>0</v>
      </c>
      <c r="N5" s="79"/>
      <c r="O5" s="79"/>
      <c r="P5" s="79" t="s">
        <v>261</v>
      </c>
      <c r="Q5" s="79"/>
      <c r="R5" s="79" t="s">
        <v>3146</v>
      </c>
      <c r="S5" s="79" t="s">
        <v>108</v>
      </c>
      <c r="T5" s="79" t="s">
        <v>3147</v>
      </c>
      <c r="U5" s="79" t="s">
        <v>3377</v>
      </c>
      <c r="V5" s="79" t="s">
        <v>94</v>
      </c>
      <c r="W5" s="83" t="s">
        <v>3358</v>
      </c>
      <c r="X5" s="83" t="s">
        <v>3358</v>
      </c>
      <c r="Y5" s="83" t="s">
        <v>3358</v>
      </c>
      <c r="Z5" s="79" t="s">
        <v>3148</v>
      </c>
    </row>
    <row r="6" spans="1:27" ht="48">
      <c r="A6" s="144">
        <v>2</v>
      </c>
      <c r="B6" s="144" t="s">
        <v>3138</v>
      </c>
      <c r="C6" s="144" t="s">
        <v>3139</v>
      </c>
      <c r="D6" s="79" t="s">
        <v>3149</v>
      </c>
      <c r="E6" s="79" t="s">
        <v>3069</v>
      </c>
      <c r="F6" s="148" t="s">
        <v>3150</v>
      </c>
      <c r="G6" s="79" t="s">
        <v>3151</v>
      </c>
      <c r="H6" s="79" t="s">
        <v>3152</v>
      </c>
      <c r="I6" s="281">
        <f t="shared" si="0"/>
        <v>1451</v>
      </c>
      <c r="J6" s="281">
        <v>0</v>
      </c>
      <c r="K6" s="281">
        <v>1451</v>
      </c>
      <c r="L6" s="281">
        <v>0</v>
      </c>
      <c r="M6" s="281">
        <v>0</v>
      </c>
      <c r="N6" s="79"/>
      <c r="O6" s="79"/>
      <c r="P6" s="79" t="s">
        <v>304</v>
      </c>
      <c r="Q6" s="79" t="s">
        <v>3153</v>
      </c>
      <c r="R6" s="160" t="s">
        <v>3154</v>
      </c>
      <c r="S6" s="160" t="s">
        <v>373</v>
      </c>
      <c r="T6" s="160" t="s">
        <v>3155</v>
      </c>
      <c r="U6" s="79" t="s">
        <v>3377</v>
      </c>
      <c r="V6" s="160" t="s">
        <v>3157</v>
      </c>
      <c r="W6" s="83">
        <f>SUM(X6:Y6)</f>
        <v>365</v>
      </c>
      <c r="X6" s="83">
        <v>356</v>
      </c>
      <c r="Y6" s="83">
        <v>9</v>
      </c>
      <c r="Z6" s="79" t="s">
        <v>3158</v>
      </c>
    </row>
    <row r="7" spans="1:27" ht="48">
      <c r="A7" s="144">
        <v>3</v>
      </c>
      <c r="B7" s="144" t="s">
        <v>3138</v>
      </c>
      <c r="C7" s="144" t="s">
        <v>3139</v>
      </c>
      <c r="D7" s="144" t="s">
        <v>3159</v>
      </c>
      <c r="E7" s="79" t="s">
        <v>3160</v>
      </c>
      <c r="F7" s="148" t="s">
        <v>3161</v>
      </c>
      <c r="G7" s="79" t="s">
        <v>3162</v>
      </c>
      <c r="H7" s="79" t="s">
        <v>3163</v>
      </c>
      <c r="I7" s="281">
        <f>SUM(J7:M7)</f>
        <v>1500</v>
      </c>
      <c r="J7" s="281">
        <v>0</v>
      </c>
      <c r="K7" s="282">
        <v>1500</v>
      </c>
      <c r="L7" s="281">
        <v>0</v>
      </c>
      <c r="M7" s="281">
        <v>0</v>
      </c>
      <c r="N7" s="144"/>
      <c r="O7" s="144"/>
      <c r="P7" s="79" t="s">
        <v>304</v>
      </c>
      <c r="Q7" s="79" t="s">
        <v>2342</v>
      </c>
      <c r="R7" s="79" t="s">
        <v>3164</v>
      </c>
      <c r="S7" s="79" t="s">
        <v>108</v>
      </c>
      <c r="T7" s="79" t="s">
        <v>91</v>
      </c>
      <c r="U7" s="79" t="s">
        <v>3434</v>
      </c>
      <c r="V7" s="79" t="s">
        <v>3165</v>
      </c>
      <c r="W7" s="83">
        <f t="shared" ref="W7" si="1">SUM(X7:Y7)</f>
        <v>155</v>
      </c>
      <c r="X7" s="83">
        <v>155</v>
      </c>
      <c r="Y7" s="83">
        <v>0</v>
      </c>
      <c r="Z7" s="79" t="s">
        <v>133</v>
      </c>
    </row>
    <row r="8" spans="1:27" ht="46.5" customHeight="1">
      <c r="A8" s="144">
        <v>4</v>
      </c>
      <c r="B8" s="144" t="s">
        <v>3138</v>
      </c>
      <c r="C8" s="144" t="s">
        <v>3139</v>
      </c>
      <c r="D8" s="79" t="s">
        <v>3166</v>
      </c>
      <c r="E8" s="79" t="s">
        <v>734</v>
      </c>
      <c r="F8" s="148" t="s">
        <v>3167</v>
      </c>
      <c r="G8" s="79" t="s">
        <v>3168</v>
      </c>
      <c r="H8" s="79" t="s">
        <v>3169</v>
      </c>
      <c r="I8" s="281">
        <f t="shared" ref="I8:I32" si="2">SUM(J8:M8)</f>
        <v>458</v>
      </c>
      <c r="J8" s="281">
        <v>0</v>
      </c>
      <c r="K8" s="281">
        <v>458</v>
      </c>
      <c r="L8" s="281">
        <v>0</v>
      </c>
      <c r="M8" s="281">
        <v>0</v>
      </c>
      <c r="N8" s="79"/>
      <c r="O8" s="79"/>
      <c r="P8" s="79" t="s">
        <v>247</v>
      </c>
      <c r="Q8" s="79"/>
      <c r="R8" s="79" t="s">
        <v>3170</v>
      </c>
      <c r="S8" s="79" t="s">
        <v>3171</v>
      </c>
      <c r="T8" s="79" t="s">
        <v>183</v>
      </c>
      <c r="U8" s="79" t="s">
        <v>3377</v>
      </c>
      <c r="V8" s="79" t="s">
        <v>1924</v>
      </c>
      <c r="W8" s="83">
        <v>150</v>
      </c>
      <c r="X8" s="83">
        <v>139</v>
      </c>
      <c r="Y8" s="83">
        <v>11</v>
      </c>
      <c r="Z8" s="79" t="s">
        <v>3172</v>
      </c>
    </row>
    <row r="9" spans="1:27" ht="124.5" customHeight="1">
      <c r="A9" s="144">
        <v>5</v>
      </c>
      <c r="B9" s="144" t="s">
        <v>3138</v>
      </c>
      <c r="C9" s="144" t="s">
        <v>3173</v>
      </c>
      <c r="D9" s="79" t="s">
        <v>3174</v>
      </c>
      <c r="E9" s="79" t="s">
        <v>7059</v>
      </c>
      <c r="F9" s="152" t="s">
        <v>4975</v>
      </c>
      <c r="G9" s="79" t="s">
        <v>3175</v>
      </c>
      <c r="H9" s="79" t="s">
        <v>1655</v>
      </c>
      <c r="I9" s="281">
        <f t="shared" si="2"/>
        <v>250</v>
      </c>
      <c r="J9" s="281">
        <v>0</v>
      </c>
      <c r="K9" s="281">
        <v>250</v>
      </c>
      <c r="L9" s="281">
        <v>0</v>
      </c>
      <c r="M9" s="281">
        <v>0</v>
      </c>
      <c r="N9" s="79"/>
      <c r="O9" s="147"/>
      <c r="P9" s="79" t="s">
        <v>1176</v>
      </c>
      <c r="Q9" s="79" t="s">
        <v>2342</v>
      </c>
      <c r="R9" s="79" t="s">
        <v>3176</v>
      </c>
      <c r="S9" s="79" t="s">
        <v>108</v>
      </c>
      <c r="T9" s="79" t="s">
        <v>3177</v>
      </c>
      <c r="U9" s="79" t="s">
        <v>93</v>
      </c>
      <c r="V9" s="79" t="s">
        <v>3178</v>
      </c>
      <c r="W9" s="83">
        <f>SUM(X9:Y9)</f>
        <v>3</v>
      </c>
      <c r="X9" s="83">
        <v>3</v>
      </c>
      <c r="Y9" s="83">
        <v>0</v>
      </c>
      <c r="Z9" s="79" t="s">
        <v>3179</v>
      </c>
    </row>
    <row r="10" spans="1:27" ht="84">
      <c r="A10" s="144">
        <v>6</v>
      </c>
      <c r="B10" s="144" t="s">
        <v>3138</v>
      </c>
      <c r="C10" s="144" t="s">
        <v>3180</v>
      </c>
      <c r="D10" s="79" t="s">
        <v>3181</v>
      </c>
      <c r="E10" s="79" t="s">
        <v>7060</v>
      </c>
      <c r="F10" s="148" t="s">
        <v>3182</v>
      </c>
      <c r="G10" s="79" t="s">
        <v>3183</v>
      </c>
      <c r="H10" s="79" t="s">
        <v>3184</v>
      </c>
      <c r="I10" s="281">
        <f t="shared" si="2"/>
        <v>170</v>
      </c>
      <c r="J10" s="281">
        <v>0</v>
      </c>
      <c r="K10" s="281">
        <v>20</v>
      </c>
      <c r="L10" s="281">
        <v>0</v>
      </c>
      <c r="M10" s="281">
        <v>150</v>
      </c>
      <c r="N10" s="79"/>
      <c r="O10" s="79"/>
      <c r="P10" s="79" t="s">
        <v>209</v>
      </c>
      <c r="Q10" s="79"/>
      <c r="R10" s="79" t="s">
        <v>3185</v>
      </c>
      <c r="S10" s="79" t="s">
        <v>3186</v>
      </c>
      <c r="T10" s="79" t="s">
        <v>3187</v>
      </c>
      <c r="U10" s="79" t="s">
        <v>3377</v>
      </c>
      <c r="V10" s="79" t="s">
        <v>3188</v>
      </c>
      <c r="W10" s="83">
        <f>SUM(X10:Y10)</f>
        <v>29</v>
      </c>
      <c r="X10" s="83">
        <v>29</v>
      </c>
      <c r="Y10" s="83">
        <v>0</v>
      </c>
      <c r="Z10" s="79" t="s">
        <v>3189</v>
      </c>
    </row>
    <row r="11" spans="1:27" ht="38.25" customHeight="1">
      <c r="A11" s="144">
        <v>7</v>
      </c>
      <c r="B11" s="144" t="s">
        <v>3138</v>
      </c>
      <c r="C11" s="144" t="s">
        <v>3191</v>
      </c>
      <c r="D11" s="79" t="s">
        <v>3192</v>
      </c>
      <c r="E11" s="79" t="s">
        <v>7061</v>
      </c>
      <c r="F11" s="148" t="s">
        <v>3193</v>
      </c>
      <c r="G11" s="79" t="s">
        <v>3194</v>
      </c>
      <c r="H11" s="79" t="s">
        <v>753</v>
      </c>
      <c r="I11" s="281">
        <f t="shared" si="2"/>
        <v>160</v>
      </c>
      <c r="J11" s="281">
        <v>0</v>
      </c>
      <c r="K11" s="281">
        <v>160</v>
      </c>
      <c r="L11" s="281">
        <v>0</v>
      </c>
      <c r="M11" s="281">
        <v>0</v>
      </c>
      <c r="N11" s="79"/>
      <c r="O11" s="79"/>
      <c r="P11" s="79" t="s">
        <v>5</v>
      </c>
      <c r="Q11" s="79"/>
      <c r="R11" s="79" t="s">
        <v>3195</v>
      </c>
      <c r="S11" s="79" t="s">
        <v>3171</v>
      </c>
      <c r="T11" s="79" t="s">
        <v>91</v>
      </c>
      <c r="U11" s="79" t="s">
        <v>3377</v>
      </c>
      <c r="V11" s="79" t="s">
        <v>3196</v>
      </c>
      <c r="W11" s="83">
        <f>SUM(X11:Y11)</f>
        <v>22</v>
      </c>
      <c r="X11" s="83">
        <v>18</v>
      </c>
      <c r="Y11" s="83">
        <v>4</v>
      </c>
      <c r="Z11" s="79" t="s">
        <v>3197</v>
      </c>
    </row>
    <row r="12" spans="1:27" ht="63.75" customHeight="1">
      <c r="A12" s="144">
        <v>8</v>
      </c>
      <c r="B12" s="144" t="s">
        <v>3138</v>
      </c>
      <c r="C12" s="144" t="s">
        <v>3198</v>
      </c>
      <c r="D12" s="79" t="s">
        <v>3199</v>
      </c>
      <c r="E12" s="84" t="s">
        <v>7062</v>
      </c>
      <c r="F12" s="85" t="s">
        <v>3200</v>
      </c>
      <c r="G12" s="79" t="s">
        <v>3201</v>
      </c>
      <c r="H12" s="79" t="s">
        <v>3203</v>
      </c>
      <c r="I12" s="281">
        <f t="shared" si="2"/>
        <v>292</v>
      </c>
      <c r="J12" s="281">
        <v>0</v>
      </c>
      <c r="K12" s="281">
        <v>271</v>
      </c>
      <c r="L12" s="281">
        <v>0</v>
      </c>
      <c r="M12" s="281">
        <v>21</v>
      </c>
      <c r="N12" s="79"/>
      <c r="O12" s="79"/>
      <c r="P12" s="79" t="s">
        <v>261</v>
      </c>
      <c r="Q12" s="79"/>
      <c r="R12" s="160" t="s">
        <v>3204</v>
      </c>
      <c r="S12" s="160" t="s">
        <v>373</v>
      </c>
      <c r="T12" s="160" t="s">
        <v>3155</v>
      </c>
      <c r="U12" s="160" t="s">
        <v>3156</v>
      </c>
      <c r="V12" s="160" t="s">
        <v>3157</v>
      </c>
      <c r="W12" s="83">
        <f t="shared" ref="W12" si="3">SUM(X12:Y12)</f>
        <v>358</v>
      </c>
      <c r="X12" s="83">
        <v>353</v>
      </c>
      <c r="Y12" s="83">
        <v>5</v>
      </c>
      <c r="Z12" s="79" t="s">
        <v>3205</v>
      </c>
    </row>
    <row r="13" spans="1:27" ht="59.25" customHeight="1">
      <c r="A13" s="144">
        <v>9</v>
      </c>
      <c r="B13" s="144" t="s">
        <v>3138</v>
      </c>
      <c r="C13" s="144" t="s">
        <v>3206</v>
      </c>
      <c r="D13" s="79" t="s">
        <v>3207</v>
      </c>
      <c r="E13" s="79" t="s">
        <v>5313</v>
      </c>
      <c r="F13" s="148" t="s">
        <v>3208</v>
      </c>
      <c r="G13" s="79" t="s">
        <v>3209</v>
      </c>
      <c r="H13" s="79" t="s">
        <v>3210</v>
      </c>
      <c r="I13" s="281">
        <f t="shared" si="2"/>
        <v>29</v>
      </c>
      <c r="J13" s="281">
        <v>0</v>
      </c>
      <c r="K13" s="281">
        <v>20</v>
      </c>
      <c r="L13" s="281">
        <v>0</v>
      </c>
      <c r="M13" s="281">
        <v>9</v>
      </c>
      <c r="N13" s="79"/>
      <c r="O13" s="79"/>
      <c r="P13" s="79" t="s">
        <v>261</v>
      </c>
      <c r="Q13" s="137"/>
      <c r="R13" s="79" t="s">
        <v>628</v>
      </c>
      <c r="S13" s="79" t="s">
        <v>108</v>
      </c>
      <c r="T13" s="79" t="s">
        <v>3147</v>
      </c>
      <c r="U13" s="79" t="s">
        <v>3377</v>
      </c>
      <c r="V13" s="79" t="s">
        <v>94</v>
      </c>
      <c r="W13" s="83">
        <f>SUM(X13:Y13)</f>
        <v>200</v>
      </c>
      <c r="X13" s="83">
        <v>196</v>
      </c>
      <c r="Y13" s="83">
        <v>4</v>
      </c>
      <c r="Z13" s="83" t="s">
        <v>3211</v>
      </c>
    </row>
    <row r="14" spans="1:27" ht="46.5" customHeight="1">
      <c r="A14" s="144">
        <v>10</v>
      </c>
      <c r="B14" s="144" t="s">
        <v>3138</v>
      </c>
      <c r="C14" s="144" t="s">
        <v>3212</v>
      </c>
      <c r="D14" s="79" t="s">
        <v>3213</v>
      </c>
      <c r="E14" s="79" t="s">
        <v>3214</v>
      </c>
      <c r="F14" s="148" t="s">
        <v>3215</v>
      </c>
      <c r="G14" s="79" t="s">
        <v>3216</v>
      </c>
      <c r="H14" s="79" t="s">
        <v>330</v>
      </c>
      <c r="I14" s="281">
        <f t="shared" si="2"/>
        <v>200</v>
      </c>
      <c r="J14" s="281">
        <v>0</v>
      </c>
      <c r="K14" s="281">
        <v>200</v>
      </c>
      <c r="L14" s="281">
        <v>0</v>
      </c>
      <c r="M14" s="281">
        <v>0</v>
      </c>
      <c r="N14" s="79" t="s">
        <v>2902</v>
      </c>
      <c r="O14" s="79" t="s">
        <v>2902</v>
      </c>
      <c r="P14" s="79" t="s">
        <v>261</v>
      </c>
      <c r="Q14" s="79"/>
      <c r="R14" s="79" t="s">
        <v>3217</v>
      </c>
      <c r="S14" s="79" t="s">
        <v>108</v>
      </c>
      <c r="T14" s="79" t="s">
        <v>183</v>
      </c>
      <c r="U14" s="79" t="s">
        <v>3377</v>
      </c>
      <c r="V14" s="79" t="s">
        <v>1924</v>
      </c>
      <c r="W14" s="83">
        <v>150</v>
      </c>
      <c r="X14" s="83">
        <v>141</v>
      </c>
      <c r="Y14" s="83">
        <v>9</v>
      </c>
      <c r="Z14" s="79" t="s">
        <v>3218</v>
      </c>
    </row>
    <row r="15" spans="1:27" ht="38.25" customHeight="1">
      <c r="A15" s="144">
        <v>11</v>
      </c>
      <c r="B15" s="144" t="s">
        <v>3138</v>
      </c>
      <c r="C15" s="162" t="s">
        <v>3212</v>
      </c>
      <c r="D15" s="160" t="s">
        <v>3219</v>
      </c>
      <c r="E15" s="160" t="s">
        <v>7063</v>
      </c>
      <c r="F15" s="159" t="s">
        <v>3220</v>
      </c>
      <c r="G15" s="160" t="s">
        <v>3221</v>
      </c>
      <c r="H15" s="160" t="s">
        <v>3222</v>
      </c>
      <c r="I15" s="281">
        <f t="shared" si="2"/>
        <v>30</v>
      </c>
      <c r="J15" s="281">
        <v>0</v>
      </c>
      <c r="K15" s="281">
        <v>15</v>
      </c>
      <c r="L15" s="281">
        <v>0</v>
      </c>
      <c r="M15" s="281">
        <v>15</v>
      </c>
      <c r="N15" s="79"/>
      <c r="O15" s="79"/>
      <c r="P15" s="79" t="s">
        <v>209</v>
      </c>
      <c r="Q15" s="79"/>
      <c r="R15" s="79" t="s">
        <v>3223</v>
      </c>
      <c r="S15" s="79" t="s">
        <v>3186</v>
      </c>
      <c r="T15" s="79" t="s">
        <v>183</v>
      </c>
      <c r="U15" s="79" t="s">
        <v>3377</v>
      </c>
      <c r="V15" s="79" t="s">
        <v>3224</v>
      </c>
      <c r="W15" s="83">
        <f>SUM(X15:Y15)</f>
        <v>31</v>
      </c>
      <c r="X15" s="83">
        <v>31</v>
      </c>
      <c r="Y15" s="83">
        <v>0</v>
      </c>
      <c r="Z15" s="79" t="s">
        <v>3225</v>
      </c>
    </row>
    <row r="16" spans="1:27" ht="60">
      <c r="A16" s="144">
        <v>12</v>
      </c>
      <c r="B16" s="144" t="s">
        <v>3138</v>
      </c>
      <c r="C16" s="144" t="s">
        <v>3190</v>
      </c>
      <c r="D16" s="79" t="s">
        <v>3226</v>
      </c>
      <c r="E16" s="79" t="s">
        <v>3227</v>
      </c>
      <c r="F16" s="148" t="s">
        <v>3228</v>
      </c>
      <c r="G16" s="79" t="s">
        <v>3229</v>
      </c>
      <c r="H16" s="79" t="s">
        <v>2972</v>
      </c>
      <c r="I16" s="281">
        <f t="shared" si="2"/>
        <v>29</v>
      </c>
      <c r="J16" s="281">
        <v>0</v>
      </c>
      <c r="K16" s="281">
        <v>20</v>
      </c>
      <c r="L16" s="281">
        <v>0</v>
      </c>
      <c r="M16" s="281">
        <v>9</v>
      </c>
      <c r="N16" s="79"/>
      <c r="O16" s="79"/>
      <c r="P16" s="79" t="s">
        <v>87</v>
      </c>
      <c r="Q16" s="79"/>
      <c r="R16" s="79" t="s">
        <v>3230</v>
      </c>
      <c r="S16" s="79" t="s">
        <v>108</v>
      </c>
      <c r="T16" s="79" t="s">
        <v>3231</v>
      </c>
      <c r="U16" s="79" t="s">
        <v>3377</v>
      </c>
      <c r="V16" s="79" t="s">
        <v>466</v>
      </c>
      <c r="W16" s="83">
        <v>20</v>
      </c>
      <c r="X16" s="83">
        <v>17</v>
      </c>
      <c r="Y16" s="83">
        <v>3</v>
      </c>
      <c r="Z16" s="79" t="s">
        <v>3232</v>
      </c>
    </row>
    <row r="17" spans="1:26" ht="38.25" customHeight="1">
      <c r="A17" s="144">
        <v>13</v>
      </c>
      <c r="B17" s="144" t="s">
        <v>3138</v>
      </c>
      <c r="C17" s="144" t="s">
        <v>3234</v>
      </c>
      <c r="D17" s="79" t="s">
        <v>3235</v>
      </c>
      <c r="E17" s="79" t="s">
        <v>3236</v>
      </c>
      <c r="F17" s="148" t="s">
        <v>3237</v>
      </c>
      <c r="G17" s="79" t="s">
        <v>3238</v>
      </c>
      <c r="H17" s="79" t="s">
        <v>3239</v>
      </c>
      <c r="I17" s="281">
        <f t="shared" si="2"/>
        <v>64</v>
      </c>
      <c r="J17" s="281">
        <v>0</v>
      </c>
      <c r="K17" s="281">
        <v>45</v>
      </c>
      <c r="L17" s="281">
        <v>0</v>
      </c>
      <c r="M17" s="281">
        <v>19</v>
      </c>
      <c r="N17" s="79"/>
      <c r="O17" s="79"/>
      <c r="P17" s="79" t="s">
        <v>209</v>
      </c>
      <c r="Q17" s="79"/>
      <c r="R17" s="79" t="s">
        <v>3240</v>
      </c>
      <c r="S17" s="79" t="s">
        <v>3171</v>
      </c>
      <c r="T17" s="79" t="s">
        <v>3241</v>
      </c>
      <c r="U17" s="79" t="s">
        <v>3377</v>
      </c>
      <c r="V17" s="79" t="s">
        <v>94</v>
      </c>
      <c r="W17" s="83">
        <f>SUM(X17:Y17)</f>
        <v>20</v>
      </c>
      <c r="X17" s="83">
        <v>19</v>
      </c>
      <c r="Y17" s="83">
        <v>1</v>
      </c>
      <c r="Z17" s="79" t="s">
        <v>3242</v>
      </c>
    </row>
    <row r="18" spans="1:26" ht="68.25" customHeight="1">
      <c r="A18" s="144">
        <v>14</v>
      </c>
      <c r="B18" s="144" t="s">
        <v>3138</v>
      </c>
      <c r="C18" s="80" t="s">
        <v>3191</v>
      </c>
      <c r="D18" s="144" t="s">
        <v>3243</v>
      </c>
      <c r="E18" s="79" t="s">
        <v>3244</v>
      </c>
      <c r="F18" s="148" t="s">
        <v>3245</v>
      </c>
      <c r="G18" s="172" t="s">
        <v>7100</v>
      </c>
      <c r="H18" s="79" t="s">
        <v>1818</v>
      </c>
      <c r="I18" s="281">
        <f t="shared" si="2"/>
        <v>28.6</v>
      </c>
      <c r="J18" s="281">
        <v>0</v>
      </c>
      <c r="K18" s="282">
        <v>20</v>
      </c>
      <c r="L18" s="281">
        <v>0</v>
      </c>
      <c r="M18" s="282">
        <v>8.6</v>
      </c>
      <c r="N18" s="144"/>
      <c r="O18" s="144"/>
      <c r="P18" s="79" t="s">
        <v>3246</v>
      </c>
      <c r="Q18" s="79"/>
      <c r="R18" s="79" t="s">
        <v>3247</v>
      </c>
      <c r="S18" s="79" t="s">
        <v>3248</v>
      </c>
      <c r="T18" s="79" t="s">
        <v>183</v>
      </c>
      <c r="U18" s="79" t="s">
        <v>3377</v>
      </c>
      <c r="V18" s="79" t="s">
        <v>164</v>
      </c>
      <c r="W18" s="83">
        <f t="shared" ref="W18" si="4">SUM(X18:Y18)</f>
        <v>3500</v>
      </c>
      <c r="X18" s="83">
        <v>3300</v>
      </c>
      <c r="Y18" s="83">
        <v>200</v>
      </c>
      <c r="Z18" s="79" t="s">
        <v>3249</v>
      </c>
    </row>
    <row r="19" spans="1:26" ht="45.75" customHeight="1">
      <c r="A19" s="144">
        <v>15</v>
      </c>
      <c r="B19" s="144" t="s">
        <v>3138</v>
      </c>
      <c r="C19" s="144" t="s">
        <v>3233</v>
      </c>
      <c r="D19" s="79" t="s">
        <v>3250</v>
      </c>
      <c r="E19" s="79" t="s">
        <v>3251</v>
      </c>
      <c r="F19" s="148" t="s">
        <v>3252</v>
      </c>
      <c r="G19" s="79" t="s">
        <v>3253</v>
      </c>
      <c r="H19" s="79" t="s">
        <v>3254</v>
      </c>
      <c r="I19" s="281">
        <f t="shared" si="2"/>
        <v>29</v>
      </c>
      <c r="J19" s="281">
        <v>0</v>
      </c>
      <c r="K19" s="281">
        <v>20</v>
      </c>
      <c r="L19" s="281">
        <v>0</v>
      </c>
      <c r="M19" s="281">
        <v>9</v>
      </c>
      <c r="N19" s="79"/>
      <c r="O19" s="79"/>
      <c r="P19" s="79" t="s">
        <v>261</v>
      </c>
      <c r="Q19" s="137"/>
      <c r="R19" s="79" t="s">
        <v>3255</v>
      </c>
      <c r="S19" s="79" t="s">
        <v>3171</v>
      </c>
      <c r="T19" s="79" t="s">
        <v>3256</v>
      </c>
      <c r="U19" s="79" t="s">
        <v>3377</v>
      </c>
      <c r="V19" s="79" t="s">
        <v>3257</v>
      </c>
      <c r="W19" s="83">
        <f>SUM(X19:Y19)</f>
        <v>10</v>
      </c>
      <c r="X19" s="83">
        <v>10</v>
      </c>
      <c r="Y19" s="83">
        <v>0</v>
      </c>
      <c r="Z19" s="83" t="s">
        <v>3258</v>
      </c>
    </row>
    <row r="20" spans="1:26" ht="36">
      <c r="A20" s="144">
        <v>16</v>
      </c>
      <c r="B20" s="144" t="s">
        <v>27</v>
      </c>
      <c r="C20" s="80" t="s">
        <v>3259</v>
      </c>
      <c r="D20" s="144" t="s">
        <v>3260</v>
      </c>
      <c r="E20" s="79" t="s">
        <v>3261</v>
      </c>
      <c r="F20" s="148" t="s">
        <v>3262</v>
      </c>
      <c r="G20" s="79" t="s">
        <v>3263</v>
      </c>
      <c r="H20" s="79" t="s">
        <v>1482</v>
      </c>
      <c r="I20" s="281">
        <f t="shared" si="2"/>
        <v>36</v>
      </c>
      <c r="J20" s="282">
        <v>0</v>
      </c>
      <c r="K20" s="282">
        <v>25</v>
      </c>
      <c r="L20" s="282">
        <v>0</v>
      </c>
      <c r="M20" s="282">
        <v>11</v>
      </c>
      <c r="N20" s="144"/>
      <c r="O20" s="144"/>
      <c r="P20" s="79" t="s">
        <v>87</v>
      </c>
      <c r="Q20" s="79"/>
      <c r="R20" s="79" t="s">
        <v>3264</v>
      </c>
      <c r="S20" s="79" t="s">
        <v>108</v>
      </c>
      <c r="T20" s="79" t="s">
        <v>3265</v>
      </c>
      <c r="U20" s="79" t="s">
        <v>3377</v>
      </c>
      <c r="V20" s="79" t="s">
        <v>3266</v>
      </c>
      <c r="W20" s="83">
        <v>31</v>
      </c>
      <c r="X20" s="83">
        <v>30</v>
      </c>
      <c r="Y20" s="83">
        <v>1</v>
      </c>
      <c r="Z20" s="79" t="s">
        <v>3267</v>
      </c>
    </row>
    <row r="21" spans="1:26" s="58" customFormat="1" ht="72" customHeight="1">
      <c r="A21" s="144">
        <v>17</v>
      </c>
      <c r="B21" s="146" t="s">
        <v>3138</v>
      </c>
      <c r="C21" s="146" t="s">
        <v>3190</v>
      </c>
      <c r="D21" s="84" t="s">
        <v>3268</v>
      </c>
      <c r="E21" s="84" t="s">
        <v>3269</v>
      </c>
      <c r="F21" s="85" t="s">
        <v>3270</v>
      </c>
      <c r="G21" s="84" t="s">
        <v>3271</v>
      </c>
      <c r="H21" s="84" t="s">
        <v>3272</v>
      </c>
      <c r="I21" s="281">
        <f t="shared" si="2"/>
        <v>28.5</v>
      </c>
      <c r="J21" s="281">
        <v>0</v>
      </c>
      <c r="K21" s="281">
        <v>20</v>
      </c>
      <c r="L21" s="281">
        <v>0</v>
      </c>
      <c r="M21" s="281">
        <v>8.5</v>
      </c>
      <c r="N21" s="84"/>
      <c r="O21" s="84"/>
      <c r="P21" s="84" t="s">
        <v>788</v>
      </c>
      <c r="Q21" s="84"/>
      <c r="R21" s="84" t="s">
        <v>3273</v>
      </c>
      <c r="S21" s="84" t="s">
        <v>108</v>
      </c>
      <c r="T21" s="84" t="s">
        <v>1420</v>
      </c>
      <c r="U21" s="79" t="s">
        <v>3377</v>
      </c>
      <c r="V21" s="84" t="s">
        <v>323</v>
      </c>
      <c r="W21" s="86">
        <f>SUM(X21:Y21)</f>
        <v>5000</v>
      </c>
      <c r="X21" s="86">
        <v>4300</v>
      </c>
      <c r="Y21" s="86">
        <v>700</v>
      </c>
      <c r="Z21" s="84" t="s">
        <v>3274</v>
      </c>
    </row>
    <row r="22" spans="1:26" ht="60">
      <c r="A22" s="144">
        <v>18</v>
      </c>
      <c r="B22" s="144" t="s">
        <v>3138</v>
      </c>
      <c r="C22" s="144" t="s">
        <v>3275</v>
      </c>
      <c r="D22" s="79" t="s">
        <v>3276</v>
      </c>
      <c r="E22" s="79" t="s">
        <v>3277</v>
      </c>
      <c r="F22" s="163" t="s">
        <v>3433</v>
      </c>
      <c r="G22" s="172" t="s">
        <v>7101</v>
      </c>
      <c r="H22" s="79" t="s">
        <v>3278</v>
      </c>
      <c r="I22" s="281">
        <f t="shared" si="2"/>
        <v>28</v>
      </c>
      <c r="J22" s="281">
        <v>0</v>
      </c>
      <c r="K22" s="281">
        <v>25</v>
      </c>
      <c r="L22" s="281">
        <v>0</v>
      </c>
      <c r="M22" s="281">
        <v>3</v>
      </c>
      <c r="N22" s="79"/>
      <c r="O22" s="79"/>
      <c r="P22" s="79" t="s">
        <v>1177</v>
      </c>
      <c r="Q22" s="79"/>
      <c r="R22" s="79" t="s">
        <v>3279</v>
      </c>
      <c r="S22" s="79" t="s">
        <v>312</v>
      </c>
      <c r="T22" s="79" t="s">
        <v>3231</v>
      </c>
      <c r="U22" s="79" t="s">
        <v>3377</v>
      </c>
      <c r="V22" s="79" t="s">
        <v>252</v>
      </c>
      <c r="W22" s="83">
        <f>SUM(X22:Y22)</f>
        <v>2000</v>
      </c>
      <c r="X22" s="83">
        <v>1950</v>
      </c>
      <c r="Y22" s="83">
        <v>50</v>
      </c>
      <c r="Z22" s="79" t="s">
        <v>3280</v>
      </c>
    </row>
    <row r="23" spans="1:26" ht="78.75" customHeight="1">
      <c r="A23" s="144">
        <v>19</v>
      </c>
      <c r="B23" s="144" t="s">
        <v>3138</v>
      </c>
      <c r="C23" s="146" t="s">
        <v>3206</v>
      </c>
      <c r="D23" s="79" t="s">
        <v>3281</v>
      </c>
      <c r="E23" s="79" t="s">
        <v>3282</v>
      </c>
      <c r="F23" s="148" t="s">
        <v>3283</v>
      </c>
      <c r="G23" s="79" t="s">
        <v>3284</v>
      </c>
      <c r="H23" s="79" t="s">
        <v>3285</v>
      </c>
      <c r="I23" s="281">
        <f t="shared" si="2"/>
        <v>29</v>
      </c>
      <c r="J23" s="281">
        <v>0</v>
      </c>
      <c r="K23" s="281">
        <v>20</v>
      </c>
      <c r="L23" s="281">
        <v>0</v>
      </c>
      <c r="M23" s="281">
        <v>9</v>
      </c>
      <c r="N23" s="79"/>
      <c r="O23" s="79"/>
      <c r="P23" s="79" t="s">
        <v>304</v>
      </c>
      <c r="Q23" s="79"/>
      <c r="R23" s="79" t="s">
        <v>3286</v>
      </c>
      <c r="S23" s="79" t="s">
        <v>312</v>
      </c>
      <c r="T23" s="79" t="s">
        <v>630</v>
      </c>
      <c r="U23" s="79" t="s">
        <v>3377</v>
      </c>
      <c r="V23" s="79" t="s">
        <v>3287</v>
      </c>
      <c r="W23" s="83">
        <f>SUM(X23:Y23)</f>
        <v>5</v>
      </c>
      <c r="X23" s="83">
        <v>5</v>
      </c>
      <c r="Y23" s="83">
        <v>0</v>
      </c>
      <c r="Z23" s="79" t="s">
        <v>3288</v>
      </c>
    </row>
    <row r="24" spans="1:26" ht="38.25" customHeight="1">
      <c r="A24" s="144">
        <v>20</v>
      </c>
      <c r="B24" s="144" t="s">
        <v>3138</v>
      </c>
      <c r="C24" s="144" t="s">
        <v>3289</v>
      </c>
      <c r="D24" s="79" t="s">
        <v>3290</v>
      </c>
      <c r="E24" s="79" t="s">
        <v>3291</v>
      </c>
      <c r="F24" s="148" t="s">
        <v>3292</v>
      </c>
      <c r="G24" s="79" t="s">
        <v>3293</v>
      </c>
      <c r="H24" s="79" t="s">
        <v>3294</v>
      </c>
      <c r="I24" s="281">
        <f t="shared" si="2"/>
        <v>71</v>
      </c>
      <c r="J24" s="281">
        <v>0</v>
      </c>
      <c r="K24" s="282">
        <v>50</v>
      </c>
      <c r="L24" s="281">
        <v>0</v>
      </c>
      <c r="M24" s="282">
        <v>21</v>
      </c>
      <c r="N24" s="144"/>
      <c r="O24" s="144"/>
      <c r="P24" s="79" t="s">
        <v>261</v>
      </c>
      <c r="Q24" s="79"/>
      <c r="R24" s="79" t="s">
        <v>3295</v>
      </c>
      <c r="S24" s="79" t="s">
        <v>373</v>
      </c>
      <c r="T24" s="79" t="s">
        <v>374</v>
      </c>
      <c r="U24" s="79" t="s">
        <v>3377</v>
      </c>
      <c r="V24" s="79" t="s">
        <v>2849</v>
      </c>
      <c r="W24" s="83">
        <v>20</v>
      </c>
      <c r="X24" s="83">
        <v>20</v>
      </c>
      <c r="Y24" s="83">
        <v>0</v>
      </c>
      <c r="Z24" s="79" t="s">
        <v>1029</v>
      </c>
    </row>
    <row r="25" spans="1:26" ht="38.25" customHeight="1">
      <c r="A25" s="144">
        <v>21</v>
      </c>
      <c r="B25" s="144" t="s">
        <v>27</v>
      </c>
      <c r="C25" s="144" t="s">
        <v>3190</v>
      </c>
      <c r="D25" s="79" t="s">
        <v>3296</v>
      </c>
      <c r="E25" s="79" t="s">
        <v>3297</v>
      </c>
      <c r="F25" s="148" t="s">
        <v>3298</v>
      </c>
      <c r="G25" s="79" t="s">
        <v>3299</v>
      </c>
      <c r="H25" s="79" t="s">
        <v>3300</v>
      </c>
      <c r="I25" s="281">
        <f t="shared" si="2"/>
        <v>29</v>
      </c>
      <c r="J25" s="281">
        <v>0</v>
      </c>
      <c r="K25" s="281">
        <v>20</v>
      </c>
      <c r="L25" s="281">
        <v>0</v>
      </c>
      <c r="M25" s="281">
        <v>9</v>
      </c>
      <c r="N25" s="79"/>
      <c r="O25" s="79"/>
      <c r="P25" s="79" t="s">
        <v>261</v>
      </c>
      <c r="Q25" s="79"/>
      <c r="R25" s="79" t="s">
        <v>3301</v>
      </c>
      <c r="S25" s="79" t="s">
        <v>312</v>
      </c>
      <c r="T25" s="79" t="s">
        <v>183</v>
      </c>
      <c r="U25" s="79" t="s">
        <v>3377</v>
      </c>
      <c r="V25" s="79" t="s">
        <v>212</v>
      </c>
      <c r="W25" s="83">
        <f>SUM(X25:Y25)</f>
        <v>3</v>
      </c>
      <c r="X25" s="83">
        <v>2</v>
      </c>
      <c r="Y25" s="83">
        <v>1</v>
      </c>
      <c r="Z25" s="79" t="s">
        <v>3302</v>
      </c>
    </row>
    <row r="26" spans="1:26" ht="38.25" customHeight="1">
      <c r="A26" s="144">
        <v>22</v>
      </c>
      <c r="B26" s="162" t="s">
        <v>3138</v>
      </c>
      <c r="C26" s="162" t="s">
        <v>3259</v>
      </c>
      <c r="D26" s="160" t="s">
        <v>3303</v>
      </c>
      <c r="E26" s="160" t="s">
        <v>3304</v>
      </c>
      <c r="F26" s="159" t="s">
        <v>3305</v>
      </c>
      <c r="G26" s="160" t="s">
        <v>3306</v>
      </c>
      <c r="H26" s="160" t="s">
        <v>29</v>
      </c>
      <c r="I26" s="281">
        <f t="shared" si="2"/>
        <v>50</v>
      </c>
      <c r="J26" s="281">
        <v>0</v>
      </c>
      <c r="K26" s="281">
        <v>35</v>
      </c>
      <c r="L26" s="281">
        <v>0</v>
      </c>
      <c r="M26" s="281">
        <v>15</v>
      </c>
      <c r="N26" s="164"/>
      <c r="O26" s="160"/>
      <c r="P26" s="160" t="s">
        <v>1112</v>
      </c>
      <c r="Q26" s="160"/>
      <c r="R26" s="160" t="s">
        <v>3255</v>
      </c>
      <c r="S26" s="160" t="s">
        <v>3248</v>
      </c>
      <c r="T26" s="160" t="s">
        <v>3307</v>
      </c>
      <c r="U26" s="79" t="s">
        <v>3377</v>
      </c>
      <c r="V26" s="164" t="s">
        <v>3308</v>
      </c>
      <c r="W26" s="83">
        <v>6</v>
      </c>
      <c r="X26" s="83">
        <v>5.7</v>
      </c>
      <c r="Y26" s="165">
        <v>0</v>
      </c>
      <c r="Z26" s="79" t="s">
        <v>96</v>
      </c>
    </row>
    <row r="27" spans="1:26" ht="120">
      <c r="A27" s="144">
        <v>23</v>
      </c>
      <c r="B27" s="144" t="s">
        <v>3138</v>
      </c>
      <c r="C27" s="80" t="s">
        <v>3206</v>
      </c>
      <c r="D27" s="144" t="s">
        <v>3309</v>
      </c>
      <c r="E27" s="79" t="s">
        <v>3310</v>
      </c>
      <c r="F27" s="148" t="s">
        <v>3311</v>
      </c>
      <c r="G27" s="79" t="s">
        <v>3312</v>
      </c>
      <c r="H27" s="79" t="s">
        <v>423</v>
      </c>
      <c r="I27" s="281">
        <f t="shared" si="2"/>
        <v>110</v>
      </c>
      <c r="J27" s="281">
        <v>0</v>
      </c>
      <c r="K27" s="282">
        <v>20</v>
      </c>
      <c r="L27" s="281">
        <v>0</v>
      </c>
      <c r="M27" s="282">
        <v>90</v>
      </c>
      <c r="N27" s="144"/>
      <c r="O27" s="144"/>
      <c r="P27" s="79" t="s">
        <v>261</v>
      </c>
      <c r="Q27" s="79"/>
      <c r="R27" s="79" t="s">
        <v>3313</v>
      </c>
      <c r="S27" s="79" t="s">
        <v>108</v>
      </c>
      <c r="T27" s="79" t="s">
        <v>3241</v>
      </c>
      <c r="U27" s="79" t="s">
        <v>3377</v>
      </c>
      <c r="V27" s="79" t="s">
        <v>164</v>
      </c>
      <c r="W27" s="83">
        <f t="shared" ref="W27" si="5">SUM(X27:Y27)</f>
        <v>15</v>
      </c>
      <c r="X27" s="83">
        <v>14.5</v>
      </c>
      <c r="Y27" s="83">
        <v>0.5</v>
      </c>
      <c r="Z27" s="79" t="s">
        <v>3314</v>
      </c>
    </row>
    <row r="28" spans="1:26" ht="96">
      <c r="A28" s="144">
        <v>24</v>
      </c>
      <c r="B28" s="144" t="s">
        <v>3138</v>
      </c>
      <c r="C28" s="144" t="s">
        <v>3315</v>
      </c>
      <c r="D28" s="79" t="s">
        <v>3316</v>
      </c>
      <c r="E28" s="79" t="s">
        <v>3317</v>
      </c>
      <c r="F28" s="148" t="s">
        <v>3318</v>
      </c>
      <c r="G28" s="79" t="s">
        <v>3319</v>
      </c>
      <c r="H28" s="79" t="s">
        <v>3320</v>
      </c>
      <c r="I28" s="281">
        <f t="shared" si="2"/>
        <v>80</v>
      </c>
      <c r="J28" s="281">
        <v>0</v>
      </c>
      <c r="K28" s="281">
        <v>0</v>
      </c>
      <c r="L28" s="281">
        <v>50</v>
      </c>
      <c r="M28" s="281">
        <v>30</v>
      </c>
      <c r="N28" s="79"/>
      <c r="O28" s="79"/>
      <c r="P28" s="79" t="s">
        <v>1176</v>
      </c>
      <c r="Q28" s="79"/>
      <c r="R28" s="79" t="s">
        <v>3321</v>
      </c>
      <c r="S28" s="79" t="s">
        <v>108</v>
      </c>
      <c r="T28" s="79" t="s">
        <v>3322</v>
      </c>
      <c r="U28" s="79" t="s">
        <v>3377</v>
      </c>
      <c r="V28" s="79" t="s">
        <v>94</v>
      </c>
      <c r="W28" s="83">
        <f>SUM(X28:Y28)</f>
        <v>12</v>
      </c>
      <c r="X28" s="83">
        <v>9</v>
      </c>
      <c r="Y28" s="83">
        <v>3</v>
      </c>
      <c r="Z28" s="79" t="s">
        <v>3323</v>
      </c>
    </row>
    <row r="29" spans="1:26" s="58" customFormat="1" ht="48">
      <c r="A29" s="144">
        <v>25</v>
      </c>
      <c r="B29" s="146" t="s">
        <v>1193</v>
      </c>
      <c r="C29" s="146" t="s">
        <v>3206</v>
      </c>
      <c r="D29" s="84" t="s">
        <v>3324</v>
      </c>
      <c r="E29" s="84" t="s">
        <v>3325</v>
      </c>
      <c r="F29" s="85" t="s">
        <v>3326</v>
      </c>
      <c r="G29" s="84" t="s">
        <v>7098</v>
      </c>
      <c r="H29" s="84" t="s">
        <v>2341</v>
      </c>
      <c r="I29" s="281">
        <f t="shared" si="2"/>
        <v>55</v>
      </c>
      <c r="J29" s="281">
        <v>0</v>
      </c>
      <c r="K29" s="281">
        <v>45</v>
      </c>
      <c r="L29" s="281">
        <v>0</v>
      </c>
      <c r="M29" s="281">
        <v>10</v>
      </c>
      <c r="N29" s="84"/>
      <c r="O29" s="84"/>
      <c r="P29" s="84" t="s">
        <v>3327</v>
      </c>
      <c r="Q29" s="84"/>
      <c r="R29" s="84" t="s">
        <v>3328</v>
      </c>
      <c r="S29" s="166" t="s">
        <v>312</v>
      </c>
      <c r="T29" s="84" t="s">
        <v>3329</v>
      </c>
      <c r="U29" s="79" t="s">
        <v>3377</v>
      </c>
      <c r="V29" s="84" t="s">
        <v>3330</v>
      </c>
      <c r="W29" s="86">
        <v>35</v>
      </c>
      <c r="X29" s="86">
        <v>30</v>
      </c>
      <c r="Y29" s="86">
        <v>5</v>
      </c>
      <c r="Z29" s="84" t="s">
        <v>3331</v>
      </c>
    </row>
    <row r="30" spans="1:26" ht="36">
      <c r="A30" s="144">
        <v>26</v>
      </c>
      <c r="B30" s="144" t="s">
        <v>27</v>
      </c>
      <c r="C30" s="144" t="s">
        <v>3275</v>
      </c>
      <c r="D30" s="79" t="s">
        <v>3332</v>
      </c>
      <c r="E30" s="79" t="s">
        <v>1620</v>
      </c>
      <c r="F30" s="152" t="s">
        <v>3333</v>
      </c>
      <c r="G30" s="79" t="s">
        <v>3334</v>
      </c>
      <c r="H30" s="79" t="s">
        <v>3202</v>
      </c>
      <c r="I30" s="281">
        <f t="shared" si="2"/>
        <v>57</v>
      </c>
      <c r="J30" s="281">
        <v>0</v>
      </c>
      <c r="K30" s="281">
        <v>40</v>
      </c>
      <c r="L30" s="281">
        <v>0</v>
      </c>
      <c r="M30" s="281">
        <v>17</v>
      </c>
      <c r="N30" s="79"/>
      <c r="O30" s="79"/>
      <c r="P30" s="79" t="s">
        <v>140</v>
      </c>
      <c r="Q30" s="79"/>
      <c r="R30" s="79" t="s">
        <v>3335</v>
      </c>
      <c r="S30" s="79" t="s">
        <v>3186</v>
      </c>
      <c r="T30" s="167" t="s">
        <v>183</v>
      </c>
      <c r="U30" s="79" t="s">
        <v>3377</v>
      </c>
      <c r="V30" s="79" t="s">
        <v>3188</v>
      </c>
      <c r="W30" s="83">
        <v>1</v>
      </c>
      <c r="X30" s="83">
        <v>1</v>
      </c>
      <c r="Y30" s="168">
        <v>0</v>
      </c>
      <c r="Z30" s="169" t="s">
        <v>3336</v>
      </c>
    </row>
    <row r="31" spans="1:26" ht="38.25" customHeight="1">
      <c r="A31" s="144">
        <v>27</v>
      </c>
      <c r="B31" s="144" t="s">
        <v>3138</v>
      </c>
      <c r="C31" s="144" t="s">
        <v>3233</v>
      </c>
      <c r="D31" s="79" t="s">
        <v>3337</v>
      </c>
      <c r="E31" s="79" t="s">
        <v>3338</v>
      </c>
      <c r="F31" s="148" t="s">
        <v>3339</v>
      </c>
      <c r="G31" s="79" t="s">
        <v>3340</v>
      </c>
      <c r="H31" s="79" t="s">
        <v>3341</v>
      </c>
      <c r="I31" s="281">
        <f t="shared" si="2"/>
        <v>71</v>
      </c>
      <c r="J31" s="281">
        <v>0</v>
      </c>
      <c r="K31" s="281">
        <v>50</v>
      </c>
      <c r="L31" s="281">
        <v>0</v>
      </c>
      <c r="M31" s="281">
        <v>21</v>
      </c>
      <c r="N31" s="80"/>
      <c r="O31" s="80"/>
      <c r="P31" s="79" t="s">
        <v>247</v>
      </c>
      <c r="Q31" s="79"/>
      <c r="R31" s="79" t="s">
        <v>3342</v>
      </c>
      <c r="S31" s="79" t="s">
        <v>373</v>
      </c>
      <c r="T31" s="79" t="s">
        <v>501</v>
      </c>
      <c r="U31" s="79" t="s">
        <v>3377</v>
      </c>
      <c r="V31" s="79" t="s">
        <v>2849</v>
      </c>
      <c r="W31" s="83">
        <v>15</v>
      </c>
      <c r="X31" s="83">
        <v>15</v>
      </c>
      <c r="Y31" s="83">
        <v>0</v>
      </c>
      <c r="Z31" s="79" t="s">
        <v>2391</v>
      </c>
    </row>
    <row r="32" spans="1:26" ht="38.25" customHeight="1">
      <c r="A32" s="144">
        <v>28</v>
      </c>
      <c r="B32" s="144" t="s">
        <v>3138</v>
      </c>
      <c r="C32" s="144" t="s">
        <v>3343</v>
      </c>
      <c r="D32" s="79" t="s">
        <v>3344</v>
      </c>
      <c r="E32" s="79" t="s">
        <v>3345</v>
      </c>
      <c r="F32" s="148" t="s">
        <v>3346</v>
      </c>
      <c r="G32" s="79" t="s">
        <v>3347</v>
      </c>
      <c r="H32" s="79" t="s">
        <v>3348</v>
      </c>
      <c r="I32" s="281">
        <f t="shared" si="2"/>
        <v>300</v>
      </c>
      <c r="J32" s="281">
        <v>0</v>
      </c>
      <c r="K32" s="281">
        <v>210</v>
      </c>
      <c r="L32" s="281">
        <v>0</v>
      </c>
      <c r="M32" s="281">
        <v>90</v>
      </c>
      <c r="N32" s="80"/>
      <c r="O32" s="80"/>
      <c r="P32" s="79" t="s">
        <v>87</v>
      </c>
      <c r="Q32" s="79"/>
      <c r="R32" s="79" t="s">
        <v>3349</v>
      </c>
      <c r="S32" s="79" t="s">
        <v>312</v>
      </c>
      <c r="T32" s="79" t="s">
        <v>3350</v>
      </c>
      <c r="U32" s="79" t="s">
        <v>3377</v>
      </c>
      <c r="V32" s="79" t="s">
        <v>323</v>
      </c>
      <c r="W32" s="83">
        <f>SUM(X32:Y32)</f>
        <v>200</v>
      </c>
      <c r="X32" s="83">
        <v>200</v>
      </c>
      <c r="Y32" s="83">
        <v>0</v>
      </c>
      <c r="Z32" s="79" t="s">
        <v>3116</v>
      </c>
    </row>
    <row r="33" spans="1:26" ht="36.75" customHeight="1"/>
    <row r="34" spans="1:26" ht="36.75" customHeight="1"/>
    <row r="35" spans="1:26" s="21" customFormat="1" ht="36.75" customHeight="1">
      <c r="A35" s="18"/>
      <c r="B35" s="19"/>
      <c r="C35" s="20"/>
      <c r="D35" s="20"/>
      <c r="E35" s="20"/>
      <c r="F35" s="20"/>
      <c r="G35" s="20"/>
      <c r="H35" s="20"/>
      <c r="I35" s="20"/>
      <c r="J35" s="20"/>
      <c r="K35" s="20"/>
      <c r="L35" s="20"/>
      <c r="M35" s="20"/>
      <c r="N35" s="20"/>
      <c r="O35" s="20"/>
      <c r="P35" s="18" t="s">
        <v>3351</v>
      </c>
      <c r="Q35" s="18"/>
      <c r="R35" s="18"/>
      <c r="S35" s="20"/>
      <c r="T35" s="20"/>
      <c r="U35" s="18"/>
      <c r="V35" s="20"/>
      <c r="W35" s="20"/>
      <c r="X35" s="20"/>
      <c r="Y35" s="20"/>
      <c r="Z35" s="19"/>
    </row>
    <row r="36" spans="1:26" s="21" customFormat="1" ht="36.75" customHeight="1">
      <c r="A36" s="22"/>
      <c r="B36" s="23"/>
      <c r="C36" s="24"/>
      <c r="D36" s="24"/>
      <c r="E36" s="24"/>
      <c r="F36" s="24"/>
      <c r="G36" s="24"/>
      <c r="H36" s="24"/>
      <c r="I36" s="24"/>
      <c r="J36" s="24"/>
      <c r="K36" s="24"/>
      <c r="L36" s="24"/>
      <c r="M36" s="24"/>
      <c r="N36" s="24"/>
      <c r="O36" s="24"/>
      <c r="P36" s="22" t="s">
        <v>140</v>
      </c>
      <c r="Q36" s="22"/>
      <c r="R36" s="22"/>
      <c r="S36" s="24"/>
      <c r="T36" s="24"/>
      <c r="U36" s="22"/>
      <c r="V36" s="24"/>
      <c r="W36" s="24"/>
      <c r="X36" s="24"/>
      <c r="Y36" s="24"/>
      <c r="Z36" s="23"/>
    </row>
    <row r="37" spans="1:26" s="21" customFormat="1" ht="36.75" customHeight="1">
      <c r="A37" s="25"/>
      <c r="B37" s="26"/>
      <c r="P37" s="25" t="s">
        <v>3352</v>
      </c>
      <c r="Q37" s="25"/>
      <c r="R37" s="25"/>
      <c r="U37" s="25"/>
      <c r="Z37" s="26"/>
    </row>
    <row r="38" spans="1:26" s="21" customFormat="1" ht="36.75" customHeight="1">
      <c r="A38" s="25"/>
      <c r="B38" s="26"/>
      <c r="P38" s="25" t="s">
        <v>3353</v>
      </c>
      <c r="Q38" s="25"/>
      <c r="R38" s="25"/>
      <c r="U38" s="25"/>
      <c r="Z38" s="26"/>
    </row>
    <row r="39" spans="1:26" s="21" customFormat="1" ht="36.75" customHeight="1">
      <c r="A39" s="25"/>
      <c r="B39" s="26"/>
      <c r="P39" s="25" t="s">
        <v>3354</v>
      </c>
      <c r="Q39" s="25"/>
      <c r="R39" s="25"/>
      <c r="U39" s="25"/>
      <c r="Z39" s="26"/>
    </row>
    <row r="40" spans="1:26" s="21" customFormat="1" ht="36.75" customHeight="1">
      <c r="A40" s="25"/>
      <c r="B40" s="26"/>
      <c r="P40" s="25" t="s">
        <v>3355</v>
      </c>
      <c r="Q40" s="25"/>
      <c r="R40" s="25"/>
      <c r="U40" s="25"/>
      <c r="Z40" s="26"/>
    </row>
    <row r="41" spans="1:26" s="21" customFormat="1" ht="26.25" customHeight="1">
      <c r="A41" s="25"/>
      <c r="B41" s="26"/>
      <c r="P41" s="25"/>
      <c r="Q41" s="25"/>
      <c r="R41" s="25"/>
      <c r="U41" s="25"/>
      <c r="Z41" s="26"/>
    </row>
    <row r="42" spans="1:26" s="21" customFormat="1" ht="26.25" customHeight="1">
      <c r="A42" s="25"/>
      <c r="B42" s="26"/>
      <c r="P42" s="25"/>
      <c r="Q42" s="25"/>
      <c r="R42" s="25"/>
      <c r="U42" s="25"/>
      <c r="Z42" s="26"/>
    </row>
    <row r="43" spans="1:26" s="21" customFormat="1" ht="26.25" customHeight="1">
      <c r="A43" s="25"/>
      <c r="B43" s="26"/>
      <c r="P43" s="25"/>
      <c r="Q43" s="25"/>
      <c r="R43" s="25"/>
      <c r="U43" s="25"/>
      <c r="Z43" s="26"/>
    </row>
    <row r="44" spans="1:26" s="21" customFormat="1" ht="26.25" customHeight="1">
      <c r="A44" s="25"/>
      <c r="B44" s="26"/>
      <c r="P44" s="25"/>
      <c r="Q44" s="25"/>
      <c r="R44" s="25"/>
      <c r="U44" s="25"/>
      <c r="Z44" s="26"/>
    </row>
    <row r="45" spans="1:26" s="21" customFormat="1" ht="26.25" customHeight="1">
      <c r="A45" s="25"/>
      <c r="B45" s="26"/>
      <c r="Z45" s="26"/>
    </row>
    <row r="46" spans="1:26" s="21" customFormat="1" ht="26.25" customHeight="1">
      <c r="A46" s="25"/>
      <c r="B46" s="26"/>
      <c r="Z46" s="26"/>
    </row>
    <row r="47" spans="1:26" s="21" customFormat="1" ht="26.25" customHeight="1">
      <c r="A47" s="25"/>
      <c r="B47" s="26"/>
      <c r="Z47" s="26"/>
    </row>
    <row r="48" spans="1:26" s="21" customFormat="1" ht="26.25" customHeight="1">
      <c r="A48" s="25"/>
      <c r="B48" s="26"/>
      <c r="Z48" s="26"/>
    </row>
    <row r="49" spans="1:26" s="2" customFormat="1" ht="26.25" customHeight="1">
      <c r="A49" s="15"/>
      <c r="B49" s="16"/>
      <c r="Z49" s="16"/>
    </row>
    <row r="50" spans="1:26" s="2" customFormat="1" ht="26.25" customHeight="1">
      <c r="A50" s="15"/>
      <c r="B50" s="16"/>
      <c r="Z50" s="16"/>
    </row>
    <row r="51" spans="1:26" s="2" customFormat="1" ht="26.25" customHeight="1">
      <c r="A51" s="15"/>
      <c r="B51" s="16"/>
      <c r="Z51" s="16"/>
    </row>
    <row r="52" spans="1:26" s="2" customFormat="1" ht="26.25" customHeight="1">
      <c r="A52" s="15"/>
      <c r="B52" s="15"/>
      <c r="C52" s="15"/>
      <c r="Z52" s="16"/>
    </row>
    <row r="53" spans="1:26" s="2" customFormat="1" ht="26.25" customHeight="1">
      <c r="A53" s="15"/>
      <c r="B53" s="15"/>
      <c r="C53" s="15"/>
      <c r="Z53" s="16"/>
    </row>
    <row r="54" spans="1:26" s="2" customFormat="1" ht="26.25" customHeight="1">
      <c r="A54" s="15"/>
      <c r="B54" s="15"/>
      <c r="C54" s="15"/>
      <c r="Z54" s="16"/>
    </row>
    <row r="55" spans="1:26" s="2" customFormat="1" ht="26.25" customHeight="1">
      <c r="A55" s="15"/>
      <c r="B55" s="15"/>
      <c r="C55" s="15"/>
      <c r="Z55" s="16"/>
    </row>
    <row r="56" spans="1:26" s="2" customFormat="1" ht="26.25" customHeight="1">
      <c r="A56" s="15"/>
      <c r="B56" s="15"/>
      <c r="C56" s="15"/>
      <c r="Z56" s="16"/>
    </row>
    <row r="57" spans="1:26" s="2" customFormat="1" ht="26.25" customHeight="1">
      <c r="A57" s="15"/>
      <c r="B57" s="15"/>
      <c r="C57" s="15"/>
      <c r="Z57" s="16"/>
    </row>
    <row r="58" spans="1:26" s="2" customFormat="1" ht="26.25" customHeight="1">
      <c r="A58" s="15"/>
      <c r="B58" s="15"/>
      <c r="C58" s="15"/>
      <c r="Z58" s="16"/>
    </row>
    <row r="59" spans="1:26" s="2" customFormat="1" ht="26.25" customHeight="1">
      <c r="A59" s="15"/>
      <c r="B59" s="15"/>
      <c r="C59" s="15"/>
      <c r="Z59" s="16"/>
    </row>
    <row r="60" spans="1:26" s="2" customFormat="1" ht="26.25" customHeight="1">
      <c r="A60" s="15"/>
      <c r="B60" s="15"/>
      <c r="C60" s="15"/>
      <c r="Z60" s="16"/>
    </row>
    <row r="61" spans="1:26" s="2" customFormat="1" ht="26.25" customHeight="1">
      <c r="A61" s="15"/>
      <c r="B61" s="15"/>
      <c r="C61" s="15"/>
      <c r="Z61" s="16"/>
    </row>
    <row r="62" spans="1:26" s="2" customFormat="1" ht="26.25" customHeight="1">
      <c r="A62" s="15"/>
      <c r="B62" s="15"/>
      <c r="C62" s="15"/>
      <c r="Z62" s="16"/>
    </row>
    <row r="63" spans="1:26" s="2" customFormat="1" ht="26.25" customHeight="1">
      <c r="A63" s="15"/>
      <c r="B63" s="15"/>
      <c r="C63" s="15"/>
      <c r="Z63" s="16"/>
    </row>
    <row r="64" spans="1:26" s="2" customFormat="1" ht="26.25" customHeight="1">
      <c r="A64" s="15"/>
      <c r="B64" s="15"/>
      <c r="C64" s="15"/>
      <c r="Z64" s="16"/>
    </row>
    <row r="65" spans="1:26" s="2" customFormat="1" ht="26.25" customHeight="1">
      <c r="A65" s="15"/>
      <c r="B65" s="15"/>
      <c r="C65" s="15"/>
      <c r="Z65" s="16"/>
    </row>
    <row r="66" spans="1:26" s="2" customFormat="1" ht="26.25" customHeight="1">
      <c r="A66" s="15"/>
      <c r="B66" s="15"/>
      <c r="C66" s="15"/>
      <c r="Z66" s="16"/>
    </row>
    <row r="67" spans="1:26" s="2" customFormat="1" ht="26.25" customHeight="1">
      <c r="A67" s="15"/>
      <c r="B67" s="15"/>
      <c r="C67" s="15"/>
      <c r="Z67" s="16"/>
    </row>
    <row r="68" spans="1:26" s="2" customFormat="1" ht="26.25" customHeight="1">
      <c r="A68" s="15"/>
      <c r="B68" s="15"/>
      <c r="C68" s="15"/>
      <c r="Z68" s="16"/>
    </row>
    <row r="69" spans="1:26" s="2" customFormat="1" ht="26.25" customHeight="1">
      <c r="A69" s="15"/>
      <c r="B69" s="15"/>
      <c r="C69" s="15"/>
      <c r="Z69" s="16"/>
    </row>
    <row r="70" spans="1:26" s="2" customFormat="1" ht="26.25" customHeight="1">
      <c r="A70" s="15"/>
      <c r="B70" s="15"/>
      <c r="C70" s="15"/>
      <c r="Z70" s="16"/>
    </row>
  </sheetData>
  <autoFilter ref="A4:Y32"/>
  <mergeCells count="5">
    <mergeCell ref="A1:Y2"/>
    <mergeCell ref="I3:M3"/>
    <mergeCell ref="N3:O3"/>
    <mergeCell ref="W3:Y3"/>
    <mergeCell ref="A3:E3"/>
  </mergeCells>
  <phoneticPr fontId="5" type="noConversion"/>
  <dataValidations count="19">
    <dataValidation type="list" allowBlank="1" showInputMessage="1" showErrorMessage="1" sqref="P9">
      <formula1>$N$5:$N$32</formula1>
    </dataValidation>
    <dataValidation type="list" allowBlank="1" showInputMessage="1" showErrorMessage="1" sqref="P11:Q11">
      <formula1>$P$198:$P$203</formula1>
    </dataValidation>
    <dataValidation type="list" allowBlank="1" showInputMessage="1" showErrorMessage="1" sqref="P13 P7">
      <formula1>$P$9:$P$32</formula1>
    </dataValidation>
    <dataValidation type="list" allowBlank="1" showInputMessage="1" showErrorMessage="1" sqref="B13 B7">
      <formula1>$B$9:$B$32</formula1>
    </dataValidation>
    <dataValidation type="list" allowBlank="1" showInputMessage="1" showErrorMessage="1" sqref="P8:Q8 P14:Q15 B15 B22:B23 P23 P18:Q18 P22:Q22 O26 B26 P20:Q20 P31:Q31 P32 B32 B30 N30 B19 P19 P24:Q24">
      <formula1>#REF!</formula1>
    </dataValidation>
    <dataValidation type="list" allowBlank="1" showInputMessage="1" showErrorMessage="1" sqref="P6 P12 P16:Q17">
      <formula1>$P$35:$P$40</formula1>
    </dataValidation>
    <dataValidation type="list" allowBlank="1" showInputMessage="1" showErrorMessage="1" sqref="P25:Q25">
      <formula1>$P$25:$P$32</formula1>
    </dataValidation>
    <dataValidation type="list" allowBlank="1" showInputMessage="1" showErrorMessage="1" sqref="B21 B18 B25">
      <formula1>$B$25:$B$32</formula1>
    </dataValidation>
    <dataValidation type="list" allowBlank="1" showInputMessage="1" showErrorMessage="1" sqref="P27:Q27">
      <formula1>$P$34:$P$39</formula1>
    </dataValidation>
    <dataValidation type="list" allowBlank="1" showInputMessage="1" showErrorMessage="1" sqref="B27">
      <formula1>$B$34:$B$50</formula1>
    </dataValidation>
    <dataValidation type="list" allowBlank="1" showInputMessage="1" showErrorMessage="1" sqref="B9 B28">
      <formula1>$B$5:$B$32</formula1>
    </dataValidation>
    <dataValidation type="list" allowBlank="1" showInputMessage="1" showErrorMessage="1" sqref="B31 B16:B17 B24 B12 B6 B29">
      <formula1>$B$35:$B$51</formula1>
    </dataValidation>
    <dataValidation type="list" allowBlank="1" showInputMessage="1" showErrorMessage="1" sqref="B5">
      <formula1>$B$33:$B$48</formula1>
    </dataValidation>
    <dataValidation type="list" allowBlank="1" showInputMessage="1" showErrorMessage="1" sqref="P10:Q10">
      <formula1>$P$33:$P$33</formula1>
    </dataValidation>
    <dataValidation type="list" allowBlank="1" showInputMessage="1" showErrorMessage="1" sqref="B10">
      <formula1>$B$33:$B$44</formula1>
    </dataValidation>
    <dataValidation type="list" allowBlank="1" showInputMessage="1" showErrorMessage="1" sqref="B8 B14">
      <formula1>$B$33:$B$37</formula1>
    </dataValidation>
    <dataValidation type="list" allowBlank="1" showInputMessage="1" showErrorMessage="1" sqref="B20">
      <formula1>$B$33:$B$33</formula1>
    </dataValidation>
    <dataValidation type="list" allowBlank="1" showInputMessage="1" showErrorMessage="1" sqref="P5:Q5 P28:Q28">
      <formula1>$P$33:$P$37</formula1>
    </dataValidation>
    <dataValidation type="list" allowBlank="1" showInputMessage="1" showErrorMessage="1" sqref="B11">
      <formula1>$B$26:$B$32</formula1>
    </dataValidation>
  </dataValidations>
  <pageMargins left="0.19685039370078741" right="0.19685039370078741" top="0.35433070866141736" bottom="0.19685039370078741" header="0.19685039370078741" footer="0.19685039370078741"/>
  <pageSetup paperSize="9" scale="41" fitToWidth="3" fitToHeight="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18</vt:i4>
      </vt:variant>
      <vt:variant>
        <vt:lpstr>이름이 지정된 범위</vt:lpstr>
      </vt:variant>
      <vt:variant>
        <vt:i4>35</vt:i4>
      </vt:variant>
    </vt:vector>
  </HeadingPairs>
  <TitlesOfParts>
    <vt:vector size="53" baseType="lpstr">
      <vt:lpstr>00_총괄표</vt:lpstr>
      <vt:lpstr>01_서울특별시</vt:lpstr>
      <vt:lpstr>02_부산광역시</vt:lpstr>
      <vt:lpstr>03_대구광역시</vt:lpstr>
      <vt:lpstr>04_인천광역시</vt:lpstr>
      <vt:lpstr>05_광주광역시</vt:lpstr>
      <vt:lpstr>06_대전광역시</vt:lpstr>
      <vt:lpstr>07_울산광역시</vt:lpstr>
      <vt:lpstr>08_세종특별자치시</vt:lpstr>
      <vt:lpstr>09_경기도</vt:lpstr>
      <vt:lpstr>10_강원도</vt:lpstr>
      <vt:lpstr>11_충청북도</vt:lpstr>
      <vt:lpstr>12_충청남도</vt:lpstr>
      <vt:lpstr>13_전라북도</vt:lpstr>
      <vt:lpstr>14_전라남도</vt:lpstr>
      <vt:lpstr>15_경상북도</vt:lpstr>
      <vt:lpstr>16_경상남도</vt:lpstr>
      <vt:lpstr>17_제주특별자치도</vt:lpstr>
      <vt:lpstr>'00_총괄표'!Print_Area</vt:lpstr>
      <vt:lpstr>'01_서울특별시'!Print_Area</vt:lpstr>
      <vt:lpstr>'02_부산광역시'!Print_Area</vt:lpstr>
      <vt:lpstr>'03_대구광역시'!Print_Area</vt:lpstr>
      <vt:lpstr>'04_인천광역시'!Print_Area</vt:lpstr>
      <vt:lpstr>'05_광주광역시'!Print_Area</vt:lpstr>
      <vt:lpstr>'06_대전광역시'!Print_Area</vt:lpstr>
      <vt:lpstr>'07_울산광역시'!Print_Area</vt:lpstr>
      <vt:lpstr>'08_세종특별자치시'!Print_Area</vt:lpstr>
      <vt:lpstr>'09_경기도'!Print_Area</vt:lpstr>
      <vt:lpstr>'10_강원도'!Print_Area</vt:lpstr>
      <vt:lpstr>'11_충청북도'!Print_Area</vt:lpstr>
      <vt:lpstr>'12_충청남도'!Print_Area</vt:lpstr>
      <vt:lpstr>'13_전라북도'!Print_Area</vt:lpstr>
      <vt:lpstr>'14_전라남도'!Print_Area</vt:lpstr>
      <vt:lpstr>'15_경상북도'!Print_Area</vt:lpstr>
      <vt:lpstr>'16_경상남도'!Print_Area</vt:lpstr>
      <vt:lpstr>'17_제주특별자치도'!Print_Area</vt:lpstr>
      <vt:lpstr>'01_서울특별시'!Print_Titles</vt:lpstr>
      <vt:lpstr>'02_부산광역시'!Print_Titles</vt:lpstr>
      <vt:lpstr>'03_대구광역시'!Print_Titles</vt:lpstr>
      <vt:lpstr>'04_인천광역시'!Print_Titles</vt:lpstr>
      <vt:lpstr>'05_광주광역시'!Print_Titles</vt:lpstr>
      <vt:lpstr>'06_대전광역시'!Print_Titles</vt:lpstr>
      <vt:lpstr>'07_울산광역시'!Print_Titles</vt:lpstr>
      <vt:lpstr>'08_세종특별자치시'!Print_Titles</vt:lpstr>
      <vt:lpstr>'09_경기도'!Print_Titles</vt:lpstr>
      <vt:lpstr>'10_강원도'!Print_Titles</vt:lpstr>
      <vt:lpstr>'11_충청북도'!Print_Titles</vt:lpstr>
      <vt:lpstr>'12_충청남도'!Print_Titles</vt:lpstr>
      <vt:lpstr>'13_전라북도'!Print_Titles</vt:lpstr>
      <vt:lpstr>'14_전라남도'!Print_Titles</vt:lpstr>
      <vt:lpstr>'15_경상북도'!Print_Titles</vt:lpstr>
      <vt:lpstr>'16_경상남도'!Print_Titles</vt:lpstr>
      <vt:lpstr>'17_제주특별자치도'!Print_Titles</vt:lpstr>
    </vt:vector>
  </TitlesOfParts>
  <Company>user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Preferred Customer</dc:creator>
  <cp:lastModifiedBy>ITBANK-KKM</cp:lastModifiedBy>
  <cp:lastPrinted>2016-01-11T08:18:42Z</cp:lastPrinted>
  <dcterms:created xsi:type="dcterms:W3CDTF">2007-01-24T09:01:51Z</dcterms:created>
  <dcterms:modified xsi:type="dcterms:W3CDTF">2021-07-26T04:56:54Z</dcterms:modified>
</cp:coreProperties>
</file>