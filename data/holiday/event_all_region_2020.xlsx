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23250" windowHeight="12570" tabRatio="697"/>
  </bookViews>
  <sheets>
    <sheet name="총괄표" sheetId="181" r:id="rId1"/>
    <sheet name="서울" sheetId="244" r:id="rId2"/>
    <sheet name="부산" sheetId="245" r:id="rId3"/>
    <sheet name="대구" sheetId="246" r:id="rId4"/>
    <sheet name="인천" sheetId="247" r:id="rId5"/>
    <sheet name="광주" sheetId="248" r:id="rId6"/>
    <sheet name="대전" sheetId="249" r:id="rId7"/>
    <sheet name="울산" sheetId="250" r:id="rId8"/>
    <sheet name="세종" sheetId="251" r:id="rId9"/>
    <sheet name="경기" sheetId="252" r:id="rId10"/>
    <sheet name="강원" sheetId="253" r:id="rId11"/>
    <sheet name="충북" sheetId="254" r:id="rId12"/>
    <sheet name="충남" sheetId="255" r:id="rId13"/>
    <sheet name="전북" sheetId="256" r:id="rId14"/>
    <sheet name="전남" sheetId="257" r:id="rId15"/>
    <sheet name="경북" sheetId="148" r:id="rId16"/>
    <sheet name="경남" sheetId="162" r:id="rId17"/>
    <sheet name="제주" sheetId="166" r:id="rId18"/>
  </sheets>
  <externalReferences>
    <externalReference r:id="rId19"/>
    <externalReference r:id="rId20"/>
    <externalReference r:id="rId21"/>
    <externalReference r:id="rId22"/>
  </externalReferences>
  <definedNames>
    <definedName name="_xlnm._FilterDatabase" localSheetId="10" hidden="1">강원!$A$4:$Z$113</definedName>
    <definedName name="_xlnm._FilterDatabase" localSheetId="9" hidden="1">경기!$A$4:$Z$114</definedName>
    <definedName name="_xlnm._FilterDatabase" localSheetId="16" hidden="1">경남!$A$4:$Z$99</definedName>
    <definedName name="_xlnm._FilterDatabase" localSheetId="15" hidden="1">경북!$A$4:$Z$90</definedName>
    <definedName name="_xlnm._FilterDatabase" localSheetId="5" hidden="1">광주!$Z$4:$Z$12</definedName>
    <definedName name="_xlnm._FilterDatabase" localSheetId="3" hidden="1">대구!$C$4:$Z$42</definedName>
    <definedName name="_xlnm._FilterDatabase" localSheetId="6" hidden="1">대전!$A$4:$Z$12</definedName>
    <definedName name="_xlnm._FilterDatabase" localSheetId="2" hidden="1">부산!$A$4:$Z$51</definedName>
    <definedName name="_xlnm._FilterDatabase" localSheetId="1" hidden="1">서울!$A$4:$Z$85</definedName>
    <definedName name="_xlnm._FilterDatabase" localSheetId="7" hidden="1">울산!$A$4:$Z$27</definedName>
    <definedName name="_xlnm._FilterDatabase" localSheetId="4" hidden="1">인천!$A$4:$Y$23</definedName>
    <definedName name="_xlnm._FilterDatabase" localSheetId="14" hidden="1">전남!$A$4:$Z$126</definedName>
    <definedName name="_xlnm._FilterDatabase" localSheetId="13" hidden="1">전북!$A$4:$AA$61</definedName>
    <definedName name="_xlnm._FilterDatabase" localSheetId="17" hidden="1">제주!$A$4:$Z$43</definedName>
    <definedName name="_xlnm._FilterDatabase" localSheetId="12" hidden="1">충남!$B$4:$Z$102</definedName>
    <definedName name="_xlnm._FilterDatabase" localSheetId="11" hidden="1">충북!$A$4:$Z$44</definedName>
    <definedName name="_xlnm.Print_Area" localSheetId="10">강원!$A$1:$Y$43</definedName>
    <definedName name="_xlnm.Print_Area" localSheetId="0">총괄표!$A$1:$T$23</definedName>
    <definedName name="_xlnm.Print_Titles" localSheetId="10">강원!$1:$4</definedName>
    <definedName name="조직형태" localSheetId="10">강원!#REF!</definedName>
    <definedName name="조직형태" localSheetId="9">'[1]강원(32)-김민욱'!#REF!</definedName>
    <definedName name="조직형태" localSheetId="16">'[2]강원(32)-김민욱'!#REF!</definedName>
    <definedName name="조직형태" localSheetId="15">'[2]강원(32)-김민욱'!#REF!</definedName>
    <definedName name="조직형태" localSheetId="3">#REF!</definedName>
    <definedName name="조직형태" localSheetId="6">'[1]강원(32)-김민욱'!#REF!</definedName>
    <definedName name="조직형태" localSheetId="2">#REF!</definedName>
    <definedName name="조직형태" localSheetId="7">'[1]강원(32)-김민욱'!#REF!</definedName>
    <definedName name="조직형태" localSheetId="4">#REF!</definedName>
    <definedName name="조직형태" localSheetId="14">'[3]강원(32)-김민욱'!#REF!</definedName>
    <definedName name="조직형태" localSheetId="13">'[3]강원(32)-김민욱'!#REF!</definedName>
    <definedName name="조직형태" localSheetId="17">'[2]강원(32)-김민욱'!#REF!</definedName>
    <definedName name="조직형태" localSheetId="0">#REF!</definedName>
    <definedName name="조직형태" localSheetId="12">'[4]강원(32)-김민욱'!#REF!</definedName>
    <definedName name="조직형태" localSheetId="11">'[1]강원(32)-김민욱'!#REF!</definedName>
    <definedName name="조직형태">#REF!</definedName>
  </definedNames>
  <calcPr calcId="144525"/>
</workbook>
</file>

<file path=xl/calcChain.xml><?xml version="1.0" encoding="utf-8"?>
<calcChain xmlns="http://schemas.openxmlformats.org/spreadsheetml/2006/main">
  <c r="B4" i="181" l="1"/>
  <c r="I8" i="257" l="1"/>
  <c r="V8" i="257"/>
  <c r="V9" i="257"/>
  <c r="V10" i="257"/>
  <c r="I11" i="257"/>
  <c r="V11" i="257"/>
  <c r="V15" i="257"/>
  <c r="I16" i="257"/>
  <c r="V16" i="257"/>
  <c r="V17" i="257"/>
  <c r="V18" i="257"/>
  <c r="V19" i="257"/>
  <c r="V20" i="257"/>
  <c r="V21" i="257"/>
  <c r="I22" i="257"/>
  <c r="V22" i="257"/>
  <c r="V24" i="257"/>
  <c r="V25" i="257"/>
  <c r="V28" i="257"/>
  <c r="V29" i="257"/>
  <c r="V30" i="257"/>
  <c r="V32" i="257"/>
  <c r="V33" i="257"/>
  <c r="V34" i="257"/>
  <c r="V35" i="257"/>
  <c r="V36" i="257"/>
  <c r="V37" i="257"/>
  <c r="V38" i="257"/>
  <c r="V39" i="257"/>
  <c r="V40" i="257"/>
  <c r="V41" i="257"/>
  <c r="V42" i="257"/>
  <c r="V43" i="257"/>
  <c r="V44" i="257"/>
  <c r="V45" i="257"/>
  <c r="V46" i="257"/>
  <c r="V47" i="257"/>
  <c r="V48" i="257"/>
  <c r="V49" i="257"/>
  <c r="I51" i="257"/>
  <c r="I52" i="257"/>
  <c r="I53" i="257"/>
  <c r="I54" i="257"/>
  <c r="I55" i="257"/>
  <c r="I56" i="257"/>
  <c r="V56" i="257"/>
  <c r="V63" i="257"/>
  <c r="V64" i="257"/>
  <c r="V65" i="257"/>
  <c r="V66" i="257"/>
  <c r="V67" i="257"/>
  <c r="V75" i="257"/>
  <c r="V82" i="257"/>
  <c r="V85" i="257"/>
  <c r="V86" i="257"/>
  <c r="V87" i="257"/>
  <c r="I88" i="257"/>
  <c r="V88" i="257"/>
  <c r="I89" i="257"/>
  <c r="V89" i="257"/>
  <c r="I90" i="257"/>
  <c r="V90" i="257"/>
  <c r="V92" i="257"/>
  <c r="V93" i="257"/>
  <c r="V94" i="257"/>
  <c r="V95" i="257"/>
  <c r="V96" i="257"/>
  <c r="V97" i="257"/>
  <c r="I103" i="257"/>
  <c r="V103" i="257"/>
  <c r="I104" i="257"/>
  <c r="V104" i="257"/>
  <c r="I105" i="257"/>
  <c r="V105" i="257"/>
  <c r="I106" i="257"/>
  <c r="V106" i="257"/>
  <c r="V107" i="257"/>
  <c r="V108" i="257"/>
  <c r="V109" i="257"/>
  <c r="W5" i="256"/>
  <c r="W6" i="256"/>
  <c r="W9" i="256"/>
  <c r="W10" i="256"/>
  <c r="W12" i="256"/>
  <c r="W15" i="256"/>
  <c r="W16" i="256"/>
  <c r="I18" i="256"/>
  <c r="W19" i="256"/>
  <c r="W21" i="256"/>
  <c r="W22" i="256"/>
  <c r="W23" i="256"/>
  <c r="W24" i="256"/>
  <c r="W26" i="256"/>
  <c r="W27" i="256"/>
  <c r="W28" i="256"/>
  <c r="W29" i="256"/>
  <c r="I30" i="256"/>
  <c r="W30" i="256"/>
  <c r="I31" i="256"/>
  <c r="W31" i="256"/>
  <c r="I32" i="256"/>
  <c r="W32" i="256"/>
  <c r="I33" i="256"/>
  <c r="W33" i="256"/>
  <c r="I34" i="256"/>
  <c r="W34" i="256"/>
  <c r="I35" i="256"/>
  <c r="W35" i="256"/>
  <c r="I36" i="256"/>
  <c r="W36" i="256"/>
  <c r="I37" i="256"/>
  <c r="W37" i="256"/>
  <c r="I38" i="256"/>
  <c r="W38" i="256"/>
  <c r="I39" i="256"/>
  <c r="W39" i="256"/>
  <c r="I40" i="256"/>
  <c r="W40" i="256"/>
  <c r="I41" i="256"/>
  <c r="W41" i="256"/>
  <c r="I42" i="256"/>
  <c r="W42" i="256"/>
  <c r="I43" i="256"/>
  <c r="W43" i="256"/>
  <c r="W44" i="256"/>
  <c r="W45" i="256"/>
  <c r="W46" i="256"/>
  <c r="I47" i="256"/>
  <c r="W47" i="256"/>
  <c r="I49" i="256"/>
  <c r="I50" i="256"/>
  <c r="I51" i="256"/>
  <c r="W51" i="256"/>
  <c r="I53" i="256"/>
  <c r="W53" i="256"/>
  <c r="I54" i="256"/>
  <c r="W54" i="256"/>
  <c r="I55" i="256"/>
  <c r="W55" i="256"/>
  <c r="I56" i="256"/>
  <c r="W56" i="256"/>
  <c r="W57" i="256"/>
  <c r="W60" i="256"/>
  <c r="V5" i="255"/>
  <c r="V6" i="255"/>
  <c r="V7" i="255"/>
  <c r="V8" i="255"/>
  <c r="I9" i="255"/>
  <c r="V9" i="255"/>
  <c r="I10" i="255"/>
  <c r="V10" i="255"/>
  <c r="V11" i="255"/>
  <c r="I12" i="255"/>
  <c r="V12" i="255"/>
  <c r="I13" i="255"/>
  <c r="V13" i="255"/>
  <c r="I14" i="255"/>
  <c r="V14" i="255"/>
  <c r="I15" i="255"/>
  <c r="V15" i="255"/>
  <c r="V16" i="255"/>
  <c r="V17" i="255"/>
  <c r="V18" i="255"/>
  <c r="V19" i="255"/>
  <c r="V20" i="255"/>
  <c r="V21" i="255"/>
  <c r="V22" i="255"/>
  <c r="V23" i="255"/>
  <c r="V24" i="255"/>
  <c r="V25" i="255"/>
  <c r="V26" i="255"/>
  <c r="V27" i="255"/>
  <c r="V28" i="255"/>
  <c r="V29" i="255"/>
  <c r="V30" i="255"/>
  <c r="V31" i="255"/>
  <c r="V32" i="255"/>
  <c r="V33" i="255"/>
  <c r="V34" i="255"/>
  <c r="I35" i="255"/>
  <c r="V35" i="255"/>
  <c r="V36" i="255"/>
  <c r="I37" i="255"/>
  <c r="V37" i="255"/>
  <c r="V38" i="255"/>
  <c r="V39" i="255"/>
  <c r="V40" i="255"/>
  <c r="V41" i="255"/>
  <c r="V42" i="255"/>
  <c r="V43" i="255"/>
  <c r="V44" i="255"/>
  <c r="V45" i="255"/>
  <c r="V46" i="255"/>
  <c r="I47" i="255"/>
  <c r="V47" i="255"/>
  <c r="I48" i="255"/>
  <c r="V48" i="255"/>
  <c r="I49" i="255"/>
  <c r="V49" i="255"/>
  <c r="I50" i="255"/>
  <c r="V50" i="255"/>
  <c r="I51" i="255"/>
  <c r="V51" i="255"/>
  <c r="V52" i="255"/>
  <c r="V53" i="255"/>
  <c r="V54" i="255"/>
  <c r="V55" i="255"/>
  <c r="V56" i="255"/>
  <c r="V57" i="255"/>
  <c r="V58" i="255"/>
  <c r="V59" i="255"/>
  <c r="V60" i="255"/>
  <c r="V61" i="255"/>
  <c r="I62" i="255"/>
  <c r="V62" i="255"/>
  <c r="I63" i="255"/>
  <c r="V63" i="255"/>
  <c r="I64" i="255"/>
  <c r="V64" i="255"/>
  <c r="I65" i="255"/>
  <c r="V65" i="255"/>
  <c r="V66" i="255"/>
  <c r="V67" i="255"/>
  <c r="V68" i="255"/>
  <c r="V69" i="255"/>
  <c r="V70" i="255"/>
  <c r="V71" i="255"/>
  <c r="V72" i="255"/>
  <c r="V73" i="255"/>
  <c r="V74" i="255"/>
  <c r="V75" i="255"/>
  <c r="V76" i="255"/>
  <c r="V77" i="255"/>
  <c r="V78" i="255"/>
  <c r="V79" i="255"/>
  <c r="I80" i="255"/>
  <c r="V80" i="255"/>
  <c r="V81" i="255"/>
  <c r="V82" i="255"/>
  <c r="V83" i="255"/>
  <c r="V84" i="255"/>
  <c r="V90" i="255"/>
  <c r="V91" i="255"/>
  <c r="V92" i="255"/>
  <c r="V93" i="255"/>
  <c r="V94" i="255"/>
  <c r="I95" i="255"/>
  <c r="V95" i="255"/>
  <c r="I96" i="255"/>
  <c r="V96" i="255"/>
  <c r="I97" i="255"/>
  <c r="V97" i="255"/>
  <c r="I98" i="255"/>
  <c r="V98" i="255"/>
  <c r="I99" i="255"/>
  <c r="V99" i="255"/>
  <c r="I100" i="255"/>
  <c r="V100" i="255"/>
  <c r="I101" i="255"/>
  <c r="V101" i="255"/>
  <c r="I102" i="255"/>
  <c r="V102" i="255"/>
  <c r="V5" i="254" l="1"/>
  <c r="V6" i="254"/>
  <c r="V10" i="254"/>
  <c r="V12" i="254"/>
  <c r="V13" i="254"/>
  <c r="V14" i="254"/>
  <c r="V15" i="254"/>
  <c r="V23" i="254"/>
  <c r="V24" i="254"/>
  <c r="V26" i="254"/>
  <c r="V32" i="254"/>
  <c r="V33" i="254"/>
  <c r="V34" i="254"/>
  <c r="V35" i="254"/>
  <c r="V41" i="254"/>
  <c r="I44" i="254"/>
  <c r="I15" i="253"/>
  <c r="V15" i="253"/>
  <c r="V16" i="253"/>
  <c r="V17" i="253"/>
  <c r="V18" i="253"/>
  <c r="V19" i="253"/>
  <c r="V21" i="253"/>
  <c r="V22" i="253"/>
  <c r="V28" i="253"/>
  <c r="V30" i="253"/>
  <c r="I32" i="253"/>
  <c r="V35" i="253"/>
  <c r="V39" i="253"/>
  <c r="V40" i="253"/>
  <c r="V41" i="253"/>
  <c r="V42" i="253"/>
  <c r="V43" i="253"/>
  <c r="I52" i="253"/>
  <c r="I56" i="253"/>
  <c r="V56" i="253"/>
  <c r="V57" i="253"/>
  <c r="V58" i="253"/>
  <c r="V59" i="253"/>
  <c r="V60" i="253"/>
  <c r="V61" i="253"/>
  <c r="V62" i="253"/>
  <c r="V63" i="253"/>
  <c r="V64" i="253"/>
  <c r="V65" i="253"/>
  <c r="V66" i="253"/>
  <c r="V67" i="253"/>
  <c r="V68" i="253"/>
  <c r="V69" i="253"/>
  <c r="V70" i="253"/>
  <c r="V71" i="253"/>
  <c r="K72" i="253"/>
  <c r="I72" i="253" s="1"/>
  <c r="L72" i="253"/>
  <c r="W72" i="253"/>
  <c r="X72" i="253"/>
  <c r="I73" i="253"/>
  <c r="I74" i="253"/>
  <c r="L75" i="253"/>
  <c r="I75" i="253" s="1"/>
  <c r="I76" i="253"/>
  <c r="V77" i="253"/>
  <c r="V78" i="253"/>
  <c r="V79" i="253"/>
  <c r="V80" i="253"/>
  <c r="V81" i="253"/>
  <c r="V85" i="253"/>
  <c r="V86" i="253"/>
  <c r="V87" i="253"/>
  <c r="V89" i="253"/>
  <c r="V90" i="253"/>
  <c r="V91" i="253"/>
  <c r="V92" i="253"/>
  <c r="V93" i="253"/>
  <c r="V94" i="253"/>
  <c r="V99" i="253"/>
  <c r="V100" i="253"/>
  <c r="I5" i="252"/>
  <c r="I6" i="252"/>
  <c r="I7" i="252"/>
  <c r="I8" i="252"/>
  <c r="I9" i="252"/>
  <c r="V9" i="252"/>
  <c r="I10" i="252"/>
  <c r="V10" i="252"/>
  <c r="I11" i="252"/>
  <c r="V11" i="252"/>
  <c r="I12" i="252"/>
  <c r="V12" i="252"/>
  <c r="I13" i="252"/>
  <c r="V13" i="252"/>
  <c r="I14" i="252"/>
  <c r="V14" i="252"/>
  <c r="I15" i="252"/>
  <c r="V15" i="252"/>
  <c r="I16" i="252"/>
  <c r="V16" i="252"/>
  <c r="I17" i="252"/>
  <c r="I18" i="252"/>
  <c r="I19" i="252"/>
  <c r="I20" i="252"/>
  <c r="I21" i="252"/>
  <c r="V21" i="252"/>
  <c r="I22" i="252"/>
  <c r="V22" i="252"/>
  <c r="I23" i="252"/>
  <c r="V23" i="252"/>
  <c r="I24" i="252"/>
  <c r="V24" i="252"/>
  <c r="I25" i="252"/>
  <c r="I26" i="252"/>
  <c r="I27" i="252"/>
  <c r="I28" i="252"/>
  <c r="I29" i="252"/>
  <c r="V29" i="252"/>
  <c r="I30" i="252"/>
  <c r="V30" i="252"/>
  <c r="I31" i="252"/>
  <c r="V31" i="252"/>
  <c r="I32" i="252"/>
  <c r="V32" i="252"/>
  <c r="I33" i="252"/>
  <c r="V33" i="252"/>
  <c r="I34" i="252"/>
  <c r="V34" i="252"/>
  <c r="I35" i="252"/>
  <c r="V35" i="252"/>
  <c r="I36" i="252"/>
  <c r="I37" i="252"/>
  <c r="V37" i="252"/>
  <c r="I38" i="252"/>
  <c r="V38" i="252"/>
  <c r="I39" i="252"/>
  <c r="V39" i="252"/>
  <c r="I40" i="252"/>
  <c r="V40" i="252"/>
  <c r="I41" i="252"/>
  <c r="I42" i="252"/>
  <c r="V42" i="252"/>
  <c r="I43" i="252"/>
  <c r="V43" i="252"/>
  <c r="I44" i="252"/>
  <c r="I45" i="252"/>
  <c r="V45" i="252"/>
  <c r="I46" i="252"/>
  <c r="V46" i="252"/>
  <c r="I47" i="252"/>
  <c r="I48" i="252"/>
  <c r="V48" i="252"/>
  <c r="I49" i="252"/>
  <c r="V49" i="252"/>
  <c r="I50" i="252"/>
  <c r="V50" i="252"/>
  <c r="I51" i="252"/>
  <c r="I52" i="252"/>
  <c r="V52" i="252"/>
  <c r="I53" i="252"/>
  <c r="V53" i="252"/>
  <c r="I54" i="252"/>
  <c r="V54" i="252"/>
  <c r="I55" i="252"/>
  <c r="V55" i="252"/>
  <c r="I56" i="252"/>
  <c r="V56" i="252"/>
  <c r="I57" i="252"/>
  <c r="V57" i="252"/>
  <c r="I58" i="252"/>
  <c r="V58" i="252"/>
  <c r="I59" i="252"/>
  <c r="V59" i="252"/>
  <c r="I60" i="252"/>
  <c r="V60" i="252"/>
  <c r="I61" i="252"/>
  <c r="I62" i="252"/>
  <c r="I63" i="252"/>
  <c r="I64" i="252"/>
  <c r="I65" i="252"/>
  <c r="I66" i="252"/>
  <c r="I67" i="252"/>
  <c r="V67" i="252"/>
  <c r="I68" i="252"/>
  <c r="V68" i="252"/>
  <c r="I69" i="252"/>
  <c r="V69" i="252"/>
  <c r="I70" i="252"/>
  <c r="V70" i="252"/>
  <c r="I71" i="252"/>
  <c r="I72" i="252"/>
  <c r="I73" i="252"/>
  <c r="I74" i="252"/>
  <c r="V74" i="252"/>
  <c r="I75" i="252"/>
  <c r="V75" i="252"/>
  <c r="I76" i="252"/>
  <c r="V76" i="252"/>
  <c r="I77" i="252"/>
  <c r="V77" i="252"/>
  <c r="I78" i="252"/>
  <c r="I79" i="252"/>
  <c r="I80" i="252"/>
  <c r="V80" i="252"/>
  <c r="I81" i="252"/>
  <c r="V81" i="252"/>
  <c r="I82" i="252"/>
  <c r="V82" i="252"/>
  <c r="I83" i="252"/>
  <c r="V83" i="252"/>
  <c r="I84" i="252"/>
  <c r="V84" i="252"/>
  <c r="I85" i="252"/>
  <c r="V85" i="252"/>
  <c r="I86" i="252"/>
  <c r="I87" i="252"/>
  <c r="I88" i="252"/>
  <c r="V88" i="252"/>
  <c r="I89" i="252"/>
  <c r="V89" i="252"/>
  <c r="I90" i="252"/>
  <c r="V90" i="252"/>
  <c r="I91" i="252"/>
  <c r="I92" i="252"/>
  <c r="V92" i="252"/>
  <c r="I93" i="252"/>
  <c r="V93" i="252"/>
  <c r="I94" i="252"/>
  <c r="V94" i="252"/>
  <c r="I95" i="252"/>
  <c r="V95" i="252"/>
  <c r="I96" i="252"/>
  <c r="V96" i="252"/>
  <c r="I97" i="252"/>
  <c r="V97" i="252"/>
  <c r="I98" i="252"/>
  <c r="V98" i="252"/>
  <c r="I99" i="252"/>
  <c r="V99" i="252"/>
  <c r="I100" i="252"/>
  <c r="V100" i="252"/>
  <c r="I101" i="252"/>
  <c r="V101" i="252"/>
  <c r="I102" i="252"/>
  <c r="V102" i="252"/>
  <c r="I103" i="252"/>
  <c r="V103" i="252"/>
  <c r="I104" i="252"/>
  <c r="V104" i="252"/>
  <c r="I105" i="252"/>
  <c r="V105" i="252"/>
  <c r="I106" i="252"/>
  <c r="V106" i="252"/>
  <c r="I107" i="252"/>
  <c r="I108" i="252"/>
  <c r="I109" i="252"/>
  <c r="V109" i="252"/>
  <c r="I110" i="252"/>
  <c r="V110" i="252"/>
  <c r="I111" i="252"/>
  <c r="I112" i="252"/>
  <c r="V112" i="252"/>
  <c r="I113" i="252"/>
  <c r="I114" i="252"/>
  <c r="V114" i="252"/>
  <c r="V6" i="251"/>
  <c r="V6" i="249"/>
  <c r="V10" i="249"/>
  <c r="V12" i="249"/>
  <c r="V5" i="248"/>
  <c r="V6" i="248"/>
  <c r="V9" i="248"/>
  <c r="W9" i="247"/>
  <c r="W10" i="247"/>
  <c r="V11" i="247"/>
  <c r="V12" i="247"/>
  <c r="V13" i="247"/>
  <c r="V16" i="247"/>
  <c r="I17" i="247"/>
  <c r="V18" i="247"/>
  <c r="V19" i="247"/>
  <c r="V20" i="247"/>
  <c r="V21" i="247"/>
  <c r="V22" i="247"/>
  <c r="I23" i="247"/>
  <c r="V23" i="247"/>
  <c r="I5" i="246"/>
  <c r="V5" i="246"/>
  <c r="I6" i="246"/>
  <c r="V6" i="246"/>
  <c r="I7" i="246"/>
  <c r="V7" i="246"/>
  <c r="I8" i="246"/>
  <c r="V8" i="246"/>
  <c r="I9" i="246"/>
  <c r="V9" i="246"/>
  <c r="I10" i="246"/>
  <c r="V10" i="246"/>
  <c r="I11" i="246"/>
  <c r="V11" i="246"/>
  <c r="I12" i="246"/>
  <c r="V12" i="246"/>
  <c r="I13" i="246"/>
  <c r="V13" i="246"/>
  <c r="I14" i="246"/>
  <c r="V14" i="246"/>
  <c r="I15" i="246"/>
  <c r="V15" i="246"/>
  <c r="I16" i="246"/>
  <c r="V16" i="246"/>
  <c r="I17" i="246"/>
  <c r="V17" i="246"/>
  <c r="I18" i="246"/>
  <c r="V18" i="246"/>
  <c r="I19" i="246"/>
  <c r="V19" i="246"/>
  <c r="I20" i="246"/>
  <c r="V20" i="246"/>
  <c r="I21" i="246"/>
  <c r="V21" i="246"/>
  <c r="I22" i="246"/>
  <c r="V22" i="246"/>
  <c r="I23" i="246"/>
  <c r="V23" i="246"/>
  <c r="I24" i="246"/>
  <c r="V24" i="246"/>
  <c r="I25" i="246"/>
  <c r="V25" i="246"/>
  <c r="I26" i="246"/>
  <c r="V26" i="246"/>
  <c r="I27" i="246"/>
  <c r="V27" i="246"/>
  <c r="I28" i="246"/>
  <c r="V28" i="246"/>
  <c r="I29" i="246"/>
  <c r="V29" i="246"/>
  <c r="I30" i="246"/>
  <c r="V30" i="246"/>
  <c r="I31" i="246"/>
  <c r="V31" i="246"/>
  <c r="V32" i="246"/>
  <c r="I33" i="246"/>
  <c r="V33" i="246"/>
  <c r="I34" i="246"/>
  <c r="V34" i="246"/>
  <c r="I35" i="246"/>
  <c r="V35" i="246"/>
  <c r="I36" i="246"/>
  <c r="V36" i="246"/>
  <c r="I37" i="246"/>
  <c r="V37" i="246"/>
  <c r="I38" i="246"/>
  <c r="V38" i="246"/>
  <c r="I39" i="246"/>
  <c r="V39" i="246"/>
  <c r="I40" i="246"/>
  <c r="V40" i="246"/>
  <c r="I41" i="246"/>
  <c r="V41" i="246"/>
  <c r="I42" i="246"/>
  <c r="V42" i="246"/>
  <c r="I6" i="245"/>
  <c r="V6" i="245"/>
  <c r="I7" i="245"/>
  <c r="I8" i="245"/>
  <c r="V8" i="245"/>
  <c r="V13" i="245"/>
  <c r="V14" i="245"/>
  <c r="V20" i="245"/>
  <c r="V22" i="245"/>
  <c r="V24" i="245"/>
  <c r="I25" i="245"/>
  <c r="V25" i="245"/>
  <c r="I26" i="245"/>
  <c r="V26" i="245"/>
  <c r="I28" i="245"/>
  <c r="V28" i="245"/>
  <c r="V29" i="245"/>
  <c r="V32" i="245"/>
  <c r="V33" i="245"/>
  <c r="V34" i="245"/>
  <c r="V35" i="245"/>
  <c r="V36" i="245"/>
  <c r="V37" i="245"/>
  <c r="I38" i="245"/>
  <c r="V38" i="245"/>
  <c r="V39" i="245"/>
  <c r="V40" i="245"/>
  <c r="V42" i="245"/>
  <c r="V44" i="245"/>
  <c r="V5" i="244"/>
  <c r="V8" i="244"/>
  <c r="V10" i="244"/>
  <c r="V13" i="244"/>
  <c r="V14" i="244"/>
  <c r="V15" i="244"/>
  <c r="V16" i="244"/>
  <c r="V17" i="244"/>
  <c r="V18" i="244"/>
  <c r="I19" i="244"/>
  <c r="V19" i="244"/>
  <c r="V20" i="244"/>
  <c r="V21" i="244"/>
  <c r="V22" i="244"/>
  <c r="I23" i="244"/>
  <c r="V23" i="244"/>
  <c r="V24" i="244"/>
  <c r="V25" i="244"/>
  <c r="V26" i="244"/>
  <c r="V27" i="244"/>
  <c r="V28" i="244"/>
  <c r="V29" i="244"/>
  <c r="I33" i="244"/>
  <c r="V33" i="244"/>
  <c r="I34" i="244"/>
  <c r="V34" i="244"/>
  <c r="I37" i="244"/>
  <c r="I38" i="244"/>
  <c r="I39" i="244"/>
  <c r="I40" i="244"/>
  <c r="V41" i="244"/>
  <c r="V42" i="244"/>
  <c r="I43" i="244"/>
  <c r="V43" i="244"/>
  <c r="V45" i="244"/>
  <c r="V46" i="244"/>
  <c r="V47" i="244"/>
  <c r="V48" i="244"/>
  <c r="V49" i="244"/>
  <c r="V50" i="244"/>
  <c r="V51" i="244"/>
  <c r="V52" i="244"/>
  <c r="V53" i="244"/>
  <c r="V58" i="244"/>
  <c r="V59" i="244"/>
  <c r="V60" i="244"/>
  <c r="V61" i="244"/>
  <c r="V62" i="244"/>
  <c r="V63" i="244"/>
  <c r="V64" i="244"/>
  <c r="V65" i="244"/>
  <c r="V66" i="244"/>
  <c r="I67" i="244"/>
  <c r="V67" i="244"/>
  <c r="I68" i="244"/>
  <c r="V68" i="244"/>
  <c r="I69" i="244"/>
  <c r="V69" i="244"/>
  <c r="V70" i="244"/>
  <c r="V71" i="244"/>
  <c r="V73" i="244"/>
  <c r="V79" i="244"/>
  <c r="I82" i="244"/>
  <c r="B10" i="181" l="1"/>
  <c r="B5" i="181" l="1"/>
  <c r="B6" i="181"/>
  <c r="B7" i="181"/>
  <c r="B8" i="181"/>
  <c r="B9" i="181"/>
  <c r="B11" i="181"/>
  <c r="C12" i="181"/>
  <c r="D12" i="181"/>
  <c r="E12" i="181"/>
  <c r="F12" i="181"/>
  <c r="G12" i="181"/>
  <c r="H12" i="181"/>
  <c r="I12" i="181"/>
  <c r="J12" i="181"/>
  <c r="K12" i="181"/>
  <c r="L12" i="181"/>
  <c r="M12" i="181"/>
  <c r="N12" i="181"/>
  <c r="O12" i="181"/>
  <c r="P12" i="181"/>
  <c r="Q12" i="181"/>
  <c r="R12" i="181"/>
  <c r="S12" i="181"/>
  <c r="B12" i="181" l="1"/>
  <c r="V7" i="166" l="1"/>
  <c r="V8" i="166"/>
  <c r="V9" i="166"/>
  <c r="V10" i="166"/>
  <c r="I13" i="166"/>
  <c r="V14" i="166"/>
  <c r="V15" i="166"/>
  <c r="V16" i="166"/>
  <c r="V17" i="166"/>
  <c r="V18" i="166"/>
  <c r="V19" i="166"/>
  <c r="V20" i="166"/>
  <c r="V21" i="166"/>
  <c r="V22" i="166"/>
  <c r="V23" i="166"/>
  <c r="V24" i="166"/>
  <c r="V25" i="166"/>
  <c r="V26" i="166"/>
  <c r="V27" i="166"/>
  <c r="V28" i="166"/>
  <c r="V30" i="166"/>
  <c r="V32" i="166"/>
  <c r="V33" i="166"/>
  <c r="V36" i="166"/>
  <c r="V39" i="166"/>
  <c r="V40" i="166"/>
  <c r="V41" i="166"/>
  <c r="I42" i="166"/>
  <c r="V43" i="166"/>
  <c r="I5" i="162" l="1"/>
  <c r="V5" i="162"/>
  <c r="I6" i="162"/>
  <c r="V6" i="162"/>
  <c r="I7" i="162"/>
  <c r="V7" i="162"/>
  <c r="I8" i="162"/>
  <c r="V8" i="162"/>
  <c r="I9" i="162"/>
  <c r="V9" i="162"/>
  <c r="I10" i="162"/>
  <c r="V10" i="162"/>
  <c r="I11" i="162"/>
  <c r="V11" i="162"/>
  <c r="I12" i="162"/>
  <c r="V12" i="162"/>
  <c r="I13" i="162"/>
  <c r="I14" i="162"/>
  <c r="V14" i="162"/>
  <c r="I15" i="162"/>
  <c r="V15" i="162"/>
  <c r="I16" i="162"/>
  <c r="V16" i="162"/>
  <c r="I17" i="162"/>
  <c r="V17" i="162"/>
  <c r="I18" i="162"/>
  <c r="V18" i="162"/>
  <c r="I19" i="162"/>
  <c r="V19" i="162"/>
  <c r="I20" i="162"/>
  <c r="V20" i="162"/>
  <c r="I21" i="162"/>
  <c r="V21" i="162"/>
  <c r="I22" i="162"/>
  <c r="V22" i="162"/>
  <c r="I23" i="162"/>
  <c r="V23" i="162"/>
  <c r="I24" i="162"/>
  <c r="V24" i="162"/>
  <c r="I25" i="162"/>
  <c r="V25" i="162"/>
  <c r="I26" i="162"/>
  <c r="V26" i="162"/>
  <c r="I27" i="162"/>
  <c r="V27" i="162"/>
  <c r="I28" i="162"/>
  <c r="V28" i="162"/>
  <c r="I29" i="162"/>
  <c r="V29" i="162"/>
  <c r="I30" i="162"/>
  <c r="V30" i="162"/>
  <c r="I31" i="162"/>
  <c r="V31" i="162"/>
  <c r="I32" i="162"/>
  <c r="V32" i="162"/>
  <c r="I33" i="162"/>
  <c r="V33" i="162"/>
  <c r="I34" i="162"/>
  <c r="V34" i="162"/>
  <c r="I35" i="162"/>
  <c r="V35" i="162"/>
  <c r="I36" i="162"/>
  <c r="V36" i="162"/>
  <c r="I37" i="162"/>
  <c r="V37" i="162"/>
  <c r="I38" i="162"/>
  <c r="V38" i="162"/>
  <c r="I39" i="162"/>
  <c r="V39" i="162"/>
  <c r="I40" i="162"/>
  <c r="V40" i="162"/>
  <c r="I41" i="162"/>
  <c r="V41" i="162"/>
  <c r="I42" i="162"/>
  <c r="V42" i="162"/>
  <c r="I43" i="162"/>
  <c r="V43" i="162"/>
  <c r="I44" i="162"/>
  <c r="V44" i="162"/>
  <c r="I45" i="162"/>
  <c r="V45" i="162"/>
  <c r="I46" i="162"/>
  <c r="V46" i="162"/>
  <c r="I47" i="162"/>
  <c r="V47" i="162"/>
  <c r="I48" i="162"/>
  <c r="V48" i="162"/>
  <c r="I49" i="162"/>
  <c r="V49" i="162"/>
  <c r="I50" i="162"/>
  <c r="V50" i="162"/>
  <c r="I51" i="162"/>
  <c r="V51" i="162"/>
  <c r="I52" i="162"/>
  <c r="V52" i="162"/>
  <c r="I53" i="162"/>
  <c r="V53" i="162"/>
  <c r="I54" i="162"/>
  <c r="V54" i="162"/>
  <c r="I55" i="162"/>
  <c r="V55" i="162"/>
  <c r="I56" i="162"/>
  <c r="V56" i="162"/>
  <c r="I57" i="162"/>
  <c r="V57" i="162"/>
  <c r="I58" i="162"/>
  <c r="V58" i="162"/>
  <c r="I59" i="162"/>
  <c r="V59" i="162"/>
  <c r="I60" i="162"/>
  <c r="V60" i="162"/>
  <c r="I61" i="162"/>
  <c r="V61" i="162"/>
  <c r="I62" i="162"/>
  <c r="I63" i="162"/>
  <c r="I64" i="162"/>
  <c r="V64" i="162"/>
  <c r="I65" i="162"/>
  <c r="I66" i="162"/>
  <c r="V66" i="162"/>
  <c r="I67" i="162"/>
  <c r="V67" i="162"/>
  <c r="I68" i="162"/>
  <c r="I69" i="162"/>
  <c r="V69" i="162"/>
  <c r="I70" i="162"/>
  <c r="V70" i="162"/>
  <c r="I71" i="162"/>
  <c r="V71" i="162"/>
  <c r="I72" i="162"/>
  <c r="V72" i="162"/>
  <c r="I73" i="162"/>
  <c r="V73" i="162"/>
  <c r="I74" i="162"/>
  <c r="V74" i="162"/>
  <c r="I75" i="162"/>
  <c r="V75" i="162"/>
  <c r="I76" i="162"/>
  <c r="V76" i="162"/>
  <c r="I77" i="162"/>
  <c r="V77" i="162"/>
  <c r="I78" i="162"/>
  <c r="V78" i="162"/>
  <c r="I79" i="162"/>
  <c r="V79" i="162"/>
  <c r="I80" i="162"/>
  <c r="V80" i="162"/>
  <c r="I81" i="162"/>
  <c r="V81" i="162"/>
  <c r="I82" i="162"/>
  <c r="V82" i="162"/>
  <c r="I83" i="162"/>
  <c r="V83" i="162"/>
  <c r="I84" i="162"/>
  <c r="V84" i="162"/>
  <c r="I85" i="162"/>
  <c r="V85" i="162"/>
  <c r="I86" i="162"/>
  <c r="V86" i="162"/>
  <c r="I87" i="162"/>
  <c r="V87" i="162"/>
  <c r="I88" i="162"/>
  <c r="V88" i="162"/>
  <c r="I89" i="162"/>
  <c r="V89" i="162"/>
  <c r="I90" i="162"/>
  <c r="V90" i="162"/>
  <c r="I91" i="162"/>
  <c r="V91" i="162"/>
  <c r="I92" i="162"/>
  <c r="V92" i="162"/>
  <c r="I93" i="162"/>
  <c r="V93" i="162"/>
  <c r="I94" i="162"/>
  <c r="V94" i="162"/>
  <c r="I95" i="162"/>
  <c r="V95" i="162"/>
  <c r="I96" i="162"/>
  <c r="V96" i="162"/>
  <c r="I97" i="162"/>
  <c r="V97" i="162"/>
  <c r="I98" i="162"/>
  <c r="V98" i="162"/>
  <c r="I99" i="162"/>
  <c r="V16" i="148" l="1"/>
  <c r="V17" i="148"/>
  <c r="V18" i="148"/>
  <c r="I31" i="148"/>
  <c r="V31" i="148"/>
  <c r="I32" i="148"/>
  <c r="V32" i="148"/>
  <c r="I33" i="148"/>
  <c r="V33" i="148"/>
  <c r="I34" i="148"/>
  <c r="V34" i="148"/>
  <c r="I35" i="148"/>
  <c r="V35" i="148"/>
  <c r="V36" i="148"/>
  <c r="V37" i="148"/>
  <c r="V38" i="148"/>
  <c r="V39" i="148"/>
  <c r="V42" i="148"/>
  <c r="V43" i="148"/>
  <c r="V44" i="148"/>
  <c r="V45" i="148"/>
  <c r="I48" i="148"/>
  <c r="V48" i="148"/>
  <c r="V49" i="148"/>
  <c r="V51" i="148"/>
  <c r="V52" i="148"/>
  <c r="V53" i="148"/>
  <c r="V55" i="148"/>
  <c r="V60" i="148"/>
  <c r="V61" i="148"/>
  <c r="V62" i="148"/>
  <c r="V63" i="148"/>
  <c r="V64" i="148"/>
  <c r="V65" i="148"/>
  <c r="V70" i="148"/>
  <c r="V71" i="148"/>
  <c r="V72" i="148"/>
  <c r="V74" i="148"/>
  <c r="V75" i="148"/>
  <c r="V80" i="148"/>
  <c r="I81" i="148"/>
  <c r="V81" i="148"/>
  <c r="V82" i="148"/>
  <c r="V83" i="148"/>
  <c r="I84" i="148"/>
  <c r="V84" i="148"/>
  <c r="I85" i="148"/>
  <c r="V85" i="148"/>
  <c r="V86" i="148"/>
  <c r="V87" i="148"/>
  <c r="V88" i="148"/>
  <c r="V89" i="148"/>
  <c r="V90" i="148"/>
</calcChain>
</file>

<file path=xl/comments1.xml><?xml version="1.0" encoding="utf-8"?>
<comments xmlns="http://schemas.openxmlformats.org/spreadsheetml/2006/main">
  <authors>
    <author>USER</author>
    <author>User</author>
  </authors>
  <commentList>
    <comment ref="Z1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본</t>
        </r>
        <r>
          <rPr>
            <sz val="9"/>
            <color indexed="81"/>
            <rFont val="돋움"/>
            <family val="3"/>
            <charset val="129"/>
          </rPr>
          <t>축제는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내년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개최</t>
        </r>
      </text>
    </comment>
    <comment ref="Z1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확정되면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전화주실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</t>
        </r>
      </text>
    </comment>
    <comment ref="Z18" authorId="0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 xml:space="preserve">분산개최
</t>
        </r>
        <r>
          <rPr>
            <sz val="9"/>
            <color indexed="81"/>
            <rFont val="돋움"/>
            <family val="3"/>
            <charset val="129"/>
          </rPr>
          <t>이태원특구</t>
        </r>
        <r>
          <rPr>
            <sz val="9"/>
            <color indexed="81"/>
            <rFont val="Tahoma"/>
            <family val="2"/>
          </rPr>
          <t xml:space="preserve"> 10.23~10.31 </t>
        </r>
        <r>
          <rPr>
            <sz val="9"/>
            <color indexed="81"/>
            <rFont val="돋움"/>
            <family val="3"/>
            <charset val="129"/>
          </rPr>
          <t>잠실특구</t>
        </r>
        <r>
          <rPr>
            <sz val="9"/>
            <color indexed="81"/>
            <rFont val="Tahoma"/>
            <family val="2"/>
          </rPr>
          <t xml:space="preserve"> 10.30~11.6 
</t>
        </r>
        <r>
          <rPr>
            <sz val="9"/>
            <color indexed="81"/>
            <rFont val="돋움"/>
            <family val="3"/>
            <charset val="129"/>
          </rPr>
          <t>동대문특구</t>
        </r>
        <r>
          <rPr>
            <sz val="9"/>
            <color indexed="81"/>
            <rFont val="Tahoma"/>
            <family val="2"/>
          </rPr>
          <t xml:space="preserve"> 11.6~11.15 </t>
        </r>
        <r>
          <rPr>
            <sz val="9"/>
            <color indexed="81"/>
            <rFont val="돋움"/>
            <family val="3"/>
            <charset val="129"/>
          </rPr>
          <t>명동</t>
        </r>
        <r>
          <rPr>
            <sz val="9"/>
            <color indexed="81"/>
            <rFont val="Tahoma"/>
            <family val="2"/>
          </rPr>
          <t xml:space="preserve"> 11.13~11.22</t>
        </r>
      </text>
    </comment>
    <comment ref="D38" authorId="0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서울국제예술대안영상페스티벌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축제명이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54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석촌호수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단충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낙엽축제로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변경되었습니다</t>
        </r>
        <r>
          <rPr>
            <sz val="9"/>
            <color indexed="81"/>
            <rFont val="Tahoma"/>
            <family val="2"/>
          </rPr>
          <t>.</t>
        </r>
      </text>
    </comment>
    <comment ref="Z6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극장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개최
장소협의중</t>
        </r>
        <r>
          <rPr>
            <sz val="9"/>
            <color indexed="81"/>
            <rFont val="Tahoma"/>
            <family val="2"/>
          </rPr>
          <t>, 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</text>
    </comment>
    <comment ref="Z66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10.18 </t>
        </r>
        <r>
          <rPr>
            <sz val="9"/>
            <color indexed="81"/>
            <rFont val="돋움"/>
            <family val="3"/>
            <charset val="129"/>
          </rPr>
          <t>하루동안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개최</t>
        </r>
      </text>
    </comment>
    <comment ref="D67" authorId="0">
      <text>
        <r>
          <rPr>
            <b/>
            <sz val="9"/>
            <color indexed="81"/>
            <rFont val="돋움"/>
            <family val="3"/>
            <charset val="129"/>
          </rPr>
          <t>'노원달빛산책'으로 명칭변경되었습니다.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경춘선야행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명칭변경되었습니다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8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예정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Z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첫째주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</text>
    </comment>
    <comment ref="Z20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오프라인도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검토중
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낙동강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구포나루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힐링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피크닉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>
  <authors>
    <author>USER</author>
    <author>User</author>
  </authors>
  <commentList>
    <comment ref="D7" authorId="0">
      <text>
        <r>
          <rPr>
            <b/>
            <sz val="9"/>
            <color indexed="81"/>
            <rFont val="Tahoma"/>
            <family val="2"/>
          </rPr>
          <t xml:space="preserve">'2020 </t>
        </r>
        <r>
          <rPr>
            <b/>
            <sz val="9"/>
            <color indexed="81"/>
            <rFont val="돋움"/>
            <family val="3"/>
            <charset val="129"/>
          </rPr>
          <t>대구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오페라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축제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17" authorId="0">
      <text>
        <r>
          <rPr>
            <b/>
            <sz val="9"/>
            <color indexed="81"/>
            <rFont val="돋움"/>
            <family val="3"/>
            <charset val="129"/>
          </rPr>
          <t>축제가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대구국제힐링예술제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8.1~10.31
(3</t>
        </r>
        <r>
          <rPr>
            <b/>
            <sz val="9"/>
            <color indexed="81"/>
            <rFont val="돋움"/>
            <family val="3"/>
            <charset val="129"/>
          </rPr>
          <t>개월간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Z25" authorId="1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상인회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받지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>. 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일자리경제과에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Z38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10.31 </t>
        </r>
        <r>
          <rPr>
            <sz val="9"/>
            <color indexed="81"/>
            <rFont val="돋움"/>
            <family val="3"/>
            <charset val="129"/>
          </rPr>
          <t>하루만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개최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Z11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</text>
    </comment>
    <comment ref="Z1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Z7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외솔한글한마당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6.xml><?xml version="1.0" encoding="utf-8"?>
<comments xmlns="http://schemas.openxmlformats.org/spreadsheetml/2006/main">
  <authors>
    <author>USER</author>
    <author>Administrator</author>
    <author>임혦</author>
    <author>User</author>
  </authors>
  <commentList>
    <comment ref="Z15" authorId="0">
      <text>
        <r>
          <rPr>
            <b/>
            <sz val="9"/>
            <color indexed="81"/>
            <rFont val="돋움"/>
            <family val="3"/>
            <charset val="129"/>
          </rPr>
          <t>간단한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기념식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행사만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W17" authorId="1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b/>
            <sz val="9"/>
            <color indexed="81"/>
            <rFont val="Tahoma"/>
            <family val="2"/>
          </rPr>
          <t>(19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미개최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W18" authorId="1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b/>
            <sz val="9"/>
            <color indexed="81"/>
            <rFont val="Tahoma"/>
            <family val="2"/>
          </rPr>
          <t>(19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미개최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Z24" authorId="2">
      <text>
        <r>
          <rPr>
            <b/>
            <sz val="9"/>
            <color indexed="81"/>
            <rFont val="돋움"/>
            <family val="3"/>
            <charset val="129"/>
          </rPr>
          <t xml:space="preserve">사전 예약제 
1일 4회 약 80명씩(총 약 300명) 
전시 관람 형태로 개최
</t>
        </r>
      </text>
    </comment>
    <comment ref="D25" authorId="2">
      <text>
        <r>
          <rPr>
            <b/>
            <sz val="9"/>
            <color indexed="81"/>
            <rFont val="Tahoma"/>
            <family val="2"/>
          </rPr>
          <t xml:space="preserve">9.17 
</t>
        </r>
        <r>
          <rPr>
            <b/>
            <sz val="9"/>
            <color indexed="81"/>
            <rFont val="돋움"/>
            <family val="3"/>
            <charset val="129"/>
          </rPr>
          <t>보정동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카페거리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어린이날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축제</t>
        </r>
        <r>
          <rPr>
            <b/>
            <sz val="9"/>
            <color indexed="81"/>
            <rFont val="Tahoma"/>
            <family val="2"/>
          </rPr>
          <t xml:space="preserve"> -&gt; '</t>
        </r>
        <r>
          <rPr>
            <b/>
            <sz val="9"/>
            <color indexed="81"/>
            <rFont val="돋움"/>
            <family val="3"/>
            <charset val="129"/>
          </rPr>
          <t>어린이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대축제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W35" authorId="3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User:
* </t>
        </r>
        <r>
          <rPr>
            <sz val="9"/>
            <color indexed="81"/>
            <rFont val="돋움"/>
            <family val="3"/>
            <charset val="129"/>
          </rPr>
          <t>전년보다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방문객수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감소사유</t>
        </r>
        <r>
          <rPr>
            <sz val="9"/>
            <color indexed="81"/>
            <rFont val="Tahoma"/>
            <family val="2"/>
          </rPr>
          <t>: 2020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현장방문객수만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산정예정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폐지</t>
        </r>
        <r>
          <rPr>
            <sz val="9"/>
            <color indexed="81"/>
            <rFont val="Tahoma"/>
            <family val="2"/>
          </rPr>
          <t>)</t>
        </r>
      </text>
    </comment>
    <comment ref="Z35" authorId="2">
      <text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강연
오프라인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애니메이션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상영</t>
        </r>
      </text>
    </comment>
    <comment ref="Z51" authorId="2">
      <text>
        <r>
          <rPr>
            <sz val="9"/>
            <color indexed="81"/>
            <rFont val="돋움"/>
            <family val="3"/>
            <charset val="129"/>
          </rPr>
          <t>안양시청</t>
        </r>
        <r>
          <rPr>
            <sz val="9"/>
            <color indexed="81"/>
            <rFont val="Tahoma"/>
            <family val="2"/>
          </rPr>
          <t xml:space="preserve"> SNS, </t>
        </r>
        <r>
          <rPr>
            <sz val="9"/>
            <color indexed="81"/>
            <rFont val="돋움"/>
            <family val="3"/>
            <charset val="129"/>
          </rPr>
          <t>안양문화예술재단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홈페이지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통해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공연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업로드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예정이라고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하십니다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Z60" authorId="2">
      <text>
        <r>
          <rPr>
            <b/>
            <sz val="9"/>
            <color indexed="81"/>
            <rFont val="Tahoma"/>
            <family val="2"/>
          </rPr>
          <t xml:space="preserve">10.12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유튜브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</t>
        </r>
      </text>
    </comment>
    <comment ref="Z61" authorId="2">
      <text>
        <r>
          <rPr>
            <b/>
            <sz val="9"/>
            <color indexed="81"/>
            <rFont val="Tahoma"/>
            <family val="2"/>
          </rPr>
          <t xml:space="preserve">10.7 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개시</t>
        </r>
      </text>
    </comment>
    <comment ref="Z62" authorId="2">
      <text>
        <r>
          <rPr>
            <b/>
            <sz val="9"/>
            <color indexed="81"/>
            <rFont val="돋움"/>
            <family val="3"/>
            <charset val="129"/>
          </rPr>
          <t>공연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</t>
        </r>
      </text>
    </comment>
    <comment ref="Z64" authorId="2">
      <text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
상영관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곳</t>
        </r>
        <r>
          <rPr>
            <b/>
            <sz val="9"/>
            <color indexed="81"/>
            <rFont val="Tahoma"/>
            <family val="2"/>
          </rPr>
          <t xml:space="preserve"> -&gt; 1</t>
        </r>
        <r>
          <rPr>
            <b/>
            <sz val="9"/>
            <color indexed="81"/>
            <rFont val="돋움"/>
            <family val="3"/>
            <charset val="129"/>
          </rPr>
          <t>곳
초청한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사람들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상영회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진행
</t>
        </r>
        <r>
          <rPr>
            <b/>
            <sz val="9"/>
            <color indexed="81"/>
            <rFont val="Tahoma"/>
            <family val="2"/>
          </rPr>
          <t xml:space="preserve">9.17 </t>
        </r>
        <r>
          <rPr>
            <b/>
            <sz val="9"/>
            <color indexed="81"/>
            <rFont val="돋움"/>
            <family val="3"/>
            <charset val="129"/>
          </rPr>
          <t>개막</t>
        </r>
      </text>
    </comment>
    <comment ref="Z68" authorId="0">
      <text>
        <r>
          <rPr>
            <b/>
            <sz val="9"/>
            <color indexed="81"/>
            <rFont val="돋움"/>
            <family val="3"/>
            <charset val="129"/>
          </rPr>
          <t>혹시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변동없이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행사만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비대면으로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전환하실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80" authorId="2">
      <text>
        <r>
          <rPr>
            <b/>
            <sz val="9"/>
            <color indexed="81"/>
            <rFont val="돋움"/>
            <family val="3"/>
            <charset val="129"/>
          </rPr>
          <t>12월로 연기하여 결재 요청중.
11월에 다시 전화달라고 하셨습니다.</t>
        </r>
      </text>
    </comment>
    <comment ref="Z84" authorId="0">
      <text>
        <r>
          <rPr>
            <b/>
            <sz val="9"/>
            <color indexed="81"/>
            <rFont val="Tahoma"/>
            <family val="2"/>
          </rPr>
          <t>8</t>
        </r>
        <r>
          <rPr>
            <b/>
            <sz val="9"/>
            <color indexed="81"/>
            <rFont val="돋움"/>
            <family val="3"/>
            <charset val="129"/>
          </rPr>
          <t>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전화했을때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답변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받았으나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10.5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온라인으로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개최했다고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하십니다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95" authorId="2">
      <text>
        <r>
          <rPr>
            <b/>
            <sz val="9"/>
            <color indexed="81"/>
            <rFont val="돋움"/>
            <family val="3"/>
            <charset val="129"/>
          </rPr>
          <t>인삼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Z97" authorId="0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</t>
        </r>
      </text>
    </comment>
  </commentList>
</comments>
</file>

<file path=xl/comments7.xml><?xml version="1.0" encoding="utf-8"?>
<comments xmlns="http://schemas.openxmlformats.org/spreadsheetml/2006/main">
  <authors>
    <author>USER</author>
    <author>임혦</author>
  </authors>
  <commentList>
    <comment ref="Z5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임시중단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20.05.21 6.13-6.20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Z11" authorId="1">
      <text>
        <r>
          <rPr>
            <b/>
            <sz val="9"/>
            <color indexed="81"/>
            <rFont val="돋움"/>
            <family val="3"/>
            <charset val="129"/>
          </rPr>
          <t>드론 체험(사전예약제) : 10.9 부터 매주 토요일마다 한주에 약 48명씩 체험
전시회 : 12월 중 개최 예정</t>
        </r>
      </text>
    </comment>
    <comment ref="Z25" authorId="1">
      <text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</t>
        </r>
      </text>
    </comment>
    <comment ref="Z37" authorId="0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</t>
        </r>
      </text>
    </comment>
    <comment ref="Z44" authorId="0">
      <text>
        <r>
          <rPr>
            <b/>
            <sz val="9"/>
            <color indexed="81"/>
            <rFont val="돋움"/>
            <family val="3"/>
            <charset val="129"/>
          </rPr>
          <t>행사</t>
        </r>
        <r>
          <rPr>
            <b/>
            <sz val="9"/>
            <color indexed="81"/>
            <rFont val="Tahoma"/>
            <family val="2"/>
          </rPr>
          <t xml:space="preserve"> X </t>
        </r>
      </text>
    </comment>
    <comment ref="Z67" authorId="0">
      <text>
        <r>
          <rPr>
            <b/>
            <sz val="9"/>
            <color indexed="81"/>
            <rFont val="Tahoma"/>
            <family val="2"/>
          </rPr>
          <t xml:space="preserve">10.15 </t>
        </r>
        <r>
          <rPr>
            <b/>
            <sz val="9"/>
            <color indexed="81"/>
            <rFont val="돋움"/>
            <family val="3"/>
            <charset val="129"/>
          </rPr>
          <t>개막</t>
        </r>
      </text>
    </comment>
    <comment ref="Z93" authorId="1">
      <text>
        <r>
          <rPr>
            <b/>
            <sz val="9"/>
            <color indexed="81"/>
            <rFont val="돋움"/>
            <family val="3"/>
            <charset val="129"/>
          </rPr>
          <t>꽃밭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
관광객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행사</t>
        </r>
        <r>
          <rPr>
            <b/>
            <sz val="9"/>
            <color indexed="81"/>
            <rFont val="Tahoma"/>
            <family val="2"/>
          </rPr>
          <t xml:space="preserve"> X</t>
        </r>
      </text>
    </comment>
    <comment ref="Z101" authorId="0">
      <text>
        <r>
          <rPr>
            <b/>
            <sz val="9"/>
            <color indexed="81"/>
            <rFont val="돋움"/>
            <family val="3"/>
            <charset val="129"/>
          </rPr>
          <t>축소하여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행사만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진행
</t>
        </r>
      </text>
    </comment>
  </commentList>
</comments>
</file>

<file path=xl/comments8.xml><?xml version="1.0" encoding="utf-8"?>
<comments xmlns="http://schemas.openxmlformats.org/spreadsheetml/2006/main">
  <authors>
    <author>임혦</author>
    <author>USER</author>
  </authors>
  <commentList>
    <comment ref="Z15" authorId="0">
      <text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쇼핑몰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충주씨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샵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농산물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Z25" authorId="1">
      <text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전화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7" authorId="0">
      <text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영상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오프라인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김장체험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</commentList>
</comments>
</file>

<file path=xl/comments9.xml><?xml version="1.0" encoding="utf-8"?>
<comments xmlns="http://schemas.openxmlformats.org/spreadsheetml/2006/main">
  <authors>
    <author>USER</author>
    <author>zx071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석장리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구석기축제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축제명이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13" authorId="0">
      <text>
        <r>
          <rPr>
            <b/>
            <sz val="9"/>
            <color indexed="81"/>
            <rFont val="Tahoma"/>
            <family val="2"/>
          </rPr>
          <t xml:space="preserve">10.31~11.1 </t>
        </r>
        <r>
          <rPr>
            <b/>
            <sz val="9"/>
            <color indexed="81"/>
            <rFont val="돋움"/>
            <family val="3"/>
            <charset val="129"/>
          </rPr>
          <t>제례만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예정이십니다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25" authorId="1">
      <text>
        <r>
          <rPr>
            <b/>
            <sz val="9"/>
            <color indexed="81"/>
            <rFont val="돋움"/>
            <family val="3"/>
            <charset val="129"/>
          </rPr>
          <t>확정되신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전화주시기로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하셨습니다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30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전화드리기로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31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부탁드리기로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50" authorId="0">
      <text>
        <r>
          <rPr>
            <b/>
            <sz val="9"/>
            <color indexed="81"/>
            <rFont val="돋움"/>
            <family val="3"/>
            <charset val="129"/>
          </rPr>
          <t>예비문화관광축제</t>
        </r>
      </text>
    </comment>
    <comment ref="Z52" authorId="0">
      <text>
        <r>
          <rPr>
            <b/>
            <sz val="9"/>
            <color indexed="81"/>
            <rFont val="돋움"/>
            <family val="3"/>
            <charset val="129"/>
          </rPr>
          <t>내년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~10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17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개최예정이십니다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D63" authorId="0">
      <text>
        <r>
          <rPr>
            <b/>
            <sz val="9"/>
            <color indexed="81"/>
            <rFont val="Tahoma"/>
            <family val="2"/>
          </rPr>
          <t xml:space="preserve">20.05.28 </t>
        </r>
        <r>
          <rPr>
            <b/>
            <sz val="9"/>
            <color indexed="81"/>
            <rFont val="돋움"/>
            <family val="3"/>
            <charset val="129"/>
          </rPr>
          <t>금강물축제보다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금감여울축제가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검색결과가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듯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69" authorId="0">
      <text>
        <r>
          <rPr>
            <b/>
            <sz val="9"/>
            <color indexed="81"/>
            <rFont val="돋움"/>
            <family val="3"/>
            <charset val="129"/>
          </rPr>
          <t>제례만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오프라인으로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97" authorId="0">
      <text>
        <r>
          <rPr>
            <b/>
            <sz val="9"/>
            <color indexed="81"/>
            <rFont val="Tahoma"/>
            <family val="2"/>
          </rPr>
          <t>20.04.23 4.1~4.26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4.6~4.26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</text>
    </comment>
    <comment ref="E98" authorId="0">
      <text>
        <r>
          <rPr>
            <b/>
            <sz val="9"/>
            <color indexed="81"/>
            <rFont val="Tahoma"/>
            <family val="2"/>
          </rPr>
          <t>20.04.23 4.27~5.11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5.1~5.11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Z100" authorId="1">
      <text>
        <r>
          <rPr>
            <b/>
            <sz val="9"/>
            <color indexed="81"/>
            <rFont val="돋움"/>
            <family val="3"/>
            <charset val="129"/>
          </rPr>
          <t>전시회만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>
  <authors>
    <author>USER</author>
    <author>zx071</author>
  </authors>
  <commentList>
    <comment ref="AA10" authorId="0">
      <text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이벤트만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중이십니다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A22" authorId="1">
      <text>
        <r>
          <rPr>
            <b/>
            <sz val="9"/>
            <color indexed="81"/>
            <rFont val="돋움"/>
            <family val="3"/>
            <charset val="129"/>
          </rPr>
          <t>고유제만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AA35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전화드리기로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38" authorId="0">
      <text>
        <r>
          <rPr>
            <b/>
            <sz val="9"/>
            <color indexed="81"/>
            <rFont val="Tahoma"/>
            <family val="2"/>
          </rPr>
          <t>20.05.28 7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중에서</t>
        </r>
        <r>
          <rPr>
            <b/>
            <sz val="9"/>
            <color indexed="81"/>
            <rFont val="Tahoma"/>
            <family val="2"/>
          </rPr>
          <t xml:space="preserve"> 8.1-8.2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수정
</t>
        </r>
      </text>
    </comment>
    <comment ref="AA56" authorId="0">
      <text>
        <r>
          <rPr>
            <b/>
            <sz val="9"/>
            <color indexed="81"/>
            <rFont val="돋움"/>
            <family val="3"/>
            <charset val="129"/>
          </rPr>
          <t>성황제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예정이십니다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AA61" authorId="0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전화드리기로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했습니다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>
  <authors>
    <author>USER</author>
    <author>zx071</author>
  </authors>
  <commentList>
    <comment ref="Z13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전화드리기로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22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목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전화드리기로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하였습니다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44" authorId="1">
      <text>
        <r>
          <rPr>
            <b/>
            <sz val="9"/>
            <color indexed="81"/>
            <rFont val="돋움"/>
            <family val="3"/>
            <charset val="129"/>
          </rPr>
          <t>판소리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고수대회</t>
        </r>
        <r>
          <rPr>
            <b/>
            <sz val="9"/>
            <color indexed="81"/>
            <rFont val="Tahoma"/>
            <family val="2"/>
          </rPr>
          <t xml:space="preserve"> (10.10~10.11)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무관중으로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74" authorId="0">
      <text>
        <r>
          <rPr>
            <b/>
            <sz val="9"/>
            <color indexed="81"/>
            <rFont val="돋움"/>
            <family val="3"/>
            <charset val="129"/>
          </rPr>
          <t>하루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취소처리
</t>
        </r>
        <r>
          <rPr>
            <b/>
            <sz val="9"/>
            <color indexed="81"/>
            <rFont val="Tahoma"/>
            <family val="2"/>
          </rPr>
          <t>(5.30)</t>
        </r>
      </text>
    </comment>
    <comment ref="E76" authorId="0">
      <text>
        <r>
          <rPr>
            <b/>
            <sz val="9"/>
            <color indexed="81"/>
            <rFont val="Tahoma"/>
            <family val="2"/>
          </rPr>
          <t>20.04.23 6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중에서</t>
        </r>
        <r>
          <rPr>
            <b/>
            <sz val="9"/>
            <color indexed="81"/>
            <rFont val="Tahoma"/>
            <family val="2"/>
          </rPr>
          <t xml:space="preserve"> 6.5~7.19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땅끝수국축제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정상진행
</t>
        </r>
        <r>
          <rPr>
            <b/>
            <sz val="9"/>
            <color indexed="81"/>
            <rFont val="Tahoma"/>
            <family val="2"/>
          </rPr>
          <t xml:space="preserve">1. </t>
        </r>
        <r>
          <rPr>
            <b/>
            <sz val="9"/>
            <color indexed="81"/>
            <rFont val="돋움"/>
            <family val="3"/>
            <charset val="129"/>
          </rPr>
          <t>콘텐츠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사람들이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즐길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색상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다양해짐</t>
        </r>
        <r>
          <rPr>
            <b/>
            <sz val="9"/>
            <color indexed="81"/>
            <rFont val="Tahoma"/>
            <family val="2"/>
          </rPr>
          <t xml:space="preserve">)
2. </t>
        </r>
        <r>
          <rPr>
            <b/>
            <sz val="9"/>
            <color indexed="81"/>
            <rFont val="돋움"/>
            <family val="3"/>
            <charset val="129"/>
          </rPr>
          <t>광고는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자제</t>
        </r>
        <r>
          <rPr>
            <b/>
            <sz val="9"/>
            <color indexed="81"/>
            <rFont val="Tahoma"/>
            <family val="2"/>
          </rPr>
          <t xml:space="preserve"> &gt; </t>
        </r>
        <r>
          <rPr>
            <b/>
            <sz val="9"/>
            <color indexed="81"/>
            <rFont val="돋움"/>
            <family val="3"/>
            <charset val="129"/>
          </rPr>
          <t>상황봐서</t>
        </r>
        <r>
          <rPr>
            <b/>
            <sz val="9"/>
            <color indexed="81"/>
            <rFont val="Tahoma"/>
            <family val="2"/>
          </rPr>
          <t xml:space="preserve"> SNS</t>
        </r>
        <r>
          <rPr>
            <b/>
            <sz val="9"/>
            <color indexed="81"/>
            <rFont val="돋움"/>
            <family val="3"/>
            <charset val="129"/>
          </rPr>
          <t>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국한적으로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실시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06" authorId="0">
      <text>
        <r>
          <rPr>
            <b/>
            <sz val="9"/>
            <color indexed="81"/>
            <rFont val="Tahoma"/>
            <family val="2"/>
          </rPr>
          <t>2020 '</t>
        </r>
        <r>
          <rPr>
            <b/>
            <sz val="9"/>
            <color indexed="81"/>
            <rFont val="돋움"/>
            <family val="3"/>
            <charset val="129"/>
          </rPr>
          <t>청정완도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여행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>
  <authors>
    <author>USER</author>
  </authors>
  <commentList>
    <comment ref="Z6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</text>
    </comment>
    <comment ref="Z10" authorId="0">
      <text>
        <r>
          <rPr>
            <b/>
            <sz val="9"/>
            <color indexed="81"/>
            <rFont val="Tahoma"/>
            <family val="2"/>
          </rPr>
          <t>10.17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온오프라인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병행</t>
        </r>
        <r>
          <rPr>
            <b/>
            <sz val="9"/>
            <color indexed="81"/>
            <rFont val="Tahoma"/>
            <family val="2"/>
          </rPr>
          <t xml:space="preserve">(10.10~17 </t>
        </r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Z12" authorId="0">
      <text>
        <r>
          <rPr>
            <b/>
            <sz val="9"/>
            <color indexed="81"/>
            <rFont val="돋움"/>
            <family val="3"/>
            <charset val="129"/>
          </rPr>
          <t>금요일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</t>
        </r>
      </text>
    </comment>
    <comment ref="D16" authorId="0">
      <text>
        <r>
          <rPr>
            <b/>
            <sz val="9"/>
            <color indexed="81"/>
            <rFont val="Tahoma"/>
            <family val="2"/>
          </rPr>
          <t xml:space="preserve">20.05.28 </t>
        </r>
        <r>
          <rPr>
            <b/>
            <sz val="9"/>
            <color indexed="81"/>
            <rFont val="돋움"/>
            <family val="3"/>
            <charset val="129"/>
          </rPr>
          <t>공식명칭은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김천자두포도축제가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33" authorId="0">
      <text>
        <r>
          <rPr>
            <b/>
            <sz val="9"/>
            <color indexed="81"/>
            <rFont val="돋움"/>
            <family val="3"/>
            <charset val="129"/>
          </rPr>
          <t>온라인 하루 개최로 취소처리</t>
        </r>
      </text>
    </comment>
    <comment ref="Z35" authorId="0">
      <text>
        <r>
          <rPr>
            <b/>
            <sz val="9"/>
            <color indexed="81"/>
            <rFont val="돋움"/>
            <family val="3"/>
            <charset val="129"/>
          </rPr>
          <t>홍보관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판매장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소규모로
</t>
        </r>
      </text>
    </comment>
    <comment ref="Z40" authorId="0">
      <text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협업하여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시음행사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판촉행사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예정이십니다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43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다시연락</t>
        </r>
      </text>
    </comment>
    <comment ref="Z48" authorId="0">
      <text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전화</t>
        </r>
        <r>
          <rPr>
            <b/>
            <sz val="9"/>
            <color indexed="81"/>
            <rFont val="Tahoma"/>
            <family val="2"/>
          </rPr>
          <t xml:space="preserve">x)
</t>
        </r>
      </text>
    </comment>
    <comment ref="Z49" authorId="0">
      <text>
        <r>
          <rPr>
            <b/>
            <sz val="9"/>
            <color indexed="81"/>
            <rFont val="돋움"/>
            <family val="3"/>
            <charset val="129"/>
          </rPr>
          <t>문경약돌한우축제랑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같음
드라이브스루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</t>
        </r>
      </text>
    </comment>
    <comment ref="Z56" authorId="0">
      <text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다시연락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60" authorId="0">
      <text>
        <r>
          <rPr>
            <b/>
            <sz val="9"/>
            <color indexed="81"/>
            <rFont val="Tahoma"/>
            <family val="2"/>
          </rPr>
          <t xml:space="preserve">8.26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온라인으로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홍보만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축제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아님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Z62" authorId="0">
      <text>
        <r>
          <rPr>
            <b/>
            <sz val="9"/>
            <color indexed="81"/>
            <rFont val="돋움"/>
            <family val="3"/>
            <charset val="129"/>
          </rPr>
          <t>천천히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>(10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Z66" authorId="0">
      <text>
        <r>
          <rPr>
            <b/>
            <sz val="9"/>
            <color indexed="81"/>
            <rFont val="돋움"/>
            <family val="3"/>
            <charset val="129"/>
          </rPr>
          <t>금,토,일 만 12월 4주간</t>
        </r>
      </text>
    </comment>
    <comment ref="Z69" authorId="0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돋움"/>
            <family val="3"/>
            <charset val="129"/>
          </rPr>
          <t>월초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</text>
    </comment>
    <comment ref="Z79" authorId="0">
      <text>
        <r>
          <rPr>
            <b/>
            <sz val="9"/>
            <color indexed="81"/>
            <rFont val="돋움"/>
            <family val="3"/>
            <charset val="129"/>
          </rPr>
          <t>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공식적인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인문학마을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되었습니다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13.xml><?xml version="1.0" encoding="utf-8"?>
<comments xmlns="http://schemas.openxmlformats.org/spreadsheetml/2006/main">
  <authors>
    <author>임혦</author>
    <author>USER</author>
    <author>user</author>
    <author>User</author>
  </authors>
  <commentList>
    <comment ref="Z8" authorId="0">
      <text>
        <r>
          <rPr>
            <b/>
            <sz val="9"/>
            <color indexed="81"/>
            <rFont val="돋움"/>
            <family val="3"/>
            <charset val="129"/>
          </rPr>
          <t>드라이브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비대면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13" authorId="1">
      <text>
        <r>
          <rPr>
            <b/>
            <sz val="9"/>
            <color indexed="81"/>
            <rFont val="돋움"/>
            <family val="3"/>
            <charset val="129"/>
          </rPr>
          <t>온라인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개최로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취소처리</t>
        </r>
        <r>
          <rPr>
            <b/>
            <sz val="9"/>
            <color indexed="81"/>
            <rFont val="Tahoma"/>
            <family val="2"/>
          </rPr>
          <t xml:space="preserve">
(8.11)</t>
        </r>
      </text>
    </comment>
    <comment ref="G17" authorId="1">
      <text>
        <r>
          <rPr>
            <b/>
            <sz val="9"/>
            <color indexed="81"/>
            <rFont val="돋움"/>
            <family val="3"/>
            <charset val="129"/>
          </rPr>
          <t>문화예술과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김은주</t>
        </r>
      </text>
    </comment>
    <comment ref="Z17" authorId="1">
      <text>
        <r>
          <rPr>
            <b/>
            <sz val="9"/>
            <color indexed="81"/>
            <rFont val="돋움"/>
            <family val="3"/>
            <charset val="129"/>
          </rPr>
          <t>행사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확인해봐야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함
</t>
        </r>
      </text>
    </comment>
    <comment ref="Z35" authorId="1">
      <text>
        <r>
          <rPr>
            <b/>
            <sz val="9"/>
            <color indexed="81"/>
            <rFont val="Tahoma"/>
            <family val="2"/>
          </rPr>
          <t xml:space="preserve">11.19~20 </t>
        </r>
        <r>
          <rPr>
            <b/>
            <sz val="9"/>
            <color indexed="81"/>
            <rFont val="돋움"/>
            <family val="3"/>
            <charset val="129"/>
          </rPr>
          <t>대체행사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온오프라인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작게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Z37" authorId="1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다시
</t>
        </r>
      </text>
    </comment>
    <comment ref="Z47" authorId="0">
      <text>
        <r>
          <rPr>
            <b/>
            <sz val="9"/>
            <color indexed="81"/>
            <rFont val="돋움"/>
            <family val="3"/>
            <charset val="129"/>
          </rPr>
          <t>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전시만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하신다고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Z48" authorId="1">
      <text>
        <r>
          <rPr>
            <b/>
            <sz val="9"/>
            <color indexed="81"/>
            <rFont val="돋움"/>
            <family val="3"/>
            <charset val="129"/>
          </rPr>
          <t>정확한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월에</t>
        </r>
      </text>
    </comment>
    <comment ref="Z57" authorId="1">
      <text>
        <r>
          <rPr>
            <sz val="9"/>
            <color indexed="81"/>
            <rFont val="돋움"/>
            <family val="3"/>
            <charset val="129"/>
          </rPr>
          <t>다음주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</t>
        </r>
        <r>
          <rPr>
            <sz val="9"/>
            <color indexed="81"/>
            <rFont val="Tahoma"/>
            <family val="2"/>
          </rPr>
          <t xml:space="preserve"> (10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주</t>
        </r>
        <r>
          <rPr>
            <sz val="9"/>
            <color indexed="81"/>
            <rFont val="Tahoma"/>
            <family val="2"/>
          </rPr>
          <t>)</t>
        </r>
      </text>
    </comment>
    <comment ref="W59" authorId="2">
      <text>
        <r>
          <rPr>
            <b/>
            <sz val="9"/>
            <color indexed="81"/>
            <rFont val="돋움"/>
            <family val="3"/>
            <charset val="129"/>
          </rPr>
          <t>내외국인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</text>
    </comment>
    <comment ref="Z62" authorId="1">
      <text>
        <r>
          <rPr>
            <b/>
            <sz val="9"/>
            <color indexed="81"/>
            <rFont val="Tahoma"/>
            <family val="2"/>
          </rPr>
          <t>3~4</t>
        </r>
        <r>
          <rPr>
            <b/>
            <sz val="9"/>
            <color indexed="81"/>
            <rFont val="돋움"/>
            <family val="3"/>
            <charset val="129"/>
          </rPr>
          <t>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한번하는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축제</t>
        </r>
      </text>
    </comment>
    <comment ref="Z77" authorId="1">
      <text>
        <r>
          <rPr>
            <b/>
            <sz val="9"/>
            <color indexed="81"/>
            <rFont val="돋움"/>
            <family val="3"/>
            <charset val="129"/>
          </rPr>
          <t>11월 중순 다시전화</t>
        </r>
      </text>
    </comment>
    <comment ref="Z88" authorId="3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축소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하루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제례행사만</t>
        </r>
        <r>
          <rPr>
            <sz val="9"/>
            <color indexed="81"/>
            <rFont val="Tahoma"/>
            <family val="2"/>
          </rPr>
          <t>)</t>
        </r>
      </text>
    </comment>
    <comment ref="Z93" authorId="1">
      <text>
        <r>
          <rPr>
            <b/>
            <sz val="9"/>
            <color indexed="81"/>
            <rFont val="돋움"/>
            <family val="3"/>
            <charset val="129"/>
          </rPr>
          <t>정확한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 xml:space="preserve">월
</t>
        </r>
      </text>
    </comment>
    <comment ref="Z94" authorId="1">
      <text>
        <r>
          <rPr>
            <b/>
            <sz val="9"/>
            <color indexed="81"/>
            <rFont val="돋움"/>
            <family val="3"/>
            <charset val="129"/>
          </rPr>
          <t>다음주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>(10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<sst xmlns="http://schemas.openxmlformats.org/spreadsheetml/2006/main" count="15240" uniqueCount="6178">
  <si>
    <t>연번</t>
    <phoneticPr fontId="23" type="noConversion"/>
  </si>
  <si>
    <t>시군구명</t>
    <phoneticPr fontId="23" type="noConversion"/>
  </si>
  <si>
    <t>기타</t>
    <phoneticPr fontId="23" type="noConversion"/>
  </si>
  <si>
    <t>최초개최년도
및 횟수</t>
    <phoneticPr fontId="23" type="noConversion"/>
  </si>
  <si>
    <t>시,도비</t>
    <phoneticPr fontId="23" type="noConversion"/>
  </si>
  <si>
    <t>생태자연</t>
    <phoneticPr fontId="23" type="noConversion"/>
  </si>
  <si>
    <t>지역특산물</t>
    <phoneticPr fontId="23" type="noConversion"/>
  </si>
  <si>
    <t>문화예술</t>
    <phoneticPr fontId="23" type="noConversion"/>
  </si>
  <si>
    <t>(단위 : 개)</t>
    <phoneticPr fontId="23" type="noConversion"/>
  </si>
  <si>
    <t>합계</t>
    <phoneticPr fontId="23" type="noConversion"/>
  </si>
  <si>
    <t>서울</t>
    <phoneticPr fontId="23" type="noConversion"/>
  </si>
  <si>
    <t>부산</t>
    <phoneticPr fontId="23" type="noConversion"/>
  </si>
  <si>
    <t>대구</t>
    <phoneticPr fontId="23" type="noConversion"/>
  </si>
  <si>
    <t>인천</t>
    <phoneticPr fontId="23" type="noConversion"/>
  </si>
  <si>
    <t>광주</t>
    <phoneticPr fontId="23" type="noConversion"/>
  </si>
  <si>
    <t>대전</t>
    <phoneticPr fontId="23" type="noConversion"/>
  </si>
  <si>
    <t>울산</t>
    <phoneticPr fontId="23" type="noConversion"/>
  </si>
  <si>
    <t>세종</t>
    <phoneticPr fontId="23" type="noConversion"/>
  </si>
  <si>
    <t>경기</t>
    <phoneticPr fontId="23" type="noConversion"/>
  </si>
  <si>
    <t>강원</t>
    <phoneticPr fontId="23" type="noConversion"/>
  </si>
  <si>
    <t>충북</t>
    <phoneticPr fontId="23" type="noConversion"/>
  </si>
  <si>
    <t>충남</t>
    <phoneticPr fontId="23" type="noConversion"/>
  </si>
  <si>
    <t>전북</t>
    <phoneticPr fontId="23" type="noConversion"/>
  </si>
  <si>
    <t>전남</t>
    <phoneticPr fontId="23" type="noConversion"/>
  </si>
  <si>
    <t>경북</t>
    <phoneticPr fontId="23" type="noConversion"/>
  </si>
  <si>
    <t>경남</t>
    <phoneticPr fontId="23" type="noConversion"/>
  </si>
  <si>
    <t>제주</t>
    <phoneticPr fontId="23" type="noConversion"/>
  </si>
  <si>
    <t>축제소재</t>
    <phoneticPr fontId="23" type="noConversion"/>
  </si>
  <si>
    <t>사업위탁
운영여부</t>
    <phoneticPr fontId="23" type="noConversion"/>
  </si>
  <si>
    <r>
      <t xml:space="preserve">축제종류
</t>
    </r>
    <r>
      <rPr>
        <b/>
        <sz val="11"/>
        <color rgb="FFC00000"/>
        <rFont val="굴림"/>
        <family val="3"/>
        <charset val="129"/>
      </rPr>
      <t>(택1)</t>
    </r>
    <phoneticPr fontId="23" type="noConversion"/>
  </si>
  <si>
    <t>개최장소</t>
    <phoneticPr fontId="23" type="noConversion"/>
  </si>
  <si>
    <t>주민화합</t>
    <phoneticPr fontId="23" type="noConversion"/>
  </si>
  <si>
    <t>충청북도</t>
    <phoneticPr fontId="23" type="noConversion"/>
  </si>
  <si>
    <t>합 계</t>
    <phoneticPr fontId="23" type="noConversion"/>
  </si>
  <si>
    <t>2020년 지역축제 개최계획 총괄표</t>
    <phoneticPr fontId="23" type="noConversion"/>
  </si>
  <si>
    <t>문체부</t>
    <phoneticPr fontId="23" type="noConversion"/>
  </si>
  <si>
    <t>매년</t>
    <phoneticPr fontId="23" type="noConversion"/>
  </si>
  <si>
    <t>전체위탁</t>
    <phoneticPr fontId="23" type="noConversion"/>
  </si>
  <si>
    <t>자체추진</t>
    <phoneticPr fontId="23" type="noConversion"/>
  </si>
  <si>
    <t>10월 중
(4일간)</t>
    <phoneticPr fontId="23" type="noConversion"/>
  </si>
  <si>
    <t>2019년도
(2회)</t>
    <phoneticPr fontId="23" type="noConversion"/>
  </si>
  <si>
    <t>지역특산물</t>
  </si>
  <si>
    <t>축제조직위</t>
    <phoneticPr fontId="23" type="noConversion"/>
  </si>
  <si>
    <t>-</t>
    <phoneticPr fontId="23" type="noConversion"/>
  </si>
  <si>
    <t>문체부</t>
  </si>
  <si>
    <t>문화관광축제 지원</t>
  </si>
  <si>
    <t>문화예술</t>
  </si>
  <si>
    <t>자체추진</t>
  </si>
  <si>
    <t>생태자연</t>
  </si>
  <si>
    <t>없음</t>
    <phoneticPr fontId="23" type="noConversion"/>
  </si>
  <si>
    <t>주민화합</t>
  </si>
  <si>
    <t>강원도</t>
  </si>
  <si>
    <t>전통역사</t>
  </si>
  <si>
    <t>부분위탁</t>
    <phoneticPr fontId="23" type="noConversion"/>
  </si>
  <si>
    <t>10월 중
(2일간)</t>
    <phoneticPr fontId="23" type="noConversion"/>
  </si>
  <si>
    <t>공공(시군구)</t>
    <phoneticPr fontId="23" type="noConversion"/>
  </si>
  <si>
    <t>매년</t>
  </si>
  <si>
    <t>복숭아</t>
  </si>
  <si>
    <t xml:space="preserve"> - </t>
  </si>
  <si>
    <t>바다</t>
    <phoneticPr fontId="23" type="noConversion"/>
  </si>
  <si>
    <t xml:space="preserve"> ·공공(시군구)</t>
  </si>
  <si>
    <t>없음</t>
  </si>
  <si>
    <t>속초시</t>
  </si>
  <si>
    <t xml:space="preserve">강원도 </t>
  </si>
  <si>
    <t>공원</t>
    <phoneticPr fontId="23" type="noConversion"/>
  </si>
  <si>
    <t>이북5도위원회</t>
  </si>
  <si>
    <t>2020 실향민 문화 축제</t>
  </si>
  <si>
    <t>기타</t>
  </si>
  <si>
    <t>임의단체</t>
    <phoneticPr fontId="23" type="noConversion"/>
  </si>
  <si>
    <t>속초시 관광과 /
대행사
(033-639-2545)</t>
  </si>
  <si>
    <t>음악</t>
  </si>
  <si>
    <t>속초 수제맥주 축제</t>
  </si>
  <si>
    <t>제55회 설악문화제</t>
  </si>
  <si>
    <t>속초시 문화체육과 /
(사)속초축제위원회
(033-635-8827)</t>
  </si>
  <si>
    <t>산악, 문화</t>
  </si>
  <si>
    <t>있음
정규직3명</t>
  </si>
  <si>
    <t>전체위탁</t>
  </si>
  <si>
    <t>산,시내거리,
시장</t>
  </si>
  <si>
    <t>속초 빛 축제 청초환희</t>
  </si>
  <si>
    <t>삼척시</t>
  </si>
  <si>
    <t>삼척정월대보름제</t>
  </si>
  <si>
    <t>삼척시 문화공보실
/ 삼척정월대보름제위원회
(033-573-2882)</t>
  </si>
  <si>
    <t>정월대보름
세시풍속,
삼척기줄다리기,
민속놀이 등</t>
  </si>
  <si>
    <t>축제조직위</t>
  </si>
  <si>
    <t xml:space="preserve">있음
정규직 4명
계약직 0명
총 4명  </t>
  </si>
  <si>
    <t>삼척 장미축제</t>
  </si>
  <si>
    <t>5.16.~5.31.
(16일간)</t>
  </si>
  <si>
    <t>○ 장미를 테마로 한 체험프로그램 운영
○ 개폐막 공연, 문화공연(시민열정콘서트, 장미가요제)
○ 기타 특별행사 등</t>
  </si>
  <si>
    <t>삼척시 관광정책과
(033-570-3548)</t>
  </si>
  <si>
    <t>2016년
(5회)</t>
  </si>
  <si>
    <t>장미</t>
  </si>
  <si>
    <t>공공</t>
  </si>
  <si>
    <t>○ 해양자원을 활용한 체험프로그램 운영
○ 개폐막 공연, 문화공연
○ 기타 특별행사 등</t>
  </si>
  <si>
    <t>삼척시 관광정책과
(033-570-3544)</t>
  </si>
  <si>
    <t>바다</t>
  </si>
  <si>
    <t>이사부장군</t>
  </si>
  <si>
    <t xml:space="preserve">   · 매년</t>
  </si>
  <si>
    <t xml:space="preserve"> ·지역특산물</t>
  </si>
  <si>
    <t>전통역사</t>
    <phoneticPr fontId="23" type="noConversion"/>
  </si>
  <si>
    <t>마을</t>
    <phoneticPr fontId="23" type="noConversion"/>
  </si>
  <si>
    <t>2007년도
(14회)</t>
    <phoneticPr fontId="23" type="noConversion"/>
  </si>
  <si>
    <t>철원군</t>
  </si>
  <si>
    <t>`</t>
  </si>
  <si>
    <t>부분위탁</t>
  </si>
  <si>
    <t>2018년도
(3회)</t>
  </si>
  <si>
    <t>2019년도
(2회)</t>
  </si>
  <si>
    <t>있음
정규직 4명</t>
  </si>
  <si>
    <t>있음</t>
    <phoneticPr fontId="23" type="noConversion"/>
  </si>
  <si>
    <t>2008년도
(12회)</t>
    <phoneticPr fontId="23" type="noConversion"/>
  </si>
  <si>
    <t>고성군</t>
  </si>
  <si>
    <t>고성군 해양수산과
/ 대문어축제위원회
(033-680-3411)</t>
  </si>
  <si>
    <t>문어</t>
  </si>
  <si>
    <t>부분위탁
(프로그램)</t>
  </si>
  <si>
    <t>바다
(대진항일원)</t>
  </si>
  <si>
    <t>고성군민의 날 및 수성문화제</t>
  </si>
  <si>
    <t>○ 수성제례, 군민노래자랑, 전야제행사, 민속·
     체육경기 등</t>
  </si>
  <si>
    <t>수성문화제위원회
(033-680-3368)</t>
  </si>
  <si>
    <t>1983년도
(38회)</t>
    <phoneticPr fontId="23" type="noConversion"/>
  </si>
  <si>
    <t>민속놀이</t>
  </si>
  <si>
    <t xml:space="preserve">고성종합운동장 </t>
  </si>
  <si>
    <t>고성통일명태축제</t>
  </si>
  <si>
    <t>10월경
(미정)</t>
  </si>
  <si>
    <t>○ 명태체험 프로그램 운영 등
    - 각종 공연 및 체험프로그램 등</t>
  </si>
  <si>
    <t>고성명태축제위원회
(033-682-8008)</t>
  </si>
  <si>
    <t>명태</t>
  </si>
  <si>
    <t>거진11리 해변</t>
  </si>
  <si>
    <t>화천군</t>
  </si>
  <si>
    <t>물의나라화천
쪽배축제</t>
  </si>
  <si>
    <t>쪽배</t>
  </si>
  <si>
    <t xml:space="preserve"> ○ 토마토황금반지를 찾아라
 ○ 화천화악산 토마토를 테마로한 40가지 공연, 전시, 
     체험프로그램 
 ○ 전야제공연, 토마토야 놀자, 이기자 장병의 밤 등
</t>
  </si>
  <si>
    <t>벚꽃</t>
    <phoneticPr fontId="23" type="noConversion"/>
  </si>
  <si>
    <t>2005년도
(16회)</t>
    <phoneticPr fontId="23" type="noConversion"/>
  </si>
  <si>
    <t>공연</t>
    <phoneticPr fontId="23" type="noConversion"/>
  </si>
  <si>
    <t xml:space="preserve">방문객수(2019년기준, 단위 : 천명) </t>
    <phoneticPr fontId="23" type="noConversion"/>
  </si>
  <si>
    <t>시도명</t>
    <phoneticPr fontId="23" type="noConversion"/>
  </si>
  <si>
    <t>축제명</t>
    <phoneticPr fontId="23" type="noConversion"/>
  </si>
  <si>
    <t>2020년
개최기간</t>
    <phoneticPr fontId="23" type="noConversion"/>
  </si>
  <si>
    <t>축제주요내용</t>
    <phoneticPr fontId="23" type="noConversion"/>
  </si>
  <si>
    <t>주최/주관
(담당자 연락처)</t>
    <phoneticPr fontId="23" type="noConversion"/>
  </si>
  <si>
    <t>2020년
축제예산</t>
    <phoneticPr fontId="23" type="noConversion"/>
  </si>
  <si>
    <t>국비</t>
    <phoneticPr fontId="23" type="noConversion"/>
  </si>
  <si>
    <t>구,군비</t>
    <phoneticPr fontId="23" type="noConversion"/>
  </si>
  <si>
    <t>국비지원
부처명</t>
    <phoneticPr fontId="23" type="noConversion"/>
  </si>
  <si>
    <t>세부사업명</t>
    <phoneticPr fontId="23" type="noConversion"/>
  </si>
  <si>
    <t>개최주기</t>
    <phoneticPr fontId="23" type="noConversion"/>
  </si>
  <si>
    <t>조직형태</t>
    <phoneticPr fontId="23" type="noConversion"/>
  </si>
  <si>
    <t xml:space="preserve">축제사무국
상설화여부 </t>
    <phoneticPr fontId="23" type="noConversion"/>
  </si>
  <si>
    <t>내국인</t>
    <phoneticPr fontId="23" type="noConversion"/>
  </si>
  <si>
    <t>외국인</t>
    <phoneticPr fontId="23" type="noConversion"/>
  </si>
  <si>
    <t>경기도</t>
  </si>
  <si>
    <t>수원시</t>
    <phoneticPr fontId="23" type="noConversion"/>
  </si>
  <si>
    <t>제57회 수원화성문화제</t>
    <phoneticPr fontId="23" type="noConversion"/>
  </si>
  <si>
    <t>10.9.~10.11.
(3일간)</t>
    <phoneticPr fontId="23" type="noConversion"/>
  </si>
  <si>
    <t>○ 정조대왕 능행차 공동재현
○ 수원화성을 테마로 한 전시,공연,체험프로그램 운영</t>
    <phoneticPr fontId="23" type="noConversion"/>
  </si>
  <si>
    <t>수원시/수원문화재단
(031-228-3068)</t>
    <phoneticPr fontId="23" type="noConversion"/>
  </si>
  <si>
    <t>1964년도
(57회)</t>
    <phoneticPr fontId="23" type="noConversion"/>
  </si>
  <si>
    <t>문화관광축제 지원</t>
    <phoneticPr fontId="23" type="noConversion"/>
  </si>
  <si>
    <t>수원화성 등 문화자원</t>
    <phoneticPr fontId="23" type="noConversion"/>
  </si>
  <si>
    <t>공공, 재단법인, 축제추진위</t>
    <phoneticPr fontId="23" type="noConversion"/>
  </si>
  <si>
    <t>수원화성일원</t>
    <phoneticPr fontId="23" type="noConversion"/>
  </si>
  <si>
    <t>경기도</t>
    <phoneticPr fontId="23" type="noConversion"/>
  </si>
  <si>
    <t>제27회 음식문화축제</t>
    <phoneticPr fontId="23" type="noConversion"/>
  </si>
  <si>
    <t>10.9.~10.11
(3일간)</t>
    <phoneticPr fontId="23" type="noConversion"/>
  </si>
  <si>
    <t>○ 수원양념갈비,한식,중식,일식 할인판매
○ 국제 자매도시 조리사 초청음식전
○ 수원 전국 요리경연대회
○ 음식문화개선 및 좋은식단 홍보관 운영
○ 무대공연 및 이벤트</t>
    <phoneticPr fontId="23" type="noConversion"/>
  </si>
  <si>
    <t>1995년도
(27회)</t>
    <phoneticPr fontId="23" type="noConversion"/>
  </si>
  <si>
    <t>향토음식</t>
    <phoneticPr fontId="23" type="noConversion"/>
  </si>
  <si>
    <t>주차장</t>
    <phoneticPr fontId="23" type="noConversion"/>
  </si>
  <si>
    <t>팔달문지역
시장거리 축제</t>
    <phoneticPr fontId="23" type="noConversion"/>
  </si>
  <si>
    <t>○ 한복 맵시 선발대회
○ 시민가요제
○ 대학가요제</t>
    <phoneticPr fontId="23" type="noConversion"/>
  </si>
  <si>
    <t>1996년도
(25회)</t>
    <phoneticPr fontId="23" type="noConversion"/>
  </si>
  <si>
    <t>지동교</t>
    <phoneticPr fontId="23" type="noConversion"/>
  </si>
  <si>
    <t>2020 제17회
수원정보과학축제</t>
    <phoneticPr fontId="23" type="noConversion"/>
  </si>
  <si>
    <t>○ 시민참여(체험, 전시 등) 프로그램
○ 정보, 과학을 테마로 공연,전시,체험 프로그램 운영
○ 기타 특별행사 및 전시 등등</t>
    <phoneticPr fontId="23" type="noConversion"/>
  </si>
  <si>
    <t>수원시
(031-228-2671)</t>
    <phoneticPr fontId="23" type="noConversion"/>
  </si>
  <si>
    <t>2004년도
(17회)</t>
    <phoneticPr fontId="23" type="noConversion"/>
  </si>
  <si>
    <t xml:space="preserve">최신의 
정보, 과학 </t>
    <phoneticPr fontId="23" type="noConversion"/>
  </si>
  <si>
    <t>수원컨벤션센터</t>
    <phoneticPr fontId="23" type="noConversion"/>
  </si>
  <si>
    <t>글로벌 스마트시티
국제 컨퍼런스</t>
    <phoneticPr fontId="23" type="noConversion"/>
  </si>
  <si>
    <t xml:space="preserve">○ 기조강연 및 특별강연 
○ 스마트도시 관련 토크콘서트 운영  
○ UNI 홍보부스 운영 및 전시 등 </t>
    <phoneticPr fontId="23" type="noConversion"/>
  </si>
  <si>
    <t>2020년도
(1회)</t>
    <phoneticPr fontId="23" type="noConversion"/>
  </si>
  <si>
    <t xml:space="preserve">국제기구(유엔해비타트)와 협력하여 스마트시티 관련 강연 및 홍보부스 운영 등 </t>
    <phoneticPr fontId="23" type="noConversion"/>
  </si>
  <si>
    <t>기타(첫회)</t>
    <phoneticPr fontId="23" type="noConversion"/>
  </si>
  <si>
    <t>제6회 광교산마루길 벚꽃 축제</t>
    <phoneticPr fontId="23" type="noConversion"/>
  </si>
  <si>
    <t>○ 기념식, 문화공연, 체험프로그램 운영 등</t>
    <phoneticPr fontId="23" type="noConversion"/>
  </si>
  <si>
    <t>2015
(6회)</t>
    <phoneticPr fontId="23" type="noConversion"/>
  </si>
  <si>
    <t>벚꽃, 음악회</t>
    <phoneticPr fontId="23" type="noConversion"/>
  </si>
  <si>
    <t>공공</t>
    <phoneticPr fontId="23" type="noConversion"/>
  </si>
  <si>
    <t>고양시</t>
  </si>
  <si>
    <t>2020고양국제꽃박람회</t>
  </si>
  <si>
    <t>4.24~5.10
(17일간)</t>
    <phoneticPr fontId="23" type="noConversion"/>
  </si>
  <si>
    <t>○ 글로벌 플라워 페스티벌 
○ 원당화훼단지 비즈니스 페어 등</t>
    <phoneticPr fontId="23" type="noConversion"/>
  </si>
  <si>
    <t>1997년도
(14회)</t>
    <phoneticPr fontId="23" type="noConversion"/>
  </si>
  <si>
    <t>꽃</t>
    <phoneticPr fontId="23" type="noConversion"/>
  </si>
  <si>
    <t xml:space="preserve">있음
정규직 22명
계약직 2명
총 24명  </t>
    <phoneticPr fontId="23" type="noConversion"/>
  </si>
  <si>
    <t>꽃전시관, 호수공원</t>
    <phoneticPr fontId="23" type="noConversion"/>
  </si>
  <si>
    <t>제32회 고양행주문화제</t>
  </si>
  <si>
    <t xml:space="preserve">○ 행주산성 전통행사
○ 시민참여 대동놀이
○ 대형 기념음악회 + 음악불꽃공연
○ 기타 특별행사 및 체험 등등 </t>
    <phoneticPr fontId="23" type="noConversion"/>
  </si>
  <si>
    <t>1986년도
(34회)</t>
    <phoneticPr fontId="23" type="noConversion"/>
  </si>
  <si>
    <t>행주대첩 
행주산성</t>
  </si>
  <si>
    <t>재단법인</t>
    <phoneticPr fontId="23" type="noConversion"/>
  </si>
  <si>
    <t>사적지,공원</t>
  </si>
  <si>
    <t>고양호수예술축제</t>
  </si>
  <si>
    <t>10.3~10.6
(4일간)</t>
  </si>
  <si>
    <t>거리예술</t>
  </si>
  <si>
    <t>공원</t>
  </si>
  <si>
    <t>용인시</t>
  </si>
  <si>
    <t>제20회 용인사이버과학축제</t>
    <phoneticPr fontId="23" type="noConversion"/>
  </si>
  <si>
    <t>10.17~10.18
(2일간)</t>
    <phoneticPr fontId="23" type="noConversion"/>
  </si>
  <si>
    <t xml:space="preserve"> ○ VR.AR/사물인터넷/로봇 체험관, 드론페스티벌
 ○ 과학체험한마당, 관내대학교 IT체험관
 ○ 관내 IT기업 및 용인시 홍보관, 부대행사 등</t>
    <phoneticPr fontId="23" type="noConversion"/>
  </si>
  <si>
    <t>용인시 정보통신과
(031-324-2083)</t>
  </si>
  <si>
    <t>2001년도
(20회)</t>
    <phoneticPr fontId="23" type="noConversion"/>
  </si>
  <si>
    <t>IT, 과학</t>
    <phoneticPr fontId="23" type="noConversion"/>
  </si>
  <si>
    <t>시청광장</t>
    <phoneticPr fontId="23" type="noConversion"/>
  </si>
  <si>
    <t>용인시</t>
    <phoneticPr fontId="23" type="noConversion"/>
  </si>
  <si>
    <t>제25회 용인시민의 날</t>
    <phoneticPr fontId="23" type="noConversion"/>
  </si>
  <si>
    <t>9월 중 
(2일간)</t>
    <phoneticPr fontId="23" type="noConversion"/>
  </si>
  <si>
    <t xml:space="preserve"> ○ 시민의 날 기념식 및 시민참여 프로그램 </t>
    <phoneticPr fontId="23" type="noConversion"/>
  </si>
  <si>
    <t>용인시 문화예술과
(031-324-2063)</t>
    <phoneticPr fontId="23" type="noConversion"/>
  </si>
  <si>
    <t>1995년도
(25회)</t>
    <phoneticPr fontId="23" type="noConversion"/>
  </si>
  <si>
    <t xml:space="preserve">주민화합할 수 있는 행사 </t>
    <phoneticPr fontId="23" type="noConversion"/>
  </si>
  <si>
    <t>운동장</t>
    <phoneticPr fontId="23" type="noConversion"/>
  </si>
  <si>
    <t>그린콤마뮤직페스티벌</t>
    <phoneticPr fontId="23" type="noConversion"/>
  </si>
  <si>
    <t>8월 중 
(2일간)</t>
    <phoneticPr fontId="23" type="noConversion"/>
  </si>
  <si>
    <t xml:space="preserve"> ○ 공연 프로그램과 문화체험 프로그램</t>
    <phoneticPr fontId="23" type="noConversion"/>
  </si>
  <si>
    <t>가족과 함께 자연과 어우려져 음악과 함께 힐링</t>
    <phoneticPr fontId="23" type="noConversion"/>
  </si>
  <si>
    <t>공공(문화재단)</t>
    <phoneticPr fontId="23" type="noConversion"/>
  </si>
  <si>
    <t>제31회 처인성 문화제</t>
    <phoneticPr fontId="23" type="noConversion"/>
  </si>
  <si>
    <t>9.25~9.26
(2일간)</t>
    <phoneticPr fontId="23" type="noConversion"/>
  </si>
  <si>
    <t xml:space="preserve">○ 처인대첩 기념 퍼레이드
○ 전통무예퍼포먼스 </t>
    <phoneticPr fontId="23" type="noConversion"/>
  </si>
  <si>
    <t>용인시 문화예술과/용인문화원
(031-324-2097)</t>
    <phoneticPr fontId="23" type="noConversion"/>
  </si>
  <si>
    <t>1990년도
(31회)</t>
    <phoneticPr fontId="23" type="noConversion"/>
  </si>
  <si>
    <t>역사</t>
    <phoneticPr fontId="23" type="noConversion"/>
  </si>
  <si>
    <t>특별법인</t>
    <phoneticPr fontId="23" type="noConversion"/>
  </si>
  <si>
    <t>보조사업</t>
    <phoneticPr fontId="23" type="noConversion"/>
  </si>
  <si>
    <t>유적지</t>
    <phoneticPr fontId="23" type="noConversion"/>
  </si>
  <si>
    <t>제17회 포은문화제</t>
    <phoneticPr fontId="23" type="noConversion"/>
  </si>
  <si>
    <t>10.9~10.11
(3일간)</t>
    <phoneticPr fontId="23" type="noConversion"/>
  </si>
  <si>
    <t>○ 전통행사(관혼상제, 경진대회)
○ 포은대학교 운영(역사, 철학, 인문학 체험수업)
○ 북콘서트, 문화체험행사 등</t>
    <phoneticPr fontId="23" type="noConversion"/>
  </si>
  <si>
    <t>2003년도
(17회)</t>
    <phoneticPr fontId="23" type="noConversion"/>
  </si>
  <si>
    <t>인물</t>
    <phoneticPr fontId="23" type="noConversion"/>
  </si>
  <si>
    <t>광장</t>
    <phoneticPr fontId="23" type="noConversion"/>
  </si>
  <si>
    <t>제18회 용인예술제
(YAF)</t>
    <phoneticPr fontId="23" type="noConversion"/>
  </si>
  <si>
    <t>○ 국악, 음악, 무용 등 대중예술 공연
○ 시민백일장 등 경연대회
○ 미술체험행사 및 전시회 개최</t>
    <phoneticPr fontId="23" type="noConversion"/>
  </si>
  <si>
    <t>용인시 문화예술과/용인예총
(031-324-4535)</t>
    <phoneticPr fontId="23" type="noConversion"/>
  </si>
  <si>
    <t>2003년도
(18회)</t>
    <phoneticPr fontId="23" type="noConversion"/>
  </si>
  <si>
    <t>종합예술</t>
    <phoneticPr fontId="23" type="noConversion"/>
  </si>
  <si>
    <t>사단법인</t>
    <phoneticPr fontId="23" type="noConversion"/>
  </si>
  <si>
    <t>제13회용인음식문화축제</t>
  </si>
  <si>
    <t>○ 먹거리장터,요리시연,홍보관 등 건강한 음식을 바탕
   으로 음식문화 발전을 위한 다채로운 행사 운영
○ 음식을 테마로한 이벤트 및 전시,체험프로그램 운영</t>
    <phoneticPr fontId="23" type="noConversion"/>
  </si>
  <si>
    <t>용인시 환경위생사업소 위생과
(031-324-2230)</t>
  </si>
  <si>
    <t>2007년도
(13회)</t>
  </si>
  <si>
    <t>음식</t>
  </si>
  <si>
    <t>공공(시군구)</t>
  </si>
  <si>
    <t>용인시청광장</t>
  </si>
  <si>
    <t>사계절테마축제(겨울)</t>
    <phoneticPr fontId="23" type="noConversion"/>
  </si>
  <si>
    <t>용인시농업기술센터
(031-324-4024)</t>
    <phoneticPr fontId="23" type="noConversion"/>
  </si>
  <si>
    <t>2019
(1회)</t>
    <phoneticPr fontId="23" type="noConversion"/>
  </si>
  <si>
    <t>계절</t>
    <phoneticPr fontId="23" type="noConversion"/>
  </si>
  <si>
    <t>용인농촌테마파크</t>
    <phoneticPr fontId="23" type="noConversion"/>
  </si>
  <si>
    <t>사계절테마축제(봄)</t>
    <phoneticPr fontId="23" type="noConversion"/>
  </si>
  <si>
    <t>사계절테마축제(여름)</t>
    <phoneticPr fontId="23" type="noConversion"/>
  </si>
  <si>
    <t>사계절테마축제(가을)</t>
    <phoneticPr fontId="23" type="noConversion"/>
  </si>
  <si>
    <t>5.1~5.5
(5일간)</t>
  </si>
  <si>
    <t>2018년도
(2회)</t>
  </si>
  <si>
    <t>꽃, 어린이</t>
  </si>
  <si>
    <t>임의단체</t>
  </si>
  <si>
    <t>보정동 카페거리 2020 해피할로윈 축제</t>
  </si>
  <si>
    <t>2008년도
(11회)</t>
  </si>
  <si>
    <t>할로윈기념</t>
  </si>
  <si>
    <t>보정동 카페거리 크리스마스 축제</t>
  </si>
  <si>
    <t>크리스마스기념</t>
  </si>
  <si>
    <t>성남시</t>
    <phoneticPr fontId="23" type="noConversion"/>
  </si>
  <si>
    <t>ACT성남
&lt;2020 성남 축제의 날&gt;</t>
    <phoneticPr fontId="23" type="noConversion"/>
  </si>
  <si>
    <t>성남문화재단/ 성남문화재단
(031-783-8133)</t>
    <phoneticPr fontId="23" type="noConversion"/>
  </si>
  <si>
    <t>빛</t>
    <phoneticPr fontId="23" type="noConversion"/>
  </si>
  <si>
    <t>탄천 일대</t>
    <phoneticPr fontId="23" type="noConversion"/>
  </si>
  <si>
    <t>성남생활문화동호회축제</t>
    <phoneticPr fontId="23" type="noConversion"/>
  </si>
  <si>
    <t>○ 생활문화동호회원들의 버스킹 및 연합공연
○ 생활문화동호회원들의 전시 및 체험, 아트마켓 등
○ 사생대회, 각종 이벤트 행사 등</t>
    <phoneticPr fontId="23" type="noConversion"/>
  </si>
  <si>
    <t>2007년도
(13회)</t>
    <phoneticPr fontId="23" type="noConversion"/>
  </si>
  <si>
    <t>공연 및 전시</t>
    <phoneticPr fontId="23" type="noConversion"/>
  </si>
  <si>
    <t>성남시 일원</t>
    <phoneticPr fontId="23" type="noConversion"/>
  </si>
  <si>
    <t>부천시</t>
    <phoneticPr fontId="23" type="noConversion"/>
  </si>
  <si>
    <t>제22회 도당산 벚꽃축제</t>
    <phoneticPr fontId="23" type="noConversion"/>
  </si>
  <si>
    <t>○ 벚꽃을 활용한 다양한 체험부스
    -벚꽃캐리커쳐, 벚꽃패션타투
○ 주민 노래자랑, 비보이공연</t>
    <phoneticPr fontId="23" type="noConversion"/>
  </si>
  <si>
    <t>도당산 벚꽃축제 추진위원회
(032-625-5202)</t>
    <phoneticPr fontId="23" type="noConversion"/>
  </si>
  <si>
    <t>1999년도
(21회)</t>
    <phoneticPr fontId="23" type="noConversion"/>
  </si>
  <si>
    <t>봄꽃</t>
    <phoneticPr fontId="23" type="noConversion"/>
  </si>
  <si>
    <t>도당산</t>
    <phoneticPr fontId="23" type="noConversion"/>
  </si>
  <si>
    <t>제20회 원미산 진달래축제</t>
    <phoneticPr fontId="23" type="noConversion"/>
  </si>
  <si>
    <t xml:space="preserve">○ 진달래 피크닉 라디오방송 등
○ 주민자치프로그램 공연, 시민 노래자랑
○ 버스킹공연, 퍼포먼스공연 등 </t>
    <phoneticPr fontId="23" type="noConversion"/>
  </si>
  <si>
    <t>원미산 진달래축제 추진위원회
(032-625-5201)</t>
    <phoneticPr fontId="23" type="noConversion"/>
  </si>
  <si>
    <t>2000년도
(19회)</t>
    <phoneticPr fontId="23" type="noConversion"/>
  </si>
  <si>
    <t>원미산</t>
    <phoneticPr fontId="23" type="noConversion"/>
  </si>
  <si>
    <t>제36회 복사골예술제</t>
    <phoneticPr fontId="23" type="noConversion"/>
  </si>
  <si>
    <t>5.1.~5.5.
(5일간)</t>
    <phoneticPr fontId="23" type="noConversion"/>
  </si>
  <si>
    <t>○ 부천예총 및 9개지부별 예술문화행사
○ 개막식 행사
○ 문화공연, 전시, 경연행사
  - 71여개 단위행사
○ 시민참여, 체험행사 등</t>
    <phoneticPr fontId="23" type="noConversion"/>
  </si>
  <si>
    <t>부천시 문화예술과
/ (사)한국예총 부천지부
(032-325-1566)</t>
    <phoneticPr fontId="23" type="noConversion"/>
  </si>
  <si>
    <t>1985년도
(36회)</t>
    <phoneticPr fontId="23" type="noConversion"/>
  </si>
  <si>
    <t>계절(봄)</t>
    <phoneticPr fontId="23" type="noConversion"/>
  </si>
  <si>
    <t xml:space="preserve">공원, 광장, 전시관, 시청, 대공연장 등
</t>
    <phoneticPr fontId="23" type="noConversion"/>
  </si>
  <si>
    <t>부천국제판타스틱영화제</t>
    <phoneticPr fontId="23" type="noConversion"/>
  </si>
  <si>
    <t>7.9~7.16
(8일간)</t>
    <phoneticPr fontId="23" type="noConversion"/>
  </si>
  <si>
    <t>○ 판타스틱 장르 영화상영(40개국 200여편)
○ BIG(산업)프로그램 운영
○ 시민참여형 행사, 공연, 전시 등</t>
    <phoneticPr fontId="23" type="noConversion"/>
  </si>
  <si>
    <t>(사)부천국제판타스틱영화제
조직위원회
(032-327-6313)</t>
    <phoneticPr fontId="23" type="noConversion"/>
  </si>
  <si>
    <t>1997년도
(24회)</t>
    <phoneticPr fontId="23" type="noConversion"/>
  </si>
  <si>
    <t>문체부
(영화진흥위원회)</t>
    <phoneticPr fontId="23" type="noConversion"/>
  </si>
  <si>
    <t>국제영화제 육성지원 사업</t>
    <phoneticPr fontId="23" type="noConversion"/>
  </si>
  <si>
    <t>영화</t>
    <phoneticPr fontId="23" type="noConversion"/>
  </si>
  <si>
    <t>있음
정규직 13명
계약직 10명</t>
    <phoneticPr fontId="23" type="noConversion"/>
  </si>
  <si>
    <t>부천시청, 상영관 등</t>
    <phoneticPr fontId="23" type="noConversion"/>
  </si>
  <si>
    <t>부천국제만화축제</t>
    <phoneticPr fontId="23" type="noConversion"/>
  </si>
  <si>
    <t>8.14~8.16
(3일간)
개막식 8.13</t>
    <phoneticPr fontId="23" type="noConversion"/>
  </si>
  <si>
    <t>1998년도
(23회)</t>
    <phoneticPr fontId="23" type="noConversion"/>
  </si>
  <si>
    <t>예정</t>
    <phoneticPr fontId="23" type="noConversion"/>
  </si>
  <si>
    <t>만화</t>
    <phoneticPr fontId="23" type="noConversion"/>
  </si>
  <si>
    <t>재단법인/축제조직위</t>
    <phoneticPr fontId="23" type="noConversion"/>
  </si>
  <si>
    <t xml:space="preserve">있음
정규직 4명
계약직 3명
총 7명  </t>
    <phoneticPr fontId="23" type="noConversion"/>
  </si>
  <si>
    <t>한국만화박물관 , 부천영상문화단지 일대</t>
    <phoneticPr fontId="23" type="noConversion"/>
  </si>
  <si>
    <t>부천국제애니메이션페스티벌</t>
    <phoneticPr fontId="23" type="noConversion"/>
  </si>
  <si>
    <t>10.23.~10.27.
(5일간)</t>
    <phoneticPr fontId="23" type="noConversion"/>
  </si>
  <si>
    <t>○ 애니메이션 영화제(국제경쟁, 초청)
    - 온오프라인 상영관 운영, 국제경쟁 운영
○ 애니페어 : 잡세미나, 단편애니메이션제작지원 등
○ 개폐막식(리셉션),학술포럼, 전시
○ 실내외 부대행사 등</t>
    <phoneticPr fontId="23" type="noConversion"/>
  </si>
  <si>
    <t>1999년도
(22회)</t>
    <phoneticPr fontId="23" type="noConversion"/>
  </si>
  <si>
    <t>대중문화콘텐츠산업육성</t>
  </si>
  <si>
    <t>·애니메이션</t>
    <phoneticPr fontId="23" type="noConversion"/>
  </si>
  <si>
    <t xml:space="preserve"> · 매년</t>
    <phoneticPr fontId="23" type="noConversion"/>
  </si>
  <si>
    <t>·사단법인</t>
    <phoneticPr fontId="23" type="noConversion"/>
  </si>
  <si>
    <t xml:space="preserve">정규직 4명
계약직 3명
총 7명 </t>
    <phoneticPr fontId="23" type="noConversion"/>
  </si>
  <si>
    <t xml:space="preserve"> 한국만화박물관,시청, 상영관등</t>
    <phoneticPr fontId="23" type="noConversion"/>
  </si>
  <si>
    <t>화성시</t>
    <phoneticPr fontId="23" type="noConversion"/>
  </si>
  <si>
    <t>화성 뱃놀이 축제</t>
    <phoneticPr fontId="23" type="noConversion"/>
  </si>
  <si>
    <t>5.28.~5.31.
(4일간)</t>
    <phoneticPr fontId="23" type="noConversion"/>
  </si>
  <si>
    <t>○ 지역문화자원인 전곡항,당성을 활용한 해양레저축제
○ 승선 및 레저 체험 등 해상 프로그램 운영
○ 시민 주도형 거리 댄스 퍼레이드, 물놀이 등 육상체험 운영</t>
    <phoneticPr fontId="23" type="noConversion"/>
  </si>
  <si>
    <t>화성시 관광진흥과 / 화성시문화재단
(031-5189-6136)</t>
    <phoneticPr fontId="23" type="noConversion"/>
  </si>
  <si>
    <t>요·보트</t>
    <phoneticPr fontId="23" type="noConversion"/>
  </si>
  <si>
    <t xml:space="preserve"> ·공공(시)
 ·재단법인</t>
    <phoneticPr fontId="23" type="noConversion"/>
  </si>
  <si>
    <t>있음
정규직 4명
총 4명</t>
    <phoneticPr fontId="23" type="noConversion"/>
  </si>
  <si>
    <t>·전체위탁</t>
    <phoneticPr fontId="23" type="noConversion"/>
  </si>
  <si>
    <t>정조 효 문화제 및
정조대왕능행차
화성구간</t>
    <phoneticPr fontId="23" type="noConversion"/>
  </si>
  <si>
    <t>10.10~10.11
(2일간)</t>
    <phoneticPr fontId="23" type="noConversion"/>
  </si>
  <si>
    <t>○ 능행차 재현
○ 영우원 천장 재현
○ 현륭원 궁원의 제향
○ 전통체험 마당</t>
    <phoneticPr fontId="23" type="noConversion"/>
  </si>
  <si>
    <t>2002년
(19회)</t>
    <phoneticPr fontId="23" type="noConversion"/>
  </si>
  <si>
    <t>정조, 효</t>
    <phoneticPr fontId="23" type="noConversion"/>
  </si>
  <si>
    <t xml:space="preserve">있음
정규직 6명
계약직 1명
총 7명  </t>
    <phoneticPr fontId="23" type="noConversion"/>
  </si>
  <si>
    <t>·부분위탁
 (운영,하드웨어, 
   프로그램)</t>
    <phoneticPr fontId="23" type="noConversion"/>
  </si>
  <si>
    <t>품앗이 공연예술축제</t>
    <phoneticPr fontId="23" type="noConversion"/>
  </si>
  <si>
    <t>6.18-6.21
(4일간)</t>
    <phoneticPr fontId="23" type="noConversion"/>
  </si>
  <si>
    <t>○ 농촌에서 펼쳐지는 공연예술축제
○ 레지던시 작품개발, 해외초청작, 국내초청작
○ 체험프로그램</t>
    <phoneticPr fontId="23" type="noConversion"/>
  </si>
  <si>
    <t>공연예술</t>
    <phoneticPr fontId="23" type="noConversion"/>
  </si>
  <si>
    <t xml:space="preserve"> ·재단법인</t>
    <phoneticPr fontId="23" type="noConversion"/>
  </si>
  <si>
    <t>있음
정규직 1명
총 1명</t>
    <phoneticPr fontId="23" type="noConversion"/>
  </si>
  <si>
    <t>병점 떡전거리 축제</t>
    <phoneticPr fontId="23" type="noConversion"/>
  </si>
  <si>
    <t>9.12-9.13
(2일간)</t>
    <phoneticPr fontId="23" type="noConversion"/>
  </si>
  <si>
    <t>○ 병점 떡전거리 주제 퍼포먼스 및 시민중심 체험형 프로그램
○ 전통 떡을 주제로 한 공연, 전시, 부대행사 등 프로그램 운영</t>
    <phoneticPr fontId="23" type="noConversion"/>
  </si>
  <si>
    <t>화성시 문화예술과 / 화성시문화재단(031-5189-3835)</t>
    <phoneticPr fontId="23" type="noConversion"/>
  </si>
  <si>
    <t>2020년도
(신규축제)</t>
    <phoneticPr fontId="23" type="noConversion"/>
  </si>
  <si>
    <t>떡전거리, 떡</t>
    <phoneticPr fontId="23" type="noConversion"/>
  </si>
  <si>
    <t>·자체추진</t>
    <phoneticPr fontId="23" type="noConversion"/>
  </si>
  <si>
    <t>시내거리, 시장</t>
    <phoneticPr fontId="23" type="noConversion"/>
  </si>
  <si>
    <t>제1회황라들녘축제</t>
    <phoneticPr fontId="23" type="noConversion"/>
  </si>
  <si>
    <t>○ 농촌문화, 도시농업, 전통농업 체험
○ 시민참여 문화공연
○ 다양한 농산물 직거래 장터 운영</t>
    <phoneticPr fontId="23" type="noConversion"/>
  </si>
  <si>
    <t>농산물,
농촌체험</t>
    <phoneticPr fontId="23" type="noConversion"/>
  </si>
  <si>
    <t xml:space="preserve"> ·공공(시군구)</t>
    <phoneticPr fontId="23" type="noConversion"/>
  </si>
  <si>
    <t>화성시농업기술센터신청사</t>
    <phoneticPr fontId="23" type="noConversion"/>
  </si>
  <si>
    <t xml:space="preserve">화성시 </t>
    <phoneticPr fontId="23" type="noConversion"/>
  </si>
  <si>
    <t xml:space="preserve">화성송산포도축제 </t>
    <phoneticPr fontId="23" type="noConversion"/>
  </si>
  <si>
    <t>9.5.~9.6.
(2일간)</t>
    <phoneticPr fontId="23" type="noConversion"/>
  </si>
  <si>
    <t xml:space="preserve">○ 화성송산포도 포도밟기 체험 
○ 포도가요제, 포도따기, 포도체험, 농촌마을체험, 갯벌체험   
○ 문화공연, 예술공연, 주민참여공연, 이벤트
○ 포도판매, 화성시 농산물 홍보 및 판매 </t>
    <phoneticPr fontId="23" type="noConversion"/>
  </si>
  <si>
    <t>2013년도
(8회)</t>
    <phoneticPr fontId="23" type="noConversion"/>
  </si>
  <si>
    <t>포도</t>
    <phoneticPr fontId="23" type="noConversion"/>
  </si>
  <si>
    <t xml:space="preserve"> ·축제조직위</t>
    <phoneticPr fontId="23" type="noConversion"/>
  </si>
  <si>
    <t xml:space="preserve">바다,광장 </t>
    <phoneticPr fontId="23" type="noConversion"/>
  </si>
  <si>
    <t>안산시</t>
    <phoneticPr fontId="23" type="noConversion"/>
  </si>
  <si>
    <t>2020안산국제거리극축제</t>
    <phoneticPr fontId="23" type="noConversion"/>
  </si>
  <si>
    <t>5.1.~5.3.
(3일간)</t>
    <phoneticPr fontId="23" type="noConversion"/>
  </si>
  <si>
    <t>○ 공식행사 : 개폐막프로그램
○ 공연 프로그램 : 공식참가작, 안산리서치, 
                            거리예술플랫폼, 광대의도시 등
○ 기획행사 : 시민버전, 도시놀이터, 페스티벌센터
○ 특별프로그램 : 아트마켓</t>
    <phoneticPr fontId="23" type="noConversion"/>
  </si>
  <si>
    <t>안산시 문화예술과/
(재)안산문화재단
(031-481-2068)</t>
    <phoneticPr fontId="23" type="noConversion"/>
  </si>
  <si>
    <t>거리극</t>
    <phoneticPr fontId="23" type="noConversion"/>
  </si>
  <si>
    <t>있음
정규직  3명
계약직   8명
총  11명</t>
    <phoneticPr fontId="23" type="noConversion"/>
  </si>
  <si>
    <t>광장, 거리</t>
    <phoneticPr fontId="23" type="noConversion"/>
  </si>
  <si>
    <t>제34회 별망성예술제</t>
    <phoneticPr fontId="23" type="noConversion"/>
  </si>
  <si>
    <t>9.11.~9.13.
(2일간)</t>
    <phoneticPr fontId="23" type="noConversion"/>
  </si>
  <si>
    <t>○ 공연, 전시, 예술 경연대회 등
○ 부대행사 : 체험부스, 먹거리 부스 운영</t>
    <phoneticPr fontId="23" type="noConversion"/>
  </si>
  <si>
    <t>1987년도
(34회)</t>
    <phoneticPr fontId="23" type="noConversion"/>
  </si>
  <si>
    <t>예술단체</t>
    <phoneticPr fontId="23" type="noConversion"/>
  </si>
  <si>
    <t>전체위탁
(보조금 사업)</t>
    <phoneticPr fontId="23" type="noConversion"/>
  </si>
  <si>
    <t>공원
(안산 선부광장)</t>
    <phoneticPr fontId="23" type="noConversion"/>
  </si>
  <si>
    <t>안산시</t>
  </si>
  <si>
    <t>제24회 성호문화제</t>
  </si>
  <si>
    <t>5.30~5.31.
(2일간)</t>
  </si>
  <si>
    <t>안산시 문화예술과/
안산문화원
(031-481-2066)</t>
  </si>
  <si>
    <t>1996년도
(24회)</t>
  </si>
  <si>
    <t>전통문화</t>
  </si>
  <si>
    <t>있음
(청년인턴 3)</t>
    <phoneticPr fontId="23" type="noConversion"/>
  </si>
  <si>
    <t>공원
(안산 화랑유원지)</t>
    <phoneticPr fontId="23" type="noConversion"/>
  </si>
  <si>
    <t>안산사이언스밸리(ASV) 과학축전 (가칭)</t>
    <phoneticPr fontId="23" type="noConversion"/>
  </si>
  <si>
    <t>○ 과학관 전시 체험 부스 운영
○ 과학을 테마로한 공연 프로그램 운영
○ ASV기관 기술 체험, 청년메이커 전시, 
    우리학교 과학클럽 등
○ 기타 부대행사 운영 등</t>
    <phoneticPr fontId="23" type="noConversion"/>
  </si>
  <si>
    <t>안산시 산업진흥과/
(재)경기테크노파크
안산시청소년수련관
한양대학교 ERICA
(031-481-3517)</t>
    <phoneticPr fontId="23" type="noConversion"/>
  </si>
  <si>
    <t>2011년도
(10회)</t>
    <phoneticPr fontId="23" type="noConversion"/>
  </si>
  <si>
    <t>과학기술</t>
    <phoneticPr fontId="23" type="noConversion"/>
  </si>
  <si>
    <t>기타(대학교)</t>
    <phoneticPr fontId="23" type="noConversion"/>
  </si>
  <si>
    <t>2020 안산 김홍도축제</t>
    <phoneticPr fontId="23" type="noConversion"/>
  </si>
  <si>
    <t>○ 개막식, 시민의 날 기념식
○ 주요 프로그램
   - 김홍도 풍속마을 재현, 김홍도 마당극, 
      김홍도 홍보관 등
○ 부대행사 : 김홍도 사생대회, 플리마켓 등
    주민참여프로그램</t>
    <phoneticPr fontId="23" type="noConversion"/>
  </si>
  <si>
    <t>안산시 관광과
(031-481-3059)</t>
    <phoneticPr fontId="23" type="noConversion"/>
  </si>
  <si>
    <t>2018년도
(3회)</t>
    <phoneticPr fontId="23" type="noConversion"/>
  </si>
  <si>
    <t>단원 김홍도</t>
    <phoneticPr fontId="23" type="noConversion"/>
  </si>
  <si>
    <t>자체</t>
    <phoneticPr fontId="23" type="noConversion"/>
  </si>
  <si>
    <t>남양주시</t>
    <phoneticPr fontId="23" type="noConversion"/>
  </si>
  <si>
    <t>제34회
정약용문화제</t>
    <phoneticPr fontId="23" type="noConversion"/>
  </si>
  <si>
    <t>○ 정약용 인문학 콘서트
○ 역사바로알기 골든벨
○ 문예, 서예대전휘호행사
○ 여유당음악회
○ 정약용사색의 길 따라 걷기
○ 청년 플리마켓 등</t>
    <phoneticPr fontId="23" type="noConversion"/>
  </si>
  <si>
    <t>남양주시 문화유산과 정약용팀/ 
남양주시 정약용문화제 추진위원회
( 031-590- 2591  )</t>
    <phoneticPr fontId="23" type="noConversion"/>
  </si>
  <si>
    <t>1986년도
(33회)</t>
    <phoneticPr fontId="23" type="noConversion"/>
  </si>
  <si>
    <t>추진위원회</t>
    <phoneticPr fontId="23" type="noConversion"/>
  </si>
  <si>
    <t>유적지및 생태공원,팔당수변구간</t>
    <phoneticPr fontId="23" type="noConversion"/>
  </si>
  <si>
    <t>남양주시청 문화정책과
/남양주시
(031-590-2454)</t>
    <phoneticPr fontId="23" type="noConversion"/>
  </si>
  <si>
    <t>2006년도
(15회)</t>
    <phoneticPr fontId="23" type="noConversion"/>
  </si>
  <si>
    <t>광릉숲 일원에서 펼쳐지는 숲문화축제</t>
  </si>
  <si>
    <t xml:space="preserve">전년도 축제 취소(아프리카돼지열병 확산방지) </t>
    <phoneticPr fontId="23" type="noConversion"/>
  </si>
  <si>
    <t>정약용 딸기축제
(가칭)</t>
    <phoneticPr fontId="23" type="noConversion"/>
  </si>
  <si>
    <t>○ 딸기체험 프로그램 운영
○ 딸기 관련 먹거리 장터 및 기타 식품 등 판매</t>
    <phoneticPr fontId="23" type="noConversion"/>
  </si>
  <si>
    <t>남양주시 농업기술센터
/농업정책과
(031-590-8878)</t>
    <phoneticPr fontId="23" type="noConversion"/>
  </si>
  <si>
    <t>2019년도
(1회)</t>
    <phoneticPr fontId="23" type="noConversion"/>
  </si>
  <si>
    <t>딸기</t>
    <phoneticPr fontId="23" type="noConversion"/>
  </si>
  <si>
    <t>안양시</t>
    <phoneticPr fontId="23" type="noConversion"/>
  </si>
  <si>
    <t>2020 안양충훈벚꽃축제</t>
    <phoneticPr fontId="23" type="noConversion"/>
  </si>
  <si>
    <t>○ 축제 축하공연 및 불꽃놀이
○ 꽃길 걷기대회 및 봄꽃길 그리기 대회
○ 어린이 벼룩시장 및 체험부스(10개 프로그램 이상) 운영 등</t>
    <phoneticPr fontId="23" type="noConversion"/>
  </si>
  <si>
    <t>안양시, 축제추진위원회 /
 안양문화예술재단
(031-687-0575,0513)</t>
    <phoneticPr fontId="23" type="noConversion"/>
  </si>
  <si>
    <t>1999년
(22회)</t>
    <phoneticPr fontId="23" type="noConversion"/>
  </si>
  <si>
    <t>하천, 공원</t>
    <phoneticPr fontId="23" type="noConversion"/>
  </si>
  <si>
    <t>○ 시민생활예술을 테마로 한 공연, 전시 및 체험 프로그램 운영
○ 개폐막 공연 개최 : 초청공연, 시민참여 공연 및 불꽃놀이 등
○ 특별초청 공연 및 방송국 연계 프로그램 등</t>
    <phoneticPr fontId="23" type="noConversion"/>
  </si>
  <si>
    <t>2000년
(19회)</t>
    <phoneticPr fontId="23" type="noConversion"/>
  </si>
  <si>
    <t>생활예술</t>
    <phoneticPr fontId="23" type="noConversion"/>
  </si>
  <si>
    <t>평택시</t>
    <phoneticPr fontId="23" type="noConversion"/>
  </si>
  <si>
    <t>평택꽃나들이행사</t>
    <phoneticPr fontId="23" type="noConversion"/>
  </si>
  <si>
    <t>○ 튤립, 유채, 보리 등 봄꽃 관람
○ 지역 농산물 홍보판매 및 전시
○ 개막식, 주제공연, 체험프로그램 운영</t>
    <phoneticPr fontId="23" type="noConversion"/>
  </si>
  <si>
    <t>평택시 농업기술센터 
(031-8024-4661)</t>
    <phoneticPr fontId="23" type="noConversion"/>
  </si>
  <si>
    <t>튤립, 유채, 보리 등</t>
    <phoneticPr fontId="23" type="noConversion"/>
  </si>
  <si>
    <t xml:space="preserve">   · 매년
</t>
    <phoneticPr fontId="23" type="noConversion"/>
  </si>
  <si>
    <t>농업생태원
(공원)</t>
    <phoneticPr fontId="23" type="noConversion"/>
  </si>
  <si>
    <t>2020 평택호 물빛축제</t>
    <phoneticPr fontId="23" type="noConversion"/>
  </si>
  <si>
    <t>○ 불꽃놀이, 평택호풍어제
○ 각종 체험 및 전시 프로그램                                      
○ 축하공연, 길거리 공연                                             
○ 아트마켓 등</t>
    <phoneticPr fontId="23" type="noConversion"/>
  </si>
  <si>
    <t>2012년도       (9회)</t>
    <phoneticPr fontId="23" type="noConversion"/>
  </si>
  <si>
    <t>물과 불꽃</t>
    <phoneticPr fontId="23" type="noConversion"/>
  </si>
  <si>
    <t>공원, 하천</t>
    <phoneticPr fontId="23" type="noConversion"/>
  </si>
  <si>
    <t>한미친선
한마음축제</t>
    <phoneticPr fontId="48" type="noConversion"/>
  </si>
  <si>
    <t>주한미군과 시민의 화합</t>
    <phoneticPr fontId="23" type="noConversion"/>
  </si>
  <si>
    <t>시내거리</t>
    <phoneticPr fontId="23" type="noConversion"/>
  </si>
  <si>
    <t>한미친선
문화한마당잔치</t>
    <phoneticPr fontId="48" type="noConversion"/>
  </si>
  <si>
    <t>○ 체험부스 운영 
○ 지역 시민 참여공연
○ 축하공연</t>
    <phoneticPr fontId="48" type="noConversion"/>
  </si>
  <si>
    <t>한미 어울림축제</t>
    <phoneticPr fontId="48" type="noConversion"/>
  </si>
  <si>
    <t>2019년
(2회)</t>
    <phoneticPr fontId="23" type="noConversion"/>
  </si>
  <si>
    <t>주한미군 부대개방행사</t>
    <phoneticPr fontId="23" type="noConversion"/>
  </si>
  <si>
    <t>송탄관광특구 
한마음대축제</t>
    <phoneticPr fontId="23" type="noConversion"/>
  </si>
  <si>
    <t>경기도 평택시 관광과
/(사)송탄관광특구연합회
(031-8024-3291)</t>
    <phoneticPr fontId="23" type="noConversion"/>
  </si>
  <si>
    <t>1998년도
(14회)</t>
    <phoneticPr fontId="23" type="noConversion"/>
  </si>
  <si>
    <t>관광특구로 일대</t>
    <phoneticPr fontId="23" type="noConversion"/>
  </si>
  <si>
    <t xml:space="preserve">○ 전국6대농악 및 국가 무형문화재 초청 공연
○ 각종 체험프로그램 운영 </t>
    <phoneticPr fontId="23" type="noConversion"/>
  </si>
  <si>
    <t>무형문화재</t>
    <phoneticPr fontId="23" type="noConversion"/>
  </si>
  <si>
    <t>업음</t>
    <phoneticPr fontId="23" type="noConversion"/>
  </si>
  <si>
    <t>평택시청앞광장</t>
    <phoneticPr fontId="23" type="noConversion"/>
  </si>
  <si>
    <t>시흥시</t>
    <phoneticPr fontId="23" type="noConversion"/>
  </si>
  <si>
    <t>시흥갯골축제</t>
    <phoneticPr fontId="23" type="noConversion"/>
  </si>
  <si>
    <t>9.18~9.20
(3일간)</t>
    <phoneticPr fontId="23" type="noConversion"/>
  </si>
  <si>
    <t>○ 대표프로그램 : 갯골패밀리런, 갯골퍼레이드
○ 생태자원을 활용한 100여가지 체험 및 공연 프로그램 운영
  - 자연속 놀이와 체험 : 6개 존, 예술과 공연 : 6개 존
○ 갯골미술대회, 비건가든 등</t>
    <phoneticPr fontId="23" type="noConversion"/>
  </si>
  <si>
    <t>시흥시 관광과/
시흥갯골축제추진위원회
(031-310-2913)</t>
    <phoneticPr fontId="23" type="noConversion"/>
  </si>
  <si>
    <t>축제추진위</t>
    <phoneticPr fontId="23" type="noConversion"/>
  </si>
  <si>
    <t xml:space="preserve">있음
정규직 2명
기간제 4명
총 6명  </t>
    <phoneticPr fontId="23" type="noConversion"/>
  </si>
  <si>
    <t>○ 공연부문 : 개폐막 공연
○ 전시부문 : 시화전, 미술전, 사진전
○ 시민참여예술제 : 청소년•성인 아트페스티벌, 
                             백일장, 사생·휘호대회
○ 시민참여 체험부스  운영 등</t>
    <phoneticPr fontId="23" type="noConversion"/>
  </si>
  <si>
    <t>시흥시 문화예술과/
시흥예총
(031-310-6730)</t>
    <phoneticPr fontId="23" type="noConversion"/>
  </si>
  <si>
    <t>1993년
(27회)</t>
    <phoneticPr fontId="23" type="noConversion"/>
  </si>
  <si>
    <t>해당없음</t>
    <phoneticPr fontId="23" type="noConversion"/>
  </si>
  <si>
    <t xml:space="preserve">없음
</t>
    <phoneticPr fontId="23" type="noConversion"/>
  </si>
  <si>
    <t>전체위탁
(시흥예총)</t>
    <phoneticPr fontId="23" type="noConversion"/>
  </si>
  <si>
    <t>광장,기타</t>
    <phoneticPr fontId="23" type="noConversion"/>
  </si>
  <si>
    <t>파주시</t>
    <phoneticPr fontId="23" type="noConversion"/>
  </si>
  <si>
    <t>어린이책잔치</t>
    <phoneticPr fontId="23" type="noConversion"/>
  </si>
  <si>
    <t>○ 입주사 오픈하우스, 플리마켓, 전시체험프로그램 등</t>
    <phoneticPr fontId="23" type="noConversion"/>
  </si>
  <si>
    <t>지식축제(책)</t>
    <phoneticPr fontId="23" type="noConversion"/>
  </si>
  <si>
    <t>정규직2명</t>
    <phoneticPr fontId="23" type="noConversion"/>
  </si>
  <si>
    <t>파주출판도시광장, 축제장</t>
    <phoneticPr fontId="23" type="noConversion"/>
  </si>
  <si>
    <t>헤이리 판 페스티벌</t>
    <phoneticPr fontId="23" type="noConversion"/>
  </si>
  <si>
    <t>2006년도
(14회)</t>
    <phoneticPr fontId="23" type="noConversion"/>
  </si>
  <si>
    <t>예술축제</t>
    <phoneticPr fontId="23" type="noConversion"/>
  </si>
  <si>
    <t>정규직3명</t>
    <phoneticPr fontId="23" type="noConversion"/>
  </si>
  <si>
    <t>○ 지식난장, 테마전시, 북마켓, 북콘서트,
독서동아리시상식, 작가와의 만남 등</t>
    <phoneticPr fontId="23" type="noConversion"/>
  </si>
  <si>
    <t>파주시/출판도시문화재단
(031-940-4723/
031-955-0061)</t>
    <phoneticPr fontId="23" type="noConversion"/>
  </si>
  <si>
    <t>2011년도
(9회)</t>
    <phoneticPr fontId="23" type="noConversion"/>
  </si>
  <si>
    <t>미개최</t>
    <phoneticPr fontId="23" type="noConversion"/>
  </si>
  <si>
    <t xml:space="preserve">○ 국내외 우수 다큐영화 상영 개.폐막식
○ 청소년 다큐제작워크숍, 시니어다큐교실 등 </t>
    <phoneticPr fontId="23" type="noConversion"/>
  </si>
  <si>
    <t>2009년도
(12회)</t>
    <phoneticPr fontId="23" type="noConversion"/>
  </si>
  <si>
    <t>고양,파주일원 영화관</t>
    <phoneticPr fontId="23" type="noConversion"/>
  </si>
  <si>
    <t>전통,역사</t>
    <phoneticPr fontId="23" type="noConversion"/>
  </si>
  <si>
    <t>정규직4명</t>
    <phoneticPr fontId="23" type="noConversion"/>
  </si>
  <si>
    <t xml:space="preserve">○ 인삼을 테마로한 공연, 전시, 체험프로그램 운영
○ 개폐막 공연, 주제공연 및 문화공연
○ 기타 특별행사 및 전시 등등 </t>
    <phoneticPr fontId="23" type="noConversion"/>
  </si>
  <si>
    <t>2005
(15회)</t>
    <phoneticPr fontId="23" type="noConversion"/>
  </si>
  <si>
    <t>파주개성인삼</t>
    <phoneticPr fontId="23" type="noConversion"/>
  </si>
  <si>
    <t>관광지</t>
    <phoneticPr fontId="23" type="noConversion"/>
  </si>
  <si>
    <t>파주장단콩축제</t>
    <phoneticPr fontId="23" type="noConversion"/>
  </si>
  <si>
    <t>파주시 농업진흥과
/ 파주장단콩축제추진위원회
(031-940-5281)</t>
    <phoneticPr fontId="23" type="noConversion"/>
  </si>
  <si>
    <t>1997
(24회)</t>
    <phoneticPr fontId="23" type="noConversion"/>
  </si>
  <si>
    <t>2002년도
(18회)</t>
    <phoneticPr fontId="23" type="noConversion"/>
  </si>
  <si>
    <t>음악</t>
    <phoneticPr fontId="23" type="noConversion"/>
  </si>
  <si>
    <t xml:space="preserve">○ 개·폐막행사, 축하공연, 
○ 회룡노래자랑  (동대항 예선 및 결선)
○ 창작무용극, 회룡종합전시회
○ 기타 부대행사 등  </t>
    <phoneticPr fontId="23" type="noConversion"/>
  </si>
  <si>
    <t>김포시</t>
    <phoneticPr fontId="23" type="noConversion"/>
  </si>
  <si>
    <t>2016년도
(4회)</t>
    <phoneticPr fontId="23" type="noConversion"/>
  </si>
  <si>
    <t>수변공간</t>
    <phoneticPr fontId="23" type="noConversion"/>
  </si>
  <si>
    <t>애기봉평화생태공원개관기념 축제</t>
    <phoneticPr fontId="23" type="noConversion"/>
  </si>
  <si>
    <t>김포시 문화관광과
/김포 문화재단
(031-980-2488)</t>
    <phoneticPr fontId="23" type="noConversion"/>
  </si>
  <si>
    <t>미정</t>
    <phoneticPr fontId="23" type="noConversion"/>
  </si>
  <si>
    <t>애기봉평화생태공원, 김포한강중앙공원</t>
    <phoneticPr fontId="23" type="noConversion"/>
  </si>
  <si>
    <t>양촌오라니장터축제</t>
    <phoneticPr fontId="23" type="noConversion"/>
  </si>
  <si>
    <t>2013년도
(7회)</t>
    <phoneticPr fontId="23" type="noConversion"/>
  </si>
  <si>
    <t>오라니장터</t>
    <phoneticPr fontId="23" type="noConversion"/>
  </si>
  <si>
    <t>양곡2로 도로</t>
    <phoneticPr fontId="23" type="noConversion"/>
  </si>
  <si>
    <t>광주시</t>
    <phoneticPr fontId="23" type="noConversion"/>
  </si>
  <si>
    <t>광주 남한산성문화제</t>
  </si>
  <si>
    <t>○ 문화순례 프로그램(성곽 순례/힐링 코스 운영)
    (요가, 다도, 체험, 트래킹, 연극 등) 
○ 체험/전시, 공연, 역사재현퍼포먼스, 이색이벤트, 
     부대행사 등
○ 시민환영 이벤트(퍼레이드, 축하공연 등)</t>
    <phoneticPr fontId="23" type="noConversion"/>
  </si>
  <si>
    <t>광주시 문화관광과
 / 광주시 남한산성문화제 
추진위원회
(031-760-2726)</t>
    <phoneticPr fontId="23" type="noConversion"/>
  </si>
  <si>
    <t xml:space="preserve"> ·전통역사</t>
  </si>
  <si>
    <t>광주왕실도자기축제</t>
    <phoneticPr fontId="23" type="noConversion"/>
  </si>
  <si>
    <t>4.30~5.11
(11일간)</t>
    <phoneticPr fontId="23" type="noConversion"/>
  </si>
  <si>
    <t>○ 개막행사
○ 광주왕실도자기축제 전시 판매장 운영
○ 문화공연 행사
○ 체험프로그램 행사</t>
    <phoneticPr fontId="23" type="noConversion"/>
  </si>
  <si>
    <t>광주시 기업지원과
/ 광주왕실도자기축제 추진위원회
(031-760-2913)</t>
    <phoneticPr fontId="23" type="noConversion"/>
  </si>
  <si>
    <t>1997년도
(23회)</t>
    <phoneticPr fontId="23" type="noConversion"/>
  </si>
  <si>
    <t>도자기</t>
    <phoneticPr fontId="23" type="noConversion"/>
  </si>
  <si>
    <t>총 4명</t>
    <phoneticPr fontId="23" type="noConversion"/>
  </si>
  <si>
    <t>곤지암도자공원</t>
    <phoneticPr fontId="23" type="noConversion"/>
  </si>
  <si>
    <t>제18회 퇴촌토마토축제</t>
    <phoneticPr fontId="23" type="noConversion"/>
  </si>
  <si>
    <t>6.19.~6.21.
(3일간)</t>
    <phoneticPr fontId="23" type="noConversion"/>
  </si>
  <si>
    <t xml:space="preserve"> 토마토재배농가 소득 증대 및 지역경제활성화 </t>
  </si>
  <si>
    <t>광명시</t>
    <phoneticPr fontId="23" type="noConversion"/>
  </si>
  <si>
    <t>제13회 광명농악대축제</t>
    <phoneticPr fontId="23" type="noConversion"/>
  </si>
  <si>
    <t>○제13회 전국학생농악경연대회                                                    ○제21회 광명시 각 동 농악경연대회                                            ○농악명인전(개막식)등 공연, 시민참여 체험 등</t>
    <phoneticPr fontId="23" type="noConversion"/>
  </si>
  <si>
    <t>광명시 문화체육과 예술공연팀           (02-2680-2160)</t>
    <phoneticPr fontId="23" type="noConversion"/>
  </si>
  <si>
    <t>2007년          (12회)</t>
    <phoneticPr fontId="23" type="noConversion"/>
  </si>
  <si>
    <t>농악</t>
    <phoneticPr fontId="23" type="noConversion"/>
  </si>
  <si>
    <t>·광명농악보존회 추진(시-보조금 지급)</t>
    <phoneticPr fontId="23" type="noConversion"/>
  </si>
  <si>
    <t>광명시민체육관</t>
    <phoneticPr fontId="23" type="noConversion"/>
  </si>
  <si>
    <t>군포시</t>
    <phoneticPr fontId="23" type="noConversion"/>
  </si>
  <si>
    <t>2020 군포철쭉축제</t>
    <phoneticPr fontId="23" type="noConversion"/>
  </si>
  <si>
    <t>4.23.~4.26.
(4일간)</t>
    <phoneticPr fontId="23" type="noConversion"/>
  </si>
  <si>
    <t>○ 개폐막 공연, 주제공연 및 문화공연
    - 노차로드 운영, 100여개 프로그램</t>
    <phoneticPr fontId="23" type="noConversion"/>
  </si>
  <si>
    <t>철쭉</t>
    <phoneticPr fontId="23" type="noConversion"/>
  </si>
  <si>
    <t>매년(4월)</t>
    <phoneticPr fontId="23" type="noConversion"/>
  </si>
  <si>
    <t>비상설</t>
    <phoneticPr fontId="23" type="noConversion"/>
  </si>
  <si>
    <t>하남시</t>
    <phoneticPr fontId="23" type="noConversion"/>
  </si>
  <si>
    <t>2020 이성산성문화축제</t>
    <phoneticPr fontId="23" type="noConversion"/>
  </si>
  <si>
    <t>이성산성</t>
    <phoneticPr fontId="23" type="noConversion"/>
  </si>
  <si>
    <t>미사리경정공원</t>
    <phoneticPr fontId="23" type="noConversion"/>
  </si>
  <si>
    <t>오산시</t>
    <phoneticPr fontId="23" type="noConversion"/>
  </si>
  <si>
    <t>10.16~10.18
(3일간)</t>
    <phoneticPr fontId="23" type="noConversion"/>
  </si>
  <si>
    <t>○ 권율의 지혜를 독산성과 연계한 공연/전시/체험 행사
   - 권율의 무예학교, 지덕체, 지혜학당 등
   - 까산이 콘서트, 먹거리 장터, 독산성 사진전 등</t>
    <phoneticPr fontId="23" type="noConversion"/>
  </si>
  <si>
    <t>오산시 문화예술과
/오산문화재단
031-379-9923</t>
    <phoneticPr fontId="23" type="noConversion"/>
  </si>
  <si>
    <t>2010년도
(10회)</t>
    <phoneticPr fontId="23" type="noConversion"/>
  </si>
  <si>
    <t>독산성 세마대지</t>
    <phoneticPr fontId="23" type="noConversion"/>
  </si>
  <si>
    <t>오산고인돌공원
및 독산성 일원</t>
    <phoneticPr fontId="23" type="noConversion"/>
  </si>
  <si>
    <t>2020 오산
통기타 페스티벌</t>
    <phoneticPr fontId="23" type="noConversion"/>
  </si>
  <si>
    <t>○ 통기타 콘서트, 합주 퍼포먼스 등 악기를 활용한 행사
   - 1인1악기 통기타 퍼포먼스, 오산 통기타 콘서트,
       통기타 플리마켓, 오산천 피크닉 힐링파크 등</t>
    <phoneticPr fontId="23" type="noConversion"/>
  </si>
  <si>
    <t>음악산업 및 대중문화산업 육성</t>
    <phoneticPr fontId="23" type="noConversion"/>
  </si>
  <si>
    <t>통기타</t>
    <phoneticPr fontId="23" type="noConversion"/>
  </si>
  <si>
    <t>공공(오산시)</t>
    <phoneticPr fontId="23" type="noConversion"/>
  </si>
  <si>
    <t>오산종합운동장
및 오산천 일원</t>
    <phoneticPr fontId="23" type="noConversion"/>
  </si>
  <si>
    <t>2020 양주 천만송이 천일홍 축제</t>
    <phoneticPr fontId="23" type="noConversion"/>
  </si>
  <si>
    <t>○ 노래자랑, 콘서트 등 문화예술공연, 버스킹공연
○ 꽃과 어우러진 퍼포먼스
○ 전시, 체험 참여프로그램 등
○ 우수농축산물 직거래장터
○ 전국사진공모전, 엽서그림대회 등
○ 아경연출</t>
    <phoneticPr fontId="23" type="noConversion"/>
  </si>
  <si>
    <t>양주시 문화관광과 
(031-8082-5655)</t>
    <phoneticPr fontId="23" type="noConversion"/>
  </si>
  <si>
    <t>2017년도
(4회)</t>
    <phoneticPr fontId="23" type="noConversion"/>
  </si>
  <si>
    <t>천일홍 꽃 등</t>
    <phoneticPr fontId="23" type="noConversion"/>
  </si>
  <si>
    <t>공공(시)</t>
    <phoneticPr fontId="23" type="noConversion"/>
  </si>
  <si>
    <t>농원</t>
    <phoneticPr fontId="23" type="noConversion"/>
  </si>
  <si>
    <t>이천시</t>
    <phoneticPr fontId="23" type="noConversion"/>
  </si>
  <si>
    <t>햇사레장호원복숭아축제</t>
    <phoneticPr fontId="23" type="noConversion"/>
  </si>
  <si>
    <t xml:space="preserve">○ 개．폐막 공연
○ 지역 문화공연
○ 선별체험 및 수확체험
○ 농특산물 및 복숭아 직판 </t>
    <phoneticPr fontId="23" type="noConversion"/>
  </si>
  <si>
    <t>복숭아</t>
    <phoneticPr fontId="23" type="noConversion"/>
  </si>
  <si>
    <t>기타(이천시햇사레농산물산지유통센터)</t>
    <phoneticPr fontId="23" type="noConversion"/>
  </si>
  <si>
    <t>이천도자기축제</t>
    <phoneticPr fontId="23" type="noConversion"/>
  </si>
  <si>
    <t>○ 도자를 테마로 하는 전시, 판매, 시연, 체험, 워크숍· 공연, 이벤트</t>
    <phoneticPr fontId="23" type="noConversion"/>
  </si>
  <si>
    <t>마을(예스파크)</t>
    <phoneticPr fontId="23" type="noConversion"/>
  </si>
  <si>
    <t>이천쌀문화축제</t>
    <phoneticPr fontId="23" type="noConversion"/>
  </si>
  <si>
    <t>○ 가마솥밥 이천명 이천원
○ 농경문화를 테마로한 공연, 전시, 체험프로그램 운영
○ 개막놀이, 무지개가래떡뽑기, 용줄다리기 등
    - 11개마당 30여개 프로그램
○ '임금님표 이천' 홍보 및 농특산물판매</t>
    <phoneticPr fontId="23" type="noConversion"/>
  </si>
  <si>
    <t>쌀</t>
    <phoneticPr fontId="23" type="noConversion"/>
  </si>
  <si>
    <t>이천인삼축제</t>
    <phoneticPr fontId="23" type="noConversion"/>
  </si>
  <si>
    <t>○ 인삼품평회 개최
○ 인삼을 테마로한 공연,전시,체험프로그램 운영
○ 개페막공연, 주제공연및 문화공연
- 건강헬스분야 12개부스전시행사, 
    문화공연분야 10개부스
○ 기타 특별행사및 전시 등등</t>
    <phoneticPr fontId="23" type="noConversion"/>
  </si>
  <si>
    <t>2015년도
(5회)</t>
    <phoneticPr fontId="23" type="noConversion"/>
  </si>
  <si>
    <t>인삼</t>
    <phoneticPr fontId="23" type="noConversion"/>
  </si>
  <si>
    <t xml:space="preserve">이천체험문화축제 </t>
    <phoneticPr fontId="23" type="noConversion"/>
  </si>
  <si>
    <t>○ 체험프로그램 부스운영
○ 다양한 공연, 판매, 먹거리부스 운영</t>
    <phoneticPr fontId="23" type="noConversion"/>
  </si>
  <si>
    <t>체험</t>
    <phoneticPr fontId="23" type="noConversion"/>
  </si>
  <si>
    <t>산수유축제</t>
    <phoneticPr fontId="23" type="noConversion"/>
  </si>
  <si>
    <t>2000년도
(21회)</t>
    <phoneticPr fontId="23" type="noConversion"/>
  </si>
  <si>
    <t>산수유꽃</t>
    <phoneticPr fontId="23" type="noConversion"/>
  </si>
  <si>
    <t>서희문화제</t>
    <phoneticPr fontId="23" type="noConversion"/>
  </si>
  <si>
    <t>2016년
(4회)</t>
    <phoneticPr fontId="23" type="noConversion"/>
  </si>
  <si>
    <t>장위공 서희</t>
    <phoneticPr fontId="23" type="noConversion"/>
  </si>
  <si>
    <t>구리시</t>
  </si>
  <si>
    <t>제20회 구리 유채꽃 축제</t>
  </si>
  <si>
    <t>○ 유채 꽃밭 조성(59,000㎡)
○ 한강 및 도심 분산개최(5개소)
○ 시화전, 깃발전, 홍보 및 체험부스, 공연 등 운영
○ 먹거리장터, 식품안전센터 등 운영</t>
    <phoneticPr fontId="23" type="noConversion"/>
  </si>
  <si>
    <t>구리시/㈔한국예총 구리지회
031-550-2065</t>
    <phoneticPr fontId="23" type="noConversion"/>
  </si>
  <si>
    <t>유채꽃</t>
  </si>
  <si>
    <t>한강둔치공원</t>
    <phoneticPr fontId="23" type="noConversion"/>
  </si>
  <si>
    <t>구리시</t>
    <phoneticPr fontId="23" type="noConversion"/>
  </si>
  <si>
    <t>유채꽃</t>
    <phoneticPr fontId="23" type="noConversion"/>
  </si>
  <si>
    <t>안성시</t>
    <phoneticPr fontId="23" type="noConversion"/>
  </si>
  <si>
    <t>안성맞춤남사당바우덕이축제</t>
    <phoneticPr fontId="23" type="noConversion"/>
  </si>
  <si>
    <t>○ 시립풍물단 남사당 공연
  - 줄타기등 여섯마당
○ 바우덕이 주제 프로그램
○ 유명 무형문화재 초청공연
○ CIOFF 해외공연 초청
○ 안성 옛 장터 운영
○ 남사당놀이 체험
○ 바우덕이 추모제, 전야제, 주제공연 및 문화공연
○ 기타 특별행사 및 전시 등</t>
    <phoneticPr fontId="23" type="noConversion"/>
  </si>
  <si>
    <t>안성시 문화관광과
/안성맞춤남사당바우덕이축제위원회
(031-678-2512)</t>
    <phoneticPr fontId="23" type="noConversion"/>
  </si>
  <si>
    <t>축제조직위원회</t>
    <phoneticPr fontId="23" type="noConversion"/>
  </si>
  <si>
    <t>안성시</t>
  </si>
  <si>
    <t>안성맞춤 포도축제</t>
  </si>
  <si>
    <t>안성시 서운면
/서운면 포도축제위원회
(031-678-3732)</t>
  </si>
  <si>
    <t>2007년도
(12회)</t>
    <phoneticPr fontId="23" type="noConversion"/>
  </si>
  <si>
    <t>포도</t>
  </si>
  <si>
    <t>축제조직위원회</t>
  </si>
  <si>
    <t>면소재지</t>
  </si>
  <si>
    <t>죽주 대고려문화축제</t>
  </si>
  <si>
    <t>○ 길놀이, 주제공연, 7080콘서트, 노래자랑 등
○ 농산물 홍보 및 판매, 먹거리 장터 등</t>
  </si>
  <si>
    <t>2004년도       (16회)</t>
    <phoneticPr fontId="23" type="noConversion"/>
  </si>
  <si>
    <t>문화체험 및      마을축제</t>
  </si>
  <si>
    <t>축제위원회</t>
  </si>
  <si>
    <t>포농포농 축제</t>
    <phoneticPr fontId="23" type="noConversion"/>
  </si>
  <si>
    <t>○ 팜파티 형태 축재 추진
○ 요리경연대회, 시민들과 함께 요리나눔 등</t>
    <phoneticPr fontId="23" type="noConversion"/>
  </si>
  <si>
    <t>2005년도
(10회)</t>
    <phoneticPr fontId="23" type="noConversion"/>
  </si>
  <si>
    <t>억새</t>
    <phoneticPr fontId="23" type="noConversion"/>
  </si>
  <si>
    <t>`</t>
    <phoneticPr fontId="23" type="noConversion"/>
  </si>
  <si>
    <t>양평군</t>
  </si>
  <si>
    <t>양평 단월 고로쇠 축제</t>
  </si>
  <si>
    <t>3.21~3.22
(2일간)</t>
  </si>
  <si>
    <t>단월면/단월고로쇠축제추진위원회
(031-770-3199)</t>
  </si>
  <si>
    <t>1999년
(21회)</t>
  </si>
  <si>
    <t>고뢰쇠</t>
  </si>
  <si>
    <t>공공(읍면동)</t>
  </si>
  <si>
    <t>레포츠공원</t>
  </si>
  <si>
    <t>양평 산수유 한우축제</t>
  </si>
  <si>
    <t>4.4~4.5
(2일간)</t>
  </si>
  <si>
    <t>○ 산수유 마을 홍보 및 농특산물 홍보
○ 기타문화행사 10여개</t>
  </si>
  <si>
    <t>2003년도
(17회)</t>
  </si>
  <si>
    <t>산수유, 한우</t>
  </si>
  <si>
    <t>마을내</t>
  </si>
  <si>
    <t>양평 용문산 산나물 축제</t>
  </si>
  <si>
    <t>산나물,농특산물</t>
  </si>
  <si>
    <t>용문산관광지</t>
  </si>
  <si>
    <t>4월중
(3일간)</t>
  </si>
  <si>
    <t>○ 산나물 및 농특산물 판매
○ 산나물 관련 시장형 축제 개최</t>
  </si>
  <si>
    <t>용문면/용문면산나물축제추진위원회
(031-770-3332)</t>
  </si>
  <si>
    <t>2017년도
(4회)</t>
  </si>
  <si>
    <t>용문역일원</t>
  </si>
  <si>
    <t>양평 물축제</t>
  </si>
  <si>
    <t>옥천면/물축제추진위원회
(031-770-3155)</t>
  </si>
  <si>
    <t>2012년도
(9회)</t>
  </si>
  <si>
    <t>물, 냉면</t>
  </si>
  <si>
    <t>옥천사탄천 일원</t>
  </si>
  <si>
    <t>양평 부추축제</t>
  </si>
  <si>
    <t>9월중</t>
  </si>
  <si>
    <t>○ 양평부추축제 전야제
○ 문화예술공연</t>
  </si>
  <si>
    <t>2016년도
(5회)</t>
  </si>
  <si>
    <t>부추</t>
  </si>
  <si>
    <t>양동면 일원</t>
  </si>
  <si>
    <t>1998년도
(21회)</t>
    <phoneticPr fontId="23" type="noConversion"/>
  </si>
  <si>
    <t>여주시</t>
  </si>
  <si>
    <t>10.10~10.11
(2일간)</t>
  </si>
  <si>
    <t>여주시 가남읍행정복지센터 
/ 총무팀
(031-887-3832)</t>
  </si>
  <si>
    <t>2018년도
(1회)</t>
  </si>
  <si>
    <t>선비장터</t>
  </si>
  <si>
    <t>시장, 도로변</t>
  </si>
  <si>
    <t>○ 참여행사(참외 따기 체험 등)
○ 판매행사(참외 할인 판매 등)
○ 전시행사(옛날 사진전시회 등)</t>
  </si>
  <si>
    <t>금사참외축제추진위원회
(031-887-3902)</t>
  </si>
  <si>
    <t>2007년
(14회)</t>
    <phoneticPr fontId="23" type="noConversion"/>
  </si>
  <si>
    <t>축제위원회</t>
    <phoneticPr fontId="23" type="noConversion"/>
  </si>
  <si>
    <t>세종특별
자치시청</t>
  </si>
  <si>
    <t>서울특별시</t>
    <phoneticPr fontId="23" type="noConversion"/>
  </si>
  <si>
    <t>시자체</t>
    <phoneticPr fontId="23" type="noConversion"/>
  </si>
  <si>
    <t>울산광역시</t>
  </si>
  <si>
    <t>중구</t>
  </si>
  <si>
    <t>2014년도
(7회)</t>
  </si>
  <si>
    <t>큰줄당기기</t>
  </si>
  <si>
    <t>있음
정규직 4명</t>
  </si>
  <si>
    <t>전부위탁</t>
  </si>
  <si>
    <t>시내 거리</t>
  </si>
  <si>
    <t>남구</t>
  </si>
  <si>
    <t>6.11~6.14
(4일간)</t>
  </si>
  <si>
    <t>울산광역시남구 관광과 
/ 고래문화재단
(052-226-1992)</t>
  </si>
  <si>
    <t>1995년도
(25회)</t>
  </si>
  <si>
    <t>고래</t>
  </si>
  <si>
    <t>재단법인</t>
  </si>
  <si>
    <t xml:space="preserve">있음
정규직 8명
계약직 1명
무기직 4명
총 13명  </t>
  </si>
  <si>
    <t>공원 및 광장</t>
  </si>
  <si>
    <t>남구문화예술제</t>
  </si>
  <si>
    <t>차,미술,풍물등</t>
  </si>
  <si>
    <t>공공(시군구)
지방보조금사업</t>
  </si>
  <si>
    <t>전체위탁
(지방보조금사업)</t>
  </si>
  <si>
    <t>문화원,공원등</t>
  </si>
  <si>
    <t>태화강 나눔장터</t>
  </si>
  <si>
    <t>4월~10월
둘째, 넷째 토요일</t>
  </si>
  <si>
    <t>2009년도
(99회)</t>
  </si>
  <si>
    <t>-</t>
  </si>
  <si>
    <t>재활용</t>
  </si>
  <si>
    <t>언론사</t>
  </si>
  <si>
    <t>태화교 하부
공영주차장</t>
  </si>
  <si>
    <t>제12회 궁거랑 
벚꽃한마당</t>
  </si>
  <si>
    <t>3.28.~3.29.
(2일간)</t>
  </si>
  <si>
    <t>남구 건설과/울산제일일보
(052-226-5831)</t>
  </si>
  <si>
    <t>2009년도
(11회)</t>
  </si>
  <si>
    <t>벚꽃</t>
  </si>
  <si>
    <t>하천</t>
  </si>
  <si>
    <t>동구</t>
  </si>
  <si>
    <t>울산조선해양축제</t>
  </si>
  <si>
    <t>7월 중
(3일간)</t>
  </si>
  <si>
    <t>2009년도
(12회)</t>
  </si>
  <si>
    <t>방어진항 축제</t>
  </si>
  <si>
    <t>울산광역시 동구 도시디자인과
/방어진항 도시재생 현장지원센터
(052-209-3893)</t>
  </si>
  <si>
    <t>2020년</t>
  </si>
  <si>
    <t>국토부</t>
  </si>
  <si>
    <t>도시재생 문화축제 실행사업</t>
  </si>
  <si>
    <t>방어진항</t>
  </si>
  <si>
    <t>일시</t>
  </si>
  <si>
    <t>항구</t>
  </si>
  <si>
    <t>북구</t>
  </si>
  <si>
    <t>울산쇠부리축제</t>
  </si>
  <si>
    <t>2005년도           (16회)</t>
  </si>
  <si>
    <t>울산쇠부리문화</t>
  </si>
  <si>
    <t>있음
정규직 2명</t>
  </si>
  <si>
    <t>유적지</t>
  </si>
  <si>
    <t>울주군</t>
  </si>
  <si>
    <t>간절곶 해맞이 축제</t>
  </si>
  <si>
    <t>새해 해맞이</t>
  </si>
  <si>
    <t>울산옹기축제</t>
  </si>
  <si>
    <t>옹기</t>
  </si>
  <si>
    <t>계약직2명</t>
  </si>
  <si>
    <t>옹기마을</t>
  </si>
  <si>
    <t>시자체</t>
  </si>
  <si>
    <t>울산광역시 녹지공원과/SK에너지
(052-229-3341)</t>
  </si>
  <si>
    <t>2006년도
(제14회)</t>
  </si>
  <si>
    <t>5.15.~5.17.
(3일간)</t>
  </si>
  <si>
    <t>봄꽃</t>
  </si>
  <si>
    <t>태화강국가정원</t>
  </si>
  <si>
    <t>송년제야행사</t>
  </si>
  <si>
    <t>12.31.~1.1
(2일간)</t>
  </si>
  <si>
    <t>울산광역시 문화예술과
(052-229-3721)</t>
  </si>
  <si>
    <t>2006년도
(15회)</t>
  </si>
  <si>
    <t>불꽃</t>
  </si>
  <si>
    <t>지역방송사</t>
  </si>
  <si>
    <t>울산대공원</t>
  </si>
  <si>
    <t>한글문화예술제</t>
  </si>
  <si>
    <t>10월 중
(한글날 기간)</t>
  </si>
  <si>
    <t>울산광역시 문화예술과
(052-229-3722)</t>
  </si>
  <si>
    <t>한글</t>
  </si>
  <si>
    <t>공공(민간경상)</t>
  </si>
  <si>
    <t>시내거리</t>
  </si>
  <si>
    <t>서머페스티벌</t>
  </si>
  <si>
    <t>8월 중
(6일간)</t>
  </si>
  <si>
    <t>2003년도
(18회)</t>
  </si>
  <si>
    <t>가요,k-pop</t>
  </si>
  <si>
    <t>사단법인</t>
  </si>
  <si>
    <t>공원/바다/운동장등</t>
  </si>
  <si>
    <t>아시아 퍼시픽 뮤직미팅</t>
  </si>
  <si>
    <t>9월 중
(3일간)</t>
  </si>
  <si>
    <t>울산광역시/울산문화재단
(052-229-3751)</t>
  </si>
  <si>
    <t>2012
(9회)</t>
  </si>
  <si>
    <t>공원공연장</t>
  </si>
  <si>
    <t>울산프롬나드페스티벌</t>
  </si>
  <si>
    <t>10월 중
(미정)</t>
  </si>
  <si>
    <t>울산광역시 문화예술과
/ 울산문화재단
(052-259-7918)</t>
  </si>
  <si>
    <t>2019년
(2회)</t>
  </si>
  <si>
    <t>국제규모 공연예술축제</t>
  </si>
  <si>
    <t xml:space="preserve"> · 매년</t>
  </si>
  <si>
    <t xml:space="preserve"> · 재단법인</t>
  </si>
  <si>
    <t xml:space="preserve"> · 없음</t>
  </si>
  <si>
    <t xml:space="preserve"> · 자체추진</t>
  </si>
  <si>
    <t>울산예술제</t>
  </si>
  <si>
    <t>10월 중
(25일간)</t>
  </si>
  <si>
    <t>1980년
(40회)</t>
  </si>
  <si>
    <t>공연, 전시</t>
  </si>
  <si>
    <t>공연장/전시장</t>
  </si>
  <si>
    <t>울산민족예술제</t>
  </si>
  <si>
    <t>2004
(16회)</t>
  </si>
  <si>
    <t>공연, 전시,체험</t>
  </si>
  <si>
    <t>8월 중
(4일간)</t>
  </si>
  <si>
    <t>2009년도
(14회)</t>
  </si>
  <si>
    <t>공연, 체험 등</t>
  </si>
  <si>
    <t>울산119안전문화축제</t>
  </si>
  <si>
    <t>2005년도
(14회)</t>
  </si>
  <si>
    <t>안전</t>
  </si>
  <si>
    <t>공공(시)</t>
  </si>
  <si>
    <t>있음
정규직 1명</t>
  </si>
  <si>
    <t>강변</t>
  </si>
  <si>
    <t>처용문화제</t>
  </si>
  <si>
    <t>울산광역시 문화관광과
/ 울산문화재단
(052-259-7917)</t>
  </si>
  <si>
    <t>1967년
(53회)</t>
  </si>
  <si>
    <t xml:space="preserve"> ·주민화합</t>
  </si>
  <si>
    <t>처용, 시민,
울산광역시</t>
  </si>
  <si>
    <t>·부분위탁
 (운영,하드웨어, 
   프로그램)</t>
  </si>
  <si>
    <t>공원, 유적지</t>
  </si>
  <si>
    <t>대전광역시</t>
  </si>
  <si>
    <t>대덕구</t>
  </si>
  <si>
    <t>대청호대덕뮤직페스티벌</t>
  </si>
  <si>
    <t>4.3~4.5
(3일간)</t>
  </si>
  <si>
    <t>대전광역시 대덕구 문화체육과
/대덕문화원
(042-608-6732)</t>
  </si>
  <si>
    <t>2011년도
(9회)</t>
  </si>
  <si>
    <t>음악, 벚꽃, 대청호 등</t>
  </si>
  <si>
    <t>해당없음</t>
  </si>
  <si>
    <t>2016년도
(5회)</t>
    <phoneticPr fontId="23" type="noConversion"/>
  </si>
  <si>
    <t>디쿠페스티벌</t>
  </si>
  <si>
    <t>2004년도
(34회)</t>
  </si>
  <si>
    <t>만화, 웹툰</t>
  </si>
  <si>
    <t>시민단체</t>
  </si>
  <si>
    <t>광주광역시</t>
  </si>
  <si>
    <t>2015년
(6회)</t>
    <phoneticPr fontId="23" type="noConversion"/>
  </si>
  <si>
    <t>있음(계약직 10명)</t>
  </si>
  <si>
    <t>금남로 등 시내일원</t>
  </si>
  <si>
    <t>○ 주말 가족 단위 예술 체험 프로그램 운영
  - 아트 스쿨, 아트 직업체험, 아트 스테이지, 시즌별 특별프로그램(모기장 영화제, 물총놀이, 추억의소풍놀이 등)</t>
  </si>
  <si>
    <t>광주광역시/미정(공모진행중)
062-613-3433</t>
  </si>
  <si>
    <t>예술체험</t>
  </si>
  <si>
    <t>공모선정</t>
  </si>
  <si>
    <t>2015년도
(6회)</t>
    <phoneticPr fontId="23" type="noConversion"/>
  </si>
  <si>
    <t>하천</t>
    <phoneticPr fontId="23" type="noConversion"/>
  </si>
  <si>
    <t>제38회 고싸움놀이축제</t>
  </si>
  <si>
    <t>○ 초청공연 : 판소리 등 전통공연
○ 본 행사 : 고-퍼레이드, 고싸움놀이 등
○ 축하공연 : 민요, 사물놀이 등
○ 상설마당 : 고싸움놀이VR체험, 떡메체험 등</t>
  </si>
  <si>
    <t>광주칠석고싸움놀이보존회
(062-607-2315)</t>
  </si>
  <si>
    <t>1983년도
(37회)</t>
  </si>
  <si>
    <t>고싸움놀이</t>
  </si>
  <si>
    <t xml:space="preserve">있음
총 3명  </t>
  </si>
  <si>
    <t>제10회 굿모닝! 양림</t>
  </si>
  <si>
    <t xml:space="preserve"> ○ 전시 : 예술인 아카이브전 등
 ○ 특별공연 : 가을숲속음악회, 공개방송 등
 ○ 공연 : 밴드 및 색소폰&amp;통기타 라이브공연 등
 ○ 인문학 강의
 ○ 체험·참여 : 가을시낭송대회 등
 ○ 기타 : 건축·예술 선교투어</t>
  </si>
  <si>
    <t>인문학</t>
  </si>
  <si>
    <t>마을</t>
  </si>
  <si>
    <t>송도
달빛축제공원</t>
  </si>
  <si>
    <t>인천광역시</t>
  </si>
  <si>
    <t>중구</t>
    <phoneticPr fontId="23" type="noConversion"/>
  </si>
  <si>
    <t>2014년도
(7회)</t>
    <phoneticPr fontId="23" type="noConversion"/>
  </si>
  <si>
    <t>연수구</t>
  </si>
  <si>
    <t>있음
(정규직 6명)</t>
  </si>
  <si>
    <t>부분위탁
(무대시스템)</t>
  </si>
  <si>
    <t>연수 능허대 문화축제</t>
  </si>
  <si>
    <t>○ 능허대 소재 공연, 전시 및 체험 프로그램
○ 기타 연계행사 및 부대행사</t>
  </si>
  <si>
    <t>연수구 문화체육과
/연수문화재단
(070-4169-6461)</t>
  </si>
  <si>
    <t>2004
(제11회)</t>
  </si>
  <si>
    <t>능허대지</t>
  </si>
  <si>
    <t>아프리카 돼지열병 피해확산 방지를 위하여 미시행</t>
  </si>
  <si>
    <t>남동구</t>
  </si>
  <si>
    <t>제20회 소래포구축제</t>
  </si>
  <si>
    <t>남동구
(032-453-2142)</t>
  </si>
  <si>
    <t>2001년도
(19회)</t>
  </si>
  <si>
    <t>꽃게, 새우</t>
  </si>
  <si>
    <t>공공(남동구)</t>
  </si>
  <si>
    <t>아프리카돼지열병 확산방지를 위해 취소</t>
  </si>
  <si>
    <t>소래포구일원</t>
  </si>
  <si>
    <t>사적지</t>
    <phoneticPr fontId="23" type="noConversion"/>
  </si>
  <si>
    <t>고려산진달래축제</t>
  </si>
  <si>
    <t>삼랑성역사문화축제</t>
  </si>
  <si>
    <t>대구광역시</t>
    <phoneticPr fontId="23" type="noConversion"/>
  </si>
  <si>
    <t>퍼레이드 및
거리공연</t>
  </si>
  <si>
    <t>대구광역시</t>
  </si>
  <si>
    <t>뮤지컬</t>
  </si>
  <si>
    <t>대구생활문화제</t>
  </si>
  <si>
    <t xml:space="preserve"> ○ 개막공연 : 전문가-아마추어 협업공연 등
 ○ 예술동호회 공연 및 전시
 ○ 체험, 홍보부스 포토존 등
 ○ 구군 생활문화주간행사</t>
  </si>
  <si>
    <t>생활문화, 동호회공연, 전시, 시민참여 등</t>
  </si>
  <si>
    <t xml:space="preserve">2.28공원 및
동성로 일대 </t>
  </si>
  <si>
    <t>(사)한국치맥산업협회
/ 대구치맥페스티벌 조직위원회
(053-248-9998)</t>
  </si>
  <si>
    <t>치킨, 맥주</t>
  </si>
  <si>
    <t>동성로축제</t>
  </si>
  <si>
    <t>(사)달성문화선양회/동성로상점가상인회
(053-423-3337)</t>
  </si>
  <si>
    <t xml:space="preserve"> ○ 클래식카,수퍼카,튜닝카 전시
 ○ 레이싱모델 행사
 ○ 축하공연
 ○ RC체험존
 ○ 시식, 시음행사 및 부스 운영 등</t>
  </si>
  <si>
    <t>미정</t>
  </si>
  <si>
    <t>김광석,             김광석길</t>
  </si>
  <si>
    <t>공공/주식회사</t>
  </si>
  <si>
    <t>대구화교중화문화축제</t>
  </si>
  <si>
    <t>대구 화교협회/
대구화교협회조직위원회
(053-255-0561)</t>
  </si>
  <si>
    <t>화교거리</t>
  </si>
  <si>
    <t>화교소학교
종로거리 일원</t>
  </si>
  <si>
    <t>봉산미술제</t>
  </si>
  <si>
    <t>봉산문화협회
(053-425-6845)</t>
  </si>
  <si>
    <t>봉산문화거리</t>
  </si>
  <si>
    <t xml:space="preserve">봉산문화거리
 </t>
  </si>
  <si>
    <t>달성군</t>
  </si>
  <si>
    <t>달성 100대 피아노</t>
  </si>
  <si>
    <t>달성군 문화체육과
/달성문화재단
(053-668-2172)</t>
  </si>
  <si>
    <t>충청남도</t>
    <phoneticPr fontId="23" type="noConversion"/>
  </si>
  <si>
    <t>경상북도</t>
    <phoneticPr fontId="23" type="noConversion"/>
  </si>
  <si>
    <t>부산광역시</t>
  </si>
  <si>
    <t>오륙도 평화축제</t>
  </si>
  <si>
    <t>부산광역시 남구/부산광역시 남구
(051-607-4062)</t>
  </si>
  <si>
    <t>평화</t>
  </si>
  <si>
    <t>온천</t>
  </si>
  <si>
    <t>금정구</t>
  </si>
  <si>
    <t>금정구 환경위생과
(051-519-4422)</t>
  </si>
  <si>
    <t>거피, 빵, 공방</t>
  </si>
  <si>
    <t>부산대지하철역아래 문화행사장 일원</t>
  </si>
  <si>
    <t>격년</t>
    <phoneticPr fontId="23" type="noConversion"/>
  </si>
  <si>
    <t>10월 중
(3일간)</t>
    <phoneticPr fontId="23" type="noConversion"/>
  </si>
  <si>
    <t>2012년도
(8회)</t>
    <phoneticPr fontId="23" type="noConversion"/>
  </si>
  <si>
    <t>○ 벚꽃길 걷기대회  ○ 벚꽃노래자랑 
○ 문화공연 및 무대행사  ○ 청소년 스타킹 
○ 모형항공기대회, 사생대회 및 백일장 등</t>
  </si>
  <si>
    <t>부산광역시 강서구 /
강서구축제추진위원회
(051-970-4062)</t>
  </si>
  <si>
    <t>부산차이나타운특구
문화축제</t>
  </si>
  <si>
    <t>○ 다양한 한중문화 공연(개막․주무대/거리공연)
    - 중국(소수민족 민속춤, 변검·토화, 기예단)
    - 한국(가면무, 민요) 등
○ 차이나타운 홍등터널 및 텍사스거리 LED등 설치
○ 부산역 광장 가족 만두빚기 체험 프로그램 개최
○ 이색포토존(대형홍등, 소원터널, 축제 의자 등)
○ 차이나타운 상권 참여 중국요리 시식회 개최
○ 관람객 참여 거리퍼레이드 진행 : 중앙대로, 특구 내
○ 중국인유학생 가요제, 동남아유학생 및 다문화가족 
    장기자랑 개최
○ 동구문화놀이 한마당 개최
○ 시민참여 이벤트 : 인증샷이벤트, 보물찾기 등
○ 다양 체험부스 운영 : 중국전통놀이, 전통의상, 음식, 
    공예, 연만들기 등</t>
  </si>
  <si>
    <t>부산 동구 문화체육관광과
/차이나타운특구축제추진위원회
(051-440-4062)</t>
  </si>
  <si>
    <t>2004년도
(17회)</t>
  </si>
  <si>
    <t>차이나타운특구</t>
  </si>
  <si>
    <t>비상설</t>
  </si>
  <si>
    <t>차이나타운특구
거리</t>
  </si>
  <si>
    <t>사하구</t>
  </si>
  <si>
    <t>감천문화마을
일원</t>
  </si>
  <si>
    <t>충청북도</t>
  </si>
  <si>
    <t>제천시</t>
  </si>
  <si>
    <t>제천겨울왕국페스티벌 시즌2</t>
  </si>
  <si>
    <t>○ 벚꽃 등의 LED조명 전시행사
○ 벚꽃듀오가요제, 프로포즈 이벤트, 버스킹 공연 등
○ 얼음성, 겨울빛 순주섬 전시행사
○ 공어낚시, 아이스스노우 슬라이딩, 눈썰매, 얼음자전거 체험행사 등</t>
  </si>
  <si>
    <t>제천시(문화예술과)
/재단법인제천문화재단(043-641-4870)</t>
  </si>
  <si>
    <t>겨울벚꽃 및 얼음</t>
  </si>
  <si>
    <t>있음
정규직 12명</t>
  </si>
  <si>
    <t>시내 및 의림지 일원</t>
  </si>
  <si>
    <t>제24회 청풍호 벚꽃축제</t>
  </si>
  <si>
    <t>4월 중</t>
    <phoneticPr fontId="23" type="noConversion"/>
  </si>
  <si>
    <t>○ 핵심프로그램 : 개막식, 벚꽃축제 기념콘서트 등
○ 상설 공연행사 : 지역문화예술단체 공연
○ 전시 및 체험프로그램 운영 : 30여개 전시 및 체험프로그램
○ 특별프로그램 : 청풍호 벚꽃쉼터, 시민 벚꽃길 걷기행사 등</t>
  </si>
  <si>
    <t>1997년
(24회)</t>
  </si>
  <si>
    <t>광장, 마을, 시내거리</t>
  </si>
  <si>
    <t>제16회 제천국제음악영화제</t>
  </si>
  <si>
    <t>제천시(문화예술과)
/사단법인제천국제음악영화제
(02-925-2243)</t>
  </si>
  <si>
    <t>2005년
(16회)</t>
  </si>
  <si>
    <t>음악영화</t>
  </si>
  <si>
    <t>있음 
정규직 14명
계약직 60명
총74명</t>
  </si>
  <si>
    <t>광장, 시내거리</t>
  </si>
  <si>
    <t>보은군</t>
  </si>
  <si>
    <t>2020 보은대추축제</t>
  </si>
  <si>
    <t>10.16~10.25
(10일간)</t>
  </si>
  <si>
    <t>○ 전국 제일의 맛을 자랑하는 보은 대추·청정농특산물
    실비판매, 다채로운 문화행사 체험
○ 개폐막 공연, 주제공연 및 문화공연
○ 기타 특별행사 및 전시 등</t>
  </si>
  <si>
    <t>2007년도
(14회)</t>
  </si>
  <si>
    <t>대추</t>
  </si>
  <si>
    <t>있음
(비상설)</t>
  </si>
  <si>
    <t>속리산 신화여행축제</t>
  </si>
  <si>
    <t>5.1~5.3
(3일간)</t>
  </si>
  <si>
    <t>1978년도
(43회)</t>
  </si>
  <si>
    <t>문화재청</t>
  </si>
  <si>
    <t>자연유산민속행사</t>
  </si>
  <si>
    <t>속리산 산신</t>
  </si>
  <si>
    <t>축제추진위</t>
  </si>
  <si>
    <t>·전체위탁</t>
  </si>
  <si>
    <t>사적지, 공원</t>
  </si>
  <si>
    <t>제25회 오장환문학제</t>
  </si>
  <si>
    <t xml:space="preserve">○ 오장환문학상 및 오장환신인문학상 시상
○ 문학강연, 문학기행, 저명 작가와의 만남의 장
○ 충북 초중학생 백일장 및 체험부스 운영 </t>
  </si>
  <si>
    <t>보은군 / 보은문화원
(043-540-3754)</t>
  </si>
  <si>
    <t>1996년도
(25회)</t>
  </si>
  <si>
    <t>인물
(오장환 시인)</t>
  </si>
  <si>
    <t>오장환문학제
추진위원회</t>
  </si>
  <si>
    <t>박물관, 공원</t>
  </si>
  <si>
    <t>제18회 보은동학제</t>
  </si>
  <si>
    <t>4월 중
(2일간)</t>
    <phoneticPr fontId="23" type="noConversion"/>
  </si>
  <si>
    <t>○ 장안취회, 위령제, 동학세미나 
○ 동학백일장, 동학퀴즈, 동학 체험행사 등</t>
  </si>
  <si>
    <t>보은동학</t>
  </si>
  <si>
    <t>보으동학제
추진위원회</t>
  </si>
  <si>
    <t>충청남도</t>
  </si>
  <si>
    <t>보령시</t>
  </si>
  <si>
    <t>대천항</t>
  </si>
  <si>
    <t>대천해수욕장</t>
  </si>
  <si>
    <t>아산시</t>
  </si>
  <si>
    <t>아산시 문화관광과                               / 아산문화재단                              (041-534-2634)</t>
  </si>
  <si>
    <t>코미디</t>
  </si>
  <si>
    <t>도고면 일원</t>
  </si>
  <si>
    <t>은행나무길축제</t>
  </si>
  <si>
    <t>은행나무길</t>
  </si>
  <si>
    <t>짚풀문화제</t>
  </si>
  <si>
    <t>아산시 외암민속마을관리소          /외암민속마을보존회                     (041-536-8458)</t>
  </si>
  <si>
    <t>짚풀</t>
  </si>
  <si>
    <t>외암마을 및 저잣거리 일원</t>
  </si>
  <si>
    <t>당진시 항만수산과
/ 장고항실치축제위원회
(041-350-4273)</t>
  </si>
  <si>
    <t>있음
정규직 22명</t>
  </si>
  <si>
    <t>있음
정규직 3명</t>
  </si>
  <si>
    <t>국화</t>
  </si>
  <si>
    <t>4월 중</t>
  </si>
  <si>
    <t>축제추진위원회</t>
  </si>
  <si>
    <t>바다(항포구)</t>
  </si>
  <si>
    <t>안면도 백사장 대하 축제</t>
  </si>
  <si>
    <t>9월 중</t>
  </si>
  <si>
    <t>안면도 백사장 대하축제 추진위원회
(041-670-2875)</t>
  </si>
  <si>
    <t>2000년도
(21회)</t>
  </si>
  <si>
    <t>대하</t>
  </si>
  <si>
    <t>전라남도</t>
  </si>
  <si>
    <t>보성군</t>
  </si>
  <si>
    <t>부</t>
  </si>
  <si>
    <t>2008년도
(13회)</t>
  </si>
  <si>
    <t>우전리 설레미 마을</t>
  </si>
  <si>
    <t>전라북도</t>
  </si>
  <si>
    <t>군산시</t>
  </si>
  <si>
    <t>군산꽁당보리축제</t>
  </si>
  <si>
    <t>보리밭, 흰찰쌀보리, 전통음식, 도시농업, 수제맥주 등</t>
  </si>
  <si>
    <t>익산시</t>
  </si>
  <si>
    <t>익산천만송이국화축제</t>
  </si>
  <si>
    <t>익산시 기술보급과
(063-859-4334)</t>
  </si>
  <si>
    <t>익산보석대축제</t>
  </si>
  <si>
    <t>○귀금속 보석  할인 판매 행사
○보석리세팅-뉴 디자인교체
○보석 가공체험, 보석 전시회 등</t>
  </si>
  <si>
    <t>보석</t>
  </si>
  <si>
    <t>정규직 2명</t>
  </si>
  <si>
    <t>기타
(주얼팰리스 귀금속판매센터)</t>
  </si>
  <si>
    <t>완주삼례딸기축제</t>
  </si>
  <si>
    <t>○ 딸기수확체험, 딸기품평회 등</t>
  </si>
  <si>
    <t>완주프러포즈축제</t>
  </si>
  <si>
    <t>○ 사랑의 세레나데, 최강커플을 찾아라, 신나는 토토즐 등</t>
  </si>
  <si>
    <t>완주 와일드푸드 축제</t>
  </si>
  <si>
    <t>○ 와일드체험, 와일드푸드체험, 문화체험, 민속놀이체험 등</t>
  </si>
  <si>
    <t>곶감축제</t>
  </si>
  <si>
    <t>○ 품평회, 곶감즉석 경매, 곶감 만들기 등 체험</t>
  </si>
  <si>
    <t>2020 진안고원 꽃잔디축제</t>
  </si>
  <si>
    <t>제12회 진안고원 수박축제</t>
  </si>
  <si>
    <t>2020 진안홍삼축제</t>
  </si>
  <si>
    <t>2020 진안고원김치보쌈축제</t>
  </si>
  <si>
    <t>고창군</t>
  </si>
  <si>
    <t>고창해풍고추축제</t>
  </si>
  <si>
    <t>고창 모양성제</t>
  </si>
  <si>
    <t>경상북도</t>
  </si>
  <si>
    <t>9~10월 중</t>
  </si>
  <si>
    <t>800(미정)</t>
  </si>
  <si>
    <t>농촌축제지원사업</t>
  </si>
  <si>
    <t>경상남도</t>
  </si>
  <si>
    <t>9~10월 중
(2일간)</t>
    <phoneticPr fontId="23" type="noConversion"/>
  </si>
  <si>
    <t>코리아드라마페스티벌</t>
  </si>
  <si>
    <t>제주도</t>
  </si>
  <si>
    <t xml:space="preserve"> (단위 : 백만원) </t>
    <phoneticPr fontId="23" type="noConversion"/>
  </si>
  <si>
    <t>국비 상세 내역</t>
    <phoneticPr fontId="23" type="noConversion"/>
  </si>
  <si>
    <t>개군면/양평산수유축제추진위원회
(031-770-3341)</t>
  </si>
  <si>
    <t>서울특별시</t>
  </si>
  <si>
    <t>2012년도
(9회)</t>
    <phoneticPr fontId="23" type="noConversion"/>
  </si>
  <si>
    <t>용산구</t>
  </si>
  <si>
    <t>10월 중</t>
    <phoneticPr fontId="23" type="noConversion"/>
  </si>
  <si>
    <t>○ 개폐막 공연, 주제공연 및 문화공연
    - 세계문화대상, 글로벌 거리퍼레이드, 세계픙믈전 등</t>
  </si>
  <si>
    <t>관광</t>
  </si>
  <si>
    <t>이태원관광특구</t>
  </si>
  <si>
    <t xml:space="preserve">○ 개막 콘서트 개최 
○ 첨단 전자제품 대회, 체험, 전시 판매
○ 상가별 문화공연 및 벼룩시장 등 이벤트개최 </t>
  </si>
  <si>
    <t>용산구상공회
(02-718-7812)</t>
  </si>
  <si>
    <t>첨단 전자제품</t>
  </si>
  <si>
    <t>자체 추진</t>
  </si>
  <si>
    <t>용산 전자상가 일대</t>
  </si>
  <si>
    <t>○ 빗물축제
   - 빗물놀이터, 콘서트, 체험프로그램 등 
○ 그외 심포지엄, 박람회, 공모전, 빗물학교 등</t>
    <phoneticPr fontId="23" type="noConversion"/>
  </si>
  <si>
    <t>2016
(5회)</t>
    <phoneticPr fontId="23" type="noConversion"/>
  </si>
  <si>
    <t>정원</t>
    <phoneticPr fontId="23" type="noConversion"/>
  </si>
  <si>
    <t>강서구</t>
  </si>
  <si>
    <t>겸재문화예술제</t>
  </si>
  <si>
    <t>강서구, 강서문화원/축제추진위원회
(02-2600-6154)</t>
  </si>
  <si>
    <t>2015년도
(6회)</t>
  </si>
  <si>
    <t>겸재 정선</t>
  </si>
  <si>
    <t>겸재정선미술관, 궁산근린공원 일대</t>
  </si>
  <si>
    <t>서울대공원</t>
    <phoneticPr fontId="23" type="noConversion"/>
  </si>
  <si>
    <t>서울빛초롱축제</t>
    <phoneticPr fontId="23" type="noConversion"/>
  </si>
  <si>
    <t>11.1~11.17
(17일간)</t>
    <phoneticPr fontId="23" type="noConversion"/>
  </si>
  <si>
    <t>중랑구</t>
  </si>
  <si>
    <t>묵동교~장평교 중랑천 일원</t>
  </si>
  <si>
    <t>용마폭포공원</t>
  </si>
  <si>
    <t>도봉구 문화체육과
(02-2091-2254)</t>
  </si>
  <si>
    <t>등(燈)전시</t>
  </si>
  <si>
    <t>동대문구</t>
  </si>
  <si>
    <t>(사)서울약령시협회
(02-969-4793)</t>
  </si>
  <si>
    <t>세계거리춤축제</t>
  </si>
  <si>
    <t>청룡문화제</t>
  </si>
  <si>
    <t>○ 어가행렬
○ 청룡제향
○ 축하콘서트, 전통문화 체험부스 운영</t>
  </si>
  <si>
    <t>마포구</t>
  </si>
  <si>
    <t>서울프린지페스티벌</t>
  </si>
  <si>
    <t>예술가의 자유로운 참가와 표현이 가능한 축제로, 예술의 다양성 제고</t>
  </si>
  <si>
    <t>프린지페스티벌 사무국
/ 서울프린지네트워크
(02-325-8150)</t>
  </si>
  <si>
    <t>2014년도
(5회)</t>
  </si>
  <si>
    <t>공연 및 전시</t>
  </si>
  <si>
    <t>마포구 문화비축기지</t>
  </si>
  <si>
    <t>판페스티벌</t>
  </si>
  <si>
    <t>마포구 대표 문화공간인 소극장 산울림과 주변 공연장을 연계한 복합문화축제</t>
  </si>
  <si>
    <t>극단 산울림
(02-334-5915)</t>
  </si>
  <si>
    <t>연극</t>
  </si>
  <si>
    <t>마포구 소극장 산울림</t>
  </si>
  <si>
    <t>서울와우북페스티벌</t>
  </si>
  <si>
    <t>개막식, 공연, 강연/워크숍 및 전시(와우스페셜, 와우판타스틱서재, 와우상상만찬), 국제교류프로그램, 야외프로그램(거리도서전, 어린이책 놀이터, 특별프로그램) 등</t>
  </si>
  <si>
    <t>(사)와우책문화예술센터
(02-336-1585)</t>
  </si>
  <si>
    <t>2006년도
(14회)</t>
  </si>
  <si>
    <t>책</t>
  </si>
  <si>
    <t>마포구 홍익대 앞 주차장 거리 일대</t>
  </si>
  <si>
    <t>○ 개폐막식, 전시제, 영화제, 뉴미디어복합예술제 개최
○ 토크 &lt;칠레전투, 표현의 자유와 인권영화제의 기억&gt;
○ 강연 &lt;실험영화가 내 인생을 미치게 하다&gt; 등</t>
  </si>
  <si>
    <t>18회</t>
  </si>
  <si>
    <t>미디어</t>
  </si>
  <si>
    <t>마포구 문화비축기지, 서교예술실험센터 등</t>
  </si>
  <si>
    <t>마포음식문화축제</t>
  </si>
  <si>
    <t>음식과 지역문화가 어우러진 구민 참여 행사</t>
  </si>
  <si>
    <t>2001년도
(18회)</t>
  </si>
  <si>
    <t>마포구 홍대걷고싶은거리 광장C구역</t>
  </si>
  <si>
    <t>흥페스티벌</t>
  </si>
  <si>
    <t>○ 전통공연, 퍼레이드, 강연, 체험 프로그램 운영
○ 홍대 걷고싶은거리와 주변 지역을 거점으로 우리 전통문화를 향유할 수 있는 축제</t>
  </si>
  <si>
    <t>국악</t>
  </si>
  <si>
    <t>마포구 홍대걷고싶은거리</t>
  </si>
  <si>
    <t>8.14.~8.15.
(2일간)</t>
  </si>
  <si>
    <t>○ 개막식(풋프린팅), 제막식(독립지사 동판제작)
○ 시민참여 프로그램, 전시 및 체험 등</t>
  </si>
  <si>
    <t>서대문구청 문화체육과
/ 서대문독립민주축제 추진위원회
(02-330-1423)</t>
  </si>
  <si>
    <t>성북구</t>
  </si>
  <si>
    <t>성북문화바캉스</t>
  </si>
  <si>
    <t>○ 이동식 물놀이
○ 마술, 버블쇼 등 어린이 공연 및 체험프로그램
○ 먹거리 장터</t>
  </si>
  <si>
    <t>성북구청 문화체육과
/성북문화재단
(02-2241-2603)</t>
  </si>
  <si>
    <t>성북동문화재야행</t>
  </si>
  <si>
    <t>○ 문화재 및 문화시설 야간개방 및 문화재 공연 등
 - 8夜(야경, 야로, 야사, 야화, 야설, 야시, 야식, 야숙)</t>
  </si>
  <si>
    <t>성북구청 문화체육과
/성북문화원
(02-2241-2603)</t>
  </si>
  <si>
    <t>지역문화재 활용 사업 (문화재 야행)</t>
  </si>
  <si>
    <t>문화재</t>
  </si>
  <si>
    <t>성북동 일대</t>
  </si>
  <si>
    <t>성북진경</t>
  </si>
  <si>
    <t xml:space="preserve">○ 기획프로 : 개막공연, 성북여행안내서 제작,  
                    마을 영화 상영, 진경 여행단 운영 등 10개 
○ 협력프로 : 지역 및 기관 연계 프로그램 50개 </t>
  </si>
  <si>
    <t>성북구 일대</t>
  </si>
  <si>
    <t>성북페스티벌</t>
  </si>
  <si>
    <t>성북구청 문화체육과
(02-2241-2603)</t>
  </si>
  <si>
    <t>송파구</t>
  </si>
  <si>
    <t>석촌호수 단풍축제</t>
  </si>
  <si>
    <t>10.30.~10.31.
(2일간)</t>
  </si>
  <si>
    <t xml:space="preserve"> ○ 단풍을 테마로한 공연, 전시, 체험프로그램 운영
 ○ 가을밤 주제공연 및 주민참여공연
 ○ 기타 연계행사 등 </t>
  </si>
  <si>
    <t>송파구 국제관광과
(02-2147-2115)</t>
  </si>
  <si>
    <t>단풍</t>
  </si>
  <si>
    <t>공공(구)</t>
  </si>
  <si>
    <t>석촌호수(공원)</t>
  </si>
  <si>
    <t>4.3~4.10
(8일간)</t>
  </si>
  <si>
    <t xml:space="preserve"> ○ 벚꽃음악회. 벚꽃프린지, 벚꽃버스킹, 벚꽃시네마
 ○ 벚꽃조명, 벚꽃포토존, 벚꽃피크닉존, 벚꽃 야외조각전
 ○ 벚꽃 테마 전시, 체험 등 공공문화공간 활용 프로그램 운영
 ○ 방이맛골차없는 거리“,사회적경제놀자 등 연계행사 추진</t>
  </si>
  <si>
    <t>서울특별시 송파구 문화체육과
(02-2147-2815)</t>
  </si>
  <si>
    <t>2004년도
(16회)</t>
  </si>
  <si>
    <t>공원(석촌호수 일대), 시내거리(방이맛골, 송리단길)</t>
  </si>
  <si>
    <t>9.23~9.27
(5일간)</t>
  </si>
  <si>
    <t>1994년도
(20회)</t>
  </si>
  <si>
    <t>백제
(제20회 한성백제문화제를 기념하여 전국에 산재한 백제 기반 축제를 참여시키는 대백제문화제 추진)</t>
  </si>
  <si>
    <t>공공, 재단법인</t>
  </si>
  <si>
    <t>있음
정규직 5명
계약직 2명</t>
  </si>
  <si>
    <t>공원(올림픽공원 평화의문 광장 일대), 사적지(석촌동 고분군,풍납백제문화공원), 시내거리(방이맛골, 송리단길)</t>
  </si>
  <si>
    <t>오금동 성내천축제</t>
  </si>
  <si>
    <t>9월 중 예정
(2일간)</t>
  </si>
  <si>
    <t>○ 개막식
○ 성내천 물빛음악회
○ 자치회관 프로그램 발표회
○ 주민노래자랑
○ 꿈꾸는 책방(중고도서 할인판매 등)
○ 청소년 체험부스
○ 농산물 직거래장터
○ 먹거리장터</t>
  </si>
  <si>
    <t>오금동성내천축제공동추진위원회
(02-2147-4278)</t>
  </si>
  <si>
    <t>성내천</t>
  </si>
  <si>
    <t>하천
(성내천 물빛광장 일대)</t>
  </si>
  <si>
    <t>친환경생태하천 당현천에서 작품 등 전시 및 부대행사 진행</t>
  </si>
  <si>
    <t>2017년
(4회)</t>
    <phoneticPr fontId="23" type="noConversion"/>
  </si>
  <si>
    <t>x</t>
  </si>
  <si>
    <t>2020 서울국악축제</t>
  </si>
  <si>
    <t xml:space="preserve">○ 국악공연 : 개막식, 버스킹, 시민참여프로그램 등 </t>
  </si>
  <si>
    <t>서울시 문화예술과
(02-2133-2577)</t>
  </si>
  <si>
    <t>2019
(2회)</t>
  </si>
  <si>
    <t>공공(광역)</t>
  </si>
  <si>
    <t>서울광장</t>
  </si>
  <si>
    <t>서초구</t>
  </si>
  <si>
    <t>서리풀페스티벌</t>
  </si>
  <si>
    <t>○ 핵심프로그램 : 야간음악퍼레이드, 지상최대스케치북
○ '음악으로 하나되다'를 주제로 개·폐막공연, 야간음악퍼레이드, 문화예술공연, 지역축제 등 기획프로그램 운영</t>
  </si>
  <si>
    <t>서초구 문화관광과/서초문화재단(02-2155-6228)</t>
  </si>
  <si>
    <t>서초구 전역</t>
  </si>
  <si>
    <t xml:space="preserve">양재천 벚꽃 등 축제 </t>
  </si>
  <si>
    <t xml:space="preserve">○개막공연, 등축제, 아트플리마켓 등 </t>
  </si>
  <si>
    <t>서초구 문화관광과/서초문화원
(02-2155-8305)</t>
  </si>
  <si>
    <t>문화원</t>
  </si>
  <si>
    <t>양재천 일대</t>
  </si>
  <si>
    <r>
      <rPr>
        <b/>
        <sz val="14"/>
        <color rgb="FF002060"/>
        <rFont val="굴림"/>
        <family val="3"/>
        <charset val="129"/>
      </rPr>
      <t xml:space="preserve"> &lt; 작성 대상 &gt; </t>
    </r>
    <r>
      <rPr>
        <b/>
        <sz val="13"/>
        <rFont val="굴림"/>
        <family val="3"/>
        <charset val="129"/>
      </rPr>
      <t xml:space="preserve">
 </t>
    </r>
    <r>
      <rPr>
        <sz val="13"/>
        <rFont val="굴림"/>
        <family val="3"/>
        <charset val="129"/>
      </rPr>
      <t>일정기간</t>
    </r>
    <r>
      <rPr>
        <b/>
        <sz val="14"/>
        <color rgb="FFFF0000"/>
        <rFont val="굴림"/>
        <family val="3"/>
        <charset val="129"/>
      </rPr>
      <t>(2일 이상</t>
    </r>
    <r>
      <rPr>
        <sz val="13"/>
        <rFont val="굴림"/>
        <family val="3"/>
        <charset val="129"/>
      </rPr>
      <t xml:space="preserve">) </t>
    </r>
    <r>
      <rPr>
        <b/>
        <sz val="13"/>
        <rFont val="굴림"/>
        <family val="3"/>
        <charset val="129"/>
      </rPr>
      <t>지역주민, 지역단체, 지방
 정부가 개최</t>
    </r>
    <r>
      <rPr>
        <sz val="13"/>
        <rFont val="굴림"/>
        <family val="3"/>
        <charset val="129"/>
      </rPr>
      <t xml:space="preserve">하며, </t>
    </r>
    <r>
      <rPr>
        <u/>
        <sz val="13"/>
        <rFont val="굴림"/>
        <family val="3"/>
        <charset val="129"/>
      </rPr>
      <t>불특정 다수인이 함께 참여</t>
    </r>
    <r>
      <rPr>
        <sz val="13"/>
        <rFont val="굴림"/>
        <family val="3"/>
        <charset val="129"/>
      </rPr>
      <t xml:space="preserve">하는 
 </t>
    </r>
    <r>
      <rPr>
        <b/>
        <sz val="13"/>
        <rFont val="굴림"/>
        <family val="3"/>
        <charset val="129"/>
      </rPr>
      <t xml:space="preserve">문화관광예술축제 </t>
    </r>
    <r>
      <rPr>
        <sz val="13"/>
        <rFont val="굴림"/>
        <family val="3"/>
        <charset val="129"/>
      </rPr>
      <t xml:space="preserve">(문화관광축제, 특산물축제, 
 문화예술제, 일반축제 등)
</t>
    </r>
    <r>
      <rPr>
        <b/>
        <sz val="11"/>
        <rFont val="굴림"/>
        <family val="3"/>
        <charset val="129"/>
      </rPr>
      <t>ㅇ 국가에서 지원하는 축제
ㅇ 지자체 주최(주관)하는 축제
ㅇ 지자체에서 경비 지원 또는 후원하는 축제
ㅇ 민간에서 추진위를 구성하여 개최하는 축제
ㅇ 문화체육관광부 지정 문화관광축제도 포함</t>
    </r>
    <r>
      <rPr>
        <sz val="11"/>
        <rFont val="굴림"/>
        <family val="3"/>
        <charset val="129"/>
      </rPr>
      <t xml:space="preserve">
</t>
    </r>
    <phoneticPr fontId="23" type="noConversion"/>
  </si>
  <si>
    <r>
      <rPr>
        <b/>
        <sz val="14"/>
        <color rgb="FF002060"/>
        <rFont val="굴림"/>
        <family val="3"/>
        <charset val="129"/>
      </rPr>
      <t xml:space="preserve"> &lt; 작성제외대상 &gt;</t>
    </r>
    <r>
      <rPr>
        <b/>
        <sz val="13"/>
        <rFont val="굴림"/>
        <family val="3"/>
        <charset val="129"/>
      </rPr>
      <t xml:space="preserve">
 </t>
    </r>
    <r>
      <rPr>
        <sz val="11"/>
        <rFont val="굴림"/>
        <family val="3"/>
        <charset val="129"/>
      </rPr>
      <t xml:space="preserve">ㅇ </t>
    </r>
    <r>
      <rPr>
        <b/>
        <sz val="11"/>
        <rFont val="굴림"/>
        <family val="3"/>
        <charset val="129"/>
      </rPr>
      <t xml:space="preserve">특정계층만 참여하는 행사 </t>
    </r>
    <r>
      <rPr>
        <sz val="11"/>
        <rFont val="굴림"/>
        <family val="3"/>
        <charset val="129"/>
      </rPr>
      <t xml:space="preserve">(경연대회, 가요제, 
     미술제, 연극제, 기념식, 시상식 등)
 ㅇ </t>
    </r>
    <r>
      <rPr>
        <b/>
        <sz val="11"/>
        <rFont val="굴림"/>
        <family val="3"/>
        <charset val="129"/>
      </rPr>
      <t xml:space="preserve">단순 주민위안 행사 </t>
    </r>
    <r>
      <rPr>
        <sz val="11"/>
        <rFont val="굴림"/>
        <family val="3"/>
        <charset val="129"/>
      </rPr>
      <t xml:space="preserve">(경로잔치 등)
 ㅇ </t>
    </r>
    <r>
      <rPr>
        <b/>
        <sz val="11"/>
        <rFont val="굴림"/>
        <family val="3"/>
        <charset val="129"/>
      </rPr>
      <t xml:space="preserve">순수 예술행사 </t>
    </r>
    <r>
      <rPr>
        <sz val="11"/>
        <rFont val="굴림"/>
        <family val="3"/>
        <charset val="129"/>
      </rPr>
      <t xml:space="preserve">(음악회, 전시회 등)
 ㅇ 기타 종합적인 </t>
    </r>
    <r>
      <rPr>
        <b/>
        <sz val="11"/>
        <rFont val="굴림"/>
        <family val="3"/>
        <charset val="129"/>
      </rPr>
      <t>축제로서의 성격이 약한 행사</t>
    </r>
    <r>
      <rPr>
        <sz val="11"/>
        <rFont val="굴림"/>
        <family val="3"/>
        <charset val="129"/>
      </rPr>
      <t>는 제외</t>
    </r>
    <phoneticPr fontId="23" type="noConversion"/>
  </si>
  <si>
    <t xml:space="preserve">※ 동 자료는 연간 개최되는 축제 현황을 소개하기 위해 각 지방자치단체로부터 
    취합한 자료입니다.  연초에 수립한 계획 자료임에 따라 중간에 연기, 취소, 변경 가능              
    하며,  공식 통계자료는 아님을 유의하여 주시기 바랍니다.  </t>
    <phoneticPr fontId="23" type="noConversion"/>
  </si>
  <si>
    <t>총계</t>
    <phoneticPr fontId="23" type="noConversion"/>
  </si>
  <si>
    <t>개최완료</t>
    <phoneticPr fontId="23" type="noConversion"/>
  </si>
  <si>
    <t>개최취소</t>
    <phoneticPr fontId="23" type="noConversion"/>
  </si>
  <si>
    <t>개최연기</t>
    <phoneticPr fontId="23" type="noConversion"/>
  </si>
  <si>
    <t>취소</t>
    <phoneticPr fontId="23" type="noConversion"/>
  </si>
  <si>
    <t>검토중</t>
    <phoneticPr fontId="23" type="noConversion"/>
  </si>
  <si>
    <t>강릉시 / 강릉시(로컬푸드과)</t>
  </si>
  <si>
    <t>8월 중
(2일간)</t>
    <phoneticPr fontId="23" type="noConversion"/>
  </si>
  <si>
    <t>개최여부</t>
    <phoneticPr fontId="23" type="noConversion"/>
  </si>
  <si>
    <t>10월 중
(2일간)</t>
  </si>
  <si>
    <t>10월 중
(3일간)</t>
  </si>
  <si>
    <t>10월 중</t>
  </si>
  <si>
    <t>개최여부</t>
  </si>
  <si>
    <t>9월 중
(2일간)</t>
  </si>
  <si>
    <t>7월 중
(2일간)</t>
  </si>
  <si>
    <t>제주도</t>
    <phoneticPr fontId="23" type="noConversion"/>
  </si>
  <si>
    <t>강릉시</t>
    <phoneticPr fontId="23" type="noConversion"/>
  </si>
  <si>
    <t>공공(강릉시)</t>
    <phoneticPr fontId="23" type="noConversion"/>
  </si>
  <si>
    <t>영월군청 문화관광과
/ 영월문화재단
(033-375-6353)</t>
    <phoneticPr fontId="23" type="noConversion"/>
  </si>
  <si>
    <t>평창군</t>
    <phoneticPr fontId="23" type="noConversion"/>
  </si>
  <si>
    <t>○ 산채, 농ㆍ특산물 판매행사장 운영
○ 향토음식점 운영 외 지역 특선음식홍보관 운영
○ 지역 체험마을, 기업체, 협동조합, 등 가공품 전시
    판매장 운영
○ 문화행사 진행 (정선아리랑 시연, 지역예술인, 동아리
    공연 등)</t>
    <phoneticPr fontId="23" type="noConversion"/>
  </si>
  <si>
    <t>6~9월 
(세부일정미정)</t>
    <phoneticPr fontId="23" type="noConversion"/>
  </si>
  <si>
    <t>9월 중
(4일간)</t>
    <phoneticPr fontId="23" type="noConversion"/>
  </si>
  <si>
    <t>○ 황금고추를 찾아라(킬러콘텐츠), 속풀이고추난타
○ 고추를 테마로 한 공연, 전시 체험프로그램(100여종)
○ 지역농특산물직판장운영(고추,옥수수 등)</t>
  </si>
  <si>
    <t xml:space="preserve">○ 김장공연 및 놀이마당, 우리가족 김장담그기 행사
○ 절임배추와 김장을 테마로한 전시 및 체험프로그램
○ 각종 전국단위 경연대회 및 캠핑 등
○ 농특산물 판매장 및 김장재료 판매장 </t>
  </si>
  <si>
    <t>○ 개막식(축하공연) 및 폐막식
○ 괴산역사 및 엑스포 사진전 및 유기농산물 전시 등
○ 유기농열차, 곤충체험, 전통문화 등 16종 체험행사
○ 유기농산물 및 일반농산물 등 농특산물 판매장</t>
  </si>
  <si>
    <t>○  음성 지역의 전통문화 계승 발전, 군민화합의 장으로 음성군 최대 전통 문화행사
○  음성민속예술한마당놀이, 음성군민노래자랑, 청소년 어울마당, 군민위안의 밤,
     문화예술 초청공연, 문화예술인 한마당 페스티벌, 음성전통민속경연대회
○  체험행사: 전통 먹 고인쇄 체험, 전통 먹물 염색 체험, 물레 체험, 전통 금속공예 체험,
     한지 체험, 천연염색 체험, 전통한복 체험 등 35개 체험</t>
  </si>
  <si>
    <t>수원시청 위생정책과
/축제협의회,수원시외식업지부
(031-228-2233)</t>
    <phoneticPr fontId="23" type="noConversion"/>
  </si>
  <si>
    <t>8월 중
(2일간)</t>
  </si>
  <si>
    <t>1월 중
(2일간)</t>
  </si>
  <si>
    <t xml:space="preserve">○ 봄꽃 테마정원조성,농업농촌 체험 운영,농산물판매 등 </t>
    <phoneticPr fontId="23" type="noConversion"/>
  </si>
  <si>
    <t>○ 인형탈 가두행진 및 버스킹 공연</t>
    <phoneticPr fontId="23" type="noConversion"/>
  </si>
  <si>
    <t>(사)부천국제애니메이션페스티벌조직위원회/BIAF집행위원회,
(사)한국만화애니메이션학회
(032-325-2061~2)</t>
    <phoneticPr fontId="23" type="noConversion"/>
  </si>
  <si>
    <t>○ 성호이익선생 숭모제 및 성호학술대회
○ 전통예술공연, 문화체험 등 부대행사</t>
    <phoneticPr fontId="23" type="noConversion"/>
  </si>
  <si>
    <t>4월 중
(3일 이상)</t>
  </si>
  <si>
    <t>평택시 한미협력과
/평택시국제교류재단
(031-8024-5324)</t>
    <phoneticPr fontId="23" type="noConversion"/>
  </si>
  <si>
    <t>5~7월 중
(3일간)</t>
  </si>
  <si>
    <t>5월 중
(3일간)</t>
  </si>
  <si>
    <t>9.17~9.24
(8일간)</t>
    <phoneticPr fontId="23" type="noConversion"/>
  </si>
  <si>
    <t>파주시 문화예술과
/파주문화원                            (031-940-4351) 
/(031-941-2425)</t>
    <phoneticPr fontId="23" type="noConversion"/>
  </si>
  <si>
    <t>5월 중</t>
  </si>
  <si>
    <t>○  대표프로그램 : 울산큰줄당기기
○  마두희를 테마로한 체험프로그램 운영
○  기원제, 개폐막 행사, 공연,참여,전시,전통 마당 운영
   - 8개분야 20여개 프로그램
○  울산화합줄당기기(중구-남구), 기타 먹거리 판매 등</t>
  </si>
  <si>
    <t xml:space="preserve">○  핵심프로그램 : 고래시간 속으로
○ 고래를 테마로한 공연, 전시, 체험프로그램 운영
○  개폐막 공연, 주제공연 및 문화공연
    - 3개 분야 20여개 프로그램
○  기타 특별행사 및 전시 등등 </t>
  </si>
  <si>
    <t>○  차문화축전
 - 5개 분야 7여개 프로그램 운영
○  미술작품 전시등</t>
  </si>
  <si>
    <t>○  시민들이 직접 참여하여 장터 운영
○  다양한 체험 부스 운영</t>
  </si>
  <si>
    <t xml:space="preserve">○  개막식 공연 및 음악회
○  벚꽃 조명 및 벚꽃터널 운영
○  각종 체험행사 및 먹거리 장터 운영 </t>
  </si>
  <si>
    <t>○ 핵심대표프로그램 : 나이트런 일산, 울산동구청장배 전국비치사커 대회, 일산 빛의 거리
○ 개·폐막 행사 및 공연
    -개막 퍼레이드, 락 공연, EDM, 미스트롯 일산
○  일산진 어촌체험마을 등 각종 프로그램
○  기타 체험, 먹거리, 전시 행사</t>
  </si>
  <si>
    <t>○  개·폐막 행사
    - 출항·만선 퍼레이드 등
○  어부·해녀·상인의 삶 등 각종 프로그램
○  기타 체험, 먹거리, 전시 행사</t>
  </si>
  <si>
    <t>○  철기 문화를 바탕으로 한 전통산업문화축제
○  쇠부리,문화,전시학술,체험행사(4개 분야 20여개 프로그램)
○  주요프로그램 : '울산쇠부리 제철기술 복원실험' 및 '타악페스타 두드樂'                                                            
○  철과 불의 이미지를 형상화한 개막공연 및 관람객과 함께하는 폐막공연 대동놀이(대동난장 불매!불매야!) 진행</t>
  </si>
  <si>
    <t>○  전야제, 해맞이 행사, 체험부스 운영 등</t>
  </si>
  <si>
    <t xml:space="preserve">○  우리집 장 담그는 날
○  옹기를 테마로한 공연, 전시, 체험프로그램 운영
○  개폐막 공연, 주제공연 및 문화공연
    - 8개 분야 55여개 프로그램
○  기타 20주년 기념공연 및 전시 등등 </t>
  </si>
  <si>
    <t>5.20~5.24
(5일간)</t>
    <phoneticPr fontId="23" type="noConversion"/>
  </si>
  <si>
    <t>○  개막.점등식 퍼포먼스, 개막공연
○  시민참여 퍼레이드
○  로즈벨리콘서트, 어린이인형극, 사진콘테스트 등
○  전시,체험행사 등</t>
  </si>
  <si>
    <t xml:space="preserve">○  대한민국 제2호 국가정원의 브랜드가치 고취
○  도심속 자연 생태계 보고인 태화강국가정원 홍보
○  잘 조성된 봄꽃을 활용한 각종 볼거리 제공 
    - 8개 분야 55여개 프로그램
○  기타 20주년 기념공연 및 전시 등등 </t>
  </si>
  <si>
    <t>○  개막,점등식 행사
○  거리공연(버스킹)
○  마술 및 저글링 쇼</t>
  </si>
  <si>
    <t>○  송년가요쇼, 타종식, 신년인터뷰, 소망탑 점화 등
○  신년가훈 및 소망지 쓰기, 복조리 나눠주기 등</t>
  </si>
  <si>
    <t>○  개폐막식, 한글 글그림 공모전, 한글사랑거리행진, 
    한글과거제, 한글학술대회, 전시, 체험행사 등</t>
  </si>
  <si>
    <t>○  국내 정상급가수 초청 릴레이공연(5회)</t>
  </si>
  <si>
    <t xml:space="preserve">○  한국 음악의 전략적 해외 진출을 위한 뮤직마켓 운영
   - 국내외 음악산업관계자 컨퍼런스, 쇼케이스, 멘토링등 </t>
  </si>
  <si>
    <t>○  태화강국가정원을 배경으로 하는 국제 공연예술축제
○  (공연 프로그램) 개폐막작, 공식 초청, 지역 공모 등
○  (기획 프로그램) 체험, 시민예술가, 서포터즈 등
○  기타 지역 공동체와 함께하는 참여형 프로그램 운영</t>
  </si>
  <si>
    <t>○  울산예총 예술인 공연 및 전시행사</t>
  </si>
  <si>
    <t>○  울산민예총예술인 공연 및 전시, 체험행사등</t>
  </si>
  <si>
    <t>○ 개막식, 호러트레킹, 연극공연, 납량 테마 및 체험관 운영 등</t>
  </si>
  <si>
    <t>○  재난 및 소방안전 체험프로그램 운영
○  개막식 및 경연대회 등
    - 4개 행사 100여개 프로그램</t>
  </si>
  <si>
    <t>○  핵심프로그램(대표프로그램) 1가지 기재
○  시민문화마당(체험·전시·마켓 등)
○  주제공연, 창작처용콘텐츠, 창작처용무 경연 등
○  처용맞이 제의, 처용놀이마당 등</t>
  </si>
  <si>
    <t>○  대표프로그램 : 야외뮤직페스티벌
○  부대프로그램 : 청소년가요제, 음악캠핑 등
○  개막공연, 체험프로그램, 프리마켓 등</t>
  </si>
  <si>
    <t xml:space="preserve">○  아트마켓(예술작품의 전시판매 및 작가와 교감의 장)
○  아트를 테마로한 공연, 전시, 체험프로그램 운영
○  개폐막 공연, 주제공연 및 문화공연, 각종 거리공연
    - 7개 분야 100여개 프로그램
○  아트트리(도심공원의 예술나무화),
     아트빛터널(도심 속 공원의 테마별 빛 터널 조성)
     조각전시전, 마을합창축제, 사생대회, 백일장 등 </t>
  </si>
  <si>
    <t>○  문중 입장 퍼레이드 / 160개문중 
○  개폐막식, 주제 및 문화공연 / 뿌리마을 잔치열리는날
     마당극, "바리공주이야기"뮤지컬 공연 등
○  직접 체험(참여)프로그램
     -효체험마을 / 가족행복사진관,효심약국,불효자클리닉 등)
     -뿌리체험마을/나의성씨컵만들기,성씨별룰렛을 돌려라 등
○  축제 기념품 샵 운영 / 학용품, 생필품 등
○  지역관광 / 역사문화투어, 박물관투어, 야경투어 등
○  상설프로그램 / 효문화진흥원,효문화관리원,한국족보박물관, 
     주말버스킹 공연</t>
  </si>
  <si>
    <t>○  대표프로그램 : 온천수 물총대첩 및 노천 온천체험
○  온천을 테마로한 공연, 전시, 경연, 체험프로그램 운영
○  개폐막 공연, 공식행사, 주제공연 및 문화공연 등
    - 5개 분야 100여개 프로그램
○  기타 특별행사 및 체험, 전시 등</t>
  </si>
  <si>
    <t xml:space="preserve">○ 핵심프로그램(주류전시회)
○  와인과 연계한 전시, 문화 체험 및 공연 프로그램 운영
○  와인 시음회, 교육 및 학술행사, 문화예술 공연, 체험,    쇼핑, 투어 등
    - 9개 분야 25여개 프로그램
○  기타 특별행사 및 전시 등등 </t>
  </si>
  <si>
    <t>구분</t>
    <phoneticPr fontId="23" type="noConversion"/>
  </si>
  <si>
    <t>5월 중</t>
    <phoneticPr fontId="23" type="noConversion"/>
  </si>
  <si>
    <t>시민단체</t>
    <phoneticPr fontId="23" type="noConversion"/>
  </si>
  <si>
    <t>9월 중</t>
    <phoneticPr fontId="23" type="noConversion"/>
  </si>
  <si>
    <t>2005년도
(15회)</t>
    <phoneticPr fontId="23" type="noConversion"/>
  </si>
  <si>
    <t>9월 중
(3일간)</t>
    <phoneticPr fontId="23" type="noConversion"/>
  </si>
  <si>
    <t>제주시</t>
    <phoneticPr fontId="23" type="noConversion"/>
  </si>
  <si>
    <t>12.24~12.27
(4일간)</t>
    <phoneticPr fontId="23" type="noConversion"/>
  </si>
  <si>
    <t>2008년도
(13회)</t>
    <phoneticPr fontId="23" type="noConversion"/>
  </si>
  <si>
    <t>8월중
(10일간)</t>
    <phoneticPr fontId="23" type="noConversion"/>
  </si>
  <si>
    <t>9월 중
(2일간)</t>
    <phoneticPr fontId="23" type="noConversion"/>
  </si>
  <si>
    <t>강남구 도곡2동
(02-3423-7552)</t>
    <phoneticPr fontId="23" type="noConversion"/>
  </si>
  <si>
    <t>계획중</t>
    <phoneticPr fontId="23" type="noConversion"/>
  </si>
  <si>
    <t>2020년
(1회)</t>
    <phoneticPr fontId="23" type="noConversion"/>
  </si>
  <si>
    <t>10월중
(2주간)</t>
    <phoneticPr fontId="23" type="noConversion"/>
  </si>
  <si>
    <t>빗물</t>
    <phoneticPr fontId="23" type="noConversion"/>
  </si>
  <si>
    <t>역사인물
(강감찬 장군)</t>
    <phoneticPr fontId="23" type="noConversion"/>
  </si>
  <si>
    <t>동화축제</t>
    <phoneticPr fontId="23" type="noConversion"/>
  </si>
  <si>
    <t>2018년
(3회)</t>
    <phoneticPr fontId="23" type="noConversion"/>
  </si>
  <si>
    <t>부산광역시 해운대구/부산광역시 해운대구
(051-749-4062)</t>
    <phoneticPr fontId="23" type="noConversion"/>
  </si>
  <si>
    <t>동래구</t>
    <phoneticPr fontId="23" type="noConversion"/>
  </si>
  <si>
    <t>이천시(문화예술과)
/서희문화제 추진위원회
(031-645-3657~3659)</t>
    <phoneticPr fontId="23" type="noConversion"/>
  </si>
  <si>
    <t>3~4월 중</t>
    <phoneticPr fontId="23" type="noConversion"/>
  </si>
  <si>
    <t>이천시(홍보관광담당관) 
/(사)이천나드리(031-636-2724)</t>
    <phoneticPr fontId="23" type="noConversion"/>
  </si>
  <si>
    <t>5월 중순
(3일간)</t>
    <phoneticPr fontId="23" type="noConversion"/>
  </si>
  <si>
    <t>11월 초
(3일간)</t>
    <phoneticPr fontId="23" type="noConversion"/>
  </si>
  <si>
    <t>이천시(홍보관광담당관)
/이천도자기축제추진위원회
(031-645-3092)</t>
    <phoneticPr fontId="23" type="noConversion"/>
  </si>
  <si>
    <t>4.11.~4.19.
(9일간)</t>
    <phoneticPr fontId="23" type="noConversion"/>
  </si>
  <si>
    <t>장호원복숭아축제추진위원회
/ 장호원농협,경기동부과수농협
(공동주관)
(031-643-0045)</t>
    <phoneticPr fontId="23" type="noConversion"/>
  </si>
  <si>
    <t>9월 예정
(3일간)</t>
    <phoneticPr fontId="23" type="noConversion"/>
  </si>
  <si>
    <t>○ 미정</t>
    <phoneticPr fontId="23" type="noConversion"/>
  </si>
  <si>
    <t>광주시퇴촌면
/퇴촌토마토축제위원회
(031-760-4819)</t>
    <phoneticPr fontId="23" type="noConversion"/>
  </si>
  <si>
    <t>6월 중
(2일이상)</t>
    <phoneticPr fontId="23" type="noConversion"/>
  </si>
  <si>
    <t>8월 중
(2일)</t>
    <phoneticPr fontId="23" type="noConversion"/>
  </si>
  <si>
    <t>파주시.(사)헤이리
/헤이리예술위원회
(031-946-8551)</t>
    <phoneticPr fontId="23" type="noConversion"/>
  </si>
  <si>
    <t>5월말~6월초
(2일간)</t>
    <phoneticPr fontId="23" type="noConversion"/>
  </si>
  <si>
    <t>평택시 문화예술과                       / 평택호 물빛축제추진위원회
(031-8024-3223)</t>
    <phoneticPr fontId="23" type="noConversion"/>
  </si>
  <si>
    <t>4.18.~4.26.
(9일간)</t>
    <phoneticPr fontId="23" type="noConversion"/>
  </si>
  <si>
    <t>10.9.~10.11.
(3일 간)</t>
    <phoneticPr fontId="23" type="noConversion"/>
  </si>
  <si>
    <t>화성시 농식품유통과 / 
(사)화성송산포도연합회
(축제추진위원회)
(031-5189-6790)</t>
    <phoneticPr fontId="23" type="noConversion"/>
  </si>
  <si>
    <t>화성시 / 화성시농업기술센터
(031-5189-6365)</t>
    <phoneticPr fontId="23" type="noConversion"/>
  </si>
  <si>
    <t>10월말~11월초
 (2일간)</t>
    <phoneticPr fontId="23" type="noConversion"/>
  </si>
  <si>
    <t>(재)한국만화영상진흥원
/부천국제만화축제운영위원회
(032-310-3071)</t>
    <phoneticPr fontId="23" type="noConversion"/>
  </si>
  <si>
    <t>○ 개.폐막식 공연
○ 전시, 콘텐츠페어, 컨퍼런스
○ 한국국제만화마켓 
○ 시민참여형 행사</t>
    <phoneticPr fontId="23" type="noConversion"/>
  </si>
  <si>
    <t>성남문화재단
/성남생활문화동호회축제추진위원회
(031-783-8127)</t>
    <phoneticPr fontId="23" type="noConversion"/>
  </si>
  <si>
    <t>○ ‘빛과 예술’주제의 공연, 전시, 시민참여 프로그램 등</t>
    <phoneticPr fontId="23" type="noConversion"/>
  </si>
  <si>
    <t>○ 소원트리 운영, 라디오 사연 읽어주기</t>
    <phoneticPr fontId="23" type="noConversion"/>
  </si>
  <si>
    <t>○ 할로윈 코스튬 컨테스트, 기타 거리공연</t>
    <phoneticPr fontId="23" type="noConversion"/>
  </si>
  <si>
    <t>10.30~11.1
(3일간)</t>
    <phoneticPr fontId="23" type="noConversion"/>
  </si>
  <si>
    <t>○ 국화분재 작품전시, 농산물직거래장터, 상시체험 등</t>
    <phoneticPr fontId="23" type="noConversion"/>
  </si>
  <si>
    <t>○ 나팔꽃분화전시, 체험행사 등</t>
    <phoneticPr fontId="23" type="noConversion"/>
  </si>
  <si>
    <t>4.24~4.26
(2일간)</t>
    <phoneticPr fontId="23" type="noConversion"/>
  </si>
  <si>
    <t>용인시농+F21:G21업기술센터
(031-324-4024)</t>
    <phoneticPr fontId="23" type="noConversion"/>
  </si>
  <si>
    <t>○ 겨울민속놀이체험,빙어잡기,눈썰매,얼음썰매 등</t>
    <phoneticPr fontId="23" type="noConversion"/>
  </si>
  <si>
    <t>고양시 문화예술과 문화사업팀 
/고양문화재단
(031-960-9682)</t>
    <phoneticPr fontId="23" type="noConversion"/>
  </si>
  <si>
    <t xml:space="preserve">○ 거리예술 공연 (해외팀, 공식초청 자유참가작)
○ 개폐막 공연 
○ 신한류예술단 스테이지등 시민참여 프로그램 
○ 불꽃예술쇼,미디어아트쇼등의 기획프로그램 </t>
    <phoneticPr fontId="23" type="noConversion"/>
  </si>
  <si>
    <t>고양시 문화예술과 문화사업팀 
/ 고양문화재단
(031-960-9683)</t>
    <phoneticPr fontId="23" type="noConversion"/>
  </si>
  <si>
    <t>5.15~5.17
(2일간)</t>
    <phoneticPr fontId="23" type="noConversion"/>
  </si>
  <si>
    <t>4~5월 중
(2일간)</t>
    <phoneticPr fontId="23" type="noConversion"/>
  </si>
  <si>
    <t>10.16.~10.19.
(4일간)</t>
    <phoneticPr fontId="23" type="noConversion"/>
  </si>
  <si>
    <t>백일홍</t>
    <phoneticPr fontId="23" type="noConversion"/>
  </si>
  <si>
    <t xml:space="preserve">   · 매년</t>
    <phoneticPr fontId="23" type="noConversion"/>
  </si>
  <si>
    <t>해맞이</t>
    <phoneticPr fontId="23" type="noConversion"/>
  </si>
  <si>
    <t>축제추진위원회</t>
    <phoneticPr fontId="23" type="noConversion"/>
  </si>
  <si>
    <t>주민자치위원회</t>
    <phoneticPr fontId="23" type="noConversion"/>
  </si>
  <si>
    <t>있음
(비상설)</t>
    <phoneticPr fontId="23" type="noConversion"/>
  </si>
  <si>
    <t>고추</t>
    <phoneticPr fontId="23" type="noConversion"/>
  </si>
  <si>
    <t xml:space="preserve">있음
정규직 5명
계약직 2명
총 7명  </t>
    <phoneticPr fontId="23" type="noConversion"/>
  </si>
  <si>
    <t>영동군· 영동군축제추진위원회
/ 영동축제관광재단·영동포도연합회
(043-745-8916~8)</t>
    <phoneticPr fontId="23" type="noConversion"/>
  </si>
  <si>
    <t>제52회 영동난계국악축제</t>
    <phoneticPr fontId="23" type="noConversion"/>
  </si>
  <si>
    <t>옥천군</t>
    <phoneticPr fontId="23" type="noConversion"/>
  </si>
  <si>
    <t>2002년도
(19회)</t>
    <phoneticPr fontId="23" type="noConversion"/>
  </si>
  <si>
    <t>제12회 우도소라축제</t>
    <phoneticPr fontId="23" type="noConversion"/>
  </si>
  <si>
    <t>천안시</t>
    <phoneticPr fontId="23" type="noConversion"/>
  </si>
  <si>
    <t>춤을 소재로 한 다양한 장르의 춤 공연 및 경연과 부대행사 운영</t>
    <phoneticPr fontId="23" type="noConversion"/>
  </si>
  <si>
    <t>2008년
(13회)</t>
    <phoneticPr fontId="23" type="noConversion"/>
  </si>
  <si>
    <t>부분위탁
(프로그램)</t>
    <phoneticPr fontId="23" type="noConversion"/>
  </si>
  <si>
    <t>사찰</t>
    <phoneticPr fontId="23" type="noConversion"/>
  </si>
  <si>
    <t>부</t>
    <phoneticPr fontId="23" type="noConversion"/>
  </si>
  <si>
    <t>여</t>
    <phoneticPr fontId="23" type="noConversion"/>
  </si>
  <si>
    <t>특산품</t>
    <phoneticPr fontId="23" type="noConversion"/>
  </si>
  <si>
    <t>부분위탁
(운영)</t>
    <phoneticPr fontId="23" type="noConversion"/>
  </si>
  <si>
    <t>5.2~5.5.
(4일간)</t>
    <phoneticPr fontId="23" type="noConversion"/>
  </si>
  <si>
    <t>5월 중
(2일간)</t>
    <phoneticPr fontId="23" type="noConversion"/>
  </si>
  <si>
    <t>공공(읍면동)</t>
    <phoneticPr fontId="23" type="noConversion"/>
  </si>
  <si>
    <t>영천문화예술제</t>
    <phoneticPr fontId="23" type="noConversion"/>
  </si>
  <si>
    <t>기타(관광지)</t>
    <phoneticPr fontId="23" type="noConversion"/>
  </si>
  <si>
    <t>문경약돌한우축제</t>
    <phoneticPr fontId="23" type="noConversion"/>
  </si>
  <si>
    <t>러브하트 페스티벌</t>
    <phoneticPr fontId="23" type="noConversion"/>
  </si>
  <si>
    <t>경상북도 청도군 문화관광과
/청도소싸움축제추진위원회
(054-370-6376)</t>
    <phoneticPr fontId="23" type="noConversion"/>
  </si>
  <si>
    <t>역사체험, 가야금, 황금</t>
    <phoneticPr fontId="23" type="noConversion"/>
  </si>
  <si>
    <t>수산물</t>
    <phoneticPr fontId="23" type="noConversion"/>
  </si>
  <si>
    <t>경상남도</t>
    <phoneticPr fontId="23" type="noConversion"/>
  </si>
  <si>
    <t>거리</t>
    <phoneticPr fontId="23" type="noConversion"/>
  </si>
  <si>
    <t>박물관</t>
    <phoneticPr fontId="23" type="noConversion"/>
  </si>
  <si>
    <t>10.24~10.25
(2일간)</t>
    <phoneticPr fontId="23" type="noConversion"/>
  </si>
  <si>
    <t>산청황매산철쭉제</t>
    <phoneticPr fontId="23" type="noConversion"/>
  </si>
  <si>
    <t>산청한방약초축제</t>
    <phoneticPr fontId="23" type="noConversion"/>
  </si>
  <si>
    <t>한방, 약초</t>
    <phoneticPr fontId="23" type="noConversion"/>
  </si>
  <si>
    <t>○ 군민체육대회, 아림예술제,  평생학습축제, 녹색곳간
    농산물대축제 등 대표축제 4종 개최
○ 거리퍼레이드 및 전시, 체험 프로그램 운영
○ 거창군민의날 기념식, 폐막식, 생활예술페스티벌, 
    라디오공개방송, 성인가요쇼 등 다양한 공연 유치</t>
    <phoneticPr fontId="23" type="noConversion"/>
  </si>
  <si>
    <t>전농로왕벚꽃축제</t>
    <phoneticPr fontId="23" type="noConversion"/>
  </si>
  <si>
    <t>2009년도
(11회)</t>
    <phoneticPr fontId="23" type="noConversion"/>
  </si>
  <si>
    <t>우도뿔소라</t>
    <phoneticPr fontId="23" type="noConversion"/>
  </si>
  <si>
    <t>서귀포시</t>
    <phoneticPr fontId="23" type="noConversion"/>
  </si>
  <si>
    <t>반려동물</t>
    <phoneticPr fontId="23" type="noConversion"/>
  </si>
  <si>
    <t>보목자리돔축제위원회
(064-760-4503)</t>
    <phoneticPr fontId="23" type="noConversion"/>
  </si>
  <si>
    <t>포구</t>
    <phoneticPr fontId="23" type="noConversion"/>
  </si>
  <si>
    <t>삼양해수욕장 일원</t>
    <phoneticPr fontId="23" type="noConversion"/>
  </si>
  <si>
    <t>○ 스테핑스톤 페스티벌, 국제라틴문화페스티벌, 섬머클래식 페스티벌, 한섬머워터 페스티벌</t>
    <phoneticPr fontId="23" type="noConversion"/>
  </si>
  <si>
    <t>자연과 문화</t>
    <phoneticPr fontId="23" type="noConversion"/>
  </si>
  <si>
    <t>2004년도
(18회)</t>
    <phoneticPr fontId="23" type="noConversion"/>
  </si>
  <si>
    <t>제20회 도두오래물축제</t>
    <phoneticPr fontId="23" type="noConversion"/>
  </si>
  <si>
    <t>추자도참굴비축제</t>
    <phoneticPr fontId="23" type="noConversion"/>
  </si>
  <si>
    <t>1995년도
(26회)</t>
    <phoneticPr fontId="23" type="noConversion"/>
  </si>
  <si>
    <t xml:space="preserve">
·부분위탁
 (운영,하드웨어, 
   프로그램)
</t>
    <phoneticPr fontId="23" type="noConversion"/>
  </si>
  <si>
    <t>○ 풍어제, 방어맨손잡기, 방어무료 시식회, 방어 낚시 등</t>
    <phoneticPr fontId="23" type="noConversion"/>
  </si>
  <si>
    <t>12.20~1.1.
(3일간)</t>
    <phoneticPr fontId="23" type="noConversion"/>
  </si>
  <si>
    <t>무</t>
    <phoneticPr fontId="23" type="noConversion"/>
  </si>
  <si>
    <t>동작구 체육문화과/
동작문화재단
(02-820-9657)</t>
    <phoneticPr fontId="23" type="noConversion"/>
  </si>
  <si>
    <t>1991년도
(30회)</t>
    <phoneticPr fontId="23" type="noConversion"/>
  </si>
  <si>
    <t>가을
문화 예술</t>
    <phoneticPr fontId="23" type="noConversion"/>
  </si>
  <si>
    <t>2016(5회)</t>
    <phoneticPr fontId="23" type="noConversion"/>
  </si>
  <si>
    <t>10.23~10.24
(2일간)</t>
    <phoneticPr fontId="23" type="noConversion"/>
  </si>
  <si>
    <t>서울특별시 서울대공원
(02-500-7022)</t>
    <phoneticPr fontId="23" type="noConversion"/>
  </si>
  <si>
    <t>○ 동물 작품 전시, 동물보호 캠페인 등 예술동물원</t>
    <phoneticPr fontId="23" type="noConversion"/>
  </si>
  <si>
    <t>10.9.~10.18.
(10일간)</t>
    <phoneticPr fontId="23" type="noConversion"/>
  </si>
  <si>
    <t>구로G페스티벌</t>
    <phoneticPr fontId="23" type="noConversion"/>
  </si>
  <si>
    <t>허준근린공원, 허준박물관 일대</t>
    <phoneticPr fontId="23" type="noConversion"/>
  </si>
  <si>
    <t>임의단체
(축제추진위원회)</t>
    <phoneticPr fontId="23" type="noConversion"/>
  </si>
  <si>
    <t>서울특별시 조경과
(02-2133-2112)</t>
    <phoneticPr fontId="23" type="noConversion"/>
  </si>
  <si>
    <t>서울 물순환 시민문화제</t>
    <phoneticPr fontId="23" type="noConversion"/>
  </si>
  <si>
    <t>재단법인
(문화재단)</t>
    <phoneticPr fontId="23" type="noConversion"/>
  </si>
  <si>
    <t>2020 이태원 지구촌 축제</t>
    <phoneticPr fontId="23" type="noConversion"/>
  </si>
  <si>
    <t>능동로(도로)</t>
    <phoneticPr fontId="23" type="noConversion"/>
  </si>
  <si>
    <t>동화</t>
    <phoneticPr fontId="23" type="noConversion"/>
  </si>
  <si>
    <t xml:space="preserve"> ○ 주민들과 함께하는 퍼레이드
 ○ 동화책 아트페어 및 북적북적 동화나라 전시회
 ○ 동화 미래 놀이터
 ○ 푸드트럭, 서울동화센터 전시회 및 체험부스 운영 등</t>
    <phoneticPr fontId="23" type="noConversion"/>
  </si>
  <si>
    <t>5.4~5.6.
(3일간)</t>
    <phoneticPr fontId="23" type="noConversion"/>
  </si>
  <si>
    <t>부분위탁(운영,하드웨어,프로그램))</t>
    <phoneticPr fontId="23" type="noConversion"/>
  </si>
  <si>
    <t>개최 중</t>
    <phoneticPr fontId="23" type="noConversion"/>
  </si>
  <si>
    <t>개최 예정(확정)</t>
    <phoneticPr fontId="23" type="noConversion"/>
  </si>
  <si>
    <t>2005
(16회)</t>
    <phoneticPr fontId="23" type="noConversion"/>
  </si>
  <si>
    <t>있음
정규직 3명</t>
    <phoneticPr fontId="23" type="noConversion"/>
  </si>
  <si>
    <t>위원회</t>
    <phoneticPr fontId="23" type="noConversion"/>
  </si>
  <si>
    <t>2013년
(8회)</t>
    <phoneticPr fontId="23" type="noConversion"/>
  </si>
  <si>
    <t>2014년
(7회)</t>
    <phoneticPr fontId="23" type="noConversion"/>
  </si>
  <si>
    <t>거리공연</t>
    <phoneticPr fontId="23" type="noConversion"/>
  </si>
  <si>
    <t>크리스마스</t>
    <phoneticPr fontId="23" type="noConversion"/>
  </si>
  <si>
    <t>2010년도
(11회)</t>
    <phoneticPr fontId="23" type="noConversion"/>
  </si>
  <si>
    <t>서대문독립민주축제</t>
    <phoneticPr fontId="23" type="noConversion"/>
  </si>
  <si>
    <t>㈜무언가
(330-8161)</t>
    <phoneticPr fontId="23" type="noConversion"/>
  </si>
  <si>
    <t>7.4~7.5
(2일간)</t>
    <phoneticPr fontId="23" type="noConversion"/>
  </si>
  <si>
    <t>10.16.~10.18.
(3일간)</t>
    <phoneticPr fontId="23" type="noConversion"/>
  </si>
  <si>
    <t xml:space="preserve"> ·사단법인</t>
    <phoneticPr fontId="23" type="noConversion"/>
  </si>
  <si>
    <t>노량진 학원가</t>
    <phoneticPr fontId="23" type="noConversion"/>
  </si>
  <si>
    <t>제3회 노량진의 밤 
야간난전</t>
    <phoneticPr fontId="23" type="noConversion"/>
  </si>
  <si>
    <t>동작구</t>
    <phoneticPr fontId="23" type="noConversion"/>
  </si>
  <si>
    <t>동대문문화원
(02-2241-9300)</t>
    <phoneticPr fontId="23" type="noConversion"/>
  </si>
  <si>
    <t xml:space="preserve">공원 </t>
    <phoneticPr fontId="23" type="noConversion"/>
  </si>
  <si>
    <t>있음
정규직 3명</t>
    <phoneticPr fontId="23" type="noConversion"/>
  </si>
  <si>
    <t>공공(구)</t>
    <phoneticPr fontId="23" type="noConversion"/>
  </si>
  <si>
    <t>2017년도
(3회)</t>
    <phoneticPr fontId="23" type="noConversion"/>
  </si>
  <si>
    <t>도봉구 우이천 등축제</t>
    <phoneticPr fontId="23" type="noConversion"/>
  </si>
  <si>
    <t>직영</t>
    <phoneticPr fontId="23" type="noConversion"/>
  </si>
  <si>
    <t>강동구</t>
    <phoneticPr fontId="23" type="noConversion"/>
  </si>
  <si>
    <t>중랑구 문화관광과
(02-2094-1825)</t>
    <phoneticPr fontId="23" type="noConversion"/>
  </si>
  <si>
    <t>용마폭포 문화예술축제</t>
    <phoneticPr fontId="23" type="noConversion"/>
  </si>
  <si>
    <t>○ 5.15.(금)_ 오프닝 퍼포먼스 : 동일로 163길 꽃빛거리 퍼레이드 ,
    아트그늘막 점등식, 장미축제 테마송 등
○ 5.22.(금)_ 장미의 날 : 장미퍼레이드, 장미가요제, 주민참여프로그램
○ 5.23.(토)_ 연인의 날 : 젊은층과 외국인을 위한 프로그램
                                     (로즈&amp;뮤직파티, 뮤지컬 갈라쇼, 다문화공연)
○ 5.24.(일)_ 가족의 날 : 가족 동행 프로그램 (로즈피크닉 가든콘서트, 
                                      장미꽃길걷기,장미음악회, LED 불꽃쇼 등)
○부대행사 : 중랑아티스트 공연(축제 분위기 붐업), 로즈마켓, 각종 체험부스  포토존, 뷰티존, 특별 무대 공연</t>
    <phoneticPr fontId="23" type="noConversion"/>
  </si>
  <si>
    <t>5.15.~5.31.
(17일간)</t>
    <phoneticPr fontId="23" type="noConversion"/>
  </si>
  <si>
    <t>서울장미축제</t>
    <phoneticPr fontId="23" type="noConversion"/>
  </si>
  <si>
    <t>양재천 밀미리교 및 도곡2동주민센터 근처</t>
    <phoneticPr fontId="23" type="noConversion"/>
  </si>
  <si>
    <t>강남구</t>
    <phoneticPr fontId="23" type="noConversion"/>
  </si>
  <si>
    <t>○ 강남구 전 지역에서 열흘간 강남의 대표 문화관광 자원을 집대성한 프로그램으로 개최되는 축제
(개막제, K-POP콘서트, 퍼레이드, 선정릉뮤지컬, 나도 오페라 스타,에어돔, 예술작품특별전시회, 패션쇼, 야외시네마, 해외거리예술공연 등)</t>
    <phoneticPr fontId="23" type="noConversion"/>
  </si>
  <si>
    <t>등</t>
    <phoneticPr fontId="23" type="noConversion"/>
  </si>
  <si>
    <t xml:space="preserve"> ○ 청계천에 다양한 주제 등(燈) 전시
 ○ 개회식 및 부대 행사 
 ○ 기타 체험프로그램 </t>
    <phoneticPr fontId="23" type="noConversion"/>
  </si>
  <si>
    <t>독서,도서관, 책</t>
    <phoneticPr fontId="23" type="noConversion"/>
  </si>
  <si>
    <t>2008
(13회)</t>
    <phoneticPr fontId="23" type="noConversion"/>
  </si>
  <si>
    <t xml:space="preserve"> ○ 서울지식이음포럼 
 ○ 도서관 분야 아이디어톤 대회
 ○ 독서, 도서관을 테마로한 공연, 전시, 체험 프로그램 운영</t>
    <phoneticPr fontId="23" type="noConversion"/>
  </si>
  <si>
    <t>서울지식이음축제·포럼</t>
    <phoneticPr fontId="23" type="noConversion"/>
  </si>
  <si>
    <t>5.30.~6.9.
(11일간)</t>
    <phoneticPr fontId="23" type="noConversion"/>
  </si>
  <si>
    <t>장미원축제</t>
    <phoneticPr fontId="23" type="noConversion"/>
  </si>
  <si>
    <t>○ 벚꽃 주제 공연, 전시 등 벚꽃 만개의 아름다움을 시민과 공유</t>
    <phoneticPr fontId="23" type="noConversion"/>
  </si>
  <si>
    <t>4월 중
(벚꽃개화기간)</t>
    <phoneticPr fontId="23" type="noConversion"/>
  </si>
  <si>
    <t xml:space="preserve"> ○ 개폐막 공연, 주제공연 및 문화공연
      - 아시아프렌드십, 아시아 드림콘서트</t>
    <phoneticPr fontId="23" type="noConversion"/>
  </si>
  <si>
    <t>9.25~9.27
(3일간)</t>
    <phoneticPr fontId="23" type="noConversion"/>
  </si>
  <si>
    <t>○ 사전프로그램 운영 : 유틍 및 허준 테마등 전시 및 각종 
    문화 프로그램 운영
○ 허준, 동의보감 관련 주제관 운영
○ 허준전국가요제, 허준콘서트, 지역문화공연 등 각종 
    문화공연 및 지역문화예술단체 전시 행사, 각종 양한방    
    체험 프로그램 등 운영
○ 개폐막식 공연, 주제공연 및 문화공연</t>
    <phoneticPr fontId="23" type="noConversion"/>
  </si>
  <si>
    <t>허준축제</t>
    <phoneticPr fontId="23" type="noConversion"/>
  </si>
  <si>
    <t>5.9~5.10
(2일간)</t>
    <phoneticPr fontId="23" type="noConversion"/>
  </si>
  <si>
    <t>2020서울국제정원박람회</t>
    <phoneticPr fontId="23" type="noConversion"/>
  </si>
  <si>
    <t>서울광장</t>
    <phoneticPr fontId="23" type="noConversion"/>
  </si>
  <si>
    <t>서울특별시 물순환정책과
02-2133-3764</t>
    <phoneticPr fontId="23" type="noConversion"/>
  </si>
  <si>
    <t>7.24.~7.26
(3일간)</t>
    <phoneticPr fontId="23" type="noConversion"/>
  </si>
  <si>
    <t>시 자체</t>
    <phoneticPr fontId="23" type="noConversion"/>
  </si>
  <si>
    <t xml:space="preserve"> ○ 핵심 프로그램 : 귀주대첩 전승행렬 퍼레이드
 ○ 관악구의 역사인물인 강감찬 장군과 고려사를 테마로
     공연, 전시, 체험 프로그램 운영
 ○ 개막식, 강감찬 장군 주제공연, 별빛 콘서트, 관광
     스탬프 투어, 귀주대첩 마당놀이, 추모제향 등 26개
     문화공연 프로그램
 ○ 고려 역사문화체험(활쏘기, 장군복 입어보기, 말타기,
     전통 병장기 체험, 고려 공예생활문화 체험 등)</t>
    <phoneticPr fontId="23" type="noConversion"/>
  </si>
  <si>
    <t>2020 드래곤 IT 페스티벌</t>
    <phoneticPr fontId="23" type="noConversion"/>
  </si>
  <si>
    <t>광진구</t>
    <phoneticPr fontId="23" type="noConversion"/>
  </si>
  <si>
    <t>5월 중
(3일간)</t>
    <phoneticPr fontId="23" type="noConversion"/>
  </si>
  <si>
    <t>12월 중
(2일간)</t>
    <phoneticPr fontId="23" type="noConversion"/>
  </si>
  <si>
    <t>명지시장
일원</t>
    <phoneticPr fontId="23" type="noConversion"/>
  </si>
  <si>
    <t>전어</t>
    <phoneticPr fontId="23" type="noConversion"/>
  </si>
  <si>
    <t>영도다리</t>
    <phoneticPr fontId="23" type="noConversion"/>
  </si>
  <si>
    <t>○ 개막식, 1가게1이벤트, 전시회, 심포지엄, 버스킹 등</t>
    <phoneticPr fontId="23" type="noConversion"/>
  </si>
  <si>
    <t>○ 개막식, 거리퍼레이드 등 4개마당 30여개 프로그램</t>
    <phoneticPr fontId="23" type="noConversion"/>
  </si>
  <si>
    <t>하천일원</t>
    <phoneticPr fontId="23" type="noConversion"/>
  </si>
  <si>
    <t>시장</t>
    <phoneticPr fontId="23" type="noConversion"/>
  </si>
  <si>
    <t>9~10월 중
(3일간)</t>
    <phoneticPr fontId="23" type="noConversion"/>
  </si>
  <si>
    <t>멸치</t>
    <phoneticPr fontId="23" type="noConversion"/>
  </si>
  <si>
    <t>4월 중
(3일간)</t>
    <phoneticPr fontId="23" type="noConversion"/>
  </si>
  <si>
    <t>문화재</t>
    <phoneticPr fontId="23" type="noConversion"/>
  </si>
  <si>
    <t>10.4~10.6
(3일간)</t>
    <phoneticPr fontId="23" type="noConversion"/>
  </si>
  <si>
    <t>3.28~3.29
(2일간)</t>
    <phoneticPr fontId="23" type="noConversion"/>
  </si>
  <si>
    <t>수영구</t>
    <phoneticPr fontId="23" type="noConversion"/>
  </si>
  <si>
    <t>공공(시군구),사단법인</t>
    <phoneticPr fontId="23" type="noConversion"/>
  </si>
  <si>
    <t>2020년</t>
    <phoneticPr fontId="23" type="noConversion"/>
  </si>
  <si>
    <t>11월 중
(2일간)</t>
    <phoneticPr fontId="23" type="noConversion"/>
  </si>
  <si>
    <t>2012년
(9회)</t>
    <phoneticPr fontId="23" type="noConversion"/>
  </si>
  <si>
    <t>2006년
(14회)</t>
    <phoneticPr fontId="23" type="noConversion"/>
  </si>
  <si>
    <t>문화재청</t>
    <phoneticPr fontId="23" type="noConversion"/>
  </si>
  <si>
    <t>2010년
(11회)</t>
    <phoneticPr fontId="23" type="noConversion"/>
  </si>
  <si>
    <t>5.15.~5.17.
(3일간)</t>
    <phoneticPr fontId="23" type="noConversion"/>
  </si>
  <si>
    <t>대구패션주얼리위크</t>
    <phoneticPr fontId="23" type="noConversion"/>
  </si>
  <si>
    <t>있음
정규직 4명</t>
    <phoneticPr fontId="23" type="noConversion"/>
  </si>
  <si>
    <t>부분위탁
(하드웨어)</t>
    <phoneticPr fontId="23" type="noConversion"/>
  </si>
  <si>
    <t>10월 중
(9일간)</t>
    <phoneticPr fontId="23" type="noConversion"/>
  </si>
  <si>
    <t>주안미디어문화축제</t>
    <phoneticPr fontId="23" type="noConversion"/>
  </si>
  <si>
    <t>1990
(31회)</t>
    <phoneticPr fontId="23" type="noConversion"/>
  </si>
  <si>
    <t>12월 중</t>
    <phoneticPr fontId="23" type="noConversion"/>
  </si>
  <si>
    <t>공원
(송도 센트럴파크 일대)</t>
    <phoneticPr fontId="23" type="noConversion"/>
  </si>
  <si>
    <t>○ 공원 일대 야간경관을 활용한 빛(조명)조형물 설치 및 전시 등
 - 경관조명 및 포토존, 부대행사 등</t>
    <phoneticPr fontId="23" type="noConversion"/>
  </si>
  <si>
    <t>와인</t>
    <phoneticPr fontId="23" type="noConversion"/>
  </si>
  <si>
    <t>2018년도
(2회)</t>
    <phoneticPr fontId="23" type="noConversion"/>
  </si>
  <si>
    <t>7월 중</t>
    <phoneticPr fontId="23" type="noConversion"/>
  </si>
  <si>
    <t>태화강국가정원 봄꽃축제</t>
    <phoneticPr fontId="23" type="noConversion"/>
  </si>
  <si>
    <t>6~7월중
(예정)</t>
    <phoneticPr fontId="23" type="noConversion"/>
  </si>
  <si>
    <t>울산고래축제</t>
    <phoneticPr fontId="23" type="noConversion"/>
  </si>
  <si>
    <t>세종특별자치시 관광문화재과
/(044-300-5814)</t>
    <phoneticPr fontId="23" type="noConversion"/>
  </si>
  <si>
    <t>10.9~10.18
(10일간)</t>
    <phoneticPr fontId="23" type="noConversion"/>
  </si>
  <si>
    <t>○ 주한미군 부대개방행사(험프리스)
○ 미군장비 체험
○ 대규모 K콘서트</t>
    <phoneticPr fontId="23" type="noConversion"/>
  </si>
  <si>
    <t xml:space="preserve">미정 
(2일간) </t>
    <phoneticPr fontId="23" type="noConversion"/>
  </si>
  <si>
    <t>고성군</t>
    <phoneticPr fontId="23" type="noConversion"/>
  </si>
  <si>
    <t>○전국아리랑경창대회
○아리랑을 테마로한 공연,전시, 체험프로그램 운영
○개폐막 공연</t>
    <phoneticPr fontId="23" type="noConversion"/>
  </si>
  <si>
    <t>9월초~9월 중순
(10일간)</t>
    <phoneticPr fontId="23" type="noConversion"/>
  </si>
  <si>
    <t xml:space="preserve">공원
</t>
    <phoneticPr fontId="23" type="noConversion"/>
  </si>
  <si>
    <t>냉천수</t>
    <phoneticPr fontId="23" type="noConversion"/>
  </si>
  <si>
    <t>2013년도
(9회)</t>
    <phoneticPr fontId="23" type="noConversion"/>
  </si>
  <si>
    <t>눈조각</t>
    <phoneticPr fontId="23" type="noConversion"/>
  </si>
  <si>
    <t>평창송어축제위원회
(033-336-4000)</t>
    <phoneticPr fontId="23" type="noConversion"/>
  </si>
  <si>
    <t>○ 송어 얼음낚시 및 맨손잡기
○ 겨울형 체험프로그램 운영
   - 눈썰매, 전통썰매, 스노우래프팅, 얼음카트 등
○ 축제장 내 먹거리촌 조성(송어 회센터 등)</t>
    <phoneticPr fontId="23" type="noConversion"/>
  </si>
  <si>
    <t>평창송어축제</t>
    <phoneticPr fontId="23" type="noConversion"/>
  </si>
  <si>
    <t xml:space="preserve"> ○ 김삿갓 문학상 시상
 ○ 김삿갓을 테마로한 영상공모전 등 10여개 이상
     프로그램 운영
 ○ 김삿갓을 주제로한 거리 체험행사 및 전시 등</t>
    <phoneticPr fontId="23" type="noConversion"/>
  </si>
  <si>
    <t>하천, 광장</t>
    <phoneticPr fontId="23" type="noConversion"/>
  </si>
  <si>
    <t>4.24~4.26.
(3일간)</t>
    <phoneticPr fontId="23" type="noConversion"/>
  </si>
  <si>
    <t>2004년도
(16회)</t>
    <phoneticPr fontId="23" type="noConversion"/>
  </si>
  <si>
    <t>8월 중
(3일간)</t>
    <phoneticPr fontId="23" type="noConversion"/>
  </si>
  <si>
    <t>7~8월 중</t>
    <phoneticPr fontId="23" type="noConversion"/>
  </si>
  <si>
    <t>봉정연꽃마을 축제추진위원회    (033-521-8559)</t>
    <phoneticPr fontId="23" type="noConversion"/>
  </si>
  <si>
    <t>8월 중</t>
    <phoneticPr fontId="23" type="noConversion"/>
  </si>
  <si>
    <t>연극</t>
    <phoneticPr fontId="23" type="noConversion"/>
  </si>
  <si>
    <t>정규직 5명</t>
    <phoneticPr fontId="23" type="noConversion"/>
  </si>
  <si>
    <t>고양시 농업정책과
/(재)고양국제꽃박람회
(031-908-7750)</t>
    <phoneticPr fontId="23" type="noConversion"/>
  </si>
  <si>
    <t>마늘</t>
    <phoneticPr fontId="23" type="noConversion"/>
  </si>
  <si>
    <t>2000년도
(20회)</t>
    <phoneticPr fontId="23" type="noConversion"/>
  </si>
  <si>
    <t>있음
정규직 1명</t>
    <phoneticPr fontId="23" type="noConversion"/>
  </si>
  <si>
    <t>곶감</t>
    <phoneticPr fontId="23" type="noConversion"/>
  </si>
  <si>
    <t>영동군</t>
    <phoneticPr fontId="23" type="noConversion"/>
  </si>
  <si>
    <t>국악</t>
    <phoneticPr fontId="23" type="noConversion"/>
  </si>
  <si>
    <t>1965년도
(53회)</t>
    <phoneticPr fontId="23" type="noConversion"/>
  </si>
  <si>
    <t>1976년
(45회)</t>
    <phoneticPr fontId="23" type="noConversion"/>
  </si>
  <si>
    <t>제45회 중봉충렬제</t>
    <phoneticPr fontId="23" type="noConversion"/>
  </si>
  <si>
    <t>포도, 복숭아</t>
    <phoneticPr fontId="23" type="noConversion"/>
  </si>
  <si>
    <t>옥천군 농업기술센터
친환경농축산과
(043-730-3265)</t>
    <phoneticPr fontId="23" type="noConversion"/>
  </si>
  <si>
    <t>5.14.~5.17.
(4일간)</t>
    <phoneticPr fontId="23" type="noConversion"/>
  </si>
  <si>
    <t>제33회 지용제</t>
    <phoneticPr fontId="23" type="noConversion"/>
  </si>
  <si>
    <t>1.11~1.27
(16일간)</t>
    <phoneticPr fontId="23" type="noConversion"/>
  </si>
  <si>
    <t>세계무술공원</t>
    <phoneticPr fontId="23" type="noConversion"/>
  </si>
  <si>
    <t>충주시</t>
    <phoneticPr fontId="23" type="noConversion"/>
  </si>
  <si>
    <t xml:space="preserve">○ 명현추모제
○ 충주향토가요제
○ 개폐막행사 및 축하공연
○ 분야별 문화예술행사(전시, 공연 등)
○ 가요제 및 경연대회 다수
○ 길놀이 퍼레이드 및 가야금 퍼포먼스 등 </t>
    <phoneticPr fontId="23" type="noConversion"/>
  </si>
  <si>
    <t>벚꽃, 충주호</t>
    <phoneticPr fontId="23" type="noConversion"/>
  </si>
  <si>
    <t>○ 레인보우페스티벌, 빛페스티벌
○ 대형워터슬라이드, 물이벤트(물총,물대포,물싸움 등)
○ 무동력 수상놀이 등</t>
    <phoneticPr fontId="23" type="noConversion"/>
  </si>
  <si>
    <t>충주호수축제</t>
    <phoneticPr fontId="23" type="noConversion"/>
  </si>
  <si>
    <t>청주시</t>
    <phoneticPr fontId="23" type="noConversion"/>
  </si>
  <si>
    <t>5. 2.~5.5.
(4일간)</t>
    <phoneticPr fontId="23" type="noConversion"/>
  </si>
  <si>
    <t>청주문화재야행</t>
    <phoneticPr fontId="23" type="noConversion"/>
  </si>
  <si>
    <t>5.22.~5.24.
(3일간)</t>
    <phoneticPr fontId="23" type="noConversion"/>
  </si>
  <si>
    <t>청주시 관광정책과/청주문화원
(043-201-2092)</t>
    <phoneticPr fontId="23" type="noConversion"/>
  </si>
  <si>
    <t>○ 어가행차 재현</t>
    <phoneticPr fontId="23" type="noConversion"/>
  </si>
  <si>
    <t>제14회 세종대왕과 초정약수축제</t>
    <phoneticPr fontId="23" type="noConversion"/>
  </si>
  <si>
    <t>태안군 몽산포항 주꾸미&amp;수산물 축제</t>
    <phoneticPr fontId="23" type="noConversion"/>
  </si>
  <si>
    <t>2018년
(2회)</t>
    <phoneticPr fontId="23" type="noConversion"/>
  </si>
  <si>
    <t>홍성군</t>
    <phoneticPr fontId="23" type="noConversion"/>
  </si>
  <si>
    <t>2002년도
(17회)</t>
    <phoneticPr fontId="23" type="noConversion"/>
  </si>
  <si>
    <t>밤,  참게</t>
    <phoneticPr fontId="23" type="noConversion"/>
  </si>
  <si>
    <t>전통문화</t>
    <phoneticPr fontId="23" type="noConversion"/>
  </si>
  <si>
    <t>1955년도
(66회)</t>
    <phoneticPr fontId="23" type="noConversion"/>
  </si>
  <si>
    <t>부여군</t>
    <phoneticPr fontId="23" type="noConversion"/>
  </si>
  <si>
    <t>1996년도
(23회)</t>
    <phoneticPr fontId="23" type="noConversion"/>
  </si>
  <si>
    <t>1962년도
(59회)</t>
    <phoneticPr fontId="23" type="noConversion"/>
  </si>
  <si>
    <t>보령시 수산과/사)한국수산업경영인보령시연합회
(041-933-6535)</t>
    <phoneticPr fontId="23" type="noConversion"/>
  </si>
  <si>
    <t>구절초</t>
    <phoneticPr fontId="23" type="noConversion"/>
  </si>
  <si>
    <t>○ 비행기탑승체험, 물로켓 제작등</t>
    <phoneticPr fontId="23" type="noConversion"/>
  </si>
  <si>
    <t>황매화꽃</t>
    <phoneticPr fontId="23" type="noConversion"/>
  </si>
  <si>
    <t>신록</t>
    <phoneticPr fontId="23" type="noConversion"/>
  </si>
  <si>
    <t>2008년도
(11회)</t>
    <phoneticPr fontId="23" type="noConversion"/>
  </si>
  <si>
    <t>입장거봉포도추진위원회              (041-521-6847)</t>
    <phoneticPr fontId="23" type="noConversion"/>
  </si>
  <si>
    <t>6월 중
(3일간)</t>
    <phoneticPr fontId="23" type="noConversion"/>
  </si>
  <si>
    <t>있음
정규직 2명</t>
    <phoneticPr fontId="23" type="noConversion"/>
  </si>
  <si>
    <t>마을단체</t>
    <phoneticPr fontId="23" type="noConversion"/>
  </si>
  <si>
    <t>10.8~10.11.
(4일간)</t>
    <phoneticPr fontId="23" type="noConversion"/>
  </si>
  <si>
    <t>10.30~11.1.
(3일간)</t>
    <phoneticPr fontId="23" type="noConversion"/>
  </si>
  <si>
    <t>3.14~3.15.
(2일간)</t>
    <phoneticPr fontId="23" type="noConversion"/>
  </si>
  <si>
    <t>10.9~10.11.
(3일간)</t>
    <phoneticPr fontId="23" type="noConversion"/>
  </si>
  <si>
    <t>10.7~10.11.
(5일간)</t>
    <phoneticPr fontId="23" type="noConversion"/>
  </si>
  <si>
    <t>5.3~5.5.
(3일간)</t>
    <phoneticPr fontId="23" type="noConversion"/>
  </si>
  <si>
    <t>4.25~4.26.
(2일간)</t>
    <phoneticPr fontId="23" type="noConversion"/>
  </si>
  <si>
    <t>4.3~4.5.
(3일간)</t>
    <phoneticPr fontId="23" type="noConversion"/>
  </si>
  <si>
    <t xml:space="preserve"> 장성군 미래디자인담당관
/장성군축제위원회
(061-390-7382)</t>
    <phoneticPr fontId="23" type="noConversion"/>
  </si>
  <si>
    <t>5.1~5.3.
(3일간)</t>
    <phoneticPr fontId="23" type="noConversion"/>
  </si>
  <si>
    <t>굴비</t>
    <phoneticPr fontId="23" type="noConversion"/>
  </si>
  <si>
    <t>4.17~4.19.
(3일간)</t>
    <phoneticPr fontId="23" type="noConversion"/>
  </si>
  <si>
    <t>○ 꽃무릇큰잔치 기념 특별공연, 면민화합 한마당행사
○ 축하쇼, 관광객 참여 장기자랑 및 노래자랑
○ 농특산품 전시 및 판매 등</t>
    <phoneticPr fontId="23" type="noConversion"/>
  </si>
  <si>
    <t>9.19~9.20.
(2일간)</t>
    <phoneticPr fontId="23" type="noConversion"/>
  </si>
  <si>
    <t>7월 중
(4일간)</t>
    <phoneticPr fontId="23" type="noConversion"/>
  </si>
  <si>
    <t>4.2~4.5.
(4일간)</t>
    <phoneticPr fontId="23" type="noConversion"/>
  </si>
  <si>
    <t>해변</t>
    <phoneticPr fontId="23" type="noConversion"/>
  </si>
  <si>
    <t>매화</t>
    <phoneticPr fontId="23" type="noConversion"/>
  </si>
  <si>
    <t>제8회 땅끝매화축제</t>
    <phoneticPr fontId="23" type="noConversion"/>
  </si>
  <si>
    <t>이순신</t>
    <phoneticPr fontId="23" type="noConversion"/>
  </si>
  <si>
    <t>물</t>
    <phoneticPr fontId="23" type="noConversion"/>
  </si>
  <si>
    <t>7.25~8.2.
(9일간)</t>
    <phoneticPr fontId="23" type="noConversion"/>
  </si>
  <si>
    <t>12.31~1.1.
(2일간)</t>
    <phoneticPr fontId="23" type="noConversion"/>
  </si>
  <si>
    <t>과역면 인학마을
대화농장일원</t>
    <phoneticPr fontId="23" type="noConversion"/>
  </si>
  <si>
    <r>
      <t>○ 핵심 프로그램 : 굴 깜짝 경매
○ 굴무게맞추기, 굴구워먹기, 굴찜, 굴라면 즐기기체험
○</t>
    </r>
    <r>
      <rPr>
        <sz val="10"/>
        <rFont val="HY중고딕"/>
        <family val="1"/>
        <charset val="129"/>
      </rPr>
      <t xml:space="preserve"> 고흥 농수특산품 전시 판매, 여수 mbc 초대가수 축하공연</t>
    </r>
    <phoneticPr fontId="23" type="noConversion"/>
  </si>
  <si>
    <t>구례군</t>
    <phoneticPr fontId="23" type="noConversion"/>
  </si>
  <si>
    <t>동편소리</t>
    <phoneticPr fontId="23" type="noConversion"/>
  </si>
  <si>
    <t>9월 중
(7일간)</t>
    <phoneticPr fontId="23" type="noConversion"/>
  </si>
  <si>
    <t>코스모스</t>
    <phoneticPr fontId="23" type="noConversion"/>
  </si>
  <si>
    <t>9.25~9.27.
(3일간)</t>
    <phoneticPr fontId="23" type="noConversion"/>
  </si>
  <si>
    <t>1993년도
(27회)</t>
    <phoneticPr fontId="23" type="noConversion"/>
  </si>
  <si>
    <t>바다(저동항 외)</t>
    <phoneticPr fontId="23" type="noConversion"/>
  </si>
  <si>
    <t>오징어, 바다</t>
    <phoneticPr fontId="23" type="noConversion"/>
  </si>
  <si>
    <t>울릉군 문화관광체육과
/울릉군 축제위원회
(054-790-6426)</t>
    <phoneticPr fontId="23" type="noConversion"/>
  </si>
  <si>
    <t>○ 오징어 맨손잡기 및 오징어3종경기
○ 오징어요리 경연대회
○ 오징어먹물총 게임
○ 오징어카페테리아
○ 오징어주제 전시관
○ 모형배조립, 셀카콘테스트, 슬로푸드 체험
○ 해변몽돌쌓기 및 바다미꾸라지잡기 대회
○ 전통 뗏목 경주
 ○해담길 걷기
 ○오징어콘서트&amp;불꽃놀이, 피맥파티(EDM), 버스킹공연</t>
    <phoneticPr fontId="23" type="noConversion"/>
  </si>
  <si>
    <t>5~10월 중</t>
    <phoneticPr fontId="23" type="noConversion"/>
  </si>
  <si>
    <t>울릉도 오징어축제</t>
    <phoneticPr fontId="23" type="noConversion"/>
  </si>
  <si>
    <t>울릉군</t>
    <phoneticPr fontId="23" type="noConversion"/>
  </si>
  <si>
    <t>정규직 3명
총 3명</t>
    <phoneticPr fontId="23" type="noConversion"/>
  </si>
  <si>
    <t>2020년도
(2회)</t>
    <phoneticPr fontId="23" type="noConversion"/>
  </si>
  <si>
    <t>울진군 해양수산과/울진군축제발전위원회
(054-789-6851)</t>
    <phoneticPr fontId="23" type="noConversion"/>
  </si>
  <si>
    <t xml:space="preserve">○ 수산물 경매, 죽변수산물 유튜버 방송
○ 오징어집어등 밝히기, 버스킹 공연 등 </t>
    <phoneticPr fontId="23" type="noConversion"/>
  </si>
  <si>
    <t>12.11~12.13.
(3일간)</t>
    <phoneticPr fontId="23" type="noConversion"/>
  </si>
  <si>
    <t>죽변항 수산물 축제</t>
    <phoneticPr fontId="23" type="noConversion"/>
  </si>
  <si>
    <t>울진군</t>
    <phoneticPr fontId="23" type="noConversion"/>
  </si>
  <si>
    <t>울진 엑스포공원
일원</t>
    <phoneticPr fontId="23" type="noConversion"/>
  </si>
  <si>
    <t>송이</t>
    <phoneticPr fontId="23" type="noConversion"/>
  </si>
  <si>
    <t>2000년도
(16회)</t>
    <phoneticPr fontId="23" type="noConversion"/>
  </si>
  <si>
    <t>울진군 산림녹지과/울진군축제발전위원회
(054-789-6820)</t>
    <phoneticPr fontId="23" type="noConversion"/>
  </si>
  <si>
    <t>○ 송이직판장, 울진금강송송이와 한우의 만남
○ 송이품평회, 송이버섯전시, 송이채취체험
○ 금강송군락지탐방, 송이경매, 울진금강송문화축전</t>
    <phoneticPr fontId="23" type="noConversion"/>
  </si>
  <si>
    <t>울진금강송송이축제</t>
    <phoneticPr fontId="23" type="noConversion"/>
  </si>
  <si>
    <t>대게</t>
    <phoneticPr fontId="23" type="noConversion"/>
  </si>
  <si>
    <t>○ 월송큰줄당기기, 대게경매, 바다의 보물을 잡아라 
○ 대게 무료시식행사 등</t>
    <phoneticPr fontId="23" type="noConversion"/>
  </si>
  <si>
    <t>2.27~3.1.
(4일간)</t>
    <phoneticPr fontId="23" type="noConversion"/>
  </si>
  <si>
    <t>2020년
울진대게와붉은대게축제</t>
    <phoneticPr fontId="23" type="noConversion"/>
  </si>
  <si>
    <t>봉화군 문화관광체육과 /
봉화축제관광재단
(054-679-6342)</t>
    <phoneticPr fontId="23" type="noConversion"/>
  </si>
  <si>
    <t>○ 송이채취 체험
○ 송이를 테마로 한 공연, 전시, 체험프로그램 운영
○ 개폐막 공연, 주제공연 및 문화공연
   - 5개 분야 30여개 프로그램</t>
    <phoneticPr fontId="23" type="noConversion"/>
  </si>
  <si>
    <t>제24회 봉화송이축제</t>
    <phoneticPr fontId="23" type="noConversion"/>
  </si>
  <si>
    <t>봉화군</t>
    <phoneticPr fontId="23" type="noConversion"/>
  </si>
  <si>
    <t>은어</t>
    <phoneticPr fontId="23" type="noConversion"/>
  </si>
  <si>
    <t>○ 은어반두잡이 체험
○ 은어를 테마로 한 공연, 전시, 체험프로그램 운영
○ 개폐막 공연, 주제공연 및 문화공연
   - 5개 분야 40여개 프로그램</t>
    <phoneticPr fontId="23" type="noConversion"/>
  </si>
  <si>
    <t>제22회 봉화은어축제</t>
    <phoneticPr fontId="23" type="noConversion"/>
  </si>
  <si>
    <t>용궁면 일원</t>
    <phoneticPr fontId="23" type="noConversion"/>
  </si>
  <si>
    <t>지역농특산물(순대 등)</t>
    <phoneticPr fontId="23" type="noConversion"/>
  </si>
  <si>
    <t>2002년도
(9회)</t>
    <phoneticPr fontId="23" type="noConversion"/>
  </si>
  <si>
    <t>예천군 농정과 
/ 예천용궁순대축제추진위원회
(054-650-6271)</t>
    <phoneticPr fontId="23" type="noConversion"/>
  </si>
  <si>
    <t>○ 농특산물 판매 및 홍보
○ 개장식 및 체험행사 등
    - 3개분야  10여개 프로그램</t>
    <phoneticPr fontId="23" type="noConversion"/>
  </si>
  <si>
    <t>제9회예천용궁순대축제</t>
    <phoneticPr fontId="23" type="noConversion"/>
  </si>
  <si>
    <t>예천군</t>
    <phoneticPr fontId="23" type="noConversion"/>
  </si>
  <si>
    <t xml:space="preserve">삼강주막 및
삼강문화단지 일원 </t>
    <phoneticPr fontId="23" type="noConversion"/>
  </si>
  <si>
    <t>막걸리, 주막, 전통놀이</t>
    <phoneticPr fontId="23" type="noConversion"/>
  </si>
  <si>
    <t>예천군 문화관광과
(054-650-6902)</t>
    <phoneticPr fontId="23" type="noConversion"/>
  </si>
  <si>
    <t>○ 막걸리 및 전통음식 전시, 판매
○ 무대 공연 및 레크리에이션 등</t>
    <phoneticPr fontId="23" type="noConversion"/>
  </si>
  <si>
    <t>10.1~10.3.
(3일간)</t>
    <phoneticPr fontId="23" type="noConversion"/>
  </si>
  <si>
    <t>2020 삼강주막 나루터축제</t>
    <phoneticPr fontId="23" type="noConversion"/>
  </si>
  <si>
    <t>예천군 호명면
경북도청 신도시 
일원</t>
    <phoneticPr fontId="23" type="noConversion"/>
  </si>
  <si>
    <t>공모</t>
    <phoneticPr fontId="23" type="noConversion"/>
  </si>
  <si>
    <t>있음
(사업자 선정후  조직)</t>
    <phoneticPr fontId="23" type="noConversion"/>
  </si>
  <si>
    <t>스마트폰 영화</t>
    <phoneticPr fontId="23" type="noConversion"/>
  </si>
  <si>
    <t>예천군 / 공모사업
(054-650-6396)</t>
    <phoneticPr fontId="23" type="noConversion"/>
  </si>
  <si>
    <t>○ 개막식(수상작 상영)
○ 시상식 및 축하공연</t>
    <phoneticPr fontId="23" type="noConversion"/>
  </si>
  <si>
    <t>제2회
예천국제스마트폰영화제</t>
    <phoneticPr fontId="23" type="noConversion"/>
  </si>
  <si>
    <t>지역농특산물(사과, 배, 인삼, 참외 등)</t>
    <phoneticPr fontId="23" type="noConversion"/>
  </si>
  <si>
    <t>○ 읍면 농특산물 판매 및 홍보
○ 개장식 및 시상식등 
    - 6개분야  17여개 프로그램</t>
    <phoneticPr fontId="23" type="noConversion"/>
  </si>
  <si>
    <t>예천장터농산물대축제</t>
    <phoneticPr fontId="23" type="noConversion"/>
  </si>
  <si>
    <t>예천곤충생태원 및 예천읍 시가지 일원</t>
    <phoneticPr fontId="23" type="noConversion"/>
  </si>
  <si>
    <t>4년</t>
    <phoneticPr fontId="23" type="noConversion"/>
  </si>
  <si>
    <t>곤충</t>
    <phoneticPr fontId="23" type="noConversion"/>
  </si>
  <si>
    <t>2007년도
(4회)</t>
    <phoneticPr fontId="23" type="noConversion"/>
  </si>
  <si>
    <t>예천군 문화관광과
/(재)예천문화관광재단
(054-650-6031)</t>
    <phoneticPr fontId="23" type="noConversion"/>
  </si>
  <si>
    <t>○ 공식행사 : 개장식, 개막식, 폐막식 등
○ 전 시 관 : 주제관, 세계희귀곤충관, 곤충산업관, 곤충치유관 등
○ 이 벤 트 : 미디어파사드, 불꽃쇼, 각종 공연 등
○ 유치행사 : 곤충학술심포지엄, 곤충식품페스티벌 등</t>
    <phoneticPr fontId="23" type="noConversion"/>
  </si>
  <si>
    <t>5.1~5.17.
(17일간)</t>
    <phoneticPr fontId="23" type="noConversion"/>
  </si>
  <si>
    <t>2020 예천세계곤충엑스포</t>
    <phoneticPr fontId="23" type="noConversion"/>
  </si>
  <si>
    <t>인문학마을일원</t>
    <phoneticPr fontId="23" type="noConversion"/>
  </si>
  <si>
    <t>인문학마을
협의회
(지역민 모임)</t>
    <phoneticPr fontId="23" type="noConversion"/>
  </si>
  <si>
    <t>인문학마을
콘텐츠</t>
    <phoneticPr fontId="23" type="noConversion"/>
  </si>
  <si>
    <t>2013년도</t>
    <phoneticPr fontId="23" type="noConversion"/>
  </si>
  <si>
    <t>칠곡군/
인문학마을협의회
(054-979-5115)</t>
    <phoneticPr fontId="23" type="noConversion"/>
  </si>
  <si>
    <t>○ 인문학마을연합축제 (28개마을)
   - 인문학콘텐츠 체험, 전시, 주민공연 등
○ 인문학마을단위 축제 (3개소)
   - 금남리 강바람축제
   - 학상리 학수고대축제
   - 영오리 영오천왕제</t>
    <phoneticPr fontId="23" type="noConversion"/>
  </si>
  <si>
    <t>9~10월 중</t>
    <phoneticPr fontId="23" type="noConversion"/>
  </si>
  <si>
    <t>인문학마을 축제</t>
    <phoneticPr fontId="23" type="noConversion"/>
  </si>
  <si>
    <t>칠곡군</t>
    <phoneticPr fontId="23" type="noConversion"/>
  </si>
  <si>
    <t>신동재 
아카시아꽃군락지</t>
    <phoneticPr fontId="23" type="noConversion"/>
  </si>
  <si>
    <t>축제추지위원회
(지역민 모임)</t>
    <phoneticPr fontId="23" type="noConversion"/>
  </si>
  <si>
    <t>아카시아꽃</t>
    <phoneticPr fontId="23" type="noConversion"/>
  </si>
  <si>
    <t>1999년도</t>
    <phoneticPr fontId="23" type="noConversion"/>
  </si>
  <si>
    <t>칠곡군/
아카시아꽃축제 추진위원회
(054-979-5354)</t>
    <phoneticPr fontId="23" type="noConversion"/>
  </si>
  <si>
    <t>○ 각종 이벤트공연, 체험행사
○ 주민장기자랑 및 윙윙가요제
○ 농산물직거래장터
○ 야생화전시 판매 등</t>
    <phoneticPr fontId="23" type="noConversion"/>
  </si>
  <si>
    <t>5월 중
(2일)</t>
    <phoneticPr fontId="23" type="noConversion"/>
  </si>
  <si>
    <t>아카시아꽃축제</t>
    <phoneticPr fontId="23" type="noConversion"/>
  </si>
  <si>
    <t>인형음악극</t>
    <phoneticPr fontId="23" type="noConversion"/>
  </si>
  <si>
    <t>칠곡군/칠곡문화원
(054-974-0450)</t>
    <phoneticPr fontId="23" type="noConversion"/>
  </si>
  <si>
    <t>칠곡인형음악극</t>
    <phoneticPr fontId="23" type="noConversion"/>
  </si>
  <si>
    <t>호국과 평화
(6.25전쟁 
다부동전투)</t>
    <phoneticPr fontId="23" type="noConversion"/>
  </si>
  <si>
    <t>칠곡군/
낙동강세계평화 문화 대축전 추진위원회
(054-979-6100)</t>
    <phoneticPr fontId="23" type="noConversion"/>
  </si>
  <si>
    <t>○ 호국과 평화를 주제로 대규모 무기전시
○ 4,000㎡ 대규모 낙동강 방어선 체험 프로그램
    (55일간의 전투) 
○ 개막식 포함 다양한 문화 행사 등
○ 인문학 체험관 등 특화 및 이벤트 프로그램 및 
     기타 행사 등</t>
    <phoneticPr fontId="23" type="noConversion"/>
  </si>
  <si>
    <t>낙동강세계평화 문화
대축전</t>
    <phoneticPr fontId="23" type="noConversion"/>
  </si>
  <si>
    <t>친환경 농산물</t>
    <phoneticPr fontId="23" type="noConversion"/>
  </si>
  <si>
    <t>2014년도
(6회)</t>
    <phoneticPr fontId="23" type="noConversion"/>
  </si>
  <si>
    <t>○ 핵심프로그램 : 메뚜기잡이
○ 지역의 우수한 친환경농사물에 대한 영농체험문화 기회를 제공
○ 개막식
○ 기타 특별행사
  - 어울림노래자랑
  - 고마땅콩캐기, 메기잡이, 사과낚시
  - 지역농특산품 전시 및 판매
  - 메뚜기튀김, 떡메치기 인절미, 군고구마, 메뚜기빵 등</t>
    <phoneticPr fontId="23" type="noConversion"/>
  </si>
  <si>
    <t>10.17~10.18.
(2일간)</t>
    <phoneticPr fontId="23" type="noConversion"/>
  </si>
  <si>
    <t>2020 성주가야산황금들녘 
메뚜기잡이 체험축제</t>
    <phoneticPr fontId="23" type="noConversion"/>
  </si>
  <si>
    <t>성주군</t>
    <phoneticPr fontId="23" type="noConversion"/>
  </si>
  <si>
    <t>생명문화 
성주참외</t>
    <phoneticPr fontId="23" type="noConversion"/>
  </si>
  <si>
    <t>성주군축제추진위원회
(054-930-6763)</t>
    <phoneticPr fontId="23" type="noConversion"/>
  </si>
  <si>
    <t>○ 핵심프로그램 : 세종대왕자태실태봉안재현행사
○ 생명문화와 참외를 주제로 한 공연, 전시, 체험프로그램 운영
○ 개폐막식
○ 기타 특별행사
  - 생명선포식
  - 참외진상창작극
  - 태교음악회
  - 세계장태문화와의 만남
  - 참외가요제
  - 별뫼줄다리기, 베이비올림픽
  - 기타 생명문화, 참외관련 체험 등</t>
    <phoneticPr fontId="23" type="noConversion"/>
  </si>
  <si>
    <t>5.14~5.17.
(4일간)</t>
    <phoneticPr fontId="23" type="noConversion"/>
  </si>
  <si>
    <t>2020성주생명축제
제7회성주참외페스티벌</t>
    <phoneticPr fontId="23" type="noConversion"/>
  </si>
  <si>
    <t xml:space="preserve">대가야역사테마관광지 및 대가야읍 일원 </t>
    <phoneticPr fontId="23" type="noConversion"/>
  </si>
  <si>
    <t>13명</t>
    <phoneticPr fontId="23" type="noConversion"/>
  </si>
  <si>
    <t>경상북도 고령군/ 사)고령군관광협의회
(054-950-6652/6424)</t>
    <phoneticPr fontId="23" type="noConversion"/>
  </si>
  <si>
    <t xml:space="preserve">○ 황금의 빛을 밝혀라 
○ 사금채취체험 </t>
    <phoneticPr fontId="23" type="noConversion"/>
  </si>
  <si>
    <t>대가야체험축제</t>
    <phoneticPr fontId="23" type="noConversion"/>
  </si>
  <si>
    <t>고령군</t>
    <phoneticPr fontId="23" type="noConversion"/>
  </si>
  <si>
    <t>청도야외공연장일원</t>
    <phoneticPr fontId="23" type="noConversion"/>
  </si>
  <si>
    <t xml:space="preserve"> ·공공(청도군)</t>
    <phoneticPr fontId="23" type="noConversion"/>
  </si>
  <si>
    <t>코미디</t>
    <phoneticPr fontId="23" type="noConversion"/>
  </si>
  <si>
    <t>청도군/청도군
(054-370-6376)</t>
    <phoneticPr fontId="23" type="noConversion"/>
  </si>
  <si>
    <t>○ 코미디공연, 코미디 체험&amp;전시
○ 개막식공연, 코미디언 및 서커스 교육</t>
    <phoneticPr fontId="23" type="noConversion"/>
  </si>
  <si>
    <t>청도세계코미디아트
페스티벌</t>
    <phoneticPr fontId="23" type="noConversion"/>
  </si>
  <si>
    <t>청도군</t>
    <phoneticPr fontId="23" type="noConversion"/>
  </si>
  <si>
    <t>반시(홍시)</t>
    <phoneticPr fontId="23" type="noConversion"/>
  </si>
  <si>
    <t>2006
(14회)</t>
    <phoneticPr fontId="23" type="noConversion"/>
  </si>
  <si>
    <t>경상북도 청도군 문화관광과
/청도반시축제추진위원회
(054-370-6376)</t>
    <phoneticPr fontId="23" type="noConversion"/>
  </si>
  <si>
    <t>○ 반시마켓운영, 반시플레이존, 우수농특산물전시
○ 반시관련 전시, 체험프로그램 운영, 지역예술인 공연
○ 폐막식공연, 초청공연</t>
    <phoneticPr fontId="23" type="noConversion"/>
  </si>
  <si>
    <t>10.16~10.18.
(3일간)</t>
    <phoneticPr fontId="23" type="noConversion"/>
  </si>
  <si>
    <t>청도반시축제</t>
    <phoneticPr fontId="23" type="noConversion"/>
  </si>
  <si>
    <t>청도소싸움경기장</t>
    <phoneticPr fontId="23" type="noConversion"/>
  </si>
  <si>
    <t>소</t>
    <phoneticPr fontId="23" type="noConversion"/>
  </si>
  <si>
    <t>1999
(20회)</t>
    <phoneticPr fontId="23" type="noConversion"/>
  </si>
  <si>
    <t>○ 전국민속소싸움대회
○ 소싸움관련 공연, 전시, 체험프로그램 운영
○ 개폐막식, 초청공연</t>
    <phoneticPr fontId="23" type="noConversion"/>
  </si>
  <si>
    <t>6~7월 중</t>
    <phoneticPr fontId="23" type="noConversion"/>
  </si>
  <si>
    <t>청도소싸움축제</t>
    <phoneticPr fontId="23" type="noConversion"/>
  </si>
  <si>
    <t>영덕군청 문화관광과
/영덕군관광진흥협의회
(054-730-6393)</t>
    <phoneticPr fontId="23" type="noConversion"/>
  </si>
  <si>
    <t>○ 제야의 종 타종, 해맞이 행사
○ 송년음악회, 도민화합 이벤트 외</t>
    <phoneticPr fontId="23" type="noConversion"/>
  </si>
  <si>
    <t>경북대종타종식 및
영덕해맞이축제</t>
    <phoneticPr fontId="23" type="noConversion"/>
  </si>
  <si>
    <t>영덕군</t>
    <phoneticPr fontId="23" type="noConversion"/>
  </si>
  <si>
    <t>영덕군 해양수산과
/영덕황금은어축제추진위원회
(054-730-6586)</t>
    <phoneticPr fontId="23" type="noConversion"/>
  </si>
  <si>
    <t>○ 황금은어반두잡이체험
○ 어린이맨손잡기체험</t>
    <phoneticPr fontId="23" type="noConversion"/>
  </si>
  <si>
    <t>영덕황금은어축제</t>
    <phoneticPr fontId="23" type="noConversion"/>
  </si>
  <si>
    <t>해안가</t>
    <phoneticPr fontId="23" type="noConversion"/>
  </si>
  <si>
    <t>물가자미</t>
    <phoneticPr fontId="23" type="noConversion"/>
  </si>
  <si>
    <t>영덕군 새마을경제과 /
물가자미축제추진위원회
(054-730-6233)</t>
    <phoneticPr fontId="23" type="noConversion"/>
  </si>
  <si>
    <t>○ 개막행사, 영덕물가자미마스터셰프
○ 체험 및 홍보관(노젓기체험, 어선승선체험)
○ 물가자미 잡기 체험, 블루로드 걷기 등</t>
    <phoneticPr fontId="23" type="noConversion"/>
  </si>
  <si>
    <t>4월 중
(4일간)</t>
    <phoneticPr fontId="23" type="noConversion"/>
  </si>
  <si>
    <t>영덕축산항물가자미축제</t>
    <phoneticPr fontId="23" type="noConversion"/>
  </si>
  <si>
    <t>(미정)</t>
    <phoneticPr fontId="23" type="noConversion"/>
  </si>
  <si>
    <t>영덕군 문화관광과 /
영덕대게축제추진위원회
(054-730-6393)</t>
    <phoneticPr fontId="23" type="noConversion"/>
  </si>
  <si>
    <t>○ 3대체험(대게달리기, 영덕대게를 사수하라, 깜짝경매)
○ 주플야클(주간 플래시몹, 야간 클럽), 요섹남여(요리)</t>
    <phoneticPr fontId="23" type="noConversion"/>
  </si>
  <si>
    <t>2.20~2.23.
(4일간)</t>
    <phoneticPr fontId="23" type="noConversion"/>
  </si>
  <si>
    <t>영덕대게축제</t>
    <phoneticPr fontId="23" type="noConversion"/>
  </si>
  <si>
    <t>마을, 교육원</t>
    <phoneticPr fontId="23" type="noConversion"/>
  </si>
  <si>
    <t xml:space="preserve">전체위탁 </t>
    <phoneticPr fontId="23" type="noConversion"/>
  </si>
  <si>
    <t>있음
정규직 8명
총8명</t>
    <phoneticPr fontId="23" type="noConversion"/>
  </si>
  <si>
    <t>인물(장계향)</t>
    <phoneticPr fontId="23" type="noConversion"/>
  </si>
  <si>
    <t>영양군 문화관광과
/(재)세계유교문화재단
(054-680-6411)</t>
    <phoneticPr fontId="23" type="noConversion"/>
  </si>
  <si>
    <t>○ 음식디미방 청소년 요리 경연대회
○ 음식디미방을 테마로한 전시, 체험프로그램 운영
○ 주제공연 및 문화공연
     - 4개분야 10여개 프로그램 
 ○ 학술프로그램 운영 등</t>
    <phoneticPr fontId="23" type="noConversion"/>
  </si>
  <si>
    <t>10.24~10.25.
(2일간)</t>
    <phoneticPr fontId="23" type="noConversion"/>
  </si>
  <si>
    <t>2020 여중군자장계향
문화축전</t>
    <phoneticPr fontId="23" type="noConversion"/>
  </si>
  <si>
    <t>영양군</t>
    <phoneticPr fontId="23" type="noConversion"/>
  </si>
  <si>
    <t>있음 
정규직 4명
파견공무원 1명
총 5명</t>
    <phoneticPr fontId="23" type="noConversion"/>
  </si>
  <si>
    <t>영양군 유통일자리과
/(재)영양축제관광재단
(054-680-6381)</t>
    <phoneticPr fontId="23" type="noConversion"/>
  </si>
  <si>
    <t>○ 무대행사
○ 도․농상생 한마당
○ 농특산물 전시․판매 등</t>
    <phoneticPr fontId="23" type="noConversion"/>
  </si>
  <si>
    <t>9월 중 
(3일간)</t>
    <phoneticPr fontId="23" type="noConversion"/>
  </si>
  <si>
    <t>영양고추 H.O.T Festival 행사</t>
    <phoneticPr fontId="23" type="noConversion"/>
  </si>
  <si>
    <t>음식(치킨맥주)</t>
    <phoneticPr fontId="23" type="noConversion"/>
  </si>
  <si>
    <t xml:space="preserve">영양군 문화관광과
/(재)영양축제관광재단
(054-680-6411) </t>
    <phoneticPr fontId="23" type="noConversion"/>
  </si>
  <si>
    <t>○ 별밤노래방 등 주민참여 게임
○ 지역 동아리 공연 등 
○ 치킨·맥주 먹거리 및 체험부스 운영</t>
    <phoneticPr fontId="23" type="noConversion"/>
  </si>
  <si>
    <t>7.30~8.1.
(3일간)</t>
    <phoneticPr fontId="23" type="noConversion"/>
  </si>
  <si>
    <t>별빛치맥축제</t>
    <phoneticPr fontId="23" type="noConversion"/>
  </si>
  <si>
    <t xml:space="preserve">없음 </t>
    <phoneticPr fontId="23" type="noConversion"/>
  </si>
  <si>
    <t>인물(조지훈)</t>
    <phoneticPr fontId="23" type="noConversion"/>
  </si>
  <si>
    <t>○ 지훈백일장 및 사생대회
○ 문학강연
○ 지훈시 퍼포먼스, 체험행사 등</t>
    <phoneticPr fontId="23" type="noConversion"/>
  </si>
  <si>
    <t>5.9~5.10.
(2일간)</t>
    <phoneticPr fontId="23" type="noConversion"/>
  </si>
  <si>
    <t xml:space="preserve">제14회조지훈예술제 </t>
    <phoneticPr fontId="23" type="noConversion"/>
  </si>
  <si>
    <t xml:space="preserve">산나물 </t>
    <phoneticPr fontId="23" type="noConversion"/>
  </si>
  <si>
    <t>○ 산나물채취체험 
○ 산나물을 테마로 한 공연,전시, 체험프로그램 운영
○ 주제공연 및 문화공연
    - 4개분야 20여개 프로그램
○ 산나물판매 부스 운영 등</t>
    <phoneticPr fontId="23" type="noConversion"/>
  </si>
  <si>
    <t>5.7~5.10.
(4일간)</t>
    <phoneticPr fontId="23" type="noConversion"/>
  </si>
  <si>
    <t>제16회 영양산나물축제</t>
    <phoneticPr fontId="23" type="noConversion"/>
  </si>
  <si>
    <t>있음
계약직1명
총1명</t>
    <phoneticPr fontId="23" type="noConversion"/>
  </si>
  <si>
    <t>청송사과</t>
    <phoneticPr fontId="23" type="noConversion"/>
  </si>
  <si>
    <t>청송군청 관광정책과/ 청송군축제추진위원회
(054-873-3686)</t>
    <phoneticPr fontId="23" type="noConversion"/>
  </si>
  <si>
    <t xml:space="preserve">○ 청송사과퍼레이드, 사과꽃줄엮기 전국 경연대회, 만유인력황금사과를 찾아라, 꿀잼사과난타, 도전-사과선별로또 등
○ 청송사과를 테마로 한 공연, 전시, 체험프로그램 운영
○ 개폐막 공연, 주제공연 및 문화공연
    - 16개 주요공연, 33개 프로그램 </t>
    <phoneticPr fontId="23" type="noConversion"/>
  </si>
  <si>
    <t>10.28~11.1.
(5일간)</t>
    <phoneticPr fontId="23" type="noConversion"/>
  </si>
  <si>
    <t>청송사과축제</t>
    <phoneticPr fontId="23" type="noConversion"/>
  </si>
  <si>
    <t>청송군</t>
    <phoneticPr fontId="23" type="noConversion"/>
  </si>
  <si>
    <t>의성군청 및
읍내 시가지 일원</t>
    <phoneticPr fontId="23" type="noConversion"/>
  </si>
  <si>
    <t>의성군축제추진위원회
/ 의성슈퍼푸드마늘축제추진위원회(054-830-6096)</t>
    <phoneticPr fontId="23" type="noConversion"/>
  </si>
  <si>
    <t xml:space="preserve">○ 의성마늘요리대회, 마늘학교 등 마늘 관련 프로그램
○ 의성군민노래자랑, 심야 DJ 파티 등 공연 및 체험 </t>
    <phoneticPr fontId="23" type="noConversion"/>
  </si>
  <si>
    <t>10월 중
(3일)</t>
    <phoneticPr fontId="23" type="noConversion"/>
  </si>
  <si>
    <t>의성슈퍼푸드마늘축제</t>
    <phoneticPr fontId="23" type="noConversion"/>
  </si>
  <si>
    <t>의성군</t>
    <phoneticPr fontId="23" type="noConversion"/>
  </si>
  <si>
    <t>안계면 
위천생태하천</t>
    <phoneticPr fontId="23" type="noConversion"/>
  </si>
  <si>
    <t>연</t>
    <phoneticPr fontId="23" type="noConversion"/>
  </si>
  <si>
    <t>의성군축제추진위원회
 / 의성세계연축제집행위원회
(054-830-6359)</t>
    <phoneticPr fontId="23" type="noConversion"/>
  </si>
  <si>
    <t>○ 전국연날리기대회, 스포츠카이트 시연 등 
○ 각종 가족단위 방문객들을 위한 체험 행사 등</t>
    <phoneticPr fontId="23" type="noConversion"/>
  </si>
  <si>
    <t>의성세계하늘축제</t>
    <phoneticPr fontId="23" type="noConversion"/>
  </si>
  <si>
    <t>테마파크</t>
    <phoneticPr fontId="23" type="noConversion"/>
  </si>
  <si>
    <t>삼국유사</t>
    <phoneticPr fontId="23" type="noConversion"/>
  </si>
  <si>
    <t>군위군 문화관광과
(054-380-7324)</t>
    <phoneticPr fontId="23" type="noConversion"/>
  </si>
  <si>
    <t>○ 삼국 스피드 슬라이드 대회
○ 빙수만들기 퍼포먼스 및 빙수 관련 경연대회
○ 삼국유사 관련 전시, 공연, 체험프로그램 운영
○ 개막 축하공연
○ 기타 테마기행, 지역 농산물 홍보판매장 등 운영</t>
    <phoneticPr fontId="23" type="noConversion"/>
  </si>
  <si>
    <t>삼국유사테마파크 축제</t>
    <phoneticPr fontId="23" type="noConversion"/>
  </si>
  <si>
    <t>군위군</t>
    <phoneticPr fontId="23" type="noConversion"/>
  </si>
  <si>
    <t>사랑교</t>
    <phoneticPr fontId="23" type="noConversion"/>
  </si>
  <si>
    <t>군위군 문화관광과
(054-380-6916)</t>
    <phoneticPr fontId="23" type="noConversion"/>
  </si>
  <si>
    <t>○ 사랑교를 활용한 자물쇠 걸기
○ 러브스토리 스마트폰 영상 제작 페스티벌
○ 사랑의 맹세 이벤트
○ 개막공연</t>
    <phoneticPr fontId="23" type="noConversion"/>
  </si>
  <si>
    <t>대추</t>
    <phoneticPr fontId="23" type="noConversion"/>
  </si>
  <si>
    <t>2006년
(10회)</t>
    <phoneticPr fontId="23" type="noConversion"/>
  </si>
  <si>
    <t>경산시 농정유통과
/ 미정(공모사업)
(053-810-6698)</t>
    <phoneticPr fontId="23" type="noConversion"/>
  </si>
  <si>
    <t xml:space="preserve">○ 핵심프로그램 : 대추알리미선발대회
○ 대추를 테마로한 공연, 전시, 체험프로그램 운영
○ 대추가요제, 한복패션쇼 등 주제 및 문화공연
   - 3개 분야 50여개 프로그램
○ 기타 특별행사 및 전시 등등 </t>
    <phoneticPr fontId="23" type="noConversion"/>
  </si>
  <si>
    <t>경산대추축제</t>
    <phoneticPr fontId="23" type="noConversion"/>
  </si>
  <si>
    <t>경산시</t>
    <phoneticPr fontId="23" type="noConversion"/>
  </si>
  <si>
    <t>기타
(주차장)</t>
    <phoneticPr fontId="23" type="noConversion"/>
  </si>
  <si>
    <t>갓바위
(소원성취)</t>
    <phoneticPr fontId="23" type="noConversion"/>
  </si>
  <si>
    <t>1998년도
(20회)</t>
    <phoneticPr fontId="23" type="noConversion"/>
  </si>
  <si>
    <t>경산시 문화관광과
/ 갓바위축제추진위원회
(053-810-5358)</t>
    <phoneticPr fontId="23" type="noConversion"/>
  </si>
  <si>
    <t xml:space="preserve">○ 핵심프로그램 : 국태민안소원기원행사
○ 소원성취를 테마로한 공연, 전시, 체험프로그램 운영
○ 다례봉행, 갓바위 음악회 등 주제및 문화공연
   - 2개 분야 40여개 프로그램
○ 기타 특별행사 및 전시 등등 </t>
    <phoneticPr fontId="23" type="noConversion"/>
  </si>
  <si>
    <t>경산갓바위소원성취축제</t>
    <phoneticPr fontId="23" type="noConversion"/>
  </si>
  <si>
    <t>단오</t>
    <phoneticPr fontId="23" type="noConversion"/>
  </si>
  <si>
    <t>1946년도
(43회)</t>
    <phoneticPr fontId="23" type="noConversion"/>
  </si>
  <si>
    <t>경산시 문화관광과
/ 경산자인단오제보존회
(053-810-5358)</t>
    <phoneticPr fontId="23" type="noConversion"/>
  </si>
  <si>
    <t xml:space="preserve">○ 핵심프로그램 : 여원무(국가무형문화재 제44호 공연)
○ 자인단오를 테마로한 공연, 전시, 체험프로그램 운영
○ 개폐막 공연, 문화재공연, 주제공연 및 문화공연
   - 3개 분야 60여개 프로그램
○ 기타 특별행사 및 전시 등등 </t>
    <phoneticPr fontId="23" type="noConversion"/>
  </si>
  <si>
    <t>6.25~6.28.
(4일간)</t>
    <phoneticPr fontId="23" type="noConversion"/>
  </si>
  <si>
    <t>경산자인단오제</t>
    <phoneticPr fontId="23" type="noConversion"/>
  </si>
  <si>
    <t>특산믈</t>
    <phoneticPr fontId="23" type="noConversion"/>
  </si>
  <si>
    <t>2001년도
(11회)</t>
    <phoneticPr fontId="23" type="noConversion"/>
  </si>
  <si>
    <t>문경약돌한우축제추진위원회
/(재)문경문화관광재단
(054-571-8677)</t>
    <phoneticPr fontId="23" type="noConversion"/>
  </si>
  <si>
    <t xml:space="preserve"> ○ 개막, 특별(시민노래자랑),전시(홍보관), 체험(시식)행사  </t>
    <phoneticPr fontId="23" type="noConversion"/>
  </si>
  <si>
    <t>9월~10월 중
(2일간)</t>
    <phoneticPr fontId="23" type="noConversion"/>
  </si>
  <si>
    <t>문경시</t>
    <phoneticPr fontId="23" type="noConversion"/>
  </si>
  <si>
    <t>문경새재도립공원</t>
    <phoneticPr fontId="23" type="noConversion"/>
  </si>
  <si>
    <t xml:space="preserve">있음
정규직 2명
계약직 3명
총 5명  </t>
    <phoneticPr fontId="23" type="noConversion"/>
  </si>
  <si>
    <t>사과</t>
    <phoneticPr fontId="23" type="noConversion"/>
  </si>
  <si>
    <t>2006년(14회)</t>
    <phoneticPr fontId="23" type="noConversion"/>
  </si>
  <si>
    <t>경상북도 문경시 농정과 /
문경문화관광재단
(054-571-7677)</t>
    <phoneticPr fontId="23" type="noConversion"/>
  </si>
  <si>
    <t>○ 문경사과 홍보관, 포토존
○ 사과판매부스</t>
    <phoneticPr fontId="23" type="noConversion"/>
  </si>
  <si>
    <t>문경사과축제</t>
    <phoneticPr fontId="23" type="noConversion"/>
  </si>
  <si>
    <t xml:space="preserve">있음
정규직 3명
총 3명  </t>
    <phoneticPr fontId="23" type="noConversion"/>
  </si>
  <si>
    <t>밴드 경연대회, 맥주축제</t>
    <phoneticPr fontId="23" type="noConversion"/>
  </si>
  <si>
    <t>2019년도(1회)</t>
    <phoneticPr fontId="23" type="noConversion"/>
  </si>
  <si>
    <t xml:space="preserve">문경시 문화예술과 /
(사)한국예술문화단체총연합회
 문경지회
(054-550-6067)                                    </t>
    <phoneticPr fontId="23" type="noConversion"/>
  </si>
  <si>
    <t>○ 락밴드경연대회(직장인, 대학생)
○ 락과 맥주를 테마로 한 공연, 전시, 체험프로그램 운영
○ 개폐막 공연, 밴드 경연 및 초청공연
○ 기타 특별행사(특산물 판매 및 홍보)</t>
    <phoneticPr fontId="23" type="noConversion"/>
  </si>
  <si>
    <t>7.24~7.26
(3일간)</t>
    <phoneticPr fontId="23" type="noConversion"/>
  </si>
  <si>
    <t>전국락밴드 경연대회 및 수제맥주축제</t>
    <phoneticPr fontId="23" type="noConversion"/>
  </si>
  <si>
    <t>하천둔치</t>
    <phoneticPr fontId="23" type="noConversion"/>
  </si>
  <si>
    <t>부분위탁
(운영,하드웨어,프로그램)</t>
    <phoneticPr fontId="23" type="noConversion"/>
  </si>
  <si>
    <t xml:space="preserve">있음
정규직 5명  </t>
    <phoneticPr fontId="23" type="noConversion"/>
  </si>
  <si>
    <t>오미자</t>
    <phoneticPr fontId="23" type="noConversion"/>
  </si>
  <si>
    <t>○ 오미자 청담금체험
○ 오미자  전시, 체험프로그램 운영
○ 개막 공연, 주제공연 및 문화공연
○ 기타(오미자 할인판매) 등</t>
    <phoneticPr fontId="23" type="noConversion"/>
  </si>
  <si>
    <t>문경오미자축제</t>
    <phoneticPr fontId="23" type="noConversion"/>
  </si>
  <si>
    <t xml:space="preserve">도립공원 </t>
    <phoneticPr fontId="23" type="noConversion"/>
  </si>
  <si>
    <t>있음
(계약직 5명)</t>
    <phoneticPr fontId="23" type="noConversion"/>
  </si>
  <si>
    <t xml:space="preserve"> ·공공(시군구)
 ·축제추진위
 ·재단법인</t>
    <phoneticPr fontId="23" type="noConversion"/>
  </si>
  <si>
    <t>찻사발</t>
    <phoneticPr fontId="23" type="noConversion"/>
  </si>
  <si>
    <t xml:space="preserve"> 문경문화관광재단
/문경찻사발축제추진위원회
(054-550-6395)</t>
    <phoneticPr fontId="23" type="noConversion"/>
  </si>
  <si>
    <t>○ 전국찻사발공모대전
○ 도예명장특별전,문경전통도자기명품전
○ 어린이 사기장전
○ 찻사발빚기, 찻사발그림그리기
○ 사기장의 하루</t>
    <phoneticPr fontId="23" type="noConversion"/>
  </si>
  <si>
    <t>5.1~5.10.
(10일간)</t>
    <phoneticPr fontId="23" type="noConversion"/>
  </si>
  <si>
    <t>문경찻사발축제</t>
    <phoneticPr fontId="23" type="noConversion"/>
  </si>
  <si>
    <t>광장
(야외공연장)</t>
    <phoneticPr fontId="23" type="noConversion"/>
  </si>
  <si>
    <t xml:space="preserve">
·부분위탁
 (행사진행 및 프로그램운영 
위탁)
·안전관리등 
  지자체 축제지원</t>
    <phoneticPr fontId="23" type="noConversion"/>
  </si>
  <si>
    <t xml:space="preserve"> ·공공(상주시)
   - 공모에의한 
      선정단체
 </t>
    <phoneticPr fontId="23" type="noConversion"/>
  </si>
  <si>
    <t>성주봉자연휴양림 성수기 휴양객 및 상주시민 볼거리 제공,
한방산업단지 및 성주봉휴양림 등 시설 홍보
지역 농특산물 홍보 판매</t>
    <phoneticPr fontId="23" type="noConversion"/>
  </si>
  <si>
    <t>상주시(한방산업단지관리사업소)
(054-537-5603)</t>
    <phoneticPr fontId="23" type="noConversion"/>
  </si>
  <si>
    <t xml:space="preserve">○ 지역문화예술단체 및 인기가수 공연
○ 먹거리 부스 운영
○ 으뜸농특산물 홍보판매장 상주시 특산물 판매 </t>
    <phoneticPr fontId="23" type="noConversion"/>
  </si>
  <si>
    <t>7월 중
(2일)</t>
    <phoneticPr fontId="23" type="noConversion"/>
  </si>
  <si>
    <t>성주봉휴양림 핫 
페스티벌</t>
    <phoneticPr fontId="23" type="noConversion"/>
  </si>
  <si>
    <t>상주시</t>
    <phoneticPr fontId="23" type="noConversion"/>
  </si>
  <si>
    <t>특산품(나무순채)</t>
    <phoneticPr fontId="23" type="noConversion"/>
  </si>
  <si>
    <t>상주시(농업기술센터) /
나무순채축제추진위원회
(054-537-6741)</t>
    <phoneticPr fontId="23" type="noConversion"/>
  </si>
  <si>
    <t>○ 나무순채 및 가공제품 판매/홍보/시식/전시 등</t>
    <phoneticPr fontId="23" type="noConversion"/>
  </si>
  <si>
    <t>2020 나무순채축제</t>
    <phoneticPr fontId="23" type="noConversion"/>
  </si>
  <si>
    <t>특산품(베리류)</t>
    <phoneticPr fontId="23" type="noConversion"/>
  </si>
  <si>
    <t>상주시(농업기술센터) /
상주베리축제추진위원회
(054-537-5417)</t>
    <phoneticPr fontId="23" type="noConversion"/>
  </si>
  <si>
    <t>○ 베리류 생과 및 가공제품 판매/홍보/ 시식/전시 등</t>
    <phoneticPr fontId="23" type="noConversion"/>
  </si>
  <si>
    <t>6.13~6.14.
(2일간)</t>
    <phoneticPr fontId="23" type="noConversion"/>
  </si>
  <si>
    <t>제 5회 상주베리축제</t>
    <phoneticPr fontId="23" type="noConversion"/>
  </si>
  <si>
    <t>상주시 / 문화예술과
(054-537-7204)</t>
    <phoneticPr fontId="23" type="noConversion"/>
  </si>
  <si>
    <t>○청소년과 함께하는 밤: 청소년 댄스, 가요 경연 대회
○한여름밤의 꿈 라이브공연: 최희선 등 라이브 공연
○시민노래자랑: 읍•면•동 주민 참가 노래자랑 대회</t>
    <phoneticPr fontId="23" type="noConversion"/>
  </si>
  <si>
    <t>7.24~7.26.
(3일간)</t>
    <phoneticPr fontId="23" type="noConversion"/>
  </si>
  <si>
    <t>제22회 한여름 밤의 축제</t>
    <phoneticPr fontId="23" type="noConversion"/>
  </si>
  <si>
    <t>상주외남고을곶감축제추진위원회
(054-537-8202)</t>
    <phoneticPr fontId="23" type="noConversion"/>
  </si>
  <si>
    <t>○ 상주곶감 임금님 진상재현 행사
○ 곶감을 테마로한 공연, 전시, 체험프로그램 운영 등</t>
    <phoneticPr fontId="23" type="noConversion"/>
  </si>
  <si>
    <t>12.24~12.27.
(4일간)</t>
    <phoneticPr fontId="23" type="noConversion"/>
  </si>
  <si>
    <t>제10회 대한민국곶감축제</t>
    <phoneticPr fontId="23" type="noConversion"/>
  </si>
  <si>
    <t>2012년도
(7회)</t>
    <phoneticPr fontId="23" type="noConversion"/>
  </si>
  <si>
    <t>상주시 / 상주슬로시티주민협의회
(054-537-7104)</t>
    <phoneticPr fontId="23" type="noConversion"/>
  </si>
  <si>
    <t>○ 누에고치 실뽑기, 명주 실짜기 등 체험프로그램 운영
○ 음악회, 패션쇼
○ 누에와 나비 및 곤충 전시체험</t>
    <phoneticPr fontId="23" type="noConversion"/>
  </si>
  <si>
    <t>함창명주 페스티벌</t>
    <phoneticPr fontId="23" type="noConversion"/>
  </si>
  <si>
    <t>경천섬</t>
    <phoneticPr fontId="23" type="noConversion"/>
  </si>
  <si>
    <t>낙강시회</t>
    <phoneticPr fontId="23" type="noConversion"/>
  </si>
  <si>
    <t>상주시 /
상주시축제추진위원회
(054-537-7108)</t>
    <phoneticPr fontId="23" type="noConversion"/>
  </si>
  <si>
    <t>○낙동강 빛을 담다. - 낮에는 배(뱃놀이), 밤에는 달
   (빛/불)을 소재로한 행사</t>
    <phoneticPr fontId="23" type="noConversion"/>
  </si>
  <si>
    <t>상주이야기축제</t>
    <phoneticPr fontId="23" type="noConversion"/>
  </si>
  <si>
    <t>기타
(농업기술센터)</t>
    <phoneticPr fontId="23" type="noConversion"/>
  </si>
  <si>
    <t>영천시 기술지원과
/ 영천와인사업단
(054-339-7397)</t>
    <phoneticPr fontId="23" type="noConversion"/>
  </si>
  <si>
    <t>○ 영천와인어불러담기
○ 와인 무제한 시음 및 공연, 전시, 체험프로그램 운영
○ 사과따기 체험 등 농업 관련 체험
○ 영천와인 &amp; 별빛한우 콜라보 행사</t>
    <phoneticPr fontId="23" type="noConversion"/>
  </si>
  <si>
    <t>영천 와인페스타</t>
    <phoneticPr fontId="23" type="noConversion"/>
  </si>
  <si>
    <t>영천시</t>
    <phoneticPr fontId="23" type="noConversion"/>
  </si>
  <si>
    <t>영천강변공원</t>
    <phoneticPr fontId="23" type="noConversion"/>
  </si>
  <si>
    <t>1974년
(47회)</t>
    <phoneticPr fontId="23" type="noConversion"/>
  </si>
  <si>
    <t>영천시 문화예술과
/ 영천문화예술제추진위원회
(054-330-6365)</t>
    <phoneticPr fontId="23" type="noConversion"/>
  </si>
  <si>
    <t>○ 주제관 운영
○ 공연 및 경연행사
○ 체험 및 판매부스 운영
○ 기타 연계행사 및 특별행사
 - 제25회 전국왕평가요제</t>
    <phoneticPr fontId="23" type="noConversion"/>
  </si>
  <si>
    <t>과일</t>
    <phoneticPr fontId="23" type="noConversion"/>
  </si>
  <si>
    <t>1998년
(19회)</t>
    <phoneticPr fontId="23" type="noConversion"/>
  </si>
  <si>
    <t>영천시 과수한방과
/ 영천과일축제추진위원회
(054-339-7188)</t>
    <phoneticPr fontId="23" type="noConversion"/>
  </si>
  <si>
    <t>○ 영천과일품평회, 과일홍보관 운영
○ 영천과일 직거래장터, 과일관련 체험존
○ 버스킹공연, 코미디서커스쇼 등 무대행사 등</t>
    <phoneticPr fontId="23" type="noConversion"/>
  </si>
  <si>
    <t>영천과일축제</t>
    <phoneticPr fontId="23" type="noConversion"/>
  </si>
  <si>
    <t>한약</t>
    <phoneticPr fontId="23" type="noConversion"/>
  </si>
  <si>
    <t>영천시 과수한방과
/ 영천한방산업발전협의회
(054-339-7248)</t>
    <phoneticPr fontId="23" type="noConversion"/>
  </si>
  <si>
    <t xml:space="preserve">○ 한방명의 진료관
○ 한방을 테마로한 주제관, 생활체험, 가공품특판관
○ 개막공연, 문화공연, 한방경연, 건강세미나 등 </t>
    <phoneticPr fontId="23" type="noConversion"/>
  </si>
  <si>
    <t>영천한약축제</t>
    <phoneticPr fontId="23" type="noConversion"/>
  </si>
  <si>
    <t>기타
(천문과학관 일원)</t>
    <phoneticPr fontId="23" type="noConversion"/>
  </si>
  <si>
    <t>별
(천문,우주,과학)</t>
    <phoneticPr fontId="23" type="noConversion"/>
  </si>
  <si>
    <t>영천시 관광진흥과
/ 영천보현산별빛축제위원회
(054-330-6702)</t>
    <phoneticPr fontId="23" type="noConversion"/>
  </si>
  <si>
    <t>○ 주제관 및 천문, 우주, 과학 체험관 운영
○ 천문, 우주, 과학 체험부스 운영
○ 천문학 강의, 누워서 별 보기, 스타파티
○ 개막식 행사 및 문화공연
○ 주민참여 프로그램 및 방문객(가족단위) 참여 프로그램
○ 천문대 개방행사 및 각종 연계 프로그램
○ 지역 특산물 판매 장터, 먹거리 장터 등</t>
    <phoneticPr fontId="23" type="noConversion"/>
  </si>
  <si>
    <t>6월 중
(3일)</t>
    <phoneticPr fontId="23" type="noConversion"/>
  </si>
  <si>
    <t>영천보현산별빛축제</t>
    <phoneticPr fontId="23" type="noConversion"/>
  </si>
  <si>
    <t xml:space="preserve">있음
정규직 4명
계약직 6명
총 10명  </t>
    <phoneticPr fontId="23" type="noConversion"/>
  </si>
  <si>
    <t>영주시 관광진흥과
/ 영주문화관광재단
(054-630-8712)</t>
    <phoneticPr fontId="23" type="noConversion"/>
  </si>
  <si>
    <t>○ 사과전시, 사과체험존, 사과품평회
○ 사과를 활용한 체험존 및 공연 행사 진행
  - 사과따기 체험, 사과 길게 깎기, 사과음식 경연대회 등</t>
    <phoneticPr fontId="23" type="noConversion"/>
  </si>
  <si>
    <t>10.24~11.1.
(9일간)</t>
    <phoneticPr fontId="23" type="noConversion"/>
  </si>
  <si>
    <t>사과축제</t>
    <phoneticPr fontId="23" type="noConversion"/>
  </si>
  <si>
    <t>영주시</t>
    <phoneticPr fontId="23" type="noConversion"/>
  </si>
  <si>
    <t>하천변</t>
    <phoneticPr fontId="23" type="noConversion"/>
  </si>
  <si>
    <t>있음
위원장 1명
정규직 2명
총 3명</t>
    <phoneticPr fontId="23" type="noConversion"/>
  </si>
  <si>
    <t>영주시 관광진흥과
/ 영주풍기인삼축제조직위원회
(054-635-0020)</t>
    <phoneticPr fontId="23" type="noConversion"/>
  </si>
  <si>
    <t>○ 풍기인삼 블랙 프라이데이, 인삼대제, 주세붕 행차 재연
○ 인삼깎기 경연대회, 우량인삼선발대회, 인삼가요제, 힐링걷기대회, 인삼캐기 등 체험</t>
    <phoneticPr fontId="23" type="noConversion"/>
  </si>
  <si>
    <t>풍기인삼축제</t>
    <phoneticPr fontId="23" type="noConversion"/>
  </si>
  <si>
    <t>전통문화
(무섬마을)</t>
    <phoneticPr fontId="23" type="noConversion"/>
  </si>
  <si>
    <t>○ 무섬외나무다리 퍼포먼스(전통혼례, 상여행렬 등)
○ 무섬마을을 테마로한 공연, 전시, 체험프로그램 운영
  - 무섬마을 할아버지와 함께하는 '시간 속 무섬마을 야행', 무섬마을 가을밤 낭만음악회, 추억의 통기타 가을음악회, 전통한복체험, 무섬마을 향토음식체험, 전통놀이체험, 느린우체통 등</t>
    <phoneticPr fontId="23" type="noConversion"/>
  </si>
  <si>
    <t>10.10~10.11.
(2일간)</t>
    <phoneticPr fontId="23" type="noConversion"/>
  </si>
  <si>
    <t>무섬외나무다리축제</t>
    <phoneticPr fontId="23" type="noConversion"/>
  </si>
  <si>
    <t>하천변(예정)</t>
    <phoneticPr fontId="23" type="noConversion"/>
  </si>
  <si>
    <t>소백산, 철쭉</t>
    <phoneticPr fontId="23" type="noConversion"/>
  </si>
  <si>
    <t>○ 소백산산신제, 대한민국 철쭉등반대회   
○ 소백산을 테마로 한 체험프로그램, 소백산 여우 스토리텔링, 철쭉복원 이벤트 등</t>
    <phoneticPr fontId="23" type="noConversion"/>
  </si>
  <si>
    <t>5.30~5.31.
(2일간)</t>
    <phoneticPr fontId="23" type="noConversion"/>
  </si>
  <si>
    <t>소백산 철쭉제</t>
    <phoneticPr fontId="23" type="noConversion"/>
  </si>
  <si>
    <t>관광지(선비촌 등)</t>
    <phoneticPr fontId="23" type="noConversion"/>
  </si>
  <si>
    <t>선비정신</t>
    <phoneticPr fontId="23" type="noConversion"/>
  </si>
  <si>
    <t>○ 우리 모두가 선비다(회헌 안향선생의 육훈 관련 프로그램)
○ 선비를 테마로한 공연, 전시, 체험프로그램 운영
  -소수서원 사액 봉안례 재연행사, 가족 한복맵시 장기자랑, 선비촌이 살아있다, 선비문화 전통한복체험, 선비반상체험, 미래 선비 선발대회, 순흥초군청줄다리기, 선비세상 전시 및 체험 등</t>
    <phoneticPr fontId="23" type="noConversion"/>
  </si>
  <si>
    <t>한국선비문화축제</t>
    <phoneticPr fontId="23" type="noConversion"/>
  </si>
  <si>
    <t>금오산 일원</t>
    <phoneticPr fontId="23" type="noConversion"/>
  </si>
  <si>
    <t>(29회)</t>
    <phoneticPr fontId="23" type="noConversion"/>
  </si>
  <si>
    <t>선주원남동 남녀새마을지도자협의회
(054-480-7501)</t>
    <phoneticPr fontId="23" type="noConversion"/>
  </si>
  <si>
    <t>○ 개회식, 축하공연, 먹거리장터, 체험부스 
○ 포토존, 벚꽃길 야간거리조명, 벚꽃 버스킹 등</t>
    <phoneticPr fontId="23" type="noConversion"/>
  </si>
  <si>
    <t>선주원남동 금오산
벚꽃축제</t>
    <phoneticPr fontId="23" type="noConversion"/>
  </si>
  <si>
    <t>구미시</t>
    <phoneticPr fontId="23" type="noConversion"/>
  </si>
  <si>
    <t xml:space="preserve">지산샛강
생태공원 </t>
    <phoneticPr fontId="23" type="noConversion"/>
  </si>
  <si>
    <t>지산샛강 연꽃, 송어 등</t>
    <phoneticPr fontId="23" type="noConversion"/>
  </si>
  <si>
    <t>지산동 /
지산샛강생태보전회
(054-480-7471)</t>
    <phoneticPr fontId="23" type="noConversion"/>
  </si>
  <si>
    <t>○ 개막식, 축하공연, 버스킹 공연, 송어잡기 등
○ 체험부스, 전시, 플리마켓 등 
  * 낙동강7경 문화한마당 행사와 연계추진</t>
    <phoneticPr fontId="23" type="noConversion"/>
  </si>
  <si>
    <t xml:space="preserve">9월 중 </t>
    <phoneticPr fontId="23" type="noConversion"/>
  </si>
  <si>
    <t>지산샛강생태문화축제</t>
    <phoneticPr fontId="23" type="noConversion"/>
  </si>
  <si>
    <t>장천면 /
장천코스모스축제 추진위원회
(054-480-7365)</t>
    <phoneticPr fontId="23" type="noConversion"/>
  </si>
  <si>
    <t>○장천 코스모스 꽃길 조성 및 개막식, 버스킹공연
○가수, 동아리 공연, 노래자랑 등 개최</t>
    <phoneticPr fontId="23" type="noConversion"/>
  </si>
  <si>
    <t xml:space="preserve">9월 중  </t>
    <phoneticPr fontId="23" type="noConversion"/>
  </si>
  <si>
    <t>장천코스모스축제</t>
    <phoneticPr fontId="23" type="noConversion"/>
  </si>
  <si>
    <t>구미공단 내 유휴시설
(구미보세장치장)</t>
    <phoneticPr fontId="23" type="noConversion"/>
  </si>
  <si>
    <t>기타
(자체행사로 추진)</t>
    <phoneticPr fontId="23" type="noConversion"/>
  </si>
  <si>
    <t>예술 전시</t>
    <phoneticPr fontId="23" type="noConversion"/>
  </si>
  <si>
    <t>○ 미술 아트페어 개최(산업단지내 유휴공간 활용)
○ 부대행사(강의, 아트키즈라운지 등)</t>
    <phoneticPr fontId="23" type="noConversion"/>
  </si>
  <si>
    <t>구미아트페어</t>
    <phoneticPr fontId="23" type="noConversion"/>
  </si>
  <si>
    <t>거리, 소공연장
기타</t>
    <phoneticPr fontId="23" type="noConversion"/>
  </si>
  <si>
    <t>예술(공연)</t>
    <phoneticPr fontId="23" type="noConversion"/>
  </si>
  <si>
    <t>구미시 /
(사)한국연극협회 구미지부
(054-444-0604)</t>
    <phoneticPr fontId="23" type="noConversion"/>
  </si>
  <si>
    <t>○ 기획공연(국내외 극단 초청) 
○ 거리공연, 전시, 찾아가는 연극제</t>
    <phoneticPr fontId="23" type="noConversion"/>
  </si>
  <si>
    <t>구미아시아연극제</t>
    <phoneticPr fontId="23" type="noConversion"/>
  </si>
  <si>
    <t>예술(공연, 전시)</t>
    <phoneticPr fontId="23" type="noConversion"/>
  </si>
  <si>
    <t>(사)한국예총 구미지회
(054-451-4422)</t>
    <phoneticPr fontId="23" type="noConversion"/>
  </si>
  <si>
    <t xml:space="preserve">○ 개막식 및 축하공연,구미예술상 시상식 
○ 시민동아리 공연, 무용제, 가요제, 클라운 공연 및
     사진, 미술작품 전시회 </t>
    <phoneticPr fontId="23" type="noConversion"/>
  </si>
  <si>
    <t>금오예술제</t>
    <phoneticPr fontId="23" type="noConversion"/>
  </si>
  <si>
    <t>구미시 /
(사)한국농악보존협회 구미지회
(054-457-1082)</t>
    <phoneticPr fontId="23" type="noConversion"/>
  </si>
  <si>
    <t>○ 전국 및 지역 농악 경연 및 구미무을농악 축하 공연
○ 기타 부대행사(전통체험 등)</t>
    <phoneticPr fontId="23" type="noConversion"/>
  </si>
  <si>
    <t>구미전국농악경연대잔치</t>
    <phoneticPr fontId="23" type="noConversion"/>
  </si>
  <si>
    <t>금오산 분수공원</t>
    <phoneticPr fontId="23" type="noConversion"/>
  </si>
  <si>
    <t>2010(10회)</t>
    <phoneticPr fontId="23" type="noConversion"/>
  </si>
  <si>
    <t>○ 전통연희공연, 문화재 및 프린지 공연</t>
    <phoneticPr fontId="23" type="noConversion"/>
  </si>
  <si>
    <t>10.5~10.6.
(2일간)</t>
    <phoneticPr fontId="23" type="noConversion"/>
  </si>
  <si>
    <t>전통연희축제</t>
    <phoneticPr fontId="23" type="noConversion"/>
  </si>
  <si>
    <t>체육공원</t>
    <phoneticPr fontId="23" type="noConversion"/>
  </si>
  <si>
    <t>·공공(시군구)</t>
    <phoneticPr fontId="23" type="noConversion"/>
  </si>
  <si>
    <t>특산품, 화합행사 등</t>
    <phoneticPr fontId="23" type="noConversion"/>
  </si>
  <si>
    <t>구미시 /
구미시농업한마당 대축제추진위원회
(054-480-5762)</t>
    <phoneticPr fontId="23" type="noConversion"/>
  </si>
  <si>
    <t xml:space="preserve">○ 무대행사 : 개막식, 축하공연, 퍼포먼스
○ 전시행사 : 전국 우수 농·특산물 전시·홍보관 운영       
○ 참여행사 : 농업인과 시민이 함께하는 화합한마당
○ 체험행사 : 쌀떡놀이 체험, 목공예 체험 등 20여종
○ 부대행사 : 국화꽃밭(체육공원 주변) 조성 및 전시, 농산물직거래장터 등 </t>
    <phoneticPr fontId="23" type="noConversion"/>
  </si>
  <si>
    <t>10.8~10.14.
(7일간)</t>
    <phoneticPr fontId="23" type="noConversion"/>
  </si>
  <si>
    <t>구미 농업 한마당 대축제</t>
    <phoneticPr fontId="23" type="noConversion"/>
  </si>
  <si>
    <t>있음
정규직(16명)</t>
    <phoneticPr fontId="23" type="noConversion"/>
  </si>
  <si>
    <t>탈춤</t>
    <phoneticPr fontId="23" type="noConversion"/>
  </si>
  <si>
    <t>안동시 관광진흥과 /
안동축제관광재단
(054-841-6398)</t>
    <phoneticPr fontId="23" type="noConversion"/>
  </si>
  <si>
    <t>○ 탈춤을 테마로한 공연, 전시, 체험프로그램 운영</t>
    <phoneticPr fontId="23" type="noConversion"/>
  </si>
  <si>
    <t>9.25~10.4.
(10일간)</t>
    <phoneticPr fontId="23" type="noConversion"/>
  </si>
  <si>
    <t>안동국제탈춤페스티벌2020</t>
    <phoneticPr fontId="23" type="noConversion"/>
  </si>
  <si>
    <t>안동시</t>
    <phoneticPr fontId="23" type="noConversion"/>
  </si>
  <si>
    <t>문화재야행사업</t>
    <phoneticPr fontId="23" type="noConversion"/>
  </si>
  <si>
    <t>안동시 문화유산과 /
안동축제관광재단
(054-840-6398)</t>
    <phoneticPr fontId="23" type="noConversion"/>
  </si>
  <si>
    <t>○ 월영교 일대 문화재 야간개방 및 문화행사</t>
    <phoneticPr fontId="23" type="noConversion"/>
  </si>
  <si>
    <t>월영야행</t>
    <phoneticPr fontId="23" type="noConversion"/>
  </si>
  <si>
    <t>안동시 관광진흥과 /
안동축제관광재단
(054-840-6591)</t>
    <phoneticPr fontId="23" type="noConversion"/>
  </si>
  <si>
    <t>○ 벚꽃을 활용하여 경관 조성 및 거리공연 진행</t>
    <phoneticPr fontId="23" type="noConversion"/>
  </si>
  <si>
    <t>안동봄꽃축제</t>
    <phoneticPr fontId="23" type="noConversion"/>
  </si>
  <si>
    <t>얼음</t>
    <phoneticPr fontId="23" type="noConversion"/>
  </si>
  <si>
    <t>2015년도
(2회)</t>
    <phoneticPr fontId="23" type="noConversion"/>
  </si>
  <si>
    <t>○ 지역의 자연환경을 횔용한 얼음 체험프로그램 운영</t>
    <phoneticPr fontId="23" type="noConversion"/>
  </si>
  <si>
    <t>1.18~1.26.
(9일간)</t>
    <phoneticPr fontId="23" type="noConversion"/>
  </si>
  <si>
    <t>암산얼음축제</t>
    <phoneticPr fontId="23" type="noConversion"/>
  </si>
  <si>
    <t>김천문화예술회관, 안산공원</t>
    <phoneticPr fontId="23" type="noConversion"/>
  </si>
  <si>
    <t xml:space="preserve">있음
정규직 2명
계약직 2명
총 4명  </t>
    <phoneticPr fontId="23" type="noConversion"/>
  </si>
  <si>
    <t>김천시(문화홍보실) /
김천국제가족연극추진위원회
(054-420-6646)</t>
    <phoneticPr fontId="23" type="noConversion"/>
  </si>
  <si>
    <t>○ 국내외 연극 초청공연
○ 연극 테마 기타 부대행사</t>
    <phoneticPr fontId="23" type="noConversion"/>
  </si>
  <si>
    <t>7월 중
(10일간)</t>
    <phoneticPr fontId="23" type="noConversion"/>
  </si>
  <si>
    <t>김천국제가족연극제</t>
    <phoneticPr fontId="23" type="noConversion"/>
  </si>
  <si>
    <t>김천시</t>
    <phoneticPr fontId="23" type="noConversion"/>
  </si>
  <si>
    <t>직지문화공원</t>
    <phoneticPr fontId="23" type="noConversion"/>
  </si>
  <si>
    <t>포도, 자두</t>
    <phoneticPr fontId="23" type="noConversion"/>
  </si>
  <si>
    <t>김천시(농식품유통과) /
김천포도자두축제추진위원회
(054-421-2532)</t>
    <phoneticPr fontId="23" type="noConversion"/>
  </si>
  <si>
    <t>○ 자두,포도 품평회, 전시 및 판매, 수확체험 등   
○ 포도, 자두 테마 체험프로그램
○ 문화공연, 기타 특별행사 등</t>
    <phoneticPr fontId="23" type="noConversion"/>
  </si>
  <si>
    <t>김천포도자두축제</t>
    <phoneticPr fontId="23" type="noConversion"/>
  </si>
  <si>
    <t>공원, 광장
시내거리</t>
    <phoneticPr fontId="23" type="noConversion"/>
  </si>
  <si>
    <t>공공
축제조직위</t>
    <phoneticPr fontId="23" type="noConversion"/>
  </si>
  <si>
    <t>천년왕국, 신라의 탄생</t>
    <phoneticPr fontId="23" type="noConversion"/>
  </si>
  <si>
    <t>1962년도
(48회)</t>
    <phoneticPr fontId="23" type="noConversion"/>
  </si>
  <si>
    <t>경주시 문화에술과
/ 신라문화선양회, 
(054-779-6073)</t>
    <phoneticPr fontId="23" type="noConversion"/>
  </si>
  <si>
    <t>○ 천년왕국, 신라의 탄생</t>
    <phoneticPr fontId="23" type="noConversion"/>
  </si>
  <si>
    <t>신라문화제</t>
    <phoneticPr fontId="23" type="noConversion"/>
  </si>
  <si>
    <t>경주시</t>
    <phoneticPr fontId="23" type="noConversion"/>
  </si>
  <si>
    <t>경주역사유적지구, 보문관광단지 일원</t>
    <phoneticPr fontId="23" type="noConversion"/>
  </si>
  <si>
    <t>경주시청(관광컨벤션과) /
(재)경주문화재단
(054-779-6982)</t>
    <phoneticPr fontId="23" type="noConversion"/>
  </si>
  <si>
    <t xml:space="preserve">○ 시즌1 : 벚꽃음악회, 벚꽃엔딩, 벚꽃운동회 등
○ 시즌2 : 벚꽃버스킹 페스티벌 </t>
    <phoneticPr fontId="23" type="noConversion"/>
  </si>
  <si>
    <t>4월 중
(미정)</t>
    <phoneticPr fontId="23" type="noConversion"/>
  </si>
  <si>
    <t>경주벚꽃축제</t>
    <phoneticPr fontId="23" type="noConversion"/>
  </si>
  <si>
    <t>아프리카돼지열병 사전 차단 및 발병 방지를 위한 행사 취소</t>
    <phoneticPr fontId="23" type="noConversion"/>
  </si>
  <si>
    <t xml:space="preserve">경주 농산물 공동브랜드인 이사금, 천년한우, 해파랑 등의 우리 지역 농축수산물 우수성 홍보 </t>
    <phoneticPr fontId="23" type="noConversion"/>
  </si>
  <si>
    <t>(사)한국농업경영인 경주시연합회
(054-743-7990)</t>
    <phoneticPr fontId="23" type="noConversion"/>
  </si>
  <si>
    <t>○ 경주의 농축수산물의 우수성을 홍보 및 판매
○ 우리쌀뻥튀기 만들기 등 각종 체험, 전시프로그램 운영
○ 방문객 대상 우수 농축수산물 깜짝 경매 
○ 방문객 참여를 위한 떡메치기 등 각종 레크리에이션</t>
    <phoneticPr fontId="23" type="noConversion"/>
  </si>
  <si>
    <t>10.8~10.14.
(3일간)</t>
    <phoneticPr fontId="23" type="noConversion"/>
  </si>
  <si>
    <t>경주한우와 농축수산물
한마당 축제</t>
    <phoneticPr fontId="23" type="noConversion"/>
  </si>
  <si>
    <t>경주시(경제정책과) /
경주도예가협회
(054-779-6234)</t>
    <phoneticPr fontId="23" type="noConversion"/>
  </si>
  <si>
    <t>○ 도자기 전시․판매
○ 도자기 만들기 체험, 다도체험 등</t>
    <phoneticPr fontId="23" type="noConversion"/>
  </si>
  <si>
    <t>경주도자기축제</t>
    <phoneticPr fontId="23" type="noConversion"/>
  </si>
  <si>
    <t>법인</t>
    <phoneticPr fontId="23" type="noConversion"/>
  </si>
  <si>
    <t>포항시/구룡포수산업협동조합
(054-276-2807)</t>
    <phoneticPr fontId="23" type="noConversion"/>
  </si>
  <si>
    <t>○ 구룡포 대게 퍼레이드
○ 초대가수공연 및 각종 공연행사
○ 대게낚시 등 관광객 체험행사</t>
    <phoneticPr fontId="23" type="noConversion"/>
  </si>
  <si>
    <t>2.28~3.1.
(3일)</t>
    <phoneticPr fontId="23" type="noConversion"/>
  </si>
  <si>
    <t>포항구룡포대게축제</t>
    <phoneticPr fontId="23" type="noConversion"/>
  </si>
  <si>
    <t>포항시</t>
    <phoneticPr fontId="23" type="noConversion"/>
  </si>
  <si>
    <t>바다,시내거리</t>
    <phoneticPr fontId="23" type="noConversion"/>
  </si>
  <si>
    <t>있음
정규직 44명
계약직 7명
총 51명</t>
    <phoneticPr fontId="23" type="noConversion"/>
  </si>
  <si>
    <t>철(STEEL)</t>
    <phoneticPr fontId="23" type="noConversion"/>
  </si>
  <si>
    <t>○ 영일대 해수욕장 아트웨이존 프로그램(작품전시)
○ 추석연휴 스틸한가위 한마당
○ 추석 월드뮤직 페스티벌, 아트웨이 투어
○ 육거리 구도심 아트존 운영 등</t>
    <phoneticPr fontId="23" type="noConversion"/>
  </si>
  <si>
    <t>9.19~10.10.
(22일간)</t>
    <phoneticPr fontId="23" type="noConversion"/>
  </si>
  <si>
    <t>포항스틸아트페스티벌</t>
    <phoneticPr fontId="23" type="noConversion"/>
  </si>
  <si>
    <t xml:space="preserve">있음
정규직 44명
계약직 7명
총 51명  </t>
    <phoneticPr fontId="23" type="noConversion"/>
  </si>
  <si>
    <t>포항시/포항문화재단
(054-289-7873)</t>
    <phoneticPr fontId="23" type="noConversion"/>
  </si>
  <si>
    <t>○ 거리공연 작품(해외, 국내) 시민참여 및 버스킹 등
○ 지역 예술가ㆍ프리마켓 프로그램 숲 속의 쉼터, 송림사진관, 거리예술 투어프로그램 우아한 거리, 길 위의 만찬 개막프로그램</t>
    <phoneticPr fontId="23" type="noConversion"/>
  </si>
  <si>
    <t>포항거리예술축제</t>
    <phoneticPr fontId="23" type="noConversion"/>
  </si>
  <si>
    <t>포항운하</t>
    <phoneticPr fontId="23" type="noConversion"/>
  </si>
  <si>
    <t>○ 방티타기 대회, 방티 줄다리기, 디카폰카콘테스트, 에코보트 콘테스트,이색창작배퍼레이드, 축하공연, 관광객 참여 이벤트 등</t>
    <phoneticPr fontId="23" type="noConversion"/>
  </si>
  <si>
    <t>포항운하축제</t>
    <phoneticPr fontId="23" type="noConversion"/>
  </si>
  <si>
    <t>바다,마을</t>
    <phoneticPr fontId="23" type="noConversion"/>
  </si>
  <si>
    <t>해병대</t>
    <phoneticPr fontId="23" type="noConversion"/>
  </si>
  <si>
    <t>포항시/경상북도해병대전우회
(054-270-2243)</t>
    <phoneticPr fontId="23" type="noConversion"/>
  </si>
  <si>
    <t>○ 블랙이글스에어쇼
○ 상륙훈련및고공낙하 시범, 퍼레이드, 장비전시, 부대방문행사, 체험행사 등</t>
    <phoneticPr fontId="23" type="noConversion"/>
  </si>
  <si>
    <t>2020 포항해병대문화축제</t>
    <phoneticPr fontId="23" type="noConversion"/>
  </si>
  <si>
    <t>바다,광장</t>
    <phoneticPr fontId="23" type="noConversion"/>
  </si>
  <si>
    <t>포항시/포항문화재단
(054-289-7852)</t>
    <phoneticPr fontId="23" type="noConversion"/>
  </si>
  <si>
    <t>○ 해넘이, 해돋이 행사
○ 전야행사, 자정행사, 특별행사, 부대행사 등</t>
    <phoneticPr fontId="23" type="noConversion"/>
  </si>
  <si>
    <t>제22회 
호미곶한민족해맞이축전</t>
    <phoneticPr fontId="23" type="noConversion"/>
  </si>
  <si>
    <t xml:space="preserve">있음
정규직 30명
계약직 30명
총 60명  </t>
    <phoneticPr fontId="23" type="noConversion"/>
  </si>
  <si>
    <t>빛, 불꽃</t>
    <phoneticPr fontId="23" type="noConversion"/>
  </si>
  <si>
    <t>○국제불꽃쇼, 버스킹페스티벌, 퍼레이드,데일리뮤직불꽃쇼,공연, 체험행사, 맛페스티벌, 전국농특산물판매 등</t>
    <phoneticPr fontId="23" type="noConversion"/>
  </si>
  <si>
    <t>5.29~5.31.
(3일간)</t>
    <phoneticPr fontId="23" type="noConversion"/>
  </si>
  <si>
    <t>2020 포항국제불빛축제</t>
    <phoneticPr fontId="23" type="noConversion"/>
  </si>
  <si>
    <t>있음
축제위 16명</t>
    <phoneticPr fontId="23" type="noConversion"/>
  </si>
  <si>
    <t>2020년도
(제1회)</t>
    <phoneticPr fontId="23" type="noConversion"/>
  </si>
  <si>
    <t>합천군 산림과 /
황매산축제위원회
(055-930-4753)</t>
    <phoneticPr fontId="23" type="noConversion"/>
  </si>
  <si>
    <t>○ 황매산 산상음악회
○ 억새스탬프 투어, 합천농특산물 홍보행사 등</t>
    <phoneticPr fontId="23" type="noConversion"/>
  </si>
  <si>
    <t>10~11월 중
(11일간)</t>
    <phoneticPr fontId="23" type="noConversion"/>
  </si>
  <si>
    <t>황매산 억새축제</t>
    <phoneticPr fontId="23" type="noConversion"/>
  </si>
  <si>
    <t>합천군</t>
    <phoneticPr fontId="23" type="noConversion"/>
  </si>
  <si>
    <t>자체운영</t>
    <phoneticPr fontId="23" type="noConversion"/>
  </si>
  <si>
    <t>공공(합천군)</t>
    <phoneticPr fontId="23" type="noConversion"/>
  </si>
  <si>
    <t>기록물관련</t>
    <phoneticPr fontId="23" type="noConversion"/>
  </si>
  <si>
    <t>합천군 관광진흥과
(055-930-4697)</t>
    <phoneticPr fontId="23" type="noConversion"/>
  </si>
  <si>
    <t>○ 퍼포먼스, 지역가수 공연 등
○ 키다리&amp;요술공연 퍼포먼스
○ 체험프로그램</t>
    <phoneticPr fontId="23" type="noConversion"/>
  </si>
  <si>
    <t>10.17~11.01.
(16일간)</t>
    <phoneticPr fontId="23" type="noConversion"/>
  </si>
  <si>
    <t>2020 
합천기록문화축제</t>
    <phoneticPr fontId="23" type="noConversion"/>
  </si>
  <si>
    <t>상설</t>
    <phoneticPr fontId="23" type="noConversion"/>
  </si>
  <si>
    <t>합천군 문화예술담당
/대야문화제제전위원회
(055-933-5448)</t>
    <phoneticPr fontId="23" type="noConversion"/>
  </si>
  <si>
    <t>○ 군민체육대회, 군민의날 행사
○ 축하공연
○ 시가행진 및 가장행열, 제등행렬
○ 체험 및 전시부스 운영, 각종 경연대회</t>
    <phoneticPr fontId="23" type="noConversion"/>
  </si>
  <si>
    <t>대야문화제</t>
    <phoneticPr fontId="23" type="noConversion"/>
  </si>
  <si>
    <t>강, 물놀이</t>
    <phoneticPr fontId="23" type="noConversion"/>
  </si>
  <si>
    <t>합천군 관광진흥과 
(055-930-4666)</t>
    <phoneticPr fontId="23" type="noConversion"/>
  </si>
  <si>
    <t xml:space="preserve">○ 대표프로그램 : 황강을 품은 은어
○ 여름 바캉스를 테마로 가족이 함께 즐길 수 있는 다양한
    체험프로그램 및 공연행사 진행
○ 고스트파크, 옐로우리버비치 등 지역 행사 연계 </t>
    <phoneticPr fontId="23" type="noConversion"/>
  </si>
  <si>
    <t>합천바캉스축제</t>
    <phoneticPr fontId="23" type="noConversion"/>
  </si>
  <si>
    <t>1997년도
(제24회)</t>
    <phoneticPr fontId="23" type="noConversion"/>
  </si>
  <si>
    <t>○ 철쭉제례
○ 지역특산품 홍보행사, 체험행사이벤트 등 운영</t>
    <phoneticPr fontId="23" type="noConversion"/>
  </si>
  <si>
    <t>4~5월 중
(11일간)</t>
    <phoneticPr fontId="23" type="noConversion"/>
  </si>
  <si>
    <t>황매산철쭉제</t>
    <phoneticPr fontId="23" type="noConversion"/>
  </si>
  <si>
    <t>공공(도)</t>
    <phoneticPr fontId="23" type="noConversion"/>
  </si>
  <si>
    <t>얼음, 눈</t>
    <phoneticPr fontId="23" type="noConversion"/>
  </si>
  <si>
    <t>금원산산림자원관리소
(055-254-3971)</t>
    <phoneticPr fontId="23" type="noConversion"/>
  </si>
  <si>
    <t>○ 자연휴양림과 연계한 가족친화형 얼음축제
○ 얼음계곡, 얼음조각 전시(무료)
○ 얼음썰매장, 얼음미끄럼틀 운영(무료)
○ 목공예, 소형화분만들기, 느린엽서 쓰픽 체험(무료)</t>
    <phoneticPr fontId="23" type="noConversion"/>
  </si>
  <si>
    <t>12~1월 중</t>
    <phoneticPr fontId="23" type="noConversion"/>
  </si>
  <si>
    <t>금원산얼음축제</t>
    <phoneticPr fontId="23" type="noConversion"/>
  </si>
  <si>
    <t>거창군</t>
    <phoneticPr fontId="23" type="noConversion"/>
  </si>
  <si>
    <t>없음
(축제기간 중 
간사 1명)</t>
    <phoneticPr fontId="23" type="noConversion"/>
  </si>
  <si>
    <t>빛 축제</t>
    <phoneticPr fontId="23" type="noConversion"/>
  </si>
  <si>
    <t>거창크리스마스
트리문화축제위원회
(055-940-3412)</t>
    <phoneticPr fontId="23" type="noConversion"/>
  </si>
  <si>
    <t>○ 메인트리 및 게이트 존, 포토존 설치(조명장치)
○ 버스킹경연대회, 크리스마스갓탤런트 선발대회
○ 기타 문화예술공연, 불우이웃돕기, 차나눔행사 등</t>
    <phoneticPr fontId="23" type="noConversion"/>
  </si>
  <si>
    <t>12월 중
(50일정도)</t>
    <phoneticPr fontId="23" type="noConversion"/>
  </si>
  <si>
    <t>거창크리스마스트리
문화축제</t>
    <phoneticPr fontId="23" type="noConversion"/>
  </si>
  <si>
    <t xml:space="preserve">있음
정규직 3명
계약직 10명
총 13명  </t>
    <phoneticPr fontId="23" type="noConversion"/>
  </si>
  <si>
    <t>지역농산물</t>
    <phoneticPr fontId="23" type="noConversion"/>
  </si>
  <si>
    <t>(재)거창문화재단
/(재)거창문화재단 등
(055-940-8452)</t>
    <phoneticPr fontId="23" type="noConversion"/>
  </si>
  <si>
    <t>거창한마당대축제</t>
    <phoneticPr fontId="23" type="noConversion"/>
  </si>
  <si>
    <t>특산품(산양삼), 불꽃 등</t>
    <phoneticPr fontId="23" type="noConversion"/>
  </si>
  <si>
    <t>거창군 산림과
/거창군산양삼협회
(055-940-3463)</t>
    <phoneticPr fontId="23" type="noConversion"/>
  </si>
  <si>
    <t>○ 개막식, Y형 출렁다리 개장식, 불꽃놀이
○ 재래시장 및 지역특산물 판매·홍보
○ 지역예술인 및 외부단체, 인기가수 초청 공연</t>
    <phoneticPr fontId="23" type="noConversion"/>
  </si>
  <si>
    <t>거창산양삼축제
(거창산삼축제)</t>
    <phoneticPr fontId="23" type="noConversion"/>
  </si>
  <si>
    <t xml:space="preserve">부분위탁 </t>
    <phoneticPr fontId="23" type="noConversion"/>
  </si>
  <si>
    <t>산삼</t>
    <phoneticPr fontId="23" type="noConversion"/>
  </si>
  <si>
    <t>함양군/함양산삼축제위원회
(055-960-5194)</t>
    <phoneticPr fontId="23" type="noConversion"/>
  </si>
  <si>
    <t>○ 산양삼캐기체험 및 황금산삼을 찾아라! 심마니 여정,
    산삼주제관, 심마니 체험장, 산신령 야간 숲 체험
○ 산삼항노화 국제교역전(B2B) 및 농특산물 수출 
    상담회, 농산물엑스포, 국제교류행사</t>
    <phoneticPr fontId="23" type="noConversion"/>
  </si>
  <si>
    <t>10.9~10.18.
(10일간)</t>
    <phoneticPr fontId="23" type="noConversion"/>
  </si>
  <si>
    <t>함양산삼축제</t>
    <phoneticPr fontId="23" type="noConversion"/>
  </si>
  <si>
    <t>함양군</t>
    <phoneticPr fontId="23" type="noConversion"/>
  </si>
  <si>
    <t>있음
사무국장 1명
사무차장 1명</t>
    <phoneticPr fontId="23" type="noConversion"/>
  </si>
  <si>
    <t>상림</t>
    <phoneticPr fontId="23" type="noConversion"/>
  </si>
  <si>
    <t>경상남도 함양군 문화관광과/
천령문화제위원회
(055-960-5161)</t>
    <phoneticPr fontId="23" type="noConversion"/>
  </si>
  <si>
    <t>○동아리페스티벌
○ 천령미술공모전
○ 노래교실경연대회, 기악경연대회
○ 개막식, 폐막식 및 축하공연</t>
    <phoneticPr fontId="23" type="noConversion"/>
  </si>
  <si>
    <t>5.2~5.8.
(7일간)</t>
    <phoneticPr fontId="23" type="noConversion"/>
  </si>
  <si>
    <t>함양물레방아골축제</t>
    <phoneticPr fontId="23" type="noConversion"/>
  </si>
  <si>
    <t>정신문화</t>
    <phoneticPr fontId="23" type="noConversion"/>
  </si>
  <si>
    <t>2001년도
(44회)</t>
    <phoneticPr fontId="23" type="noConversion"/>
  </si>
  <si>
    <t>산청군청 문화체육과
/ 남명선비문화축제집행위원회  
(055-970-6401)</t>
    <phoneticPr fontId="23" type="noConversion"/>
  </si>
  <si>
    <t>○ 남명제례, 국제학술대회
○ 개막공연, 주제공연 및 문화공연
   - 의병출정극, 마당극남명, 국악공연 등
○ 서예대전초대작가전, 시조경창대회, 한시백일장</t>
    <phoneticPr fontId="23" type="noConversion"/>
  </si>
  <si>
    <t>10.16~10.17.
(2일간)</t>
    <phoneticPr fontId="23" type="noConversion"/>
  </si>
  <si>
    <t>남명선비문화축제</t>
    <phoneticPr fontId="23" type="noConversion"/>
  </si>
  <si>
    <t>산청군</t>
    <phoneticPr fontId="23" type="noConversion"/>
  </si>
  <si>
    <t>2001년년도
(20회)</t>
    <phoneticPr fontId="23" type="noConversion"/>
  </si>
  <si>
    <t>산청군 한방항노화실
/산청한방약초축제위원회
(055-970-6602)</t>
    <phoneticPr fontId="23" type="noConversion"/>
  </si>
  <si>
    <t>○ 대표프로그램: 한방항노화관, 내몸의 보약 체험
○ 한방약초를 테마로 한 공연, 전시, 학술, 경연, 체험
     프로그램 및 판매행사 운영(100여개 세부프로그램)
○ 기타 군민의 날, 노인의 날 등 연계행사 운영</t>
    <phoneticPr fontId="23" type="noConversion"/>
  </si>
  <si>
    <t>9.25~10.11.
(17일간)</t>
    <phoneticPr fontId="23" type="noConversion"/>
  </si>
  <si>
    <t>경호강</t>
    <phoneticPr fontId="23" type="noConversion"/>
  </si>
  <si>
    <t>산청군 관광진흥과
/서경방송
(055-970-7203)</t>
    <phoneticPr fontId="23" type="noConversion"/>
  </si>
  <si>
    <t>○ 청춘트롯가요제
○ 물놀이 체험 및 기타체험
○ 군민장기자랑, 수강경기
○ 부대행사(래프팅, 낚시대회)</t>
    <phoneticPr fontId="23" type="noConversion"/>
  </si>
  <si>
    <t>7월 중
(3~4일간)</t>
    <phoneticPr fontId="23" type="noConversion"/>
  </si>
  <si>
    <t>산청경호강물페스티벌</t>
    <phoneticPr fontId="23" type="noConversion"/>
  </si>
  <si>
    <t>산청황매산철쭉제위원회</t>
    <phoneticPr fontId="23" type="noConversion"/>
  </si>
  <si>
    <t>황매산철쭉</t>
    <phoneticPr fontId="23" type="noConversion"/>
  </si>
  <si>
    <t>산청군 관광진흥과
/산청황매산철쭉제위원회
(055-970-7203)</t>
    <phoneticPr fontId="23" type="noConversion"/>
  </si>
  <si>
    <t>○ 등반대회
○ 철쭉 쁘띠 프로포즈 존
○ 산청합천 행사 (공동 연날리기 등)
○ 황매산 트래킹 스탬프, 신선 족욕 체험
  - 사랑을 빚는 산청흙 도자기 체험</t>
    <phoneticPr fontId="23" type="noConversion"/>
  </si>
  <si>
    <t>5월 중
(10일간)</t>
    <phoneticPr fontId="23" type="noConversion"/>
  </si>
  <si>
    <t>산청군 관광진흥과
(055-970-7203)</t>
    <phoneticPr fontId="23" type="noConversion"/>
  </si>
  <si>
    <t>○ 피리낚시, 페이스페인팅, 꽃화분 만들기
○ 공연행사
○ 향토음식점, 농특산품 판매장</t>
    <phoneticPr fontId="23" type="noConversion"/>
  </si>
  <si>
    <t>단성 경호강변
 유채꽃 축제</t>
    <phoneticPr fontId="23" type="noConversion"/>
  </si>
  <si>
    <t>생초꽃잔디</t>
    <phoneticPr fontId="23" type="noConversion"/>
  </si>
  <si>
    <t>○ 꽃잔디 화분 만들기, 페이스페인팅, 
    천아트 꽃그림 그리기, 컬러링으로 만나는 문화유산 
    체험, 우리고장 열쇠고리 만들기
○ 공연행사</t>
    <phoneticPr fontId="23" type="noConversion"/>
  </si>
  <si>
    <t>4월 중
(17일간)</t>
    <phoneticPr fontId="23" type="noConversion"/>
  </si>
  <si>
    <t>생초국제조각공원
 꽃잔디축제</t>
    <phoneticPr fontId="23" type="noConversion"/>
  </si>
  <si>
    <t xml:space="preserve">있음
정규직 3
계약직 5 </t>
    <phoneticPr fontId="23" type="noConversion"/>
  </si>
  <si>
    <t xml:space="preserve">산청군 산림녹지과/
지리산산청곶감축제위원회
(055-970-6931) </t>
    <phoneticPr fontId="23" type="noConversion"/>
  </si>
  <si>
    <t>○ 산청곶감 품평회, 곶감요리 경진대회
○ 곶감판매장터, 설명절 선물전, 대한민국  대표과일로 
        만든 곶감전시, 지리산사진전, 공예 및 천연염색 등
○ 무대이벤트 : 개막식, 산청곶감올림픽, 문화공연 등</t>
    <phoneticPr fontId="23" type="noConversion"/>
  </si>
  <si>
    <t>1.2~1.5.
(4일간)</t>
    <phoneticPr fontId="23" type="noConversion"/>
  </si>
  <si>
    <t>지리산산청곶감축제</t>
    <phoneticPr fontId="23" type="noConversion"/>
  </si>
  <si>
    <t>영농법인</t>
    <phoneticPr fontId="23" type="noConversion"/>
  </si>
  <si>
    <t>코스모스 메밀꽃</t>
    <phoneticPr fontId="23" type="noConversion"/>
  </si>
  <si>
    <t>○ 친환경 톱밥길 걷기 체험
○ 메밀묵 만들기 체험, 코스모스,메밀을 테마로한 공연
○ 개폐막 공연, 주제공연 및 문화공연
    - 4개 분야(공연,전시,체험,판매) 40여개 프로그램
○농특산물판매 행사</t>
    <phoneticPr fontId="23" type="noConversion"/>
  </si>
  <si>
    <t>9.18~10.4.
(17일간)</t>
    <phoneticPr fontId="23" type="noConversion"/>
  </si>
  <si>
    <t>하동북천 
코스모스 메밀꽃 축제</t>
    <phoneticPr fontId="23" type="noConversion"/>
  </si>
  <si>
    <t>하동군</t>
    <phoneticPr fontId="23" type="noConversion"/>
  </si>
  <si>
    <t>섬진강</t>
    <phoneticPr fontId="23" type="noConversion"/>
  </si>
  <si>
    <t>알프스하동 섬진강문화
재첩축제위원회
(055-880-2053)</t>
    <phoneticPr fontId="23" type="noConversion"/>
  </si>
  <si>
    <t>○ 어슬렁익사이팅운영 및 외국유명 공연팀 초청 공연
○ 황금재첩을 찾아라, 체험 및 재첩국 시식
○ 섬진강, 송림을 테마로한 육상.물놀이 체험, 문화행사
   - 4개 분야(공연,전시,체험,판매) 30여개 프로그램</t>
    <phoneticPr fontId="23" type="noConversion"/>
  </si>
  <si>
    <t>5.28~5.31
(4일간)</t>
    <phoneticPr fontId="23" type="noConversion"/>
  </si>
  <si>
    <t>알프스 하동 
섬진강문화 재첩축제</t>
    <phoneticPr fontId="23" type="noConversion"/>
  </si>
  <si>
    <t>꽃양귀비</t>
    <phoneticPr fontId="23" type="noConversion"/>
  </si>
  <si>
    <t>북천 코스모스메밀꽃 영농법인
/북천면사무소 및 북천 코스모스메밀꽃 영농법인
(055-880-2412)</t>
    <phoneticPr fontId="23" type="noConversion"/>
  </si>
  <si>
    <t>○ 꽃 양귀비를 주제로한 현장투어 및 떡메치기
○ 꽃 양귀비를 테마로한 공연, 전시, 체험프로그램 운영
○ 개폐막 공연, 주제공연 및 문화공연
   - 4개 분야(공연,전시,체험,판매) 8여개 프로그램</t>
    <phoneticPr fontId="23" type="noConversion"/>
  </si>
  <si>
    <t>5.15~5.24.
(10일간)</t>
    <phoneticPr fontId="23" type="noConversion"/>
  </si>
  <si>
    <t>하동북천 꽃양귀비축제</t>
    <phoneticPr fontId="23" type="noConversion"/>
  </si>
  <si>
    <t>녹차</t>
    <phoneticPr fontId="23" type="noConversion"/>
  </si>
  <si>
    <t>사)하동야생차문화축제 
조직위원회
(055-880-2053)</t>
    <phoneticPr fontId="23" type="noConversion"/>
  </si>
  <si>
    <t>○ 대한민국 아름다운 찻자리 최고대회
○ 대한민국 다례 경연대회, 올해의 좋은차 품평회
○ 개막공연, 다원 별빛 차회, 하동 티 블렌딩 대회 등
   - 4개 분야(공연,전시,체험,판매) 30여개 프로그램</t>
    <phoneticPr fontId="23" type="noConversion"/>
  </si>
  <si>
    <t>하동야생차문화축제</t>
    <phoneticPr fontId="23" type="noConversion"/>
  </si>
  <si>
    <t>물메기, 해돋이</t>
    <phoneticPr fontId="23" type="noConversion"/>
  </si>
  <si>
    <t>2001년도
(18화)</t>
    <phoneticPr fontId="23" type="noConversion"/>
  </si>
  <si>
    <t>상주면연합청년회</t>
    <phoneticPr fontId="23" type="noConversion"/>
  </si>
  <si>
    <t>○ 물메기 시식 및 체험행사 및 해돋이 등산
○ 버스킹공연, 초청가수 및 EDM 공연 등
○불꽃놀이  등</t>
    <phoneticPr fontId="23" type="noConversion"/>
  </si>
  <si>
    <t>상주해돋이&amp; 
물메기 축제</t>
    <phoneticPr fontId="23" type="noConversion"/>
  </si>
  <si>
    <t>남해군</t>
    <phoneticPr fontId="23" type="noConversion"/>
  </si>
  <si>
    <t>참굴</t>
    <phoneticPr fontId="23" type="noConversion"/>
  </si>
  <si>
    <t>○ 바닷길 걷기체험, 굴따기체험
○ 굴 및 농수산물,어패류 판매
○ 합창공연, 불꽃놀이, 노래자랑 등</t>
    <phoneticPr fontId="23" type="noConversion"/>
  </si>
  <si>
    <t>보물섬 남해설천 
참굴축제</t>
    <phoneticPr fontId="23" type="noConversion"/>
  </si>
  <si>
    <t>2017년도
(2회)</t>
    <phoneticPr fontId="23" type="noConversion"/>
  </si>
  <si>
    <t>남해군 문화관광과
(055-860-8604)</t>
    <phoneticPr fontId="23" type="noConversion"/>
  </si>
  <si>
    <t>○ 이순신 운구행렬 재현 및 추모의례 
○ 군악대, 검무, 전통무예 등 공연 시연
○ 이순신 판타지아(조명, 영상, 불꽃놀이)</t>
    <phoneticPr fontId="23" type="noConversion"/>
  </si>
  <si>
    <t>이순신 순국제전</t>
    <phoneticPr fontId="23" type="noConversion"/>
  </si>
  <si>
    <t>맥주, 독일</t>
    <phoneticPr fontId="23" type="noConversion"/>
  </si>
  <si>
    <t>○ 옥토버나이트파티
○ 오락 및 체험행사, 독일문화체험존
○ 환영퍼레이드 및 독일 민속공연</t>
    <phoneticPr fontId="23" type="noConversion"/>
  </si>
  <si>
    <t>독일마을 맥주축제</t>
    <phoneticPr fontId="23" type="noConversion"/>
  </si>
  <si>
    <t>왕새우</t>
    <phoneticPr fontId="23" type="noConversion"/>
  </si>
  <si>
    <t xml:space="preserve">○ 왕새우 맨손잡이 체험
○ 왕새우 음식부스 및 직거래 판매 </t>
    <phoneticPr fontId="23" type="noConversion"/>
  </si>
  <si>
    <t>보물섬 갈화왕새우축제</t>
    <phoneticPr fontId="23" type="noConversion"/>
  </si>
  <si>
    <t>바다, 불꽃</t>
    <phoneticPr fontId="23" type="noConversion"/>
  </si>
  <si>
    <t>2002년도
(16회)</t>
    <phoneticPr fontId="23" type="noConversion"/>
  </si>
  <si>
    <t>상주번영회</t>
    <phoneticPr fontId="23" type="noConversion"/>
  </si>
  <si>
    <t>○ 버블풀파티withEDM DJ)
○ 불꽃놀이, 초대가수공연, 게릴라콘서트
○ 송림치맥파티, 야간영화상영 등</t>
    <phoneticPr fontId="23" type="noConversion"/>
  </si>
  <si>
    <t>상주은모래비치 
섬머페스티벌</t>
    <phoneticPr fontId="23" type="noConversion"/>
  </si>
  <si>
    <t>마늘, 한우</t>
    <phoneticPr fontId="23" type="noConversion"/>
  </si>
  <si>
    <t>마늘축제&amp;한우잔치추진위원회</t>
    <phoneticPr fontId="23" type="noConversion"/>
  </si>
  <si>
    <t>○ 환웅녀/마늘장사 선발대회
○ 콘서트, 공연, dj파티,불꽃놀이
○ 요리시연, 마늘장터, 시식회, 가요제 등</t>
    <phoneticPr fontId="23" type="noConversion"/>
  </si>
  <si>
    <t>보물섬 마늘축제
&amp;한우잔치</t>
    <phoneticPr fontId="23" type="noConversion"/>
  </si>
  <si>
    <t>고사리</t>
    <phoneticPr fontId="23" type="noConversion"/>
  </si>
  <si>
    <t>창선고사리삼합축제추진위원회
(055-860-8453)</t>
    <phoneticPr fontId="23" type="noConversion"/>
  </si>
  <si>
    <t>○ 공연행사(마술, 이색버스킹, 삼합가요제 등)
○ 고사리 꺾기 등 체험행사 운영
○ 먹거리 및 지역특산물 판매 운영</t>
    <phoneticPr fontId="23" type="noConversion"/>
  </si>
  <si>
    <t>창선고사리삼합축제</t>
    <phoneticPr fontId="23" type="noConversion"/>
  </si>
  <si>
    <t>○ 맨손 물고기 잡기
○ 가장행렬, 퍼레이드 등
○ 요리시연퍼포먼스, 공연, 콘서트, 현장노래방</t>
    <phoneticPr fontId="23" type="noConversion"/>
  </si>
  <si>
    <t>보물섬 미조항멸치축제</t>
    <phoneticPr fontId="23" type="noConversion"/>
  </si>
  <si>
    <t>2016년도
(3회)</t>
    <phoneticPr fontId="23" type="noConversion"/>
  </si>
  <si>
    <t xml:space="preserve">○ 어울림한마당, 농악경연대회
○ 고성군 농축산물 판매 행사
○ 한우/가공식품 품평회, 전동놀이 등 </t>
    <phoneticPr fontId="23" type="noConversion"/>
  </si>
  <si>
    <t>농축산물 한마당축제</t>
    <phoneticPr fontId="23" type="noConversion"/>
  </si>
  <si>
    <t>가리비, 굴</t>
    <phoneticPr fontId="23" type="noConversion"/>
  </si>
  <si>
    <t>○ 개막식 및 축하공연
○ 가리비 판매, 체험, 공연, 특별행사</t>
    <phoneticPr fontId="23" type="noConversion"/>
  </si>
  <si>
    <t>고성가리비수산물축제</t>
    <phoneticPr fontId="23" type="noConversion"/>
  </si>
  <si>
    <t>소가야문화</t>
    <phoneticPr fontId="23" type="noConversion"/>
  </si>
  <si>
    <t>1959년도
(42회)</t>
    <phoneticPr fontId="23" type="noConversion"/>
  </si>
  <si>
    <t>고성군/(사)소가야문화보존회
(055-670-2204)</t>
    <phoneticPr fontId="23" type="noConversion"/>
  </si>
  <si>
    <t>○ 군민노래자랑
○ 문화예술행사
    - 농악경연대회 등 26개 행사</t>
    <phoneticPr fontId="23" type="noConversion"/>
  </si>
  <si>
    <t>9.30~10.02.
(3일간)</t>
    <phoneticPr fontId="23" type="noConversion"/>
  </si>
  <si>
    <t>소가야문화제</t>
    <phoneticPr fontId="23" type="noConversion"/>
  </si>
  <si>
    <t>자연(꽃)</t>
    <phoneticPr fontId="23" type="noConversion"/>
  </si>
  <si>
    <t>○ 문화공연행사, 포토존 운영, 메밀차 시음 
○ 메밀음식 체험 등 각종 체험행사</t>
    <phoneticPr fontId="23" type="noConversion"/>
  </si>
  <si>
    <t>9.18~9.20.
(3일간)</t>
    <phoneticPr fontId="23" type="noConversion"/>
  </si>
  <si>
    <t>메밀꽃핀 바다축제</t>
    <phoneticPr fontId="23" type="noConversion"/>
  </si>
  <si>
    <t>자연</t>
    <phoneticPr fontId="23" type="noConversion"/>
  </si>
  <si>
    <t>고성군/영현면발전위원회
(055-670-5303)</t>
    <phoneticPr fontId="23" type="noConversion"/>
  </si>
  <si>
    <t>○ 촌스런콘서트
○ 체험프로그램 운영</t>
    <phoneticPr fontId="23" type="noConversion"/>
  </si>
  <si>
    <t>8.1~8.2.
(2일간)</t>
    <phoneticPr fontId="23" type="noConversion"/>
  </si>
  <si>
    <t>촌스런 축제</t>
    <phoneticPr fontId="23" type="noConversion"/>
  </si>
  <si>
    <t>책, 이야기</t>
    <phoneticPr fontId="23" type="noConversion"/>
  </si>
  <si>
    <t>동시동화 나무의숲
(055-674-1669)</t>
    <phoneticPr fontId="23" type="noConversion"/>
  </si>
  <si>
    <t>○ 공룡이야기 구연대회, 고성북페어
○ 동시동화 착가와 만남, 공룡그리기, 달빛독서 등 체험</t>
    <phoneticPr fontId="23" type="noConversion"/>
  </si>
  <si>
    <t>5.23~5.24.
(2일간)</t>
    <phoneticPr fontId="23" type="noConversion"/>
  </si>
  <si>
    <t>공룡 책 이야기축제</t>
    <phoneticPr fontId="23" type="noConversion"/>
  </si>
  <si>
    <t>사적지, 기타</t>
    <phoneticPr fontId="23" type="noConversion"/>
  </si>
  <si>
    <t>기타(3-4년)</t>
    <phoneticPr fontId="23" type="noConversion"/>
  </si>
  <si>
    <t>공룡</t>
    <phoneticPr fontId="23" type="noConversion"/>
  </si>
  <si>
    <t>2006년도
(4회)</t>
    <phoneticPr fontId="23" type="noConversion"/>
  </si>
  <si>
    <t>고성군 /
경남고성공룡세계엑스포조직위원회
(055-670-3816)</t>
    <phoneticPr fontId="23" type="noConversion"/>
  </si>
  <si>
    <t>○ 개막식 및 축하공연, 퍼레이드 등 각종 문화공연
○ 발자국 화석 전시 및 공룡캐릭터 전시
○ 5D, XR, AR체험  및 어린이 놀이 체험
○ 지질, 공룡 등 자연과학 학술행사</t>
    <phoneticPr fontId="23" type="noConversion"/>
  </si>
  <si>
    <t>4.17~6.7.
(52일간)</t>
    <phoneticPr fontId="23" type="noConversion"/>
  </si>
  <si>
    <t>2020 경남고성
공룡세계엑스포</t>
    <phoneticPr fontId="23" type="noConversion"/>
  </si>
  <si>
    <t>양파,마늘</t>
    <phoneticPr fontId="23" type="noConversion"/>
  </si>
  <si>
    <t>창녕군 농축산유통과
/창녕우포누리축제 추진위원회
(055-530-6123)</t>
    <phoneticPr fontId="23" type="noConversion"/>
  </si>
  <si>
    <t xml:space="preserve">○ 대회행사: 우포누리 어린이 미술대회
○ 전시행사: 농특산물, 가공품, 으뜸농산물 전시
○ 체험행사: 나만의 티셔츠 만들기, 바람개비 만들기
○ 부대행사: 우포누리 달빛콘서트, 푸드마켓 </t>
    <phoneticPr fontId="23" type="noConversion"/>
  </si>
  <si>
    <t>창녕우포누리축제</t>
    <phoneticPr fontId="23" type="noConversion"/>
  </si>
  <si>
    <t>창녕군</t>
    <phoneticPr fontId="23" type="noConversion"/>
  </si>
  <si>
    <t>문화의고장
(비사벌)</t>
    <phoneticPr fontId="23" type="noConversion"/>
  </si>
  <si>
    <t>1986년
(34회)</t>
    <phoneticPr fontId="23" type="noConversion"/>
  </si>
  <si>
    <t>창녕군 문화체육과 /
((사)비사벌문화제전회
(055-530-1463)</t>
    <phoneticPr fontId="23" type="noConversion"/>
  </si>
  <si>
    <t>○ 서막식 등 전야행사
○ 보부상 존 운영
○ 사진전 등 전시행사</t>
    <phoneticPr fontId="23" type="noConversion"/>
  </si>
  <si>
    <t>비사벌문화제</t>
    <phoneticPr fontId="23" type="noConversion"/>
  </si>
  <si>
    <t>있음
계약직 1명</t>
    <phoneticPr fontId="23" type="noConversion"/>
  </si>
  <si>
    <t>창녕군 생태관광과
/사)창녕낙동강유채축제위원회
(055-530-1533)</t>
    <phoneticPr fontId="23" type="noConversion"/>
  </si>
  <si>
    <t>○ 대표프로그램: 개막식, 유채꽃 라디엔티어링, 낙동강 유채가요제, 낙동강 용왕대제, 유채미술대회
○ 전시/판매 행사: 농특산물 특판장, 창녕맘모여라, 창녕애 빛벌장터, 플러브농장 전시, 남지철교 갤러리, 6.25 전사자 유해발굴사진/유품전시</t>
    <phoneticPr fontId="23" type="noConversion"/>
  </si>
  <si>
    <t>4.16~4.19.
(4일간)</t>
    <phoneticPr fontId="23" type="noConversion"/>
  </si>
  <si>
    <t>창녕낙동강유채축제</t>
    <phoneticPr fontId="23" type="noConversion"/>
  </si>
  <si>
    <t>온천</t>
    <phoneticPr fontId="23" type="noConversion"/>
  </si>
  <si>
    <t>1994년도
(26회)</t>
    <phoneticPr fontId="23" type="noConversion"/>
  </si>
  <si>
    <t>창녕군 생태관광과
/사)부곡온천관광협의회
(055-530-1594)</t>
    <phoneticPr fontId="23" type="noConversion"/>
  </si>
  <si>
    <t>○ 황토노천탕 속 보물찾기
○ 온천을 테마로한 공연, 참여, 체험프로그램 운영
○ 개막 공연, 산신제, 온정제
   - 4개 분야 17여개 프로그램</t>
    <phoneticPr fontId="23" type="noConversion"/>
  </si>
  <si>
    <t>부곡온천축제</t>
    <phoneticPr fontId="23" type="noConversion"/>
  </si>
  <si>
    <t>있음
1명</t>
    <phoneticPr fontId="23" type="noConversion"/>
  </si>
  <si>
    <t>3.1만세운동</t>
    <phoneticPr fontId="23" type="noConversion"/>
  </si>
  <si>
    <t>1961년도
(59회)</t>
    <phoneticPr fontId="23" type="noConversion"/>
  </si>
  <si>
    <t>○ 국가무형문화재 제25호 영산쇠머리대기 시연
○ 국가무형문화재 제26호 영산줄다리기 시연</t>
    <phoneticPr fontId="23" type="noConversion"/>
  </si>
  <si>
    <t>2.29~3.3.
(4일간)</t>
    <phoneticPr fontId="23" type="noConversion"/>
  </si>
  <si>
    <t>3.1민속문화제</t>
    <phoneticPr fontId="23" type="noConversion"/>
  </si>
  <si>
    <t>마을민으로 구성된 축제위원회</t>
    <phoneticPr fontId="23" type="noConversion"/>
  </si>
  <si>
    <t>해바라기</t>
    <phoneticPr fontId="23" type="noConversion"/>
  </si>
  <si>
    <t>○ 해바라기 및 마을벽화 관람
○ 농특산물 직거래, 소원리본, 개폐막공연 등</t>
    <phoneticPr fontId="23" type="noConversion"/>
  </si>
  <si>
    <t>8.28~9.6.
(10일간)</t>
    <phoneticPr fontId="23" type="noConversion"/>
  </si>
  <si>
    <t>강주해바라기축제</t>
    <phoneticPr fontId="23" type="noConversion"/>
  </si>
  <si>
    <t>함안군</t>
    <phoneticPr fontId="23" type="noConversion"/>
  </si>
  <si>
    <t>공원, 박물관</t>
    <phoneticPr fontId="23" type="noConversion"/>
  </si>
  <si>
    <t>아라가야
문화유산</t>
    <phoneticPr fontId="23" type="noConversion"/>
  </si>
  <si>
    <t>지역축제</t>
    <phoneticPr fontId="23" type="noConversion"/>
  </si>
  <si>
    <t>1988년도
(33회)</t>
    <phoneticPr fontId="23" type="noConversion"/>
  </si>
  <si>
    <t>함안아라문화제 위원회
(055-585-9400)</t>
    <phoneticPr fontId="23" type="noConversion"/>
  </si>
  <si>
    <t>○ 아라대왕행차 및 천신제 재현
○ 아라가야 민속문화 체험
○ 아라가야시대의 저잣거리 운영
○ 경연 및 전시행사
○ 축하행사 등</t>
    <phoneticPr fontId="23" type="noConversion"/>
  </si>
  <si>
    <t>함안아라문화제</t>
    <phoneticPr fontId="23" type="noConversion"/>
  </si>
  <si>
    <t>·축제조직위
(함안곶감축제위원회)마을민으로 구성된 축제위원회</t>
    <phoneticPr fontId="23" type="noConversion"/>
  </si>
  <si>
    <t>함안군
/ 함안곶감축제위원회
(055-580-4554)</t>
    <phoneticPr fontId="23" type="noConversion"/>
  </si>
  <si>
    <t>○ 개막행사
○ 함안곶감직거래장터 
○ 곶감체험부스
○ 축하공연</t>
    <phoneticPr fontId="23" type="noConversion"/>
  </si>
  <si>
    <t>1.10~1.12.
(3일간)</t>
    <phoneticPr fontId="23" type="noConversion"/>
  </si>
  <si>
    <t>제9회 함안곶감축제</t>
    <phoneticPr fontId="23" type="noConversion"/>
  </si>
  <si>
    <t>있음
 정규직 2명</t>
    <phoneticPr fontId="23" type="noConversion"/>
  </si>
  <si>
    <t>의병</t>
    <phoneticPr fontId="23" type="noConversion"/>
  </si>
  <si>
    <t>1973년도
(48회)</t>
    <phoneticPr fontId="23" type="noConversion"/>
  </si>
  <si>
    <t>의령군 문화관광과
/ (사)의병기념사업회
(055-573-1100)</t>
    <phoneticPr fontId="23" type="noConversion"/>
  </si>
  <si>
    <t xml:space="preserve">○ 의병 횃불행진
○ 의병 승리의 함성 공연, 의병출정 퍼레이드
○ 곽재우 장군 유물 진품전 등 
○ 의병역사콘서트 </t>
    <phoneticPr fontId="23" type="noConversion"/>
  </si>
  <si>
    <t>의령 홍의장군축제</t>
    <phoneticPr fontId="23" type="noConversion"/>
  </si>
  <si>
    <t>의령군</t>
    <phoneticPr fontId="23" type="noConversion"/>
  </si>
  <si>
    <t>하천, 운동장</t>
    <phoneticPr fontId="23" type="noConversion"/>
  </si>
  <si>
    <t xml:space="preserve">있음
계약직 3 명
총 3명  </t>
    <phoneticPr fontId="23" type="noConversion"/>
  </si>
  <si>
    <t>1986년도
(32회)</t>
    <phoneticPr fontId="23" type="noConversion"/>
  </si>
  <si>
    <t>양산시 문화관광과
/양산삽량문화축전추진위원회
(055-392-2546)</t>
    <phoneticPr fontId="23" type="noConversion"/>
  </si>
  <si>
    <t>○ 개회식, 축하공연, 50여개 참여프로그램
○ EDM 파티,빛 테마프로그램 LED포토존
○ 기타 연계프로그램 및 전시 등</t>
    <phoneticPr fontId="23" type="noConversion"/>
  </si>
  <si>
    <t>삽량문화축전</t>
    <phoneticPr fontId="23" type="noConversion"/>
  </si>
  <si>
    <t>양산시</t>
    <phoneticPr fontId="23" type="noConversion"/>
  </si>
  <si>
    <t xml:space="preserve">있음
계약직 3명
총 3명  </t>
    <phoneticPr fontId="23" type="noConversion"/>
  </si>
  <si>
    <t>화합, 주민</t>
    <phoneticPr fontId="23" type="noConversion"/>
  </si>
  <si>
    <t>양산시 웅상출장소 복지문화과
/양산웅상회야제추진위원회
(055-392-6182)</t>
    <phoneticPr fontId="23" type="noConversion"/>
  </si>
  <si>
    <t xml:space="preserve">○ 각종 문화예술 프로그램, 개폐막 공연(공식행사)
○ 다문화축제 
  - 다문화체험 및 어울림 프로그램
○ 시민참여 및 전시체험 프로그램    </t>
    <phoneticPr fontId="23" type="noConversion"/>
  </si>
  <si>
    <t>양산웅상회야제</t>
    <phoneticPr fontId="23" type="noConversion"/>
  </si>
  <si>
    <t>황산공원 벚꽃</t>
    <phoneticPr fontId="23" type="noConversion"/>
  </si>
  <si>
    <t>양산시 물금읍
(055-392-7012)</t>
    <phoneticPr fontId="23" type="noConversion"/>
  </si>
  <si>
    <t xml:space="preserve">○ 무대행사(축하공연, 읍민노래자랑 등)
○ 벚꽃길 걷기 </t>
    <phoneticPr fontId="23" type="noConversion"/>
  </si>
  <si>
    <t>물금 벚꽃축제</t>
    <phoneticPr fontId="23" type="noConversion"/>
  </si>
  <si>
    <t xml:space="preserve">있음
계약직 2 명
총 2명  </t>
    <phoneticPr fontId="23" type="noConversion"/>
  </si>
  <si>
    <t>양산시 문화관광과 /
원동매화축제추진위원회
(055-392-2546)</t>
    <phoneticPr fontId="23" type="noConversion"/>
  </si>
  <si>
    <t>○ 개막공연, 주제공연 및 문화공연
○ 추억의 DJ박스, 매화산책로 공연, 전시회
○ 지역자원 연계 프로그램</t>
    <phoneticPr fontId="23" type="noConversion"/>
  </si>
  <si>
    <t>원동매화축제</t>
    <phoneticPr fontId="23" type="noConversion"/>
  </si>
  <si>
    <t>수산물(대구)</t>
    <phoneticPr fontId="23" type="noConversion"/>
  </si>
  <si>
    <t>2005년
(14회)</t>
    <phoneticPr fontId="23" type="noConversion"/>
  </si>
  <si>
    <t>거제대구수산물축제추진위원회 /
거제대구호망협의회,외포청년회
(055-639-4273)</t>
    <phoneticPr fontId="23" type="noConversion"/>
  </si>
  <si>
    <t>○ 개막식과 함께 불꽃쇼 진행
○ 대구직거래장터, 대구떡국나누기, 맨손으로활어잡기 등 대구관련 프로그램 운영</t>
    <phoneticPr fontId="23" type="noConversion"/>
  </si>
  <si>
    <t>거제대구수산물축제</t>
    <phoneticPr fontId="23" type="noConversion"/>
  </si>
  <si>
    <t>거제시</t>
    <phoneticPr fontId="23" type="noConversion"/>
  </si>
  <si>
    <t>공공(거제시)</t>
    <phoneticPr fontId="23" type="noConversion"/>
  </si>
  <si>
    <t>화훼,농업, 
문화행사 등</t>
    <phoneticPr fontId="23" type="noConversion"/>
  </si>
  <si>
    <t xml:space="preserve">문화예술 </t>
    <phoneticPr fontId="23" type="noConversion"/>
  </si>
  <si>
    <t>거제시 /
농업기술센터
(055-639-6443)</t>
    <phoneticPr fontId="23" type="noConversion"/>
  </si>
  <si>
    <t>○ 거제식물원(정글돔) 개방
○ 거제를 테마로 한 6개분야 62개 프로그램 운영
   - 체험행사 : 곤충체험, 공예품만들기, 캐리커처 등
   - 전시판매 : 국화분재, 사진, 시화, 수석 등
○ 섬꽃마을속의 수학체험전, 거제청정굴축제 등</t>
    <phoneticPr fontId="23" type="noConversion"/>
  </si>
  <si>
    <t>10.26~11.1.
(7일간)</t>
    <phoneticPr fontId="23" type="noConversion"/>
  </si>
  <si>
    <t>거제섬꽃축제</t>
    <phoneticPr fontId="23" type="noConversion"/>
  </si>
  <si>
    <t xml:space="preserve">있음
계약직 40명 </t>
    <phoneticPr fontId="23" type="noConversion"/>
  </si>
  <si>
    <t>○ 개장행사:  내빈초청, 개장식
○ 문화공연: 시낭송, 문학의 거리조성, 초청가수공연 등
○ 체험행사: 농특산물 시식. 판매, 꽃길걷기
○ 규모 : 12ha(코스모스,금계국,  해바라기 식재)</t>
    <phoneticPr fontId="23" type="noConversion"/>
  </si>
  <si>
    <t>거제청마꽃들축제</t>
    <phoneticPr fontId="23" type="noConversion"/>
  </si>
  <si>
    <t>후원</t>
    <phoneticPr fontId="23" type="noConversion"/>
  </si>
  <si>
    <t>맥주, 문화공연</t>
    <phoneticPr fontId="23" type="noConversion"/>
  </si>
  <si>
    <t>거제맥주축제위원회/
KNN/거제시 홍보담당관                                   (055-639-3373)</t>
    <phoneticPr fontId="23" type="noConversion"/>
  </si>
  <si>
    <t>○ 맥주 무제한 
○ 댄스퍼포먼스 등 문화공연</t>
    <phoneticPr fontId="23" type="noConversion"/>
  </si>
  <si>
    <t>9월 중
(5일간)</t>
    <phoneticPr fontId="23" type="noConversion"/>
  </si>
  <si>
    <t>거제맥주축제</t>
    <phoneticPr fontId="23" type="noConversion"/>
  </si>
  <si>
    <t>해양스포츠</t>
    <phoneticPr fontId="23" type="noConversion"/>
  </si>
  <si>
    <t>1999년도
(27회)</t>
    <phoneticPr fontId="23" type="noConversion"/>
  </si>
  <si>
    <t>거제시 관광마케팅과
/㈜MBC경남                               (055-639-4783)</t>
    <phoneticPr fontId="23" type="noConversion"/>
  </si>
  <si>
    <t>○ 유튜브크리에이터 콘테스트 및 거제국제야시장
○ 해양스포츠, 공연 및 체험행사</t>
    <phoneticPr fontId="23" type="noConversion"/>
  </si>
  <si>
    <t>7.30~8.2.
(4일간)</t>
    <phoneticPr fontId="23" type="noConversion"/>
  </si>
  <si>
    <t>거제바다로세계로</t>
    <phoneticPr fontId="23" type="noConversion"/>
  </si>
  <si>
    <t>충무공 이순신</t>
    <phoneticPr fontId="23" type="noConversion"/>
  </si>
  <si>
    <t>1957년
(57회)</t>
    <phoneticPr fontId="23" type="noConversion"/>
  </si>
  <si>
    <t>거제시 문화예술과
(055-639-3394)</t>
    <phoneticPr fontId="23" type="noConversion"/>
  </si>
  <si>
    <t>○ 봉화 및 옥포해전 재현
○ 충무공 이순신 장군의 임진왜란 첫 승선 기념
○ 개폐막 공연, 주제공연 및 문화공연
    - 7개분야 40개 종목 단위행사</t>
    <phoneticPr fontId="23" type="noConversion"/>
  </si>
  <si>
    <t>거제 옥포대첩축제</t>
    <phoneticPr fontId="23" type="noConversion"/>
  </si>
  <si>
    <t>있음                 계약직 1명</t>
    <phoneticPr fontId="23" type="noConversion"/>
  </si>
  <si>
    <t>특산품(사과)</t>
    <phoneticPr fontId="23" type="noConversion"/>
  </si>
  <si>
    <t>1998년도            (제23회)</t>
    <phoneticPr fontId="23" type="noConversion"/>
  </si>
  <si>
    <t>얼음골사과발전협의회 
영농조합법인
(055-359-6458)</t>
    <phoneticPr fontId="23" type="noConversion"/>
  </si>
  <si>
    <t>○ 개막식, 노래자랑, 
○ 사과품평회, 사과요리전시회, 소비촉진행사 등</t>
    <phoneticPr fontId="23" type="noConversion"/>
  </si>
  <si>
    <t>얼음골사과
축제</t>
    <phoneticPr fontId="23" type="noConversion"/>
  </si>
  <si>
    <t>밀양시</t>
    <phoneticPr fontId="23" type="noConversion"/>
  </si>
  <si>
    <t>특산품(고추)</t>
    <phoneticPr fontId="23" type="noConversion"/>
  </si>
  <si>
    <t>2004년도        (17회)</t>
    <phoneticPr fontId="23" type="noConversion"/>
  </si>
  <si>
    <t>○ 개막식, 노래자랑, 용호놀이, 
    고추요리전시회, 소비촉진행사</t>
    <phoneticPr fontId="23" type="noConversion"/>
  </si>
  <si>
    <t>무안맛나향
고추축제</t>
    <phoneticPr fontId="23" type="noConversion"/>
  </si>
  <si>
    <t>밀양시 산림녹지과
/ 밀양대추축제 추진위원회
(055-359-5351)</t>
    <phoneticPr fontId="23" type="noConversion"/>
  </si>
  <si>
    <t>○ 민속놀이, 공연,
○ 대추관련 체험,
○ 전시회, 노래자랑</t>
    <phoneticPr fontId="23" type="noConversion"/>
  </si>
  <si>
    <t>밀양대추축제</t>
    <phoneticPr fontId="23" type="noConversion"/>
  </si>
  <si>
    <t>공원, 기타</t>
    <phoneticPr fontId="23" type="noConversion"/>
  </si>
  <si>
    <t>밀양시 문화예술과
(055-359-5633)
 / 밀양문화재단
(055-359-4523)</t>
    <phoneticPr fontId="23" type="noConversion"/>
  </si>
  <si>
    <t>여름공연예술축제</t>
    <phoneticPr fontId="23" type="noConversion"/>
  </si>
  <si>
    <t xml:space="preserve">있음
파견공무원 3명
정규직 18명
총 21명  </t>
    <phoneticPr fontId="23" type="noConversion"/>
  </si>
  <si>
    <t>밀양아리랑 및
전통문화</t>
    <phoneticPr fontId="23" type="noConversion"/>
  </si>
  <si>
    <t>1957년도
(62회)</t>
    <phoneticPr fontId="23" type="noConversion"/>
  </si>
  <si>
    <t>밀양시 문화예술과
(055-359-5649)
 / 밀양문화재단
(055-359-4523)</t>
    <phoneticPr fontId="23" type="noConversion"/>
  </si>
  <si>
    <t>○ 아리랑주제관
    - 밀양아리랑과 관련된 다양한 체험, 전시, 공연 등
○ 실경멀티미디어쇼 '밀양강 오딧세이'
    - 밀양의 역사와 영웅을 소재로 실경을 배경으로 한
       융복합형 실경멀티미디어쇼</t>
    <phoneticPr fontId="23" type="noConversion"/>
  </si>
  <si>
    <t>밀양아리랑대축제</t>
    <phoneticPr fontId="23" type="noConversion"/>
  </si>
  <si>
    <t>민간이전</t>
    <phoneticPr fontId="23" type="noConversion"/>
  </si>
  <si>
    <t>○ 트리 점등식 및 개막 부대행사
○ 기타 문화공연</t>
    <phoneticPr fontId="23" type="noConversion"/>
  </si>
  <si>
    <t>크리스마스문화축제</t>
    <phoneticPr fontId="23" type="noConversion"/>
  </si>
  <si>
    <t>김해시</t>
    <phoneticPr fontId="23" type="noConversion"/>
  </si>
  <si>
    <t>허왕후</t>
    <phoneticPr fontId="23" type="noConversion"/>
  </si>
  <si>
    <t>(재)김해문화재단
(055-320-1208)</t>
    <phoneticPr fontId="23" type="noConversion"/>
  </si>
  <si>
    <t>○ 개막 공연, 축하행사 공연
○ 사전행사(허왕후 콘텐츠 공모전)
○ 메인행사(허황후 신행길 퍼레이드 공연,주제공연 등)
○ 인도전통무용단 초청공연 외 5개 프로그램</t>
    <phoneticPr fontId="23" type="noConversion"/>
  </si>
  <si>
    <t>허황후 신행길축제</t>
    <phoneticPr fontId="23" type="noConversion"/>
  </si>
  <si>
    <t>박물관, 거리</t>
    <phoneticPr fontId="23" type="noConversion"/>
  </si>
  <si>
    <t>분청도자기</t>
    <phoneticPr fontId="23" type="noConversion"/>
  </si>
  <si>
    <t>(사)김해도예협회
(055-345-6035)</t>
    <phoneticPr fontId="23" type="noConversion"/>
  </si>
  <si>
    <t>○ 의식행사(기원제, 개막식 등)
○ 전시행사(백파선 갤러리관 등)
○ 체험행사(도자기 발굴체험 등)
○ 공연행사(초대가수 등) 외 5개분야</t>
    <phoneticPr fontId="23" type="noConversion"/>
  </si>
  <si>
    <t>9.11~9.20
(10일간)</t>
    <phoneticPr fontId="23" type="noConversion"/>
  </si>
  <si>
    <t>김해분청도자기축제</t>
    <phoneticPr fontId="23" type="noConversion"/>
  </si>
  <si>
    <t>평생학습</t>
    <phoneticPr fontId="23" type="noConversion"/>
  </si>
  <si>
    <t>2007년도
(15회)</t>
    <phoneticPr fontId="23" type="noConversion"/>
  </si>
  <si>
    <t>김해시 인재육성지원과 
/ 김해평생학습축제운영위원회
(055-330-4883)</t>
    <phoneticPr fontId="23" type="noConversion"/>
  </si>
  <si>
    <t>○ 평생학습동아리 경연대회
○ 뇌과학자"장동선"초청 특강,전시, 체험프로그램 운영
○ 개폐막공연, 문화공연
- 51개 동아리, 64개 부스 50,000명 참여</t>
    <phoneticPr fontId="23" type="noConversion"/>
  </si>
  <si>
    <t>평생학습과학축제</t>
    <phoneticPr fontId="23" type="noConversion"/>
  </si>
  <si>
    <t>마을
(불암동행정복지센터 일원)</t>
    <phoneticPr fontId="23" type="noConversion"/>
  </si>
  <si>
    <t>자체추진
(추후 변동 가능)</t>
    <phoneticPr fontId="23" type="noConversion"/>
  </si>
  <si>
    <t>장어, 꽃</t>
    <phoneticPr fontId="23" type="noConversion"/>
  </si>
  <si>
    <t>불암동
/불암장어문화축제 제전위원회
(055-330-8515)</t>
    <phoneticPr fontId="23" type="noConversion"/>
  </si>
  <si>
    <t>○ 주무대 공연: 초청가수 및 동아리 공연, 노래자랑 등
○ 장어마당: 장어음식 한마당, 장어잡기체험 등
○ 카누마당: 카누체험, 모터보트타기 등
○ 체험마당: 공방체험, 건강체크 등</t>
    <phoneticPr fontId="23" type="noConversion"/>
  </si>
  <si>
    <t>6.27~6.28.
(2일간)</t>
    <phoneticPr fontId="23" type="noConversion"/>
  </si>
  <si>
    <t>불암장어문화축제</t>
    <phoneticPr fontId="23" type="noConversion"/>
  </si>
  <si>
    <t>공원, 사적지, 
시내거리</t>
    <phoneticPr fontId="23" type="noConversion"/>
  </si>
  <si>
    <t xml:space="preserve">있음
계약직 4명  </t>
    <phoneticPr fontId="23" type="noConversion"/>
  </si>
  <si>
    <t>가야문화</t>
    <phoneticPr fontId="23" type="noConversion"/>
  </si>
  <si>
    <t>1962년도
(44회)</t>
    <phoneticPr fontId="23" type="noConversion"/>
  </si>
  <si>
    <t>김해시 문화예술과 /
(사)가야문화축제제전위원회
(055-330-3943)</t>
    <phoneticPr fontId="23" type="noConversion"/>
  </si>
  <si>
    <t>○ 수로왕행차 퍼레이드
○ 역사문화탐방 라디엔티어링(KNN 공동기획)
○ 개막공연(가야 이야기), 폐막식, 미디어불꽃쇼 - 7개 분야 40여개 프로그램</t>
    <phoneticPr fontId="23" type="noConversion"/>
  </si>
  <si>
    <t>4.3~4.7.
(5일간)</t>
    <phoneticPr fontId="23" type="noConversion"/>
  </si>
  <si>
    <t>가야문화축제</t>
    <phoneticPr fontId="23" type="noConversion"/>
  </si>
  <si>
    <t>사천시 생산
지역농축산물</t>
    <phoneticPr fontId="23" type="noConversion"/>
  </si>
  <si>
    <t>사천시 농축산과 /
사천시농업한마당축제추진위원회
(055-831-3760)</t>
    <phoneticPr fontId="23" type="noConversion"/>
  </si>
  <si>
    <t>○ 경남 다문화 트롯 가요제
○ 전시, 판매, 체험프로그램 운영
○ 개폐막 공연, 주제공연 및 문화공연
    - 7개 분야 43개 행사</t>
    <phoneticPr fontId="23" type="noConversion"/>
  </si>
  <si>
    <t xml:space="preserve">10.16~10.18.
(3일간) </t>
    <phoneticPr fontId="23" type="noConversion"/>
  </si>
  <si>
    <t>사천시농업한마당축제</t>
    <phoneticPr fontId="23" type="noConversion"/>
  </si>
  <si>
    <t>사천시</t>
    <phoneticPr fontId="23" type="noConversion"/>
  </si>
  <si>
    <t>곤양군수
행차재현</t>
    <phoneticPr fontId="23" type="noConversion"/>
  </si>
  <si>
    <t>지역특성화 매칭 펀드 사업</t>
    <phoneticPr fontId="23" type="noConversion"/>
  </si>
  <si>
    <t>문화예술
진흥원</t>
    <phoneticPr fontId="23" type="noConversion"/>
  </si>
  <si>
    <t>○ 군수부임행차재현
○ 3.1운동재현, 화합줄다리기  
○ 소리누리국악 공연, 가산오광대 공연
○ 오케스트라와 락밴드 공연, 라인·밸리·줌바댄스</t>
    <phoneticPr fontId="23" type="noConversion"/>
  </si>
  <si>
    <t xml:space="preserve">비봉내축제 </t>
    <phoneticPr fontId="23" type="noConversion"/>
  </si>
  <si>
    <t>별주부 전설</t>
    <phoneticPr fontId="23" type="noConversion"/>
  </si>
  <si>
    <t>○ 별주부 용궁퍼레이드
○ 지역특산물과 전통을 테마로한  체험프로그램
○ 축하공연 및 문화공연
- 4개 분야 22여개 프로그램</t>
    <phoneticPr fontId="23" type="noConversion"/>
  </si>
  <si>
    <t>7.18~7.19.
(2일간)</t>
    <phoneticPr fontId="23" type="noConversion"/>
  </si>
  <si>
    <t>비토 별주부전축제</t>
    <phoneticPr fontId="23" type="noConversion"/>
  </si>
  <si>
    <t xml:space="preserve">있음
정규직 11명
계약직 8명  </t>
    <phoneticPr fontId="23" type="noConversion"/>
  </si>
  <si>
    <t>용, 왕
(고려현종)</t>
    <phoneticPr fontId="23" type="noConversion"/>
  </si>
  <si>
    <t>사천시 / 사천문화재단
(055-831-2710)</t>
    <phoneticPr fontId="23" type="noConversion"/>
  </si>
  <si>
    <t>○ 와룡퍼레이드
○ "용"과 "왕_고려현종"을 테마로 한 주제
   (천년의 사천, 미래를 밝히다)
○ 삼천포愛빠지다
○ 다양한 문화공연(특설,광장,프린지무대)</t>
    <phoneticPr fontId="23" type="noConversion"/>
  </si>
  <si>
    <t>와룡문화제</t>
    <phoneticPr fontId="23" type="noConversion"/>
  </si>
  <si>
    <t>사천시 삼천포항 자연산 
전어축제추진위원회
(055-832-8568)</t>
    <phoneticPr fontId="23" type="noConversion"/>
  </si>
  <si>
    <t>○ 맨손 전어잡기 체험
○ 전어 무료시식회, 전어모형만들기 등
○ 주민자치위원회 초청공연, 노래자랑 등
○ 불꽃놀이, 어류 전시 등</t>
    <phoneticPr fontId="23" type="noConversion"/>
  </si>
  <si>
    <t>삼천포항 
자연산 전어축제</t>
    <phoneticPr fontId="23" type="noConversion"/>
  </si>
  <si>
    <t>바지락, 붕장어, 등 수산물</t>
    <phoneticPr fontId="23" type="noConversion"/>
  </si>
  <si>
    <t>(사)한국수산업경영인연합회
/ 사천시삼천포항수산물축제
추진위원회
(055-831-3112)</t>
    <phoneticPr fontId="23" type="noConversion"/>
  </si>
  <si>
    <t>○ 맨손 붕장어 잡기
○ 수산물 다트체험, 어린이 주꾸미 낚시, 요트승선체험
○ 불꽃놀이, 수산물가요제
○ 난타공연, 해산물 어류도감 전시 등</t>
    <phoneticPr fontId="23" type="noConversion"/>
  </si>
  <si>
    <t>삼천포항 수산물축제</t>
    <phoneticPr fontId="23" type="noConversion"/>
  </si>
  <si>
    <t>용현면선진리성벚꽃축제추진위원회/용현면선진리성벚꽃축제추진위원회
(055-831-5111)</t>
    <phoneticPr fontId="23" type="noConversion"/>
  </si>
  <si>
    <t>○ 용현면민 길놀이(퍼레이드)
○ 찾아가는 음악회 및 각종 초청 공연
○ 용현 문화역사관 운영 및 전시
○ 각종 체험프로그램 운영</t>
    <phoneticPr fontId="23" type="noConversion"/>
  </si>
  <si>
    <t>3.30~3.31.
(2일간)</t>
    <phoneticPr fontId="23" type="noConversion"/>
  </si>
  <si>
    <t>선진리성벚꽃축제</t>
    <phoneticPr fontId="23" type="noConversion"/>
  </si>
  <si>
    <t>등산</t>
    <phoneticPr fontId="23" type="noConversion"/>
  </si>
  <si>
    <t>사량면 주민자치위원회
(055-650-3624)</t>
    <phoneticPr fontId="23" type="noConversion"/>
  </si>
  <si>
    <t>○ 등산객 인증샷 콘테스트, 옥녀봉 정상 퀴즈대회 등</t>
    <phoneticPr fontId="23" type="noConversion"/>
  </si>
  <si>
    <t>사량도옥녀봉
전국등반축제</t>
    <phoneticPr fontId="23" type="noConversion"/>
  </si>
  <si>
    <t>통영시</t>
    <phoneticPr fontId="23" type="noConversion"/>
  </si>
  <si>
    <t>기념사업회</t>
    <phoneticPr fontId="23" type="noConversion"/>
  </si>
  <si>
    <t>섬문화</t>
    <phoneticPr fontId="23" type="noConversion"/>
  </si>
  <si>
    <t>통영시 문화예술과 /
욕지개척기념사업위원회
(055-650-4532)</t>
    <phoneticPr fontId="23" type="noConversion"/>
  </si>
  <si>
    <t>○ 개척제,거리퍼레이드,고구마축제,도예전시회,추억의 사진전,고등어 활어 축제,전마선 노젓기대회 등</t>
    <phoneticPr fontId="23" type="noConversion"/>
  </si>
  <si>
    <t>욕지섬문화축제</t>
    <phoneticPr fontId="23" type="noConversion"/>
  </si>
  <si>
    <t>한산대첩, 
이순신장군</t>
    <phoneticPr fontId="23" type="noConversion"/>
  </si>
  <si>
    <t>통영시 문화예술과
/ (재)통영한산대첩기념사업회
(055-644-5222)</t>
    <phoneticPr fontId="23" type="noConversion"/>
  </si>
  <si>
    <t>○ 한산대첩 재현
○ 이충무공 행렬 및 군점 등 
○ 각종 예술공연,전시,체험프로그램 진행</t>
    <phoneticPr fontId="23" type="noConversion"/>
  </si>
  <si>
    <t>8.11~8.15.
(5일간)</t>
    <phoneticPr fontId="23" type="noConversion"/>
  </si>
  <si>
    <t>통영한산대첩축제</t>
    <phoneticPr fontId="23" type="noConversion"/>
  </si>
  <si>
    <t>한산면 주민자치원원회
(055-650-3600)</t>
    <phoneticPr fontId="23" type="noConversion"/>
  </si>
  <si>
    <t>○ 바다체험행사,맨손고기잡이,바지락채취등</t>
    <phoneticPr fontId="23" type="noConversion"/>
  </si>
  <si>
    <t>한산도 바다체험축제</t>
    <phoneticPr fontId="23" type="noConversion"/>
  </si>
  <si>
    <t>한국에총
통영지회</t>
    <phoneticPr fontId="23" type="noConversion"/>
  </si>
  <si>
    <t>통영예술</t>
    <phoneticPr fontId="23" type="noConversion"/>
  </si>
  <si>
    <t>통영시
(055-650-4514)</t>
    <phoneticPr fontId="23" type="noConversion"/>
  </si>
  <si>
    <t>○ 추모제,백일장,전시회,사진전,어린이장터 등</t>
    <phoneticPr fontId="23" type="noConversion"/>
  </si>
  <si>
    <t>5.4~5.5.
(2일간)</t>
    <phoneticPr fontId="23" type="noConversion"/>
  </si>
  <si>
    <t>박경리문학축전</t>
    <phoneticPr fontId="23" type="noConversion"/>
  </si>
  <si>
    <t>봉숫골벚꽃축제위원회
(055-650-3840)</t>
    <phoneticPr fontId="23" type="noConversion"/>
  </si>
  <si>
    <t>○ 통제사 꽃나들이 행렬
○ 벚꽃을 테마로 한 개막식, 프린지 등 문화공연
○ 아동사생대회 등 참여 행사
○ 전혁림미술관, 김춘수유품전시관 등 전시 및 관람행사</t>
    <phoneticPr fontId="23" type="noConversion"/>
  </si>
  <si>
    <t>4.7~4.8.
(2일간)</t>
    <phoneticPr fontId="23" type="noConversion"/>
  </si>
  <si>
    <t>봉숫골 꽃나들이 축제</t>
    <phoneticPr fontId="23" type="noConversion"/>
  </si>
  <si>
    <t>있음
정규직 26명</t>
    <phoneticPr fontId="23" type="noConversion"/>
  </si>
  <si>
    <t>윤이상</t>
    <phoneticPr fontId="23" type="noConversion"/>
  </si>
  <si>
    <t>경상남도, 통영시
/ (재)통영국제음악재단
(055-650-0461)</t>
    <phoneticPr fontId="23" type="noConversion"/>
  </si>
  <si>
    <t>○ 더 깊은 의미의 '현실'을 탐구하는 음악 공연
○ 세계적인 솔리스트와 오케스트라 연주 등 다양한 공연 및 아시아 초연 오페라 공연
○ 2020년 프린지 공연 및 재즈 공연 등</t>
    <phoneticPr fontId="23" type="noConversion"/>
  </si>
  <si>
    <t>3.27~4.5.
(10일간)</t>
    <phoneticPr fontId="23" type="noConversion"/>
  </si>
  <si>
    <t>통영국제음악제</t>
    <phoneticPr fontId="23" type="noConversion"/>
  </si>
  <si>
    <t>크리스마스트리
및 조명</t>
    <phoneticPr fontId="23" type="noConversion"/>
  </si>
  <si>
    <t>진주시 문화예술과 
/ 진주크리스마스트리참빛문화
축제위원회
(055-759-2060)</t>
    <phoneticPr fontId="23" type="noConversion"/>
  </si>
  <si>
    <t>○ 성탄트리거리 조성, 거리문화공연 및 이벤트 등</t>
    <phoneticPr fontId="23" type="noConversion"/>
  </si>
  <si>
    <t>12.1~12.31.
(31일간)</t>
    <phoneticPr fontId="23" type="noConversion"/>
  </si>
  <si>
    <t>진주크리스마스트리
참빛문화축제</t>
    <phoneticPr fontId="23" type="noConversion"/>
  </si>
  <si>
    <t>진주시</t>
    <phoneticPr fontId="23" type="noConversion"/>
  </si>
  <si>
    <t>하천, 기타</t>
    <phoneticPr fontId="23" type="noConversion"/>
  </si>
  <si>
    <t>있음
정규직 5명</t>
    <phoneticPr fontId="23" type="noConversion"/>
  </si>
  <si>
    <t>드라마</t>
    <phoneticPr fontId="23" type="noConversion"/>
  </si>
  <si>
    <t>(사)코리아드라마페스티벌
조직위원회
(055-755-2363)</t>
    <phoneticPr fontId="23" type="noConversion"/>
  </si>
  <si>
    <t>○ 코리아드라마어워즈
○ 드라마를 테마로 한 공연, 전시, 체험프로그램 운영
○ 드라마OST콘서트, 국제학술포럼, 축제프로그램 등 
  - 3개부문 18개 행사</t>
    <phoneticPr fontId="23" type="noConversion"/>
  </si>
  <si>
    <t>10.1~10.11.
(11일간)</t>
    <phoneticPr fontId="23" type="noConversion"/>
  </si>
  <si>
    <t>코리아드라마페스티벌</t>
    <phoneticPr fontId="23" type="noConversion"/>
  </si>
  <si>
    <t xml:space="preserve">하천, 사적지 </t>
    <phoneticPr fontId="23" type="noConversion"/>
  </si>
  <si>
    <t>진주대첩과
예술경연</t>
    <phoneticPr fontId="23" type="noConversion"/>
  </si>
  <si>
    <t>1949년도
(70회)</t>
    <phoneticPr fontId="23" type="noConversion"/>
  </si>
  <si>
    <t>진주시, 한국예총진주지회
/개천예술제제전위원회
(055-752-0111)</t>
    <phoneticPr fontId="23" type="noConversion"/>
  </si>
  <si>
    <t>○ 서제 및 개제식
○ 지방종합예술제의 효시로써 진주대첩을
테마로한 공연, 전시, 체험프로그램 운영
○ 가장행렬, 예술경연, 체험행사, 각종전시, 종야축제 - 11개 부문 64개 행사</t>
    <phoneticPr fontId="23" type="noConversion"/>
  </si>
  <si>
    <t>개천예술제</t>
    <phoneticPr fontId="23" type="noConversion"/>
  </si>
  <si>
    <t>있음
정규직 7명</t>
    <phoneticPr fontId="23" type="noConversion"/>
  </si>
  <si>
    <t>유등</t>
    <phoneticPr fontId="23" type="noConversion"/>
  </si>
  <si>
    <t>○ 초혼점등식
○ 유등을 테마로 한 공연, 전시, 체험프로그램 운영
○ 소망등달기, 추억의 유등띄우기, 읍면동상징등
  - 본행사 16개 종목, 체험참여행사 12개종목, 
      부대행사 9개 종목</t>
    <phoneticPr fontId="23" type="noConversion"/>
  </si>
  <si>
    <t>진주남강유등축제</t>
    <phoneticPr fontId="23" type="noConversion"/>
  </si>
  <si>
    <t>○ 수상뮤직공연
○ 문화와 수상레포츠 및 각종 체험행사 개최
○ 수상뮤직 록 공연, 아카펠라, 진주드림팀 등
   - 2개 부문 10개 행사</t>
    <phoneticPr fontId="23" type="noConversion"/>
  </si>
  <si>
    <t>진주수상뮤직페스티벌</t>
    <phoneticPr fontId="23" type="noConversion"/>
  </si>
  <si>
    <t>논개</t>
    <phoneticPr fontId="23" type="noConversion"/>
  </si>
  <si>
    <t>진주시,(사)진주민속예술보존회
/ 진주논개제제전위원회
(055-746-5081)</t>
    <phoneticPr fontId="23" type="noConversion"/>
  </si>
  <si>
    <t xml:space="preserve">○ 헌다례 및 신위순행
○ 여성,교방문화를 테마로 한 전통문화예술축제
○ 의암별제, 논개순국재현극, 교방문화체험 등 
  - 본행사 21개 종목, 체험 및 부대행사 20개 종목 </t>
    <phoneticPr fontId="23" type="noConversion"/>
  </si>
  <si>
    <t>진주논개제</t>
    <phoneticPr fontId="23" type="noConversion"/>
  </si>
  <si>
    <t>불교</t>
    <phoneticPr fontId="23" type="noConversion"/>
  </si>
  <si>
    <t>진주시 문화예술과 
/진주사암연합회
(055-749-8573)</t>
    <phoneticPr fontId="23" type="noConversion"/>
  </si>
  <si>
    <t>○ 법요식 및 문화축제, 봉축 박람회
○ 가족노래자랑, 불꽃놀이, 초청가수 공연 등</t>
    <phoneticPr fontId="23" type="noConversion"/>
  </si>
  <si>
    <t>4.24~4.27.
(4일간)</t>
    <phoneticPr fontId="23" type="noConversion"/>
  </si>
  <si>
    <t>봉축문화축제</t>
    <phoneticPr fontId="23" type="noConversion"/>
  </si>
  <si>
    <t>운영위원회</t>
    <phoneticPr fontId="23" type="noConversion"/>
  </si>
  <si>
    <t>1987년도
(33회)</t>
    <phoneticPr fontId="23" type="noConversion"/>
  </si>
  <si>
    <t>○ 고유제, 개막식, 축하공연, 민속놀이, 체험마당 등</t>
    <phoneticPr fontId="23" type="noConversion"/>
  </si>
  <si>
    <t>마산만날제</t>
    <phoneticPr fontId="23" type="noConversion"/>
  </si>
  <si>
    <t>창원시</t>
    <phoneticPr fontId="23" type="noConversion"/>
  </si>
  <si>
    <t>추석</t>
    <phoneticPr fontId="23" type="noConversion"/>
  </si>
  <si>
    <t>○ 체험행사, 시민노래자랑
○ 축하공연, 어린이 사생대회, 사진전</t>
    <phoneticPr fontId="23" type="noConversion"/>
  </si>
  <si>
    <t>남산상봉제</t>
    <phoneticPr fontId="23" type="noConversion"/>
  </si>
  <si>
    <t>바다,시장</t>
    <phoneticPr fontId="23" type="noConversion"/>
  </si>
  <si>
    <t>부분위탁
(일부운영지원)</t>
    <phoneticPr fontId="23" type="noConversion"/>
  </si>
  <si>
    <t>없음
계약직 1명</t>
    <phoneticPr fontId="23" type="noConversion"/>
  </si>
  <si>
    <t>국화,불꽃</t>
    <phoneticPr fontId="23" type="noConversion"/>
  </si>
  <si>
    <t>창원시 문화예술과
/ 마산국화축제위원회
(055-225-2342)</t>
    <phoneticPr fontId="23" type="noConversion"/>
  </si>
  <si>
    <t>○ 개막식,특별행사, 문화공연
○ 해상멀티미디어 불꽃 쇼
○ 예술행사, 체험및 참여행사, 전시행사</t>
    <phoneticPr fontId="23" type="noConversion"/>
  </si>
  <si>
    <t>10.24~11.8.
(15일간)</t>
    <phoneticPr fontId="23" type="noConversion"/>
  </si>
  <si>
    <t>마산국화축제</t>
    <phoneticPr fontId="23" type="noConversion"/>
  </si>
  <si>
    <t>K-POP</t>
    <phoneticPr fontId="23" type="noConversion"/>
  </si>
  <si>
    <t>창원시 문화예술과
/ 한국방송공사(월드사업부)
(055-225-3663)</t>
    <phoneticPr fontId="23" type="noConversion"/>
  </si>
  <si>
    <t xml:space="preserve">○ 세계각국 K-POP 본선진출팀 경연 및 축하공연
○ K-드라마, K-푸드, K-패션 등 </t>
    <phoneticPr fontId="23" type="noConversion"/>
  </si>
  <si>
    <t>창원k-pop
월드페스티벌</t>
    <phoneticPr fontId="23" type="noConversion"/>
  </si>
  <si>
    <t>있음
정규직 3명
위원 10명</t>
    <phoneticPr fontId="23" type="noConversion"/>
  </si>
  <si>
    <t>진동미더덕</t>
    <phoneticPr fontId="23" type="noConversion"/>
  </si>
  <si>
    <t>2005년도
(14회)</t>
    <phoneticPr fontId="23" type="noConversion"/>
  </si>
  <si>
    <t>창원시 수산과, 문화예술과
/ 창원진동미더덕축제위원회
((055-271-0517)</t>
    <phoneticPr fontId="23" type="noConversion"/>
  </si>
  <si>
    <t>○ 개막식, 축하공연, 미더덕가요제
○ 미더덕 나눔행사, 먹거리 장터 운영
○ 수산물 체험 및 홍보행사                                                              ○ 불꽃낙화쇼</t>
    <phoneticPr fontId="23" type="noConversion"/>
  </si>
  <si>
    <t>4.10~4.12.
(3일간)</t>
    <phoneticPr fontId="23" type="noConversion"/>
  </si>
  <si>
    <t>진동미더덕&amp;
불꽃낙화축제</t>
    <phoneticPr fontId="23" type="noConversion"/>
  </si>
  <si>
    <t xml:space="preserve">있음
정규직 3명
총 3명  </t>
    <phoneticPr fontId="23" type="noConversion"/>
  </si>
  <si>
    <t>벚꽃, 이순신</t>
    <phoneticPr fontId="23" type="noConversion"/>
  </si>
  <si>
    <t>1963년도
(58회)</t>
    <phoneticPr fontId="23" type="noConversion"/>
  </si>
  <si>
    <t>창원시 문화예술과
/ 진해군항제축제위원회
진해군악의장페스티벌추진위원회(055-225-2342)</t>
    <phoneticPr fontId="23" type="noConversion"/>
  </si>
  <si>
    <t>○ 이충무공 호국퍼레이드
○ 진해군악의장 페스티벌
○ 블랙이글 에어쇼, 문화 예술 공연행사
○ 진해루 멀티미디어 해상 불꽃 쇼</t>
    <phoneticPr fontId="23" type="noConversion"/>
  </si>
  <si>
    <t>3.28~4.6.
(10일간)</t>
    <phoneticPr fontId="23" type="noConversion"/>
  </si>
  <si>
    <t>진해군항제</t>
    <phoneticPr fontId="23" type="noConversion"/>
  </si>
  <si>
    <t>사적지
(성산일출봉)</t>
    <phoneticPr fontId="23" type="noConversion"/>
  </si>
  <si>
    <t>새해맞이</t>
    <phoneticPr fontId="23" type="noConversion"/>
  </si>
  <si>
    <t>1984년도
(28회)</t>
    <phoneticPr fontId="23" type="noConversion"/>
  </si>
  <si>
    <t>제주특별자치도 세계유산본부/ 성산일출축제위원회
(064-710-6642)</t>
    <phoneticPr fontId="23" type="noConversion"/>
  </si>
  <si>
    <t>○ 새해맞이 달집태우기 및 일출기원제
○ 세계자연유산을 테마로 한 전시, 체험프로그램
○ 성산일출봉 등반 및 일출맞이</t>
    <phoneticPr fontId="23" type="noConversion"/>
  </si>
  <si>
    <t>성산일출축제</t>
    <phoneticPr fontId="23" type="noConversion"/>
  </si>
  <si>
    <t>모슬포항 일원</t>
    <phoneticPr fontId="23" type="noConversion"/>
  </si>
  <si>
    <t>방어, 바다</t>
    <phoneticPr fontId="23" type="noConversion"/>
  </si>
  <si>
    <t>2001년
(19회)</t>
    <phoneticPr fontId="23" type="noConversion"/>
  </si>
  <si>
    <t>11.21~11.24.
(4일간)</t>
    <phoneticPr fontId="23" type="noConversion"/>
  </si>
  <si>
    <t>최남단 방어축제</t>
    <phoneticPr fontId="23" type="noConversion"/>
  </si>
  <si>
    <t>대정추사관
일원</t>
    <phoneticPr fontId="23" type="noConversion"/>
  </si>
  <si>
    <t>추사 김정희</t>
    <phoneticPr fontId="23" type="noConversion"/>
  </si>
  <si>
    <t>대정고을추사문화예술제추진위원회
(064-794-2803)</t>
    <phoneticPr fontId="23" type="noConversion"/>
  </si>
  <si>
    <t>○ 추사유배행렬 재현 및 걷기 체험
○ 전국 추사숭모 휘호대회 개최
○ 추사숭모제, 추사체 전시 등 추사정신 계승
○ 다양한 체험부스 운영 및 특산물 홍보 부스 운영 등</t>
    <phoneticPr fontId="23" type="noConversion"/>
  </si>
  <si>
    <t>11.7~11.8.
(2일간)</t>
    <phoneticPr fontId="23" type="noConversion"/>
  </si>
  <si>
    <t>대정고을추사문화예술제</t>
    <phoneticPr fontId="23" type="noConversion"/>
  </si>
  <si>
    <t>제주시민
복지타운</t>
    <phoneticPr fontId="23" type="noConversion"/>
  </si>
  <si>
    <t>공공(행정시)</t>
    <phoneticPr fontId="23" type="noConversion"/>
  </si>
  <si>
    <t>제주음식(식재료, 전통음식, 음식문화 등)</t>
    <phoneticPr fontId="23" type="noConversion"/>
  </si>
  <si>
    <t>제주시/
제주음식박람회추진위원회, (사)한국외식업증앙회제주시지부
(064-728-2622)</t>
    <phoneticPr fontId="23" type="noConversion"/>
  </si>
  <si>
    <t>○ 제주천연기념물 식재료(흑우, 흑돼지, 조랑말) 전시·홍보·시식행사
○ 제주음식이야기(4.3음식, 해녀음식, 제주사계절 밥상 등) 전시·시식행사
○ 제주향토음식 등 요리 경연 대회
○ 어린이 요리체험 등 요리 체험프로그램
○ 제주로컬 식재료 및 가공식품 홍보·시식·판매 행사</t>
    <phoneticPr fontId="23" type="noConversion"/>
  </si>
  <si>
    <t>제주음식박람회</t>
    <phoneticPr fontId="23" type="noConversion"/>
  </si>
  <si>
    <t>공원, 시내거리</t>
    <phoneticPr fontId="23" type="noConversion"/>
  </si>
  <si>
    <t>제주마(馬)</t>
    <phoneticPr fontId="23" type="noConversion"/>
  </si>
  <si>
    <t>고마로마문화축제위원회
(064-728-4442)</t>
    <phoneticPr fontId="23" type="noConversion"/>
  </si>
  <si>
    <t>○ 거리 퍼레이드
○ 마제 , 마제품전시, 마음식 시식회, 장터운영
○ 노래자랑,청소년페스티벌, 어린이사생대회 등</t>
    <phoneticPr fontId="23" type="noConversion"/>
  </si>
  <si>
    <t>제7회 고마로마문화축제</t>
    <phoneticPr fontId="23" type="noConversion"/>
  </si>
  <si>
    <t xml:space="preserve">
누웨마루거리</t>
    <phoneticPr fontId="23" type="noConversion"/>
  </si>
  <si>
    <t xml:space="preserve">
 ·사단법인
 </t>
    <phoneticPr fontId="23" type="noConversion"/>
  </si>
  <si>
    <r>
      <t xml:space="preserve">   </t>
    </r>
    <r>
      <rPr>
        <sz val="10.5"/>
        <rFont val="맑은 고딕"/>
        <family val="3"/>
        <charset val="129"/>
      </rPr>
      <t>·</t>
    </r>
    <r>
      <rPr>
        <sz val="10.5"/>
        <rFont val="HY중고딕"/>
        <family val="1"/>
        <charset val="129"/>
      </rPr>
      <t xml:space="preserve"> 매년
</t>
    </r>
    <phoneticPr fontId="23" type="noConversion"/>
  </si>
  <si>
    <t>할로윈, 연꽃, 오름</t>
    <phoneticPr fontId="23" type="noConversion"/>
  </si>
  <si>
    <t xml:space="preserve">
 ·문화예술 
 </t>
    <phoneticPr fontId="23" type="noConversion"/>
  </si>
  <si>
    <t>제주특별자치도 소상공인연합회  
/ 제주특별자치도 경제통상진흥원
(064-752-5301)</t>
    <phoneticPr fontId="23" type="noConversion"/>
  </si>
  <si>
    <t xml:space="preserve">○ 할로윈 퍼레이드 
○ 할로윈, 연꽃, 누웨고치를 테마로한 전시, 체험프로그램 운영
○ 초대가수 공연 
○ 백일장, 사진전, 시식회 등  </t>
    <phoneticPr fontId="23" type="noConversion"/>
  </si>
  <si>
    <t>10.31~11.2.
(3일간)</t>
    <phoneticPr fontId="23" type="noConversion"/>
  </si>
  <si>
    <t xml:space="preserve">누웨마루
3일간의 색다른 야행 </t>
    <phoneticPr fontId="23" type="noConversion"/>
  </si>
  <si>
    <t>한림항일원</t>
    <phoneticPr fontId="23" type="noConversion"/>
  </si>
  <si>
    <t>제주도 수산정책과/한림수협
(064-710-3235)</t>
    <phoneticPr fontId="23" type="noConversion"/>
  </si>
  <si>
    <t>○ 수산물 무료시식
○ 어촌계먹거리장터
○  수산물장터</t>
    <phoneticPr fontId="23" type="noConversion"/>
  </si>
  <si>
    <t>10.25~10.27.
(3일간)</t>
    <phoneticPr fontId="23" type="noConversion"/>
  </si>
  <si>
    <t>2019년
FPC한수위수산물대축제</t>
    <phoneticPr fontId="23" type="noConversion"/>
  </si>
  <si>
    <t>렛츠런파크
제주</t>
    <phoneticPr fontId="23" type="noConversion"/>
  </si>
  <si>
    <t>제주마</t>
    <phoneticPr fontId="23" type="noConversion"/>
  </si>
  <si>
    <t>2004
(17회)</t>
    <phoneticPr fontId="23" type="noConversion"/>
  </si>
  <si>
    <t>○ 승마체험 및 제주마 전시 체험관 운영 등</t>
    <phoneticPr fontId="23" type="noConversion"/>
  </si>
  <si>
    <t>제주마축제</t>
    <phoneticPr fontId="23" type="noConversion"/>
  </si>
  <si>
    <t>제주광어</t>
    <phoneticPr fontId="23" type="noConversion"/>
  </si>
  <si>
    <t>○ 개막식, 폐막식, 불꽃놀이
○ 제주광어 맨손잡기, 제주광어 어묵만들기 체험행사 등
    - 2개분야 약 13여개 프로그램</t>
    <phoneticPr fontId="23" type="noConversion"/>
  </si>
  <si>
    <t>10.12~10.13.
(2일간)</t>
    <phoneticPr fontId="23" type="noConversion"/>
  </si>
  <si>
    <t>제주광어 대축제</t>
    <phoneticPr fontId="23" type="noConversion"/>
  </si>
  <si>
    <t>중문관광단지 및 천제연폭포</t>
    <phoneticPr fontId="23" type="noConversion"/>
  </si>
  <si>
    <t>청년회</t>
    <phoneticPr fontId="23" type="noConversion"/>
  </si>
  <si>
    <t>칠선녀, 천제연폭포 전설</t>
    <phoneticPr fontId="23" type="noConversion"/>
  </si>
  <si>
    <t>1995~2006년(12회) 이후 폐지,
 2017년 부활(3회)</t>
    <phoneticPr fontId="23" type="noConversion"/>
  </si>
  <si>
    <t>중문동주민센터
/중문동연합청년회
(064-760-4824)</t>
    <phoneticPr fontId="23" type="noConversion"/>
  </si>
  <si>
    <t>○ 칠선녀 수상공연
○ 개폐막 공연, 칠선녀 퍼포먼스 공연, 지역동아리 공연 등 
○ 특산물 판매장, 전통음식 시식회 등 체험 프로그램 운영 등</t>
    <phoneticPr fontId="23" type="noConversion"/>
  </si>
  <si>
    <t>중문칠선녀축제</t>
    <phoneticPr fontId="23" type="noConversion"/>
  </si>
  <si>
    <t>탐라문화광장</t>
    <phoneticPr fontId="23" type="noConversion"/>
  </si>
  <si>
    <t>탐라문화제추진위원회</t>
    <phoneticPr fontId="23" type="noConversion"/>
  </si>
  <si>
    <t>전통민속예술</t>
    <phoneticPr fontId="23" type="noConversion"/>
  </si>
  <si>
    <t>제주특별자치도 문화정책과
/ 한국예총제주특별자치도연합회
탐라문화제추진위원회
(064-710-3417)</t>
    <phoneticPr fontId="23" type="noConversion"/>
  </si>
  <si>
    <t xml:space="preserve">○ 4개 분야·16개 테마 행사
   - 기원축제(4): 탐라개벽 신위제, 길트기, 개막행사, 폐막행사 등
   - 제주문화가장축제(2): 탐라문화가장축제, 문화의 길 축제
   - 제주문화축제(5): 무형문화재축제, 제주문화관, 제주어 축제, 민속예술축제, 학생문화축제 
   - 참여문화축제(5): 예술문화축제, 청소년문화축제, 문화교류행사, 문화체험행사, 참여문화행사 </t>
    <phoneticPr fontId="23" type="noConversion"/>
  </si>
  <si>
    <t>탐라문화제</t>
    <phoneticPr fontId="23" type="noConversion"/>
  </si>
  <si>
    <t>공원 및 시내거리 일원</t>
    <phoneticPr fontId="23" type="noConversion"/>
  </si>
  <si>
    <t>전통, 화합</t>
    <phoneticPr fontId="23" type="noConversion"/>
  </si>
  <si>
    <t>서귀포시 /
서귀포칠십리축제조직위원회
(064-760-3946)</t>
    <phoneticPr fontId="23" type="noConversion"/>
  </si>
  <si>
    <t>○ 칠십리 퍼레이드, 마을 마당놀이
○ 전통문화 등을 연계한 각종 전시, 체험프로그램 운영
○ 개(폐)막 공연, 주제공연 및 상설 문화예술공연 등
  - 7개 테마 70여개 프로그램 운영</t>
    <phoneticPr fontId="23" type="noConversion"/>
  </si>
  <si>
    <t>9.24~9.27.
(4일간)</t>
    <phoneticPr fontId="23" type="noConversion"/>
  </si>
  <si>
    <t>서귀포칠십리축제</t>
    <phoneticPr fontId="23" type="noConversion"/>
  </si>
  <si>
    <t>광장, 박물관</t>
    <phoneticPr fontId="23" type="noConversion"/>
  </si>
  <si>
    <t>해녀</t>
    <phoneticPr fontId="23" type="noConversion"/>
  </si>
  <si>
    <t>제주특별자치도 해녀문화유산과 / 제주해녀축제추진위원회
(064-710-3982)</t>
    <phoneticPr fontId="23" type="noConversion"/>
  </si>
  <si>
    <t>○ 제3회 해녀의 날 기념식
○ 해녀를 테마로 한 공연, 전시, 체험 프로그램 운영
○ 개폐막 공연, 순수해녀 동아리 공연 및 문화 공연
 - 4개 분야 30여개 프로그램
○ 해녀문화주간(9.14.~9.20.) 해녀 관련 전시 및 공연 등</t>
    <phoneticPr fontId="23" type="noConversion"/>
  </si>
  <si>
    <t>제13회 제주해녀축제</t>
    <phoneticPr fontId="23" type="noConversion"/>
  </si>
  <si>
    <t>광장, 바닷가</t>
    <phoneticPr fontId="23" type="noConversion"/>
  </si>
  <si>
    <t>추자면축제추진위원회
/ 추자면축제추진위원회
(064-728-4265)</t>
    <phoneticPr fontId="23" type="noConversion"/>
  </si>
  <si>
    <t>○ 조기경매 체험, 고삿밥 나눔, 가족낚시대회
○ 추자도 참굴비, 삼치 등 특산품을 테마로한 공연, 전시, 시식,체험프로그램 운영
○ 어선해상 퍼레이드, 갯바당 바릇잡이, 지인망 고기잡이 체험, 추자올레길 걷기 등</t>
    <phoneticPr fontId="23" type="noConversion"/>
  </si>
  <si>
    <t>9.11~9.13.
(3일간)</t>
    <phoneticPr fontId="23" type="noConversion"/>
  </si>
  <si>
    <t>부분위탁
(무대, 시설)</t>
    <phoneticPr fontId="23" type="noConversion"/>
  </si>
  <si>
    <t>위원 35명</t>
    <phoneticPr fontId="23" type="noConversion"/>
  </si>
  <si>
    <t>건입동주민센터 /
산지천축제위원회
(064-728-4655)</t>
    <phoneticPr fontId="23" type="noConversion"/>
  </si>
  <si>
    <t>○ 제주어연극공연
○ 산지천 테우미니공연, 산지천 맨손고기잡기 체험
○ 개폐막, 주제 및 문화공연
-개폐막 공연: 개막식가래떡퍼포먼스, 폐막식영등굿
-주제 및 문화공연: 주민자치프로그램난타, 라인댄스 공연, 유관기관협조공연(민속보존회 길트기 공연, 해병군악대 오프닝 공연, 순복음복지관 플루트공연, 관내초등학생 풍물,기공, 앙상블, 난타 공연) 제주 대표곡을 테마로 한 플래시몹 공연, 다양한 연령층 공연(주부합창단, 줌바, 민요, 색소폰, 민요&amp;트롯 콜라보 공연), 산지천가요제
○ 김만덕인형만들기, 제주향토음식 빙떡 만들기 체험, 
전통놀이체험, 건입동변천사 사진전, 페이스페인팅 등</t>
    <phoneticPr fontId="23" type="noConversion"/>
  </si>
  <si>
    <t>제12회 산지천축제</t>
    <phoneticPr fontId="23" type="noConversion"/>
  </si>
  <si>
    <t>도내일원</t>
    <phoneticPr fontId="23" type="noConversion"/>
  </si>
  <si>
    <t>제주밭담</t>
    <phoneticPr fontId="23" type="noConversion"/>
  </si>
  <si>
    <t>친환경농업정책과 /
농어업유산위원회
(064-710-3052)</t>
    <phoneticPr fontId="23" type="noConversion"/>
  </si>
  <si>
    <t>○ 기간 : '20. 4~5월 또는 9월 중
○ 위치 : 개최지 공모를 통해 선정 / 5,000여명 참여
○ 주최/주관 : 제주특별자치도(농어업유산위원회)
○ 프로그램 기본구성
  (공연) 지역예술 공연, 제주민속놀이, 문화공연 등
  (전시) 제주밭담 홍보관, 제주인의 삶 홍보관 등
  (체험) 불턱체험(농작물굽기), 밭담길 걷기, 밭담쌓기 등
  (경연) 굽돌굴리기 대회, 밭담어린이그림그리기 등
  (기타) 밭담 오일장 먹거리 어멍식당</t>
    <phoneticPr fontId="23" type="noConversion"/>
  </si>
  <si>
    <t>제5회 제주밭담축제</t>
    <phoneticPr fontId="23" type="noConversion"/>
  </si>
  <si>
    <t>용천수</t>
    <phoneticPr fontId="23" type="noConversion"/>
  </si>
  <si>
    <t>2001년도
(제20회)</t>
    <phoneticPr fontId="23" type="noConversion"/>
  </si>
  <si>
    <t>도두1동마을회 및 자생단체 /
오래물축제위원회
(064-712-4567)</t>
    <phoneticPr fontId="23" type="noConversion"/>
  </si>
  <si>
    <t>8.7~8.9.
(3일간)</t>
    <phoneticPr fontId="23" type="noConversion"/>
  </si>
  <si>
    <t>예래동주민자치위원회
/ 예래생태체험축제위원회
(064-760-4866)</t>
    <phoneticPr fontId="23" type="noConversion"/>
  </si>
  <si>
    <t xml:space="preserve"> ○ 논짓물(담수욕장) 등 생태환경을 테마로 한 축제
    - 광어 맨손잡기 체험, 생태탐방 등</t>
    <phoneticPr fontId="23" type="noConversion"/>
  </si>
  <si>
    <t>8.1~8.2
(2일간)</t>
    <phoneticPr fontId="23" type="noConversion"/>
  </si>
  <si>
    <t>예래생태체험축제</t>
    <phoneticPr fontId="23" type="noConversion"/>
  </si>
  <si>
    <t>서홍동 솜반천 일원</t>
    <phoneticPr fontId="23" type="noConversion"/>
  </si>
  <si>
    <t>청소년보호단체</t>
    <phoneticPr fontId="23" type="noConversion"/>
  </si>
  <si>
    <t>문화, 영상</t>
    <phoneticPr fontId="23" type="noConversion"/>
  </si>
  <si>
    <t>서홍동청소년지도협의회
(064-760-4725)</t>
    <phoneticPr fontId="23" type="noConversion"/>
  </si>
  <si>
    <t>○ 한여름밤 솜반천 영화 상영
○ 청소년 및 가족을 위한 문화 공연
○ 특별 프로그램 : 청소년UCC 전국공모전
○ 방문객 참여·체험 프로그램 운영</t>
    <phoneticPr fontId="23" type="noConversion"/>
  </si>
  <si>
    <t>한여름밤솜반천
청소년영상문화축제</t>
    <phoneticPr fontId="23" type="noConversion"/>
  </si>
  <si>
    <t>자생단체</t>
    <phoneticPr fontId="23" type="noConversion"/>
  </si>
  <si>
    <t>효돈동연합청년회
(064-760-4623)</t>
    <phoneticPr fontId="23" type="noConversion"/>
  </si>
  <si>
    <t>○ 체험부스 운영(전통테우 무료체험, 소망등 달기 등)
○ 어린이 사생대회, 청소년 페스티벌
○ 쇠소깍 가요제</t>
    <phoneticPr fontId="23" type="noConversion"/>
  </si>
  <si>
    <t>제18회쇠소깍축제</t>
    <phoneticPr fontId="23" type="noConversion"/>
  </si>
  <si>
    <t>금능해수욕장</t>
    <phoneticPr fontId="23" type="noConversion"/>
  </si>
  <si>
    <t>바다체험</t>
    <phoneticPr fontId="23" type="noConversion"/>
  </si>
  <si>
    <t>금능리/금능원담축제위원회
(064-728-7672)</t>
    <phoneticPr fontId="23" type="noConversion"/>
  </si>
  <si>
    <t>○ 맨손고기잡이 체험, 보말 및 조개잡이 체험, 각종 체험(보말까기), 원담에서 보물 찾기 등</t>
    <phoneticPr fontId="23" type="noConversion"/>
  </si>
  <si>
    <t>7~8월 중
(2일)</t>
    <phoneticPr fontId="23" type="noConversion"/>
  </si>
  <si>
    <t>금능원담축제</t>
    <phoneticPr fontId="23" type="noConversion"/>
  </si>
  <si>
    <t>이호테우
해수욕장</t>
    <phoneticPr fontId="23" type="noConversion"/>
  </si>
  <si>
    <t>테우</t>
    <phoneticPr fontId="23" type="noConversion"/>
  </si>
  <si>
    <t>이호테우축제위원회
(064-742-2501)</t>
    <phoneticPr fontId="23" type="noConversion"/>
  </si>
  <si>
    <t>○ 멸치잡이 재현
○ 테우진수식 길트기, 원담고기잡이
○ 식전축하공연, 해녀횃불퍼레이드,야간콘서트 등
    - 4개 분야 16여개 프로그램
○ 축제홍보관 및 테우 포토존 운영 등</t>
    <phoneticPr fontId="23" type="noConversion"/>
  </si>
  <si>
    <t>7.31~8.2.
(3일간)</t>
    <phoneticPr fontId="23" type="noConversion"/>
  </si>
  <si>
    <t>이호테우축제</t>
    <phoneticPr fontId="23" type="noConversion"/>
  </si>
  <si>
    <t>함덕해수욕장</t>
    <phoneticPr fontId="23" type="noConversion"/>
  </si>
  <si>
    <t>전체위탁(보조금)</t>
    <phoneticPr fontId="23" type="noConversion"/>
  </si>
  <si>
    <t>제주시 / 함덕리새마을회
(064-728-2713)</t>
    <phoneticPr fontId="23" type="noConversion"/>
  </si>
  <si>
    <t>함덕뮤직위크</t>
    <phoneticPr fontId="23" type="noConversion"/>
  </si>
  <si>
    <t>2003년도
(8회)</t>
    <phoneticPr fontId="23" type="noConversion"/>
  </si>
  <si>
    <t xml:space="preserve">외도동주민자치위원회
(064-728-4892)
</t>
    <phoneticPr fontId="23" type="noConversion"/>
  </si>
  <si>
    <t>○ 개폐막 공연
○ 체험프로그램 부스운영 20여개
○ 전통테우체험 및 맨손 장어 잡기 등</t>
    <phoneticPr fontId="23" type="noConversion"/>
  </si>
  <si>
    <t>월대천축제</t>
    <phoneticPr fontId="23" type="noConversion"/>
  </si>
  <si>
    <t>표선해수욕장</t>
    <phoneticPr fontId="23" type="noConversion"/>
  </si>
  <si>
    <t xml:space="preserve">표선리 마을회/표선리청년회
(064-787-0024)
</t>
    <phoneticPr fontId="23" type="noConversion"/>
  </si>
  <si>
    <t>○ 맨손 광어잡기
○ 전도학생비치사커대회
○ 부대행사(농,수,축산물 시식회 및 판매, 먹거리장터 운영) 
○ 체험행사(드론체험, 연날리기, LED부채만들기
○ 해변 가요제</t>
    <phoneticPr fontId="23" type="noConversion"/>
  </si>
  <si>
    <t>7~8월 중
(2일간)</t>
    <phoneticPr fontId="23" type="noConversion"/>
  </si>
  <si>
    <t>제25회
표선해변하얀모래축제</t>
    <phoneticPr fontId="23" type="noConversion"/>
  </si>
  <si>
    <t>문화 예술 '송산동 자구리'</t>
    <phoneticPr fontId="23" type="noConversion"/>
  </si>
  <si>
    <t>○ 자구리 어장체험
○ 각종 문화예술 공연
   - 지역 소규모 밴드 공연
   - 지역 동아리 공연(기타, 합창단 등)
○ 장기자랑 및 사생대회 등</t>
    <phoneticPr fontId="23" type="noConversion"/>
  </si>
  <si>
    <t>서귀포시
송산동자구리축제</t>
    <phoneticPr fontId="23" type="noConversion"/>
  </si>
  <si>
    <t>부분위탁
(프로그램 일부)</t>
    <phoneticPr fontId="23" type="noConversion"/>
  </si>
  <si>
    <t>검은모래</t>
    <phoneticPr fontId="23" type="noConversion"/>
  </si>
  <si>
    <t>삼양검은모래축제위원회 /
삼양동연합청년회
(064-728-4713)</t>
    <phoneticPr fontId="23" type="noConversion"/>
  </si>
  <si>
    <t>○ 검은모래찜질체험
○ 모래조각전시
○ 불꽃놀이, 삼양검은모래가요제
○ 삼양동 역사문화사진전</t>
    <phoneticPr fontId="23" type="noConversion"/>
  </si>
  <si>
    <t>7.24~7.25.
(2일간)</t>
    <phoneticPr fontId="23" type="noConversion"/>
  </si>
  <si>
    <t>제19회 삼양검은모래축제</t>
    <phoneticPr fontId="23" type="noConversion"/>
  </si>
  <si>
    <t>보목마을 특산품 ' 보목자리돔'</t>
    <phoneticPr fontId="23" type="noConversion"/>
  </si>
  <si>
    <t>○ 보목 자리돔 맨손잡기 체험
○ 제주 전통배 '테우' 당기기 체험
○ 자리젓 담그기 시연 및 경연 
○ 통통배 타고 섶섬 유람, 올레6코스 탐방
○ 기타 초청 공연 등</t>
    <phoneticPr fontId="23" type="noConversion"/>
  </si>
  <si>
    <t>5~6월 중
(3일간)</t>
    <phoneticPr fontId="23" type="noConversion"/>
  </si>
  <si>
    <t>보목자리돔축제</t>
    <phoneticPr fontId="23" type="noConversion"/>
  </si>
  <si>
    <t>공공(시도)</t>
    <phoneticPr fontId="23" type="noConversion"/>
  </si>
  <si>
    <t>2019년(1회)</t>
    <phoneticPr fontId="23" type="noConversion"/>
  </si>
  <si>
    <t>제주특별자치도 동물방역과
(064-710-2143)</t>
    <phoneticPr fontId="23" type="noConversion"/>
  </si>
  <si>
    <t>○ 반려동물과 함께하는 체험프로그램, 특별강연, 무료진료, 산업박람회 등</t>
    <phoneticPr fontId="23" type="noConversion"/>
  </si>
  <si>
    <t>제주 반려동물 문화축제</t>
    <phoneticPr fontId="23" type="noConversion"/>
  </si>
  <si>
    <t>방선문 계곡</t>
    <phoneticPr fontId="23" type="noConversion"/>
  </si>
  <si>
    <t xml:space="preserve">있음
</t>
    <phoneticPr fontId="23" type="noConversion"/>
  </si>
  <si>
    <t>방선문</t>
    <phoneticPr fontId="23" type="noConversion"/>
  </si>
  <si>
    <t>오라동자연문화유산보전회/
방선문축제위원회
(064-728-4802)</t>
    <phoneticPr fontId="23" type="noConversion"/>
  </si>
  <si>
    <r>
      <t>○</t>
    </r>
    <r>
      <rPr>
        <sz val="10"/>
        <rFont val="HY중고딕"/>
        <family val="1"/>
        <charset val="129"/>
      </rPr>
      <t xml:space="preserve"> 방선문 장원급제
(방선문소재 문학백일장)
○ 숲 속 작은 음악회
(방선문가는 숲길 공연) 등
    - 16여개의 프로그램
○ 웰빙예술거리(방선문소재  시화전, 전시 등)</t>
    </r>
    <phoneticPr fontId="23" type="noConversion"/>
  </si>
  <si>
    <t>5.9 ~ 5.10.
(2일간)</t>
    <phoneticPr fontId="23" type="noConversion"/>
  </si>
  <si>
    <t>제17회 방선문축제</t>
    <phoneticPr fontId="23" type="noConversion"/>
  </si>
  <si>
    <t>서귀포수협(지도과)</t>
    <phoneticPr fontId="23" type="noConversion"/>
  </si>
  <si>
    <t>은갈치,서귀포바다</t>
    <phoneticPr fontId="23" type="noConversion"/>
  </si>
  <si>
    <t>서귀포수협/축제위원회
(064-733-3501)</t>
    <phoneticPr fontId="23" type="noConversion"/>
  </si>
  <si>
    <t>○ 풍어제, 소라낚시체험, 수산물식회(갈치,옥돔,부시리), 해녀태왁수영대회, 수산물특급경매, 갈치길스템프투어, 전문쉐프의 요리시연(갈치요리), 은갈치사진공모전</t>
    <phoneticPr fontId="23" type="noConversion"/>
  </si>
  <si>
    <t>제2회서귀포은갈치축제</t>
    <phoneticPr fontId="23" type="noConversion"/>
  </si>
  <si>
    <t>43
(자부담)</t>
    <phoneticPr fontId="23" type="noConversion"/>
  </si>
  <si>
    <t>서귀포시 남원읍 /
남원읍 축제위원회
(064-760-4182)</t>
    <phoneticPr fontId="23" type="noConversion"/>
  </si>
  <si>
    <t>○ 개폐막식 공연 등  4개분야 20여개 프로그램
○ 대표프로그램 : 황금고사리를 찾아라
○ 고사리 테마 풍습체험 및 음식만들기 체험 프로그램 운영 
○ 고사리 희망 기부존 운영(고사리기부 수익금 )</t>
    <phoneticPr fontId="23" type="noConversion"/>
  </si>
  <si>
    <t>제25회
한라산 청정
고사리축제</t>
    <phoneticPr fontId="23" type="noConversion"/>
  </si>
  <si>
    <t>섬(우도면) 일원, 주행사장: 천진항</t>
    <phoneticPr fontId="23" type="noConversion"/>
  </si>
  <si>
    <t>우도소라축제추진위원회
/ 우도소라축제추진위원회
(064-728-4321)</t>
    <phoneticPr fontId="23" type="noConversion"/>
  </si>
  <si>
    <t>○ 소라를 테마로한 체험프로그램 운영
   (소라경매, 소라낚시, 소라넉둥배기 등)
○ 우도해녀를 테마로한 공연, 체험 프로그램 운영
   (해녀복 입기대회, 우도좀녀항생이야기 연극 공연 등)
○ 개폐막 공연, 문화공연
   - 5개 분야 20여개 프로그램
○ 기타 우도 특산물(소라, 땅콩, 마늘 등) 판촉행사 등</t>
    <phoneticPr fontId="23" type="noConversion"/>
  </si>
  <si>
    <t>공원 및 녹산로 일원</t>
    <phoneticPr fontId="23" type="noConversion"/>
  </si>
  <si>
    <t>유채꽃, 목축문화</t>
    <phoneticPr fontId="23" type="noConversion"/>
  </si>
  <si>
    <t>서귀포시 /
제주유채꽃축제조직위원회
(064-760-3946)</t>
    <phoneticPr fontId="23" type="noConversion"/>
  </si>
  <si>
    <t>○ 주제 퍼포먼스, 갑마장길 걷기
○ 유채꽃을 테마로한 각종 전시, 체험프로그램 운영
○ 개(폐)막 공연 및 상설 문화공연 등
   - 6개 테마 60여개 프로그램 운영</t>
    <phoneticPr fontId="23" type="noConversion"/>
  </si>
  <si>
    <t>4.9~4.12.
(4일간)</t>
    <phoneticPr fontId="23" type="noConversion"/>
  </si>
  <si>
    <t>제주유채꽃축제</t>
    <phoneticPr fontId="23" type="noConversion"/>
  </si>
  <si>
    <t>가파도 일원</t>
    <phoneticPr fontId="23" type="noConversion"/>
  </si>
  <si>
    <t>가파도청보리</t>
    <phoneticPr fontId="23" type="noConversion"/>
  </si>
  <si>
    <t>가파도청보리축제위원회
(064-794-7130)</t>
    <phoneticPr fontId="23" type="noConversion"/>
  </si>
  <si>
    <t>○ 청보리밭걷기
○ 어장체험
○ 특산물 홍보 등</t>
    <phoneticPr fontId="23" type="noConversion"/>
  </si>
  <si>
    <t>4.1~5.30.
(60일간)</t>
    <phoneticPr fontId="23" type="noConversion"/>
  </si>
  <si>
    <t>가파도청보리축제</t>
    <phoneticPr fontId="23" type="noConversion"/>
  </si>
  <si>
    <t>시내거리(전농로)</t>
    <phoneticPr fontId="23" type="noConversion"/>
  </si>
  <si>
    <t>전농로왕벚꽃축제추진위원회
(064-728-2751)</t>
    <phoneticPr fontId="23" type="noConversion"/>
  </si>
  <si>
    <t>○ 전농로 일대를 차없는 거리운영 벚꽃길 걷기
○ 벚꽃비 맞으며 즐기는 이색 체험 프로그램 운영
○ 각종 길거리 공연, 퍼레이 등 전농로 전 구간 공연장화
○ 전통과 현대가 조화된 벚꽃길 패션쇼 등</t>
    <phoneticPr fontId="23" type="noConversion"/>
  </si>
  <si>
    <t>3월 중
(3일간)</t>
    <phoneticPr fontId="23" type="noConversion"/>
  </si>
  <si>
    <t>자체추진, 
부분위탁
(운영,프로그램)</t>
    <phoneticPr fontId="23" type="noConversion"/>
  </si>
  <si>
    <t>사무국 없음
(시 담당직원 2명)</t>
    <phoneticPr fontId="23" type="noConversion"/>
  </si>
  <si>
    <t>공공(시군구)
임의단체</t>
    <phoneticPr fontId="23" type="noConversion"/>
  </si>
  <si>
    <t>왕벚꽃</t>
    <phoneticPr fontId="23" type="noConversion"/>
  </si>
  <si>
    <t>1991년도
(29회)</t>
    <phoneticPr fontId="23" type="noConversion"/>
  </si>
  <si>
    <t>제주시 관광진흥과 /
제주시관광축제추진협의회
(064-728-2757)</t>
    <phoneticPr fontId="23" type="noConversion"/>
  </si>
  <si>
    <t>○ 핵심프로그램 : 왕벚꽃길 버스킹 이벤트
○ 왕벚꽃을 테마로 한 체험행사 : 왕벚꽃길 걷기대회, 
    왕벚꽃 경관조명, 야간 문화공연 프로그램 등 
○ 기타 특별행사 및 전시 등 : 왕벚꽃 음악회, 왕벚꽃
    포럼, 왕벚꽃사진공모전 운영 등</t>
    <phoneticPr fontId="23" type="noConversion"/>
  </si>
  <si>
    <t>제주왕벚꽃축제</t>
    <phoneticPr fontId="23" type="noConversion"/>
  </si>
  <si>
    <t>(새별)오름</t>
    <phoneticPr fontId="23" type="noConversion"/>
  </si>
  <si>
    <t>들불놓기 '방애'</t>
    <phoneticPr fontId="23" type="noConversion"/>
  </si>
  <si>
    <t>○ 옛 목축문화(방애)를 계승한 오름불놓기, 달집태우기  연출
○ 불·목축문화·소원성취를 소재로 한 전시,체험, 경연행사
    -  4개 분야 30개 프로그램 구성
○ 개폐막 공연, 주제공연 및 문화공연
    - 10여개 프로그램 
○ 제주 농·수·축산물 및 전통 음식 판매, 축제 주제관 등 21종</t>
    <phoneticPr fontId="23" type="noConversion"/>
  </si>
  <si>
    <t>3.12~3.15.
(4일간)</t>
    <phoneticPr fontId="23" type="noConversion"/>
  </si>
  <si>
    <t>제주들불축제</t>
    <phoneticPr fontId="23" type="noConversion"/>
  </si>
  <si>
    <t>목관아</t>
    <phoneticPr fontId="23" type="noConversion"/>
  </si>
  <si>
    <t>문화관광축제</t>
    <phoneticPr fontId="23" type="noConversion"/>
  </si>
  <si>
    <t>제주시/제주민예총
(064-728-2712)</t>
    <phoneticPr fontId="23" type="noConversion"/>
  </si>
  <si>
    <t>○ 세경제, 입춘굿, 입춘거리굿, 마을거리굿 등</t>
    <phoneticPr fontId="23" type="noConversion"/>
  </si>
  <si>
    <t>1.25~2.4.
(11일간)</t>
    <phoneticPr fontId="23" type="noConversion"/>
  </si>
  <si>
    <t>탐라국입춘굿</t>
    <phoneticPr fontId="23" type="noConversion"/>
  </si>
  <si>
    <r>
      <t xml:space="preserve">축제종류
</t>
    </r>
    <r>
      <rPr>
        <sz val="11"/>
        <color rgb="FFC00000"/>
        <rFont val="굴림"/>
        <family val="3"/>
        <charset val="129"/>
      </rPr>
      <t>(택1)</t>
    </r>
    <phoneticPr fontId="23" type="noConversion"/>
  </si>
  <si>
    <t>옥천군/지용제추진위원회,지용회,
옥천문인협회, 각문화예술단체
(043-730-3403)</t>
    <phoneticPr fontId="23" type="noConversion"/>
  </si>
  <si>
    <t>영주시 관광진흥과
/ 영주문화관광재단
(054-630-8711)</t>
    <phoneticPr fontId="23" type="noConversion"/>
  </si>
  <si>
    <t>영양군 문화관광과
/(사)한국문인협회 영양지부
(054-680-6462)</t>
    <phoneticPr fontId="23" type="noConversion"/>
  </si>
  <si>
    <t>서포 면사무소
(055-831-5230)</t>
    <phoneticPr fontId="23" type="noConversion"/>
  </si>
  <si>
    <t>창녕군 관광환경국 문화체육과
/(사)영산3.1민속문화향상회
(055-530-1464)</t>
    <phoneticPr fontId="23" type="noConversion"/>
  </si>
  <si>
    <t>갈화어촌계
(055-862-3715)</t>
    <phoneticPr fontId="23" type="noConversion"/>
  </si>
  <si>
    <t>○ 도두원담수산물잡기 체험
○ 섬머리 마을 벽화길 걷기대회
○ 럭셔리 요트타기 
○ 바다물고기 맨솝잡기 체험 
○ 카약타기
○ 럭셔리 요트타기 
○ 워터불로워볼 대회  
○ 도두오래물 체험
○ 도두원담수산물잡기 체험
○ 섬머리 마을 벽화길 걷기대회
○ 럭셔리 요트타기 
○ 바다물고기 맨손잡기 체험 
○ 카약타기
○ 도두원담수산물잡기 체험
○ 럭셔리 요트타기 
○ 워터불로워볼 대회  
○ 전국 오래물 노래자랑 등</t>
    <phoneticPr fontId="23" type="noConversion"/>
  </si>
  <si>
    <t>개최완료
(7.9~7.16)</t>
    <phoneticPr fontId="23" type="noConversion"/>
  </si>
  <si>
    <t>송산서귀마을회 
(064-760-4502)</t>
    <phoneticPr fontId="23" type="noConversion"/>
  </si>
  <si>
    <t>의정부문화재단
(031-850-5144)</t>
    <phoneticPr fontId="23" type="noConversion"/>
  </si>
  <si>
    <t>마포구청 문화예술과
(02-3153-8353)</t>
    <phoneticPr fontId="23" type="noConversion"/>
  </si>
  <si>
    <t>강주해바라기축제위원회
(055-580-4405)</t>
    <phoneticPr fontId="23" type="noConversion"/>
  </si>
  <si>
    <t>북천 코스모스메밀꽃 영농법인/북천면사무소 및 북천 코스모스메밀꽃 영농법인
(055-880-2413)</t>
    <phoneticPr fontId="23" type="noConversion"/>
  </si>
  <si>
    <t>한국예술문화단체총연합회충주지회/우륵문화제추진위원회
(043-847-1565)</t>
    <phoneticPr fontId="23" type="noConversion"/>
  </si>
  <si>
    <t>문경오미자축제추진위원회
/ 문경문화관광재단
(054-571-8677)</t>
    <phoneticPr fontId="23" type="noConversion"/>
  </si>
  <si>
    <t xml:space="preserve">8월 중 </t>
    <phoneticPr fontId="23" type="noConversion"/>
  </si>
  <si>
    <t>포항시 국제협력과
(054-270-2244)</t>
    <phoneticPr fontId="23" type="noConversion"/>
  </si>
  <si>
    <t>취소</t>
    <phoneticPr fontId="23" type="noConversion"/>
  </si>
  <si>
    <t>곤양비봉내축제추진위원회
(055-230-8715)</t>
    <phoneticPr fontId="23" type="noConversion"/>
  </si>
  <si>
    <t>고성군청 문화관광과
(055-670-2233)</t>
    <phoneticPr fontId="23" type="noConversion"/>
  </si>
  <si>
    <t>용인시 문화예술과/용인문화재단
(031-323-6342)</t>
    <phoneticPr fontId="23" type="noConversion"/>
  </si>
  <si>
    <t>포항시/포항문화재단
(054-289-7853)</t>
    <phoneticPr fontId="23" type="noConversion"/>
  </si>
  <si>
    <t>화성시 문화예술과 / 화성시문화재단 (031-5189-6147)</t>
    <phoneticPr fontId="23" type="noConversion"/>
  </si>
  <si>
    <t>하남문화재단
(031-790-7926)</t>
    <phoneticPr fontId="23" type="noConversion"/>
  </si>
  <si>
    <t>취소</t>
    <phoneticPr fontId="23" type="noConversion"/>
  </si>
  <si>
    <t>개최완료
(8.6~8.9)</t>
    <phoneticPr fontId="23" type="noConversion"/>
  </si>
  <si>
    <t>거제시 농업지원과 
/ 청마꽃들축제추진위원회                              (055-639-6382)</t>
    <phoneticPr fontId="23" type="noConversion"/>
  </si>
  <si>
    <t>평택시 한미협력과
/평택시국제교류재단
(070-4607-4136)</t>
    <phoneticPr fontId="23" type="noConversion"/>
  </si>
  <si>
    <t>취소</t>
    <phoneticPr fontId="23" type="noConversion"/>
  </si>
  <si>
    <t>개최완료
(8.1~8.9)</t>
    <phoneticPr fontId="23" type="noConversion"/>
  </si>
  <si>
    <t>개최완료
(8.1~8.16)</t>
    <phoneticPr fontId="23" type="noConversion"/>
  </si>
  <si>
    <t>취소</t>
  </si>
  <si>
    <t>취소</t>
    <phoneticPr fontId="23" type="noConversion"/>
  </si>
  <si>
    <t>취소</t>
    <phoneticPr fontId="23" type="noConversion"/>
  </si>
  <si>
    <t>황금들녘메뚜기잡이체험축제
추진위원회
(054-930-6282)</t>
    <phoneticPr fontId="23" type="noConversion"/>
  </si>
  <si>
    <t>예천군 농정과 
/ 예천농산물축제추진위원회
(054-650-6276)</t>
    <phoneticPr fontId="23" type="noConversion"/>
  </si>
  <si>
    <t>취소</t>
    <phoneticPr fontId="23" type="noConversion"/>
  </si>
  <si>
    <t xml:space="preserve">포천시 친환경농업과
(031-538-3721)
</t>
    <phoneticPr fontId="23" type="noConversion"/>
  </si>
  <si>
    <t>이천시(홍보관광담당관)
/이천쌀문화축제추진위원회
(031-645-3095)</t>
    <phoneticPr fontId="23" type="noConversion"/>
  </si>
  <si>
    <t xml:space="preserve"> 안양시민축제 : 우선멈"춤" 프로젝트</t>
    <phoneticPr fontId="23" type="noConversion"/>
  </si>
  <si>
    <t>화성시 / 화성시문화재단
(031-290-4615)</t>
    <phoneticPr fontId="23" type="noConversion"/>
  </si>
  <si>
    <t>용인시 관광 정책팀
(031-324-2102)</t>
    <phoneticPr fontId="23" type="noConversion"/>
  </si>
  <si>
    <t>남해군 축제팀
055-860-8591</t>
    <phoneticPr fontId="23" type="noConversion"/>
  </si>
  <si>
    <t>고성군수산물축제추진위원회
(055-670-2454)</t>
    <phoneticPr fontId="23" type="noConversion"/>
  </si>
  <si>
    <t>창원시 문화예술과
/ 만날제운영위원회
(055-296-2266)</t>
    <phoneticPr fontId="23" type="noConversion"/>
  </si>
  <si>
    <t>창원시 문화예술과
/ 남산상봉제축제위원회
(055-225-3657, 055-299-3408)</t>
    <phoneticPr fontId="23" type="noConversion"/>
  </si>
  <si>
    <t>한국마사회 제주지역본부
(064-786-8030,
064-786-8251~2)</t>
    <phoneticPr fontId="23" type="noConversion"/>
  </si>
  <si>
    <t>제주어류양식수협 /
제주광어축제추진위원회
(064-727-6106)</t>
    <phoneticPr fontId="23" type="noConversion"/>
  </si>
  <si>
    <t>도봉구 문화체육과
(02-2091-2254)</t>
    <phoneticPr fontId="23" type="noConversion"/>
  </si>
  <si>
    <t>라라라페스티벌</t>
    <phoneticPr fontId="23" type="noConversion"/>
  </si>
  <si>
    <t>연기
(2021년으로 연기)</t>
    <phoneticPr fontId="23" type="noConversion"/>
  </si>
  <si>
    <t xml:space="preserve">개최예정 </t>
    <phoneticPr fontId="23" type="noConversion"/>
  </si>
  <si>
    <t>개최완료(온라인)
(8.19~8.23)</t>
    <phoneticPr fontId="23" type="noConversion"/>
  </si>
  <si>
    <t>취소</t>
    <phoneticPr fontId="23" type="noConversion"/>
  </si>
  <si>
    <t>취소</t>
    <phoneticPr fontId="23" type="noConversion"/>
  </si>
  <si>
    <t>○ 뜰채, 맨손 대하잡기
○ 개폐막 축하공연 및 노래자랑, 팔씨름대회 등
○ 버스킹 공연
○ 수산물 중량 맞추기 등</t>
    <phoneticPr fontId="23" type="noConversion"/>
  </si>
  <si>
    <t>태안군</t>
    <phoneticPr fontId="23" type="noConversion"/>
  </si>
  <si>
    <t>바다(항포구)</t>
    <phoneticPr fontId="23" type="noConversion"/>
  </si>
  <si>
    <t>주꾸미등 수산물</t>
    <phoneticPr fontId="23" type="noConversion"/>
  </si>
  <si>
    <t>태안군 몽산포항 주꾸미&amp;수산물 축제 추진위원회
(041-670-2875)</t>
    <phoneticPr fontId="23" type="noConversion"/>
  </si>
  <si>
    <t>○ 주꾸미&amp;수산물 맨손 잡기
○ 동아리공연
○ 체험부스 운영
○ 수산물 시식회</t>
    <phoneticPr fontId="23" type="noConversion"/>
  </si>
  <si>
    <t>국화</t>
    <phoneticPr fontId="23" type="noConversion"/>
  </si>
  <si>
    <t>원북면주민자치회, 원북면국화동호회 
(041-670-5731)</t>
    <phoneticPr fontId="23" type="noConversion"/>
  </si>
  <si>
    <t>국화전시, 농특산물 판매, 문화체험행사 등</t>
    <phoneticPr fontId="23" type="noConversion"/>
  </si>
  <si>
    <t>10월~11월 중</t>
    <phoneticPr fontId="23" type="noConversion"/>
  </si>
  <si>
    <t>제8회 옥파 국화축제</t>
    <phoneticPr fontId="23" type="noConversion"/>
  </si>
  <si>
    <t>알리움</t>
    <phoneticPr fontId="23" type="noConversion"/>
  </si>
  <si>
    <t>2019년
(1회)</t>
    <phoneticPr fontId="23" type="noConversion"/>
  </si>
  <si>
    <t>태안꽃축제 추진위원회
/ (주)네이처농업회사법인, ㈜아다람농업회사법인, 태안반도백합수출영농조합법인 
(041-675-5533)</t>
    <phoneticPr fontId="23" type="noConversion"/>
  </si>
  <si>
    <t>○ 태안 화훼(알리움) 전시·체험행사, 우수농산물 전시·판매</t>
    <phoneticPr fontId="23" type="noConversion"/>
  </si>
  <si>
    <t>5.16~6.2
(18일간)</t>
    <phoneticPr fontId="23" type="noConversion"/>
  </si>
  <si>
    <t>2020 태안 알리움 축제</t>
    <phoneticPr fontId="23" type="noConversion"/>
  </si>
  <si>
    <t>백합</t>
    <phoneticPr fontId="23" type="noConversion"/>
  </si>
  <si>
    <t>2006년
(9회)</t>
    <phoneticPr fontId="23" type="noConversion"/>
  </si>
  <si>
    <t>태안꽃축제 추진위원회
/ (주)네이처농업회사법인, ㈜아다람농업회사법인, 태안반도백합수출영농조합법인 
(041-675-9200)</t>
    <phoneticPr fontId="23" type="noConversion"/>
  </si>
  <si>
    <t>○ 태안 화훼(백합) 전시·체험행사, 우수농산물 전시·판매</t>
    <phoneticPr fontId="23" type="noConversion"/>
  </si>
  <si>
    <t>5.1~5.11
(15일간)</t>
    <phoneticPr fontId="23" type="noConversion"/>
  </si>
  <si>
    <t>2020 태안 백합 꽃 축제</t>
    <phoneticPr fontId="23" type="noConversion"/>
  </si>
  <si>
    <t>수선화</t>
    <phoneticPr fontId="23" type="noConversion"/>
  </si>
  <si>
    <t>○ 태안 화훼(수선화) 전시·체험행사, 우수농산물 전시·판매</t>
    <phoneticPr fontId="23" type="noConversion"/>
  </si>
  <si>
    <t>4.6 ~ 4.26
(26일간)</t>
    <phoneticPr fontId="23" type="noConversion"/>
  </si>
  <si>
    <t>2020 태안 수선화 축제</t>
    <phoneticPr fontId="23" type="noConversion"/>
  </si>
  <si>
    <t>튤립</t>
    <phoneticPr fontId="23" type="noConversion"/>
  </si>
  <si>
    <t>2012년
(8회)</t>
    <phoneticPr fontId="23" type="noConversion"/>
  </si>
  <si>
    <t>○ 태안 화훼(튤립) 전시·체험행사, 우수농산물 전시·판매</t>
    <phoneticPr fontId="23" type="noConversion"/>
  </si>
  <si>
    <t>4.14 ~ 5.11
(28일간)</t>
    <phoneticPr fontId="23" type="noConversion"/>
  </si>
  <si>
    <t>2020 태안 세계튤립축제</t>
    <phoneticPr fontId="23" type="noConversion"/>
  </si>
  <si>
    <t>가재산</t>
    <phoneticPr fontId="23" type="noConversion"/>
  </si>
  <si>
    <t>13회</t>
    <phoneticPr fontId="23" type="noConversion"/>
  </si>
  <si>
    <t>이원면사무소 총무과
(041-670-5743)</t>
    <phoneticPr fontId="23" type="noConversion"/>
  </si>
  <si>
    <t>○ 야간 벚꽃길 점등</t>
    <phoneticPr fontId="23" type="noConversion"/>
  </si>
  <si>
    <t>이원면 가재산 벚꽃길 축제</t>
    <phoneticPr fontId="23" type="noConversion"/>
  </si>
  <si>
    <t>공원
(예산황새공원)</t>
    <phoneticPr fontId="23" type="noConversion"/>
  </si>
  <si>
    <t>황새</t>
    <phoneticPr fontId="23" type="noConversion"/>
  </si>
  <si>
    <t>2019
(2회)</t>
    <phoneticPr fontId="23" type="noConversion"/>
  </si>
  <si>
    <t>예산군 문화관광과
/ 예산황새축제추진위원회
(041-339-7338)</t>
    <phoneticPr fontId="23" type="noConversion"/>
  </si>
  <si>
    <t>○황새를 테마로한 공연, 체험프로그램 운영
○개폐막 공연, 황새관련 공연 및 문화공연
  - 6개 분야 20여개 프로그램
○황새사랑 건강 걷기대회
○황새자연복귀 행사 및 반딧불이 행사 등</t>
    <phoneticPr fontId="23" type="noConversion"/>
  </si>
  <si>
    <t>8~9월 중
(2일간)</t>
    <phoneticPr fontId="23" type="noConversion"/>
  </si>
  <si>
    <t>예산황새축제</t>
    <phoneticPr fontId="23" type="noConversion"/>
  </si>
  <si>
    <t>예산군</t>
    <phoneticPr fontId="23" type="noConversion"/>
  </si>
  <si>
    <t>시장
(역전시장일원)</t>
    <phoneticPr fontId="23" type="noConversion"/>
  </si>
  <si>
    <t>예산황토사과</t>
    <phoneticPr fontId="23" type="noConversion"/>
  </si>
  <si>
    <t>1983년도
(17회)</t>
    <phoneticPr fontId="23" type="noConversion"/>
  </si>
  <si>
    <t>○ 사과, 배 품평회
○ 도시민 방문객 유치를 위한 사과열차 운행
○ 과수농업인 노래자랑 및 문화공연
○ 사과 및 농특산물 홍보, 할인판매행사 및 전시 등</t>
    <phoneticPr fontId="23" type="noConversion"/>
  </si>
  <si>
    <t>10월~11월 중
(2일간)</t>
    <phoneticPr fontId="23" type="noConversion"/>
  </si>
  <si>
    <t>제17회 예산황토사과축제</t>
    <phoneticPr fontId="23" type="noConversion"/>
  </si>
  <si>
    <t>시장
(예산전통시장)</t>
    <phoneticPr fontId="23" type="noConversion"/>
  </si>
  <si>
    <t xml:space="preserve">있음
정규직 1명 </t>
    <phoneticPr fontId="23" type="noConversion"/>
  </si>
  <si>
    <t>예산장터 국밥
예산국수
예산국화</t>
    <phoneticPr fontId="23" type="noConversion"/>
  </si>
  <si>
    <t>예산군 문화관광과
/예산문화원
(041-339-7317)</t>
    <phoneticPr fontId="23" type="noConversion"/>
  </si>
  <si>
    <t xml:space="preserve"> ○ 연희한마당
 ○ 예산장터 국밥, 예산 국수, 예산 국화의 3가지 국을 테마로 예산장터의 역사와 함께 풀어내는 공연, 전시, 체험프로그램 운영
 ○ 개폐막공연, 주제공연 및 문화예술공연 등
     - 4개분야 100여개 프로그램
 ○ 태평기원퍼레이드, 상시장터 운영(먹거리, 농특산물) 등</t>
    <phoneticPr fontId="23" type="noConversion"/>
  </si>
  <si>
    <t>10.16~10.22
(7일간)</t>
    <phoneticPr fontId="23" type="noConversion"/>
  </si>
  <si>
    <t>제4회 예산장터 삼국축제</t>
    <phoneticPr fontId="23" type="noConversion"/>
  </si>
  <si>
    <t>공원
(의좋은형제공원)</t>
    <phoneticPr fontId="23" type="noConversion"/>
  </si>
  <si>
    <t>의좋은형제
이야기</t>
    <phoneticPr fontId="23" type="noConversion"/>
  </si>
  <si>
    <t>예산군 문화관광과
/대흥현보존회
(041-339-7312)</t>
    <phoneticPr fontId="23" type="noConversion"/>
  </si>
  <si>
    <t xml:space="preserve"> ○ 임존성 물총대첩
 ○ 자연놀이터 운영(서리체험, 물놀이장 등)
 ○ 의좋은 형제 이야기를 테마로한 공연, 전시, 체험프로그램 운영
 ○ 개폐막공연, 주제공연 및 문화공연, 버스킹
     - 4개분야 20여개 프로그램
 ○ 기타 예당호 투어, 전통체험, 청소년경연대회 등</t>
    <phoneticPr fontId="23" type="noConversion"/>
  </si>
  <si>
    <t>의좋은 형제 축제</t>
    <phoneticPr fontId="23" type="noConversion"/>
  </si>
  <si>
    <t>사적지
(충의사)</t>
    <phoneticPr fontId="23" type="noConversion"/>
  </si>
  <si>
    <t>인물
독립운동가
매헌 윤봉길</t>
    <phoneticPr fontId="23" type="noConversion"/>
  </si>
  <si>
    <t>1973년도
(47회)</t>
    <phoneticPr fontId="23" type="noConversion"/>
  </si>
  <si>
    <t>예산군 문화관광과
/사)매헌윤봉길월진회
(041-339-7312)</t>
    <phoneticPr fontId="23" type="noConversion"/>
  </si>
  <si>
    <t xml:space="preserve">○ 윤봉길 뮤지컬
○ 윤봉길 의사를 테마로한 공연, 전시, 체험프로그램 운영
○ 개폐막 공연, 주제공연 및 문화공연
    - 3개 분야 20여개 프로그램
○ 기타 특별행사 및 전시, 경연 등등 </t>
    <phoneticPr fontId="23" type="noConversion"/>
  </si>
  <si>
    <t>4.29~4.30
(2일간)</t>
    <phoneticPr fontId="23" type="noConversion"/>
  </si>
  <si>
    <t>제47회 윤봉길 평화축제</t>
    <phoneticPr fontId="23" type="noConversion"/>
  </si>
  <si>
    <t>부분위탁
(프로그램,하드웨어)</t>
    <phoneticPr fontId="23" type="noConversion"/>
  </si>
  <si>
    <t>한우</t>
    <phoneticPr fontId="23" type="noConversion"/>
  </si>
  <si>
    <t>2020년도</t>
    <phoneticPr fontId="23" type="noConversion"/>
  </si>
  <si>
    <t xml:space="preserve"> ○ 바비큐 로드 
 ○ 홍성한우를 주제로 다양한 체험 및 공연 진행
 ○ 한우 쉐프쇼, 바비큐 체험존, 홍성한우 골든벨, 난로회 
     체험, 바비큐 소스 만들기 등
  </t>
    <phoneticPr fontId="23" type="noConversion"/>
  </si>
  <si>
    <t>11월 중
(3일간)</t>
    <phoneticPr fontId="23" type="noConversion"/>
  </si>
  <si>
    <t>홍성한우바비큐페스티벌</t>
    <phoneticPr fontId="23" type="noConversion"/>
  </si>
  <si>
    <t>토굴새우젓/광천김</t>
    <phoneticPr fontId="23" type="noConversion"/>
  </si>
  <si>
    <t>광천토굴새우젓광천김대축제 추진위원회
(041-630-9602)</t>
    <phoneticPr fontId="23" type="noConversion"/>
  </si>
  <si>
    <t xml:space="preserve"> ○ 토굴새우젓 김치 담그기 체험
 ○ 토굴새우젓과 광천김 주제로 다양한 체험 및 공연 진행
 ○ 김굽기 체험, 보부상 체험, 주먹밥 만들기 체험등
  </t>
    <phoneticPr fontId="23" type="noConversion"/>
  </si>
  <si>
    <t>광천토굴새우젓광천김대축제</t>
    <phoneticPr fontId="23" type="noConversion"/>
  </si>
  <si>
    <t>대하</t>
    <phoneticPr fontId="23" type="noConversion"/>
  </si>
  <si>
    <t xml:space="preserve"> ○ 맨손 대하잡이 체험
 ○ 대하를 주제로 다양한 체험 및 공연 진행
 ○ 갯벌체험, 남당항 연날리기, 관광객 노래자랑 등
  </t>
    <phoneticPr fontId="23" type="noConversion"/>
  </si>
  <si>
    <t>9월 중
(30일간)</t>
    <phoneticPr fontId="23" type="noConversion"/>
  </si>
  <si>
    <t>홍성남당항대하축제</t>
    <phoneticPr fontId="23" type="noConversion"/>
  </si>
  <si>
    <t>새조개</t>
    <phoneticPr fontId="23" type="noConversion"/>
  </si>
  <si>
    <t>홍성군 문화관광과 
(041-630-1227)</t>
    <phoneticPr fontId="23" type="noConversion"/>
  </si>
  <si>
    <t>○ 새조개 까기 체험
○ 새조개를 주제로 다양한 체험 및 공연 진행
○ 갯벌체험, 새조개껍질리폼체험, 관광객 노래자랑, 새조개 시식회 등</t>
    <phoneticPr fontId="23" type="noConversion"/>
  </si>
  <si>
    <t>1.15~2.29
(44일간)</t>
    <phoneticPr fontId="23" type="noConversion"/>
  </si>
  <si>
    <t>홍성남당항새조개축제</t>
    <phoneticPr fontId="23" type="noConversion"/>
  </si>
  <si>
    <t>부분위탁
(프로그램, 하드웨어 시설)</t>
    <phoneticPr fontId="23" type="noConversion"/>
  </si>
  <si>
    <t>역사인물</t>
    <phoneticPr fontId="23" type="noConversion"/>
  </si>
  <si>
    <t>홍성군/
홍성역사인물축제추진위원회
(041-630-1227)</t>
    <phoneticPr fontId="23" type="noConversion"/>
  </si>
  <si>
    <t xml:space="preserve"> ○ 홍주읍성을 지켜라 퍼포먼스
 ○ 역사인물을 주제로 한 공연, 체험프로그램 운영
 ○ 청산리 전투 퍼포먼스, 토크멘터리 '김좌진', 김좌진 
     마당극, 대한 독립군 체험, 김좌진 미디어 파사드 등
  - 총33개 프로그램(공연11, 체험10, 야간7, 문화예술5)
  </t>
    <phoneticPr fontId="23" type="noConversion"/>
  </si>
  <si>
    <t>5.1.~5.3
(3일간)</t>
    <phoneticPr fontId="23" type="noConversion"/>
  </si>
  <si>
    <t>홍성역사인물축제</t>
    <phoneticPr fontId="23" type="noConversion"/>
  </si>
  <si>
    <t>2011년
(8회)</t>
    <phoneticPr fontId="23" type="noConversion"/>
  </si>
  <si>
    <t>까치내밤참축제추진위원회
(041-940-4281)</t>
    <phoneticPr fontId="23" type="noConversion"/>
  </si>
  <si>
    <t>특산물을 주제로한 주민공연, 전시, 먹거리 등 운영</t>
    <phoneticPr fontId="23" type="noConversion"/>
  </si>
  <si>
    <t>미정(10월)</t>
    <phoneticPr fontId="23" type="noConversion"/>
  </si>
  <si>
    <t>청양 까치내 밤참축제</t>
    <phoneticPr fontId="23" type="noConversion"/>
  </si>
  <si>
    <t>청양군</t>
    <phoneticPr fontId="23" type="noConversion"/>
  </si>
  <si>
    <t>동막골번데기주름축제
추진위원회(041-940-2282)</t>
    <phoneticPr fontId="23" type="noConversion"/>
  </si>
  <si>
    <t>전통계승을 주제로한 주민공연, 전시, 먹거리 등 운영</t>
    <phoneticPr fontId="23" type="noConversion"/>
  </si>
  <si>
    <t>동막골 번데기 주름축제</t>
    <phoneticPr fontId="23" type="noConversion"/>
  </si>
  <si>
    <t>개최완료
(7.31~8.16)</t>
    <phoneticPr fontId="23" type="noConversion"/>
  </si>
  <si>
    <t>조롱박</t>
    <phoneticPr fontId="23" type="noConversion"/>
  </si>
  <si>
    <t>알프스마을영농조합법인
(041-942-0797)</t>
    <phoneticPr fontId="23" type="noConversion"/>
  </si>
  <si>
    <t>조롱박을 주제로 전시, 체험, 먹거리 등 운영</t>
    <phoneticPr fontId="23" type="noConversion"/>
  </si>
  <si>
    <t>미정(7월 하순~8월 중순)</t>
    <phoneticPr fontId="23" type="noConversion"/>
  </si>
  <si>
    <t>세계 조롱박 축제</t>
    <phoneticPr fontId="23" type="noConversion"/>
  </si>
  <si>
    <t>겨울</t>
    <phoneticPr fontId="23" type="noConversion"/>
  </si>
  <si>
    <t>○ 겨울테마의 겨울스포츠, 전시, 체험, 먹거리 등 운영</t>
    <phoneticPr fontId="23" type="noConversion"/>
  </si>
  <si>
    <t>19.12.21~20.02. 16.
(58일간)</t>
    <phoneticPr fontId="23" type="noConversion"/>
  </si>
  <si>
    <t>칠갑산 얼음분수 축제</t>
    <phoneticPr fontId="23" type="noConversion"/>
  </si>
  <si>
    <t>개최완료(온라인)
(8.26~9.4)</t>
    <phoneticPr fontId="23" type="noConversion"/>
  </si>
  <si>
    <t>농특산물</t>
    <phoneticPr fontId="23" type="noConversion"/>
  </si>
  <si>
    <t>청양군 농업정책과/청양고추구기자축제추진위원회
(041-940-2302)</t>
    <phoneticPr fontId="23" type="noConversion"/>
  </si>
  <si>
    <t xml:space="preserve">○ 천원의행복"고추를잡아라"
○ 고추, 구기자를 테마로한 세계고추품종 전시 운영
○ 고추, 구기자 주제로 한 프로그램 30여개 운영
○ 농특산물 홍보 및 판매장 운영 등 </t>
    <phoneticPr fontId="23" type="noConversion"/>
  </si>
  <si>
    <t>20.9월 초
(미정)</t>
    <phoneticPr fontId="23" type="noConversion"/>
  </si>
  <si>
    <t>청양고추구기자축제</t>
    <phoneticPr fontId="23" type="noConversion"/>
  </si>
  <si>
    <t>장승</t>
    <phoneticPr fontId="23" type="noConversion"/>
  </si>
  <si>
    <t>2000년
(22회)</t>
    <phoneticPr fontId="23" type="noConversion"/>
  </si>
  <si>
    <t>청양군 문화체육관광과/칠갑산 장승문화축제 추진위원회
(041-940-2192)</t>
    <phoneticPr fontId="23" type="noConversion"/>
  </si>
  <si>
    <t>○ 칠갑산 장승대제
○ 마을장승제 시연, 장승영문식, 장승혼례식, 장승걷기
    퍼레이드,장승조각가 초청 시연, 장승그리기 대회
○ 전통풍물 및 민속공연, 문화공연, 체험관
○ 전국 가족 솟대깎기대회, 전통놀이대회, 한궁대회</t>
    <phoneticPr fontId="23" type="noConversion"/>
  </si>
  <si>
    <t>4.13~4.14
(2일간)</t>
    <phoneticPr fontId="23" type="noConversion"/>
  </si>
  <si>
    <t>칠갑장승문화축제</t>
    <phoneticPr fontId="23" type="noConversion"/>
  </si>
  <si>
    <t>해넘이, 해돋이</t>
    <phoneticPr fontId="23" type="noConversion"/>
  </si>
  <si>
    <t>2000년(18회)</t>
    <phoneticPr fontId="23" type="noConversion"/>
  </si>
  <si>
    <t>서천군 관광축제팀
(041-950-4016)</t>
    <phoneticPr fontId="23" type="noConversion"/>
  </si>
  <si>
    <t xml:space="preserve">○ 해넘이 및 해돋이 </t>
    <phoneticPr fontId="23" type="noConversion"/>
  </si>
  <si>
    <t>19.12.31~20.1.1
(2일간)</t>
    <phoneticPr fontId="23" type="noConversion"/>
  </si>
  <si>
    <t>마량포 해넘이해돋이 축제</t>
    <phoneticPr fontId="23" type="noConversion"/>
  </si>
  <si>
    <t>서천군</t>
    <phoneticPr fontId="23" type="noConversion"/>
  </si>
  <si>
    <t>전어, 꽃게</t>
    <phoneticPr fontId="23" type="noConversion"/>
  </si>
  <si>
    <t>2001년(20회)</t>
    <phoneticPr fontId="23" type="noConversion"/>
  </si>
  <si>
    <t>서천군청 관광축제팀
(041-950-4256)</t>
    <phoneticPr fontId="23" type="noConversion"/>
  </si>
  <si>
    <t>맨손으로 전어잡기, 보물찾기 등</t>
    <phoneticPr fontId="23" type="noConversion"/>
  </si>
  <si>
    <t>9.12.~9.27
(16일간)</t>
    <phoneticPr fontId="23" type="noConversion"/>
  </si>
  <si>
    <t>홍원항 전어꽃게 축제</t>
    <phoneticPr fontId="23" type="noConversion"/>
  </si>
  <si>
    <t>가요제</t>
    <phoneticPr fontId="23" type="noConversion"/>
  </si>
  <si>
    <t>2004년(17회)</t>
    <phoneticPr fontId="23" type="noConversion"/>
  </si>
  <si>
    <t xml:space="preserve">춘장대해수욕장 운영협의회
</t>
    <phoneticPr fontId="23" type="noConversion"/>
  </si>
  <si>
    <t>가요 경연대회</t>
    <phoneticPr fontId="23" type="noConversion"/>
  </si>
  <si>
    <t>7.31.~8.1.
(2일간)</t>
    <phoneticPr fontId="23" type="noConversion"/>
  </si>
  <si>
    <t>춘장대여름문화예술축제</t>
    <phoneticPr fontId="23" type="noConversion"/>
  </si>
  <si>
    <t>광어</t>
    <phoneticPr fontId="23" type="noConversion"/>
  </si>
  <si>
    <t>2003년(18회)</t>
    <phoneticPr fontId="23" type="noConversion"/>
  </si>
  <si>
    <t xml:space="preserve">서면개발위원회
</t>
    <phoneticPr fontId="23" type="noConversion"/>
  </si>
  <si>
    <t>○ 맨손으로 광어잡기 체험, 어린이 광어 낚시체험
○ 어부아저씨의 깜짝 경매 등</t>
    <phoneticPr fontId="23" type="noConversion"/>
  </si>
  <si>
    <t>5.16.~5.31
(16일간)</t>
    <phoneticPr fontId="23" type="noConversion"/>
  </si>
  <si>
    <t>광어도미 축제</t>
    <phoneticPr fontId="23" type="noConversion"/>
  </si>
  <si>
    <t>주꾸미</t>
    <phoneticPr fontId="23" type="noConversion"/>
  </si>
  <si>
    <t>2000년
(21회)</t>
    <phoneticPr fontId="23" type="noConversion"/>
  </si>
  <si>
    <t>○ 어린이 주꾸미 낚시 체험, 주꾸미 샤브샤브 체험 
○ 동백나무숲 보물찾기, 어부아저씨의 깜짝경매</t>
    <phoneticPr fontId="23" type="noConversion"/>
  </si>
  <si>
    <t>3.14~3.29
(16일간)</t>
    <phoneticPr fontId="23" type="noConversion"/>
  </si>
  <si>
    <t>동백꽃주꾸미 축제</t>
    <phoneticPr fontId="23" type="noConversion"/>
  </si>
  <si>
    <t>부분위탁
(운영, 하드웨어)</t>
    <phoneticPr fontId="23" type="noConversion"/>
  </si>
  <si>
    <t>모시</t>
    <phoneticPr fontId="23" type="noConversion"/>
  </si>
  <si>
    <t>1989년도
(31회)</t>
    <phoneticPr fontId="23" type="noConversion"/>
  </si>
  <si>
    <t>서천군/
한산모시문화제추진위원회
(041-950-4256)</t>
    <phoneticPr fontId="23" type="noConversion"/>
  </si>
  <si>
    <t xml:space="preserve"> ○ 모시패션쇼 운영
 ○ 모시를 테마로한 다양한 공연, 전시, 체험프로그램 운영
 ○ 개폐막 공연, 주제공연 및 문화공연 등</t>
    <phoneticPr fontId="23" type="noConversion"/>
  </si>
  <si>
    <t>6.12.~6.14</t>
    <phoneticPr fontId="23" type="noConversion"/>
  </si>
  <si>
    <t>한산모시문화제</t>
    <phoneticPr fontId="23" type="noConversion"/>
  </si>
  <si>
    <t>공공(서천군)</t>
    <phoneticPr fontId="23" type="noConversion"/>
  </si>
  <si>
    <t>해양생물,
생태계</t>
    <phoneticPr fontId="23" type="noConversion"/>
  </si>
  <si>
    <t>서천군
(041-950-4256)</t>
    <phoneticPr fontId="23" type="noConversion"/>
  </si>
  <si>
    <t>○ 해양존,생태존,문화존 체험프로그램 및 문화공연</t>
    <phoneticPr fontId="23" type="noConversion"/>
  </si>
  <si>
    <t>해랑들랑어울제축제</t>
    <phoneticPr fontId="23" type="noConversion"/>
  </si>
  <si>
    <t>꼴뚜기, 갑오징어</t>
    <phoneticPr fontId="23" type="noConversion"/>
  </si>
  <si>
    <t>충청남도 서천군 장항읍 총무팀
(041-950-6307)
수산업협동조합
(041-956-6880)
꼴갑축제추진위원회
(041-956-7383)</t>
    <phoneticPr fontId="23" type="noConversion"/>
  </si>
  <si>
    <t>○ 꼴뚜기, 갑오징어 및 장항 특산물 판매</t>
    <phoneticPr fontId="23" type="noConversion"/>
  </si>
  <si>
    <t>꼴갑축제</t>
    <phoneticPr fontId="23" type="noConversion"/>
  </si>
  <si>
    <t>철새</t>
    <phoneticPr fontId="23" type="noConversion"/>
  </si>
  <si>
    <t>서천철새여행행사추진위원회
(041-956-4002)</t>
    <phoneticPr fontId="23" type="noConversion"/>
  </si>
  <si>
    <t>○ 탐조투어 : 조류생태전시관 ⇔ 국립생태원 ⇔ 미곡창고 ⇔ 기벌포영화관 ⇔ 스카이워크 ⇔ 군산철새조망대
○ 체험․학습 프로그램 : 생태 홍보관 운영, 스코프 철새관찰, VR체험, 4D체험, 갯벌목걸이 체험, 생태 학습프로그램 운영, 모시베틀체험 등
○ 부대행사 : 생태 뮤지컬(“우여야놀자”), 인형극(“새와소년”)</t>
    <phoneticPr fontId="23" type="noConversion"/>
  </si>
  <si>
    <t>11월 중</t>
    <phoneticPr fontId="23" type="noConversion"/>
  </si>
  <si>
    <t xml:space="preserve">서천군산 금강철새여행 </t>
    <phoneticPr fontId="23" type="noConversion"/>
  </si>
  <si>
    <t>유적지,기타</t>
    <phoneticPr fontId="23" type="noConversion"/>
  </si>
  <si>
    <t>백제(사비)</t>
    <phoneticPr fontId="23" type="noConversion"/>
  </si>
  <si>
    <t>백제문화재단
(041-645-6991)</t>
    <phoneticPr fontId="23" type="noConversion"/>
  </si>
  <si>
    <t>○ 백제사비정도고유제
○ 10여가지의 제례불전과 사비 백제를 테마의  전시,
     체험프로그램 운영 
○ 개폐막 공연, 전통문화예술공연 등 30여개 프로그램 운영
○ 경연대회, 마당극, 거리공연, 행렬 등</t>
    <phoneticPr fontId="23" type="noConversion"/>
  </si>
  <si>
    <t>제66회 백제문화제</t>
    <phoneticPr fontId="23" type="noConversion"/>
  </si>
  <si>
    <t>연꽃, 무왕(서동)</t>
    <phoneticPr fontId="23" type="noConversion"/>
  </si>
  <si>
    <t>2003년
(18회)</t>
    <phoneticPr fontId="23" type="noConversion"/>
  </si>
  <si>
    <t>부여군
/ 보조단체 미선정
(041-830-2212)</t>
    <phoneticPr fontId="23" type="noConversion"/>
  </si>
  <si>
    <t>○ 주제공연 : 서동의 노래(서동과 선화공주의 사랑이야기)
○ 디자인과 스토리가 담긴 7대 대표컨셉 설정
○ 연꽃과 서동(무왕)을 테마로한 공연, 전시, 체험프로그램 
○ 개폐막 공연, 주제공연 및 지역예술단체공연 등
○ 경연대회, 지역 문화‧관광자원과의 연계된 프로그램 등</t>
    <phoneticPr fontId="23" type="noConversion"/>
  </si>
  <si>
    <t>7.11.~7.18.
(8일간)</t>
    <phoneticPr fontId="23" type="noConversion"/>
  </si>
  <si>
    <t>제18회 
부여서동연꽃축제</t>
    <phoneticPr fontId="23" type="noConversion"/>
  </si>
  <si>
    <t>유네스코
세계문화유산</t>
    <phoneticPr fontId="23" type="noConversion"/>
  </si>
  <si>
    <t xml:space="preserve"> ○ 봄의 왈츠 콘서트-퓨전,클랙식 공연(개막공연)
 ○ 명사와 함께하는 인문한 답사, 달빛과 함께하는 부소산성 야행 투어 등
 ○ 누정, 소공연장 버스킹 공연, 백제 복식체험, 유물발굴체험 등
 ○ 추억의 도시락, 주먹밥 만들기, 굿뜨래 10미를 활용한 먹거리 체험</t>
    <phoneticPr fontId="23" type="noConversion"/>
  </si>
  <si>
    <t>부소산 봄나들이 축제</t>
    <phoneticPr fontId="23" type="noConversion"/>
  </si>
  <si>
    <t>하천부지</t>
    <phoneticPr fontId="23" type="noConversion"/>
  </si>
  <si>
    <t>토마토
유채꽃</t>
    <phoneticPr fontId="23" type="noConversion"/>
  </si>
  <si>
    <t>부여군
/ 부여세도 방울토마토&amp;유채꽃 축제 추진위원회
(041-830-6723)</t>
    <phoneticPr fontId="23" type="noConversion"/>
  </si>
  <si>
    <t>○ 유채꽃 테마경관(유채꽃 단지 15ha 조성)
○ 토마토 수확체험 및 전시관 운영
○ 오케스트라 및 지역단체 공연
○ 세도 세시풍속(산유화, 두레풍장, 장군제)</t>
    <phoneticPr fontId="23" type="noConversion"/>
  </si>
  <si>
    <t>4.24.~4.26.
(3일간)</t>
    <phoneticPr fontId="23" type="noConversion"/>
  </si>
  <si>
    <t>부여세도 방울토마토&amp;유채꽃 축제</t>
    <phoneticPr fontId="23" type="noConversion"/>
  </si>
  <si>
    <t>홍도화</t>
    <phoneticPr fontId="23" type="noConversion"/>
  </si>
  <si>
    <t>2008년도
(제13회)</t>
    <phoneticPr fontId="23" type="noConversion"/>
  </si>
  <si>
    <t>남일면/
남일면홍도촤축제추진위원회
(041-750-8506)</t>
    <phoneticPr fontId="23" type="noConversion"/>
  </si>
  <si>
    <t xml:space="preserve">○ 홍도화가요제
○ 홍도화를 테마로 한 체험, 공연프로그램 운영
○ 홍도화 길 꽃마차, 송어잡기체험, 나무곤충만들기 등 </t>
    <phoneticPr fontId="23" type="noConversion"/>
  </si>
  <si>
    <t>제13회 남일면홍도화축제</t>
    <phoneticPr fontId="23" type="noConversion"/>
  </si>
  <si>
    <t>금산군</t>
    <phoneticPr fontId="23" type="noConversion"/>
  </si>
  <si>
    <t xml:space="preserve">있음
정규직 4명
계약직 1명
총 5명  </t>
    <phoneticPr fontId="23" type="noConversion"/>
  </si>
  <si>
    <t>산꽃</t>
    <phoneticPr fontId="23" type="noConversion"/>
  </si>
  <si>
    <t>2000년도
(제21회)</t>
    <phoneticPr fontId="23" type="noConversion"/>
  </si>
  <si>
    <t>금산군/ 금산축제관광재단
(041-750-4147)</t>
    <phoneticPr fontId="23" type="noConversion"/>
  </si>
  <si>
    <t xml:space="preserve">○ 산꽃 술래길 건강걷기
○ 자연 산꽃을 테마로 한 건강프로그램 운영
○ 숲속 작은 음악회, 산꽃음악회 등 공연프로그램 
○ 화덕음식체험, 보곡산골 연만들기 등 참여프로그램 </t>
    <phoneticPr fontId="23" type="noConversion"/>
  </si>
  <si>
    <t>2020 비단고을 산꽃축제</t>
    <phoneticPr fontId="23" type="noConversion"/>
  </si>
  <si>
    <t>강(여울)</t>
    <phoneticPr fontId="23" type="noConversion"/>
  </si>
  <si>
    <t>1993년도
(제28회)</t>
    <phoneticPr fontId="23" type="noConversion"/>
  </si>
  <si>
    <t>○ 건강 물 난장
○ 금강 여울을 테마로 강촌 관광프로그램 운영
○ 물총싸움, 아이스족욕, 삼계탕 파티 등 여름문화체험
○ 열대야음악회, 농바우끄시기 등 공연프로그램</t>
    <phoneticPr fontId="23" type="noConversion"/>
  </si>
  <si>
    <t>2020 금강 물 축제</t>
    <phoneticPr fontId="23" type="noConversion"/>
  </si>
  <si>
    <t>1981년도
(39회)</t>
    <phoneticPr fontId="23" type="noConversion"/>
  </si>
  <si>
    <t>○ 인삼캐기체험
○ 인삼과 건강을 테마로 한  체험,공연,전시 등 운영
○ 건강체험관, 금산인삼문화촌, 인삼아트거리 등 체험
○ 건강댄스경연,힐링콘서트, 전국창작동요경연대회 등 
   경연,공연
○ 국제인삼교역전, 인삼왕수상작 전시 등 전시교역</t>
    <phoneticPr fontId="23" type="noConversion"/>
  </si>
  <si>
    <t>제39회 금산인삼축제</t>
    <phoneticPr fontId="23" type="noConversion"/>
  </si>
  <si>
    <t>1977년도
(44회)</t>
    <phoneticPr fontId="23" type="noConversion"/>
  </si>
  <si>
    <t>당진시 문화관광과/심훈상록문화제추진위원회(041-350-3592)</t>
    <phoneticPr fontId="23" type="noConversion"/>
  </si>
  <si>
    <t>1. 20개
(불꽃놀이, 축하공연) 
2. 40개
(시민노래자랑, 체험부스 운영)</t>
    <phoneticPr fontId="23" type="noConversion"/>
  </si>
  <si>
    <t>심훈상록문화제</t>
    <phoneticPr fontId="23" type="noConversion"/>
  </si>
  <si>
    <t>당진시</t>
    <phoneticPr fontId="23" type="noConversion"/>
  </si>
  <si>
    <t>해</t>
    <phoneticPr fontId="23" type="noConversion"/>
  </si>
  <si>
    <t>2000년도
(18회)</t>
    <phoneticPr fontId="23" type="noConversion"/>
  </si>
  <si>
    <t>당진시 문화관광과/왜목마을 변영회 (041-350-3592)</t>
    <phoneticPr fontId="23" type="noConversion"/>
  </si>
  <si>
    <t>1. 10개 
(ex 불꽃놀이, 조형물 점등식)
2. 5개
(ex : 소원지 태우기,일출감상, 떡국나눔행사)</t>
    <phoneticPr fontId="23" type="noConversion"/>
  </si>
  <si>
    <t>왜목해돋이축제</t>
    <phoneticPr fontId="23" type="noConversion"/>
  </si>
  <si>
    <t>연호</t>
    <phoneticPr fontId="23" type="noConversion"/>
  </si>
  <si>
    <t>2017
(4회)</t>
    <phoneticPr fontId="23" type="noConversion"/>
  </si>
  <si>
    <t>버그네연호문화제축제위원회
041-360-8003</t>
    <phoneticPr fontId="23" type="noConversion"/>
  </si>
  <si>
    <t>○ 시민 노래자랑,학생 음악 동아리 경연 미사와 성체거동 등</t>
    <phoneticPr fontId="23" type="noConversion"/>
  </si>
  <si>
    <t>7~8월 증</t>
    <phoneticPr fontId="23" type="noConversion"/>
  </si>
  <si>
    <t>버그내연호문화축제</t>
    <phoneticPr fontId="23" type="noConversion"/>
  </si>
  <si>
    <t>매실</t>
    <phoneticPr fontId="23" type="noConversion"/>
  </si>
  <si>
    <t>순성 왕매실영농조합</t>
    <phoneticPr fontId="23" type="noConversion"/>
  </si>
  <si>
    <t>1.4개
(농산물 판매,체험행사,축하공연,노래자랑)</t>
    <phoneticPr fontId="23" type="noConversion"/>
  </si>
  <si>
    <t>6월 증</t>
    <phoneticPr fontId="23" type="noConversion"/>
  </si>
  <si>
    <t>순성왕매실축제</t>
    <phoneticPr fontId="23" type="noConversion"/>
  </si>
  <si>
    <t>당진시 관광기획팀 
(041-350-3592)</t>
    <phoneticPr fontId="23" type="noConversion"/>
  </si>
  <si>
    <t xml:space="preserve"> 1. 4개
(축하공연,노래자랑, 이벤트행사, 체험행사)</t>
    <phoneticPr fontId="23" type="noConversion"/>
  </si>
  <si>
    <t>순성매화벚꽃축제</t>
    <phoneticPr fontId="23" type="noConversion"/>
  </si>
  <si>
    <t>줄다리기</t>
    <phoneticPr fontId="23" type="noConversion"/>
  </si>
  <si>
    <t>500년 전
(매년 개최
2009년 최초)</t>
    <phoneticPr fontId="23" type="noConversion"/>
  </si>
  <si>
    <t>기지시줄다리기 
축제위원회
(041-358-4646)</t>
    <phoneticPr fontId="23" type="noConversion"/>
  </si>
  <si>
    <t xml:space="preserve">1. 15개
(전국농악대회, 스포츠줄다리기대회, 줄나가기, 줄다리기 등)
2. 6개
(줄고사, 줄나가기, 줄다리기 등) </t>
    <phoneticPr fontId="23" type="noConversion"/>
  </si>
  <si>
    <t>기지시줄다리기민속축제</t>
    <phoneticPr fontId="23" type="noConversion"/>
  </si>
  <si>
    <t>특산물</t>
    <phoneticPr fontId="23" type="noConversion"/>
  </si>
  <si>
    <t>2004년
(16회)</t>
    <phoneticPr fontId="23" type="noConversion"/>
  </si>
  <si>
    <t>1. 16개
(ex: 바지락갯벌체험, 불꽃놀이 등)
2. 9개
(ex: 바지락갯벌체험, 주민자치위원회 공연, 노래자랑 등)</t>
    <phoneticPr fontId="23" type="noConversion"/>
  </si>
  <si>
    <t>한진바지락축제</t>
    <phoneticPr fontId="23" type="noConversion"/>
  </si>
  <si>
    <t>1999년
(17회)</t>
    <phoneticPr fontId="23" type="noConversion"/>
  </si>
  <si>
    <t>1. 22개
(ex: 불꽃놀이, 뱅어포만들기, 물고기잡기 등)
2. 8개
(ex: 농특산물경매, 뱅어포만들기, 허리씨름대회, 인증샷찍어오기 등)</t>
    <phoneticPr fontId="23" type="noConversion"/>
  </si>
  <si>
    <t>장고항실치축제</t>
    <phoneticPr fontId="23" type="noConversion"/>
  </si>
  <si>
    <t>진달래</t>
    <phoneticPr fontId="23" type="noConversion"/>
  </si>
  <si>
    <t>2001년
(20회)</t>
    <phoneticPr fontId="23" type="noConversion"/>
  </si>
  <si>
    <t>면천면 총무과
(041-350-8355)
면천진달래민속축제집행위원회
(041-360-8352)</t>
    <phoneticPr fontId="23" type="noConversion"/>
  </si>
  <si>
    <t>1. 24개(진달래 가요제, 평양진달래예술공연 등)
2. 15개(면천두견주 제조공개행사, 민속3종경기 등)</t>
    <phoneticPr fontId="23" type="noConversion"/>
  </si>
  <si>
    <t>면천 진달래민속축제</t>
    <phoneticPr fontId="23" type="noConversion"/>
  </si>
  <si>
    <t>계룡대일원</t>
    <phoneticPr fontId="23" type="noConversion"/>
  </si>
  <si>
    <t>엑스포조직위</t>
    <phoneticPr fontId="23" type="noConversion"/>
  </si>
  <si>
    <t>기타(1회)</t>
    <phoneticPr fontId="23" type="noConversion"/>
  </si>
  <si>
    <t>軍문화</t>
    <phoneticPr fontId="23" type="noConversion"/>
  </si>
  <si>
    <t>지역특화문화행사지원</t>
    <phoneticPr fontId="23" type="noConversion"/>
  </si>
  <si>
    <t>계룡세계군문화엑스포조직위원회
(042-840-3907)</t>
    <phoneticPr fontId="23" type="noConversion"/>
  </si>
  <si>
    <t xml:space="preserve">○ 공식행사(개장식, 개막식, 폐막식)
○ 전시행사(세계평화관, 한반도희망관, 대한민국국방관, 세계군문화생활관, 군과학화전투체험관, 미래관, 지역산업관) </t>
    <phoneticPr fontId="23" type="noConversion"/>
  </si>
  <si>
    <t>9.18.~10.4.
(17일간)</t>
    <phoneticPr fontId="23" type="noConversion"/>
  </si>
  <si>
    <t>2020계룡세계군문화엑스포</t>
    <phoneticPr fontId="23" type="noConversion"/>
  </si>
  <si>
    <t>계룡시</t>
    <phoneticPr fontId="23" type="noConversion"/>
  </si>
  <si>
    <t xml:space="preserve">양촌면
체육공원
</t>
    <phoneticPr fontId="65" type="noConversion"/>
  </si>
  <si>
    <t>2002년
(17회)</t>
    <phoneticPr fontId="23" type="noConversion"/>
  </si>
  <si>
    <t>논산시/양촌곶감축제추진위원회
(041-746-8791)</t>
    <phoneticPr fontId="23" type="noConversion"/>
  </si>
  <si>
    <t>○ 대표:감깍기 체험 및 곶감 특설판매 행사
○ 개폐막 축하공연 및 문화공연
   - 5개 분야, 20여개 행사
○ 기타 특별행사 및 전시 등</t>
    <phoneticPr fontId="23" type="noConversion"/>
  </si>
  <si>
    <t>양촌곶감축제</t>
    <phoneticPr fontId="23" type="noConversion"/>
  </si>
  <si>
    <t>논산시</t>
    <phoneticPr fontId="23" type="noConversion"/>
  </si>
  <si>
    <t>강경둔치 일원</t>
    <phoneticPr fontId="65" type="noConversion"/>
  </si>
  <si>
    <t>있음
정규직 2명
공무직 1명</t>
    <phoneticPr fontId="65" type="noConversion"/>
  </si>
  <si>
    <t>매년</t>
    <phoneticPr fontId="65" type="noConversion"/>
  </si>
  <si>
    <t>젓갈</t>
    <phoneticPr fontId="65" type="noConversion"/>
  </si>
  <si>
    <t>지역특산물</t>
    <phoneticPr fontId="65" type="noConversion"/>
  </si>
  <si>
    <t>1997년
(23회)</t>
    <phoneticPr fontId="23" type="noConversion"/>
  </si>
  <si>
    <t>논산시/강경젓갈축제추진위원회
(041-746-5663)</t>
    <phoneticPr fontId="65" type="noConversion"/>
  </si>
  <si>
    <t>○ 대표:만선배맞이 행사
○ 젓갈을 테마로한 판매, 공연, 전시, 체험프로그램 운영
○ 개폐막 공연, 주제공연 및 문화공연
   - 5개 분야 60여개 프로그램  
○ 기타 특별행사 및 전시 등</t>
    <phoneticPr fontId="23" type="noConversion"/>
  </si>
  <si>
    <t>10월 중
(5일간)</t>
    <phoneticPr fontId="23" type="noConversion"/>
  </si>
  <si>
    <t>강경젓갈축제</t>
    <phoneticPr fontId="65" type="noConversion"/>
  </si>
  <si>
    <t>논산시</t>
    <phoneticPr fontId="65" type="noConversion"/>
  </si>
  <si>
    <t>충청남도</t>
    <phoneticPr fontId="65" type="noConversion"/>
  </si>
  <si>
    <t>연산전통
시장일원</t>
    <phoneticPr fontId="23" type="noConversion"/>
  </si>
  <si>
    <t>연산대추</t>
    <phoneticPr fontId="23" type="noConversion"/>
  </si>
  <si>
    <t>논산시/연산대추축제추진위원회
(041-746-8744)</t>
    <phoneticPr fontId="23" type="noConversion"/>
  </si>
  <si>
    <t>○ 대표: 대추특설판매 행사
○ 개폐막 축하공연 및 문화공연
  - 5개 분야, 40개 행사(예정)
○ 기타 특별행사 및 전시 등</t>
    <phoneticPr fontId="23" type="noConversion"/>
  </si>
  <si>
    <t>연산대추축제</t>
    <phoneticPr fontId="23" type="noConversion"/>
  </si>
  <si>
    <t>금강대학교 일원</t>
    <phoneticPr fontId="23" type="noConversion"/>
  </si>
  <si>
    <t>고구마</t>
    <phoneticPr fontId="23" type="noConversion"/>
  </si>
  <si>
    <t>2008년도
(10회)</t>
    <phoneticPr fontId="23" type="noConversion"/>
  </si>
  <si>
    <t>논산시/상월명품고구마축제추진위원회
(041-746-8673)</t>
    <phoneticPr fontId="23" type="noConversion"/>
  </si>
  <si>
    <t>○ 대표:고구마캐기체험 및 무료시식
○ 개폐막 축하공연 및 문화공연
 - 4개분야, 20여개 행사
○ 기타 특별행사 및 전시 등</t>
    <phoneticPr fontId="23" type="noConversion"/>
  </si>
  <si>
    <t>상월명품고구마축제</t>
    <phoneticPr fontId="23" type="noConversion"/>
  </si>
  <si>
    <t>논산천둔치 및
딸기밭일원</t>
    <phoneticPr fontId="23" type="noConversion"/>
  </si>
  <si>
    <t>논산시
/2020논산딸기축제추진위원회
(041-746-8382)</t>
    <phoneticPr fontId="23" type="noConversion"/>
  </si>
  <si>
    <t xml:space="preserve">○ 대표:딸기수확체험
○ 딸기를 테마로한 공연, 전시, 체험프로그램 운영
○ 개폐막 공연, 주제공연 및 문화공연
    - 5개 분야 90여개 프로그램
○ 기타 특별행사 및 전시 등 </t>
    <phoneticPr fontId="23" type="noConversion"/>
  </si>
  <si>
    <t>2.19~2.23
(5일간)</t>
    <phoneticPr fontId="23" type="noConversion"/>
  </si>
  <si>
    <t>논산딸기축제</t>
    <phoneticPr fontId="23" type="noConversion"/>
  </si>
  <si>
    <t>과수원 및 기타</t>
    <phoneticPr fontId="23" type="noConversion"/>
  </si>
  <si>
    <t>서산시농업기술센터
/서산국화축제추진위원회
(041-660-3935)</t>
    <phoneticPr fontId="23" type="noConversion"/>
  </si>
  <si>
    <t>과수원을 배경으로 실내·외 국화전시,  체험프로그램 
및 문화예술 공연 등</t>
    <phoneticPr fontId="23" type="noConversion"/>
  </si>
  <si>
    <t>10.30.~11.8.
(10일간)</t>
    <phoneticPr fontId="23" type="noConversion"/>
  </si>
  <si>
    <t>서산국화축제</t>
    <phoneticPr fontId="23" type="noConversion"/>
  </si>
  <si>
    <t>서산시</t>
    <phoneticPr fontId="23" type="noConversion"/>
  </si>
  <si>
    <t>바닷가</t>
    <phoneticPr fontId="23" type="noConversion"/>
  </si>
  <si>
    <t>어리굴젓</t>
    <phoneticPr fontId="23" type="noConversion"/>
  </si>
  <si>
    <t>서산어리굴젓축제추진위원회
(041-660-2069)</t>
    <phoneticPr fontId="23" type="noConversion"/>
  </si>
  <si>
    <t>○ 각종체험(바지락캐기, 어선체험, 굴까기 체험 및 밑반찬용 굴 무치기 등), 부대행사, 전시행사 등</t>
    <phoneticPr fontId="23" type="noConversion"/>
  </si>
  <si>
    <t>서산어리굴젓축제</t>
    <phoneticPr fontId="23" type="noConversion"/>
  </si>
  <si>
    <t>기타(여건에 따라 개최)</t>
    <phoneticPr fontId="23" type="noConversion"/>
  </si>
  <si>
    <t>낙지</t>
    <phoneticPr fontId="23" type="noConversion"/>
  </si>
  <si>
    <t>2014년도
(5회)</t>
    <phoneticPr fontId="23" type="noConversion"/>
  </si>
  <si>
    <t>서산뻘낙지먹물축제추진위원회
(041-660-2069)</t>
    <phoneticPr fontId="23" type="noConversion"/>
  </si>
  <si>
    <t xml:space="preserve"> ○ 맨손낙지잡기 체험 등 각종 체험프로그램
 ○ 수산물을 테마로한 경연행사
 ○ 개폐막 공연, 주제공연 및 문화공연</t>
    <phoneticPr fontId="23" type="noConversion"/>
  </si>
  <si>
    <t>서산뻘낙지먹물축제</t>
    <phoneticPr fontId="23" type="noConversion"/>
  </si>
  <si>
    <t>해미읍성</t>
    <phoneticPr fontId="23" type="noConversion"/>
  </si>
  <si>
    <t>역사체험</t>
    <phoneticPr fontId="23" type="noConversion"/>
  </si>
  <si>
    <t>문화관광축제(유망)</t>
    <phoneticPr fontId="23" type="noConversion"/>
  </si>
  <si>
    <t>문화관광축제 지원</t>
    <phoneticPr fontId="65" type="noConversion"/>
  </si>
  <si>
    <t>문화체육관광부</t>
    <phoneticPr fontId="65" type="noConversion"/>
  </si>
  <si>
    <t>서산시
/서산해미읍성축제추진위원회
(041-660-2679)</t>
    <phoneticPr fontId="65" type="noConversion"/>
  </si>
  <si>
    <t>○ 주제체험, 기획프로그램, 전통문화공연 등
○ 상설프로그램 및 체험프로그램, 연계프로그램 등</t>
    <phoneticPr fontId="23" type="noConversion"/>
  </si>
  <si>
    <t>10.09.~10.11.
(3일간)</t>
    <phoneticPr fontId="23" type="noConversion"/>
  </si>
  <si>
    <t>서산해미읍성축제</t>
    <phoneticPr fontId="23" type="noConversion"/>
  </si>
  <si>
    <t>우럭</t>
    <phoneticPr fontId="23" type="noConversion"/>
  </si>
  <si>
    <t>삼길포축제추진위원회
(041-660-2069)</t>
    <phoneticPr fontId="23" type="noConversion"/>
  </si>
  <si>
    <t>○우럭회 시식행사 등 다양한 체험 및 볼거리 제공
○우럭을 테마로한 공연, 체험 및 전시판매 행사 운영</t>
    <phoneticPr fontId="23" type="noConversion"/>
  </si>
  <si>
    <t>7월 중
(3일간)</t>
    <phoneticPr fontId="23" type="noConversion"/>
  </si>
  <si>
    <t>삼길포우럭축제</t>
    <phoneticPr fontId="23" type="noConversion"/>
  </si>
  <si>
    <t>해미읍성 등
(미정)</t>
    <phoneticPr fontId="23" type="noConversion"/>
  </si>
  <si>
    <t>특산품(마늘)</t>
    <phoneticPr fontId="23" type="noConversion"/>
  </si>
  <si>
    <t>○ 6쪽마늘 판매, 공연, 체험 등</t>
    <phoneticPr fontId="23" type="noConversion"/>
  </si>
  <si>
    <t>7월 중
(2~3일)</t>
    <phoneticPr fontId="23" type="noConversion"/>
  </si>
  <si>
    <t>서산6쪽마늘축제</t>
    <phoneticPr fontId="23" type="noConversion"/>
  </si>
  <si>
    <t>특산품(감자)</t>
    <phoneticPr fontId="23" type="noConversion"/>
  </si>
  <si>
    <t>서산시 팔봉면사무소(041-660-3451)</t>
    <phoneticPr fontId="23" type="noConversion"/>
  </si>
  <si>
    <t xml:space="preserve"> ○ 감자캐기 체험, 전시, 시식, 농특산물 판매 등</t>
    <phoneticPr fontId="23" type="noConversion"/>
  </si>
  <si>
    <t>6월 중
(2~3일)</t>
    <phoneticPr fontId="23" type="noConversion"/>
  </si>
  <si>
    <t>팔봉산 감자축제</t>
    <phoneticPr fontId="23" type="noConversion"/>
  </si>
  <si>
    <t>바지락</t>
    <phoneticPr fontId="23" type="noConversion"/>
  </si>
  <si>
    <t>20011년도
(8회)</t>
    <phoneticPr fontId="23" type="noConversion"/>
  </si>
  <si>
    <t>서산 갯마을축제 추진위원회
(041-660-2069)</t>
    <phoneticPr fontId="23" type="noConversion"/>
  </si>
  <si>
    <t xml:space="preserve"> ○ 갯벌 바지락캐기 체험 등 체험프로그램
 ○ 수산물을 테마로한 경연행사
 ○ 개폐막 공연, 주제공연 및 문화공연</t>
    <phoneticPr fontId="23" type="noConversion"/>
  </si>
  <si>
    <t>지곡 왕산포 서산갯마을축제</t>
    <phoneticPr fontId="23" type="noConversion"/>
  </si>
  <si>
    <t>벚꽃나무</t>
    <phoneticPr fontId="23" type="noConversion"/>
  </si>
  <si>
    <t>해미벚꽃축제추진위원회/해미면주민자치위원회
(041-660-3844)</t>
    <phoneticPr fontId="23" type="noConversion"/>
  </si>
  <si>
    <t>○ 벚꽃음악회, 농특산물 홍보 및 판매장 운영, 각종 전시 및 체험행사 등</t>
    <phoneticPr fontId="23" type="noConversion"/>
  </si>
  <si>
    <t>해미벚꽃축제</t>
    <phoneticPr fontId="23" type="noConversion"/>
  </si>
  <si>
    <t>2000년도            (21회)</t>
    <phoneticPr fontId="23" type="noConversion"/>
  </si>
  <si>
    <t>○ 전통재연프로그램(전통혼례, 한복패션쇼 등 )                
○ 전통공연프로그램(송악두레논메기, 사물판놀음 등)                 ○ 전통체험프로그램(초가지붕잇기, 분청사기도예체험 등)</t>
    <phoneticPr fontId="23" type="noConversion"/>
  </si>
  <si>
    <t>10.12~10.14
(3일간)</t>
    <phoneticPr fontId="23" type="noConversion"/>
  </si>
  <si>
    <t xml:space="preserve">있음
총 14명  </t>
    <phoneticPr fontId="23" type="noConversion"/>
  </si>
  <si>
    <t>2015년도             (6회)</t>
    <phoneticPr fontId="23" type="noConversion"/>
  </si>
  <si>
    <t>○ 거리공연, 무대공연, 프리마켓 운영</t>
    <phoneticPr fontId="23" type="noConversion"/>
  </si>
  <si>
    <t>10.25~10.28
(4일간)</t>
    <phoneticPr fontId="23" type="noConversion"/>
  </si>
  <si>
    <t>2014년도          (7회)</t>
    <phoneticPr fontId="23" type="noConversion"/>
  </si>
  <si>
    <t>아산시 문화관광과                            (041-540-2140)</t>
    <phoneticPr fontId="23" type="noConversion"/>
  </si>
  <si>
    <t>○ 개막식(레드카펫 인터뷰, 축하공연)                                                          ○ 토크콘서트, 디제잉쇼 등 주무대공연 및 거리공연                        ○ 체험행사 및 홍보전시, 먹거리 등 부스체험</t>
    <phoneticPr fontId="23" type="noConversion"/>
  </si>
  <si>
    <t>9.28~9.30
(3일간)</t>
    <phoneticPr fontId="23" type="noConversion"/>
  </si>
  <si>
    <t>도고 코미디 핫 페스트 IN 아산(구 대한민국 코미디 핫 페스티벌)</t>
    <phoneticPr fontId="23" type="noConversion"/>
  </si>
  <si>
    <t>개최완료(온라인)
(8.1~8.15)</t>
    <phoneticPr fontId="23" type="noConversion"/>
  </si>
  <si>
    <t>신정호관광지 야외무대</t>
    <phoneticPr fontId="23" type="noConversion"/>
  </si>
  <si>
    <t>여름밤</t>
    <phoneticPr fontId="23" type="noConversion"/>
  </si>
  <si>
    <t>1998년도 (23회)</t>
    <phoneticPr fontId="23" type="noConversion"/>
  </si>
  <si>
    <t>아산시 문화관광과                               / 아산문화재단                              (041-540-2140)</t>
    <phoneticPr fontId="23" type="noConversion"/>
  </si>
  <si>
    <t>○ 영화상영, 지역예술단체공연, 체험프로그램 운영</t>
    <phoneticPr fontId="23" type="noConversion"/>
  </si>
  <si>
    <t>7.24~8.15
(매주 화~토)</t>
    <phoneticPr fontId="23" type="noConversion"/>
  </si>
  <si>
    <t>신정호 별빛축제</t>
    <phoneticPr fontId="23" type="noConversion"/>
  </si>
  <si>
    <t>아산시</t>
    <phoneticPr fontId="23" type="noConversion"/>
  </si>
  <si>
    <t>온양온천역,
현충사,곡교천</t>
    <phoneticPr fontId="23" type="noConversion"/>
  </si>
  <si>
    <t>이순신장군</t>
    <phoneticPr fontId="23" type="noConversion"/>
  </si>
  <si>
    <t>아산시 문화관광과                               / 아산문화재단                              (041-534-2634)</t>
    <phoneticPr fontId="23" type="noConversion"/>
  </si>
  <si>
    <t>○ 퍼레이드
○ 개폐막공연,전시체험 및 기타부대행사 등</t>
    <phoneticPr fontId="23" type="noConversion"/>
  </si>
  <si>
    <t>4.27~4.29                   (3일간)</t>
    <phoneticPr fontId="23" type="noConversion"/>
  </si>
  <si>
    <t>아산성웅이순신축제</t>
    <phoneticPr fontId="23" type="noConversion"/>
  </si>
  <si>
    <t>대천해수욕장</t>
    <phoneticPr fontId="23" type="noConversion"/>
  </si>
  <si>
    <t>자동차</t>
    <phoneticPr fontId="23" type="noConversion"/>
  </si>
  <si>
    <t>2020년
(1회)
 / 이전엔 아주자동차대학교 자체축제로 2011년부터 매년 개최</t>
    <phoneticPr fontId="23" type="noConversion"/>
  </si>
  <si>
    <t>보령시 관광과/(사)대천관광협회
(041-930-6565)/아주자동차개학교</t>
    <phoneticPr fontId="23" type="noConversion"/>
  </si>
  <si>
    <t>○ 차량 전시 프로그램(튜닝, 대학생 자작차량)
○ 차량 체험 프로그램(차량 시승, 포토존)
○ 차량 대회 프로그램(짐카나, 드리프트)</t>
    <phoneticPr fontId="23" type="noConversion"/>
  </si>
  <si>
    <t>5.23~5.24
(2일간)</t>
    <phoneticPr fontId="23" type="noConversion"/>
  </si>
  <si>
    <t>보령AMC모터페스티벌</t>
    <phoneticPr fontId="23" type="noConversion"/>
  </si>
  <si>
    <t>보령시</t>
    <phoneticPr fontId="23" type="noConversion"/>
  </si>
  <si>
    <t>있음
정규직 20명</t>
    <phoneticPr fontId="23" type="noConversion"/>
  </si>
  <si>
    <t>○ 1박2일 로맨틱 투어
○ 야간 경관조명 등</t>
    <phoneticPr fontId="23" type="noConversion"/>
  </si>
  <si>
    <t>장은리 굴단지</t>
    <phoneticPr fontId="23" type="noConversion"/>
  </si>
  <si>
    <t>굴</t>
    <phoneticPr fontId="23" type="noConversion"/>
  </si>
  <si>
    <t>○ 갖가지 굴 음식체험
○ 초대가수 공연
○ 관광객 노래자랑</t>
    <phoneticPr fontId="23" type="noConversion"/>
  </si>
  <si>
    <t>천북 굴축제</t>
    <phoneticPr fontId="23" type="noConversion"/>
  </si>
  <si>
    <t>○ 유용미생물(EM) 관련 체험활동
○ 농산물 전시 및 판매
○ 기타 농촌문화 체험활동 및 공연프로그램 운영</t>
    <phoneticPr fontId="23" type="noConversion"/>
  </si>
  <si>
    <t>11월 첫째 주 
(예정)</t>
    <phoneticPr fontId="23" type="noConversion"/>
  </si>
  <si>
    <t>제15회 온새미로축제</t>
    <phoneticPr fontId="23" type="noConversion"/>
  </si>
  <si>
    <t>부분위탁(운영, 프로그램)</t>
    <phoneticPr fontId="23" type="noConversion"/>
  </si>
  <si>
    <t>은행</t>
    <phoneticPr fontId="23" type="noConversion"/>
  </si>
  <si>
    <t>○ 은행마을 둘레길 걷기</t>
    <phoneticPr fontId="23" type="noConversion"/>
  </si>
  <si>
    <t>청라 은행마을 단풍축제</t>
    <phoneticPr fontId="23" type="noConversion"/>
  </si>
  <si>
    <t>김</t>
    <phoneticPr fontId="23" type="noConversion"/>
  </si>
  <si>
    <t>2015
(5회)</t>
    <phoneticPr fontId="23" type="noConversion"/>
  </si>
  <si>
    <t>○ 아줌마댄스경연대회, 어린이 가요제
○ 보령시민노래자랑
○ 김요리경연대회
○ 전통민속놀이한마당
○ 이색김밥경연대회</t>
    <phoneticPr fontId="23" type="noConversion"/>
  </si>
  <si>
    <t>보령 김 축제</t>
    <phoneticPr fontId="23" type="noConversion"/>
  </si>
  <si>
    <t>무창포해수욕장</t>
    <phoneticPr fontId="23" type="noConversion"/>
  </si>
  <si>
    <t>대하, 전어</t>
    <phoneticPr fontId="23" type="noConversion"/>
  </si>
  <si>
    <t>2008
(12회)</t>
    <phoneticPr fontId="23" type="noConversion"/>
  </si>
  <si>
    <t>보령시 수산과
 (041-936-3510)</t>
    <phoneticPr fontId="23" type="noConversion"/>
  </si>
  <si>
    <t>○ 독살어업체험
○ 맨손고기잡기체험(유료)
○ 조개잡기 체험
○ 품바공연등</t>
    <phoneticPr fontId="23" type="noConversion"/>
  </si>
  <si>
    <t>무창포 대하·전어축제</t>
    <phoneticPr fontId="23" type="noConversion"/>
  </si>
  <si>
    <t>보령문화의전당</t>
    <phoneticPr fontId="23" type="noConversion"/>
  </si>
  <si>
    <t>1996년도
(22회)</t>
    <phoneticPr fontId="23" type="noConversion"/>
  </si>
  <si>
    <t>보령시 문화새마을과
(041-930-3412)</t>
    <phoneticPr fontId="23" type="noConversion"/>
  </si>
  <si>
    <t>○ 국악공연 등 16개 예술행사 및 전시</t>
    <phoneticPr fontId="23" type="noConversion"/>
  </si>
  <si>
    <t>보령예술제</t>
    <phoneticPr fontId="23" type="noConversion"/>
  </si>
  <si>
    <t>신비의바닷길</t>
    <phoneticPr fontId="23" type="noConversion"/>
  </si>
  <si>
    <t>보령시 관광과/무창포신비의바닷길축제추진위원회(041-936-3561)</t>
    <phoneticPr fontId="23" type="noConversion"/>
  </si>
  <si>
    <t>○ 횃불어업, 맨손고기잡기 체험, 독살어업 체험
○ 신비의 바닷길 체험</t>
    <phoneticPr fontId="23" type="noConversion"/>
  </si>
  <si>
    <t>무창포신비의바닷길축제</t>
    <phoneticPr fontId="23" type="noConversion"/>
  </si>
  <si>
    <t>개최완료(온라인)
(7.17~7.26)</t>
    <phoneticPr fontId="23" type="noConversion"/>
  </si>
  <si>
    <t>머드</t>
    <phoneticPr fontId="23" type="noConversion"/>
  </si>
  <si>
    <t>1998년도
(22회)</t>
    <phoneticPr fontId="23" type="noConversion"/>
  </si>
  <si>
    <t>보령시 관광과/(재)보령축제관광재단(041-930-3882)</t>
    <phoneticPr fontId="23" type="noConversion"/>
  </si>
  <si>
    <t>○ 머드체험 등 50개 프로그램</t>
    <phoneticPr fontId="23" type="noConversion"/>
  </si>
  <si>
    <t>7.17~7.26
(10일간)</t>
    <phoneticPr fontId="23" type="noConversion"/>
  </si>
  <si>
    <t>보령머드축제</t>
    <phoneticPr fontId="23" type="noConversion"/>
  </si>
  <si>
    <t>조개</t>
    <phoneticPr fontId="23" type="noConversion"/>
  </si>
  <si>
    <t>○ 축하공연 및 주민화합 노래자랑, 조개요리 시식 등</t>
    <phoneticPr fontId="23" type="noConversion"/>
  </si>
  <si>
    <t>대천해수욕장 조개구이 축제</t>
    <phoneticPr fontId="23" type="noConversion"/>
  </si>
  <si>
    <t>2011
(7회)</t>
    <phoneticPr fontId="23" type="noConversion"/>
  </si>
  <si>
    <t>○ 개막식 및 축하공연
○ 수산물 모의경매
○ 즉석노래자랑 및 지역단체공연
○ 수산물 체험행사</t>
    <phoneticPr fontId="23" type="noConversion"/>
  </si>
  <si>
    <t>대천항 수산축제</t>
    <phoneticPr fontId="23" type="noConversion"/>
  </si>
  <si>
    <t>주꾸미, 도다리</t>
    <phoneticPr fontId="23" type="noConversion"/>
  </si>
  <si>
    <t xml:space="preserve">보령시 수산과/무창포축제추진위원회
(041-936-3510) </t>
    <phoneticPr fontId="23" type="noConversion"/>
  </si>
  <si>
    <t>○ 해상가두리낚시체험
○ 맨손고기잡기체험
○ 바지락잡기체험
○ 품바공연등</t>
    <phoneticPr fontId="23" type="noConversion"/>
  </si>
  <si>
    <t>3월 중</t>
    <phoneticPr fontId="23" type="noConversion"/>
  </si>
  <si>
    <t>무창포 주꾸미·도다리축제</t>
    <phoneticPr fontId="23" type="noConversion"/>
  </si>
  <si>
    <t>구룡사구절초꽃축제추진위원회
(041-840-8090)</t>
    <phoneticPr fontId="23" type="noConversion"/>
  </si>
  <si>
    <t>ㅇ 산사음악회 등 문화행사
ㅇ 지역농산물 홍보 및 판매</t>
    <phoneticPr fontId="23" type="noConversion"/>
  </si>
  <si>
    <t>구절산 구절초 축제</t>
    <phoneticPr fontId="23" type="noConversion"/>
  </si>
  <si>
    <t>공주시</t>
    <phoneticPr fontId="23" type="noConversion"/>
  </si>
  <si>
    <t>백제역사</t>
    <phoneticPr fontId="23" type="noConversion"/>
  </si>
  <si>
    <t>1955년
(66회)</t>
    <phoneticPr fontId="23" type="noConversion"/>
  </si>
  <si>
    <t>백제문화선양위원회
(041-840-8090)</t>
    <phoneticPr fontId="23" type="noConversion"/>
  </si>
  <si>
    <t>○ 웅진판타지아, 웅진성퍼레이드
○ 체험마당, 무대공연 등
ㅇ 농특산품전시 및 판매</t>
    <phoneticPr fontId="23" type="noConversion"/>
  </si>
  <si>
    <t>9월말~10월초</t>
    <phoneticPr fontId="23" type="noConversion"/>
  </si>
  <si>
    <t>개최완료(온라인)
(8.21~8.22)</t>
    <phoneticPr fontId="23" type="noConversion"/>
  </si>
  <si>
    <t>공주시 관광축제팀 
(041-840-8090)</t>
    <phoneticPr fontId="23" type="noConversion"/>
  </si>
  <si>
    <t>○ 음악공연, 체험, 수제맥주페스티벌 등</t>
    <phoneticPr fontId="23" type="noConversion"/>
  </si>
  <si>
    <t>7월말~8월초</t>
    <phoneticPr fontId="23" type="noConversion"/>
  </si>
  <si>
    <t>금강여름축제</t>
    <phoneticPr fontId="23" type="noConversion"/>
  </si>
  <si>
    <t>레저</t>
    <phoneticPr fontId="23" type="noConversion"/>
  </si>
  <si>
    <t>2009년
(12회)</t>
    <phoneticPr fontId="23" type="noConversion"/>
  </si>
  <si>
    <t>공주항공축제</t>
    <phoneticPr fontId="23" type="noConversion"/>
  </si>
  <si>
    <t>공주시 관광과 
(041-840-8081)</t>
    <phoneticPr fontId="23" type="noConversion"/>
  </si>
  <si>
    <t>○ 프린지공연 및 황매화꽃길조성 등</t>
    <phoneticPr fontId="23" type="noConversion"/>
  </si>
  <si>
    <t>갑사황매화축제</t>
    <phoneticPr fontId="23" type="noConversion"/>
  </si>
  <si>
    <t>2004년
(17회)</t>
    <phoneticPr fontId="23" type="noConversion"/>
  </si>
  <si>
    <t>○ 명상길 걷기, 체험 등
○ 템플스테이 등</t>
    <phoneticPr fontId="23" type="noConversion"/>
  </si>
  <si>
    <t>마곡사 신록축제</t>
    <phoneticPr fontId="23" type="noConversion"/>
  </si>
  <si>
    <t>산신제</t>
    <phoneticPr fontId="23" type="noConversion"/>
  </si>
  <si>
    <t>1998년
(23회)</t>
    <phoneticPr fontId="23" type="noConversion"/>
  </si>
  <si>
    <t>○ 유.불.무가식 산신제
○ 점사체험, 기체험, 다양한 무대공연 등</t>
    <phoneticPr fontId="23" type="noConversion"/>
  </si>
  <si>
    <t>계룡산산신제</t>
    <phoneticPr fontId="23" type="noConversion"/>
  </si>
  <si>
    <t>공주시 관광과
(041-840-8093)</t>
    <phoneticPr fontId="23" type="noConversion"/>
  </si>
  <si>
    <t>○ 야간조명
○ 체험 및 판매부스 운영</t>
    <phoneticPr fontId="23" type="noConversion"/>
  </si>
  <si>
    <t>계룡산 벚꽃축제</t>
    <phoneticPr fontId="23" type="noConversion"/>
  </si>
  <si>
    <t xml:space="preserve">구석기 </t>
    <phoneticPr fontId="23" type="noConversion"/>
  </si>
  <si>
    <t>○ 구석기문화 체험 
○ 문화행사프로그램 운영</t>
    <phoneticPr fontId="23" type="noConversion"/>
  </si>
  <si>
    <t>5. 2.~5. 5.
(4일)</t>
    <phoneticPr fontId="23" type="noConversion"/>
  </si>
  <si>
    <t>석장리 세계구석기축제</t>
    <phoneticPr fontId="23" type="noConversion"/>
  </si>
  <si>
    <t>겨울, 밤</t>
    <phoneticPr fontId="23" type="noConversion"/>
  </si>
  <si>
    <t>겨울공주군밤축제조직위원회 
(042-520-5754)</t>
    <phoneticPr fontId="23" type="noConversion"/>
  </si>
  <si>
    <t>○ 모닥불 음악회, 군밤체험, 얼음조각체험 등
○ 알밤홍보관, 알밤판매부스, 농특산물부스 운영 등</t>
    <phoneticPr fontId="23" type="noConversion"/>
  </si>
  <si>
    <t>1.10.~1.12.
(3일간)</t>
    <phoneticPr fontId="23" type="noConversion"/>
  </si>
  <si>
    <t>겨울공주 군밤축제</t>
    <phoneticPr fontId="23" type="noConversion"/>
  </si>
  <si>
    <t>운동장,
하천변</t>
    <phoneticPr fontId="23" type="noConversion"/>
  </si>
  <si>
    <t>15km 벚꽃길</t>
    <phoneticPr fontId="23" type="noConversion"/>
  </si>
  <si>
    <t>천안시 문화관광과
(041-521-4721)</t>
    <phoneticPr fontId="23" type="noConversion"/>
  </si>
  <si>
    <t>○ 문화어울마당(벚꽃사생대회, 버스킹공원 등)
○ 지역 농.특산품 판매
○ 개.폐막 공연, 벚꽃가요제 등
○ 민속체험마당(떡길게뽑기, 솟대만들기, 떡메치기 등)
○ 기타 그림전시, 지역사진전시 등</t>
    <phoneticPr fontId="23" type="noConversion"/>
  </si>
  <si>
    <t>4.18∼4.19
(예정)</t>
    <phoneticPr fontId="23" type="noConversion"/>
  </si>
  <si>
    <t>천안위례벚꽃축제</t>
    <phoneticPr fontId="23" type="noConversion"/>
  </si>
  <si>
    <t>광덕쉼터</t>
    <phoneticPr fontId="23" type="noConversion"/>
  </si>
  <si>
    <t>호두 홍보</t>
    <phoneticPr fontId="23" type="noConversion"/>
  </si>
  <si>
    <t>천안호두축제추진위원회
(041-521-4701)</t>
    <phoneticPr fontId="23" type="noConversion"/>
  </si>
  <si>
    <t>○ 호두를 테마로 한 요리, 노래, 미술대회 지역농산물 
    전시판매 등</t>
    <phoneticPr fontId="23" type="noConversion"/>
  </si>
  <si>
    <t>10월중
(2일간)</t>
    <phoneticPr fontId="23" type="noConversion"/>
  </si>
  <si>
    <t>천안호두축제</t>
    <phoneticPr fontId="23" type="noConversion"/>
  </si>
  <si>
    <t>특산품(거봉포도)</t>
    <phoneticPr fontId="23" type="noConversion"/>
  </si>
  <si>
    <t>1993년도     (20회)</t>
    <phoneticPr fontId="23" type="noConversion"/>
  </si>
  <si>
    <t>○ 거봉포도를 테마로 한 전시, 체험 프로그램 운영</t>
    <phoneticPr fontId="23" type="noConversion"/>
  </si>
  <si>
    <t>9월중
(2일간)</t>
    <phoneticPr fontId="23" type="noConversion"/>
  </si>
  <si>
    <t>입장거봉포도축제</t>
    <phoneticPr fontId="23" type="noConversion"/>
  </si>
  <si>
    <t>도솔공원</t>
    <phoneticPr fontId="23" type="noConversion"/>
  </si>
  <si>
    <t xml:space="preserve">9개 지역문화예술단체가 준비한 프로그램 및 시민참여 행사 운영  </t>
    <phoneticPr fontId="23" type="noConversion"/>
  </si>
  <si>
    <t>2003
(17회)</t>
    <phoneticPr fontId="23" type="noConversion"/>
  </si>
  <si>
    <t>천안예총
(041-561-1522)</t>
    <phoneticPr fontId="23" type="noConversion"/>
  </si>
  <si>
    <t xml:space="preserve">○ 천안시 소재 9개 문화예술단체의 공연·전시·경연 
    행사 운영
○ 다양한 시민참여 체험·부대행사 </t>
    <phoneticPr fontId="23" type="noConversion"/>
  </si>
  <si>
    <t>10월중
(3일간)</t>
    <phoneticPr fontId="23" type="noConversion"/>
  </si>
  <si>
    <t>천안예술제</t>
    <phoneticPr fontId="23" type="noConversion"/>
  </si>
  <si>
    <t>시민체육공원</t>
    <phoneticPr fontId="23" type="noConversion"/>
  </si>
  <si>
    <t>정규직 8명
계약직 3명
총 11명</t>
    <phoneticPr fontId="23" type="noConversion"/>
  </si>
  <si>
    <t>천안시 문화관광과/천안문화재단
(041-521-5154)</t>
    <phoneticPr fontId="23" type="noConversion"/>
  </si>
  <si>
    <t>○ 춤경연(전국춤 4개 분야, 국제춤 분야)
○ 거리댄스 퍼레이드
○ 코리아국제현대무용콩쿠르
○ 찾아가는 문화나눔 공연 등</t>
    <phoneticPr fontId="23" type="noConversion"/>
  </si>
  <si>
    <t>9.23∼9.27</t>
    <phoneticPr fontId="23" type="noConversion"/>
  </si>
  <si>
    <t>천안흥타령춤축제</t>
    <phoneticPr fontId="23" type="noConversion"/>
  </si>
  <si>
    <t>숭어</t>
    <phoneticPr fontId="23" type="noConversion"/>
  </si>
  <si>
    <t>미확보
(추경예산 확보 예정)</t>
    <phoneticPr fontId="23" type="noConversion"/>
  </si>
  <si>
    <t>2009
(11회)</t>
    <phoneticPr fontId="23" type="noConversion"/>
  </si>
  <si>
    <t>○ 공연행사(초청, 생활문화예술동호회)
○ 체험행사(숭어잡기 및 먹기, 샌드아트, 압화거울 제작)
○ 이벤트 행사 및 경품추천</t>
    <phoneticPr fontId="23" type="noConversion"/>
  </si>
  <si>
    <t>설숭어 축제</t>
    <phoneticPr fontId="23" type="noConversion"/>
  </si>
  <si>
    <t>부안군</t>
    <phoneticPr fontId="23" type="noConversion"/>
  </si>
  <si>
    <t>상서개암동 벚꽃축제 추진위원회
(063-582-5031)</t>
    <phoneticPr fontId="23" type="noConversion"/>
  </si>
  <si>
    <t>○ 가족과 함께 벚꽃 길 걷기, 공연, 체험, 먹거리, 노래자랑 등</t>
    <phoneticPr fontId="23" type="noConversion"/>
  </si>
  <si>
    <t>상서 개암동 벚꽃축제</t>
    <phoneticPr fontId="23" type="noConversion"/>
  </si>
  <si>
    <t>기타(댐)</t>
    <phoneticPr fontId="23" type="noConversion"/>
  </si>
  <si>
    <t>참뽕오디</t>
    <phoneticPr fontId="23" type="noConversion"/>
  </si>
  <si>
    <t>부안군농업기술센터 /
부안서림신문
(063-580-3854)</t>
    <phoneticPr fontId="23" type="noConversion"/>
  </si>
  <si>
    <t>○ 참뽕 가공제품 전시 및 체험
○ 가족과 함께 게임
○ 누에전시
○ 밴드공연
○ 노래자랑</t>
    <phoneticPr fontId="23" type="noConversion"/>
  </si>
  <si>
    <t>7.31.~8.4.
(5일간)</t>
    <phoneticPr fontId="23" type="noConversion"/>
  </si>
  <si>
    <t>님의 뽕 축제</t>
    <phoneticPr fontId="23" type="noConversion"/>
  </si>
  <si>
    <t>부안군농업기술센터 /
유유참뽕축제추진위원회
(063-584-0074)</t>
    <phoneticPr fontId="23" type="noConversion"/>
  </si>
  <si>
    <t>○ 풍잠기원제
○ 누에 전시
○ 낙화놀이
○ 밴드공연
○ 양잠산물 직거래 장터</t>
    <phoneticPr fontId="23" type="noConversion"/>
  </si>
  <si>
    <t>유유참뽕축제</t>
    <phoneticPr fontId="23" type="noConversion"/>
  </si>
  <si>
    <t>부안군 /
부안마실축제제전위원회
(063-580-4778)</t>
    <phoneticPr fontId="23" type="noConversion"/>
  </si>
  <si>
    <t xml:space="preserve">○ 최고의 마실을 찾아라, 마실춤 퍼레이드 등
○ 마실(마을)를 테마로한 공연, 전시, 체험프로그램 운영
○ 개폐막 공연, 주제공연 및 문화공연
    - 4개 분야 31여개 프로그램
○ 기타 특별행사 및 전시 등등 </t>
    <phoneticPr fontId="23" type="noConversion"/>
  </si>
  <si>
    <t>부안마실축제</t>
    <phoneticPr fontId="23" type="noConversion"/>
  </si>
  <si>
    <t>모양성일원
(사적지, 하천)</t>
    <phoneticPr fontId="23" type="noConversion"/>
  </si>
  <si>
    <t>부분위탁
(운영,체험)</t>
    <phoneticPr fontId="23" type="noConversion"/>
  </si>
  <si>
    <t>모양성</t>
    <phoneticPr fontId="23" type="noConversion"/>
  </si>
  <si>
    <t>1972년
(47회)</t>
    <phoneticPr fontId="23" type="noConversion"/>
  </si>
  <si>
    <t>고창군 문화유산관광과 /
(사)고창모양성보존회
(063-560-2949)</t>
    <phoneticPr fontId="23" type="noConversion"/>
  </si>
  <si>
    <t>○ 답성놀이체험, 강강술래, 거리퍼레이드, 조선시대 
    병영문화체험, 고을기올림행사, 농특산품판매, 먹거리
    장터,모양성 공성전, 다양한 전통놀이 체험, 공연 등</t>
    <phoneticPr fontId="23" type="noConversion"/>
  </si>
  <si>
    <t>10.21~10.26.
(5일간)</t>
    <phoneticPr fontId="23" type="noConversion"/>
  </si>
  <si>
    <t>해리면일원
(광장)</t>
    <phoneticPr fontId="23" type="noConversion"/>
  </si>
  <si>
    <t>고창군 농생명지원과 /
고창해풍고추축제위원회
(063-560-2732)</t>
    <phoneticPr fontId="23" type="noConversion"/>
  </si>
  <si>
    <t>○ 고추관련 체험행사, 고추품평회 및 전시, 판매, 
    고추가요제, 문화공연 등</t>
    <phoneticPr fontId="23" type="noConversion"/>
  </si>
  <si>
    <t>8.22~8.23.
(2일간)</t>
    <phoneticPr fontId="23" type="noConversion"/>
  </si>
  <si>
    <t>만돌하전갯벌
체험마을
(바다)</t>
    <phoneticPr fontId="23" type="noConversion"/>
  </si>
  <si>
    <t>갯벌체험, 
바지락체험</t>
    <phoneticPr fontId="23" type="noConversion"/>
  </si>
  <si>
    <t>1996년
(26회)</t>
    <phoneticPr fontId="23" type="noConversion"/>
  </si>
  <si>
    <t>고창군 해양수산과 /
고창갯벌축제위원회
(063-561-2132)</t>
    <phoneticPr fontId="23" type="noConversion"/>
  </si>
  <si>
    <t>○ 풍어제,  갯벌생태문화행사, 갯벌체험, 어망체험, 
    풍천장어잡기 체험, 숭어잡기체험, 특산품 판매, 
    바지락요리전문점 운영 등</t>
    <phoneticPr fontId="23" type="noConversion"/>
  </si>
  <si>
    <t>고창갯벌축제</t>
    <phoneticPr fontId="23" type="noConversion"/>
  </si>
  <si>
    <t>선운산 도립공원일원(공원)</t>
    <phoneticPr fontId="23" type="noConversion"/>
  </si>
  <si>
    <t>복분자,수박</t>
    <phoneticPr fontId="23" type="noConversion"/>
  </si>
  <si>
    <t>2005년
(16회)</t>
    <phoneticPr fontId="23" type="noConversion"/>
  </si>
  <si>
    <t>고창군 농생명지원과 /
고창복분자와수박축제위원회
(063-560-2531)</t>
    <phoneticPr fontId="23" type="noConversion"/>
  </si>
  <si>
    <t>○ 복분자,수박등 농특산품 판매, 군민화합한마당, 
     명품수박선발대회, 장어낚시, 복분자 수박을 테마로한
     체험, 시음 시식행사 등</t>
    <phoneticPr fontId="23" type="noConversion"/>
  </si>
  <si>
    <t>6.19~6.21.
(3일간)</t>
    <phoneticPr fontId="23" type="noConversion"/>
  </si>
  <si>
    <t>고창복분자와수박축제</t>
    <phoneticPr fontId="23" type="noConversion"/>
  </si>
  <si>
    <t>하전갯벌체험마을(광장)</t>
    <phoneticPr fontId="23" type="noConversion"/>
  </si>
  <si>
    <t>갯벌체험, 
바지락판매</t>
    <phoneticPr fontId="23" type="noConversion"/>
  </si>
  <si>
    <t>고창군 해양수산과 /
하전어촌계
(063-560-2643)</t>
    <phoneticPr fontId="23" type="noConversion"/>
  </si>
  <si>
    <t>○ 바지락 판매, 홍보, 시식행사
    바지락 특화요리 판매, 바지락 오감체험, 공연행사 등</t>
    <phoneticPr fontId="23" type="noConversion"/>
  </si>
  <si>
    <t>5.1-5.3</t>
    <phoneticPr fontId="23" type="noConversion"/>
  </si>
  <si>
    <t>바지락오감만족페스티벌</t>
    <phoneticPr fontId="23" type="noConversion"/>
  </si>
  <si>
    <t>공음면 학원농장(농업지역)</t>
    <phoneticPr fontId="23" type="noConversion"/>
  </si>
  <si>
    <t>청보리</t>
    <phoneticPr fontId="23" type="noConversion"/>
  </si>
  <si>
    <t>고창군 농생명지원과 /
고창청보리밭축제위원회
(063-560-2521)</t>
    <phoneticPr fontId="23" type="noConversion"/>
  </si>
  <si>
    <t>○ 청보리밭 테마길 걷기, 농경유물전시, 개막식, 
    보릿골 체험마당, 문화공연 등</t>
    <phoneticPr fontId="23" type="noConversion"/>
  </si>
  <si>
    <t>4.18~5.10.
(23일간)</t>
    <phoneticPr fontId="23" type="noConversion"/>
  </si>
  <si>
    <t>고창 청보리밭축제</t>
    <phoneticPr fontId="23" type="noConversion"/>
  </si>
  <si>
    <t>순창 경천변</t>
    <phoneticPr fontId="23" type="noConversion"/>
  </si>
  <si>
    <t>제전위</t>
    <phoneticPr fontId="23" type="noConversion"/>
  </si>
  <si>
    <t>1998년
(20회)</t>
    <phoneticPr fontId="23" type="noConversion"/>
  </si>
  <si>
    <t>순창군 문화관광과/ 
옥천골벚꽃축제제전위원회
(063-650-1624)</t>
    <phoneticPr fontId="23" type="noConversion"/>
  </si>
  <si>
    <t>○ 벚꽃길 걷기, 노래자랑, 각종 체험 등</t>
    <phoneticPr fontId="23" type="noConversion"/>
  </si>
  <si>
    <t>제20회 옥천골 벚꽃축제</t>
    <phoneticPr fontId="23" type="noConversion"/>
  </si>
  <si>
    <t>순창군</t>
    <phoneticPr fontId="23" type="noConversion"/>
  </si>
  <si>
    <t>전라북도</t>
    <phoneticPr fontId="23" type="noConversion"/>
  </si>
  <si>
    <t>순창 적성면</t>
    <phoneticPr fontId="23" type="noConversion"/>
  </si>
  <si>
    <t>○ 슬로푸드 및 발효 체험 
○ 연꽃할머니 이야기길 탐방
○ 목공예 공방 체험 및 전통놀이 체험</t>
    <phoneticPr fontId="23" type="noConversion"/>
  </si>
  <si>
    <t>제2회 슬로슬로 발효마을 축제</t>
    <phoneticPr fontId="23" type="noConversion"/>
  </si>
  <si>
    <t>순창고추장
민속마을</t>
    <phoneticPr fontId="23" type="noConversion"/>
  </si>
  <si>
    <t>2006년
(15회)</t>
    <phoneticPr fontId="23" type="noConversion"/>
  </si>
  <si>
    <t>순창군 문화관광과 /
순창장류축제추진위원회
(063-650-1624)</t>
    <phoneticPr fontId="23" type="noConversion"/>
  </si>
  <si>
    <t xml:space="preserve">○ 다함께! 순창고추장 만들자!
○ 장류를 테마로한 공연, 전시, 체험프로그램 운영
○ 개폐막 공연, 주제공연 및 문화공연
   - 총8개분야 63개 프로그램
 ○ 순창 세계소스박람회 개최 등 </t>
    <phoneticPr fontId="23" type="noConversion"/>
  </si>
  <si>
    <t>10.18~10.20.
(3일간)</t>
    <phoneticPr fontId="23" type="noConversion"/>
  </si>
  <si>
    <t>제15회 순창장류축제</t>
    <phoneticPr fontId="23" type="noConversion"/>
  </si>
  <si>
    <t>있음
정규직 2명
총 2명</t>
    <phoneticPr fontId="23" type="noConversion"/>
  </si>
  <si>
    <t>치즈, 한우</t>
    <phoneticPr fontId="23" type="noConversion"/>
  </si>
  <si>
    <t>임실N치즈축제제전위원회
(063-643-3900)</t>
    <phoneticPr fontId="23" type="noConversion"/>
  </si>
  <si>
    <t>○ 국가대표 왕치즈피자 만들기, 퍼레이드, 치즈페어 등
○ 치즈를 테마로 한 체험, 전시, 경연행사 등
○ 개,폐막 공연, 주제공연, 문화공연</t>
    <phoneticPr fontId="23" type="noConversion"/>
  </si>
  <si>
    <t>임실N치즈축제</t>
    <phoneticPr fontId="23" type="noConversion"/>
  </si>
  <si>
    <t>임실군</t>
    <phoneticPr fontId="23" type="noConversion"/>
  </si>
  <si>
    <t>호수</t>
    <phoneticPr fontId="23" type="noConversion"/>
  </si>
  <si>
    <t>장수군 /
장계면벚꽃엔딩축제추진위원회
(063-350-2356)</t>
    <phoneticPr fontId="23" type="noConversion"/>
  </si>
  <si>
    <t>○ 장수군 장계면 경관자원인 '벚꽃길'을 테마로 하여, 주민 
    화합형 축제를 통해 지역공동체 의식함양과 활성화를 도모
○ 세부계획 수립중</t>
    <phoneticPr fontId="23" type="noConversion"/>
  </si>
  <si>
    <t>장계 벚꽃엔딩 축제</t>
    <phoneticPr fontId="23" type="noConversion"/>
  </si>
  <si>
    <t>장수군</t>
    <phoneticPr fontId="23" type="noConversion"/>
  </si>
  <si>
    <t>물(Water)</t>
    <phoneticPr fontId="23" type="noConversion"/>
  </si>
  <si>
    <t>장수군 /
번암물축제추진위원회
(063-350-2356)</t>
    <phoneticPr fontId="23" type="noConversion"/>
  </si>
  <si>
    <t>○ 대표프로그램 '요천 보물찾기'
○ 수중 골든벨, 물고기잡기 체험 등 10여개 프로그램 운영
○ 번암면 주요 자원인 물을 테마로 한 다양한 프로그램을 
    운영하여 주민 화합형 축제를 통해 지역공동체 의식 함양과
    활성화를 도모함</t>
    <phoneticPr fontId="23" type="noConversion"/>
  </si>
  <si>
    <t>7.31~8.1.
(2일간)</t>
    <phoneticPr fontId="23" type="noConversion"/>
  </si>
  <si>
    <t>번암물축제</t>
    <phoneticPr fontId="23" type="noConversion"/>
  </si>
  <si>
    <t>축제추진위
(사단법인)</t>
    <phoneticPr fontId="23" type="noConversion"/>
  </si>
  <si>
    <t>한우, 사과</t>
    <phoneticPr fontId="23" type="noConversion"/>
  </si>
  <si>
    <t>장수군 /
사)장수한우랑사과랑축제추진위원회
(063-350-2357)</t>
    <phoneticPr fontId="23" type="noConversion"/>
  </si>
  <si>
    <t>○ 대표프로그램 '장수 한우마당' 운영
○ 한우와 사과를 주제로 다양한 체험 및 상설프로그램과 
    개폐막식, 주제공연 등 7개분야 70여개 프로그램 운영</t>
    <phoneticPr fontId="23" type="noConversion"/>
  </si>
  <si>
    <t>장수한우랑사과랑축제</t>
    <phoneticPr fontId="23" type="noConversion"/>
  </si>
  <si>
    <t>두문마을 일원</t>
    <phoneticPr fontId="23" type="noConversion"/>
  </si>
  <si>
    <t>마을자체</t>
    <phoneticPr fontId="23" type="noConversion"/>
  </si>
  <si>
    <t>낙화놀이</t>
    <phoneticPr fontId="23" type="noConversion"/>
  </si>
  <si>
    <t>무주군 /
무주두문낙화놀이보존회
(063-320-2537)</t>
    <phoneticPr fontId="23" type="noConversion"/>
  </si>
  <si>
    <t>○ 두문마을 낙화놀이 시연, 낙화봉 만들기, 전통놀이 등</t>
    <phoneticPr fontId="23" type="noConversion"/>
  </si>
  <si>
    <t>전라북도 시골마을 작은축제
(두문마을 낙화놀이)</t>
    <phoneticPr fontId="23" type="noConversion"/>
  </si>
  <si>
    <t>무주군</t>
    <phoneticPr fontId="23" type="noConversion"/>
  </si>
  <si>
    <t>개최완료(온라인)
(6.4~6.7)</t>
    <phoneticPr fontId="23" type="noConversion"/>
  </si>
  <si>
    <t>영화관, 운동장, 공원 등</t>
    <phoneticPr fontId="23" type="noConversion"/>
  </si>
  <si>
    <t>법인 상설운영</t>
    <phoneticPr fontId="23" type="noConversion"/>
  </si>
  <si>
    <t>무주산골영화제조직위원회 /
무주산골영화제집행위원회,
(재)무주산골문화재단
(063-220-8253)</t>
    <phoneticPr fontId="23" type="noConversion"/>
  </si>
  <si>
    <t>○ 영화 상영 및 부대 프로그램(이벤트) 운영</t>
    <phoneticPr fontId="23" type="noConversion"/>
  </si>
  <si>
    <t>6.4~6.8.
(5일간)</t>
    <phoneticPr fontId="23" type="noConversion"/>
  </si>
  <si>
    <t>제8회 무주산골영화제</t>
    <phoneticPr fontId="23" type="noConversion"/>
  </si>
  <si>
    <t>무주예체문화관, 지남공원, 남대천 일원 등</t>
    <phoneticPr fontId="23" type="noConversion"/>
  </si>
  <si>
    <t>반딧불이</t>
    <phoneticPr fontId="23" type="noConversion"/>
  </si>
  <si>
    <t>무주군
/(사)무주반딧불축제제전위원회
(063-320-2537)</t>
    <phoneticPr fontId="23" type="noConversion"/>
  </si>
  <si>
    <t>○ 반딧불이 신비탐사
○ 반딧불이를 테마로 한 주제관 운영
○ 개폐막 공연, 주제공연 및 문화공연
   - 6개 분야 70여개 프로그램
○ 낙화놀이, 전통공연, 섶다리체험, 마을로가는축제 등</t>
    <phoneticPr fontId="23" type="noConversion"/>
  </si>
  <si>
    <t>9.5~9.13.
(9일간)</t>
    <phoneticPr fontId="23" type="noConversion"/>
  </si>
  <si>
    <t>제24회 무주반딧불축제</t>
    <phoneticPr fontId="23" type="noConversion"/>
  </si>
  <si>
    <t>특산물(절임배추)</t>
    <phoneticPr fontId="23" type="noConversion"/>
  </si>
  <si>
    <t>진안문 문화체육과 /
진안YMCA
(063-433-6613)</t>
    <phoneticPr fontId="23" type="noConversion"/>
  </si>
  <si>
    <t>○ 우리집 김치담그기
○ 김치를 테마로한 공연, 전시, 체험프로그램 운영
○ 개폐막 공연, 주제공연 및 문화공연
○ 기타 지역 문화체험</t>
    <phoneticPr fontId="23" type="noConversion"/>
  </si>
  <si>
    <t>11.6~11.8.
(3일간)</t>
    <phoneticPr fontId="23" type="noConversion"/>
  </si>
  <si>
    <t>진안군</t>
    <phoneticPr fontId="23" type="noConversion"/>
  </si>
  <si>
    <t>특산물(홍삼)</t>
    <phoneticPr fontId="23" type="noConversion"/>
  </si>
  <si>
    <t>진안군 문화체육과 /
진안홍삼축제추진위원회
(063-430-2391~3)</t>
    <phoneticPr fontId="23" type="noConversion"/>
  </si>
  <si>
    <t xml:space="preserve">○ 홍삼랜드 스탬프투어
○ 홍삼을 테마로한 공연, 전시, 체험프로그램 운영
○ 개폐막 공연, 주제공연 및 문화공연
   - 5개 분야 50여개 프로그램
 ○ 기타 특별행사 및 전시 등 </t>
    <phoneticPr fontId="23" type="noConversion"/>
  </si>
  <si>
    <t>특산물(수박)</t>
    <phoneticPr fontId="23" type="noConversion"/>
  </si>
  <si>
    <t>진안군 문화체육과 /
진안고원수박축제추진위원회
(063-430-8249)</t>
    <phoneticPr fontId="23" type="noConversion"/>
  </si>
  <si>
    <t xml:space="preserve">○ 핵심프로그램(대표프로그램) 1가지 기재
○ 수박을 테마로한 공연, 전시, 체험프로그램 운영
○ 개폐막 공연, 주제공연 및 문화공연
○ 기타 특별행사 및 전시 등 </t>
    <phoneticPr fontId="23" type="noConversion"/>
  </si>
  <si>
    <t>8.1-8.2</t>
    <phoneticPr fontId="23" type="noConversion"/>
  </si>
  <si>
    <t>꽃잔디</t>
    <phoneticPr fontId="23" type="noConversion"/>
  </si>
  <si>
    <t>진안군 문화체육과 /
진안고원꽃잔디축제추진위원회
(063-433-2022)</t>
    <phoneticPr fontId="23" type="noConversion"/>
  </si>
  <si>
    <t>○ 꽃잔디 문화공연
○ 꽃잔디를 테마로한 전시, 체험프로그램 운영</t>
    <phoneticPr fontId="23" type="noConversion"/>
  </si>
  <si>
    <t>4.11~5.10.
(30일간)</t>
    <phoneticPr fontId="23" type="noConversion"/>
  </si>
  <si>
    <t>특산물(고로쇠)</t>
    <phoneticPr fontId="23" type="noConversion"/>
  </si>
  <si>
    <t>진안군 문화체육과 /
진안고원운장산고로쇠축제추진위원회
(063-430-2391)</t>
    <phoneticPr fontId="23" type="noConversion"/>
  </si>
  <si>
    <t>○ 출발!고로쇠원정대
○ 고로쇠를 테마로한 공연, 전시, 체험프로그램 운영
○ 개폐막 공연, 주제공연 및 문화공연
○ 기타 지역 문화체험</t>
    <phoneticPr fontId="23" type="noConversion"/>
  </si>
  <si>
    <t>제16회
진안고원운장산고로쇠축제</t>
    <phoneticPr fontId="23" type="noConversion"/>
  </si>
  <si>
    <t>공공(시군구),축제조직위</t>
    <phoneticPr fontId="23" type="noConversion"/>
  </si>
  <si>
    <t>특산품(곶감)</t>
    <phoneticPr fontId="23" type="noConversion"/>
  </si>
  <si>
    <t>완주군 /
완주곶감축제제전위원회
(063-290-2724)</t>
    <phoneticPr fontId="23" type="noConversion"/>
  </si>
  <si>
    <t>완주군</t>
    <phoneticPr fontId="23" type="noConversion"/>
  </si>
  <si>
    <t>휴양림</t>
    <phoneticPr fontId="23" type="noConversion"/>
  </si>
  <si>
    <t>완주군 /
와일드푸드축제추진위원회
(063-290-2622)</t>
    <phoneticPr fontId="23" type="noConversion"/>
  </si>
  <si>
    <t>공공(시군구),축제위원회</t>
    <phoneticPr fontId="23" type="noConversion"/>
  </si>
  <si>
    <t>마을자원</t>
    <phoneticPr fontId="23" type="noConversion"/>
  </si>
  <si>
    <t>완주군 /
고산촌마을축제추진위원회
(063-290-2622)</t>
    <phoneticPr fontId="23" type="noConversion"/>
  </si>
  <si>
    <t>○ 숲속음악회, 숲체험, 공연, 체험행사 등</t>
    <phoneticPr fontId="23" type="noConversion"/>
  </si>
  <si>
    <t>6.5~6.7.
(3일간)</t>
    <phoneticPr fontId="23" type="noConversion"/>
  </si>
  <si>
    <t>운주고산촌뜰팡축제</t>
    <phoneticPr fontId="23" type="noConversion"/>
  </si>
  <si>
    <t>미술관 앞
광장</t>
    <phoneticPr fontId="23" type="noConversion"/>
  </si>
  <si>
    <t>사랑</t>
    <phoneticPr fontId="23" type="noConversion"/>
  </si>
  <si>
    <t>완주군
(063-290-2622)</t>
    <phoneticPr fontId="23" type="noConversion"/>
  </si>
  <si>
    <t>5.16~5.17.
(2일간)</t>
    <phoneticPr fontId="23" type="noConversion"/>
  </si>
  <si>
    <t>개최예정(오프라인)
(10.17~10.18)</t>
    <phoneticPr fontId="23" type="noConversion"/>
  </si>
  <si>
    <t>완주군 /
오성한옥마을축제추진위원회
(063-290-2622)</t>
    <phoneticPr fontId="23" type="noConversion"/>
  </si>
  <si>
    <t>○ 나도 작가다 전시 및 한옥체험 등</t>
    <phoneticPr fontId="23" type="noConversion"/>
  </si>
  <si>
    <t>오성한옥마을 오픈가든축제</t>
    <phoneticPr fontId="23" type="noConversion"/>
  </si>
  <si>
    <t>특신품(딸기)</t>
    <phoneticPr fontId="23" type="noConversion"/>
  </si>
  <si>
    <t>완주군 /
삼례농업협동조합
(063-290-3321)</t>
    <phoneticPr fontId="23" type="noConversion"/>
  </si>
  <si>
    <t>사적지(벽골제) 일원</t>
    <phoneticPr fontId="23" type="noConversion"/>
  </si>
  <si>
    <t>부분위탁
(운영, 하드웨어 등)</t>
    <phoneticPr fontId="23" type="noConversion"/>
  </si>
  <si>
    <t xml:space="preserve">있음
정규직 2명
계약직 2명
총4명  </t>
    <phoneticPr fontId="23" type="noConversion"/>
  </si>
  <si>
    <t>농경문화</t>
    <phoneticPr fontId="23" type="noConversion"/>
  </si>
  <si>
    <t>김제시 /
(사)김제시지평선축제제전위원회
(063-540-3031)</t>
    <phoneticPr fontId="23" type="noConversion"/>
  </si>
  <si>
    <t>○ 벽골제전설 쌍룡놀이, 풍년기원 입석줄다리기
○ 농경문화를 테마로한 공연,체험프로그램 운영
     - 5개분야 70여개 프로그램</t>
    <phoneticPr fontId="23" type="noConversion"/>
  </si>
  <si>
    <t>김제지평선축제</t>
    <phoneticPr fontId="23" type="noConversion"/>
  </si>
  <si>
    <t>김제시</t>
    <phoneticPr fontId="23" type="noConversion"/>
  </si>
  <si>
    <t>기타(망해사 인근 보리밭)</t>
    <phoneticPr fontId="23" type="noConversion"/>
  </si>
  <si>
    <t>부분위탁(행사진행)</t>
    <phoneticPr fontId="23" type="noConversion"/>
  </si>
  <si>
    <t>보리</t>
    <phoneticPr fontId="23" type="noConversion"/>
  </si>
  <si>
    <t>40
(자부담)</t>
    <phoneticPr fontId="23" type="noConversion"/>
  </si>
  <si>
    <t>김제시 문화홍보축제실
(063-540-3032)</t>
    <phoneticPr fontId="23" type="noConversion"/>
  </si>
  <si>
    <t xml:space="preserve">○ 보리밭 축제장 연출
○ 청보리 및 로컬푸드 판매, 청보리 체험 프로그램 운영 </t>
    <phoneticPr fontId="23" type="noConversion"/>
  </si>
  <si>
    <t>지평선추억의보리밭축제</t>
    <phoneticPr fontId="23" type="noConversion"/>
  </si>
  <si>
    <t>운동장(광활초등학교)일원</t>
    <phoneticPr fontId="23" type="noConversion"/>
  </si>
  <si>
    <t>감자</t>
    <phoneticPr fontId="23" type="noConversion"/>
  </si>
  <si>
    <t>18
(자부담)</t>
    <phoneticPr fontId="23" type="noConversion"/>
  </si>
  <si>
    <t>○ 햇감자캐기 체험행사
○ 광활 햇감자를 테마로 한 시식, 판매 체험 프로그램 운영</t>
    <phoneticPr fontId="23" type="noConversion"/>
  </si>
  <si>
    <t>지평선광활햇감자축제</t>
    <phoneticPr fontId="23" type="noConversion"/>
  </si>
  <si>
    <t>산(모악산) 일원</t>
    <phoneticPr fontId="23" type="noConversion"/>
  </si>
  <si>
    <t>공공(김제시)</t>
    <phoneticPr fontId="23" type="noConversion"/>
  </si>
  <si>
    <t>모악산</t>
    <phoneticPr fontId="23" type="noConversion"/>
  </si>
  <si>
    <t xml:space="preserve">○ 어머니 노래 경연대회
○ 모악산만의 고유 콘텐츠를 활용한 프로그램 운영
○ 개폐막 공연, 주제공연 및 문화공연
    - 4개분야 38개 프로그램 </t>
    <phoneticPr fontId="23" type="noConversion"/>
  </si>
  <si>
    <t>김제모악산축제</t>
    <phoneticPr fontId="23" type="noConversion"/>
  </si>
  <si>
    <t>산수유</t>
    <phoneticPr fontId="23" type="noConversion"/>
  </si>
  <si>
    <t>2010년
(10회)</t>
    <phoneticPr fontId="23" type="noConversion"/>
  </si>
  <si>
    <t>남원시축제협의회
(063-620-5774)</t>
    <phoneticPr fontId="23" type="noConversion"/>
  </si>
  <si>
    <t>○ 산수유                                                                   
○ 산수유를 테마로 한 공연, 체험프로그램 운영</t>
    <phoneticPr fontId="23" type="noConversion"/>
  </si>
  <si>
    <t>주천용궁산수유꽃축제</t>
    <phoneticPr fontId="23" type="noConversion"/>
  </si>
  <si>
    <t>남원시</t>
    <phoneticPr fontId="23" type="noConversion"/>
  </si>
  <si>
    <t>철쭉, 지리산</t>
    <phoneticPr fontId="23" type="noConversion"/>
  </si>
  <si>
    <t>1995년             (26회)</t>
    <phoneticPr fontId="23" type="noConversion"/>
  </si>
  <si>
    <t>남원시축제협의회
(063-620-3817)</t>
    <phoneticPr fontId="23" type="noConversion"/>
  </si>
  <si>
    <t>○ 지리산 철쭉                                                         
○ 지리산과 철쭉을 테마로 한 공연, 체험프로그램</t>
    <phoneticPr fontId="23" type="noConversion"/>
  </si>
  <si>
    <t>제26회 바래봉 철쭉제</t>
    <phoneticPr fontId="23" type="noConversion"/>
  </si>
  <si>
    <t>겨울, 눈</t>
    <phoneticPr fontId="23" type="noConversion"/>
  </si>
  <si>
    <t>2011년도            (9회)</t>
    <phoneticPr fontId="23" type="noConversion"/>
  </si>
  <si>
    <t xml:space="preserve">○ 눈썰매, 얼음썰매                                                       ○ 지리산과 겨울, 눈을 주제로 체험프로그램 운영  </t>
    <phoneticPr fontId="23" type="noConversion"/>
  </si>
  <si>
    <t>1.4~2.9             (37일간)</t>
    <phoneticPr fontId="23" type="noConversion"/>
  </si>
  <si>
    <t>제9회 지리산바래봉 눈꽃축제</t>
    <phoneticPr fontId="23" type="noConversion"/>
  </si>
  <si>
    <t>흥부, 놀부</t>
    <phoneticPr fontId="23" type="noConversion"/>
  </si>
  <si>
    <t>1993년도                     (28회)</t>
    <phoneticPr fontId="23" type="noConversion"/>
  </si>
  <si>
    <t>남원시 /
흥부제전위원회
(063-620-6170)</t>
    <phoneticPr fontId="23" type="noConversion"/>
  </si>
  <si>
    <t>○ 흥부사랑 떡나눔 행사                                                        ○ 흥부와 놀부를 테마로 한 공연, 체험프로그램  운영            ○ 4개분야 30여개 프로그램 구성</t>
    <phoneticPr fontId="23" type="noConversion"/>
  </si>
  <si>
    <t>제28회 흥부제</t>
    <phoneticPr fontId="23" type="noConversion"/>
  </si>
  <si>
    <t>정규직 2                계약직 1</t>
    <phoneticPr fontId="23" type="noConversion"/>
  </si>
  <si>
    <t>춘향</t>
    <phoneticPr fontId="23" type="noConversion"/>
  </si>
  <si>
    <t>1931년도                     (90회)</t>
    <phoneticPr fontId="23" type="noConversion"/>
  </si>
  <si>
    <t>○ 춘향제향, 춘향선발대회                                                        
○ 춘향의 사랑을 테마로 한 공연, 체험프로그램              
○ 4개분야 30여개 프로그램 구성</t>
    <phoneticPr fontId="23" type="noConversion"/>
  </si>
  <si>
    <t>4.30~5.5.
(6일간)</t>
    <phoneticPr fontId="23" type="noConversion"/>
  </si>
  <si>
    <t>제90회 춘향제</t>
    <phoneticPr fontId="23" type="noConversion"/>
  </si>
  <si>
    <t>정읍사공원</t>
    <phoneticPr fontId="23" type="noConversion"/>
  </si>
  <si>
    <t>부분위착</t>
    <phoneticPr fontId="23" type="noConversion"/>
  </si>
  <si>
    <t>있음(제전위)
사무국장외 1명</t>
    <phoneticPr fontId="23" type="noConversion"/>
  </si>
  <si>
    <t>공공(정읍시)</t>
    <phoneticPr fontId="23" type="noConversion"/>
  </si>
  <si>
    <t>정읍사공원을배경으로
정읍사여인의숭고한사랑을기념</t>
    <phoneticPr fontId="23" type="noConversion"/>
  </si>
  <si>
    <t>1990년도
(30회)</t>
    <phoneticPr fontId="23" type="noConversion"/>
  </si>
  <si>
    <t>정읍시문화예술과 /
정읍사문화제제전위원회
(063-539-5173)</t>
    <phoneticPr fontId="23" type="noConversion"/>
  </si>
  <si>
    <t>○ 채수의례,여인제례
○ 축하공연
○ 정읍사가요제
○ 경관조명
○ 판매행사(농특산물,먹을거리)</t>
    <phoneticPr fontId="23" type="noConversion"/>
  </si>
  <si>
    <t>9.26~9.27.
(2일간)</t>
    <phoneticPr fontId="23" type="noConversion"/>
  </si>
  <si>
    <t>제31회 정읍사문화제</t>
    <phoneticPr fontId="23" type="noConversion"/>
  </si>
  <si>
    <t>정읍시</t>
    <phoneticPr fontId="23" type="noConversion"/>
  </si>
  <si>
    <t>내장산문화광장</t>
    <phoneticPr fontId="23" type="noConversion"/>
  </si>
  <si>
    <t>민속소싸움전통
 보전 및 우리시 
축산물판매홍보
 등 관광객 유치</t>
    <phoneticPr fontId="23" type="noConversion"/>
  </si>
  <si>
    <t>정읍시축산과/
(사)한국민속소싸움협회정읍지회
(063-539-6353)</t>
    <phoneticPr fontId="23" type="noConversion"/>
  </si>
  <si>
    <t>○ 개회식,개막공연
○ 소싸움(출전예상두수:170두)
○ 축산물판매행사등</t>
    <phoneticPr fontId="23" type="noConversion"/>
  </si>
  <si>
    <t>11.5~11.9.
(5일간)</t>
    <phoneticPr fontId="23" type="noConversion"/>
  </si>
  <si>
    <t>제23회 정읍 전국민속
소싸움대회</t>
    <phoneticPr fontId="23" type="noConversion"/>
  </si>
  <si>
    <t>정읍 황토현 
전적지</t>
    <phoneticPr fontId="23" type="noConversion"/>
  </si>
  <si>
    <t>있음(행정)
정규직 2명
파트타임 10명</t>
    <phoneticPr fontId="23" type="noConversion"/>
  </si>
  <si>
    <t>동학농민혁명의 발상지와 성지로서의 자긍심 고취와 정신 계승 발전</t>
    <phoneticPr fontId="23" type="noConversion"/>
  </si>
  <si>
    <t>1968년
(52회)</t>
    <phoneticPr fontId="23" type="noConversion"/>
  </si>
  <si>
    <t>정읍시 동학농민혁명선양사업소 /
(사)동학농민혁명계승사업회
(063-539-5433)</t>
    <phoneticPr fontId="23" type="noConversion"/>
  </si>
  <si>
    <t>○ 제53회 황토현동학농민혁명기념제 공연
○ 제10회 동학농민혁명대상 시상
○ 구민사 갑오선열 제례 및 위패 봉안례
○ 황토현에서 울리는 511인의 함성
○ 제14회 황토현 전국청소년토론대회
○ 온 가족이 함께하는 전국역사퀴즈대회
○ 나무매기와 함께하는 짱끼발랄페스티발
○ 신말목장터(체험, 먹거리, 휴식공간) 등</t>
    <phoneticPr fontId="23" type="noConversion"/>
  </si>
  <si>
    <t>5.11~5.18.
(8일간)</t>
    <phoneticPr fontId="23" type="noConversion"/>
  </si>
  <si>
    <t>제53회 
황토현동학농민혁명기념제</t>
    <phoneticPr fontId="23" type="noConversion"/>
  </si>
  <si>
    <t>정읍천변 어린이축구장 일원</t>
    <phoneticPr fontId="23" type="noConversion"/>
  </si>
  <si>
    <t>벚꽃과 다양한 문화프로그램을 즐길 수 있는 도심형 축제</t>
    <phoneticPr fontId="23" type="noConversion"/>
  </si>
  <si>
    <t xml:space="preserve">정읍시 관광과 
(063-539-5202) </t>
    <phoneticPr fontId="23" type="noConversion"/>
  </si>
  <si>
    <t>○ 개막식 및 축하공연
○ 차없는 거리 프로그램(공연, 버스킹, 체험 등)
○ 야간경관조명
○ 먹거리 및 체험부스
○ 연계행사(정읍예술제, 전북문화원의 날, 자생화자생차페스티벌)</t>
    <phoneticPr fontId="23" type="noConversion"/>
  </si>
  <si>
    <t>4.4~4.8.
(5일간)</t>
    <phoneticPr fontId="23" type="noConversion"/>
  </si>
  <si>
    <t>정읍 벚꽃축제</t>
    <phoneticPr fontId="23" type="noConversion"/>
  </si>
  <si>
    <t>정읍 구절초 
테마공원</t>
    <phoneticPr fontId="23" type="noConversion"/>
  </si>
  <si>
    <t>있음(행정)
정규직 4명
파트타임 1명</t>
    <phoneticPr fontId="23" type="noConversion"/>
  </si>
  <si>
    <t>소나무 숲아래 
구절초 꽃 경관을 
배경으로 한 
풍경여행축제</t>
    <phoneticPr fontId="23" type="noConversion"/>
  </si>
  <si>
    <t>정읍시 농업정책과 /
정읍시구절초축제추진위원회
(063-539-6172)</t>
    <phoneticPr fontId="23" type="noConversion"/>
  </si>
  <si>
    <t>○ 개막행사(개막식 및 축하음악회)
○ 체험행사(구절초 꽃길산책 외 10)
○ 공연행사(꽃밭음악회 외 5)
○ 전시행사(구절초 생생영상 외 8)
○ 공간연출(꽃포토존, 야간조명 외 8)
○ 판매행사(구절초상품홍보판매장 외 3)</t>
    <phoneticPr fontId="23" type="noConversion"/>
  </si>
  <si>
    <t>10.3~10.18.
(16일간)</t>
    <phoneticPr fontId="23" type="noConversion"/>
  </si>
  <si>
    <t>제15회 정읍 구절초 꽃축제</t>
    <phoneticPr fontId="23" type="noConversion"/>
  </si>
  <si>
    <t>편백 숲</t>
    <phoneticPr fontId="23" type="noConversion"/>
  </si>
  <si>
    <t>두동편백마을
(063-862-8600)</t>
    <phoneticPr fontId="23" type="noConversion"/>
  </si>
  <si>
    <t>○ 편백숲 체험
○ 문화공연 및 전통놀이</t>
    <phoneticPr fontId="23" type="noConversion"/>
  </si>
  <si>
    <t>두동편백마을 힐링 숲 축제</t>
    <phoneticPr fontId="23" type="noConversion"/>
  </si>
  <si>
    <t>익산시</t>
    <phoneticPr fontId="23" type="noConversion"/>
  </si>
  <si>
    <t>1987년도
(66회)</t>
    <phoneticPr fontId="23" type="noConversion"/>
  </si>
  <si>
    <t>(사)주얼팰리스협의회
(063-834-5100)</t>
    <phoneticPr fontId="23" type="noConversion"/>
  </si>
  <si>
    <t>4.1~4.12.
(12일간)
10.21~11.1.
(12일간)</t>
    <phoneticPr fontId="23" type="noConversion"/>
  </si>
  <si>
    <t xml:space="preserve">있음
정규직 3명
공무직 2명
총 5명  </t>
    <phoneticPr fontId="23" type="noConversion"/>
  </si>
  <si>
    <t>○ 국화를 이용한 실내, 야외 국화작품 전시 연출 
○ 개폐막 공연, 주제공연 및 문화공연
   - 20여개 프로그램
○ 로컬푸드 판매장, 체험프로그램 운영</t>
    <phoneticPr fontId="23" type="noConversion"/>
  </si>
  <si>
    <t>10.23~11.1
(10일간)</t>
    <phoneticPr fontId="23" type="noConversion"/>
  </si>
  <si>
    <t>서동(백제 무왕)</t>
    <phoneticPr fontId="23" type="noConversion"/>
  </si>
  <si>
    <t>익산시 문화관광산업과
/ (재)익산문화관광재단
(063-843-8817)</t>
    <phoneticPr fontId="23" type="noConversion"/>
  </si>
  <si>
    <t>○ 무왕행차 퍼레이드, 서동선발대회, 주제관 운영
○ 서동(백제 무왕) 스토리텔링 역사체험프로그램 운영</t>
    <phoneticPr fontId="23" type="noConversion"/>
  </si>
  <si>
    <t>5.2.~5.5.
(4일간)</t>
    <phoneticPr fontId="23" type="noConversion"/>
  </si>
  <si>
    <t>익산서동축제</t>
    <phoneticPr fontId="23" type="noConversion"/>
  </si>
  <si>
    <t>마을 보리밭</t>
    <phoneticPr fontId="23" type="noConversion"/>
  </si>
  <si>
    <t>2020년도
(15회)</t>
    <phoneticPr fontId="23" type="noConversion"/>
  </si>
  <si>
    <t>군산꽁당보리축제위원회/군산농업인협의회, 미성농업발전위원회
(063-454-5231)</t>
    <phoneticPr fontId="23" type="noConversion"/>
  </si>
  <si>
    <t>○ 보리를 테마로한 전시,판매, 체험, 먹거리 운영
○ 보리밭 쉼터, 전망대, 포토존 운영
○ 전통놀이체험관,전통농업홍보마당 운영
○ 시민참여 및 연예인 공연 
○ 수제맥주, 상상마켓, 푸드트럭 존 운영</t>
    <phoneticPr fontId="23" type="noConversion"/>
  </si>
  <si>
    <t>4.30~5.3
(4일간)</t>
    <phoneticPr fontId="23" type="noConversion"/>
  </si>
  <si>
    <t>시간여행마을 일원</t>
    <phoneticPr fontId="23" type="noConversion"/>
  </si>
  <si>
    <t>1930년대 
근대문화</t>
    <phoneticPr fontId="23" type="noConversion"/>
  </si>
  <si>
    <t>2013년도       (8회)</t>
    <phoneticPr fontId="23" type="noConversion"/>
  </si>
  <si>
    <t>군산시/군산시간여행축제추진위원회(063-454-3302)</t>
    <phoneticPr fontId="23" type="noConversion"/>
  </si>
  <si>
    <t>○ 빽투더 1930's (독립서명서를 완성하라!)
○ 1930년대 근대문화를 테마로 한  퍼레이드, 공연, 전시, 체험 프로그램 운영
○ 개폐막 공연, 주제공연 및 문화공연
○ 먹거리존, 시민 프리마켓 등 운영</t>
    <phoneticPr fontId="23" type="noConversion"/>
  </si>
  <si>
    <t>군산시간여행축제</t>
    <phoneticPr fontId="23" type="noConversion"/>
  </si>
  <si>
    <t>군산시</t>
    <phoneticPr fontId="23" type="noConversion"/>
  </si>
  <si>
    <t>한국전통문화전당, 한옥마을</t>
    <phoneticPr fontId="23" type="noConversion"/>
  </si>
  <si>
    <t>전주한지</t>
    <phoneticPr fontId="23" type="noConversion"/>
  </si>
  <si>
    <t>전주시 전통문화유산과 /
전주한지문화축제조직위원회
(063-281-2577)</t>
    <phoneticPr fontId="23" type="noConversion"/>
  </si>
  <si>
    <t xml:space="preserve">○ 전주한지를 테마로한 공연, 전시, 체험프로그램
○ 제26회 전국한지공예대전 개최
○ 한지산업 프로모션 및 마케팅 프로그램
○ 분야별 전문가 초청 한지 발전방향 포럼 개최 등 </t>
    <phoneticPr fontId="23" type="noConversion"/>
  </si>
  <si>
    <t>전주한지문화축제
(전주한지산업대전)</t>
    <phoneticPr fontId="23" type="noConversion"/>
  </si>
  <si>
    <t>전주시</t>
    <phoneticPr fontId="23" type="noConversion"/>
  </si>
  <si>
    <t>한옥마을 일원</t>
    <phoneticPr fontId="23" type="noConversion"/>
  </si>
  <si>
    <t>전주시 문화관광과 /
전주비빔밥축제조직위원회
(063-231-8969)</t>
    <phoneticPr fontId="23" type="noConversion"/>
  </si>
  <si>
    <t>○ 대표프로그램 : 3355 우리동네비빕밥, 비빔전설, 비빔밥을 찾아라
○ 한국음식홍보관, 한옥마을 퍼레이드 등 전주비빔밥 및 한식을 테마로 한 체험, 전시 프로그램 운영
ㅇ 개막식, 비빔밥을 찾아라, 비빔전설 등 체험, 전시, 공연, 외식 등 6개분야 50여개 프로그램
ㅇ 유네스코 창의도시국제포럼 등 국제행사 연계</t>
    <phoneticPr fontId="23" type="noConversion"/>
  </si>
  <si>
    <t>10.8~11
(4일간)</t>
    <phoneticPr fontId="23" type="noConversion"/>
  </si>
  <si>
    <t>전주비빔밥축제</t>
    <phoneticPr fontId="23" type="noConversion"/>
  </si>
  <si>
    <t>개최완료(온라인)
(5.28 ~ 6.6)</t>
    <phoneticPr fontId="23" type="noConversion"/>
  </si>
  <si>
    <t>영화의거리</t>
    <phoneticPr fontId="23" type="noConversion"/>
  </si>
  <si>
    <t>86
(유료관객수)</t>
    <phoneticPr fontId="23" type="noConversion"/>
  </si>
  <si>
    <t xml:space="preserve">있음
정규직 19명
계약직 50여
총 70여명  </t>
    <phoneticPr fontId="23" type="noConversion"/>
  </si>
  <si>
    <t>2020 국제영화제 육성 지원 사업</t>
    <phoneticPr fontId="23" type="noConversion"/>
  </si>
  <si>
    <t>전주시 문화정책과 /
(재)전주국제영화제 조직위원회
(063-288-5433)</t>
    <phoneticPr fontId="23" type="noConversion"/>
  </si>
  <si>
    <t xml:space="preserve">○ 핵심프로그램(대표프로그램)
  - 영화상영 : 45개국, 220편 상영
  - JPM(전주프로젝트켓), JCP(전주시네마프로젝트) 등
○ 개폐막식, 영화상영, 전시프로그램, 이벤트, 음악공연 
  - 팔복예술공장 공동주관 특별전시
  - 5개 분야 27여개 프로그램 </t>
    <phoneticPr fontId="23" type="noConversion"/>
  </si>
  <si>
    <t>4. 30~5.9
(10일간)</t>
    <phoneticPr fontId="23" type="noConversion"/>
  </si>
  <si>
    <t>제21회 전주국제영화제</t>
    <phoneticPr fontId="23" type="noConversion"/>
  </si>
  <si>
    <t>서학동갤러리길</t>
    <phoneticPr fontId="23" type="noConversion"/>
  </si>
  <si>
    <t>전주시 문화정책과 /
서학동갤러리길협의회
(063-231-5633)</t>
    <phoneticPr fontId="23" type="noConversion"/>
  </si>
  <si>
    <t>○ 골목길 조명예술작품과 함께 예술작품 설치 등</t>
    <phoneticPr fontId="23" type="noConversion"/>
  </si>
  <si>
    <t>9.18.~9.30.
(13일간)</t>
    <phoneticPr fontId="23" type="noConversion"/>
  </si>
  <si>
    <t>전주 서학동갤러리길축제</t>
    <phoneticPr fontId="23" type="noConversion"/>
  </si>
  <si>
    <t>덕진공원</t>
    <phoneticPr fontId="23" type="noConversion"/>
  </si>
  <si>
    <t>1959년
(62회차)</t>
    <phoneticPr fontId="23" type="noConversion"/>
  </si>
  <si>
    <t>전주시 문화정책과
(063-277-2515)</t>
    <phoneticPr fontId="23" type="noConversion"/>
  </si>
  <si>
    <t xml:space="preserve">○ 단오문화체험, 야간프로그램,단오놀이 행사 </t>
    <phoneticPr fontId="23" type="noConversion"/>
  </si>
  <si>
    <t>6.25~6.26.
(2일간)</t>
    <phoneticPr fontId="23" type="noConversion"/>
  </si>
  <si>
    <t>전주 단오축제</t>
    <phoneticPr fontId="23" type="noConversion"/>
  </si>
  <si>
    <r>
      <t xml:space="preserve">축제종류
</t>
    </r>
    <r>
      <rPr>
        <b/>
        <sz val="12"/>
        <color rgb="FFC00000"/>
        <rFont val="굴림"/>
        <family val="3"/>
        <charset val="129"/>
      </rPr>
      <t>(택1)</t>
    </r>
    <phoneticPr fontId="23" type="noConversion"/>
  </si>
  <si>
    <t>시군비</t>
    <phoneticPr fontId="23" type="noConversion"/>
  </si>
  <si>
    <t>도비</t>
    <phoneticPr fontId="23" type="noConversion"/>
  </si>
  <si>
    <t>우전리
설레미 마을</t>
    <phoneticPr fontId="23" type="noConversion"/>
  </si>
  <si>
    <t>신안군 해양수산과 /
우전리 설레미 마을
(061-240-8411)</t>
    <phoneticPr fontId="23" type="noConversion"/>
  </si>
  <si>
    <t>○ 망둥어 체험 등</t>
    <phoneticPr fontId="23" type="noConversion"/>
  </si>
  <si>
    <t>2020 망둥어축제</t>
    <phoneticPr fontId="23" type="noConversion"/>
  </si>
  <si>
    <t>신안군</t>
    <phoneticPr fontId="23" type="noConversion"/>
  </si>
  <si>
    <t>전라남도</t>
    <phoneticPr fontId="23" type="noConversion"/>
  </si>
  <si>
    <t>기타(젓갈센터)</t>
    <phoneticPr fontId="23" type="noConversion"/>
  </si>
  <si>
    <t>축체추진위</t>
    <phoneticPr fontId="23" type="noConversion"/>
  </si>
  <si>
    <t>특산품(새우젓)</t>
    <phoneticPr fontId="23" type="noConversion"/>
  </si>
  <si>
    <t>2008년도
(5회)</t>
    <phoneticPr fontId="23" type="noConversion"/>
  </si>
  <si>
    <t>신안군 해양수산과 /
새우젓축제추진위원회
(061-240-8411)</t>
    <phoneticPr fontId="23" type="noConversion"/>
  </si>
  <si>
    <t>○ 개최식 및 새우젓김장담그기</t>
    <phoneticPr fontId="23" type="noConversion"/>
  </si>
  <si>
    <t>새우젓축제</t>
    <phoneticPr fontId="23" type="noConversion"/>
  </si>
  <si>
    <t>선착장</t>
    <phoneticPr fontId="23" type="noConversion"/>
  </si>
  <si>
    <t>특산품(우럭)</t>
    <phoneticPr fontId="23" type="noConversion"/>
  </si>
  <si>
    <t>신안군 해양수산과 /
우럭축제추진위원회
(061-240-8411)</t>
    <phoneticPr fontId="23" type="noConversion"/>
  </si>
  <si>
    <t>○ 개최식 및 깜짝 경매</t>
    <phoneticPr fontId="23" type="noConversion"/>
  </si>
  <si>
    <t>우럭축제</t>
    <phoneticPr fontId="23" type="noConversion"/>
  </si>
  <si>
    <t>특산품(불볼락)</t>
    <phoneticPr fontId="23" type="noConversion"/>
  </si>
  <si>
    <t>2013년도
(4회)</t>
    <phoneticPr fontId="23" type="noConversion"/>
  </si>
  <si>
    <t>신안군 해양수산과 /
불볼락축제추진위원회
(061-240-8411)</t>
    <phoneticPr fontId="23" type="noConversion"/>
  </si>
  <si>
    <t>○ 개최식 및 불볼락 낚시대회</t>
    <phoneticPr fontId="23" type="noConversion"/>
  </si>
  <si>
    <t>불볼락축제</t>
    <phoneticPr fontId="23" type="noConversion"/>
  </si>
  <si>
    <t>특산품(왕새우)</t>
    <phoneticPr fontId="23" type="noConversion"/>
  </si>
  <si>
    <t>2010년도
(3회)</t>
    <phoneticPr fontId="23" type="noConversion"/>
  </si>
  <si>
    <t>신안군 해양수산과 /
왕새우축제추진위원회
(061-240-8411)</t>
    <phoneticPr fontId="23" type="noConversion"/>
  </si>
  <si>
    <t>○ 개최식 및 왕새우잡기대회</t>
    <phoneticPr fontId="23" type="noConversion"/>
  </si>
  <si>
    <t>왕새우축제</t>
    <phoneticPr fontId="23" type="noConversion"/>
  </si>
  <si>
    <t>특산품(민어)</t>
    <phoneticPr fontId="23" type="noConversion"/>
  </si>
  <si>
    <t>신안군 해양수산과/
민어축제추진위원회
(061-240-8411)</t>
    <phoneticPr fontId="23" type="noConversion"/>
  </si>
  <si>
    <t>○ 개최식 및 민어요리대회</t>
    <phoneticPr fontId="23" type="noConversion"/>
  </si>
  <si>
    <t>민어축제</t>
    <phoneticPr fontId="23" type="noConversion"/>
  </si>
  <si>
    <t>특산품
(밴댕이)</t>
    <phoneticPr fontId="23" type="noConversion"/>
  </si>
  <si>
    <t>2003년도
(15회)</t>
    <phoneticPr fontId="23" type="noConversion"/>
  </si>
  <si>
    <t>신안군 해양수산과 / 
우전리 설레미 마을
(061-240-8411)</t>
    <phoneticPr fontId="23" type="noConversion"/>
  </si>
  <si>
    <t>○ 밴댕이 체험</t>
    <phoneticPr fontId="23" type="noConversion"/>
  </si>
  <si>
    <t>6.19 ~6.20.
(2일간)</t>
    <phoneticPr fontId="23" type="noConversion"/>
  </si>
  <si>
    <t>2020 밴댕이축제</t>
    <phoneticPr fontId="23" type="noConversion"/>
  </si>
  <si>
    <t>특산품(밴댕이)</t>
    <phoneticPr fontId="23" type="noConversion"/>
  </si>
  <si>
    <t>2002년도
(13회)</t>
    <phoneticPr fontId="23" type="noConversion"/>
  </si>
  <si>
    <t>신안군 해양수산과 /
밴댕이축제추진위원회
(061-240-8411)</t>
    <phoneticPr fontId="23" type="noConversion"/>
  </si>
  <si>
    <t>○ 개최식 및 밴댕이무침만들기</t>
    <phoneticPr fontId="23" type="noConversion"/>
  </si>
  <si>
    <t>6월 중</t>
    <phoneticPr fontId="23" type="noConversion"/>
  </si>
  <si>
    <t>밴댕이축제</t>
    <phoneticPr fontId="23" type="noConversion"/>
  </si>
  <si>
    <t>특산품(병어)</t>
    <phoneticPr fontId="23" type="noConversion"/>
  </si>
  <si>
    <t>2007년도
(8회)</t>
    <phoneticPr fontId="23" type="noConversion"/>
  </si>
  <si>
    <t>신안군 해양수산과 /
병어축제추진위원회
(061-240-8411)</t>
    <phoneticPr fontId="23" type="noConversion"/>
  </si>
  <si>
    <t>○ 개최식 및 병어썰기대회</t>
    <phoneticPr fontId="23" type="noConversion"/>
  </si>
  <si>
    <t>병어축제</t>
    <phoneticPr fontId="23" type="noConversion"/>
  </si>
  <si>
    <t>특산품(강달어)</t>
    <phoneticPr fontId="23" type="noConversion"/>
  </si>
  <si>
    <t>신안군 해양수산과 /
강달어축제추진위원회
(061-240-8411)</t>
    <phoneticPr fontId="23" type="noConversion"/>
  </si>
  <si>
    <t>○ 개최식 및 강달어무침만들기</t>
    <phoneticPr fontId="23" type="noConversion"/>
  </si>
  <si>
    <t>강달어축제</t>
    <phoneticPr fontId="23" type="noConversion"/>
  </si>
  <si>
    <t>공원 등</t>
    <phoneticPr fontId="23" type="noConversion"/>
  </si>
  <si>
    <t>·부분위탁</t>
    <phoneticPr fontId="23" type="noConversion"/>
  </si>
  <si>
    <t>수국</t>
    <phoneticPr fontId="23" type="noConversion"/>
  </si>
  <si>
    <t>신안군 공원녹지과 /
섬수국축제추진위원회
(061-240-8453)</t>
    <phoneticPr fontId="23" type="noConversion"/>
  </si>
  <si>
    <t>○ 수국 꽃길 걷기 행사(대표체험행사)
○ 수국을 테마로한 공연, 수국부케 전시, 체험프로그램 운영
○ 개막 공연(색소폰 공연), 주제공연(언플로그 버스킹 공연), 문화공연(에스탑 밴드 공연)등
○ 수국 아짐 선발대회, 분재전시 등</t>
    <phoneticPr fontId="23" type="noConversion"/>
  </si>
  <si>
    <t>6.1~6.30.
(30일간)</t>
    <phoneticPr fontId="23" type="noConversion"/>
  </si>
  <si>
    <t>섬수국축제</t>
    <phoneticPr fontId="23" type="noConversion"/>
  </si>
  <si>
    <t>증도짱뚱어
해변</t>
    <phoneticPr fontId="23" type="noConversion"/>
  </si>
  <si>
    <t>해양레저</t>
    <phoneticPr fontId="23" type="noConversion"/>
  </si>
  <si>
    <t>신안군 문화관광과
(061-240-8684)</t>
    <phoneticPr fontId="23" type="noConversion"/>
  </si>
  <si>
    <t>○ 해양레저체험교실 프로그램 진행
○ 관련 축제 개최</t>
    <phoneticPr fontId="23" type="noConversion"/>
  </si>
  <si>
    <t>5~6월 중</t>
    <phoneticPr fontId="23" type="noConversion"/>
  </si>
  <si>
    <t>해양레저체험교실</t>
    <phoneticPr fontId="23" type="noConversion"/>
  </si>
  <si>
    <t>특산품(낙지)</t>
    <phoneticPr fontId="23" type="noConversion"/>
  </si>
  <si>
    <t>2008년도
(7회)</t>
    <phoneticPr fontId="23" type="noConversion"/>
  </si>
  <si>
    <t>낙지축제추진위원회
(061-240-8356)</t>
    <phoneticPr fontId="23" type="noConversion"/>
  </si>
  <si>
    <t>○ 개최식 및 낙지잡기대회</t>
    <phoneticPr fontId="23" type="noConversion"/>
  </si>
  <si>
    <t>낙지축제</t>
    <phoneticPr fontId="23" type="noConversion"/>
  </si>
  <si>
    <t>특산품(홍어)</t>
    <phoneticPr fontId="23" type="noConversion"/>
  </si>
  <si>
    <t>홍어축제추진위원회
(061-240-8908)</t>
    <phoneticPr fontId="23" type="noConversion"/>
  </si>
  <si>
    <t>○ 개최식 및 홍어썰기대회</t>
    <phoneticPr fontId="23" type="noConversion"/>
  </si>
  <si>
    <t>홍어축제</t>
    <phoneticPr fontId="23" type="noConversion"/>
  </si>
  <si>
    <t>퍼플교</t>
    <phoneticPr fontId="23" type="noConversion"/>
  </si>
  <si>
    <t>퍼플색, 라벤더</t>
    <phoneticPr fontId="23" type="noConversion"/>
  </si>
  <si>
    <t>○ Beauty, Healing, Health 프로그램 진행
○ 퍼플 관련 이벤트 진행</t>
    <phoneticPr fontId="23" type="noConversion"/>
  </si>
  <si>
    <t>퍼플페스타</t>
    <phoneticPr fontId="23" type="noConversion"/>
  </si>
  <si>
    <t>광장/마을</t>
    <phoneticPr fontId="23" type="noConversion"/>
  </si>
  <si>
    <t>섬유채꽃 축제 추진위원회/팔금면
(061-240-8374)</t>
    <phoneticPr fontId="23" type="noConversion"/>
  </si>
  <si>
    <t>○ 기념행사,유채꽃 길 걷기
○ 승마체험,사진전관람,포토존 체험, 유채차 시음 등
○섬음식 먹거리 및 농수산특산물 판매소 운영</t>
    <phoneticPr fontId="23" type="noConversion"/>
  </si>
  <si>
    <t>4.27~4.31.
(5일간)</t>
    <phoneticPr fontId="23" type="noConversion"/>
  </si>
  <si>
    <t>섬 유채꽃 축제</t>
    <phoneticPr fontId="23" type="noConversion"/>
  </si>
  <si>
    <t>신안튤립공원</t>
    <phoneticPr fontId="23" type="noConversion"/>
  </si>
  <si>
    <t>신안군/신안튤립축제추진위원회
(061-240-4041)</t>
    <phoneticPr fontId="23" type="noConversion"/>
  </si>
  <si>
    <t>○ DIY튤립화분 만들기
○ 공연 및 전시, 문화행사
○ 체험프로그램 및 부대시설 운영 등</t>
    <phoneticPr fontId="23" type="noConversion"/>
  </si>
  <si>
    <t>4월 중
(10일간)</t>
    <phoneticPr fontId="23" type="noConversion"/>
  </si>
  <si>
    <t>신안튤립축제</t>
    <phoneticPr fontId="23" type="noConversion"/>
  </si>
  <si>
    <t>진도군일원</t>
    <phoneticPr fontId="23" type="noConversion"/>
  </si>
  <si>
    <t>있음
회장:1명
정규직: 1명</t>
    <phoneticPr fontId="23" type="noConversion"/>
  </si>
  <si>
    <t>전국단위 
경연대회, 교류전</t>
    <phoneticPr fontId="23" type="noConversion"/>
  </si>
  <si>
    <t>진도군/(사)한국예총 진도지회
(061-540-3072)</t>
    <phoneticPr fontId="23" type="noConversion"/>
  </si>
  <si>
    <t>○ 남도민요전국경창대회               ○ 전국고수대회
○ 대한민국 강강술래 발표             ○ 미술 영호남 교류전
○ 대한민국 국악제                       ○ 대한민국 청소년 국악제
○ 전국소치미술대전                     ○ 전국한시진도백일장대회
○ 학생종합예술제 및 백일장 대회  ○ 제1회 명인,명창 초청공연
○ 전라남도 무형 문화재 6종 공개발표회 등</t>
    <phoneticPr fontId="23" type="noConversion"/>
  </si>
  <si>
    <t>2020진도문화예술제</t>
    <phoneticPr fontId="23" type="noConversion"/>
  </si>
  <si>
    <t>진도군</t>
    <phoneticPr fontId="23" type="noConversion"/>
  </si>
  <si>
    <t>진도개테마파크</t>
    <phoneticPr fontId="23" type="noConversion"/>
  </si>
  <si>
    <t>진도개</t>
    <phoneticPr fontId="23" type="noConversion"/>
  </si>
  <si>
    <t>진도군
(061-540-6308)</t>
    <phoneticPr fontId="23" type="noConversion"/>
  </si>
  <si>
    <t>○ 진도개의 날 기념식  ○ 진도개공연,경주,어질리티
○ 캐니크로스 대회      ○ 진도개 체험
○ dog스포츠 등</t>
    <phoneticPr fontId="23" type="noConversion"/>
  </si>
  <si>
    <t>5.3.~5.5.
(3일간)</t>
    <phoneticPr fontId="23" type="noConversion"/>
  </si>
  <si>
    <t>2020대한민국
진도개페스티벌</t>
    <phoneticPr fontId="23" type="noConversion"/>
  </si>
  <si>
    <t>고군면 회동리</t>
    <phoneticPr fontId="23" type="noConversion"/>
  </si>
  <si>
    <t xml:space="preserve">있음
회 장 1명
정규직 3명 </t>
    <phoneticPr fontId="23" type="noConversion"/>
  </si>
  <si>
    <t>바닷길</t>
    <phoneticPr fontId="23" type="noConversion"/>
  </si>
  <si>
    <t>1978년도
(42회)</t>
    <phoneticPr fontId="23" type="noConversion"/>
  </si>
  <si>
    <t>진도군/(사)진도군관광진흥협의회
(061-540-3407)</t>
    <phoneticPr fontId="23" type="noConversion"/>
  </si>
  <si>
    <t>○ 신비의 바닷길 체험
○ 새벽 횃불 퍼레이드
○ '신비의땅을 울려라' 북놀이 퍼레이드
○ 진도개 공연 및 체험
○ 미라클 레이져 멀티미디어쇼
○ 글로벌행사(컬러풀진도,글로벌 탤런트쇼,씨름대회 등)
○ 선박 퍼레이드 및 해상풀물뱃놀이</t>
    <phoneticPr fontId="23" type="noConversion"/>
  </si>
  <si>
    <t>4.8~4.11.
(4일간)</t>
    <phoneticPr fontId="23" type="noConversion"/>
  </si>
  <si>
    <t>진도신비의바닷길축제</t>
    <phoneticPr fontId="23" type="noConversion"/>
  </si>
  <si>
    <t>공원, 수목원</t>
    <phoneticPr fontId="23" type="noConversion"/>
  </si>
  <si>
    <t>부분위탁(운영)</t>
    <phoneticPr fontId="23" type="noConversion"/>
  </si>
  <si>
    <t>공연, 수산물</t>
    <phoneticPr fontId="23" type="noConversion"/>
  </si>
  <si>
    <t>완도군/완도청정완도가을빛여행축제추진위원회 / 완도군청 축제팀
(061-550-5431)</t>
    <phoneticPr fontId="23" type="noConversion"/>
  </si>
  <si>
    <t>○ 청정바다와 난대림 숲을 테마로한 공연, 전시, 체험 프로그램 운영</t>
    <phoneticPr fontId="23" type="noConversion"/>
  </si>
  <si>
    <t>2020 청정완도
가을빛여행</t>
    <phoneticPr fontId="23" type="noConversion"/>
  </si>
  <si>
    <t>완도군</t>
    <phoneticPr fontId="23" type="noConversion"/>
  </si>
  <si>
    <t>개최완료(온라인)
(7.25, 7.31~8.9)</t>
    <phoneticPr fontId="23" type="noConversion"/>
  </si>
  <si>
    <t>공공(완도군)</t>
    <phoneticPr fontId="23" type="noConversion"/>
  </si>
  <si>
    <t>공연행사, 수산물</t>
    <phoneticPr fontId="23" type="noConversion"/>
  </si>
  <si>
    <t>완도군청 관광과 / 관광정책팀
(061-550-5411)</t>
    <phoneticPr fontId="23" type="noConversion"/>
  </si>
  <si>
    <t>○ 다양한 문화공연과 수산물 경매</t>
    <phoneticPr fontId="23" type="noConversion"/>
  </si>
  <si>
    <t>6~9월 중
(매주 토요일)</t>
    <phoneticPr fontId="23" type="noConversion"/>
  </si>
  <si>
    <t>2020 토요싱싱콘서트</t>
    <phoneticPr fontId="23" type="noConversion"/>
  </si>
  <si>
    <t>마을, 기타</t>
    <phoneticPr fontId="23" type="noConversion"/>
  </si>
  <si>
    <t>유채꽃, 자연경관</t>
    <phoneticPr fontId="23" type="noConversion"/>
  </si>
  <si>
    <t>완도군/청산도슬로축제추진위원회 / 완도군청 축제팀
(061-550-5432)</t>
    <phoneticPr fontId="23" type="noConversion"/>
  </si>
  <si>
    <t>○ 슬로길 11코스 '청산완보'외 공연, 전시, 체험 프로그램 운영 예정</t>
    <phoneticPr fontId="23" type="noConversion"/>
  </si>
  <si>
    <t>4.4~5.5.
(32일간)</t>
    <phoneticPr fontId="23" type="noConversion"/>
  </si>
  <si>
    <t>2020 청산도슬로걷기축제</t>
    <phoneticPr fontId="23" type="noConversion"/>
  </si>
  <si>
    <t>공원, 바다</t>
    <phoneticPr fontId="23" type="noConversion"/>
  </si>
  <si>
    <t>인물, 수산물</t>
    <phoneticPr fontId="23" type="noConversion"/>
  </si>
  <si>
    <t>1995년도
(23회)</t>
    <phoneticPr fontId="23" type="noConversion"/>
  </si>
  <si>
    <t>완도군/완도군장보고수산물축제추진위원회 / 완도군청 축제팀
(061-550-5431)</t>
    <phoneticPr fontId="23" type="noConversion"/>
  </si>
  <si>
    <t>○ 장보고를 테마로한 공연, 전시, 체험프로그램 운영</t>
    <phoneticPr fontId="23" type="noConversion"/>
  </si>
  <si>
    <t>2020 완도장보고
수산물축제</t>
    <phoneticPr fontId="23" type="noConversion"/>
  </si>
  <si>
    <t>장성역 광장</t>
    <phoneticPr fontId="23" type="noConversion"/>
  </si>
  <si>
    <t>2015년도
(7회)</t>
    <phoneticPr fontId="23" type="noConversion"/>
  </si>
  <si>
    <t>장성군 미래디자인담당관
(061-390-7382)</t>
    <phoneticPr fontId="23" type="noConversion"/>
  </si>
  <si>
    <t>○ 봄꽃정원 조성 및 전시</t>
    <phoneticPr fontId="23" type="noConversion"/>
  </si>
  <si>
    <t>빈센트의 봄</t>
    <phoneticPr fontId="23" type="noConversion"/>
  </si>
  <si>
    <t>장성군</t>
    <phoneticPr fontId="23" type="noConversion"/>
  </si>
  <si>
    <t>남창계곡</t>
    <phoneticPr fontId="23" type="noConversion"/>
  </si>
  <si>
    <t>돼지열병
확산방지 취소</t>
    <phoneticPr fontId="23" type="noConversion"/>
  </si>
  <si>
    <t>장성 고로쇠</t>
    <phoneticPr fontId="23" type="noConversion"/>
  </si>
  <si>
    <t>장성군/장성군고로쇠축제추진
위원회
(061-390-7253)</t>
    <phoneticPr fontId="23" type="noConversion"/>
  </si>
  <si>
    <t>○ 고로쇠 판매,각종 체험,전시, 공연 등</t>
    <phoneticPr fontId="23" type="noConversion"/>
  </si>
  <si>
    <t>3월 중
(2일간)</t>
    <phoneticPr fontId="23" type="noConversion"/>
  </si>
  <si>
    <t>장성백양고로쇠축제</t>
    <phoneticPr fontId="23" type="noConversion"/>
  </si>
  <si>
    <t>백양사</t>
    <phoneticPr fontId="23" type="noConversion"/>
  </si>
  <si>
    <t>백암산 애기단풍</t>
    <phoneticPr fontId="23" type="noConversion"/>
  </si>
  <si>
    <t>장성군/장성군축제위원회
(061-390-7242)</t>
    <phoneticPr fontId="23" type="noConversion"/>
  </si>
  <si>
    <t>○ 백양사 산사음악회, 애기단풍 낭만무대, 체험, 전시, 판매</t>
    <phoneticPr fontId="23" type="noConversion"/>
  </si>
  <si>
    <t>백양단풍축제</t>
    <phoneticPr fontId="23" type="noConversion"/>
  </si>
  <si>
    <t>황룡강변 일원
홍길동테마파크</t>
    <phoneticPr fontId="23" type="noConversion"/>
  </si>
  <si>
    <t>황룡강 꽃길,
홍길동</t>
    <phoneticPr fontId="23" type="noConversion"/>
  </si>
  <si>
    <t>○ 황룡강 꽃길과 홍길동을 주제로 한 공연, 전시, 체험 등</t>
    <phoneticPr fontId="23" type="noConversion"/>
  </si>
  <si>
    <t>장성 황룡강
길동무꽃길 축제</t>
    <phoneticPr fontId="23" type="noConversion"/>
  </si>
  <si>
    <t>황룡강변 일원</t>
    <phoneticPr fontId="23" type="noConversion"/>
  </si>
  <si>
    <t>가을 노란꽃</t>
    <phoneticPr fontId="23" type="noConversion"/>
  </si>
  <si>
    <t>○ 장성만의 컬러와 문화가 함께하는 꽃강 이야기를 담은
아름다운 정원 연출</t>
    <phoneticPr fontId="23" type="noConversion"/>
  </si>
  <si>
    <t>10월 중
(10일간)</t>
    <phoneticPr fontId="23" type="noConversion"/>
  </si>
  <si>
    <t>장성 황룡강 노란꽃잔치</t>
    <phoneticPr fontId="23" type="noConversion"/>
  </si>
  <si>
    <t>백수읍 
노을전시관 일원</t>
    <phoneticPr fontId="23" type="noConversion"/>
  </si>
  <si>
    <t>0
(태풍으로 취소)</t>
    <phoneticPr fontId="23" type="noConversion"/>
  </si>
  <si>
    <t>노을</t>
    <phoneticPr fontId="23" type="noConversion"/>
  </si>
  <si>
    <t>영광백수해안도로노을축제추진위원회
/영광백수해안도로노을축제집행위원회
(061-350-5881)</t>
    <phoneticPr fontId="23" type="noConversion"/>
  </si>
  <si>
    <t>○ 대표프로그램 : 영광퓨전떡 전시회 외 1종
○ 노을을 테마로한 공연, 전시 체험프로그램 운영
  - 주제프로그램 : 노을가요제 외 1종
  - 체험행사 : 천일염 체험 외 4종
  - 야간행사 : 불꽃놀이
○ 기타 특산품 판매  등</t>
    <phoneticPr fontId="23" type="noConversion"/>
  </si>
  <si>
    <t>10.3~10.4.
(2일간)</t>
    <phoneticPr fontId="23" type="noConversion"/>
  </si>
  <si>
    <t>영광백수해안도로
 노을축제</t>
    <phoneticPr fontId="23" type="noConversion"/>
  </si>
  <si>
    <t>영광군</t>
    <phoneticPr fontId="23" type="noConversion"/>
  </si>
  <si>
    <t>불갑사
관광지 일원</t>
    <phoneticPr fontId="23" type="noConversion"/>
  </si>
  <si>
    <t>상사화</t>
    <phoneticPr fontId="23" type="noConversion"/>
  </si>
  <si>
    <t>영광불갑산상사화축제 추진위원회 
/영광불갑산상사화축제 집행위원회
(061-350-5752)</t>
    <phoneticPr fontId="23" type="noConversion"/>
  </si>
  <si>
    <t>○ 대표프로그램 : 상사화 꽃길걷기,상사화 주제공연
○ 상사화를 테마로한 공연, 전시 체험프로그램 운영
  - 체험행사 : 상사화꽃맵시선발대회 외 17종
  - 전시행사 : 상사화주제관 외 8종
  - 문화행사 : 상사화예술제 외 5종
○ 기타 특산품 판매  등</t>
    <phoneticPr fontId="23" type="noConversion"/>
  </si>
  <si>
    <t>9.18~9.27.
(10일간)</t>
    <phoneticPr fontId="23" type="noConversion"/>
  </si>
  <si>
    <t>영광불갑산상사화축제</t>
    <phoneticPr fontId="23" type="noConversion"/>
  </si>
  <si>
    <t>염산면
향화도항 일원</t>
    <phoneticPr fontId="23" type="noConversion"/>
  </si>
  <si>
    <t>갯벌</t>
    <phoneticPr fontId="23" type="noConversion"/>
  </si>
  <si>
    <t>영광천일염젓갈갯벌축제추진위원회/ 
영광천일염젓갈갯벌축제집행위원회
(061-350-5752)</t>
    <phoneticPr fontId="23" type="noConversion"/>
  </si>
  <si>
    <t>○ 대표프로그램 : 장어잡기외 1종
○ 갯벌을 테마로한 공연, 전시 체험프로그램 운영
  - 체험행사 : 갯벌풋살대회 외 2종
  - 문화행사 : 작은음악회 외 4종
  - 특별행사 : 관광객 소금 담아가기
○ 기타 특산품 판매  등</t>
    <phoneticPr fontId="23" type="noConversion"/>
  </si>
  <si>
    <t>8.28~8.30.
(3일간)</t>
    <phoneticPr fontId="23" type="noConversion"/>
  </si>
  <si>
    <t>영광천일염젓갈갯벌축제</t>
    <phoneticPr fontId="23" type="noConversion"/>
  </si>
  <si>
    <t>법성포 단오제
전수교육관 일원</t>
    <phoneticPr fontId="23" type="noConversion"/>
  </si>
  <si>
    <t>단오 풍습</t>
    <phoneticPr fontId="23" type="noConversion"/>
  </si>
  <si>
    <t>조선시대 
중종때부터
(약 500여년)</t>
    <phoneticPr fontId="23" type="noConversion"/>
  </si>
  <si>
    <t>(사)법성포단오보존회/
(사)법성포단오보존회
(061-356-4331)</t>
    <phoneticPr fontId="23" type="noConversion"/>
  </si>
  <si>
    <t>○  대표프로그램 : 제전행사(용왕제외 5)
○  민속행사 : 선유놀이등 4종
○  경연대회 : 숲쟁이국악경연대회 외 4종
○  체험행사 : 창포머리감기체험 등</t>
    <phoneticPr fontId="23" type="noConversion"/>
  </si>
  <si>
    <t>6.24~6.28.
(5일간)</t>
    <phoneticPr fontId="23" type="noConversion"/>
  </si>
  <si>
    <t>영광법성포단오제</t>
    <phoneticPr fontId="23" type="noConversion"/>
  </si>
  <si>
    <t>군남 지내들
옹기돌탑공원</t>
    <phoneticPr fontId="23" type="noConversion"/>
  </si>
  <si>
    <t>영광찰보리문화축제 추진위원회
/ 영광찰보리문화축제 집행위원회
(061-350-5114)</t>
    <phoneticPr fontId="23" type="noConversion"/>
  </si>
  <si>
    <t>○ 대표프로그램 : 보리타작 경연
○ 보리를 테마로한 공연, 전시 체험프로그램 운영
  - 체험행사 : 보리밭 보물착기 외 5종
  - 경연대회 : 보리자루 멀리던지 외 3종
  - 특별행사 : 각종 공연 주민 및 재능기부 확대
○ 기타 특산품 판매  등</t>
    <phoneticPr fontId="23" type="noConversion"/>
  </si>
  <si>
    <t>영광찰보리문화축제</t>
    <phoneticPr fontId="23" type="noConversion"/>
  </si>
  <si>
    <t>법성면
뉴타운 일원</t>
    <phoneticPr fontId="23" type="noConversion"/>
  </si>
  <si>
    <t>2016년
(5회)</t>
    <phoneticPr fontId="23" type="noConversion"/>
  </si>
  <si>
    <t>곡우사리굴비축제위원회
(061-356-3575)</t>
    <phoneticPr fontId="23" type="noConversion"/>
  </si>
  <si>
    <t>○  대표프로그램 : 굴비저잣거리재외 3종
○  공연행사 : 굴비경매외 15종
○  체험행사 : 굴비엮기 대회 등
○  부대행사 : 홍보 탈인형운영 등</t>
    <phoneticPr fontId="23" type="noConversion"/>
  </si>
  <si>
    <t>곡우사리 영광굴비축제</t>
    <phoneticPr fontId="23" type="noConversion"/>
  </si>
  <si>
    <t>함평
문화체육센터</t>
    <phoneticPr fontId="23" type="noConversion"/>
  </si>
  <si>
    <t>춘란</t>
    <phoneticPr fontId="23" type="noConversion"/>
  </si>
  <si>
    <t>함평군/함평난연합회
(061-320-2853)</t>
    <phoneticPr fontId="23" type="noConversion"/>
  </si>
  <si>
    <t>○ 명품 난을 테마로한 전시 및 선발대회  운영
○ 개막행사 및 명품 난 선발대회 개최</t>
    <phoneticPr fontId="23" type="noConversion"/>
  </si>
  <si>
    <t>3.28~3.29.
(2일간)</t>
    <phoneticPr fontId="23" type="noConversion"/>
  </si>
  <si>
    <t>2020 대한민국 난명품대제전</t>
    <phoneticPr fontId="23" type="noConversion"/>
  </si>
  <si>
    <t>함평군</t>
    <phoneticPr fontId="23" type="noConversion"/>
  </si>
  <si>
    <t>해보면 용천사</t>
    <phoneticPr fontId="23" type="noConversion"/>
  </si>
  <si>
    <t>꽃무릇</t>
    <phoneticPr fontId="23" type="noConversion"/>
  </si>
  <si>
    <t>해보면/
해보면꽃무릇큰잔치추진위원회
(061-320-2771)</t>
    <phoneticPr fontId="23" type="noConversion"/>
  </si>
  <si>
    <t>2020 꽃무릇큰잔치</t>
    <phoneticPr fontId="23" type="noConversion"/>
  </si>
  <si>
    <t>엑스포공원</t>
    <phoneticPr fontId="23" type="noConversion"/>
  </si>
  <si>
    <t>함평군/함평군축제추진위원회
(061-320-2213)</t>
    <phoneticPr fontId="23" type="noConversion"/>
  </si>
  <si>
    <t>○ 주제형 국회기획 조형물 전시연출
○ 국향대전 주제와 연관성 있는 형태의 개장식
    (주제공연 플래시몹 퍼포먼스)  
○ 연 만들기 및 날리기 체험, 전통민속놀이 체험장 운영 등
○ 군립미술관 소장품전, 문인화·실버사진전
○ 야간개방 볼거리 제공
    (경관조명, 미디어파사드, 버스킹공연)</t>
    <phoneticPr fontId="23" type="noConversion"/>
  </si>
  <si>
    <t>10.16~11.1.
(17일간)</t>
    <phoneticPr fontId="23" type="noConversion"/>
  </si>
  <si>
    <t>2020
대한민국 국향대전</t>
    <phoneticPr fontId="23" type="noConversion"/>
  </si>
  <si>
    <t>꽃, 나비, 곤충</t>
    <phoneticPr fontId="23" type="noConversion"/>
  </si>
  <si>
    <t>함평군/함평군축제추진위원회
(061-320-1783)</t>
    <phoneticPr fontId="23" type="noConversion"/>
  </si>
  <si>
    <t>○ 나비날리기,나비 우화과정 VR체험, 나비구조대 캐릭터존
    체험 프로그램운영 -20여개 체험 프로그램
○ 나비,곤충 생태관, 야외 나비생태관등 나비생태 볼거리제공
○ 다양한 문화예술 공연 및 세계음식존 운영
○ 전국미술대회 및 어린이 한마당잔치 경연대회 등</t>
    <phoneticPr fontId="23" type="noConversion"/>
  </si>
  <si>
    <t>4.29~5.10.
(12일간)</t>
    <phoneticPr fontId="23" type="noConversion"/>
  </si>
  <si>
    <t>제22회 함평나비
대축제</t>
    <phoneticPr fontId="23" type="noConversion"/>
  </si>
  <si>
    <t>남악 중앙공원</t>
    <phoneticPr fontId="23" type="noConversion"/>
  </si>
  <si>
    <t>청년</t>
    <phoneticPr fontId="23" type="noConversion"/>
  </si>
  <si>
    <t>무안군 문화관광과
(061-450-5473)</t>
    <phoneticPr fontId="23" type="noConversion"/>
  </si>
  <si>
    <t>○ 청춘가요제, 축하공연, 청춘버스킹
○ 명사초청강연, 일자리박람회, 4차산업 체험부스 운영
○ K-컬쳐 페스티벌(커버댄스, 뷰티경연대회)
○ 청춘마이크 및 청년 체험프로그램 17종
○ 플리마켓, 청춘피크닉박스 판매 등</t>
    <phoneticPr fontId="23" type="noConversion"/>
  </si>
  <si>
    <t>무안 YD 페스티벌</t>
    <phoneticPr fontId="23" type="noConversion"/>
  </si>
  <si>
    <t>무안군</t>
    <phoneticPr fontId="23" type="noConversion"/>
  </si>
  <si>
    <t>황토갯벌랜드</t>
    <phoneticPr fontId="23" type="noConversion"/>
  </si>
  <si>
    <t>황토, 갯벌</t>
    <phoneticPr fontId="23" type="noConversion"/>
  </si>
  <si>
    <t>무안군 문화관광과/
무안군 축제추진위원회
(061-450-5472)</t>
    <phoneticPr fontId="23" type="noConversion"/>
  </si>
  <si>
    <t>○ 풍요 깃발 퍼레이드, 황토갯벌 개막식
○ "황토,갯벌"주제로 공연, 전시, 체험프로그램 운영
○ 황토갯벌씨름대회, 올림피아드, 군민노래자랑
○ 갯벌낙지·장어잡기, 농게잡기, 운저리 낚시체험
○ 청소년 백일장 및 사생대회, 무안 각설이품바공연 등</t>
    <phoneticPr fontId="23" type="noConversion"/>
  </si>
  <si>
    <t>제8회 황토갯벌축제</t>
    <phoneticPr fontId="23" type="noConversion"/>
  </si>
  <si>
    <t>회산백련지</t>
    <phoneticPr fontId="23" type="noConversion"/>
  </si>
  <si>
    <t>연꽃</t>
    <phoneticPr fontId="23" type="noConversion"/>
  </si>
  <si>
    <t xml:space="preserve">○ 백련지애 사랑연등 띄우기
○ 연잎들고 연꽃길 걷기
○ 개폐막 공연, 군민참여단체 공연
○ 요리 경연대회, 연팥빙수 나눔, 연잎차 쉼터, 
    백련지 달빛야행, 얼음 피크닉 등 </t>
    <phoneticPr fontId="23" type="noConversion"/>
  </si>
  <si>
    <t>제24회 무안연꽃축제</t>
    <phoneticPr fontId="23" type="noConversion"/>
  </si>
  <si>
    <t>무화과</t>
    <phoneticPr fontId="23" type="noConversion"/>
  </si>
  <si>
    <t>1997년도
(19회)</t>
    <phoneticPr fontId="23" type="noConversion"/>
  </si>
  <si>
    <t>영암군 친환경농업과
/ 영암무화과축제추진위원회
(061-470-6093)</t>
    <phoneticPr fontId="23" type="noConversion"/>
  </si>
  <si>
    <t>○ 무화과 품평회 및 시식회
○ 가족과 함께하는 요리대회
○ ox퀴즈, 무화과 가요제 등</t>
    <phoneticPr fontId="23" type="noConversion"/>
  </si>
  <si>
    <t>영암무화과축제</t>
    <phoneticPr fontId="23" type="noConversion"/>
  </si>
  <si>
    <t>영암군</t>
    <phoneticPr fontId="23" type="noConversion"/>
  </si>
  <si>
    <t>마한역사</t>
    <phoneticPr fontId="23" type="noConversion"/>
  </si>
  <si>
    <t>영암군 문화관광과/
마한축제추진위원회
(061-470-2259)</t>
    <phoneticPr fontId="23" type="noConversion"/>
  </si>
  <si>
    <t>○ 고유제, 남해신사해신제, 개막행사 
○ 공연행사, 체험행사 등
  - 5개분야, 30여개 프로그램</t>
    <phoneticPr fontId="23" type="noConversion"/>
  </si>
  <si>
    <t>마한축제</t>
    <phoneticPr fontId="23" type="noConversion"/>
  </si>
  <si>
    <t>공공(영암군)</t>
    <phoneticPr fontId="23" type="noConversion"/>
  </si>
  <si>
    <t>영암군 문화관광과/
영암군향토축제추진위원회
(061-470-2259)</t>
    <phoneticPr fontId="23" type="noConversion"/>
  </si>
  <si>
    <t>○ 국화 분화 및 조형물 설치
○ 공연행사, 체험행사, 부대행사 등
  - 5개분야, 60여개 프로그램</t>
    <phoneticPr fontId="23" type="noConversion"/>
  </si>
  <si>
    <t>10~11월 중</t>
    <phoneticPr fontId="23" type="noConversion"/>
  </si>
  <si>
    <t>월출산국화축제</t>
    <phoneticPr fontId="23" type="noConversion"/>
  </si>
  <si>
    <t>왕인</t>
    <phoneticPr fontId="23" type="noConversion"/>
  </si>
  <si>
    <r>
      <t xml:space="preserve">○ 왕인박사일본가오 퍼레이드
○ </t>
    </r>
    <r>
      <rPr>
        <sz val="9"/>
        <color theme="1"/>
        <rFont val="맑은 고딕"/>
        <family val="3"/>
        <charset val="129"/>
        <scheme val="minor"/>
      </rPr>
      <t>제3회 왕인박사추모한시백일장, 제6회 천자문경전 성독대회 등</t>
    </r>
    <r>
      <rPr>
        <sz val="10"/>
        <color theme="1"/>
        <rFont val="맑은 고딕"/>
        <family val="3"/>
        <charset val="129"/>
        <scheme val="minor"/>
      </rPr>
      <t xml:space="preserve">
○ 7개부문 70여종 프로그램</t>
    </r>
    <phoneticPr fontId="23" type="noConversion"/>
  </si>
  <si>
    <t>영암왕인문화축제</t>
    <phoneticPr fontId="23" type="noConversion"/>
  </si>
  <si>
    <t>두륜산
도립공원일대</t>
    <phoneticPr fontId="23" type="noConversion"/>
  </si>
  <si>
    <t>먹거리</t>
    <phoneticPr fontId="23" type="noConversion"/>
  </si>
  <si>
    <t>해남군 / 
해남군축제추진위원회
(061-530-5158)</t>
    <phoneticPr fontId="23" type="noConversion"/>
  </si>
  <si>
    <t>○ 공식행사(3종)
  - 해남의 4미(味, 美, 尾, 迷) 주제전달
     미남송 어린이합창 및 미남미디어 
  아트 및 퍼포먼스 / 해남용줄다리기 퍼레이드
○ 대표행사(4종)
  - 미남푸드관(1촌1식) / 미남요리교실 / 4미나눔시식행사 / 주전부리 체험관 
○ 경연행사(3종) 
  - 전국 해남특미요리경연대회 / 전국청년쉐프경연대회 / 미남송플래시몹경연대회
○ 전시판매행사(7종)
  - 마을장터 / 공예마켓 / 미남보부상 / 해남막걸리바 /
     국화향연전시
○ 참여체험행사
  - 감성포토존 / 김치버무리go / 숯불황토고구마구이터 / 볏짚어린이놀이터 / 내품안에 go구마 / 떡메치기체험 / 탈곡체험
○ 공연행사(3종)
  - 가을향기 낭만콘서트 / 미남콘서트 / 재즈 스테이지
    / 미미청춘버스킹
○ 부대행사(2종)
  - 문화체육관광부장관배 전국 웰빙댄스경연대회
  - 해남군평생학습축제
○ 지역문화연계프로그램
  - 내외국인 팸투어</t>
    <phoneticPr fontId="23" type="noConversion"/>
  </si>
  <si>
    <t>해남미남(味南)축제</t>
    <phoneticPr fontId="23" type="noConversion"/>
  </si>
  <si>
    <t>해남군</t>
    <phoneticPr fontId="23" type="noConversion"/>
  </si>
  <si>
    <t>4rest수목원</t>
    <phoneticPr fontId="23" type="noConversion"/>
  </si>
  <si>
    <t>포레스트수목원</t>
    <phoneticPr fontId="23" type="noConversion"/>
  </si>
  <si>
    <t>팜파스글라스</t>
    <phoneticPr fontId="23" type="noConversion"/>
  </si>
  <si>
    <t>포레스트수목원
(061-533-7220)</t>
    <phoneticPr fontId="23" type="noConversion"/>
  </si>
  <si>
    <t>○ 팜파스글라스 포토존 등</t>
    <phoneticPr fontId="23" type="noConversion"/>
  </si>
  <si>
    <t>9월 중
(1달간)</t>
    <phoneticPr fontId="23" type="noConversion"/>
  </si>
  <si>
    <t>팜파스 축제</t>
    <phoneticPr fontId="23" type="noConversion"/>
  </si>
  <si>
    <t>오시아노
관광단지</t>
    <phoneticPr fontId="23" type="noConversion"/>
  </si>
  <si>
    <t>해남군
(061-530-5158)</t>
    <phoneticPr fontId="23" type="noConversion"/>
  </si>
  <si>
    <t>○ 여름불꽃축제 
○ 해변 EDM파티 / 야광 바디페인팅 
○ 해변 여름음악축제: 오디션 프로그램 유치 등</t>
    <phoneticPr fontId="23" type="noConversion"/>
  </si>
  <si>
    <t>오시아노 썸머뮤직축제</t>
    <phoneticPr fontId="23" type="noConversion"/>
  </si>
  <si>
    <t>송호해수욕장</t>
    <phoneticPr fontId="23" type="noConversion"/>
  </si>
  <si>
    <t>해남군
(061-530-5159)</t>
    <phoneticPr fontId="23" type="noConversion"/>
  </si>
  <si>
    <t>○ 음악 경연대회 개최(오디션 프로그램 유치)
○ 공연행사: 초청공연
○ 해변불꽃축제
○ 체험행사: 솜사탕만들기, 워터타투, 에어풀장 등</t>
    <phoneticPr fontId="23" type="noConversion"/>
  </si>
  <si>
    <t>7월 중
(2주간)</t>
    <phoneticPr fontId="23" type="noConversion"/>
  </si>
  <si>
    <t>송호해변여름축제</t>
    <phoneticPr fontId="23" type="noConversion"/>
  </si>
  <si>
    <t xml:space="preserve"> 4est수목원
(061-533-7221)</t>
    <phoneticPr fontId="23" type="noConversion"/>
  </si>
  <si>
    <t>○ 4est수목원 전국 최대 수국 정원
○ 수국 포토존 / 숲속 힐링걷기</t>
    <phoneticPr fontId="23" type="noConversion"/>
  </si>
  <si>
    <t>6.5~7.19
(1달간)</t>
    <phoneticPr fontId="23" type="noConversion"/>
  </si>
  <si>
    <t>땅끝수국축제</t>
    <phoneticPr fontId="23" type="noConversion"/>
  </si>
  <si>
    <t>우항리
공룡화석지</t>
    <phoneticPr fontId="23" type="noConversion"/>
  </si>
  <si>
    <t>공룡화석지</t>
    <phoneticPr fontId="23" type="noConversion"/>
  </si>
  <si>
    <t>추경편성</t>
    <phoneticPr fontId="23" type="noConversion"/>
  </si>
  <si>
    <t>○ 어린이 사생대회 
○ 가족캠프 등
○ 야간 공룡 미디어파사드 레이저 쇼</t>
    <phoneticPr fontId="23" type="noConversion"/>
  </si>
  <si>
    <t>공룡대축제</t>
    <phoneticPr fontId="23" type="noConversion"/>
  </si>
  <si>
    <t>냔냔이농원</t>
    <phoneticPr fontId="23" type="noConversion"/>
  </si>
  <si>
    <t>마을기업</t>
    <phoneticPr fontId="23" type="noConversion"/>
  </si>
  <si>
    <t xml:space="preserve">
연호마을 축제추진위원회 /
마을기업㈜연호
(061-535-8883)
</t>
    <phoneticPr fontId="23" type="noConversion"/>
  </si>
  <si>
    <t>○ 풍년 기원제 문화행사
  - 풍년농사와 1년 마을 안전을 위한 기원제 
  - 통기타 공연, 소리마당, 밴드공연
○ 부대행사
  - 수제맥주, 황산농수특산물 판매, 공예품 등
  - 마을국밥, 남도주막, 밀떡구이, 체험 부스 운영</t>
    <phoneticPr fontId="23" type="noConversion"/>
  </si>
  <si>
    <t>5.2~5.3
(2일간)</t>
    <phoneticPr fontId="23" type="noConversion"/>
  </si>
  <si>
    <t>제2회 
황산연호보리축제</t>
    <phoneticPr fontId="23" type="noConversion"/>
  </si>
  <si>
    <t>가학산휴양림</t>
    <phoneticPr fontId="23" type="noConversion"/>
  </si>
  <si>
    <t>해남군 / 흑석산철쭉제추진위원회
061-531-3362)</t>
    <phoneticPr fontId="23" type="noConversion"/>
  </si>
  <si>
    <t>○ 산신제
○ 무대공연
○ 농산물 홍보관
○참여행사: 철쭉페이스페인팅, 도자기빗기체험, 비눗방울 체험, 전통놀이 체험, 철쭉 포토존풍선아트
○ 흑석산 등반대회</t>
    <phoneticPr fontId="23" type="noConversion"/>
  </si>
  <si>
    <t>제23회 흑석산철쭉제</t>
    <phoneticPr fontId="23" type="noConversion"/>
  </si>
  <si>
    <t>산이면
보해매실농장</t>
    <phoneticPr fontId="23" type="noConversion"/>
  </si>
  <si>
    <t>2009년도
(7회)</t>
    <phoneticPr fontId="23" type="noConversion"/>
  </si>
  <si>
    <t>해남군 / 
산이면 문화체육진흥회
(061-531-3512)</t>
    <phoneticPr fontId="23" type="noConversion"/>
  </si>
  <si>
    <t xml:space="preserve">○ 매화 트래킹
○ 무대공연 : 줌바댄스, 땅끝운동회
○부대행사: 감성캠핑존, 포토존, 피크닉존, 야외팻존
○ 참여행사: 특산품 경매, 즉석이벤트 </t>
    <phoneticPr fontId="23" type="noConversion"/>
  </si>
  <si>
    <t>3월 중
(2주간)</t>
    <phoneticPr fontId="23" type="noConversion"/>
  </si>
  <si>
    <t>강진만
생태공원</t>
    <phoneticPr fontId="23" type="noConversion"/>
  </si>
  <si>
    <t>〃</t>
    <phoneticPr fontId="23" type="noConversion"/>
  </si>
  <si>
    <t>갈대</t>
    <phoneticPr fontId="23" type="noConversion"/>
  </si>
  <si>
    <t>강진군 / 강진군향토축제추진위원회
(061-430-3354)</t>
    <phoneticPr fontId="23" type="noConversion"/>
  </si>
  <si>
    <t>○ 생태어종 체험
○ 내가 갈대 다트장인
○ 생태어종을 맨손으로 잡아라(장어잡기)
○ 갈대밭 폴라로이드
○ 두바퀴로 그린 자전거 여행 등</t>
    <phoneticPr fontId="23" type="noConversion"/>
  </si>
  <si>
    <t>10.23~11.1.
(10일간)</t>
    <phoneticPr fontId="23" type="noConversion"/>
  </si>
  <si>
    <t>제5회 강진만춤추는
갈대축제</t>
    <phoneticPr fontId="23" type="noConversion"/>
  </si>
  <si>
    <t>강진군</t>
    <phoneticPr fontId="23" type="noConversion"/>
  </si>
  <si>
    <t>청자촌</t>
    <phoneticPr fontId="23" type="noConversion"/>
  </si>
  <si>
    <t>청자</t>
    <phoneticPr fontId="23" type="noConversion"/>
  </si>
  <si>
    <t>강진군 / 강진군향토축제추진위원회
(061-430-3352)</t>
    <phoneticPr fontId="23" type="noConversion"/>
  </si>
  <si>
    <t>○ 천하제일 고려청자 제작과정 시연
○ 대한민국 청자공모전
○ 화목가마 요출 및 즉석경매
○ 고려주막 운영
○ 국보급 청자를 찾아라(발굴 체험) 등</t>
    <phoneticPr fontId="23" type="noConversion"/>
  </si>
  <si>
    <t>10.8~10.13.
(6일간)</t>
    <phoneticPr fontId="23" type="noConversion"/>
  </si>
  <si>
    <t>제48회 강진청자축제</t>
    <phoneticPr fontId="23" type="noConversion"/>
  </si>
  <si>
    <t>전라병영성</t>
    <phoneticPr fontId="23" type="noConversion"/>
  </si>
  <si>
    <t>○ 병마절도사 입성식
○ 안녕기원 차전놀이
○ 상평통보 사용하기
○ 남사당패 공연
○ 병영성을 사수하라(활쏘기 체험) 등</t>
    <phoneticPr fontId="23" type="noConversion"/>
  </si>
  <si>
    <t>4.29~5.3.
(5일간)</t>
    <phoneticPr fontId="23" type="noConversion"/>
  </si>
  <si>
    <t>제23회 전라병영성축제</t>
    <phoneticPr fontId="23" type="noConversion"/>
  </si>
  <si>
    <t>군동 금곡사</t>
    <phoneticPr fontId="23" type="noConversion"/>
  </si>
  <si>
    <t>강진군 / 강진금곡사30리벚꽃터널축제추진위원회
(061-430-5522)</t>
    <phoneticPr fontId="23" type="noConversion"/>
  </si>
  <si>
    <t>○ 관광객과 함께하는 벚꽃길 즉석 노래자랑
○ 삼인삼색 벚꽃 콘서트
○ 봄꽃길 보물찾기
○ 벚꽃길 느리게 걷기
○ 벚꽃나무 아래 종이접기 체험 등</t>
    <phoneticPr fontId="23" type="noConversion"/>
  </si>
  <si>
    <t>제3회 강진금곡사30리
벚꽃터널축제</t>
    <phoneticPr fontId="23" type="noConversion"/>
  </si>
  <si>
    <t>부분위탁
(운영, 프로그램)</t>
    <phoneticPr fontId="23" type="noConversion"/>
  </si>
  <si>
    <t>표고버섯</t>
    <phoneticPr fontId="23" type="noConversion"/>
  </si>
  <si>
    <t>2015년도
(3회)</t>
    <phoneticPr fontId="23" type="noConversion"/>
  </si>
  <si>
    <t>장흥군 산림휴양과
/ 유치면사무소
(061-860-6094)</t>
    <phoneticPr fontId="23" type="noConversion"/>
  </si>
  <si>
    <t>○ 표고버섯 판매
○ 표고버섯 음식 건시 및 시식
○ 표고버섯 홍보관 운영 등</t>
    <phoneticPr fontId="23" type="noConversion"/>
  </si>
  <si>
    <t>장흥표고버섯축제</t>
    <phoneticPr fontId="23" type="noConversion"/>
  </si>
  <si>
    <t>장흥군</t>
    <phoneticPr fontId="23" type="noConversion"/>
  </si>
  <si>
    <t>항구</t>
    <phoneticPr fontId="23" type="noConversion"/>
  </si>
  <si>
    <t>장흥군 문화관광과 
/ 회령포축제추진위원회
(061-860-5771)</t>
    <phoneticPr fontId="23" type="noConversion"/>
  </si>
  <si>
    <t>○ 대표프로그램 : 삼군수군통제사 입성식, 강강술래
                            12척 해상 퍼레이드
○ 판옥선 노 젓기대회, 회령포 난장, 병영체험 등
○ 선학동 메밀꽃과의 만남, 문학작가와의 만남 등</t>
    <phoneticPr fontId="23" type="noConversion"/>
  </si>
  <si>
    <t>회령포 문화축제</t>
    <phoneticPr fontId="23" type="noConversion"/>
  </si>
  <si>
    <t>호도</t>
    <phoneticPr fontId="23" type="noConversion"/>
  </si>
  <si>
    <t>2011년도
(8회)</t>
    <phoneticPr fontId="23" type="noConversion"/>
  </si>
  <si>
    <t>장평면사무소
(041-860-8347)</t>
    <phoneticPr fontId="23" type="noConversion"/>
  </si>
  <si>
    <t>○ 귀족호도 전시, 판매
○ 관광객 노래자랑, 강강수월래 등</t>
    <phoneticPr fontId="23" type="noConversion"/>
  </si>
  <si>
    <t>장평귀족호도축제</t>
    <phoneticPr fontId="23" type="noConversion"/>
  </si>
  <si>
    <t>장흥군 문화관광과 
/ 정남진물축제추진위원회
(061-860-0380)</t>
    <phoneticPr fontId="23" type="noConversion"/>
  </si>
  <si>
    <t xml:space="preserve">○ 개막식 : 개막식,축하공연 등
○ 주민참여행사 : 청소년 강변 음악축제, 주민자치
                           프로그램시연, 수상 줄다리기 등
○ 킬러콘텐츠 : 지상최대의 물싸움, 황금물고기잡기
                        살수대첩 거리퍼레이드
○ 수상프로그램 : 수상자전거 타기, 우든보트 타기
                            카누 타기, 뗏목 타기 등
○ 육상프로그램 : 육상수영장, 복지체험관, 목공예
                         체험교실 등 </t>
    <phoneticPr fontId="23" type="noConversion"/>
  </si>
  <si>
    <t>정남진장흥물축제</t>
    <phoneticPr fontId="23" type="noConversion"/>
  </si>
  <si>
    <t>키조개</t>
    <phoneticPr fontId="23" type="noConversion"/>
  </si>
  <si>
    <t>2003년도
(16회)</t>
    <phoneticPr fontId="23" type="noConversion"/>
  </si>
  <si>
    <t>장흥군 해양수산과 
/ 키조개축제추진위원회
(061-860-0412)</t>
    <phoneticPr fontId="23" type="noConversion"/>
  </si>
  <si>
    <t>○ 키조개 관련 음식 전시, 판매
○ 키조개 경매,바지락 캐기,물고기 잡기, 노래자랑 등</t>
    <phoneticPr fontId="23" type="noConversion"/>
  </si>
  <si>
    <t>5월 중
(4일간)</t>
    <phoneticPr fontId="23" type="noConversion"/>
  </si>
  <si>
    <t>정남진장흥키조개축제</t>
    <phoneticPr fontId="23" type="noConversion"/>
  </si>
  <si>
    <t>기타(백아산)</t>
    <phoneticPr fontId="23" type="noConversion"/>
  </si>
  <si>
    <t>철쭉꽃</t>
    <phoneticPr fontId="23" type="noConversion"/>
  </si>
  <si>
    <t>백아면 청년회 /
백아면 청년회
(061-379-5107)</t>
    <phoneticPr fontId="23" type="noConversion"/>
  </si>
  <si>
    <t xml:space="preserve">○ 6.25희생자 위령제
○ 개폐막 공연, 주제공연 및 문화공연
  - 3개 분야 프로그램(초등학교공연, 중학교사물놀이,
       면민 및 초청가수)
○ 과자만들기 체험 등 </t>
    <phoneticPr fontId="23" type="noConversion"/>
  </si>
  <si>
    <t>백아산 철쭉제</t>
    <phoneticPr fontId="23" type="noConversion"/>
  </si>
  <si>
    <t>화순군</t>
    <phoneticPr fontId="23" type="noConversion"/>
  </si>
  <si>
    <t>운주사</t>
    <phoneticPr fontId="23" type="noConversion"/>
  </si>
  <si>
    <t>화순 운주 문화축제추진위원회 /
화순 운주 문화축제 추진위원회
(061-379-5082)</t>
    <phoneticPr fontId="23" type="noConversion"/>
  </si>
  <si>
    <t>○ 운주사 와불 세우기 
○ 운주사를 테마로 한 공연, 전시, 체험프로그램 운영
  - 7개 분야 40여개 프로그램</t>
    <phoneticPr fontId="23" type="noConversion"/>
  </si>
  <si>
    <t>화순 운주 문화축제</t>
    <phoneticPr fontId="23" type="noConversion"/>
  </si>
  <si>
    <t>기타(적벽)</t>
    <phoneticPr fontId="23" type="noConversion"/>
  </si>
  <si>
    <t>적벽</t>
    <phoneticPr fontId="23" type="noConversion"/>
  </si>
  <si>
    <t>1975년도
(36회)</t>
    <phoneticPr fontId="23" type="noConversion"/>
  </si>
  <si>
    <t>화순 적벽 문화축제 추진위원회 /
이서면 번영회
(061-379-5090)</t>
    <phoneticPr fontId="23" type="noConversion"/>
  </si>
  <si>
    <t>○ 적벽힐링건강걷기대회
○ 적벽과 가을을 테마로 기념식, 기원제, 공연, 전시,
    체험 등 5개분야 16개 단위행사 진행</t>
    <phoneticPr fontId="23" type="noConversion"/>
  </si>
  <si>
    <t>화순 적벽 문화축제</t>
    <phoneticPr fontId="23" type="noConversion"/>
  </si>
  <si>
    <t>화순읍 청년연합회/화순읍 청년연합회(061-379-5011)</t>
    <phoneticPr fontId="23" type="noConversion"/>
  </si>
  <si>
    <t>○ 오감힐링걷기대회
○ 문화체험프로그램 , 노래자랑 등</t>
    <phoneticPr fontId="23" type="noConversion"/>
  </si>
  <si>
    <t>5.2~5.3.
(2일간)</t>
    <phoneticPr fontId="23" type="noConversion"/>
  </si>
  <si>
    <t>화순 동구리
호수공원 봄축제</t>
    <phoneticPr fontId="23" type="noConversion"/>
  </si>
  <si>
    <t>고인돌</t>
    <phoneticPr fontId="23" type="noConversion"/>
  </si>
  <si>
    <t>화순고인돌축제추진위원회 /
화순고인돌축제추진위원회
(061-379-5070)</t>
    <phoneticPr fontId="23" type="noConversion"/>
  </si>
  <si>
    <t>○ 고인돌 이야기 재연(고인돌 끌기 등), 대동한마당
○ 고인돌을 테마로 한 공연, 체험 프로그램 운영
○ 체험행사 : 민속놀이 등 11개 분야
○ 고인돌 걷기 대회</t>
    <phoneticPr fontId="23" type="noConversion"/>
  </si>
  <si>
    <t>화순 고인돌 문화축제</t>
    <phoneticPr fontId="23" type="noConversion"/>
  </si>
  <si>
    <t>공공(화순군)</t>
    <phoneticPr fontId="23" type="noConversion"/>
  </si>
  <si>
    <t>화순군 / 화순군 관광진흥과
(061-379-3575)</t>
    <phoneticPr fontId="23" type="noConversion"/>
  </si>
  <si>
    <t>○ 국화꽃 동산 조성
○ 국화와 김삿갓을 테마로한 공연, 전시, 체험프로그램 운영
○ 개막식 공연, 프린지 공연
   - 6개 분야 42개 프로그램
○ 지역 농특산물 판매</t>
    <phoneticPr fontId="23" type="noConversion"/>
  </si>
  <si>
    <t>10월 중
(17일간)</t>
    <phoneticPr fontId="23" type="noConversion"/>
  </si>
  <si>
    <t>화순 국화향연</t>
    <phoneticPr fontId="23" type="noConversion"/>
  </si>
  <si>
    <t>불꽃</t>
    <phoneticPr fontId="23" type="noConversion"/>
  </si>
  <si>
    <t xml:space="preserve">보성군 문화관광과
(061-850-5212) </t>
    <phoneticPr fontId="23" type="noConversion"/>
  </si>
  <si>
    <t>○ 라디오공개방송, 비전선포식, 불꽃쇼 등</t>
    <phoneticPr fontId="23" type="noConversion"/>
  </si>
  <si>
    <t>율포해변 불꽃축제</t>
    <phoneticPr fontId="23" type="noConversion"/>
  </si>
  <si>
    <t>보성군</t>
    <phoneticPr fontId="23" type="noConversion"/>
  </si>
  <si>
    <t>○ 차밭 경관조명  등</t>
    <phoneticPr fontId="23" type="noConversion"/>
  </si>
  <si>
    <t>12월 중
(30일간)</t>
    <phoneticPr fontId="23" type="noConversion"/>
  </si>
  <si>
    <t>보성차밭빛축제</t>
    <phoneticPr fontId="23" type="noConversion"/>
  </si>
  <si>
    <t>꼬막,문학</t>
    <phoneticPr fontId="23" type="noConversion"/>
  </si>
  <si>
    <t>2001년도
(19회)</t>
    <phoneticPr fontId="23" type="noConversion"/>
  </si>
  <si>
    <t xml:space="preserve">보성군 문화관광과/벌교꼬막&amp;문학축제추진위원회
(061-850-5212) </t>
    <phoneticPr fontId="23" type="noConversion"/>
  </si>
  <si>
    <t>○ 꼬막화합비빔밥만들기, 노래자랑,댄스 경연대회 등</t>
    <phoneticPr fontId="23" type="noConversion"/>
  </si>
  <si>
    <t>11월 중
(4일간)</t>
    <phoneticPr fontId="23" type="noConversion"/>
  </si>
  <si>
    <t>벌교꼬막&amp;문학축제</t>
    <phoneticPr fontId="23" type="noConversion"/>
  </si>
  <si>
    <t xml:space="preserve">보성군 문화관광과/보성전어축제추진위원회
(061-850-5212) </t>
    <phoneticPr fontId="23" type="noConversion"/>
  </si>
  <si>
    <t>○ 활어잡기체험</t>
    <phoneticPr fontId="23" type="noConversion"/>
  </si>
  <si>
    <t>보성전어축제</t>
    <phoneticPr fontId="23" type="noConversion"/>
  </si>
  <si>
    <t>소리</t>
    <phoneticPr fontId="23" type="noConversion"/>
  </si>
  <si>
    <t xml:space="preserve">보성군 문화관광과/서편제보성소리축제추진위원회
(061-850-5202) </t>
    <phoneticPr fontId="23" type="noConversion"/>
  </si>
  <si>
    <t>○ 판소리 및 고수 경연대회 등</t>
    <phoneticPr fontId="23" type="noConversion"/>
  </si>
  <si>
    <t>서편제보성소리축제</t>
    <phoneticPr fontId="23" type="noConversion"/>
  </si>
  <si>
    <t>차</t>
    <phoneticPr fontId="23" type="noConversion"/>
  </si>
  <si>
    <t>1975년도
(46회)</t>
    <phoneticPr fontId="23" type="noConversion"/>
  </si>
  <si>
    <t xml:space="preserve">보성군 문화관광과/보성다향대축제추진위원회
(061-850-5212) </t>
    <phoneticPr fontId="23" type="noConversion"/>
  </si>
  <si>
    <t>○ 찻잎따기, 보성녹차시음행사 및 공연행사 등</t>
    <phoneticPr fontId="23" type="noConversion"/>
  </si>
  <si>
    <t>5.1~5.5.
(5일간)</t>
    <phoneticPr fontId="23" type="noConversion"/>
  </si>
  <si>
    <t>보성다향대축제</t>
    <phoneticPr fontId="23" type="noConversion"/>
  </si>
  <si>
    <t>군청 앞 광장, 풍양면 유자 현장체험장</t>
    <phoneticPr fontId="23" type="noConversion"/>
  </si>
  <si>
    <t>있음
위원 19명</t>
    <phoneticPr fontId="23" type="noConversion"/>
  </si>
  <si>
    <t>유자, 석류</t>
    <phoneticPr fontId="23" type="noConversion"/>
  </si>
  <si>
    <t>고흥군/고흥군축제추진위원회
(061-830-5305)</t>
    <phoneticPr fontId="23" type="noConversion"/>
  </si>
  <si>
    <t>○ 대표프로그램 : 유자 석류 전시체험, 판매 등
○ 공연프로그램 : 개막식, 폐막식
○ 각종 부대행사</t>
    <phoneticPr fontId="23" type="noConversion"/>
  </si>
  <si>
    <t>제2회 고흥 유자 석류축제</t>
    <phoneticPr fontId="23" type="noConversion"/>
  </si>
  <si>
    <t>고흥군</t>
    <phoneticPr fontId="23" type="noConversion"/>
  </si>
  <si>
    <t>녹동항 일원</t>
    <phoneticPr fontId="23" type="noConversion"/>
  </si>
  <si>
    <t>민간단체</t>
    <phoneticPr fontId="23" type="noConversion"/>
  </si>
  <si>
    <t>해산물, 불꽃</t>
    <phoneticPr fontId="23" type="noConversion"/>
  </si>
  <si>
    <t>녹동청년회의소/녹동청년회의소
(061-842-2811)</t>
    <phoneticPr fontId="23" type="noConversion"/>
  </si>
  <si>
    <t>○ 핵심프로그램 : 불꽃쇼
○ 문화공연 : SEA FOOD 노래자랑, 풍물놀이 등
○ 부대행사 : 맨손 물고기잡기 체험, 어린이 낚시 체험, 수산물 시식회, 지역민 먹거리 장터 등</t>
    <phoneticPr fontId="23" type="noConversion"/>
  </si>
  <si>
    <t>제20회 고흥 녹동 
바다불꽃축제</t>
    <phoneticPr fontId="23" type="noConversion"/>
  </si>
  <si>
    <t>나로우주센터
일원</t>
    <phoneticPr fontId="23" type="noConversion"/>
  </si>
  <si>
    <t>우주항공
과학체험</t>
    <phoneticPr fontId="23" type="noConversion"/>
  </si>
  <si>
    <t>2004년도
(13회)</t>
    <phoneticPr fontId="23" type="noConversion"/>
  </si>
  <si>
    <t>○ 핵심프로그램 : 나로우주센터 발사현장 견학 등
○ 전시체험행사 : 우주과학체험 
○ 부대행사 : 우주과학 사생대회, 스탬프랠리, 축제 
                   촬영대회 및 관광사진공모전 등</t>
    <phoneticPr fontId="23" type="noConversion"/>
  </si>
  <si>
    <t>제13회 
고흥우주항공축제</t>
    <phoneticPr fontId="23" type="noConversion"/>
  </si>
  <si>
    <t>과역참살이매화축제추진위원회
(061-830-5371)</t>
    <phoneticPr fontId="23" type="noConversion"/>
  </si>
  <si>
    <t>○ 핵심프로그램 : 매화꽃길 걷기
○ 부대행사 : 지역특산품 판매 및 홍보, 향토음식점 운영</t>
    <phoneticPr fontId="23" type="noConversion"/>
  </si>
  <si>
    <t>과역 참살이 매화 축제</t>
    <phoneticPr fontId="23" type="noConversion"/>
  </si>
  <si>
    <t>동강면 복합문화센터일원</t>
    <phoneticPr fontId="23" type="noConversion"/>
  </si>
  <si>
    <t>특산품(굴)</t>
    <phoneticPr fontId="23" type="noConversion"/>
  </si>
  <si>
    <t>고흥군/고흥굴축제추진위원회
(061-830-5414)</t>
    <phoneticPr fontId="23" type="noConversion"/>
  </si>
  <si>
    <t>1.17~1.19.
(3일간)</t>
    <phoneticPr fontId="23" type="noConversion"/>
  </si>
  <si>
    <t>고흥굴댕이축제</t>
    <phoneticPr fontId="23" type="noConversion"/>
  </si>
  <si>
    <t>토지면 피아골
일원</t>
    <phoneticPr fontId="23" type="noConversion"/>
  </si>
  <si>
    <t>비상설화</t>
    <phoneticPr fontId="23" type="noConversion"/>
  </si>
  <si>
    <t>단풍</t>
    <phoneticPr fontId="23" type="noConversion"/>
  </si>
  <si>
    <t>1976년도
(44회)</t>
    <phoneticPr fontId="23" type="noConversion"/>
  </si>
  <si>
    <t>○ 단풍제례
○ 노래자랑, 은어잡기체험 등</t>
    <phoneticPr fontId="23" type="noConversion"/>
  </si>
  <si>
    <t>지리산피아골단풍축제</t>
    <phoneticPr fontId="23" type="noConversion"/>
  </si>
  <si>
    <t>구례서시천
체육공원 일원</t>
    <phoneticPr fontId="23" type="noConversion"/>
  </si>
  <si>
    <t>구례군 문화관광과 / 구례동편소리축제추진위원회
(061-780-2431)</t>
    <phoneticPr fontId="23" type="noConversion"/>
  </si>
  <si>
    <t>○ 개막제
○ 구례동편소리축제 주간운영</t>
    <phoneticPr fontId="23" type="noConversion"/>
  </si>
  <si>
    <t>10월 중
(7일간)</t>
    <phoneticPr fontId="23" type="noConversion"/>
  </si>
  <si>
    <t>구례동편소리축제</t>
    <phoneticPr fontId="23" type="noConversion"/>
  </si>
  <si>
    <t>화엄사 일원</t>
    <phoneticPr fontId="23" type="noConversion"/>
  </si>
  <si>
    <t>영성음악제</t>
    <phoneticPr fontId="23" type="noConversion"/>
  </si>
  <si>
    <t>지역대표공연예술제 지원</t>
    <phoneticPr fontId="23" type="noConversion"/>
  </si>
  <si>
    <t>구례군 문화관광과 / 화엄음악제집행위원회
(061-783-7610)</t>
    <phoneticPr fontId="23" type="noConversion"/>
  </si>
  <si>
    <t>○ 화엄콘서트
○ 여는마당, 화엄사괘불대재 등</t>
    <phoneticPr fontId="23" type="noConversion"/>
  </si>
  <si>
    <t>화엄음악제</t>
    <phoneticPr fontId="23" type="noConversion"/>
  </si>
  <si>
    <t>구례공설운동장 일원</t>
    <phoneticPr fontId="23" type="noConversion"/>
  </si>
  <si>
    <t>구례군 문화관광과 / (사)구례자연드림파크입주기업체협의회
(061-780-2390)</t>
    <phoneticPr fontId="23" type="noConversion"/>
  </si>
  <si>
    <t>○ 락밴드공연
○ 트로트 등 대중가요 공연
○ 노래방서바이벌경연, 버스킹, 물놀이체험행사 등</t>
    <phoneticPr fontId="23" type="noConversion"/>
  </si>
  <si>
    <t>구례썸머뮤직페스티벌</t>
    <phoneticPr fontId="23" type="noConversion"/>
  </si>
  <si>
    <t>마산면 화엄사지구 일원</t>
    <phoneticPr fontId="23" type="noConversion"/>
  </si>
  <si>
    <t>남악제례</t>
    <phoneticPr fontId="23" type="noConversion"/>
  </si>
  <si>
    <t>자연유산 민속행사 지원</t>
    <phoneticPr fontId="23" type="noConversion"/>
  </si>
  <si>
    <t>1945년도
(76회)</t>
    <phoneticPr fontId="23" type="noConversion"/>
  </si>
  <si>
    <t>구례군 문화관광과 / 지리산남악제 및 군민의날 행사 추진위원회
(061-780-2431)</t>
    <phoneticPr fontId="23" type="noConversion"/>
  </si>
  <si>
    <t>○ 남악제례 및 제례행렬
○ 문화예술행사, 군민노래자랑
○ 군민체육대회 등</t>
    <phoneticPr fontId="23" type="noConversion"/>
  </si>
  <si>
    <t>지리산남악제 및
군민의 날 행사</t>
    <phoneticPr fontId="23" type="noConversion"/>
  </si>
  <si>
    <t>문척면 죽마리
섬진강변 일원</t>
    <phoneticPr fontId="23" type="noConversion"/>
  </si>
  <si>
    <t>구례군 문화관광과 /
구례섬진강벚꽃축제추진위원회
(061-780-2227)</t>
    <phoneticPr fontId="23" type="noConversion"/>
  </si>
  <si>
    <t>○ 벚꽃노래자랑, 버스킹공연
○ 벚꽃길 트레킹, 페이스페인팅 등</t>
    <phoneticPr fontId="23" type="noConversion"/>
  </si>
  <si>
    <t>구례섬진강벚꽃축제</t>
    <phoneticPr fontId="23" type="noConversion"/>
  </si>
  <si>
    <t>산동면 지리산
온천관광지 일원</t>
    <phoneticPr fontId="23" type="noConversion"/>
  </si>
  <si>
    <t>구례군 문화관광과 /
구례산수유꽃축제추진위원회
(061-780-2390)</t>
    <phoneticPr fontId="23" type="noConversion"/>
  </si>
  <si>
    <t>○ 풍년기원제, 산수유떡만들기 체험경연행사
○ 산수유꽃을 테마로 한 공연, 전시, 체험프로그램 운영
  - 5부문 48종목
○ 향토음식점, 농특산물판매장터 운영 등</t>
    <phoneticPr fontId="23" type="noConversion"/>
  </si>
  <si>
    <t>3.14~3.22.
(9일간)</t>
    <phoneticPr fontId="23" type="noConversion"/>
  </si>
  <si>
    <t>구례산수유꽃축제</t>
    <phoneticPr fontId="23" type="noConversion"/>
  </si>
  <si>
    <t>석곡대황강
체육공원</t>
    <phoneticPr fontId="23" type="noConversion"/>
  </si>
  <si>
    <t>곡성군
/석곡코스모스음악회추진위원회
(061-360-8348)</t>
    <phoneticPr fontId="23" type="noConversion"/>
  </si>
  <si>
    <t xml:space="preserve">○ 코스모스 음악회 무대 운영
○ 전시, 판매장 운영
○ 주민화합 및 관광객 모집 프로그램 운영 </t>
    <phoneticPr fontId="23" type="noConversion"/>
  </si>
  <si>
    <t>석곡 코스모스 음악회</t>
    <phoneticPr fontId="23" type="noConversion"/>
  </si>
  <si>
    <t>곡성군</t>
    <phoneticPr fontId="23" type="noConversion"/>
  </si>
  <si>
    <t>섬진강기차마을</t>
    <phoneticPr fontId="23" type="noConversion"/>
  </si>
  <si>
    <t>심청</t>
    <phoneticPr fontId="23" type="noConversion"/>
  </si>
  <si>
    <t>곡성군
/곡성심청축제추진위원회
(061-360-8348)</t>
    <phoneticPr fontId="23" type="noConversion"/>
  </si>
  <si>
    <t>○ 오마이갓림픽
○ 전시, 체험, 판매장 운영
○ 무대행사 및 경연 운영</t>
    <phoneticPr fontId="23" type="noConversion"/>
  </si>
  <si>
    <t>곡성심청축제</t>
    <phoneticPr fontId="23" type="noConversion"/>
  </si>
  <si>
    <t>장미</t>
    <phoneticPr fontId="23" type="noConversion"/>
  </si>
  <si>
    <t>곡성군
(061-360-8348)</t>
    <phoneticPr fontId="23" type="noConversion"/>
  </si>
  <si>
    <t>○ 황금장미이벤트
○ 장미를 테마로한 공연, 전시, 체험프로그램 운영
○ 개폐막 공연, 주제공연 및 문화공연
    - 5개 분야 50여개 프로그램</t>
    <phoneticPr fontId="23" type="noConversion"/>
  </si>
  <si>
    <t>5.22~6.7.
(17일간)</t>
    <phoneticPr fontId="23" type="noConversion"/>
  </si>
  <si>
    <t>곡성세계장미축제</t>
    <phoneticPr fontId="23" type="noConversion"/>
  </si>
  <si>
    <t>원도심,
메타프로방스 일원</t>
    <phoneticPr fontId="23" type="noConversion"/>
  </si>
  <si>
    <t>산타</t>
    <phoneticPr fontId="23" type="noConversion"/>
  </si>
  <si>
    <t>담양군
/담양산타축제추진위원회
(061-380-3152)</t>
    <phoneticPr fontId="23" type="noConversion"/>
  </si>
  <si>
    <t>○ 크리스마스거리조성 : 야간경관조명
○ 공연, 체험, 이벤트프로그램 운영
○ 크리스마스마켓 부스 운영 등</t>
    <phoneticPr fontId="23" type="noConversion"/>
  </si>
  <si>
    <t>12월 중
(15일간)</t>
    <phoneticPr fontId="23" type="noConversion"/>
  </si>
  <si>
    <t>담양산타축제</t>
    <phoneticPr fontId="23" type="noConversion"/>
  </si>
  <si>
    <t>담양군</t>
    <phoneticPr fontId="23" type="noConversion"/>
  </si>
  <si>
    <t>슬로시티
방문자센터 일원</t>
    <phoneticPr fontId="23" type="noConversion"/>
  </si>
  <si>
    <t>전통음식</t>
    <phoneticPr fontId="23" type="noConversion"/>
  </si>
  <si>
    <t>2003년도
(11회)</t>
    <phoneticPr fontId="23" type="noConversion"/>
  </si>
  <si>
    <t>담양군
/창평면주민자치회
(061-380-3805)</t>
    <phoneticPr fontId="23" type="noConversion"/>
  </si>
  <si>
    <t>○ 전통음식 전시, 경연대회, 체험, 먹거리장터 운영 등</t>
    <phoneticPr fontId="23" type="noConversion"/>
  </si>
  <si>
    <t>창평전통음식축제</t>
    <phoneticPr fontId="23" type="noConversion"/>
  </si>
  <si>
    <t>죽녹원, 관방제림 일원</t>
    <phoneticPr fontId="23" type="noConversion"/>
  </si>
  <si>
    <t>비정규직 1명</t>
    <phoneticPr fontId="23" type="noConversion"/>
  </si>
  <si>
    <t>대나무</t>
    <phoneticPr fontId="23" type="noConversion"/>
  </si>
  <si>
    <t>담양군
/(사)담양대나무축제위원회
(061-380-3152)</t>
    <phoneticPr fontId="23" type="noConversion"/>
  </si>
  <si>
    <t>○ 추억의 죽물시장 재현, 죽물시장 가는 길 퍼레이드
○ 대나무 관련 전시, 체험, 공연프로그램 운영</t>
    <phoneticPr fontId="23" type="noConversion"/>
  </si>
  <si>
    <t>담양대나무축제</t>
    <phoneticPr fontId="23" type="noConversion"/>
  </si>
  <si>
    <t>추월산 광장 일원</t>
    <phoneticPr fontId="23" type="noConversion"/>
  </si>
  <si>
    <t>2006년도
(9회)</t>
    <phoneticPr fontId="23" type="noConversion"/>
  </si>
  <si>
    <t>담양군
/용면청년회
(062-380-3872)</t>
    <phoneticPr fontId="23" type="noConversion"/>
  </si>
  <si>
    <t>○ 벚꽃노래자랑, 공연, 특산품 전시판매 등</t>
    <phoneticPr fontId="23" type="noConversion"/>
  </si>
  <si>
    <t>추월산벚꽃축제</t>
    <phoneticPr fontId="23" type="noConversion"/>
  </si>
  <si>
    <t>축제취소</t>
    <phoneticPr fontId="23" type="noConversion"/>
  </si>
  <si>
    <t>자제추진</t>
    <phoneticPr fontId="23" type="noConversion"/>
  </si>
  <si>
    <t>숯불구이</t>
    <phoneticPr fontId="23" type="noConversion"/>
  </si>
  <si>
    <t>1999년도
(19회)</t>
    <phoneticPr fontId="23" type="noConversion"/>
  </si>
  <si>
    <t>광양시/광양전통숯불구이축제위원회
(061-797-4903)</t>
    <phoneticPr fontId="23" type="noConversion"/>
  </si>
  <si>
    <t>○ 숯불구이 경연대회, 숯불구이 난장
○ 숯불고기를 테마로 공연, 전시, 체험프로그램 운영</t>
    <phoneticPr fontId="23" type="noConversion"/>
  </si>
  <si>
    <t>광양전통숯불구이축제</t>
    <phoneticPr fontId="23" type="noConversion"/>
  </si>
  <si>
    <t>광양시</t>
    <phoneticPr fontId="23" type="noConversion"/>
  </si>
  <si>
    <t>광양시/광양전어축제위원회
(061-797-3679)</t>
    <phoneticPr fontId="23" type="noConversion"/>
  </si>
  <si>
    <t>○ 전어잡이 소리 시연, 전어가요제
○ 전어,섬진강을 테마로 공연, 전시, 체험프로그램 운영</t>
    <phoneticPr fontId="23" type="noConversion"/>
  </si>
  <si>
    <t xml:space="preserve"> 광양전어축제</t>
    <phoneticPr fontId="23" type="noConversion"/>
  </si>
  <si>
    <t>광양시/백운산국사봉철쭉축제위원회
(061-797-4233)</t>
    <phoneticPr fontId="23" type="noConversion"/>
  </si>
  <si>
    <t>○ 국사봉 산상음악회
○ 철쭉을 테마로 공연, 전시, 체험프로그램 운영</t>
    <phoneticPr fontId="23" type="noConversion"/>
  </si>
  <si>
    <t>백운산국사봉철쭉축제</t>
    <phoneticPr fontId="23" type="noConversion"/>
  </si>
  <si>
    <t>매화, 매실</t>
    <phoneticPr fontId="23" type="noConversion"/>
  </si>
  <si>
    <t>1997년도
(22회)</t>
    <phoneticPr fontId="23" type="noConversion"/>
  </si>
  <si>
    <t>광양시/광양매화축제위원회
(061-797-2721)</t>
    <phoneticPr fontId="23" type="noConversion"/>
  </si>
  <si>
    <t>○ 쉼과 치유 힐링테마 로드화 및 프로그램 운영 
○ 매화, 매실을 테마로 공연, 전시, 체험프로그램 운영</t>
    <phoneticPr fontId="23" type="noConversion"/>
  </si>
  <si>
    <t>3.6~3.15.
(10일간)</t>
    <phoneticPr fontId="23" type="noConversion"/>
  </si>
  <si>
    <t>광양매화축제</t>
    <phoneticPr fontId="23" type="noConversion"/>
  </si>
  <si>
    <t>금성관 및
나주향교 일원</t>
    <phoneticPr fontId="23" type="noConversion"/>
  </si>
  <si>
    <t>자체주진</t>
    <phoneticPr fontId="23" type="noConversion"/>
  </si>
  <si>
    <t>읍성문화</t>
    <phoneticPr fontId="23" type="noConversion"/>
  </si>
  <si>
    <t>천년나주목읍성문화축제추진위원회
(061-339-8722)</t>
    <phoneticPr fontId="23" type="noConversion"/>
  </si>
  <si>
    <t>○ 읍성문화를 테마로 한 공연, 전시 체험프로그램 운영</t>
    <phoneticPr fontId="23" type="noConversion"/>
  </si>
  <si>
    <t>천년나주목읍성문화축제</t>
    <phoneticPr fontId="23" type="noConversion"/>
  </si>
  <si>
    <t>나주시</t>
    <phoneticPr fontId="23" type="noConversion"/>
  </si>
  <si>
    <t>영산강둔치
체육공원 일원</t>
    <phoneticPr fontId="23" type="noConversion"/>
  </si>
  <si>
    <t>영산포홍어축제추진위원회
(061-339-8722)</t>
    <phoneticPr fontId="23" type="noConversion"/>
  </si>
  <si>
    <t>○ 홍어를 테마로 한 공연, 전시 체험프로그램 운영</t>
    <phoneticPr fontId="23" type="noConversion"/>
  </si>
  <si>
    <t>영산포 홍어축제</t>
    <phoneticPr fontId="23" type="noConversion"/>
  </si>
  <si>
    <t>국립나주박물관
일원</t>
    <phoneticPr fontId="23" type="noConversion"/>
  </si>
  <si>
    <t>마한문화</t>
    <phoneticPr fontId="23" type="noConversion"/>
  </si>
  <si>
    <t>나주마한문화축제추진위원회
(061-339-8722)</t>
    <phoneticPr fontId="23" type="noConversion"/>
  </si>
  <si>
    <t>○ 마한문화를 테마로 한 공연, 전시 체험프로그램 운영</t>
    <phoneticPr fontId="23" type="noConversion"/>
  </si>
  <si>
    <t>대한민국 마한문화제</t>
    <phoneticPr fontId="23" type="noConversion"/>
  </si>
  <si>
    <t>순천만국가정원</t>
    <phoneticPr fontId="23" type="noConversion"/>
  </si>
  <si>
    <t>순천시 국가정원운영과
(061-749-2749)</t>
    <phoneticPr fontId="23" type="noConversion"/>
  </si>
  <si>
    <t>○ 미디어아트, 야간경관 연출 등</t>
    <phoneticPr fontId="23" type="noConversion"/>
  </si>
  <si>
    <t>11월~2월 중</t>
    <phoneticPr fontId="23" type="noConversion"/>
  </si>
  <si>
    <t>겨울 별빛축제</t>
    <phoneticPr fontId="23" type="noConversion"/>
  </si>
  <si>
    <t>순천시</t>
    <phoneticPr fontId="23" type="noConversion"/>
  </si>
  <si>
    <t xml:space="preserve">전통 </t>
    <phoneticPr fontId="23" type="noConversion"/>
  </si>
  <si>
    <t>순천시 낙안읍성지원사업소
/ (사)낙안읍성보존회
(061-749-8838)</t>
    <phoneticPr fontId="23" type="noConversion"/>
  </si>
  <si>
    <t>○ 김빈길장군부임행렬 
○ 전통 기반 공연, 재현, 체험 및 부대행사
○ 제7회 순천시 전통 향토음식 축제 연계추진</t>
    <phoneticPr fontId="23" type="noConversion"/>
  </si>
  <si>
    <t>10.23~10.25.
(3일간)</t>
    <phoneticPr fontId="23" type="noConversion"/>
  </si>
  <si>
    <t>제27회
낙안읍성 민속문화축제</t>
    <phoneticPr fontId="23" type="noConversion"/>
  </si>
  <si>
    <t>정원산업박람회</t>
    <phoneticPr fontId="23" type="noConversion"/>
  </si>
  <si>
    <t>정원조성관리</t>
    <phoneticPr fontId="23" type="noConversion"/>
  </si>
  <si>
    <t>산림청</t>
    <phoneticPr fontId="23" type="noConversion"/>
  </si>
  <si>
    <t>2016년도
(2회)</t>
    <phoneticPr fontId="23" type="noConversion"/>
  </si>
  <si>
    <t>순천시 정원산업과
(061-749-2780)</t>
    <phoneticPr fontId="23" type="noConversion"/>
  </si>
  <si>
    <t>○ 정원문화산업의 최신 트렌드 전시 및 판매
○ 개폐막식, 주제정원, 마켓플레이스 
○ 정원교육 및 세미나, 체험활동 등</t>
    <phoneticPr fontId="23" type="noConversion"/>
  </si>
  <si>
    <t>10.16~10.25.
(10일간)</t>
    <phoneticPr fontId="23" type="noConversion"/>
  </si>
  <si>
    <t>2020 대한민국
정원산업박람회</t>
    <phoneticPr fontId="23" type="noConversion"/>
  </si>
  <si>
    <t>도심</t>
    <phoneticPr fontId="23" type="noConversion"/>
  </si>
  <si>
    <t>푸드&amp;아트</t>
    <phoneticPr fontId="23" type="noConversion"/>
  </si>
  <si>
    <t>순천시 관광과
(061-749-5800)</t>
    <phoneticPr fontId="23" type="noConversion"/>
  </si>
  <si>
    <t xml:space="preserve">○ 푸드로드&amp;아트로드
○ 음식과 예술을 테마로 한 체험프로그램 운영
○ 개폐막 공연, 버스킹, 해외아티스트 초청 거리공연 등 
○ 기타 특별행사 및 전시 등등 </t>
    <phoneticPr fontId="23" type="noConversion"/>
  </si>
  <si>
    <t>2020 순천푸드앤아트
페스티벌</t>
    <phoneticPr fontId="23" type="noConversion"/>
  </si>
  <si>
    <t>연기
(2021년)</t>
    <phoneticPr fontId="23" type="noConversion"/>
  </si>
  <si>
    <t>시민로
~
그림책도서관</t>
    <phoneticPr fontId="23" type="noConversion"/>
  </si>
  <si>
    <t>2020년
한시적 사업</t>
    <phoneticPr fontId="23" type="noConversion"/>
  </si>
  <si>
    <t>그림책&amp;웹툰</t>
    <phoneticPr fontId="23" type="noConversion"/>
  </si>
  <si>
    <t>동아시아문화도시</t>
    <phoneticPr fontId="23" type="noConversion"/>
  </si>
  <si>
    <t>순천시 문화예술과
(061-749-3222)</t>
    <phoneticPr fontId="23" type="noConversion"/>
  </si>
  <si>
    <t>○ 3국 그림책, 웹툰, 만화 창작 및 공모
○ 초청작가 특별전, 체험활동, 공연
○ 프리마켓, 토크콘서트, 부대행사 등</t>
    <phoneticPr fontId="23" type="noConversion"/>
  </si>
  <si>
    <t>2020 동아시아문화도시
그림책 및 웹툰 페스티벌</t>
    <phoneticPr fontId="23" type="noConversion"/>
  </si>
  <si>
    <t>순천만습지일원</t>
    <phoneticPr fontId="23" type="noConversion"/>
  </si>
  <si>
    <t>순천시/ 순천만보전과
(061-749-6081)</t>
    <phoneticPr fontId="23" type="noConversion"/>
  </si>
  <si>
    <t>○NO 플라스틱 캠페인  
○생태문화 체험 및 전시 
○생태포럼 
○국내  람사르 습지도시 ∙ 유네스코 생물권보전지역 연대       프로그램 운영</t>
    <phoneticPr fontId="23" type="noConversion"/>
  </si>
  <si>
    <t>2020 제22회 
순천만갈대제</t>
    <phoneticPr fontId="23" type="noConversion"/>
  </si>
  <si>
    <t>월등면</t>
    <phoneticPr fontId="23" type="noConversion"/>
  </si>
  <si>
    <t>순천명품 월등복숭아체험행사
 추진위원회
(061-752-4007)</t>
    <phoneticPr fontId="23" type="noConversion"/>
  </si>
  <si>
    <t>○ 공연행사 : MBC가요쇼, 시민노래자랑, 아고라 공연 등 
○ 체험행사 : 수확체험, 막걸리 및 병조림 만들기 등
○ 전시행사 : 복숭아 품종 및 친환경농자재 전시 등
○ 부대행사 : 복숭아 직판장, 먹걸리 장터 운영 등</t>
    <phoneticPr fontId="23" type="noConversion"/>
  </si>
  <si>
    <t>8.1.~8.2.
(2일간)</t>
    <phoneticPr fontId="23" type="noConversion"/>
  </si>
  <si>
    <t>제17회 순천명품
월등복숭아 체험행사</t>
    <phoneticPr fontId="23" type="noConversion"/>
  </si>
  <si>
    <t>생태문화교육원
순천만국가정원</t>
    <phoneticPr fontId="23" type="noConversion"/>
  </si>
  <si>
    <t>미래문화
콘텐츠</t>
    <phoneticPr fontId="23" type="noConversion"/>
  </si>
  <si>
    <t xml:space="preserve">7.16 ~7.19. </t>
    <phoneticPr fontId="23" type="noConversion"/>
  </si>
  <si>
    <t>한중일 미래문화
컨텐츠 페스티벌</t>
    <phoneticPr fontId="23" type="noConversion"/>
  </si>
  <si>
    <t>보성강 옆 공원</t>
    <phoneticPr fontId="23" type="noConversion"/>
  </si>
  <si>
    <t>다슬기</t>
    <phoneticPr fontId="23" type="noConversion"/>
  </si>
  <si>
    <t>2012년도
(6회)</t>
    <phoneticPr fontId="23" type="noConversion"/>
  </si>
  <si>
    <t>○ 다슬기, 민물고기 잡기 등 체험행사
○ 체험행사(부스운영)
○ 어린이 물놀이장</t>
    <phoneticPr fontId="23" type="noConversion"/>
  </si>
  <si>
    <t>주암호 다슬기 축제</t>
    <phoneticPr fontId="23" type="noConversion"/>
  </si>
  <si>
    <t>봄</t>
    <phoneticPr fontId="23" type="noConversion"/>
  </si>
  <si>
    <t>○어린이 백일장
○순천만 보물찾기
○람사르벚꽃길 연인 사진관</t>
    <phoneticPr fontId="23" type="noConversion"/>
  </si>
  <si>
    <t>4.3.~4.5.
(3일간 예정)</t>
    <phoneticPr fontId="23" type="noConversion"/>
  </si>
  <si>
    <t>순천만 봄 생태문화제</t>
    <phoneticPr fontId="23" type="noConversion"/>
  </si>
  <si>
    <t>서천, 동천 수변</t>
    <phoneticPr fontId="23" type="noConversion"/>
  </si>
  <si>
    <t>–</t>
    <phoneticPr fontId="23" type="noConversion"/>
  </si>
  <si>
    <t>순천시 관광과
(061-749-5792)</t>
    <phoneticPr fontId="23" type="noConversion"/>
  </si>
  <si>
    <t>○ 봄 소풍 주제로 클래식한 부대행사 추진 
○ 축제 구간 내 지역명소, 특색 프로그램 연계
○ 걷기대회 등 생태관광 연계한 축제 운영</t>
    <phoneticPr fontId="23" type="noConversion"/>
  </si>
  <si>
    <t>3.30~4.5.
(7일간)</t>
    <phoneticPr fontId="23" type="noConversion"/>
  </si>
  <si>
    <t>2020 동천앤드
벚꽃축제(가칭)</t>
    <phoneticPr fontId="23" type="noConversion"/>
  </si>
  <si>
    <t>산, 바다, 마을 등</t>
    <phoneticPr fontId="23" type="noConversion"/>
  </si>
  <si>
    <t>일몰 및 일출</t>
    <phoneticPr fontId="23" type="noConversion"/>
  </si>
  <si>
    <t>여수시/여수향일암일출제추진위원회
(061-659-4743)</t>
    <phoneticPr fontId="23" type="noConversion"/>
  </si>
  <si>
    <t>○ 해넘이 감상, 제야의 종 타종, 일출기원 행사, 각종 체험행사 등</t>
    <phoneticPr fontId="23" type="noConversion"/>
  </si>
  <si>
    <t>제25회 여수향일암일출제</t>
    <phoneticPr fontId="23" type="noConversion"/>
  </si>
  <si>
    <t>여수시</t>
    <phoneticPr fontId="23" type="noConversion"/>
  </si>
  <si>
    <t>바다, 박람회장 등</t>
    <phoneticPr fontId="23" type="noConversion"/>
  </si>
  <si>
    <t>2020~2022</t>
    <phoneticPr fontId="23" type="noConversion"/>
  </si>
  <si>
    <t>음식</t>
    <phoneticPr fontId="23" type="noConversion"/>
  </si>
  <si>
    <t>1994년도
(27회)</t>
    <phoneticPr fontId="23" type="noConversion"/>
  </si>
  <si>
    <t>전라남도.여수시
/(재)남도음식문화큰잔치
(061-659-4743)</t>
    <phoneticPr fontId="23" type="noConversion"/>
  </si>
  <si>
    <t>○ 개막식, 명인관 및 시군관 전시, 음식경연대회 등</t>
    <phoneticPr fontId="23" type="noConversion"/>
  </si>
  <si>
    <t>제27회
남도음식문화큰잔치</t>
    <phoneticPr fontId="23" type="noConversion"/>
  </si>
  <si>
    <t>공원, 바다, 시내거리, 유적지 등</t>
    <phoneticPr fontId="23" type="noConversion"/>
  </si>
  <si>
    <t>북</t>
    <phoneticPr fontId="23" type="noConversion"/>
  </si>
  <si>
    <t>여수시 관광과
/ 여수동동북축제추진위원회
(061-659-4742)</t>
    <phoneticPr fontId="23" type="noConversion"/>
  </si>
  <si>
    <t>○ 북 거리 퍼레이드
○ 북을 테마로 한 공연, 전시, 체험프로그램 운영
○ 개막 공연, 메인 아티스트 공연 등</t>
    <phoneticPr fontId="23" type="noConversion"/>
  </si>
  <si>
    <t>2020 여수동동북축제</t>
    <phoneticPr fontId="23" type="noConversion"/>
  </si>
  <si>
    <t>바다, 마을 등</t>
    <phoneticPr fontId="23" type="noConversion"/>
  </si>
  <si>
    <t>여수여자만갯벌노을체험행사
추진위원회
(061-659-4744)</t>
    <phoneticPr fontId="23" type="noConversion"/>
  </si>
  <si>
    <t>○ 개막식, 개매기체험, 바지락캐기체험, 맨손고기잡이체험, 노을가요제 등</t>
    <phoneticPr fontId="23" type="noConversion"/>
  </si>
  <si>
    <t>제13회 여수여자만 갯벌노을 체험행사</t>
    <phoneticPr fontId="23" type="noConversion"/>
  </si>
  <si>
    <t>바다, 유적지 등</t>
    <phoneticPr fontId="23" type="noConversion"/>
  </si>
  <si>
    <r>
      <t>거문도</t>
    </r>
    <r>
      <rPr>
        <sz val="10"/>
        <rFont val="맑은 고딕"/>
        <family val="1"/>
        <charset val="128"/>
        <scheme val="minor"/>
      </rPr>
      <t>･</t>
    </r>
    <r>
      <rPr>
        <sz val="10"/>
        <rFont val="맑은 고딕"/>
        <family val="3"/>
        <charset val="129"/>
        <scheme val="minor"/>
      </rPr>
      <t>백도 은빛바다축제
추진위원회
(061-659-4744)</t>
    </r>
    <phoneticPr fontId="23" type="noConversion"/>
  </si>
  <si>
    <t>○ 거문도뱃노래보존회 공연
○ 길놀이(사물놀이), 은빛가요제, 여수  우도풍물보존회 공연
○ 맨손 활어잡기, 지인망 끌기 체험, , 고둥잡기   거문도 해안절경 투어 등</t>
    <phoneticPr fontId="23" type="noConversion"/>
  </si>
  <si>
    <r>
      <t>제20회 거문도</t>
    </r>
    <r>
      <rPr>
        <sz val="10"/>
        <rFont val="맑은 고딕"/>
        <family val="1"/>
        <charset val="128"/>
        <scheme val="minor"/>
      </rPr>
      <t>･</t>
    </r>
    <r>
      <rPr>
        <sz val="10"/>
        <rFont val="맑은 고딕"/>
        <family val="3"/>
        <charset val="129"/>
        <scheme val="minor"/>
      </rPr>
      <t>백도 은빛바다 체험행사</t>
    </r>
    <phoneticPr fontId="23" type="noConversion"/>
  </si>
  <si>
    <t>공원, 바다, 광장, 시내거리, 유적지 등</t>
    <phoneticPr fontId="23" type="noConversion"/>
  </si>
  <si>
    <t>있음
정규직 2명</t>
    <phoneticPr fontId="23" type="noConversion"/>
  </si>
  <si>
    <t>이순신 장군, 
거북선 등</t>
    <phoneticPr fontId="23" type="noConversion"/>
  </si>
  <si>
    <t>1967년도
(54회)</t>
    <phoneticPr fontId="23" type="noConversion"/>
  </si>
  <si>
    <t>여수시 관광과
/ (사)여수진남거북선축제 보존회
(061-664-5400)</t>
    <phoneticPr fontId="23" type="noConversion"/>
  </si>
  <si>
    <t>○ 통제영길놀이(거리 퍼레이드)
○ 4차산업과 연계한 드론 라이트쇼, 해상수군출정식
○ 개막 공연, 제례행사, 각종 전시 및 체험프로그램</t>
    <phoneticPr fontId="23" type="noConversion"/>
  </si>
  <si>
    <t>제54회 여수거북선축제</t>
    <phoneticPr fontId="23" type="noConversion"/>
  </si>
  <si>
    <t>산, 바다</t>
    <phoneticPr fontId="23" type="noConversion"/>
  </si>
  <si>
    <t>산</t>
    <phoneticPr fontId="23" type="noConversion"/>
  </si>
  <si>
    <t>1993년도
(28회)</t>
    <phoneticPr fontId="23" type="noConversion"/>
  </si>
  <si>
    <t>여수영취산진달래축제보존회
/여수영취산진달래축제추진위원회
(061-659-4743)</t>
    <phoneticPr fontId="23" type="noConversion"/>
  </si>
  <si>
    <t>○ 산신제, 축하쇼, 산상음악회, 시화전
○ 실버가왕 선발대회, 각종 체험행사 등</t>
    <phoneticPr fontId="23" type="noConversion"/>
  </si>
  <si>
    <t>3.27~3.29.
(3일간)</t>
    <phoneticPr fontId="23" type="noConversion"/>
  </si>
  <si>
    <t>제28회
여수영취산진달래
체험행사</t>
    <phoneticPr fontId="23" type="noConversion"/>
  </si>
  <si>
    <t>목포항,삼학도</t>
    <phoneticPr fontId="23" type="noConversion"/>
  </si>
  <si>
    <t>항구,파시</t>
    <phoneticPr fontId="23" type="noConversion"/>
  </si>
  <si>
    <t>목포시/목포시축제추진위원회
(061-270-8441)</t>
    <phoneticPr fontId="23" type="noConversion"/>
  </si>
  <si>
    <t>○ 낭만항구 목포에서! 신명나는 파시 한판!
○ 항구를 테마로 한 체험, 공연, 경연 프로그램등
○ 춤추는 바다분수, 시티투어 체험 등</t>
    <phoneticPr fontId="23" type="noConversion"/>
  </si>
  <si>
    <t>목포항구축제</t>
    <phoneticPr fontId="23" type="noConversion"/>
  </si>
  <si>
    <t>목포시</t>
    <phoneticPr fontId="23" type="noConversion"/>
  </si>
  <si>
    <t>유달산 및 
근대역사거리</t>
    <phoneticPr fontId="23" type="noConversion"/>
  </si>
  <si>
    <t>유달산 및
근대역사문화</t>
    <phoneticPr fontId="23" type="noConversion"/>
  </si>
  <si>
    <t>목포시/목포시축제추진위원회
(061-270-8442)</t>
    <phoneticPr fontId="23" type="noConversion"/>
  </si>
  <si>
    <t>○ 유달산 둘레길 및 근대역사거리 탐방
○ 시민참여 노래자랑 및 봄날 콘서트
○ 레트로(복고)프로그램</t>
    <phoneticPr fontId="23" type="noConversion"/>
  </si>
  <si>
    <t>유달산 봄 축제</t>
    <phoneticPr fontId="23" type="noConversion"/>
  </si>
  <si>
    <t>사적</t>
    <phoneticPr fontId="23" type="noConversion"/>
  </si>
  <si>
    <t xml:space="preserve">있음
정규직 7명
계약직   </t>
    <phoneticPr fontId="23" type="noConversion"/>
  </si>
  <si>
    <t>연천전곡리유적
(사적제268호)</t>
    <phoneticPr fontId="23" type="noConversion"/>
  </si>
  <si>
    <t>연천군/선사관리사업소
(031-839-2562)</t>
    <phoneticPr fontId="23" type="noConversion"/>
  </si>
  <si>
    <t xml:space="preserve">○ 세계구석기체험마당: 스페인, 독일, 대만, 인도,
     네덜란드 등 15개 기관이 참여하는 선사체험엑스포
○ 구석기문화를 테마로한 에튜테인먼트형 가족 축제
○ 특산물 장터, 프린지공연, 주제공연 등 다양한 부대행사
○ 연계관광: 전곡선사박물관, 세계캠핑체험존, 한탄강
    오토캠핑장, 구석기체험숲 </t>
    <phoneticPr fontId="23" type="noConversion"/>
  </si>
  <si>
    <t>5.2~5.5
(4일간)</t>
    <phoneticPr fontId="23" type="noConversion"/>
  </si>
  <si>
    <t>제28회 연천구석기축제</t>
    <phoneticPr fontId="23" type="noConversion"/>
  </si>
  <si>
    <t>연천군</t>
    <phoneticPr fontId="23" type="noConversion"/>
  </si>
  <si>
    <t>과천시민회관 옆 청사 잔디마당, 운동장 등 과천시 일원</t>
    <phoneticPr fontId="23" type="noConversion"/>
  </si>
  <si>
    <t>있음
정규직3명
계약직 1명
총 4명</t>
    <phoneticPr fontId="23" type="noConversion"/>
  </si>
  <si>
    <t>과천시 문화체육과 /
(재)과천축제
(02-3677-2472)
/(02-504-0947)</t>
    <phoneticPr fontId="23" type="noConversion"/>
  </si>
  <si>
    <t xml:space="preserve">○ 도심속의 거리예술공연
○ 개폐막 공연, 국내외 초청(자유)공연
○ 기획프로그램, 시민기획단 운영
○ 문화예술체험, 프리마켓, 새술막(먹거리) 등 </t>
    <phoneticPr fontId="23" type="noConversion"/>
  </si>
  <si>
    <t>9.24~9.27
(4일간)</t>
    <phoneticPr fontId="23" type="noConversion"/>
  </si>
  <si>
    <t>제24회 과천축제</t>
    <phoneticPr fontId="23" type="noConversion"/>
  </si>
  <si>
    <t>과천시</t>
    <phoneticPr fontId="23" type="noConversion"/>
  </si>
  <si>
    <t>소요산 야외무대</t>
    <phoneticPr fontId="23" type="noConversion"/>
  </si>
  <si>
    <t>락(Rock) 음악</t>
    <phoneticPr fontId="23" type="noConversion"/>
  </si>
  <si>
    <t>동두천락페스티벌조직위원회
031-863-0351</t>
    <phoneticPr fontId="23" type="noConversion"/>
  </si>
  <si>
    <t>○ 락 밴드 경연대회 및 락 페스티벌</t>
    <phoneticPr fontId="23" type="noConversion"/>
  </si>
  <si>
    <t>8.7.~9.4.
(29일간)</t>
    <phoneticPr fontId="23" type="noConversion"/>
  </si>
  <si>
    <t>동두천락페스티벌</t>
    <phoneticPr fontId="23" type="noConversion"/>
  </si>
  <si>
    <t>동두천시</t>
    <phoneticPr fontId="23" type="noConversion"/>
  </si>
  <si>
    <t>산북면체육공원</t>
    <phoneticPr fontId="23" type="noConversion"/>
  </si>
  <si>
    <t>축제 미개최</t>
    <phoneticPr fontId="23" type="noConversion"/>
  </si>
  <si>
    <t>부분위탁
(등산대회, 문화행사 등)</t>
    <phoneticPr fontId="23" type="noConversion"/>
  </si>
  <si>
    <t>품실축제위원회</t>
    <phoneticPr fontId="23" type="noConversion"/>
  </si>
  <si>
    <t>양자산 등반</t>
    <phoneticPr fontId="23" type="noConversion"/>
  </si>
  <si>
    <t>여주품실축제위원회
(031-887-3915)</t>
    <phoneticPr fontId="23" type="noConversion"/>
  </si>
  <si>
    <t>○ 양자산 등산대회 
○ 먹거리장터 및 농산물 판매장운영</t>
    <phoneticPr fontId="23" type="noConversion"/>
  </si>
  <si>
    <t>여주품실축제</t>
    <phoneticPr fontId="23" type="noConversion"/>
  </si>
  <si>
    <t>여주시</t>
    <phoneticPr fontId="23" type="noConversion"/>
  </si>
  <si>
    <t>남한강 하천
(복하천)</t>
    <phoneticPr fontId="23" type="noConversion"/>
  </si>
  <si>
    <t>여주흥천 남한강 벚꽃축제위원회
(031-887-3875 )</t>
    <phoneticPr fontId="23" type="noConversion"/>
  </si>
  <si>
    <t>○ 개막식 
○ 야간 별빛 벚꽃길 운영
○ 농특산물 판매 및 먹거리 장터 운영</t>
    <phoneticPr fontId="23" type="noConversion"/>
  </si>
  <si>
    <t>4.10.~4.12.
(3일간)</t>
    <phoneticPr fontId="23" type="noConversion"/>
  </si>
  <si>
    <t>여주흥천남한강벚꽃축제</t>
    <phoneticPr fontId="23" type="noConversion"/>
  </si>
  <si>
    <t>금사근린공원 일원</t>
    <phoneticPr fontId="23" type="noConversion"/>
  </si>
  <si>
    <t>부분위탁
(무대행사 진행 등)</t>
    <phoneticPr fontId="23" type="noConversion"/>
  </si>
  <si>
    <t>없음
추진위원 50여명</t>
    <phoneticPr fontId="23" type="noConversion"/>
  </si>
  <si>
    <t>사단법인
(금사참외축제위원회)</t>
    <phoneticPr fontId="23" type="noConversion"/>
  </si>
  <si>
    <t>참외</t>
    <phoneticPr fontId="23" type="noConversion"/>
  </si>
  <si>
    <t>5.29~5.31
(3일간)</t>
    <phoneticPr fontId="23" type="noConversion"/>
  </si>
  <si>
    <t>금사참외축제</t>
    <phoneticPr fontId="23" type="noConversion"/>
  </si>
  <si>
    <t>○ 전시, 체험프로그램 운영
○ 개폐막 공연, 주제공연 및 문화공연</t>
    <phoneticPr fontId="23" type="noConversion"/>
  </si>
  <si>
    <t>여주선비장터 축제</t>
    <phoneticPr fontId="23" type="noConversion"/>
  </si>
  <si>
    <t>여주 신륵사관광지 일원</t>
    <phoneticPr fontId="23" type="noConversion"/>
  </si>
  <si>
    <t xml:space="preserve">있음
정규직 24명 </t>
    <phoneticPr fontId="23" type="noConversion"/>
  </si>
  <si>
    <t>오곡, 고구마, 나루터 등</t>
    <phoneticPr fontId="23" type="noConversion"/>
  </si>
  <si>
    <t>여주시 문화예술과 
/ 여주세종문화재단
(031-881-9692)</t>
    <phoneticPr fontId="23" type="noConversion"/>
  </si>
  <si>
    <t>○ 군고구마기네스, 가마솥 여주쌀·오곡비빔밥 먹기 등
○ 오곡과 나루를 테마로 한 다양한 프로그램 운영
○ 여는마당, 주제공연, 방문객 참여·체험프로그램
    - 5개 분야 30가지 프로그램
○ 3무(無)를 지향하는 축제
    - 의전, 무대, 가수를 지양하고 다양한 특화 
        프로그램으로 가득찬 축제</t>
    <phoneticPr fontId="23" type="noConversion"/>
  </si>
  <si>
    <t>10.15~10.18
(4일간)</t>
    <phoneticPr fontId="23" type="noConversion"/>
  </si>
  <si>
    <t>여주오곡나루축제</t>
    <phoneticPr fontId="23" type="noConversion"/>
  </si>
  <si>
    <t>있음
정규직 24명</t>
    <phoneticPr fontId="23" type="noConversion"/>
  </si>
  <si>
    <t>1990년도
(32회)</t>
    <phoneticPr fontId="23" type="noConversion"/>
  </si>
  <si>
    <t>○ 도자기 전시, 판매, 홍보
○ 도자기를 테마로 한 공연, 체험프로그램 운영
○ 개막공연, 도자기 주제공연
    - 4개 분야 20가지 프로그램
○ 기타 여주 농산물 및 여주도예명장전 등 진행</t>
    <phoneticPr fontId="23" type="noConversion"/>
  </si>
  <si>
    <t>4.30~5.10
(11일간)</t>
    <phoneticPr fontId="23" type="noConversion"/>
  </si>
  <si>
    <t>여주도자기축제</t>
    <phoneticPr fontId="23" type="noConversion"/>
  </si>
  <si>
    <t>양동면/양동부추축제위원회
(031-770-2096)</t>
    <phoneticPr fontId="23" type="noConversion"/>
  </si>
  <si>
    <t>○ 물놀이 체험 10개
○ 문화공연 10여개</t>
    <phoneticPr fontId="23" type="noConversion"/>
  </si>
  <si>
    <t>양평군/
양평군축제추진위원회
(031-770-2096)</t>
    <phoneticPr fontId="23" type="noConversion"/>
  </si>
  <si>
    <t>○ 산나물 및 농특산물 판매
○ 산나물 및 한우 홍보관 운영
○ 주민화합 거리퍼레이드
○문화공연 및 이벤트 20여개</t>
    <phoneticPr fontId="23" type="noConversion"/>
  </si>
  <si>
    <t>4.24~4.26
(3일간)</t>
    <phoneticPr fontId="23" type="noConversion"/>
  </si>
  <si>
    <t>○ 고로쇠 판매 및 농특산물 판매
○ 고로쇠 김밥 나눔행사
○ 문화공연 및 이벤트 10여개</t>
    <phoneticPr fontId="23" type="noConversion"/>
  </si>
  <si>
    <t>백운호수주차장</t>
    <phoneticPr fontId="23" type="noConversion"/>
  </si>
  <si>
    <t>시민공연</t>
    <phoneticPr fontId="23" type="noConversion"/>
  </si>
  <si>
    <t>의왕시 문화체육과
/의왕시 축제추진위원회
(031-345-2532)</t>
    <phoneticPr fontId="23" type="noConversion"/>
  </si>
  <si>
    <t xml:space="preserve">○ 공연프로그램(클래식, 국악,발레, 합창 등)
○ 경연대회(예술경연, 글짓기, 그림, 만화그리기)
○ 시민참여 공연 
○ 체험 및 부대행사 </t>
    <phoneticPr fontId="23" type="noConversion"/>
  </si>
  <si>
    <t>의왕백운호수축제</t>
    <phoneticPr fontId="23" type="noConversion"/>
  </si>
  <si>
    <t>의왕시</t>
    <phoneticPr fontId="23" type="noConversion"/>
  </si>
  <si>
    <t>레솔레파크
철도박물관
조류생태박물관
의왕역</t>
    <phoneticPr fontId="23" type="noConversion"/>
  </si>
  <si>
    <t>철도</t>
    <phoneticPr fontId="23" type="noConversion"/>
  </si>
  <si>
    <t>○ 한국의 철도 특별전
○ 철도를 테마로한 전시프로그램, 체험프로그램 운영   
○ 폐막공연, 주제공연 및 문화공연
○ 유.무료 체험 프로그램 운영</t>
    <phoneticPr fontId="23" type="noConversion"/>
  </si>
  <si>
    <t>5.3~5.5
(3일간)</t>
    <phoneticPr fontId="23" type="noConversion"/>
  </si>
  <si>
    <t>의왕철도축제</t>
    <phoneticPr fontId="23" type="noConversion"/>
  </si>
  <si>
    <t>백운계곡</t>
    <phoneticPr fontId="23" type="noConversion"/>
  </si>
  <si>
    <t>겨울놀이</t>
    <phoneticPr fontId="23" type="noConversion"/>
  </si>
  <si>
    <t>포천시 관광산업과
/백운계곡동장군축제조직위원회
(031-538-2068)</t>
    <phoneticPr fontId="23" type="noConversion"/>
  </si>
  <si>
    <t>○ 얼음성 놀이동산, 얼음송어낚시, 얼음썰매
○ 계곡 눈썰매, 빙어뜰채낚시, 군문화체험 등</t>
    <phoneticPr fontId="23" type="noConversion"/>
  </si>
  <si>
    <t>12.25-1.31
(38일간)</t>
    <phoneticPr fontId="23" type="noConversion"/>
  </si>
  <si>
    <t>포천백운계곡동장군축제</t>
    <phoneticPr fontId="23" type="noConversion"/>
  </si>
  <si>
    <t xml:space="preserve">포천시 </t>
    <phoneticPr fontId="23" type="noConversion"/>
  </si>
  <si>
    <t>산정호수</t>
    <phoneticPr fontId="23" type="noConversion"/>
  </si>
  <si>
    <t>포천시 관광산업과
/산정호수명성산억새꽃축제위원회
(031-538-2068)</t>
    <phoneticPr fontId="23" type="noConversion"/>
  </si>
  <si>
    <t>○ 대표행사(1년후에 받는 편지, 억새게 기분좋은날, 
    억새꽃인생사진관)
○ 공식행사(개막행사, 폐막행사)
○ 공연행사(폭포소리노리, 산상 버스킹, 도립극단 초청공연)
○ 기획행사(문화해설사와 함꼐하는 둘레길 걷기, 
   포천 관광사진전, 억새꽃축제 시티투어)
○ 억새체험(억새캔들, 캘리그라피, 억새꽃다발)군문화 체험</t>
    <phoneticPr fontId="23" type="noConversion"/>
  </si>
  <si>
    <t>10.9~10.25
(17일간)</t>
    <phoneticPr fontId="23" type="noConversion"/>
  </si>
  <si>
    <t>산정호수명성산억새꽃축제</t>
    <phoneticPr fontId="23" type="noConversion"/>
  </si>
  <si>
    <t>개성인삼농협 광장</t>
    <phoneticPr fontId="23" type="noConversion"/>
  </si>
  <si>
    <t>2018년도</t>
    <phoneticPr fontId="23" type="noConversion"/>
  </si>
  <si>
    <t>○ 포천개성인삼 판매 및 공연
○ 포천 문화체험 등</t>
    <phoneticPr fontId="23" type="noConversion"/>
  </si>
  <si>
    <t>포천 개성인삼축제</t>
    <phoneticPr fontId="23" type="noConversion"/>
  </si>
  <si>
    <t>포천종합운동장</t>
    <phoneticPr fontId="23" type="noConversion"/>
  </si>
  <si>
    <t>포천특산품</t>
    <phoneticPr fontId="23" type="noConversion"/>
  </si>
  <si>
    <t>면소재지</t>
    <phoneticPr fontId="23" type="noConversion"/>
  </si>
  <si>
    <t>안성시 죽산면 주민센터
(031-678-3912)</t>
    <phoneticPr fontId="23" type="noConversion"/>
  </si>
  <si>
    <t>○ 포도품평회
○ 체험행사(포도 및 포도주 시음, 전통민속놀이 등)
○ 이벤트행사(포도먹기게임, 초청공연, 노래자랑 등)
○ 기타 특별행사(남사당 공연 등)</t>
    <phoneticPr fontId="23" type="noConversion"/>
  </si>
  <si>
    <t>남사당놀이</t>
    <phoneticPr fontId="23" type="noConversion"/>
  </si>
  <si>
    <t>9월말~10월초
(5일간)</t>
    <phoneticPr fontId="23" type="noConversion"/>
  </si>
  <si>
    <t>○ 코스모스 꽃밭 조성(59,000㎡)
○ 한강 및 도심 분산개최(5개소)
○ 시화전, 깃발전, 홍보 및 체험부스, 공연 등 운영
○ 먹거리장터, 식품안전센터 등 운영</t>
    <phoneticPr fontId="23" type="noConversion"/>
  </si>
  <si>
    <t>제20회 구리 코스모스 축제</t>
    <phoneticPr fontId="23" type="noConversion"/>
  </si>
  <si>
    <t>○서희외교담판 재현행사 
○서희선생의외교업적을 테마로한 공연,전시,체험프로
    그램운영   
○고려시대놀이마당,토론배틀,나도외교관스피치경연대회 
    -  5개마당 20여개 프로그램
○서희선생의 업적과 정신을  기리는 작품 전시</t>
    <phoneticPr fontId="23" type="noConversion"/>
  </si>
  <si>
    <t>이천시(백사면)
/이천백사산수꽃축제추진위원회
(031-644-8512)</t>
    <phoneticPr fontId="23" type="noConversion"/>
  </si>
  <si>
    <t>○ 풍년기원제,육현추모제
○ 자연관찰장 운영
○ 산수유꽃과 열매 사진 및 사생대회
○ 산수유 체험행사</t>
    <phoneticPr fontId="23" type="noConversion"/>
  </si>
  <si>
    <t>10월 말
(5일간)</t>
    <phoneticPr fontId="23" type="noConversion"/>
  </si>
  <si>
    <t>양주시</t>
    <phoneticPr fontId="23" type="noConversion"/>
  </si>
  <si>
    <t>제10회 오산 
독산성 문화제</t>
    <phoneticPr fontId="23" type="noConversion"/>
  </si>
  <si>
    <t>경기도 군포시 고산로 599
/ 군포문화재단
(031-390-3563)</t>
    <phoneticPr fontId="23" type="noConversion"/>
  </si>
  <si>
    <t xml:space="preserve">                 2019년도 돼지열병으로 미개최</t>
    <phoneticPr fontId="23" type="noConversion"/>
  </si>
  <si>
    <t xml:space="preserve">·광명농악보존회                     </t>
    <phoneticPr fontId="23" type="noConversion"/>
  </si>
  <si>
    <t>○ 지역특산물판매,홍보,체험,전시 
○ 토마토 체험행사 (토마토풀장,주제관운영,황금토마토를찾아라,1000인의스파게티,수확체험,놀이존운영등)
○ 토마토 전시행사 (토마토 품종별 전시관, 토마토터널등)
○ 농산물판매장(토마토,감자,딸기등)
다양한 공연 및 부대행사</t>
    <phoneticPr fontId="48" type="noConversion"/>
  </si>
  <si>
    <t>남한산성도립공원</t>
    <phoneticPr fontId="23" type="noConversion"/>
  </si>
  <si>
    <t>9.11.~9.13
(3일간)</t>
    <phoneticPr fontId="23" type="noConversion"/>
  </si>
  <si>
    <t>양촌읍주민자치회
(031-983-2057)</t>
    <phoneticPr fontId="23" type="noConversion"/>
  </si>
  <si>
    <t>○ 양촌오라니 장터 재현 
○ 먹거리 부스 운영
○ 3.1.만세 재현 퍼레이드</t>
    <phoneticPr fontId="23" type="noConversion"/>
  </si>
  <si>
    <t>9월 중
(2일)</t>
    <phoneticPr fontId="23" type="noConversion"/>
  </si>
  <si>
    <t>김포시
(양촌읍)</t>
    <phoneticPr fontId="23" type="noConversion"/>
  </si>
  <si>
    <t>○ 아름다운 조명을 활용한 빛 축제
○ 음악행사 및 버스킹 공연
○ 푸드트럭, 먹거리 부스 등 운영</t>
    <phoneticPr fontId="23" type="noConversion"/>
  </si>
  <si>
    <t>김포 아라마리나</t>
    <phoneticPr fontId="23" type="noConversion"/>
  </si>
  <si>
    <t>김포시 문화관광과
/워터웨이플러스
(031-980-2488)</t>
    <phoneticPr fontId="23" type="noConversion"/>
  </si>
  <si>
    <t>○ "물"을 테마로 한 공연, 체험프로그램 운영 
○ 컬러 풀(color pool), 워터슬라이드 등 물놀이 축제
○ 개막식, 음악, 마술 등 공연
○ 푸드트럭, 노상카페, 먹거리 부스 등 운영</t>
    <phoneticPr fontId="23" type="noConversion"/>
  </si>
  <si>
    <t>아라마린페스티벌</t>
    <phoneticPr fontId="23" type="noConversion"/>
  </si>
  <si>
    <t>경기도청
북부청사앞
무대 및 시일원</t>
    <phoneticPr fontId="23" type="noConversion"/>
  </si>
  <si>
    <t>지역</t>
    <phoneticPr fontId="23" type="noConversion"/>
  </si>
  <si>
    <t>의정부시
(031-828-2382)
/ 의정부문화원(사무국)
(031-850-5750)</t>
    <phoneticPr fontId="23" type="noConversion"/>
  </si>
  <si>
    <t>제34회 회룡문화제</t>
    <phoneticPr fontId="23" type="noConversion"/>
  </si>
  <si>
    <t>의정부시</t>
    <phoneticPr fontId="23" type="noConversion"/>
  </si>
  <si>
    <t>개최완료
(8.7~8.16)</t>
    <phoneticPr fontId="23" type="noConversion"/>
  </si>
  <si>
    <t>예술의전당 및
시일원</t>
    <phoneticPr fontId="23" type="noConversion"/>
  </si>
  <si>
    <t>○ 세계 유수의 음악극단체 초청
○ 국내초청작
○ 시민과 함꼐하는 개폐막공연
○ 기타 기획프로그램 및 전시 등등</t>
    <phoneticPr fontId="23" type="noConversion"/>
  </si>
  <si>
    <t>제19회의정부음악극축제</t>
    <phoneticPr fontId="23" type="noConversion"/>
  </si>
  <si>
    <t>파주장단콩</t>
    <phoneticPr fontId="23" type="noConversion"/>
  </si>
  <si>
    <t xml:space="preserve">○콩을 테마로한 공연, 전시, 체험프로그램 운영
○ 개폐막 공연, 주제공연 및 문화공연
○ 기타 특별행사 및 전시 등등 </t>
    <phoneticPr fontId="23" type="noConversion"/>
  </si>
  <si>
    <t>11.27-11.29
(3일간)</t>
    <phoneticPr fontId="23" type="noConversion"/>
  </si>
  <si>
    <t>파주시 농업진흥과
/ 파주개성인삼축제추진위원회
(031-940-5282)</t>
    <phoneticPr fontId="23" type="noConversion"/>
  </si>
  <si>
    <t>10.17-10.18
(2일간)</t>
    <phoneticPr fontId="23" type="noConversion"/>
  </si>
  <si>
    <t>파주개성인삼축제</t>
    <phoneticPr fontId="23" type="noConversion"/>
  </si>
  <si>
    <t>파주이이유적</t>
    <phoneticPr fontId="23" type="noConversion"/>
  </si>
  <si>
    <t>1987년도
(31회)</t>
    <phoneticPr fontId="23" type="noConversion"/>
  </si>
  <si>
    <t>○시민대잔치(유가행렬, 시민길놀이), 추향제 ,문예행사
○서원음학회, 다채로운 공연 및 체험행사 등</t>
    <phoneticPr fontId="23" type="noConversion"/>
  </si>
  <si>
    <t>제32회 율곡문화제</t>
    <phoneticPr fontId="23" type="noConversion"/>
  </si>
  <si>
    <t>정규직7명</t>
    <phoneticPr fontId="23" type="noConversion"/>
  </si>
  <si>
    <t>(사)DMZ국제다큐영화제
(1899-8318)</t>
    <phoneticPr fontId="23" type="noConversion"/>
  </si>
  <si>
    <t>DMZ다큐영화제</t>
    <phoneticPr fontId="23" type="noConversion"/>
  </si>
  <si>
    <t>헤이리 예술마을광장, 축제장</t>
    <phoneticPr fontId="23" type="noConversion"/>
  </si>
  <si>
    <t>○ 헤이리심포니오케스트라 연주회
○ 헤이리 이웃작가전 등</t>
    <phoneticPr fontId="23" type="noConversion"/>
  </si>
  <si>
    <t>문화체육관광부.파주시
/출판도시문화재단
(031-955-0062)</t>
    <phoneticPr fontId="23" type="noConversion"/>
  </si>
  <si>
    <t>예술</t>
    <phoneticPr fontId="23" type="noConversion"/>
  </si>
  <si>
    <t>물왕예술제</t>
    <phoneticPr fontId="23" type="noConversion"/>
  </si>
  <si>
    <t>갯골, 소금, 갈대, 바람, 꽃 등</t>
    <phoneticPr fontId="23" type="noConversion"/>
  </si>
  <si>
    <t>2006년도
(제15회)</t>
    <phoneticPr fontId="23" type="noConversion"/>
  </si>
  <si>
    <t>2006년
(13회)</t>
    <phoneticPr fontId="23" type="noConversion"/>
  </si>
  <si>
    <t>경기도 평택시 문예관광과
/평택농악보존회
(031-8024-3211)</t>
    <phoneticPr fontId="23" type="noConversion"/>
  </si>
  <si>
    <t>송탄관광특구 
축제</t>
    <phoneticPr fontId="23" type="noConversion"/>
  </si>
  <si>
    <t>○ 체험부스,축하공연</t>
    <phoneticPr fontId="23" type="noConversion"/>
  </si>
  <si>
    <t>주한미군부대</t>
    <phoneticPr fontId="23" type="noConversion"/>
  </si>
  <si>
    <t>○체험부스 운영 
○지역 시민 참여공연
○축하공연</t>
    <phoneticPr fontId="23" type="noConversion"/>
  </si>
  <si>
    <t>안양시, 축제추진위원회 /
 안양문화예술재단
(031-687-0513)</t>
    <phoneticPr fontId="23" type="noConversion"/>
  </si>
  <si>
    <t xml:space="preserve">○ 광릉숲 일원에서 펼쳐지는 숲문화축제 
○ 광릉숲길 걷기  프로그램 
○ 숲을 주제로 한 다양한 체험, 전시 등 운영 </t>
    <phoneticPr fontId="23" type="noConversion"/>
  </si>
  <si>
    <t xml:space="preserve">남양주시
 광릉숲 축제 </t>
    <phoneticPr fontId="23" type="noConversion"/>
  </si>
  <si>
    <t>수원시 장안구
(031-228-5223)</t>
    <phoneticPr fontId="23" type="noConversion"/>
  </si>
  <si>
    <t>수원시 
장안구</t>
    <phoneticPr fontId="23" type="noConversion"/>
  </si>
  <si>
    <t>자체(용역)</t>
    <phoneticPr fontId="23" type="noConversion"/>
  </si>
  <si>
    <t>강원도</t>
    <phoneticPr fontId="23" type="noConversion"/>
  </si>
  <si>
    <t>울산광역시</t>
    <phoneticPr fontId="23" type="noConversion"/>
  </si>
  <si>
    <t>대전광역시</t>
    <phoneticPr fontId="23" type="noConversion"/>
  </si>
  <si>
    <t>광주광역시</t>
    <phoneticPr fontId="23" type="noConversion"/>
  </si>
  <si>
    <t>인천광역시</t>
    <phoneticPr fontId="23" type="noConversion"/>
  </si>
  <si>
    <t>부산광역시</t>
    <phoneticPr fontId="23" type="noConversion"/>
  </si>
  <si>
    <t>양양종합운동장</t>
    <phoneticPr fontId="23" type="noConversion"/>
  </si>
  <si>
    <t>민속</t>
    <phoneticPr fontId="23" type="noConversion"/>
  </si>
  <si>
    <t>양양군 문화관광체육과/양양문화원
(033-670-2795)</t>
    <phoneticPr fontId="23" type="noConversion"/>
  </si>
  <si>
    <t>○ 장군성황제
○ 시가행진
○ 고치물제
○ 전통예술공연, 체육대회
○ 군민노래자랑, 경축행사</t>
    <phoneticPr fontId="23" type="noConversion"/>
  </si>
  <si>
    <t>7.2~7.4
(3일간)</t>
    <phoneticPr fontId="23" type="noConversion"/>
  </si>
  <si>
    <t>양양문화제</t>
    <phoneticPr fontId="23" type="noConversion"/>
  </si>
  <si>
    <t>양양군</t>
    <phoneticPr fontId="23" type="noConversion"/>
  </si>
  <si>
    <t>"</t>
    <phoneticPr fontId="23" type="noConversion"/>
  </si>
  <si>
    <t>공공(양양군)</t>
    <phoneticPr fontId="23" type="noConversion"/>
  </si>
  <si>
    <t>연어, 생태체험</t>
    <phoneticPr fontId="23" type="noConversion"/>
  </si>
  <si>
    <t xml:space="preserve"> ○ 연어맨손잡기체험
 ○ 어미연어맞이하기행사
 ○ 연어소원등달기행사
 ○ 연어열차생태체험, 연어탁본뜨기 등 상설행사</t>
    <phoneticPr fontId="23" type="noConversion"/>
  </si>
  <si>
    <t>10.22~10.25
(4일간)</t>
    <phoneticPr fontId="23" type="noConversion"/>
  </si>
  <si>
    <t>양양연어축제</t>
    <phoneticPr fontId="23" type="noConversion"/>
  </si>
  <si>
    <t>하천
(양양 남대천 둔치)</t>
    <phoneticPr fontId="23" type="noConversion"/>
  </si>
  <si>
    <t>송이버섯</t>
    <phoneticPr fontId="23" type="noConversion"/>
  </si>
  <si>
    <t>양양군/양양군축제위원회
(033-670-2207)</t>
    <phoneticPr fontId="23" type="noConversion"/>
  </si>
  <si>
    <t xml:space="preserve"> ○ 송이보물찾기 체험
 ○ 표고버섯따기 체험
 ○ 문화예술행사 및 특산물 전시 판매 등</t>
    <phoneticPr fontId="23" type="noConversion"/>
  </si>
  <si>
    <t>10.08~10.11
(4일간)</t>
    <phoneticPr fontId="23" type="noConversion"/>
  </si>
  <si>
    <t>양양송이축제</t>
    <phoneticPr fontId="23" type="noConversion"/>
  </si>
  <si>
    <t>죽왕면
오호항 일원</t>
    <phoneticPr fontId="23" type="noConversion"/>
  </si>
  <si>
    <t>방어</t>
    <phoneticPr fontId="23" type="noConversion"/>
  </si>
  <si>
    <t>○ 방어축제 운영
    - 각종 공연 및 경연, 체험프로그램 등 
        40개 프로그램 구성</t>
    <phoneticPr fontId="23" type="noConversion"/>
  </si>
  <si>
    <t>11월경
(미정)</t>
    <phoneticPr fontId="23" type="noConversion"/>
  </si>
  <si>
    <t>제1회 DMZ 평화의 바다
동해 최북단 고성방어축제</t>
    <phoneticPr fontId="23" type="noConversion"/>
  </si>
  <si>
    <t>9월 중
(미정)</t>
    <phoneticPr fontId="23" type="noConversion"/>
  </si>
  <si>
    <t xml:space="preserve"> ○ 문어·회초밥 만들기 체험, 자연산 회덮밥 만
     들기 체험 등 문어를 테마로한 체험프로그램 운영
 ○ 식전공연(지역문화예술단체) 등
     7개 분야 38개 프로그램
 ○ 저도어장 입어 및 조업동영상(사진전) 등 전시행사
 ○ 5개 읍·면 농·특산물 장터 등 항구장터 운영</t>
    <phoneticPr fontId="23" type="noConversion"/>
  </si>
  <si>
    <t>5.1~5.3
(3일간)</t>
    <phoneticPr fontId="23" type="noConversion"/>
  </si>
  <si>
    <t>동해안 최북단 저도어장 대문어축제</t>
    <phoneticPr fontId="23" type="noConversion"/>
  </si>
  <si>
    <t>인제용대3거리</t>
    <phoneticPr fontId="23" type="noConversion"/>
  </si>
  <si>
    <t>황태</t>
    <phoneticPr fontId="23" type="noConversion"/>
  </si>
  <si>
    <t>용대3리/용대황태축제추진위원회
(033-462-4805)</t>
    <phoneticPr fontId="23" type="noConversion"/>
  </si>
  <si>
    <t>○ 공식행사(산신제, 개,폐회식)
○ 공연행사, 황태요리체험, 황태문화체험, 황태장터
○ 황태홍보관, 황태덕장 포토존등 8개분야 34개프로그램</t>
    <phoneticPr fontId="23" type="noConversion"/>
  </si>
  <si>
    <r>
      <t>4.30</t>
    </r>
    <r>
      <rPr>
        <sz val="11"/>
        <rFont val="HyhwpEQ"/>
        <family val="1"/>
        <charset val="129"/>
      </rPr>
      <t>~</t>
    </r>
    <r>
      <rPr>
        <sz val="9.9"/>
        <rFont val="HY중고딕"/>
        <family val="1"/>
        <charset val="129"/>
      </rPr>
      <t>5.3
(4일간)</t>
    </r>
    <phoneticPr fontId="23" type="noConversion"/>
  </si>
  <si>
    <t>제22회 용대황태축제</t>
    <phoneticPr fontId="23" type="noConversion"/>
  </si>
  <si>
    <t>인제군</t>
    <phoneticPr fontId="23" type="noConversion"/>
  </si>
  <si>
    <t>인제용대관광지</t>
    <phoneticPr fontId="23" type="noConversion"/>
  </si>
  <si>
    <t>있음
정규직 4명
총 4명</t>
    <phoneticPr fontId="23" type="noConversion"/>
  </si>
  <si>
    <t>가을꽃</t>
    <phoneticPr fontId="23" type="noConversion"/>
  </si>
  <si>
    <t>인제군문화재단
(033-460-8900)</t>
    <phoneticPr fontId="23" type="noConversion"/>
  </si>
  <si>
    <t xml:space="preserve"> ○ 개막식 및 무대공연
 ○ 꽃밭조성(국화, 가을꽃, 조형물등)
 ○ 소나무숲 조성(소풍존, 블록존, 야생존등)
    - 8개분야 22개프로그램
 ○ 주변 연계프로그램(박물관연계등) </t>
    <phoneticPr fontId="23" type="noConversion"/>
  </si>
  <si>
    <r>
      <t>10.2</t>
    </r>
    <r>
      <rPr>
        <sz val="11"/>
        <rFont val="맑은 고딕"/>
        <family val="3"/>
        <charset val="129"/>
        <scheme val="minor"/>
      </rPr>
      <t>~10.18
(17일간)</t>
    </r>
    <phoneticPr fontId="23" type="noConversion"/>
  </si>
  <si>
    <t>제2회 인제가을꽃축제</t>
    <phoneticPr fontId="23" type="noConversion"/>
  </si>
  <si>
    <t>인제빙어호</t>
    <phoneticPr fontId="23" type="noConversion"/>
  </si>
  <si>
    <t xml:space="preserve">있음
정규직 4명
총 4명  </t>
    <phoneticPr fontId="23" type="noConversion"/>
  </si>
  <si>
    <t>빙어</t>
    <phoneticPr fontId="23" type="noConversion"/>
  </si>
  <si>
    <t>인제군/인제군문화재단
(033-460-8900)</t>
    <phoneticPr fontId="23" type="noConversion"/>
  </si>
  <si>
    <t>○ 개막식 및 무대공연
○ 빙어낚시(빙어아카데미, 빙어요리마차등)
○ 얼음놀이터(얼음썰매, 아르고, 빙어조형물등)
    - 11개분야 33개프로그램
○ 스노우빌리지, 드론존, 먹거리촌, 주민연계프로그램등</t>
    <phoneticPr fontId="23" type="noConversion"/>
  </si>
  <si>
    <r>
      <t>1.18</t>
    </r>
    <r>
      <rPr>
        <sz val="11"/>
        <rFont val="HyhwpEQ"/>
        <family val="1"/>
        <charset val="129"/>
      </rPr>
      <t>~</t>
    </r>
    <r>
      <rPr>
        <sz val="9.9"/>
        <rFont val="HY중고딕"/>
        <family val="1"/>
        <charset val="129"/>
      </rPr>
      <t>2.2
(16일간)</t>
    </r>
    <phoneticPr fontId="23" type="noConversion"/>
  </si>
  <si>
    <t>제20회 인제빙어축제</t>
    <phoneticPr fontId="23" type="noConversion"/>
  </si>
  <si>
    <t>해안면 힐링하우스 광장 일원</t>
    <phoneticPr fontId="23" type="noConversion"/>
  </si>
  <si>
    <t>사단법인
축제위원회</t>
    <phoneticPr fontId="23" type="noConversion"/>
  </si>
  <si>
    <t>매년 10월말</t>
    <phoneticPr fontId="23" type="noConversion"/>
  </si>
  <si>
    <t>시래기</t>
    <phoneticPr fontId="23" type="noConversion"/>
  </si>
  <si>
    <t>2006년도
(12회)</t>
    <phoneticPr fontId="23" type="noConversion"/>
  </si>
  <si>
    <t>○ 시래기 현장채취체험
○ 지역특산물을 소재 및 테마로한 체험, 전시, 공연
    프로그램 운영
○ 시래기 판매 및 시래기를 활용한 먹거리행사(두부, 
    막걸리 등)</t>
    <phoneticPr fontId="23" type="noConversion"/>
  </si>
  <si>
    <t>DMZ펀치볼 양구시래기축제</t>
    <phoneticPr fontId="23" type="noConversion"/>
  </si>
  <si>
    <t>양구군</t>
    <phoneticPr fontId="23" type="noConversion"/>
  </si>
  <si>
    <t>양구종합운동장</t>
    <phoneticPr fontId="23" type="noConversion"/>
  </si>
  <si>
    <t>매년 10월 둘째주</t>
    <phoneticPr fontId="23" type="noConversion"/>
  </si>
  <si>
    <t>1985년도
(35회)</t>
    <phoneticPr fontId="23" type="noConversion"/>
  </si>
  <si>
    <t>(사)양구군축제위원회/양록제
집행위원회                                   (김진우/ 033-480-2230)</t>
    <phoneticPr fontId="23" type="noConversion"/>
  </si>
  <si>
    <t xml:space="preserve">○ 군민의 날을 경축하는 행사로 민·관·군 대화합의 장
○ 지역향토문화예술축제로 지역 읍면대항
    민속·체육경기 진행
○ 지역문화예술 보급 및 발전을 위한 다양한 공연 및 전시
    프로그램 </t>
    <phoneticPr fontId="23" type="noConversion"/>
  </si>
  <si>
    <t>10.8~10.10
(3일간)</t>
    <phoneticPr fontId="23" type="noConversion"/>
  </si>
  <si>
    <t>양록제</t>
    <phoneticPr fontId="23" type="noConversion"/>
  </si>
  <si>
    <t>공원(양구읍 레포츠공원 일원)</t>
    <phoneticPr fontId="23" type="noConversion"/>
  </si>
  <si>
    <t>매년 7월말~8월초</t>
    <phoneticPr fontId="23" type="noConversion"/>
  </si>
  <si>
    <t>웃음</t>
    <phoneticPr fontId="23" type="noConversion"/>
  </si>
  <si>
    <t>(사)양구군축제위원회/배꼽축제
집행위원회                                   (김진우/ 033-480-2230)</t>
    <phoneticPr fontId="23" type="noConversion"/>
  </si>
  <si>
    <t>○ 양구의 지리적 특성(한반도의 배꼽)을 테마로한 축제
○ '배꼽빠지게 즐겨보자' 라는 테마로  양구하와이( 야외
    수영장, 워터슬라이드), 키즈 페스티벌, 배꼽해적단 등
    체험프로그램 운영 
○ 개막행사 등 5개분야 50여개 프로그램</t>
    <phoneticPr fontId="23" type="noConversion"/>
  </si>
  <si>
    <t>7.31~8.2
(3일간)</t>
    <phoneticPr fontId="23" type="noConversion"/>
  </si>
  <si>
    <t>국토정중앙 양구 배꼽축제</t>
    <phoneticPr fontId="23" type="noConversion"/>
  </si>
  <si>
    <t>매년 5월 초</t>
    <phoneticPr fontId="23" type="noConversion"/>
  </si>
  <si>
    <t>곰취</t>
    <phoneticPr fontId="23" type="noConversion"/>
  </si>
  <si>
    <t xml:space="preserve">2004년도
(16회)
</t>
    <phoneticPr fontId="23" type="noConversion"/>
  </si>
  <si>
    <t>(사)양구군축제위원회/곰취축제
집행위원회                                   (김진우/ 033-480-2230)</t>
    <phoneticPr fontId="23" type="noConversion"/>
  </si>
  <si>
    <t>○ 곰취현장채취체험
○ 지역특산물을 소재 및 테마로한 체험, 전시, 공연
    프로그램 운영
○ 개막행사 등 8개분야 80여개 프로그램</t>
    <phoneticPr fontId="23" type="noConversion"/>
  </si>
  <si>
    <t>5.8~5.10
(3일간)</t>
    <phoneticPr fontId="23" type="noConversion"/>
  </si>
  <si>
    <t>자연중심 양구 곰취축제</t>
    <phoneticPr fontId="23" type="noConversion"/>
  </si>
  <si>
    <t>토마토</t>
    <phoneticPr fontId="23" type="noConversion"/>
  </si>
  <si>
    <t>화천군 농업기술센터 농업정책과
/ 화천토마토축제추진위원회
(033-440-2912)</t>
    <phoneticPr fontId="23" type="noConversion"/>
  </si>
  <si>
    <t>7.30~8.2
(4일간)</t>
    <phoneticPr fontId="23" type="noConversion"/>
  </si>
  <si>
    <t>화천토마토축제</t>
    <phoneticPr fontId="23" type="noConversion"/>
  </si>
  <si>
    <t>화천군</t>
    <phoneticPr fontId="23" type="noConversion"/>
  </si>
  <si>
    <t>있음
정규직 9명
계약직 9명</t>
    <phoneticPr fontId="23" type="noConversion"/>
  </si>
  <si>
    <t>화천군청 관광정책과 / 
재단법인 나라
(033-441-7575)</t>
    <phoneticPr fontId="23" type="noConversion"/>
  </si>
  <si>
    <t>○ 붕어섬 수영장 외 20여개 체험프로그램 운영
○ 미니 창작쪽배 콘테스트</t>
    <phoneticPr fontId="23" type="noConversion"/>
  </si>
  <si>
    <t>7.27 ~ 8.4
(9일간)</t>
    <phoneticPr fontId="23" type="noConversion"/>
  </si>
  <si>
    <t>개최완료
(1.27~2.16)</t>
    <phoneticPr fontId="23" type="noConversion"/>
  </si>
  <si>
    <t>얼음낚시</t>
    <phoneticPr fontId="23" type="noConversion"/>
  </si>
  <si>
    <t>2003년도
(1`7회)</t>
    <phoneticPr fontId="23" type="noConversion"/>
  </si>
  <si>
    <t>화천군/(재)나라
(033-440-2542)</t>
    <phoneticPr fontId="23" type="noConversion"/>
  </si>
  <si>
    <t>○ 산천어 얼음낚시
○ 산천어맨손잡기, 얼음조각광장 등 운영, 눈썰매 ,
    얼음썰매 등 70여 체험프로그램
○ 개막식, 폐막식 불꽃놀이
○ 미니창작썰매 페스티벌</t>
    <phoneticPr fontId="23" type="noConversion"/>
  </si>
  <si>
    <t>1.27~2.16
(23일간)</t>
    <phoneticPr fontId="23" type="noConversion"/>
  </si>
  <si>
    <t>산천어축제</t>
    <phoneticPr fontId="23" type="noConversion"/>
  </si>
  <si>
    <t>고석정꽃밭</t>
    <phoneticPr fontId="23" type="noConversion"/>
  </si>
  <si>
    <t>철원군시설관리사업소/
철원군축제위원회</t>
    <phoneticPr fontId="23" type="noConversion"/>
  </si>
  <si>
    <t>철원의 자연환경</t>
    <phoneticPr fontId="23" type="noConversion"/>
  </si>
  <si>
    <t>철원군 시설관리사업소
 / 철원군축제위원회
(033-450-5766)</t>
    <phoneticPr fontId="23" type="noConversion"/>
  </si>
  <si>
    <t>○ 고석정 꽃밭 개장식 행사
○ 십리길 산책로 및 깡통열차 운영
○ 세종대왕 강무행차 재연행사
○ 버스킹 공연 및 체험행사 
○ 한가위노래자랑대회</t>
    <phoneticPr fontId="23" type="noConversion"/>
  </si>
  <si>
    <t>9.15.-9.20.
(5일간)</t>
    <phoneticPr fontId="23" type="noConversion"/>
  </si>
  <si>
    <t xml:space="preserve">제2회 철원 DMZ 평화 꽃송이 축제 </t>
    <phoneticPr fontId="23" type="noConversion"/>
  </si>
  <si>
    <t>철원군</t>
    <phoneticPr fontId="23" type="noConversion"/>
  </si>
  <si>
    <t>철원고석정
노동당사
월정리역
소이산</t>
    <phoneticPr fontId="23" type="noConversion"/>
  </si>
  <si>
    <t>철원군/DMZ피스트레인 뮤직페스티벌 조직위원회</t>
    <phoneticPr fontId="23" type="noConversion"/>
  </si>
  <si>
    <t>분단극복과 평화통일을 위한 전 세계 음악인들의 희망을 담은 음악 페스티벌</t>
    <phoneticPr fontId="23" type="noConversion"/>
  </si>
  <si>
    <t>강원도/철원군/DMZ피스트레인뮤직페스티벌 조직위원회/협력:한국관광공사,강원창조경제혁신센터
(033-450-5092)</t>
    <phoneticPr fontId="23" type="noConversion"/>
  </si>
  <si>
    <t>○전야및 메인공연 출연
-해외단체: 영국외13개국 40개 팀 출연
-국내단체: 잔나비외 21팀 출연
○ 스페셜 기획공연
-소이산,노동당사,월정리역 순회공연
○ 기타 특별행사
-온라인을 통한 실시간 라디오 스트리밍</t>
    <phoneticPr fontId="23" type="noConversion"/>
  </si>
  <si>
    <t>6.12.~6.14.
(3일간)</t>
    <phoneticPr fontId="23" type="noConversion"/>
  </si>
  <si>
    <t>제3회 DMZ 피스트레인 뮤직페스티벌</t>
    <phoneticPr fontId="23" type="noConversion"/>
  </si>
  <si>
    <t>고석정 일원</t>
    <phoneticPr fontId="23" type="noConversion"/>
  </si>
  <si>
    <t>철원군/
농촌체험관광발전협의회</t>
    <phoneticPr fontId="23" type="noConversion"/>
  </si>
  <si>
    <t>철원오대쌀 등 농특산물 및 농촌체험관광</t>
    <phoneticPr fontId="23" type="noConversion"/>
  </si>
  <si>
    <t>철원군농업기술센터 농업유통과
(033-450-4801)</t>
    <phoneticPr fontId="23" type="noConversion"/>
  </si>
  <si>
    <t>○ 길쌈놀이, 짚풀놀이마당, 공연, 이벤트 프로그램 등
○ 전시(세시풍속 등), 체험, 먹거리 운영
○ 철원 농특산물 홍보 및 판매</t>
    <phoneticPr fontId="23" type="noConversion"/>
  </si>
  <si>
    <t>10.23.~10.25.
(3일간)</t>
    <phoneticPr fontId="23" type="noConversion"/>
  </si>
  <si>
    <t>2020 철원오대쌀 
새끼줄축제</t>
    <phoneticPr fontId="23" type="noConversion"/>
  </si>
  <si>
    <t>철원종합운동장 및 군 일원</t>
    <phoneticPr fontId="23" type="noConversion"/>
  </si>
  <si>
    <t>철원군/
철원군축제위원회</t>
    <phoneticPr fontId="23" type="noConversion"/>
  </si>
  <si>
    <t>철원의 전통 및 역사</t>
    <phoneticPr fontId="23" type="noConversion"/>
  </si>
  <si>
    <t>1982년도
(38회)</t>
    <phoneticPr fontId="23" type="noConversion"/>
  </si>
  <si>
    <t>철원군 관광문화체육과
 / 철원군축제위원회
(033-450-5255)</t>
    <phoneticPr fontId="23" type="noConversion"/>
  </si>
  <si>
    <t>○ 궁예왕 즉위식, 태봉석등 점등식 등
○ 태봉제례 및 성화 채화, 지역문화예술 공연 등
○ 공연 및 체험행사
○ 청소년 페스티벌 및 읍면 체육대회</t>
    <phoneticPr fontId="23" type="noConversion"/>
  </si>
  <si>
    <t>10.15.~10.17.
(3일간)</t>
    <phoneticPr fontId="23" type="noConversion"/>
  </si>
  <si>
    <t>제38회 태봉제</t>
    <phoneticPr fontId="23" type="noConversion"/>
  </si>
  <si>
    <t>김화읍 쉬리공원 및 김화생활체육공원</t>
    <phoneticPr fontId="23" type="noConversion"/>
  </si>
  <si>
    <t>철원화강
다슬기</t>
    <phoneticPr fontId="23" type="noConversion"/>
  </si>
  <si>
    <t xml:space="preserve">○ 황금다슬기 잡기 등 생태 프로그램
○ 공연 및 체험행사
○ 워터 슬라이드 등 수변 놀이시설 운영 </t>
    <phoneticPr fontId="23" type="noConversion"/>
  </si>
  <si>
    <t>7.30~ 8. 2.
(4일간)</t>
    <phoneticPr fontId="23" type="noConversion"/>
  </si>
  <si>
    <t>제14회 철원 화강 
다슬기 축제</t>
    <phoneticPr fontId="23" type="noConversion"/>
  </si>
  <si>
    <t>철원한탄강변 일원</t>
    <phoneticPr fontId="23" type="noConversion"/>
  </si>
  <si>
    <t>한탄강
얼음트레킹</t>
    <phoneticPr fontId="23" type="noConversion"/>
  </si>
  <si>
    <t>○ 한탄강 얼음트레킹 (태봉대교~순담)
○ 공연 및 체험행사
○ 전시행사(얼음조각, 눈 조각, 겨울전통놀이 등)
○ 똥바람 알통구보대회</t>
    <phoneticPr fontId="23" type="noConversion"/>
  </si>
  <si>
    <t>1.18~1.27.
(10일간)</t>
    <phoneticPr fontId="23" type="noConversion"/>
  </si>
  <si>
    <t>제8회 철원 한탄강
 얼음트레킹</t>
    <phoneticPr fontId="23" type="noConversion"/>
  </si>
  <si>
    <t>운동장
(정선읍 
공설운동장)</t>
    <phoneticPr fontId="23" type="noConversion"/>
  </si>
  <si>
    <t>산나물</t>
    <phoneticPr fontId="23" type="noConversion"/>
  </si>
  <si>
    <t>2009년도
(10회)</t>
    <phoneticPr fontId="23" type="noConversion"/>
  </si>
  <si>
    <t>정선군 산림과/
정선군 곤드레산나물 축제위원회
(033-560-2953)</t>
    <phoneticPr fontId="23" type="noConversion"/>
  </si>
  <si>
    <t>5.14~5.17
(4일간)</t>
    <phoneticPr fontId="23" type="noConversion"/>
  </si>
  <si>
    <t>정선곤드레산나물축제</t>
    <phoneticPr fontId="23" type="noConversion"/>
  </si>
  <si>
    <t>정선군</t>
    <phoneticPr fontId="23" type="noConversion"/>
  </si>
  <si>
    <t>공원(정선읍 아라리공원)</t>
    <phoneticPr fontId="23" type="noConversion"/>
  </si>
  <si>
    <t>있음
정규직3명
계약직1명
총4명</t>
    <phoneticPr fontId="23" type="noConversion"/>
  </si>
  <si>
    <t>아리랑</t>
    <phoneticPr fontId="23" type="noConversion"/>
  </si>
  <si>
    <t>1976년도
(45회)</t>
    <phoneticPr fontId="23" type="noConversion"/>
  </si>
  <si>
    <t>정선군 문화관광과
/ (사)정선아리랑제위원회
(033-560-2138)</t>
    <phoneticPr fontId="23" type="noConversion"/>
  </si>
  <si>
    <t>10월 초
(4일간)</t>
    <phoneticPr fontId="23" type="noConversion"/>
  </si>
  <si>
    <t>정선아리랑제</t>
    <phoneticPr fontId="23" type="noConversion"/>
  </si>
  <si>
    <t>평창군청 축제지원팀
(033-330-2466)</t>
    <phoneticPr fontId="23" type="noConversion"/>
  </si>
  <si>
    <t xml:space="preserve"> ○ 백일홍꽃밭(테마포토존)
 ○ 백일홍 테마 포토존 및 체험프로그램 운영
 ○ 송어낚시체험 및 강원예술제,직장인밴드 경연대회 
     개최 등</t>
    <phoneticPr fontId="23" type="noConversion"/>
  </si>
  <si>
    <t>9월 중순~9월말
(10일간)</t>
    <phoneticPr fontId="23" type="noConversion"/>
  </si>
  <si>
    <t>평창백일홍축제</t>
    <phoneticPr fontId="23" type="noConversion"/>
  </si>
  <si>
    <t>메밀꽃</t>
    <phoneticPr fontId="23" type="noConversion"/>
  </si>
  <si>
    <t>이효석문학선양회
(033-335-2323)</t>
    <phoneticPr fontId="23" type="noConversion"/>
  </si>
  <si>
    <t xml:space="preserve"> ○ 메밀꽃밭 조성(테마포토존)
 ○ 이효석과 메밀꽃 테마의 공연(전시) 및 체험프로그램
   - 효석백일장, 문학의 밤, 전통마당 프로그램 등
 ○ 봉평 장터와 연계된 메밀 먹거리촌 조성</t>
    <phoneticPr fontId="23" type="noConversion"/>
  </si>
  <si>
    <t>평창효석문화제</t>
    <phoneticPr fontId="23" type="noConversion"/>
  </si>
  <si>
    <t>평창더위사냥축제위원회
(033-334-2277)</t>
    <phoneticPr fontId="23" type="noConversion"/>
  </si>
  <si>
    <t xml:space="preserve"> ○ 땀띠물 냉천수 체험
 ○ 여름형 체험프로그램 운영
    - 꿈의대화캠핑장, 광천선굴 탐험 등
 ○ 야시장,해바라기 포토존 등 조성</t>
    <phoneticPr fontId="23" type="noConversion"/>
  </si>
  <si>
    <t>7월말~8월초
(10일간)</t>
    <phoneticPr fontId="23" type="noConversion"/>
  </si>
  <si>
    <t>평창더위사냥축제</t>
    <phoneticPr fontId="23" type="noConversion"/>
  </si>
  <si>
    <t>대관령축제위원회
(033-335-3995)</t>
    <phoneticPr fontId="23" type="noConversion"/>
  </si>
  <si>
    <t>○ 눈조각 및 눈동산 공원 
   - 다양한 눈, 얼음조각으로 산촌마을 표현
○ 겨울형 체험프로그램 운영
    - 알몸 마라톤 대회, 동계스포츠체험, 대형 눈썰매, 
    - 눈조각 경연대회 등
○ 생활문화 전시체험관 및 야외구이 체험장 등 조성</t>
    <phoneticPr fontId="23" type="noConversion"/>
  </si>
  <si>
    <t>1.10~1.19
(10일간)</t>
    <phoneticPr fontId="23" type="noConversion"/>
  </si>
  <si>
    <t>대관령눈꽃축제</t>
    <phoneticPr fontId="23" type="noConversion"/>
  </si>
  <si>
    <t>송어</t>
    <phoneticPr fontId="23" type="noConversion"/>
  </si>
  <si>
    <t>19.12.28
~'20.2.2
(37일간)</t>
    <phoneticPr fontId="23" type="noConversion"/>
  </si>
  <si>
    <t>사적지, 광장</t>
    <phoneticPr fontId="23" type="noConversion"/>
  </si>
  <si>
    <t xml:space="preserve">있음
정규직 6명
계약직 1명
총 7명  </t>
    <phoneticPr fontId="23" type="noConversion"/>
  </si>
  <si>
    <t>김삿갓</t>
    <phoneticPr fontId="23" type="noConversion"/>
  </si>
  <si>
    <t>10.2~10.4
(3일간)</t>
    <phoneticPr fontId="23" type="noConversion"/>
  </si>
  <si>
    <t>제23회 김삿갓문화제</t>
    <phoneticPr fontId="23" type="noConversion"/>
  </si>
  <si>
    <t>영월군</t>
    <phoneticPr fontId="23" type="noConversion"/>
  </si>
  <si>
    <t>박물관, 시내거리, 기타</t>
    <phoneticPr fontId="23" type="noConversion"/>
  </si>
  <si>
    <t>사진</t>
    <phoneticPr fontId="23" type="noConversion"/>
  </si>
  <si>
    <t xml:space="preserve"> ○ 국제주제전
 ○ 사진을 테마로 한 사진전시 및 교육행사 등
 ○ 개막 행사</t>
    <phoneticPr fontId="23" type="noConversion"/>
  </si>
  <si>
    <t>동강국제사진제 2020</t>
    <phoneticPr fontId="23" type="noConversion"/>
  </si>
  <si>
    <t>뗏목</t>
    <phoneticPr fontId="23" type="noConversion"/>
  </si>
  <si>
    <t xml:space="preserve"> ○ 뗏목시연
 ○ 뗏목을 테마로한 대회, 뗏목관 등 운영
 ○ 개막 공연, 문화공연, 레져행사 등 20여개 프로그램
 ○ 기타 물놀이 등등</t>
    <phoneticPr fontId="23" type="noConversion"/>
  </si>
  <si>
    <t>8.6~8.9
(4일간)</t>
    <phoneticPr fontId="23" type="noConversion"/>
  </si>
  <si>
    <t>2020 동강뗏목축제</t>
    <phoneticPr fontId="23" type="noConversion"/>
  </si>
  <si>
    <t>단종</t>
    <phoneticPr fontId="23" type="noConversion"/>
  </si>
  <si>
    <t xml:space="preserve"> ○ 단종국장 재현
 ○ 단종을 테마로한 공연, 전시, 역사체험프로그램
 ○ 개폐막 공연 및 문화공연
   - 20여개 프로그램
 ○ 기타 백일장행사 및 전시 등</t>
    <phoneticPr fontId="23" type="noConversion"/>
  </si>
  <si>
    <t>제54회 단종문화제</t>
    <phoneticPr fontId="23" type="noConversion"/>
  </si>
  <si>
    <t>있음 6명</t>
    <phoneticPr fontId="23" type="noConversion"/>
  </si>
  <si>
    <t>횡성군/횡성문화재단
(1522-1099)</t>
    <phoneticPr fontId="23" type="noConversion"/>
  </si>
  <si>
    <t>○ 한우구이터 및 한점하우스 운영
○ 발골이벤트, 스탬프투어 등 각종 체험행사
○ 지역문화예술단체 공연, 축하공연</t>
    <phoneticPr fontId="23" type="noConversion"/>
  </si>
  <si>
    <t>10.15~10.19
(5일간)</t>
    <phoneticPr fontId="23" type="noConversion"/>
  </si>
  <si>
    <t>제16회 횡성한우축제</t>
    <phoneticPr fontId="23" type="noConversion"/>
  </si>
  <si>
    <t>횡성군</t>
    <phoneticPr fontId="23" type="noConversion"/>
  </si>
  <si>
    <t>하천, 시장</t>
    <phoneticPr fontId="23" type="noConversion"/>
  </si>
  <si>
    <t>찐빵</t>
    <phoneticPr fontId="23" type="noConversion"/>
  </si>
  <si>
    <t>1999년도
(14회)</t>
    <phoneticPr fontId="23" type="noConversion"/>
  </si>
  <si>
    <t>횡성군 문화체육 관광과
(033-340-5952)</t>
    <phoneticPr fontId="23" type="noConversion"/>
  </si>
  <si>
    <t>○ 안흥손찐빵 주제관 및 홍보관 운영
○ 도깨비트레킹 진행 및 각종 체험행사
○ 개·폐막식 및 축하공연</t>
    <phoneticPr fontId="23" type="noConversion"/>
  </si>
  <si>
    <t>제14회 안흥찐빵축제</t>
    <phoneticPr fontId="23" type="noConversion"/>
  </si>
  <si>
    <t>더덕</t>
    <phoneticPr fontId="23" type="noConversion"/>
  </si>
  <si>
    <t>횡성군/횡성더덕축제위원회
(033-340-2831)</t>
    <phoneticPr fontId="23" type="noConversion"/>
  </si>
  <si>
    <t>○ 더덕덕캐기, 더덕요리 등 각종 체험행사
○ 더덕 홍보관 운영, 더덕경매 진행
○ 개·폐막식, 각종 전시 및 체험행사</t>
    <phoneticPr fontId="23" type="noConversion"/>
  </si>
  <si>
    <t>제9회 횡성더덕축제</t>
    <phoneticPr fontId="23" type="noConversion"/>
  </si>
  <si>
    <t>횡성군/둔내고랭지토마토축제위원회
(033-340-2604)</t>
    <phoneticPr fontId="23" type="noConversion"/>
  </si>
  <si>
    <t>○ 토마토풀장, 맨손 메기잡기 체험
○ 버스킹 공연 등 공연행사
○ 개·폐막식, 각종 전시 및 체험행사</t>
    <phoneticPr fontId="23" type="noConversion"/>
  </si>
  <si>
    <t>제9회 둔내고랭지토마토축제</t>
    <phoneticPr fontId="23" type="noConversion"/>
  </si>
  <si>
    <t>횡성군/횡성호수길축제위원회
(033-340-2605)</t>
    <phoneticPr fontId="23" type="noConversion"/>
  </si>
  <si>
    <t>○ 호수길콘서트 및 호수가요제
○ 호수길 걷기행사
○ 개·폐막식, 각종 전시 및 체험행사</t>
    <phoneticPr fontId="23" type="noConversion"/>
  </si>
  <si>
    <t>2020년 횡성호수길축제</t>
    <phoneticPr fontId="23" type="noConversion"/>
  </si>
  <si>
    <t>민속관</t>
    <phoneticPr fontId="23" type="noConversion"/>
  </si>
  <si>
    <t>문화제위원회</t>
    <phoneticPr fontId="23" type="noConversion"/>
  </si>
  <si>
    <t>회다지소리</t>
    <phoneticPr fontId="23" type="noConversion"/>
  </si>
  <si>
    <t>횡성군/횡성회다지소리민속문화제위원회
(033-340-5952)</t>
    <phoneticPr fontId="23" type="noConversion"/>
  </si>
  <si>
    <t>○ 회다지소리 원형공개 시연
○ 각종 전시 및 체험행사 진행</t>
    <phoneticPr fontId="23" type="noConversion"/>
  </si>
  <si>
    <t>제34회 횡성회다지소리 민속문화제</t>
    <phoneticPr fontId="23" type="noConversion"/>
  </si>
  <si>
    <t>있음
정규직 5명
기간제 8명
총 13명</t>
    <phoneticPr fontId="23" type="noConversion"/>
  </si>
  <si>
    <t>인삼, 단호박, 사과, 오미자등</t>
    <phoneticPr fontId="23" type="noConversion"/>
  </si>
  <si>
    <t>홍천군 관광과/홍천문화재단
(033-439-5853)</t>
    <phoneticPr fontId="23" type="noConversion"/>
  </si>
  <si>
    <t>○ 6년근 인삼 최대 생산지 및 우수성 홍보
○ 홍천 모든 농특산물을 참여시키는 프로그램 운영
   - 인삼낙시등 4개분야 25개 프로그램
○ 기타 홍천군 농특산품 홍보관등 운영</t>
    <phoneticPr fontId="23" type="noConversion"/>
  </si>
  <si>
    <t>2020 홍천인삼 명품축제</t>
    <phoneticPr fontId="23" type="noConversion"/>
  </si>
  <si>
    <t>홍천군</t>
    <phoneticPr fontId="23" type="noConversion"/>
  </si>
  <si>
    <t>홍천찰옥수수</t>
    <phoneticPr fontId="23" type="noConversion"/>
  </si>
  <si>
    <t>1996년도
(24회)</t>
    <phoneticPr fontId="23" type="noConversion"/>
  </si>
  <si>
    <t>홍천군 관광과/홍천문화재단
(033-439-5826)</t>
    <phoneticPr fontId="23" type="noConversion"/>
  </si>
  <si>
    <t>○ 지리적표시를 받은 홍천찰옥수수의 우수성 홍보
○ 체험프로그램 운영
   - 옥수수하모니카대회등 2개분야 20개 프로그램
○ 기타 홍천군 농특산품 홍보관등 운영</t>
    <phoneticPr fontId="23" type="noConversion"/>
  </si>
  <si>
    <t>제24회 홍천찰옥수수축제</t>
    <phoneticPr fontId="23" type="noConversion"/>
  </si>
  <si>
    <t>홍천맥주</t>
    <phoneticPr fontId="23" type="noConversion"/>
  </si>
  <si>
    <t>2019년도
(4회)</t>
    <phoneticPr fontId="23" type="noConversion"/>
  </si>
  <si>
    <t>홍천군 관광과/홍천문화재단
(033-430-2453)</t>
    <phoneticPr fontId="23" type="noConversion"/>
  </si>
  <si>
    <t>○ 동양최대의 맥주공장을 테마로 한 맥주축제
○ 세계웻댄스대회등 , 체험프로그램 운영
   - 댄스경연대회등등 3개분야 16개 프로그램
○ 기타 홍천군 농특산품 홍보관등 운영</t>
    <phoneticPr fontId="23" type="noConversion"/>
  </si>
  <si>
    <t>제4회홍천강 별빛음악 맥주축제</t>
    <phoneticPr fontId="23" type="noConversion"/>
  </si>
  <si>
    <t>한우,산나물</t>
    <phoneticPr fontId="23" type="noConversion"/>
  </si>
  <si>
    <t>○ 홍천한우, 산나물 홍보관 운영
○ 우수 농특산물 판매 및 홍보, 체험프로그램 운영
   - 산나물모종나누기등 2개분야 17개 프로그램
○ 기타 홍천군 농특산품 홍보관등 운영</t>
    <phoneticPr fontId="23" type="noConversion"/>
  </si>
  <si>
    <t>제2회 홍천한우
산나물축제</t>
    <phoneticPr fontId="23" type="noConversion"/>
  </si>
  <si>
    <t xml:space="preserve">있음
정규직 5명
기간제 8명
총 13명  </t>
    <phoneticPr fontId="23" type="noConversion"/>
  </si>
  <si>
    <t>겨울테마</t>
    <phoneticPr fontId="23" type="noConversion"/>
  </si>
  <si>
    <t>홍천군 관광과/홍천문화재단
(033-439-5823)</t>
    <phoneticPr fontId="23" type="noConversion"/>
  </si>
  <si>
    <t>○ 얼음낚시체험, 맨손송어잡기, 스노이월드(눈썰매장)등
○ 겨울울 테마로한 체험프로그램 운영
   - 썰매장등 3개분야 15개 프로그램
○ 기타 홍천군 농특산품 홍보관등 운영</t>
    <phoneticPr fontId="23" type="noConversion"/>
  </si>
  <si>
    <t>1.4~1.20
(17일간)</t>
    <phoneticPr fontId="23" type="noConversion"/>
  </si>
  <si>
    <t>제8회 홍천강 꽁꽁축제</t>
    <phoneticPr fontId="23" type="noConversion"/>
  </si>
  <si>
    <t>삼척시 관광정책과
/ 삼척동해왕이사부축제추진위원회
(033-570-3844)</t>
    <phoneticPr fontId="23" type="noConversion"/>
  </si>
  <si>
    <t xml:space="preserve">○ 해양역사인물 이사부를 테마로 한 특별공연 운영
○ 학술, 대회, 전시, 체험 프로그램 운영
○ 기타 문화공연, 문화야시장 운영 등  </t>
    <phoneticPr fontId="23" type="noConversion"/>
  </si>
  <si>
    <t>삼척동해왕이사부축제</t>
    <phoneticPr fontId="23" type="noConversion"/>
  </si>
  <si>
    <t>삼척비치 썸 페스티벌</t>
    <phoneticPr fontId="23" type="noConversion"/>
  </si>
  <si>
    <t>장미공원</t>
    <phoneticPr fontId="23" type="noConversion"/>
  </si>
  <si>
    <t>유채꽃밭</t>
    <phoneticPr fontId="23" type="noConversion"/>
  </si>
  <si>
    <t>벚꽃,유채꽃</t>
    <phoneticPr fontId="23" type="noConversion"/>
  </si>
  <si>
    <t>삼척시 농정과
/ 삼척맹방유채꽃축제 추진위원회
(033-570-3382)</t>
    <phoneticPr fontId="23" type="noConversion"/>
  </si>
  <si>
    <t>○ 향토먹거리 장터 및 농특산물 판매장 운영
○ 유채꽃 및 삼척관광 사진전시, 아마츄어사진컨테스트
○ 자전거하이킹 및 걷기대회
○ 유채꽃 사생대회</t>
    <phoneticPr fontId="23" type="noConversion"/>
  </si>
  <si>
    <t>3.27~4.23
(28일간)</t>
    <phoneticPr fontId="23" type="noConversion"/>
  </si>
  <si>
    <t xml:space="preserve">삼척맹방 유채꽃축제      </t>
    <phoneticPr fontId="23" type="noConversion"/>
  </si>
  <si>
    <t>삼척시</t>
    <phoneticPr fontId="23" type="noConversion"/>
  </si>
  <si>
    <t>광장,하천</t>
    <phoneticPr fontId="23" type="noConversion"/>
  </si>
  <si>
    <t>1973년
(48회)</t>
    <phoneticPr fontId="23" type="noConversion"/>
  </si>
  <si>
    <t>○ 삼척기줄다리기 대회(24개팀 이상)
○ 삼척기줄다리기 중심 문화재 행사 및 제례행사
○ 개막행사, 전통문화공연, 체험프로그램 운영
     - 3개분야 25개 프로그램
○ 민속행사 및 경축행사 13개 프로그램운영
○ 향토별미장터, 특산품, 공예품, 푸드트럭 운영
○ 달등터널 및 소원등 달기, 포토존조성
     (삼척동자외 4개존)</t>
    <phoneticPr fontId="23" type="noConversion"/>
  </si>
  <si>
    <t>2.7~2.9
(3일간)</t>
    <phoneticPr fontId="23" type="noConversion"/>
  </si>
  <si>
    <t>공공(속초시)</t>
    <phoneticPr fontId="23" type="noConversion"/>
  </si>
  <si>
    <t>○ 빛을 주제로 한 디지털 콘텐츠 융합 도심형 야간축제
○ 라이팅쇼, 레이저터널, 미디어월, 빛의나무
○ 호수책방, 보이는라디오, 청초시네마, 원데이클래스,
    체험 및 먹거리, 포토존 등</t>
    <phoneticPr fontId="23" type="noConversion"/>
  </si>
  <si>
    <t>속초축제위원회</t>
    <phoneticPr fontId="23" type="noConversion"/>
  </si>
  <si>
    <t>1966년도
(55회)</t>
    <phoneticPr fontId="23" type="noConversion"/>
  </si>
  <si>
    <t>○ 거리페스티벌 : 거리퍼레이드, 거리공연
○ 산신제, 마등령 오르기 
○ 속초시민한마당, 개폐막공연, 전시 및 체험행사</t>
    <phoneticPr fontId="23" type="noConversion"/>
  </si>
  <si>
    <t>10.2.~10.3./
10.16.~10.18.
(예정)</t>
    <phoneticPr fontId="23" type="noConversion"/>
  </si>
  <si>
    <t>수제맥주</t>
    <phoneticPr fontId="23" type="noConversion"/>
  </si>
  <si>
    <t>속초시 관광과 /
대행사
(033-639-2369)</t>
    <phoneticPr fontId="23" type="noConversion"/>
  </si>
  <si>
    <t>○ 수제맥주 및 먹거리 판매, 체험 이벤트, 공연, 포토존 등</t>
    <phoneticPr fontId="23" type="noConversion"/>
  </si>
  <si>
    <t>7.31.~8.5.
(6일간)</t>
    <phoneticPr fontId="23" type="noConversion"/>
  </si>
  <si>
    <t>속초시 관광과 /
대행사
(033-639-2545)</t>
    <phoneticPr fontId="23" type="noConversion"/>
  </si>
  <si>
    <t>○ 무대공연(지역가수 사전공연 및 본공연), 체험 이벤트, 
    부대행사, 포토존 등</t>
    <phoneticPr fontId="23" type="noConversion"/>
  </si>
  <si>
    <t>속초 여름해변 축제
(미정)</t>
    <phoneticPr fontId="23" type="noConversion"/>
  </si>
  <si>
    <t>속초시</t>
    <phoneticPr fontId="23" type="noConversion"/>
  </si>
  <si>
    <t>오징어</t>
    <phoneticPr fontId="23" type="noConversion"/>
  </si>
  <si>
    <t>1999년
(23회)</t>
    <phoneticPr fontId="23" type="noConversion"/>
  </si>
  <si>
    <t>속초시 관광과 /
장사청년회
(033-639-2369)</t>
    <phoneticPr fontId="23" type="noConversion"/>
  </si>
  <si>
    <t>○ 오징어 맨손잡기, 바다속줄다리기, 오징어 할복체험 등</t>
    <phoneticPr fontId="23" type="noConversion"/>
  </si>
  <si>
    <t>제23회 장사항 오징어 맨손잡기 축제</t>
    <phoneticPr fontId="23" type="noConversion"/>
  </si>
  <si>
    <t xml:space="preserve">역사, 인문 </t>
    <phoneticPr fontId="23" type="noConversion"/>
  </si>
  <si>
    <t>2016년(5회)</t>
    <phoneticPr fontId="23" type="noConversion"/>
  </si>
  <si>
    <t>속초시 문화체육과 
(033-639-2240)</t>
    <phoneticPr fontId="23" type="noConversion"/>
  </si>
  <si>
    <t>○ 실향민을 주제로 한 인문, 문화 행사
○ 실향민 역사 주제 전시, 체험, 문화 공연</t>
    <phoneticPr fontId="23" type="noConversion"/>
  </si>
  <si>
    <t>5. 29.∼5. 31.
(3일간)</t>
    <phoneticPr fontId="23" type="noConversion"/>
  </si>
  <si>
    <t>2020 실향민 역사 문화 축제</t>
    <phoneticPr fontId="23" type="noConversion"/>
  </si>
  <si>
    <t>어린이, 빛</t>
    <phoneticPr fontId="23" type="noConversion"/>
  </si>
  <si>
    <t>속초시 관광과 /
대행사
(033-639-3837)</t>
    <phoneticPr fontId="23" type="noConversion"/>
  </si>
  <si>
    <t>○ '어린이는 빛이다'를 주제로 한 어린이 동반 가족 중심
    공연 및 체험 이벤트, 포토존 등</t>
    <phoneticPr fontId="23" type="noConversion"/>
  </si>
  <si>
    <t>속초 봄빛 축제 청초누리</t>
    <phoneticPr fontId="23" type="noConversion"/>
  </si>
  <si>
    <t>있음
정규직3명</t>
    <phoneticPr fontId="23" type="noConversion"/>
  </si>
  <si>
    <t>속초시 관광과 /
속초축제위원회
(033-639-2545)</t>
    <phoneticPr fontId="23" type="noConversion"/>
  </si>
  <si>
    <t xml:space="preserve"> ○ 송년음악회, 불꽃놀이, 해맞이 축하공연
 ○ 부대행사 및 포토존, 먹거리 등</t>
    <phoneticPr fontId="23" type="noConversion"/>
  </si>
  <si>
    <t>12.31.~1.1.
(2일간)</t>
    <phoneticPr fontId="23" type="noConversion"/>
  </si>
  <si>
    <t>속초 해맞이 축제</t>
    <phoneticPr fontId="23" type="noConversion"/>
  </si>
  <si>
    <t>황지연못, 
검룡소 등</t>
    <phoneticPr fontId="23" type="noConversion"/>
  </si>
  <si>
    <t>· 매년</t>
    <phoneticPr fontId="23" type="noConversion"/>
  </si>
  <si>
    <t>한강 낙동강 발원지(물)</t>
    <phoneticPr fontId="23" type="noConversion"/>
  </si>
  <si>
    <t>2016년도          (5회)</t>
    <phoneticPr fontId="23" type="noConversion"/>
  </si>
  <si>
    <t>태백시 관광문화과/                          태백시축제위원회                          (033-550-2085)</t>
    <phoneticPr fontId="23" type="noConversion"/>
  </si>
  <si>
    <t>○ 수계도시 공연 
○ 황지물장수 및 재래식펌프 등 발원지(발원수)  
○ 체험 도심 속 물놀이난장 및 물총퍼레이드, 야외영화상영, 도심 속 워터파크
○ 야간먹거리장터, 야생화 트래킹, 발원지꿈나무바둑대회, 발원지 잇기 마라톤 대회 등</t>
    <phoneticPr fontId="23" type="noConversion"/>
  </si>
  <si>
    <r>
      <t>제5회 한강</t>
    </r>
    <r>
      <rPr>
        <sz val="11"/>
        <rFont val="맑은 고딕"/>
        <family val="3"/>
        <charset val="129"/>
      </rPr>
      <t>•</t>
    </r>
    <r>
      <rPr>
        <sz val="11"/>
        <rFont val="HY중고딕"/>
        <family val="1"/>
        <charset val="129"/>
      </rPr>
      <t>낙동강 발원지축제</t>
    </r>
    <phoneticPr fontId="23" type="noConversion"/>
  </si>
  <si>
    <t>태백시</t>
    <phoneticPr fontId="23" type="noConversion"/>
  </si>
  <si>
    <t>태백산국립공원
황지연못 등</t>
    <phoneticPr fontId="23" type="noConversion"/>
  </si>
  <si>
    <t>태백산설경(눈)</t>
    <phoneticPr fontId="23" type="noConversion"/>
  </si>
  <si>
    <t>1994년도                 (27회)</t>
    <phoneticPr fontId="23" type="noConversion"/>
  </si>
  <si>
    <t>○ 대형눈조각 전시                                                        
○ 눈미끄럼틀, 얼음미끄럼틀, 썰매 등 체험프로그램                             ○ 전국대학생눈조각대회, 전국눈꽃등반대회                                                                                               ○ 황지연못 별빛페스티벌</t>
    <phoneticPr fontId="23" type="noConversion"/>
  </si>
  <si>
    <t>1.10~1.19. 
(10일간)</t>
    <phoneticPr fontId="23" type="noConversion"/>
  </si>
  <si>
    <t>제27회 태백산눈축제</t>
    <phoneticPr fontId="23" type="noConversion"/>
  </si>
  <si>
    <t>1984년도
(34회)</t>
    <phoneticPr fontId="23" type="noConversion"/>
  </si>
  <si>
    <t>문화교육과(033-530-2111) / 미정</t>
    <phoneticPr fontId="23" type="noConversion"/>
  </si>
  <si>
    <t>제례, 퍼레이드, 민속경기, 문화예술행사,전시체험행사</t>
    <phoneticPr fontId="23" type="noConversion"/>
  </si>
  <si>
    <t>제35회 동해무릉제</t>
    <phoneticPr fontId="23" type="noConversion"/>
  </si>
  <si>
    <t>동해시</t>
    <phoneticPr fontId="23" type="noConversion"/>
  </si>
  <si>
    <t>문화교육과(033-530-2111) / 동해문화원(033-531-1020)</t>
    <phoneticPr fontId="23" type="noConversion"/>
  </si>
  <si>
    <t>공연, 행사(미정) 등</t>
    <phoneticPr fontId="48" type="noConversion"/>
  </si>
  <si>
    <t>7월 중
(미정)</t>
    <phoneticPr fontId="23" type="noConversion"/>
  </si>
  <si>
    <t>망상해변 문화행사</t>
    <phoneticPr fontId="48" type="noConversion"/>
  </si>
  <si>
    <t>봉정마을 연당</t>
    <phoneticPr fontId="23" type="noConversion"/>
  </si>
  <si>
    <t>2013년도       (7회)</t>
    <phoneticPr fontId="23" type="noConversion"/>
  </si>
  <si>
    <t>마을주민 문화공연 및 천연염색 등 각종 체험</t>
    <phoneticPr fontId="23" type="noConversion"/>
  </si>
  <si>
    <t>7월 말</t>
    <phoneticPr fontId="23" type="noConversion"/>
  </si>
  <si>
    <t>봉정마을 연꽃.천연염색 축제</t>
    <phoneticPr fontId="23" type="noConversion"/>
  </si>
  <si>
    <t>직접</t>
    <phoneticPr fontId="23" type="noConversion"/>
  </si>
  <si>
    <t>미상</t>
    <phoneticPr fontId="23" type="noConversion"/>
  </si>
  <si>
    <t>강릉시 / 강릉시(관광과)
(033-640-5530)</t>
    <phoneticPr fontId="23" type="noConversion"/>
  </si>
  <si>
    <t xml:space="preserve"> ○ 불꽃놀이, 초청공연 등</t>
    <phoneticPr fontId="23" type="noConversion"/>
  </si>
  <si>
    <t>12.31~1.1
(2일간)</t>
    <phoneticPr fontId="23" type="noConversion"/>
  </si>
  <si>
    <t>강릉해맞이축제</t>
    <phoneticPr fontId="23" type="noConversion"/>
  </si>
  <si>
    <t>주문진상인회</t>
    <phoneticPr fontId="23" type="noConversion"/>
  </si>
  <si>
    <t>전부위탁</t>
    <phoneticPr fontId="23" type="noConversion"/>
  </si>
  <si>
    <t>복어</t>
    <phoneticPr fontId="23" type="noConversion"/>
  </si>
  <si>
    <t xml:space="preserve">   2006년도      (14회)</t>
    <phoneticPr fontId="23" type="noConversion"/>
  </si>
  <si>
    <t>강릉시 경제환경국 일자리경제과(033-640-5535)</t>
    <phoneticPr fontId="23" type="noConversion"/>
  </si>
  <si>
    <t>○ 복어요리 시식체험
○ 도루묵, 양미리구이 체험                                                    ○ 각종 축하공연</t>
    <phoneticPr fontId="48" type="noConversion"/>
  </si>
  <si>
    <t xml:space="preserve"> 12월 초순            (2일간)</t>
    <phoneticPr fontId="23" type="noConversion"/>
  </si>
  <si>
    <t>주문진복어축제</t>
    <phoneticPr fontId="48" type="noConversion"/>
  </si>
  <si>
    <t>마을회</t>
    <phoneticPr fontId="23" type="noConversion"/>
  </si>
  <si>
    <t xml:space="preserve">  1999년도
(20회)</t>
    <phoneticPr fontId="23" type="noConversion"/>
  </si>
  <si>
    <t>강릉시 문화예술과 / 주문진오징어축제위원회
(033-662-4532)</t>
    <phoneticPr fontId="23" type="noConversion"/>
  </si>
  <si>
    <t>○ 오징어를 테마로 한 공연, 체험 프로그램 운영</t>
    <phoneticPr fontId="23" type="noConversion"/>
  </si>
  <si>
    <t>10월 중순             (4일간)</t>
    <phoneticPr fontId="23" type="noConversion"/>
  </si>
  <si>
    <t>주문진오징어축제</t>
    <phoneticPr fontId="23" type="noConversion"/>
  </si>
  <si>
    <t>문화재단</t>
    <phoneticPr fontId="23" type="noConversion"/>
  </si>
  <si>
    <t>커피</t>
    <phoneticPr fontId="23" type="noConversion"/>
  </si>
  <si>
    <t>강릉시 문화예술과/커피축제 사무국
(033-640-5115) / 033-647-6802</t>
    <phoneticPr fontId="23" type="noConversion"/>
  </si>
  <si>
    <t>○ 커피 관련 어워드, 세미나, 커피 관련 체험활동 등</t>
    <phoneticPr fontId="48" type="noConversion"/>
  </si>
  <si>
    <t>10.1.~10.4.
(5일간)</t>
    <phoneticPr fontId="23" type="noConversion"/>
  </si>
  <si>
    <t>강릉커피축제</t>
    <phoneticPr fontId="23" type="noConversion"/>
  </si>
  <si>
    <t>운영위</t>
    <phoneticPr fontId="23" type="noConversion"/>
  </si>
  <si>
    <t>강릉시 관광과/주문진해변운영위원회(660-3415)</t>
    <phoneticPr fontId="23" type="noConversion"/>
  </si>
  <si>
    <t xml:space="preserve"> ○ 특산물판매, 초청공연 등</t>
    <phoneticPr fontId="23" type="noConversion"/>
  </si>
  <si>
    <t>8월 초</t>
    <phoneticPr fontId="23" type="noConversion"/>
  </si>
  <si>
    <t>주문진해변축제</t>
    <phoneticPr fontId="23" type="noConversion"/>
  </si>
  <si>
    <t>1998년 이전</t>
    <phoneticPr fontId="23" type="noConversion"/>
  </si>
  <si>
    <t xml:space="preserve"> ○ 초청공연, 불꽃놀이 등</t>
    <phoneticPr fontId="48" type="noConversion"/>
  </si>
  <si>
    <t>경포해변 썸머페스티벌</t>
    <phoneticPr fontId="23" type="noConversion"/>
  </si>
  <si>
    <t>강릉예총</t>
    <phoneticPr fontId="23" type="noConversion"/>
  </si>
  <si>
    <t>셰계예술</t>
    <phoneticPr fontId="23" type="noConversion"/>
  </si>
  <si>
    <t>강릉시 / 강릉시(문화예술과)
(033-640-5111)</t>
    <phoneticPr fontId="23" type="noConversion"/>
  </si>
  <si>
    <t xml:space="preserve">○ 국제청소년 문화교류, 퍼레이드 , 민속공연 등 </t>
    <phoneticPr fontId="23" type="noConversion"/>
  </si>
  <si>
    <t>강릉국제청소년예술축전</t>
    <phoneticPr fontId="23" type="noConversion"/>
  </si>
  <si>
    <t>일부위탁</t>
    <phoneticPr fontId="23" type="noConversion"/>
  </si>
  <si>
    <t xml:space="preserve"> ○ 맥주시음장, 댄스파티 등</t>
    <phoneticPr fontId="23" type="noConversion"/>
  </si>
  <si>
    <t>7월 초</t>
    <phoneticPr fontId="23" type="noConversion"/>
  </si>
  <si>
    <t>경포수제맥주축제</t>
    <phoneticPr fontId="23" type="noConversion"/>
  </si>
  <si>
    <t>단오제위원회</t>
    <phoneticPr fontId="23" type="noConversion"/>
  </si>
  <si>
    <t>재단법임</t>
    <phoneticPr fontId="23" type="noConversion"/>
  </si>
  <si>
    <t>단오제</t>
    <phoneticPr fontId="23" type="noConversion"/>
  </si>
  <si>
    <t>강릉시 문화예술과/
강릉단오제위원회, 
강릉단오제보존회
(033-641-1593~4)</t>
    <phoneticPr fontId="23" type="noConversion"/>
  </si>
  <si>
    <t>○ 지정문화재 행사(제례, 단오굿, 관노가면극)
    단오체험촌, 공연, 전시 등 13개분야 
    70여개 프로그램 운영
    기타 난장 및 경축부대행사 개최</t>
    <phoneticPr fontId="23" type="noConversion"/>
  </si>
  <si>
    <t>6.21.~6.28
(8일간).</t>
    <phoneticPr fontId="23" type="noConversion"/>
  </si>
  <si>
    <t>강릉단오제</t>
    <phoneticPr fontId="23" type="noConversion"/>
  </si>
  <si>
    <t>(033-660-3152)</t>
    <phoneticPr fontId="23" type="noConversion"/>
  </si>
  <si>
    <t xml:space="preserve"> ○ 강릉 팜푸드페스티벌 운영
 ○ 강릉 셰프 쿡 쇼, 요리대회
 ○ 로컬푸드 팜푸드 마켓
 ○ 쿠킹클래스, 체험, 푸드가든, 공연, 이벤트 등 운영</t>
    <phoneticPr fontId="23" type="noConversion"/>
  </si>
  <si>
    <t>경포,스프링푸드가든</t>
    <phoneticPr fontId="23" type="noConversion"/>
  </si>
  <si>
    <t>개두릅</t>
    <phoneticPr fontId="23" type="noConversion"/>
  </si>
  <si>
    <t>○ 개두릅 시식 및 각종 체험행사 등</t>
    <phoneticPr fontId="23" type="noConversion"/>
  </si>
  <si>
    <t>개두릅축제</t>
    <phoneticPr fontId="23" type="noConversion"/>
  </si>
  <si>
    <t>복숭아꽃</t>
    <phoneticPr fontId="23" type="noConversion"/>
  </si>
  <si>
    <t xml:space="preserve">   2001년도   (19회) </t>
    <phoneticPr fontId="23" type="noConversion"/>
  </si>
  <si>
    <t>강릉시 / 강릉시(로컬푸드과)
(033-640-5407)</t>
    <phoneticPr fontId="23" type="noConversion"/>
  </si>
  <si>
    <t>○ 복사꽃을 테마로한 공연,전시, 체험프로그램 운영
○ 노래경연대회 및 어린이 사생대회
    - 3개분야 15여개 프로그램
○ 유료체험, 일반체험, 무료체험 등</t>
    <phoneticPr fontId="23" type="noConversion"/>
  </si>
  <si>
    <t>4월 중순               (2일간)</t>
    <phoneticPr fontId="23" type="noConversion"/>
  </si>
  <si>
    <t>장덕리복사꽃축제</t>
    <phoneticPr fontId="23" type="noConversion"/>
  </si>
  <si>
    <t>○ 포토존, 먹거리장터운영 등</t>
    <phoneticPr fontId="23" type="noConversion"/>
  </si>
  <si>
    <t>3월 말</t>
    <phoneticPr fontId="23" type="noConversion"/>
  </si>
  <si>
    <t>경포벚꽃잔치</t>
    <phoneticPr fontId="23" type="noConversion"/>
  </si>
  <si>
    <t>원주원에농협 하나로마크광장</t>
    <phoneticPr fontId="23" type="noConversion"/>
  </si>
  <si>
    <t>배</t>
    <phoneticPr fontId="23" type="noConversion"/>
  </si>
  <si>
    <t>○ 치악산배 직판 및품평회, 전시, 배이용 요리 
시식회 , 체험이벤트 등</t>
    <phoneticPr fontId="23" type="noConversion"/>
  </si>
  <si>
    <t>치악산 
배 축제</t>
    <phoneticPr fontId="23" type="noConversion"/>
  </si>
  <si>
    <t>원주시</t>
    <phoneticPr fontId="23" type="noConversion"/>
  </si>
  <si>
    <t>따뚜공연장</t>
    <phoneticPr fontId="23" type="noConversion"/>
  </si>
  <si>
    <t>치악산복숭아원주시협의회
(033-737-4131)</t>
    <phoneticPr fontId="23" type="noConversion"/>
  </si>
  <si>
    <t>○ 치악산복숭아 및 농특산물 직판 및 품평회, 
품종 전시, 체험이벤트 등</t>
    <phoneticPr fontId="23" type="noConversion"/>
  </si>
  <si>
    <t>8월중
(2일간)</t>
    <phoneticPr fontId="23" type="noConversion"/>
  </si>
  <si>
    <t>치악산 
복숭아 축제</t>
    <phoneticPr fontId="23" type="noConversion"/>
  </si>
  <si>
    <t>문막체육공원 하천</t>
    <phoneticPr fontId="23" type="noConversion"/>
  </si>
  <si>
    <t>민간(농협)</t>
    <phoneticPr fontId="23" type="noConversion"/>
  </si>
  <si>
    <t>옥수수 등</t>
    <phoneticPr fontId="23" type="noConversion"/>
  </si>
  <si>
    <t>문막농협
(033-737-1164)</t>
    <phoneticPr fontId="23" type="noConversion"/>
  </si>
  <si>
    <t>○ 찰옥수수 및 농특산물 직판 및 전시, 시식회 , 체험이벤트 등</t>
    <phoneticPr fontId="23" type="noConversion"/>
  </si>
  <si>
    <t>7월중
(2일간)</t>
    <phoneticPr fontId="23" type="noConversion"/>
  </si>
  <si>
    <t>치악산 
찰옥수수 축제</t>
    <phoneticPr fontId="23" type="noConversion"/>
  </si>
  <si>
    <t>도서관, 공원</t>
    <phoneticPr fontId="23" type="noConversion"/>
  </si>
  <si>
    <t>기타(1회성)</t>
    <phoneticPr fontId="23" type="noConversion"/>
  </si>
  <si>
    <t>도서관, 책</t>
    <phoneticPr fontId="23" type="noConversion"/>
  </si>
  <si>
    <t>원주시 평생교육원
시립중앙도서관
(033-737-4482)</t>
    <phoneticPr fontId="23" type="noConversion"/>
  </si>
  <si>
    <t xml:space="preserve"> ○ 도서관과 책을 주제로 한 공연, 체험프로그램 운영</t>
    <phoneticPr fontId="23" type="noConversion"/>
  </si>
  <si>
    <t>책(book) 사랑 축제</t>
    <phoneticPr fontId="23" type="noConversion"/>
  </si>
  <si>
    <t>댄싱공연장 일원</t>
    <phoneticPr fontId="23" type="noConversion"/>
  </si>
  <si>
    <t>농업인단체</t>
    <phoneticPr fontId="23" type="noConversion"/>
  </si>
  <si>
    <t>농업인의 날 기념</t>
    <phoneticPr fontId="23" type="noConversion"/>
  </si>
  <si>
    <t>원주시농업인단체협의회
/농촌지도자원주시연합회
(농촌자원과 033-737-4155)</t>
    <phoneticPr fontId="23" type="noConversion"/>
  </si>
  <si>
    <t>○개막식, 팜푸드콘서트, 팜마켓, 농촌문화체험
○건강댄스 경연대회, 허수아비경진대회,연자방아돌리기
○대형가마솥밥 나눔, 오색가래떡 뽑기(200m) 등</t>
    <phoneticPr fontId="23" type="noConversion"/>
  </si>
  <si>
    <t>10.15~18
(4일간)</t>
    <phoneticPr fontId="23" type="noConversion"/>
  </si>
  <si>
    <t>2020 원주삼토페스티벌</t>
    <phoneticPr fontId="23" type="noConversion"/>
  </si>
  <si>
    <t>간현관광지</t>
    <phoneticPr fontId="23" type="noConversion"/>
  </si>
  <si>
    <t>섬강</t>
    <phoneticPr fontId="23" type="noConversion"/>
  </si>
  <si>
    <t>섬강축제위원회
(033-737-5132)</t>
    <phoneticPr fontId="23" type="noConversion"/>
  </si>
  <si>
    <t xml:space="preserve"> ○ 개막식, 노래자랑, 버스킹, 체험존 운영 등</t>
    <phoneticPr fontId="23" type="noConversion"/>
  </si>
  <si>
    <t>섬강축제</t>
    <phoneticPr fontId="23" type="noConversion"/>
  </si>
  <si>
    <t>부론면 법천소공원</t>
    <phoneticPr fontId="23" type="noConversion"/>
  </si>
  <si>
    <t>남한강</t>
    <phoneticPr fontId="23" type="noConversion"/>
  </si>
  <si>
    <t>부론면주민자치위원회
(737-5505)</t>
    <phoneticPr fontId="23" type="noConversion"/>
  </si>
  <si>
    <t xml:space="preserve"> ○ 문화예술공연
 ○ 맨손 물고기 잡기, 노래자랑 등</t>
    <phoneticPr fontId="23" type="noConversion"/>
  </si>
  <si>
    <t>남한강축제</t>
    <phoneticPr fontId="23" type="noConversion"/>
  </si>
  <si>
    <t>단계동 장미공원</t>
    <phoneticPr fontId="23" type="noConversion"/>
  </si>
  <si>
    <t>원주시 관광정책과
(033-737-5132)</t>
    <phoneticPr fontId="23" type="noConversion"/>
  </si>
  <si>
    <t xml:space="preserve"> ○ 장미가요제
 ○ 초등학생 사생대회, 백일장, 장미체험 등</t>
    <phoneticPr fontId="23" type="noConversion"/>
  </si>
  <si>
    <t>장미축제</t>
    <phoneticPr fontId="23" type="noConversion"/>
  </si>
  <si>
    <t>개최완료
(5.25~6.7)</t>
    <phoneticPr fontId="23" type="noConversion"/>
  </si>
  <si>
    <t>판부면 서곡리 용수골 꽃농장</t>
    <phoneticPr fontId="23" type="noConversion"/>
  </si>
  <si>
    <t>양귀비</t>
    <phoneticPr fontId="23" type="noConversion"/>
  </si>
  <si>
    <t>용수골꽃양귀비축제추진위원회
(033-764-4443)</t>
    <phoneticPr fontId="23" type="noConversion"/>
  </si>
  <si>
    <t xml:space="preserve"> ○ 양귀비 관람
 ○ 양귀비색칠하기, 점따라 양귀비 그리기
 ○ 양귀비를 활용한 에코백&amp;티셔츠 만들기
 ○ 꽃 사진 전시 등</t>
    <phoneticPr fontId="23" type="noConversion"/>
  </si>
  <si>
    <t>5.25~6.7
(14일간)</t>
    <phoneticPr fontId="23" type="noConversion"/>
  </si>
  <si>
    <t>용수골꽃양귀비축제</t>
    <phoneticPr fontId="23" type="noConversion"/>
  </si>
  <si>
    <t>공원(원주한지테마파크)</t>
    <phoneticPr fontId="23" type="noConversion"/>
  </si>
  <si>
    <t xml:space="preserve">있음
정규직 9명
계약직 1명
총 10명  </t>
    <phoneticPr fontId="23" type="noConversion"/>
  </si>
  <si>
    <t>한지</t>
    <phoneticPr fontId="23" type="noConversion"/>
  </si>
  <si>
    <t>(사)한지개발원
/ 원주한지문화제위원회
(033-734-4739)</t>
    <phoneticPr fontId="23" type="noConversion"/>
  </si>
  <si>
    <t xml:space="preserve"> ○ 개막식
 ○ 한지뜨기한마당, 풀뿌리한지등
 ○ 한지를테마로 한 전시행사(종이의 숲 외 3)
 ○ 종이놀이터(한지활용 체험프로그램)
 ○ 청소년창작등공모전 및 전시
 ○ 문화예술공연  등</t>
    <phoneticPr fontId="23" type="noConversion"/>
  </si>
  <si>
    <t>5.1~5.5
(5일간)</t>
    <phoneticPr fontId="23" type="noConversion"/>
  </si>
  <si>
    <t>한지문화제</t>
    <phoneticPr fontId="23" type="noConversion"/>
  </si>
  <si>
    <t>광장(댄싱공연장) 외</t>
    <phoneticPr fontId="23" type="noConversion"/>
  </si>
  <si>
    <t xml:space="preserve">있음
정규직 9명
계약직 8명
총 17명  </t>
    <phoneticPr fontId="23" type="noConversion"/>
  </si>
  <si>
    <t>원주시 관광정책과
/ (재)원주문화재단
(033-737-5132)</t>
    <phoneticPr fontId="23" type="noConversion"/>
  </si>
  <si>
    <t xml:space="preserve"> ○ 댄싱카니발 경연
 ○ 개막식 및 주제공연
 ○ 테마가 있는 문화예술공연(한국의 멋 외 3)
 ○ 프린지 페스티발(장르별 문화예술 공연)
 ○ 댄싱페스타(5~20인 이하 댄스경연)
 ○ 포럼 및 아카데미
 ○ 부대행사(군 문화체험 외 5)</t>
    <phoneticPr fontId="23" type="noConversion"/>
  </si>
  <si>
    <t>9.8~9.13
(6일간)</t>
    <phoneticPr fontId="23" type="noConversion"/>
  </si>
  <si>
    <t>2020 원주
다이내믹 댄싱카니발</t>
    <phoneticPr fontId="23" type="noConversion"/>
  </si>
  <si>
    <t>(미종료)</t>
    <phoneticPr fontId="23" type="noConversion"/>
  </si>
  <si>
    <t>야외스케이트</t>
    <phoneticPr fontId="23" type="noConversion"/>
  </si>
  <si>
    <t>2019-2020년도
(1회)</t>
    <phoneticPr fontId="23" type="noConversion"/>
  </si>
  <si>
    <t>춘천시
(033-250-3072)</t>
    <phoneticPr fontId="23" type="noConversion"/>
  </si>
  <si>
    <t>○ 개막식,  아이스쇼
○ 전통놀이체험, 미니컬링, 하키체험
○ 겨울영화상영, 춘천관광안내, 관광사진전
○ 커피시음(시연) 및 판매, 먹거리부스, 포토존 등</t>
    <phoneticPr fontId="23" type="noConversion"/>
  </si>
  <si>
    <t>19.12.24.~
'20.2.9.
(48일간)</t>
    <phoneticPr fontId="23" type="noConversion"/>
  </si>
  <si>
    <t>아이스링크 in 춘천</t>
    <phoneticPr fontId="23" type="noConversion"/>
  </si>
  <si>
    <t>춘천시</t>
    <phoneticPr fontId="23" type="noConversion"/>
  </si>
  <si>
    <t>마을, 공연장, 
학교, 길거리</t>
    <phoneticPr fontId="23" type="noConversion"/>
  </si>
  <si>
    <t>추억</t>
    <phoneticPr fontId="23" type="noConversion"/>
  </si>
  <si>
    <t>춘천시 / 강촌살리기조직위원회
(033-250-3070)</t>
    <phoneticPr fontId="23" type="noConversion"/>
  </si>
  <si>
    <t>○ 개막식, 체험행사, 버스킹, 무대공연 등</t>
    <phoneticPr fontId="23" type="noConversion"/>
  </si>
  <si>
    <t>10월중
(4일간)</t>
    <phoneticPr fontId="23" type="noConversion"/>
  </si>
  <si>
    <t>강촌힐링페스티벌</t>
    <phoneticPr fontId="23" type="noConversion"/>
  </si>
  <si>
    <t>기타
(춘천지역)</t>
    <phoneticPr fontId="23" type="noConversion"/>
  </si>
  <si>
    <t xml:space="preserve">있음
집행위 9명
총 25명
(집행위 포함)
  </t>
    <phoneticPr fontId="23" type="noConversion"/>
  </si>
  <si>
    <t>닭갈비, 
막국수</t>
    <phoneticPr fontId="23" type="noConversion"/>
  </si>
  <si>
    <t>춘천시 / 춘천막국수
닭갈비축제조직위원회
(033-254-4347)</t>
    <phoneticPr fontId="23" type="noConversion"/>
  </si>
  <si>
    <t>○ 막국수, 닭갈비를 주제로한 시식 및 판매
○ 개폐막 공연 및 문화공연
○ 향토음식전국요리대회
○ 1000인분 막국수닭갈비 만들기 체험 등</t>
    <phoneticPr fontId="23" type="noConversion"/>
  </si>
  <si>
    <t>5.19.~5.24.
 (6일간)</t>
    <phoneticPr fontId="23" type="noConversion"/>
  </si>
  <si>
    <t>막국수닭갈비축제</t>
    <phoneticPr fontId="23" type="noConversion"/>
  </si>
  <si>
    <t>서면 애니메이션박물관 일원</t>
    <phoneticPr fontId="23" type="noConversion"/>
  </si>
  <si>
    <t>드론</t>
    <phoneticPr fontId="23" type="noConversion"/>
  </si>
  <si>
    <t>춘천시청 전략산업과
(033-250-4813)</t>
    <phoneticPr fontId="23" type="noConversion"/>
  </si>
  <si>
    <t xml:space="preserve"> ○ 개막식, 드론전시, 드론체험, 드론교육, 드론스포츠대회 등</t>
    <phoneticPr fontId="23" type="noConversion"/>
  </si>
  <si>
    <t>6월 중
(2일간)</t>
    <phoneticPr fontId="23" type="noConversion"/>
  </si>
  <si>
    <t>드론페스티벌</t>
    <phoneticPr fontId="23" type="noConversion"/>
  </si>
  <si>
    <t>애니메이션</t>
    <phoneticPr fontId="23" type="noConversion"/>
  </si>
  <si>
    <t>춘천시/(재)강원정보문화진흥원(033-245-6210)</t>
    <phoneticPr fontId="23" type="noConversion"/>
  </si>
  <si>
    <t xml:space="preserve"> ○ 가족뮤지컬, 유튜버초청행사, 토이페스티벌과 연계행사</t>
    <phoneticPr fontId="23" type="noConversion"/>
  </si>
  <si>
    <t>애니타운페스티벌</t>
    <phoneticPr fontId="23" type="noConversion"/>
  </si>
  <si>
    <t>서면 애니메이션박물관, 인형극장, 글램핑장, 로봇관</t>
    <phoneticPr fontId="23" type="noConversion"/>
  </si>
  <si>
    <t>장난감축제</t>
    <phoneticPr fontId="23" type="noConversion"/>
  </si>
  <si>
    <t xml:space="preserve"> ○ 개막행사, 장난감 전시 및 체험행사, 공연, 플리마켓,
     기타 연계행사 등</t>
    <phoneticPr fontId="23" type="noConversion"/>
  </si>
  <si>
    <t>장난감축제
(토이페스티벌)</t>
    <phoneticPr fontId="23" type="noConversion"/>
  </si>
  <si>
    <t>개최완료
(5.27~6.17)</t>
    <phoneticPr fontId="23" type="noConversion"/>
  </si>
  <si>
    <t>공연장, 극장</t>
    <phoneticPr fontId="23" type="noConversion"/>
  </si>
  <si>
    <t>사무국장 1명
직원 2명</t>
    <phoneticPr fontId="23" type="noConversion"/>
  </si>
  <si>
    <t>예술제</t>
    <phoneticPr fontId="23" type="noConversion"/>
  </si>
  <si>
    <t>춘천시, 춘천예총/ 
춘천예총, G1강원민방 
(033-243-4360)</t>
    <phoneticPr fontId="23" type="noConversion"/>
  </si>
  <si>
    <t>○ 봄내미술인전, 춘천전국사진공모전, 시화전
○봄내음악회, 시민자유무대, 봄내국악/무용제, 봄내가요제, 열린음악회, 봄내연극제 
○전통풍물악기, 나도시인이다. 사진공모전 애회전시</t>
    <phoneticPr fontId="23" type="noConversion"/>
  </si>
  <si>
    <t>5.10~5.29
(20일간)</t>
    <phoneticPr fontId="23" type="noConversion"/>
  </si>
  <si>
    <t>봄내예술제</t>
    <phoneticPr fontId="23" type="noConversion"/>
  </si>
  <si>
    <t>극장, 공원</t>
    <phoneticPr fontId="23" type="noConversion"/>
  </si>
  <si>
    <t xml:space="preserve">있음
(사무국 및 
집행위원회) 
</t>
    <phoneticPr fontId="23" type="noConversion"/>
  </si>
  <si>
    <t>인형극</t>
    <phoneticPr fontId="23" type="noConversion"/>
  </si>
  <si>
    <t>1989년도
(32회)</t>
    <phoneticPr fontId="23" type="noConversion"/>
  </si>
  <si>
    <t>(재)춘천인형극제
(033-242-8452)</t>
    <phoneticPr fontId="23" type="noConversion"/>
  </si>
  <si>
    <t xml:space="preserve"> ○ 개막퍼레이드, 극장공연, 장난감음악회
 ○ 체험/놀이프로그램, 인형극 경연대회 
 ○ 어린이벼룩시장</t>
    <phoneticPr fontId="23" type="noConversion"/>
  </si>
  <si>
    <t>9월~10월 중</t>
    <phoneticPr fontId="23" type="noConversion"/>
  </si>
  <si>
    <t>춘천인형극제</t>
    <phoneticPr fontId="23" type="noConversion"/>
  </si>
  <si>
    <t xml:space="preserve">(사)춘천연극제
(033-241-4345) </t>
    <phoneticPr fontId="23" type="noConversion"/>
  </si>
  <si>
    <t xml:space="preserve"> ○ 전국대상 공모, 연극제
 ○ 개폐막 초청공연, 경연공연 
    - 국내 60팀, 해외 6팀
 ○ 소소아마추어연극제, 국내외버스킹, 난리법석페스티벌,   
     시상식 </t>
    <phoneticPr fontId="23" type="noConversion"/>
  </si>
  <si>
    <t>6.12.~6.20.
(9일간)</t>
    <phoneticPr fontId="23" type="noConversion"/>
  </si>
  <si>
    <t>춘천연극제</t>
    <phoneticPr fontId="23" type="noConversion"/>
  </si>
  <si>
    <t>개최완료
(일시중단)</t>
    <phoneticPr fontId="23" type="noConversion"/>
  </si>
  <si>
    <t>마임</t>
    <phoneticPr fontId="23" type="noConversion"/>
  </si>
  <si>
    <t>(사)춘천마임축제/
춘천마임축제운영위원회
(033-242-0585)</t>
    <phoneticPr fontId="23" type="noConversion"/>
  </si>
  <si>
    <t xml:space="preserve"> ○ 마임공연, 아!水라장, 도깨비난장, 물火일체 등</t>
    <phoneticPr fontId="23" type="noConversion"/>
  </si>
  <si>
    <t>5.24.~5.31.
(8일간)</t>
    <phoneticPr fontId="23" type="noConversion"/>
  </si>
  <si>
    <t>춘천마임축제</t>
    <phoneticPr fontId="23" type="noConversion"/>
  </si>
  <si>
    <t>1997~2006
/2015~20
(5회)</t>
    <phoneticPr fontId="23" type="noConversion"/>
  </si>
  <si>
    <t>단양군농림과/농협단양군지부
043-420-3472</t>
    <phoneticPr fontId="23" type="noConversion"/>
  </si>
  <si>
    <t>○ 개막식/축하음악회
○ 마늘관련 전시·체험행사, 농특산물 판매</t>
    <phoneticPr fontId="23" type="noConversion"/>
  </si>
  <si>
    <t>제14회 단양마늘축제</t>
    <phoneticPr fontId="23" type="noConversion"/>
  </si>
  <si>
    <t>단양군</t>
    <phoneticPr fontId="23" type="noConversion"/>
  </si>
  <si>
    <t>온달관광지</t>
    <phoneticPr fontId="23" type="noConversion"/>
  </si>
  <si>
    <t>고구려 문화     (온달, 평강)</t>
    <phoneticPr fontId="23" type="noConversion"/>
  </si>
  <si>
    <t>온달문화축제추진위원회
/ 단양문화원
(043-420-2562)</t>
    <phoneticPr fontId="23" type="noConversion"/>
  </si>
  <si>
    <r>
      <t>○ 고구려 테마존
○ 온달</t>
    </r>
    <r>
      <rPr>
        <sz val="10"/>
        <rFont val="맑은 고딕"/>
        <family val="3"/>
        <charset val="136"/>
        <scheme val="minor"/>
      </rPr>
      <t>‧</t>
    </r>
    <r>
      <rPr>
        <sz val="10"/>
        <rFont val="맑은 고딕"/>
        <family val="3"/>
        <charset val="129"/>
        <scheme val="minor"/>
      </rPr>
      <t>평강 거리 퍼포먼스, 공연,
   체험프로그램 운영</t>
    </r>
    <phoneticPr fontId="23" type="noConversion"/>
  </si>
  <si>
    <t>제24회 단양 온달문화축제</t>
    <phoneticPr fontId="23" type="noConversion"/>
  </si>
  <si>
    <t>소백산 철쭉</t>
    <phoneticPr fontId="23" type="noConversion"/>
  </si>
  <si>
    <t>소백산철쭉제추진위원회
/단양문화원
(043-420-2552)</t>
    <phoneticPr fontId="23" type="noConversion"/>
  </si>
  <si>
    <t>○ 가족과 함께하는 소백산행
○ 소백산철쭉을 주제로 전시, 공연, 체험 프로그램 운영</t>
    <phoneticPr fontId="23" type="noConversion"/>
  </si>
  <si>
    <t>제38회 단양 소백산 철쭉제</t>
    <phoneticPr fontId="23" type="noConversion"/>
  </si>
  <si>
    <t>쌍둥이 가족</t>
    <phoneticPr fontId="23" type="noConversion"/>
  </si>
  <si>
    <t>단양군 문화체육과 / 단양문화원
(043-420-2552)</t>
    <phoneticPr fontId="23" type="noConversion"/>
  </si>
  <si>
    <t>○ 쌍둥이 가족 장기자랑
○ 쌍둥이 가족 및 일반인 대상 각종 체험 행사</t>
    <phoneticPr fontId="23" type="noConversion"/>
  </si>
  <si>
    <t>4.25.~4.26.
(2일간)</t>
    <phoneticPr fontId="23" type="noConversion"/>
  </si>
  <si>
    <t>제5회 쌍둥이 힐링 페스티벌</t>
    <phoneticPr fontId="23" type="noConversion"/>
  </si>
  <si>
    <t>문화공연</t>
    <phoneticPr fontId="23" type="noConversion"/>
  </si>
  <si>
    <t>1982년(39회)</t>
    <phoneticPr fontId="23" type="noConversion"/>
  </si>
  <si>
    <t>음성문화원 / 
설성문화제 기획실무위원회
(043-872-4084)</t>
    <phoneticPr fontId="23" type="noConversion"/>
  </si>
  <si>
    <t>설성문화제</t>
    <phoneticPr fontId="23" type="noConversion"/>
  </si>
  <si>
    <t>음성군</t>
    <phoneticPr fontId="23" type="noConversion"/>
  </si>
  <si>
    <t>공원및기타</t>
    <phoneticPr fontId="23" type="noConversion"/>
  </si>
  <si>
    <t>품바</t>
    <phoneticPr fontId="23" type="noConversion"/>
  </si>
  <si>
    <t>음성예총 /
품바축제기획실무위원회
(043-873-2241)</t>
    <phoneticPr fontId="23" type="noConversion"/>
  </si>
  <si>
    <t>○ 대표프로그램: 품바길놀이퍼레이드,품바래퍼경연대회, 관광객과 함께하는 품바공연
○ 해학과 풍자를 테마로한 품바공연, 퍼레이드 등 다양한 체험 프로그램 운영
○ 기타프로그램: 품바뮤지컬, 품바왕선발대회, 품바의상패션쇼, 천인의 엿치기, 품바움막짓기대회, 
     천인의 품바비빔밥나누기,품바가요제, 품바사진촬영대회, 전국 청소년 품바댄스 경연대회, 
○ 꽃동네 프로그램: 러브인액션스쿨, 독거노인에게 사랑과  희망을, 장애인과 함께  사랑과 희망을, 
     전국 사할린 동포 한마음 대회
○ 음성군농특산물 판매
○ 전통한방체험관, 최귀동인류애 봉사대상 시상, 유니세프기금 모금</t>
    <phoneticPr fontId="23" type="noConversion"/>
  </si>
  <si>
    <t>5.27.~5.31.
(5일간)</t>
    <phoneticPr fontId="23" type="noConversion"/>
  </si>
  <si>
    <t>음성품바축제</t>
    <phoneticPr fontId="23" type="noConversion"/>
  </si>
  <si>
    <t>괴산유기농엑스포광장 일원</t>
    <phoneticPr fontId="23" type="noConversion"/>
  </si>
  <si>
    <t>괴산유기농업인연합회</t>
    <phoneticPr fontId="23" type="noConversion"/>
  </si>
  <si>
    <t>괴산군 농업정책과/
괴산군유기농업인연합회
(043-830-3174)</t>
    <phoneticPr fontId="23" type="noConversion"/>
  </si>
  <si>
    <t>괴산유기농페스티벌</t>
    <phoneticPr fontId="23" type="noConversion"/>
  </si>
  <si>
    <t>괴산군</t>
    <phoneticPr fontId="23" type="noConversion"/>
  </si>
  <si>
    <t>괴산축제위원회</t>
    <phoneticPr fontId="23" type="noConversion"/>
  </si>
  <si>
    <t>절임배추</t>
    <phoneticPr fontId="23" type="noConversion"/>
  </si>
  <si>
    <t>괴산군 문화체육관광과
(043-830-3463)</t>
    <phoneticPr fontId="23" type="noConversion"/>
  </si>
  <si>
    <t>10.30.~11.1
(3일간)</t>
    <phoneticPr fontId="23" type="noConversion"/>
  </si>
  <si>
    <t>괴산김장축제</t>
    <phoneticPr fontId="23" type="noConversion"/>
  </si>
  <si>
    <t>괴산군 문화체육관광과/
괴산축제위원회
(043-830-3462)</t>
    <phoneticPr fontId="23" type="noConversion"/>
  </si>
  <si>
    <t>9.3.~9.6.
(4일간)</t>
    <phoneticPr fontId="23" type="noConversion"/>
  </si>
  <si>
    <t>괴산고추축제</t>
    <phoneticPr fontId="23" type="noConversion"/>
  </si>
  <si>
    <t>문화</t>
    <phoneticPr fontId="23" type="noConversion"/>
  </si>
  <si>
    <t>1979년도
(41회)</t>
    <phoneticPr fontId="23" type="noConversion"/>
  </si>
  <si>
    <t>진천문화원
/생거진천문화축제추진위원회
(043-533-2744)</t>
    <phoneticPr fontId="23" type="noConversion"/>
  </si>
  <si>
    <t>○ 군민 가요제
○ 문화예술공연, 민속경기, 길놀이
○ 건강박람회, 기업체 우수제품 홍보판매관
○ 평생학습축제, 향토음식 경연대회
○ 농특산물전시판매행사, 향토 먹거리장터 등</t>
    <phoneticPr fontId="23" type="noConversion"/>
  </si>
  <si>
    <t>생거진천 문화축제</t>
    <phoneticPr fontId="23" type="noConversion"/>
  </si>
  <si>
    <t>진천군</t>
    <phoneticPr fontId="23" type="noConversion"/>
  </si>
  <si>
    <t>농다리</t>
    <phoneticPr fontId="23" type="noConversion"/>
  </si>
  <si>
    <t>진천군
(043-539-3602)</t>
    <phoneticPr fontId="23" type="noConversion"/>
  </si>
  <si>
    <t>○ 상여다리건너기
○ 농사철다리건너기, 농다리 전국가요제, 농다리 놓기 
  재연 및 사물놀이 한마당
○ 견지낚시대회, 백일장 및 사생대회, 농다리 씨름대회
○ 20주년 특집 고려시대 저자거리 전시,체험 부스 등</t>
    <phoneticPr fontId="23" type="noConversion"/>
  </si>
  <si>
    <t>5.22~5.24
(3일간)</t>
    <phoneticPr fontId="23" type="noConversion"/>
  </si>
  <si>
    <t>생거진천 농다리축제</t>
    <phoneticPr fontId="23" type="noConversion"/>
  </si>
  <si>
    <t xml:space="preserve">있음
정규직 3명
 </t>
    <phoneticPr fontId="23" type="noConversion"/>
  </si>
  <si>
    <t>사단법인
(증평문화원)</t>
    <phoneticPr fontId="23" type="noConversion"/>
  </si>
  <si>
    <t>인삼, 홍삼포크</t>
    <phoneticPr fontId="23" type="noConversion"/>
  </si>
  <si>
    <t>1992년도
(29회)</t>
    <phoneticPr fontId="23" type="noConversion"/>
  </si>
  <si>
    <t>증평군 문화체육과
/증평문화원
(043-835-4143)
/(043-835-3977)</t>
    <phoneticPr fontId="23" type="noConversion"/>
  </si>
  <si>
    <t xml:space="preserve">○ 핵심프로그램(인삼캐기체험, 홍삼포크삼겹살대잔치)
○ 인삼, 홍삼포크를 테마로 한 공연, 전시, 체험프로그램 운영
○ 개막 공연 및 문화공연(열린콘서트, 인삼골합창제, 인삼골군악콘서트)
○ 경연행사(국제청소년페스티벌, 인삼장사씨름대회, 인삼골가요제, 증평인삼어린이사생대회, 백곡김득신백일장)
○ 기타 전시·체험행사, 참여행사 등 </t>
    <phoneticPr fontId="23" type="noConversion"/>
  </si>
  <si>
    <t>10.8.~10.11.
(4일간)</t>
    <phoneticPr fontId="23" type="noConversion"/>
  </si>
  <si>
    <t>증평인삼골축제</t>
    <phoneticPr fontId="23" type="noConversion"/>
  </si>
  <si>
    <t>증평군</t>
    <phoneticPr fontId="23" type="noConversion"/>
  </si>
  <si>
    <t>사단법인
(증평예총)</t>
    <phoneticPr fontId="23" type="noConversion"/>
  </si>
  <si>
    <t>두레농요
전통문화예술
(국악, 시조 등)</t>
    <phoneticPr fontId="23" type="noConversion"/>
  </si>
  <si>
    <t>2004년도
(16회)
2015년 메르스로 미개최</t>
    <phoneticPr fontId="23" type="noConversion"/>
  </si>
  <si>
    <t>증평군 문화체육과
/증평예총
(043-835-4152)
/(043-835-3970)</t>
    <phoneticPr fontId="23" type="noConversion"/>
  </si>
  <si>
    <t>○ 핵심프로그램(장뜰두레농요 시연)
○ 전통 농경문화를 테마로 한 공연, 전시, 체험프로그램 운영
○ 개막 공연 및 문화공연(효콘서트 국악한마당, 사랑의 퓨전음악회, 전통민속놀이 한마당)
○체험행사(물고기·우렁이잡기, 감자캐기, 논놀이·농경체험, 오감체험 등)
○ 경연행사(전국국악경연대회, 전국시조경창대회 등)
○ 전시행사(사진전시, 시화전시 등)</t>
    <phoneticPr fontId="23" type="noConversion"/>
  </si>
  <si>
    <t>6.13. ~ 6.14.
(2일간)</t>
    <phoneticPr fontId="23" type="noConversion"/>
  </si>
  <si>
    <t>증평들노래축제</t>
    <phoneticPr fontId="23" type="noConversion"/>
  </si>
  <si>
    <t>영동체육관일원</t>
    <phoneticPr fontId="23" type="noConversion"/>
  </si>
  <si>
    <t>영동군· 영동군축제추진위원회
/ 영동축제관광재단·영동곶감연합회
(043-745-8916~8)</t>
    <phoneticPr fontId="23" type="noConversion"/>
  </si>
  <si>
    <t>○ 개장식 및 개막식행사 
○ 눈썰매장 체험
○ 어린이 프로그램 "뽀로로"공연
○ 곶감시식 판매행사
○ 곶감따기 체험장 등 이벤트프로그램 운영
○ 영동곶감 한마음 콘서트</t>
    <phoneticPr fontId="23" type="noConversion"/>
  </si>
  <si>
    <t>1.3~1.5
(3일간)</t>
    <phoneticPr fontId="23" type="noConversion"/>
  </si>
  <si>
    <t>영동곶감축제</t>
    <phoneticPr fontId="23" type="noConversion"/>
  </si>
  <si>
    <t>2004
(16회)</t>
    <phoneticPr fontId="23" type="noConversion"/>
  </si>
  <si>
    <t>○ 포도밟기
○ 포도따기
○ 포도낚시등 40여종 체험운영
○ 물놀이장 운영
○ 공연분야 : 개막식, 개막축하공연, 어린이 공연 "번개맨"상설공연, 불꽃놀이등
○ 전시 및 먹거리분야 : 과일종합전시관, 먹거리장터운영
○ 기타분야 : 국악체험촌 국악공연, 농촌체험마을 
○ 연계행사 :  영동포도 전국마라톤대회, 추풍령가요제</t>
    <phoneticPr fontId="23" type="noConversion"/>
  </si>
  <si>
    <t>8월 중
(4일간)</t>
    <phoneticPr fontId="23" type="noConversion"/>
  </si>
  <si>
    <t>영동포도축제</t>
    <phoneticPr fontId="23" type="noConversion"/>
  </si>
  <si>
    <t>○ 한국와인대상
○ 와인을 테마로한 공연, 전시, 체험프로그램 운영
○ 영동와이너리 생산 와인전시 및 판매, 공연 등
○ 개장식 및 연계행사 등등</t>
    <phoneticPr fontId="23" type="noConversion"/>
  </si>
  <si>
    <t>대한민국와인축제</t>
    <phoneticPr fontId="23" type="noConversion"/>
  </si>
  <si>
    <t>○ 전국 국악동요 부르기 대회
○ 국악을 테마로한 공연, 전시, 체험프로그램 운영
○ 개폐막 공연, 주연 뮤지컬 공연 및 문화공연
○ 기타 프린지공연 및 연계행사 등등</t>
    <phoneticPr fontId="23" type="noConversion"/>
  </si>
  <si>
    <t>영동난계국악축제</t>
    <phoneticPr fontId="23" type="noConversion"/>
  </si>
  <si>
    <t>공원 및 유적지</t>
    <phoneticPr fontId="23" type="noConversion"/>
  </si>
  <si>
    <t>있음
정규직 7명</t>
    <phoneticPr fontId="23" type="noConversion"/>
  </si>
  <si>
    <t>인물
(의병장 조헌)</t>
    <phoneticPr fontId="23" type="noConversion"/>
  </si>
  <si>
    <t>옥천군,옥천문화원/옥천청년회의소,각 문화예술단체
(043-730-3402)</t>
    <phoneticPr fontId="23" type="noConversion"/>
  </si>
  <si>
    <t>○ 중봉조헌추모제향 및 영규대사 추모제</t>
    <phoneticPr fontId="23" type="noConversion"/>
  </si>
  <si>
    <t>옥천공설운동장</t>
    <phoneticPr fontId="23" type="noConversion"/>
  </si>
  <si>
    <t>공공(군)</t>
    <phoneticPr fontId="23" type="noConversion"/>
  </si>
  <si>
    <t>○ 옥천 포도복숭아 역사전시관
○ 포도따기 체험, 품종 전시관 운영 등
○ 개막축하음악회, 청소년페스티벌, 가요제 등 문화공연
○ 기타 보조무대 공연 및 체험행사 운영 등</t>
    <phoneticPr fontId="23" type="noConversion"/>
  </si>
  <si>
    <t>7. 24~7.26.
(3일간)</t>
    <phoneticPr fontId="23" type="noConversion"/>
  </si>
  <si>
    <t>제14회 향수옥천 포도복숭아축제</t>
    <phoneticPr fontId="23" type="noConversion"/>
  </si>
  <si>
    <t>공원 및 마을</t>
    <phoneticPr fontId="23" type="noConversion"/>
  </si>
  <si>
    <t>인물
(정지용)</t>
    <phoneticPr fontId="23" type="noConversion"/>
  </si>
  <si>
    <t>1988년
(33회)</t>
    <phoneticPr fontId="23" type="noConversion"/>
  </si>
  <si>
    <t>○ 시인과 함께하는 시노래공연, 고향테마파크향수민속촌
○ 정지용을 테마로한 공연 프로그램 운영 
  - 동북아국제문학포럼, 문학관광열차, 시춤페스티벌 등
○ 전시 및 체험행사 등</t>
    <phoneticPr fontId="23" type="noConversion"/>
  </si>
  <si>
    <t>옻순</t>
    <phoneticPr fontId="23" type="noConversion"/>
  </si>
  <si>
    <t>옥천군
/옥천참옻축제추진위원회
(043-730-3593)</t>
    <phoneticPr fontId="23" type="noConversion"/>
  </si>
  <si>
    <t>○ 옥천 참옻 홍보 및 판매
○ 공연, 전시 및 체험행사 등</t>
    <phoneticPr fontId="23" type="noConversion"/>
  </si>
  <si>
    <t>4월 말</t>
    <phoneticPr fontId="23" type="noConversion"/>
  </si>
  <si>
    <t>제12회 옥천참옻축제</t>
    <phoneticPr fontId="23" type="noConversion"/>
  </si>
  <si>
    <t>묘목</t>
    <phoneticPr fontId="23" type="noConversion"/>
  </si>
  <si>
    <t>옥천이원묘목영농조합법인
/옥천묘목축제추진위원회
(043-730-3593)</t>
    <phoneticPr fontId="23" type="noConversion"/>
  </si>
  <si>
    <t>○ 묘목나누어주기
○ 묘목가요제 등 공연 프로그램 운영
○ 전시 및 체험행사 등</t>
    <phoneticPr fontId="23" type="noConversion"/>
  </si>
  <si>
    <t>3.26.~3.29.
(4일간)</t>
    <phoneticPr fontId="23" type="noConversion"/>
  </si>
  <si>
    <t>제21회 옥천묘목축제</t>
    <phoneticPr fontId="23" type="noConversion"/>
  </si>
  <si>
    <t>보은군 문화관광과 / 보은문화원
(043-540-3373)</t>
    <phoneticPr fontId="23" type="noConversion"/>
  </si>
  <si>
    <t>보은군 문화관광과
/ 속리산 신화여행축제 추진위원회
(043-540-3372)</t>
    <phoneticPr fontId="23" type="noConversion"/>
  </si>
  <si>
    <t>○ 속리산 산신제 및 영신행차
○ 천왕봉 산신제와 지역 역사 및 전통문화를 융합한 
     공연, 전시, 체험 프로그램 운영
○ 개막공연, 주제공연 등 20여개 프로그램</t>
    <phoneticPr fontId="23" type="noConversion"/>
  </si>
  <si>
    <t>보은군청 문화관광과
/ 보은군축제추진위원회
(043-540-3392)</t>
    <phoneticPr fontId="23" type="noConversion"/>
  </si>
  <si>
    <t>개최완료(온라인)
(8.13~8.17)</t>
    <phoneticPr fontId="23" type="noConversion"/>
  </si>
  <si>
    <t>○ 핵심프로그램 : 개폐막식, 원썸머나잇, 의림썸머나잇
○ 영화프로그램 : 음악을 주제로 한 영화상영(100여편)
○ 음악프로그램 : 30여개 팀 공연 
○ 특별프로그램 : 거리의 악사 페스티벌, 제천영화음악제 아카데미, 제천영화음악상, JIMFF포럼,  JIMFF동네극장 등</t>
    <phoneticPr fontId="23" type="noConversion"/>
  </si>
  <si>
    <t>제천시(문화예술과)
/재단법인제천문화재단
(043-641-4870)</t>
    <phoneticPr fontId="23" type="noConversion"/>
  </si>
  <si>
    <t>농산물</t>
    <phoneticPr fontId="23" type="noConversion"/>
  </si>
  <si>
    <t>충주시 농정과
/ 충주농산물한마당축제추진위원회
(043-850-5721)</t>
    <phoneticPr fontId="23" type="noConversion"/>
  </si>
  <si>
    <t>○ 키즈존, 매직&amp;버블쇼, 농산물홍보관
○ 사과백일장, 웅변대회, 요리왕 경연대회
○ 인삼 및 군고구마장터, 농산물 시식, 떡나눔 행사
○ 농산물 반값 할인이벤트, 와유바유체험, 화합의장 등</t>
    <phoneticPr fontId="23" type="noConversion"/>
  </si>
  <si>
    <t>충주농산물한마당축제
(충주시 브랜드 온라인 페스티벌)</t>
    <phoneticPr fontId="23" type="noConversion"/>
  </si>
  <si>
    <t>충주공설운동장 일원</t>
    <phoneticPr fontId="23" type="noConversion"/>
  </si>
  <si>
    <t>우륵</t>
    <phoneticPr fontId="23" type="noConversion"/>
  </si>
  <si>
    <t>1971년
(제50회)</t>
    <phoneticPr fontId="23" type="noConversion"/>
  </si>
  <si>
    <t>우륵문화제</t>
    <phoneticPr fontId="23" type="noConversion"/>
  </si>
  <si>
    <t>충주댐 일원</t>
    <phoneticPr fontId="23" type="noConversion"/>
  </si>
  <si>
    <t>2011년
(제10회)</t>
    <phoneticPr fontId="23" type="noConversion"/>
  </si>
  <si>
    <t>충주시 관광과
/ (사)충주시사회단체연합회
(043-847-4001)</t>
    <phoneticPr fontId="23" type="noConversion"/>
  </si>
  <si>
    <t>○ 충주호벚꽃길 걷기대회
○ 사생대회, 문화공연, 노래자랑 등</t>
    <phoneticPr fontId="23" type="noConversion"/>
  </si>
  <si>
    <t>충주호벛꽃축제</t>
    <phoneticPr fontId="23" type="noConversion"/>
  </si>
  <si>
    <t>탄금호 국제조정경기장 일원</t>
    <phoneticPr fontId="23" type="noConversion"/>
  </si>
  <si>
    <t>2002년
(16회)</t>
    <phoneticPr fontId="23" type="noConversion"/>
  </si>
  <si>
    <t>충주시 관광과
/ (재)충주중원문화재단
(043-850-7981)</t>
    <phoneticPr fontId="23" type="noConversion"/>
  </si>
  <si>
    <t>8월 중
(7일간)</t>
    <phoneticPr fontId="23" type="noConversion"/>
  </si>
  <si>
    <t>직지</t>
    <phoneticPr fontId="23" type="noConversion"/>
  </si>
  <si>
    <t>청주시/행사추진위원회
(043-201-3662)</t>
    <phoneticPr fontId="23" type="noConversion"/>
  </si>
  <si>
    <t>○ 유네스코 공식행사(직지상), 전시, 학술, 체험 등</t>
    <phoneticPr fontId="23" type="noConversion"/>
  </si>
  <si>
    <t>9.4.~9.8.
(5일간)</t>
    <phoneticPr fontId="23" type="noConversion"/>
  </si>
  <si>
    <t>2020 직지코리아 페스티벌</t>
    <phoneticPr fontId="23" type="noConversion"/>
  </si>
  <si>
    <t>청주시 공원조성과
(043-201-2802)</t>
    <phoneticPr fontId="23" type="noConversion"/>
  </si>
  <si>
    <t>○ 정원 전시, 시민참여 정원프로그램 운영 등</t>
    <phoneticPr fontId="23" type="noConversion"/>
  </si>
  <si>
    <t>가드닝 페스티벌</t>
    <phoneticPr fontId="23" type="noConversion"/>
  </si>
  <si>
    <t>문화재야행</t>
    <phoneticPr fontId="23" type="noConversion"/>
  </si>
  <si>
    <t>청주시 문화예술과
/청주문화산업진흥재단
(043-201-2023, 043-219-1131)</t>
    <phoneticPr fontId="23" type="noConversion"/>
  </si>
  <si>
    <t>○ 철당간 등 문화재를 테마로한 공연, 전시, 체험프로그램 운영</t>
    <phoneticPr fontId="23" type="noConversion"/>
  </si>
  <si>
    <t>8.28.~8.29.
(2일간)</t>
    <phoneticPr fontId="23" type="noConversion"/>
  </si>
  <si>
    <t>청주읍성</t>
    <phoneticPr fontId="23" type="noConversion"/>
  </si>
  <si>
    <t>2009년
(11회)</t>
    <phoneticPr fontId="23" type="noConversion"/>
  </si>
  <si>
    <t>청주시 문화예술과/청주문화원
(043-201-2012)</t>
    <phoneticPr fontId="23" type="noConversion"/>
  </si>
  <si>
    <t>○ 시민퍼레이드, 성탈환퍼포먼스, 마당극, 학술대회 등</t>
    <phoneticPr fontId="23" type="noConversion"/>
  </si>
  <si>
    <t>청주읍성큰잔치</t>
    <phoneticPr fontId="23" type="noConversion"/>
  </si>
  <si>
    <t>재즈</t>
    <phoneticPr fontId="23" type="noConversion"/>
  </si>
  <si>
    <t>청주시 문화예술과/㈜청주방송
(043-201-2012)</t>
    <phoneticPr fontId="23" type="noConversion"/>
  </si>
  <si>
    <t>○ 재즈아티스트 공연, 타로아트 전시, 지역출신 재즈밴들 경연</t>
    <phoneticPr fontId="23" type="noConversion"/>
  </si>
  <si>
    <t>청남대 재즈토닉 페스티벌</t>
    <phoneticPr fontId="23" type="noConversion"/>
  </si>
  <si>
    <t>청원생명브랜드</t>
    <phoneticPr fontId="23" type="noConversion"/>
  </si>
  <si>
    <t>청주시 농식품유통과
/ 청원생명축제추진위원회
(043-201-2238)</t>
    <phoneticPr fontId="23" type="noConversion"/>
  </si>
  <si>
    <t>○ 농축산물 판매, 주요공연 등</t>
    <phoneticPr fontId="23" type="noConversion"/>
  </si>
  <si>
    <t xml:space="preserve">2020 청원생명축제 </t>
    <phoneticPr fontId="23" type="noConversion"/>
  </si>
  <si>
    <t>기타법인</t>
    <phoneticPr fontId="23" type="noConversion"/>
  </si>
  <si>
    <t>세종대왕과 초정약수</t>
    <phoneticPr fontId="23" type="noConversion"/>
  </si>
  <si>
    <t>2003년도
(13회)</t>
    <phoneticPr fontId="23" type="noConversion"/>
  </si>
  <si>
    <t>5.29.~5.31.
(3일간)</t>
    <phoneticPr fontId="23" type="noConversion"/>
  </si>
  <si>
    <t>개최완료(온라인)
(8.28~8.29)</t>
    <phoneticPr fontId="23" type="noConversion"/>
  </si>
  <si>
    <t>6.12~6.20
(9일간)</t>
    <phoneticPr fontId="23" type="noConversion"/>
  </si>
  <si>
    <t>광화문광장 일대</t>
    <phoneticPr fontId="23" type="noConversion"/>
  </si>
  <si>
    <t>음악(K-POP 등)</t>
    <phoneticPr fontId="23" type="noConversion"/>
  </si>
  <si>
    <t>서울특별시 문화예술과 /
(재)세종문화회관
(02-2133-2571)</t>
    <phoneticPr fontId="23" type="noConversion"/>
  </si>
  <si>
    <t xml:space="preserve"> ○ K-POP을 중심으로 한 다양한 장르의 대중음악 공연
 ○ 차세대 스타 공연
 ○ 음악산업 연계 프로그램 </t>
    <phoneticPr fontId="23" type="noConversion"/>
  </si>
  <si>
    <t>10.13-10.18
(6일간)</t>
    <phoneticPr fontId="23" type="noConversion"/>
  </si>
  <si>
    <t>2020서울뮤직페스티벌</t>
    <phoneticPr fontId="23" type="noConversion"/>
  </si>
  <si>
    <t>금천구청(광장 및 썬큰광장, 금나래 공원 일대)</t>
    <phoneticPr fontId="23" type="noConversion"/>
  </si>
  <si>
    <t xml:space="preserve">
·위탁
 (운영,하드웨어, 
   프로그램)
</t>
    <phoneticPr fontId="23" type="noConversion"/>
  </si>
  <si>
    <t xml:space="preserve">
없음
</t>
    <phoneticPr fontId="23" type="noConversion"/>
  </si>
  <si>
    <t xml:space="preserve">
 ·공공(시군구)
</t>
    <phoneticPr fontId="23" type="noConversion"/>
  </si>
  <si>
    <t xml:space="preserve"> 
· 매년
</t>
    <phoneticPr fontId="23" type="noConversion"/>
  </si>
  <si>
    <t>4차산업, 과학</t>
    <phoneticPr fontId="23" type="noConversion"/>
  </si>
  <si>
    <t xml:space="preserve">
 ·문화예술
   (과학) 
</t>
    <phoneticPr fontId="23" type="noConversion"/>
  </si>
  <si>
    <t>서울특별시 교육지원과
/ 무한상상 스페이스
(02-2627-2193)</t>
    <phoneticPr fontId="23" type="noConversion"/>
  </si>
  <si>
    <r>
      <t xml:space="preserve"> ○</t>
    </r>
    <r>
      <rPr>
        <u/>
        <sz val="10"/>
        <rFont val="맑은 고딕"/>
        <family val="3"/>
        <charset val="129"/>
        <scheme val="minor"/>
      </rPr>
      <t xml:space="preserve"> 4차산업 혁명 기술을 보고, 즐길 수 있는 전시·체험·퍼포먼스 등 다양한 과학문화축제의 장 </t>
    </r>
    <r>
      <rPr>
        <sz val="10"/>
        <rFont val="맑은 고딕"/>
        <family val="3"/>
        <charset val="129"/>
        <scheme val="minor"/>
      </rPr>
      <t xml:space="preserve">
 ○ 드론관, 가상현실관, 첨단기술관, 생활과학관 전시 및 전시, 체험프로그램 운영(약 100개부스)
 ○ 무대행사 및 문화공연
    - 기념식, 축하공연, 폐막식</t>
    </r>
    <phoneticPr fontId="23" type="noConversion"/>
  </si>
  <si>
    <t>2020 금천 과학 페스티벌</t>
    <phoneticPr fontId="23" type="noConversion"/>
  </si>
  <si>
    <t>금천구</t>
    <phoneticPr fontId="23" type="noConversion"/>
  </si>
  <si>
    <t>금천구청 및 안양천 일대</t>
    <phoneticPr fontId="23" type="noConversion"/>
  </si>
  <si>
    <t>음악, 주민참여
경연대회 등</t>
    <phoneticPr fontId="23" type="noConversion"/>
  </si>
  <si>
    <t>확보
예정</t>
    <phoneticPr fontId="23" type="noConversion"/>
  </si>
  <si>
    <t>금천구 문화체육과
(02-2627-1440)</t>
    <phoneticPr fontId="23" type="noConversion"/>
  </si>
  <si>
    <t>❍ 메인 : 주민이 만드는 개막공연, 우리동네슈퍼스타 등
❍ 부대 : 문화시장(체험, 장터, 먹거리), 버스킹 등
❍ 연계 : 사생대회, 야외조각전 등</t>
    <phoneticPr fontId="23" type="noConversion"/>
  </si>
  <si>
    <t>5월 초</t>
    <phoneticPr fontId="23" type="noConversion"/>
  </si>
  <si>
    <t>금천하모니축제(미정)</t>
    <phoneticPr fontId="23" type="noConversion"/>
  </si>
  <si>
    <t>서울새활용플라자</t>
    <phoneticPr fontId="23" type="noConversion"/>
  </si>
  <si>
    <t>공공(시)
재단법인</t>
    <phoneticPr fontId="23" type="noConversion"/>
  </si>
  <si>
    <t>매년(연1회)</t>
    <phoneticPr fontId="23" type="noConversion"/>
  </si>
  <si>
    <t>업사이클, 디자인</t>
    <phoneticPr fontId="23" type="noConversion"/>
  </si>
  <si>
    <t>새활용 플라자
(02-2153-0494)</t>
    <phoneticPr fontId="23" type="noConversion"/>
  </si>
  <si>
    <t xml:space="preserve"> ○ 새활용 포럼 및 페어
 ○ 새활용 축제 및 행사
 ○ 공동연구 워크숍</t>
    <phoneticPr fontId="23" type="noConversion"/>
  </si>
  <si>
    <t>9.5~9.8
(4일간)</t>
    <phoneticPr fontId="23" type="noConversion"/>
  </si>
  <si>
    <t>새활용위크</t>
    <phoneticPr fontId="23" type="noConversion"/>
  </si>
  <si>
    <t>DDP</t>
    <phoneticPr fontId="23" type="noConversion"/>
  </si>
  <si>
    <t>디자인</t>
    <phoneticPr fontId="23" type="noConversion"/>
  </si>
  <si>
    <t>서울라이프스타일제시</t>
    <phoneticPr fontId="23" type="noConversion"/>
  </si>
  <si>
    <t>서울시</t>
    <phoneticPr fontId="23" type="noConversion"/>
  </si>
  <si>
    <t>서울특별시 디자인정책과
/ 서울디자인재단
(02-2096-0042)</t>
    <phoneticPr fontId="23" type="noConversion"/>
  </si>
  <si>
    <t xml:space="preserve"> ○ 전시, 마켓, 워크숍 등 서울을 대표하는 글로벌 디자인축제</t>
    <phoneticPr fontId="23" type="noConversion"/>
  </si>
  <si>
    <t>9. 22~9.28
(7일간)</t>
    <phoneticPr fontId="23" type="noConversion"/>
  </si>
  <si>
    <t>서울디자인위크</t>
    <phoneticPr fontId="23" type="noConversion"/>
  </si>
  <si>
    <t>종로구</t>
    <phoneticPr fontId="23" type="noConversion"/>
  </si>
  <si>
    <t>매년(연4회)</t>
    <phoneticPr fontId="23" type="noConversion"/>
  </si>
  <si>
    <t>x</t>
    <phoneticPr fontId="23" type="noConversion"/>
  </si>
  <si>
    <t>서울디자인재단
(02-2096-0141)</t>
    <phoneticPr fontId="23" type="noConversion"/>
  </si>
  <si>
    <t xml:space="preserve"> ○ DDP미디어파사드 상영
 ○ 서울라이트 디자인마켓 및 시민참여행사</t>
    <phoneticPr fontId="23" type="noConversion"/>
  </si>
  <si>
    <t>19.12.20~ 
20.1.3</t>
    <phoneticPr fontId="23" type="noConversion"/>
  </si>
  <si>
    <t>서울라이트</t>
    <phoneticPr fontId="23" type="noConversion"/>
  </si>
  <si>
    <t>개최예정(온라인)
(10.20~10.25)</t>
    <phoneticPr fontId="23" type="noConversion"/>
  </si>
  <si>
    <t>2000년도
(40회)</t>
    <phoneticPr fontId="23" type="noConversion"/>
  </si>
  <si>
    <t>서울디자인재단
(02-2096-0073)</t>
    <phoneticPr fontId="23" type="noConversion"/>
  </si>
  <si>
    <t>10월중</t>
    <phoneticPr fontId="23" type="noConversion"/>
  </si>
  <si>
    <t>21S/S서울패션위크</t>
    <phoneticPr fontId="23" type="noConversion"/>
  </si>
  <si>
    <t>매년(연2회)</t>
    <phoneticPr fontId="23" type="noConversion"/>
  </si>
  <si>
    <t>패션</t>
    <phoneticPr fontId="23" type="noConversion"/>
  </si>
  <si>
    <t>2000년도
(39회)</t>
    <phoneticPr fontId="23" type="noConversion"/>
  </si>
  <si>
    <t xml:space="preserve"> ○ 국내 최정상 디자이너 패션쇼
 ○ 신진 디자이너 패션쇼 
 ○ 멘토링세미나, 포트폴리오 리뷰</t>
    <phoneticPr fontId="23" type="noConversion"/>
  </si>
  <si>
    <t>3월중</t>
    <phoneticPr fontId="23" type="noConversion"/>
  </si>
  <si>
    <t>20F/W서울패션위크</t>
    <phoneticPr fontId="23" type="noConversion"/>
  </si>
  <si>
    <t>여의도</t>
    <phoneticPr fontId="23" type="noConversion"/>
  </si>
  <si>
    <t>벚꽃 및 봄꽃</t>
    <phoneticPr fontId="23" type="noConversion"/>
  </si>
  <si>
    <t>미확정</t>
    <phoneticPr fontId="23" type="noConversion"/>
  </si>
  <si>
    <t>시비미확정</t>
    <phoneticPr fontId="23" type="noConversion"/>
  </si>
  <si>
    <t>영등포구청 문화체육과
/영등포문화재단
(02-2670-3144)</t>
    <phoneticPr fontId="23" type="noConversion"/>
  </si>
  <si>
    <t xml:space="preserve">○ 문화행사 
  - 공연 : 전문예술인 및 시민공모 등의 다채로운 공연 퍼포먼스 
  - 전시/체험 : 미술․사진․서예작품 등의 전시, 예술체험, 청소년음원체험 부스 운영 등
  - 기타 : 봄꽃길 걷기대회, 애니메이션페스티벌, 봄꽃백일장, 시민참여 이벤트 
○ 행정지원(질서유지)
 - 한강사업본부, 경찰서, 국회사무처 등 
 - 안전관리 및 상황실 운영 : 종합상황실, 청소, 주차, 가로 정비, 도로, 자원봉사 등 </t>
    <phoneticPr fontId="23" type="noConversion"/>
  </si>
  <si>
    <t>4.7~ 4.12
(6일간)</t>
    <phoneticPr fontId="23" type="noConversion"/>
  </si>
  <si>
    <t>영등포 봄꽃축제</t>
    <phoneticPr fontId="23" type="noConversion"/>
  </si>
  <si>
    <t>영등포구</t>
    <phoneticPr fontId="23" type="noConversion"/>
  </si>
  <si>
    <t>개나리</t>
    <phoneticPr fontId="23" type="noConversion"/>
  </si>
  <si>
    <t>성동구 / 성동문화재단
(02-2286-5203)</t>
    <phoneticPr fontId="23" type="noConversion"/>
  </si>
  <si>
    <t xml:space="preserve"> ○ 가족백일장 및 그림그리기 대회
 ○ 암벽등반 체험, 승마체험, 꿈나들의 응봉산 모험이야기, 개나리 포토존
 ○ 개막식 및 개막축하공연, 환경콘서트 개최
    - 5개 분야 16여개 프로그램
 ○ 근현대 사진전 및 서화전시전</t>
    <phoneticPr fontId="23" type="noConversion"/>
  </si>
  <si>
    <t>3.27~29
(3일간)</t>
    <phoneticPr fontId="23" type="noConversion"/>
  </si>
  <si>
    <t>개나리축제</t>
    <phoneticPr fontId="23" type="noConversion"/>
  </si>
  <si>
    <t>성동구</t>
    <phoneticPr fontId="23" type="noConversion"/>
  </si>
  <si>
    <t>도심광장, 거리, 미술관, 도심재생공간 등</t>
    <phoneticPr fontId="23" type="noConversion"/>
  </si>
  <si>
    <t>부분위탁
(기술시스템, 현장운 등 대행사 위탁운영</t>
    <phoneticPr fontId="23" type="noConversion"/>
  </si>
  <si>
    <t xml:space="preserve">있음
정규직 3명
계약직 8명
총 11명 (예정) </t>
    <phoneticPr fontId="23" type="noConversion"/>
  </si>
  <si>
    <t>거리예술</t>
    <phoneticPr fontId="23" type="noConversion"/>
  </si>
  <si>
    <t>서울문화재단 축제팀
(02-758-2041)</t>
    <phoneticPr fontId="23" type="noConversion"/>
  </si>
  <si>
    <t>○ 국내외 거리예술 공연프로그램(40작품 내외)
○ 시민참여형 놀이프로그램 및 대내외 협력프로그램
○ 전문가 프로그램</t>
    <phoneticPr fontId="23" type="noConversion"/>
  </si>
  <si>
    <t>10.1~10.4
(4일간)</t>
    <phoneticPr fontId="23" type="noConversion"/>
  </si>
  <si>
    <t>서울거리예술축제 2020</t>
    <phoneticPr fontId="23" type="noConversion"/>
  </si>
  <si>
    <t>서울광장, 광화문광장, 청계광장, 세종로, 태평로 일대</t>
    <phoneticPr fontId="23" type="noConversion"/>
  </si>
  <si>
    <t>김장문화</t>
    <phoneticPr fontId="23" type="noConversion"/>
  </si>
  <si>
    <t>2014
(7회)</t>
    <phoneticPr fontId="23" type="noConversion"/>
  </si>
  <si>
    <t>서울특별시 문화예술과
(02-2133-2570)</t>
    <phoneticPr fontId="23" type="noConversion"/>
  </si>
  <si>
    <t>○ 김장나눔
○ 우리 생활 속 김장이야기, 김치고수의 비밀노트, 
    달리는 쿠킹스쿨, 아빠와 함께하는 김치요리 선발대회 등</t>
    <phoneticPr fontId="23" type="noConversion"/>
  </si>
  <si>
    <t>11.6.~11.8
(3일간).</t>
    <phoneticPr fontId="23" type="noConversion"/>
  </si>
  <si>
    <t>서울김장문화제</t>
    <phoneticPr fontId="23" type="noConversion"/>
  </si>
  <si>
    <t>도로</t>
    <phoneticPr fontId="23" type="noConversion"/>
  </si>
  <si>
    <t>4.19혁명</t>
    <phoneticPr fontId="23" type="noConversion"/>
  </si>
  <si>
    <t>민간주관 보훈행사</t>
    <phoneticPr fontId="23" type="noConversion"/>
  </si>
  <si>
    <t>국가보훈처</t>
    <phoneticPr fontId="23" type="noConversion"/>
  </si>
  <si>
    <t>강북구/4.19혁명국민문화제위원회
(02-901-6206)</t>
    <phoneticPr fontId="23" type="noConversion"/>
  </si>
  <si>
    <t xml:space="preserve"> ○ 전야제 및 락뮤직페스티벌
 ○ 4.19혁명을 테마로한 프로그램 운영
 ○ 문화,교육,참여,전시 4개분야 프로그램 운영</t>
    <phoneticPr fontId="23" type="noConversion"/>
  </si>
  <si>
    <t>4.7.~4.19.
(13일간)</t>
    <phoneticPr fontId="23" type="noConversion"/>
  </si>
  <si>
    <t>4.19혁명국민문화제</t>
    <phoneticPr fontId="23" type="noConversion"/>
  </si>
  <si>
    <t>강북구</t>
    <phoneticPr fontId="23" type="noConversion"/>
  </si>
  <si>
    <t xml:space="preserve">전통탈을 기반으로 "일탈"을 주제로 도심형 주민참여형 축제 </t>
    <phoneticPr fontId="23" type="noConversion"/>
  </si>
  <si>
    <t>노원문화재단
(02-2289-3469)</t>
    <phoneticPr fontId="23" type="noConversion"/>
  </si>
  <si>
    <t>○ 탈 퍼레이드 경연대회, 플래시몹
○ 전야제, 초청공연 및 주민참여형 공연
○ 각종 만들기, 공익, 전시, 먹거리 등 다양한 부스 운영</t>
    <phoneticPr fontId="23" type="noConversion"/>
  </si>
  <si>
    <t>10.9~10.10
(2일간)</t>
    <phoneticPr fontId="23" type="noConversion"/>
  </si>
  <si>
    <t>노원탈축제</t>
    <phoneticPr fontId="23" type="noConversion"/>
  </si>
  <si>
    <t>노원구</t>
    <phoneticPr fontId="23" type="noConversion"/>
  </si>
  <si>
    <t>낭만과 열정이 가득한 불빛 수제맥주 축제</t>
    <phoneticPr fontId="23" type="noConversion"/>
  </si>
  <si>
    <t>노원구청 문화체육과
(02-2116-3776)</t>
    <phoneticPr fontId="23" type="noConversion"/>
  </si>
  <si>
    <t xml:space="preserve">○ 수제맥주 시음 
○ 테마별 문화예술공연, 부스 운영, 체험프로그램 등 </t>
    <phoneticPr fontId="23" type="noConversion"/>
  </si>
  <si>
    <t>5.29~30
(2일간)</t>
    <phoneticPr fontId="23" type="noConversion"/>
  </si>
  <si>
    <t>수제맥주축제</t>
    <phoneticPr fontId="23" type="noConversion"/>
  </si>
  <si>
    <t>○ 등 작품, LED 조형물 전시
○ 개막식, 특별행사, 부대행사</t>
    <phoneticPr fontId="23" type="noConversion"/>
  </si>
  <si>
    <t>4.27~5.6
(10일간)</t>
    <phoneticPr fontId="23" type="noConversion"/>
  </si>
  <si>
    <t>노원등축제</t>
    <phoneticPr fontId="23" type="noConversion"/>
  </si>
  <si>
    <t>대학로 일대</t>
    <phoneticPr fontId="23" type="noConversion"/>
  </si>
  <si>
    <t>있음
정규직 1명</t>
    <phoneticPr fontId="23" type="noConversion"/>
  </si>
  <si>
    <t>사단법인
축제조직위원회</t>
    <phoneticPr fontId="23" type="noConversion"/>
  </si>
  <si>
    <t>대학문화</t>
    <phoneticPr fontId="23" type="noConversion"/>
  </si>
  <si>
    <t>대학로문화축제추진위원회
(02-2148-1815)</t>
    <phoneticPr fontId="23" type="noConversion"/>
  </si>
  <si>
    <t>○ 대학생 기획 및 진행 프로그램
  (아시아 대학생들의  전통문화공연 등)</t>
    <phoneticPr fontId="23" type="noConversion"/>
  </si>
  <si>
    <t>8월중</t>
    <phoneticPr fontId="23" type="noConversion"/>
  </si>
  <si>
    <t>대학로문화축제</t>
    <phoneticPr fontId="23" type="noConversion"/>
  </si>
  <si>
    <t>개최완료(온라인)
(6.5~6.7)</t>
    <phoneticPr fontId="23" type="noConversion"/>
  </si>
  <si>
    <t>(사)한국소극장협회
(02-741-4188)</t>
    <phoneticPr fontId="23" type="noConversion"/>
  </si>
  <si>
    <t>○ 거리공연프로그램
  (움직이는 그림, 마로니에 버블타임 등)</t>
    <phoneticPr fontId="23" type="noConversion"/>
  </si>
  <si>
    <t>5월중</t>
    <phoneticPr fontId="23" type="noConversion"/>
  </si>
  <si>
    <t>대학로거리공연축제</t>
    <phoneticPr fontId="23" type="noConversion"/>
  </si>
  <si>
    <t>공원,기념관.갤러리등</t>
    <phoneticPr fontId="23" type="noConversion"/>
  </si>
  <si>
    <t xml:space="preserve">있음
정규직 21명
계약직 31명
총52명
</t>
    <phoneticPr fontId="23" type="noConversion"/>
  </si>
  <si>
    <t>종로문화재단</t>
    <phoneticPr fontId="23" type="noConversion"/>
  </si>
  <si>
    <t>윤동주 문학와 관련된 시화전,음악제,토크 콘서트,전시회 등</t>
    <phoneticPr fontId="23" type="noConversion"/>
  </si>
  <si>
    <t>종로문화재단
(02-6203-1502)</t>
    <phoneticPr fontId="23" type="noConversion"/>
  </si>
  <si>
    <t xml:space="preserve">○ 윤동주 창작음악제,전국청소년 윤동주 시화공모전
    윤동주 문학토크 및 콘서트 </t>
    <phoneticPr fontId="23" type="noConversion"/>
  </si>
  <si>
    <t>9.4~9.6.
(3일간)</t>
    <phoneticPr fontId="23" type="noConversion"/>
  </si>
  <si>
    <t>윤동주 문학제</t>
    <phoneticPr fontId="23" type="noConversion"/>
  </si>
  <si>
    <t>갤러리,미술관 등</t>
    <phoneticPr fontId="23" type="noConversion"/>
  </si>
  <si>
    <t>있음
정규직3명
계약직 2명</t>
    <phoneticPr fontId="23" type="noConversion"/>
  </si>
  <si>
    <t xml:space="preserve">문화예술 체험 및 전시, 특강 </t>
    <phoneticPr fontId="23" type="noConversion"/>
  </si>
  <si>
    <t>사단법인자문밖문화포럼 
(6365-1388)</t>
    <phoneticPr fontId="23" type="noConversion"/>
  </si>
  <si>
    <t xml:space="preserve"> ○ 오픈스튜디오,오픈갤러리,오픈클래스
     오픈콘서트,오픈이벤트</t>
    <phoneticPr fontId="23" type="noConversion"/>
  </si>
  <si>
    <t>자문밖 문화축제</t>
    <phoneticPr fontId="23" type="noConversion"/>
  </si>
  <si>
    <t>광화문광장</t>
    <phoneticPr fontId="23" type="noConversion"/>
  </si>
  <si>
    <t xml:space="preserve">있음
정규직 1명
계약직 1명
총 2명  </t>
    <phoneticPr fontId="23" type="noConversion"/>
  </si>
  <si>
    <t>한복</t>
    <phoneticPr fontId="23" type="noConversion"/>
  </si>
  <si>
    <t>종로구 문화과
/ 종로문화재단
(02-2148-1803
/ 02-6203-1502)</t>
    <phoneticPr fontId="23" type="noConversion"/>
  </si>
  <si>
    <t xml:space="preserve"> ○ 한복를 주제로 한 공연, 체험프로그램 운영
    - 한복패션쇼, 강강술래, 한복오케스트라 등
    - 한복놀이터, 전통예술공연 등</t>
    <phoneticPr fontId="23" type="noConversion"/>
  </si>
  <si>
    <t>9월중</t>
    <phoneticPr fontId="23" type="noConversion"/>
  </si>
  <si>
    <t>종로한복축제</t>
    <phoneticPr fontId="23" type="noConversion"/>
  </si>
  <si>
    <t>기타(주차장)</t>
    <phoneticPr fontId="23" type="noConversion"/>
  </si>
  <si>
    <t>한문화</t>
    <phoneticPr fontId="23" type="noConversion"/>
  </si>
  <si>
    <t>2011년도
10회</t>
    <phoneticPr fontId="23" type="noConversion"/>
  </si>
  <si>
    <t>문화관광과
351-6502</t>
    <phoneticPr fontId="23" type="noConversion"/>
  </si>
  <si>
    <t>한문화를 테마로 문화공연 및 전시, 체험부스 운영</t>
    <phoneticPr fontId="23" type="noConversion"/>
  </si>
  <si>
    <t>북한산 페스티벌</t>
    <phoneticPr fontId="23" type="noConversion"/>
  </si>
  <si>
    <t>은평구</t>
    <phoneticPr fontId="23" type="noConversion"/>
  </si>
  <si>
    <t>불광천</t>
    <phoneticPr fontId="23" type="noConversion"/>
  </si>
  <si>
    <t>2012년도
9회</t>
    <phoneticPr fontId="23" type="noConversion"/>
  </si>
  <si>
    <t>문화관광과
(02-351-6514)</t>
    <phoneticPr fontId="23" type="noConversion"/>
  </si>
  <si>
    <t>벚꽃 개회 시기에 맞춰 벚꽃과 함께 즐기는 문화공연 및 전시, 체험부스 운영</t>
    <phoneticPr fontId="23" type="noConversion"/>
  </si>
  <si>
    <t>벚꽃축제</t>
    <phoneticPr fontId="23" type="noConversion"/>
  </si>
  <si>
    <t>문화재단 대행사업</t>
    <phoneticPr fontId="23" type="noConversion"/>
  </si>
  <si>
    <t>파발</t>
    <phoneticPr fontId="23" type="noConversion"/>
  </si>
  <si>
    <t>1996년
21회</t>
    <phoneticPr fontId="23" type="noConversion"/>
  </si>
  <si>
    <t>파발을 주제로 각 동주민들의 특색있는 길놀이단으로  퍼레이드 운영</t>
    <phoneticPr fontId="23" type="noConversion"/>
  </si>
  <si>
    <t>5월 중순~5월 말</t>
    <phoneticPr fontId="23" type="noConversion"/>
  </si>
  <si>
    <t>파발제</t>
    <phoneticPr fontId="23" type="noConversion"/>
  </si>
  <si>
    <t>차없는거리 광장</t>
    <phoneticPr fontId="23" type="noConversion"/>
  </si>
  <si>
    <t>주민참여</t>
    <phoneticPr fontId="23" type="noConversion"/>
  </si>
  <si>
    <t>2010년도
11회</t>
    <phoneticPr fontId="23" type="noConversion"/>
  </si>
  <si>
    <t>주민주도형 축제로 축제추진위원회를 구성하여 문화공연 및 체험 전시 부스 운영 등</t>
    <phoneticPr fontId="23" type="noConversion"/>
  </si>
  <si>
    <t>10월 중 
(3일간)</t>
    <phoneticPr fontId="23" type="noConversion"/>
  </si>
  <si>
    <t>은평누리축제</t>
    <phoneticPr fontId="23" type="noConversion"/>
  </si>
  <si>
    <t>송파구 문화체육과(02-2147-2831), 송파문화재단(070-7770-3271)/한성백제문화제추진위원회</t>
    <phoneticPr fontId="23" type="noConversion"/>
  </si>
  <si>
    <t>○ 역사문화거리행렬(한성~웅진-사비 포함 추진)
○ 백제체험마을
○ 빛으로 보는 대백제(빛축제, 석촌호수 일대)
○ 대백제 국제학술대회
○ 백제갈라퍼레이드 및 테마공연
○ 한성백제성곽돌기
○ 혼불채화식
○ 동명제(백제고분제)
○ 한성백제 몽촌해자 수변음악회
○ 전국청소년동아리경연대회
○ 백제매사냥 체험
○ 어린이백제병영체험장
○ 한성백제박물관 연계 프로그램
○ 국악경연대회
○ 한성백제 자전거 역사체험단
○ 각종 체험 및 전시 등</t>
    <phoneticPr fontId="23" type="noConversion"/>
  </si>
  <si>
    <t>제20회 한성백제문화제 기념 2020 대백제문화제</t>
    <phoneticPr fontId="23" type="noConversion"/>
  </si>
  <si>
    <t>석촌호수 벚꽃축제</t>
    <phoneticPr fontId="23" type="noConversion"/>
  </si>
  <si>
    <t>서울광장, 문화비축기지</t>
    <phoneticPr fontId="23" type="noConversion"/>
  </si>
  <si>
    <t>드럼</t>
    <phoneticPr fontId="23" type="noConversion"/>
  </si>
  <si>
    <t>서울시 문화예술과
(02-2133-2574)</t>
    <phoneticPr fontId="23" type="noConversion"/>
  </si>
  <si>
    <t>○ 메인공연, 드럼워크숍, 네트워크파티, 드럼전시 체험 프로그램
○ 아시아드럼경연대회</t>
    <phoneticPr fontId="23" type="noConversion"/>
  </si>
  <si>
    <t>5.29.~5.30.
(2일간)</t>
    <phoneticPr fontId="23" type="noConversion"/>
  </si>
  <si>
    <t>서울드럼페스티벌</t>
    <phoneticPr fontId="23" type="noConversion"/>
  </si>
  <si>
    <t>성북구청 바람마당 및 성북천 일대</t>
    <phoneticPr fontId="23" type="noConversion"/>
  </si>
  <si>
    <t>○ 야외 정통극 공연</t>
    <phoneticPr fontId="23" type="noConversion"/>
  </si>
  <si>
    <t>10.11~10.20
(10일간)</t>
    <phoneticPr fontId="23" type="noConversion"/>
  </si>
  <si>
    <t>관내 초등학교 운동장 등</t>
    <phoneticPr fontId="23" type="noConversion"/>
  </si>
  <si>
    <t>7~8월 중
(6일간)</t>
    <phoneticPr fontId="23" type="noConversion"/>
  </si>
  <si>
    <t>월드컵공원 내
하늘공원</t>
    <phoneticPr fontId="23" type="noConversion"/>
  </si>
  <si>
    <t>서울시 서부공녹지사업소/공원여가과
(02-300-5573)</t>
    <phoneticPr fontId="23" type="noConversion"/>
  </si>
  <si>
    <t>○ 억새밭 경관 조명 연출
○ 개막식 및 주말 문화 공연</t>
    <phoneticPr fontId="23" type="noConversion"/>
  </si>
  <si>
    <t>제19회 서울억새축제</t>
    <phoneticPr fontId="23" type="noConversion"/>
  </si>
  <si>
    <t>마포구</t>
    <phoneticPr fontId="23" type="noConversion"/>
  </si>
  <si>
    <t>독서</t>
    <phoneticPr fontId="23" type="noConversion"/>
  </si>
  <si>
    <t>2012
(9회)</t>
    <phoneticPr fontId="23" type="noConversion"/>
  </si>
  <si>
    <t>○ 책이 빚나는 밤에, 독서·전시존 운영, 어른동화 콘서트,  ○ 플리마켓, 체험프로그램 운영</t>
    <phoneticPr fontId="23" type="noConversion"/>
  </si>
  <si>
    <t xml:space="preserve">
9.18~9.19
(2일간)
</t>
    <phoneticPr fontId="23" type="noConversion"/>
  </si>
  <si>
    <t>서대문 책으로 축제</t>
    <phoneticPr fontId="23" type="noConversion"/>
  </si>
  <si>
    <t>서대문구</t>
    <phoneticPr fontId="23" type="noConversion"/>
  </si>
  <si>
    <t>맥주</t>
    <phoneticPr fontId="23" type="noConversion"/>
  </si>
  <si>
    <t>2015년도      (6회)</t>
    <phoneticPr fontId="23" type="noConversion"/>
  </si>
  <si>
    <t>서대문구 문화체육과
(02-330-8161)</t>
    <phoneticPr fontId="23" type="noConversion"/>
  </si>
  <si>
    <t>○ 개막식(오크통 개봉), 음악공연
○ 국내외 수제맥주 부스, 맥주 체험 프로그램 등</t>
    <phoneticPr fontId="23" type="noConversion"/>
  </si>
  <si>
    <t>9.11.~9.13.
(3일간)</t>
    <phoneticPr fontId="23" type="noConversion"/>
  </si>
  <si>
    <t>신촌맥주축제</t>
    <phoneticPr fontId="23" type="noConversion"/>
  </si>
  <si>
    <t>부분위탁(하드웨어)</t>
    <phoneticPr fontId="23" type="noConversion"/>
  </si>
  <si>
    <t>프랑스 문화</t>
    <phoneticPr fontId="23" type="noConversion"/>
  </si>
  <si>
    <t>서대문구청 문화체육과
(02-330-1438)</t>
    <phoneticPr fontId="23" type="noConversion"/>
  </si>
  <si>
    <t>○ 프랑스 대중가수 특별공연
○ 프랑스 아트마켓, 문화교류 행사 등</t>
    <phoneticPr fontId="23" type="noConversion"/>
  </si>
  <si>
    <t>6.20.~6.21.
(2일간)</t>
    <phoneticPr fontId="23" type="noConversion"/>
  </si>
  <si>
    <t>프랑스 거리음악축제</t>
    <phoneticPr fontId="23" type="noConversion"/>
  </si>
  <si>
    <t>연세로</t>
    <phoneticPr fontId="23" type="noConversion"/>
  </si>
  <si>
    <t>2013
(7회)</t>
    <phoneticPr fontId="23" type="noConversion"/>
  </si>
  <si>
    <t>서대문구 문화체육과
02-330-1003</t>
    <phoneticPr fontId="23" type="noConversion"/>
  </si>
  <si>
    <t>○ 크리스마스 콘서트
○ 크리스마스 거리가게(마켓&amp;체험부스)운영
○ 개막식 및 오프닝 축하공연
○ 키즈존, 포토존 등 이벤트 운영</t>
    <phoneticPr fontId="23" type="noConversion"/>
  </si>
  <si>
    <t>신촌크리스마스거리축제</t>
    <phoneticPr fontId="23" type="noConversion"/>
  </si>
  <si>
    <t>개최완료(온라인)
(8.1~8.31)</t>
    <phoneticPr fontId="23" type="noConversion"/>
  </si>
  <si>
    <t>독립민주지사를 기리고, 자유와 평화의 정신을 현세대와 공유</t>
    <phoneticPr fontId="23" type="noConversion"/>
  </si>
  <si>
    <t>물총</t>
    <phoneticPr fontId="23" type="noConversion"/>
  </si>
  <si>
    <t>2013
(8회)</t>
    <phoneticPr fontId="23" type="noConversion"/>
  </si>
  <si>
    <t>○ 퍼포먼스, 물총싸움, DJ 공연, 스트릿 댄스 
○ 키즈 존 운영, 버블파티, 기타 이벤트</t>
    <phoneticPr fontId="23" type="noConversion"/>
  </si>
  <si>
    <t>신촌 물총축제</t>
    <phoneticPr fontId="23" type="noConversion"/>
  </si>
  <si>
    <t>월드컵공원 
평화의광장
월드컵경기장 일대</t>
    <phoneticPr fontId="23" type="noConversion"/>
  </si>
  <si>
    <t>공공(마포구)
 ·사단법인
    (마포문화원)</t>
    <phoneticPr fontId="23" type="noConversion"/>
  </si>
  <si>
    <t>마포나루, 새우젓, 홍대, 상암IT</t>
    <phoneticPr fontId="23" type="noConversion"/>
  </si>
  <si>
    <t>마포구 문화예술과/마포문화원 
(02-3153-8353)</t>
    <phoneticPr fontId="23" type="noConversion"/>
  </si>
  <si>
    <t xml:space="preserve"> ○ 핵심프로그램 : 황포돛배 입항재현
 ○ 개장식, 개막식, 문화·체험·판매행사
    - 8개분야 54개 프로그램</t>
    <phoneticPr fontId="23" type="noConversion"/>
  </si>
  <si>
    <t>제13회 마포나루 새우젓축제</t>
    <phoneticPr fontId="23" type="noConversion"/>
  </si>
  <si>
    <t>나우판 엔터테인먼트
(02-323-2257)</t>
    <phoneticPr fontId="23" type="noConversion"/>
  </si>
  <si>
    <t>6.15~6.16
(2일간)</t>
    <phoneticPr fontId="23" type="noConversion"/>
  </si>
  <si>
    <t>(사)대안영상문화발전소 아이공
(02-337-2870)</t>
    <phoneticPr fontId="23" type="noConversion"/>
  </si>
  <si>
    <t>서울국제뉴미디어페스티벌</t>
    <phoneticPr fontId="23" type="noConversion"/>
  </si>
  <si>
    <t>11월중
(25일간)</t>
    <phoneticPr fontId="23" type="noConversion"/>
  </si>
  <si>
    <t>주민협의체</t>
    <phoneticPr fontId="23" type="noConversion"/>
  </si>
  <si>
    <t>컵밥거리,
노량진 학원가</t>
    <phoneticPr fontId="23" type="noConversion"/>
  </si>
  <si>
    <t>2018
(3회)</t>
    <phoneticPr fontId="23" type="noConversion"/>
  </si>
  <si>
    <t>동작구 체육문화과/
야간난전 주민협의체
(02-820-9657)</t>
    <phoneticPr fontId="23" type="noConversion"/>
  </si>
  <si>
    <t xml:space="preserve"> ○ 문화공연, 포토존운영, 상가이벤트, 골목운동회, 골목영화제 등</t>
    <phoneticPr fontId="23" type="noConversion"/>
  </si>
  <si>
    <t>노량진 수산시장</t>
    <phoneticPr fontId="23" type="noConversion"/>
  </si>
  <si>
    <t>부분위탁
(운영 프로그램)</t>
    <phoneticPr fontId="23" type="noConversion"/>
  </si>
  <si>
    <t>있음(비상설, 비정규 3명)</t>
    <phoneticPr fontId="23" type="noConversion"/>
  </si>
  <si>
    <t>2011
(8회)</t>
    <phoneticPr fontId="23" type="noConversion"/>
  </si>
  <si>
    <t>○ 문화공연 : 바다콘서트, 가요제
○ 참여프로그램 :  노량진나잇, 맨손활어잡기, 모의경매, 거리노래방 등
○ 상설행사 : 먹거리장터, 키즈존 운영</t>
    <phoneticPr fontId="48" type="noConversion"/>
  </si>
  <si>
    <t>제8회 도심 속 바다축제</t>
    <phoneticPr fontId="23" type="noConversion"/>
  </si>
  <si>
    <t>기우제</t>
    <phoneticPr fontId="23" type="noConversion"/>
  </si>
  <si>
    <t>춤, 거리</t>
    <phoneticPr fontId="23" type="noConversion"/>
  </si>
  <si>
    <t>동대문구청 문화관광과
(02-2127-4711)</t>
    <phoneticPr fontId="23" type="noConversion"/>
  </si>
  <si>
    <t>○ 거리퍼레이드
○ 세계의 춤 공연
○ 개폐막 공연, 주제공연 및 문화공연
○ 각종 체험부스, 먹거리부스 운영</t>
    <phoneticPr fontId="23" type="noConversion"/>
  </si>
  <si>
    <t>공공(동대문구)</t>
    <phoneticPr fontId="23" type="noConversion"/>
  </si>
  <si>
    <t>동대문구 문화관광과
(02-2127-4711)</t>
    <phoneticPr fontId="23" type="noConversion"/>
  </si>
  <si>
    <t>○ 보제원 제향 및 거리퍼레이드
○ 한방사랑 시민걷기대회
○ 한방약선 요리대회 등</t>
    <phoneticPr fontId="23" type="noConversion"/>
  </si>
  <si>
    <t>4. 4~4.5
(2일간)</t>
    <phoneticPr fontId="23" type="noConversion"/>
  </si>
  <si>
    <t>동대문봄꽃축제</t>
    <phoneticPr fontId="23" type="noConversion"/>
  </si>
  <si>
    <t>동대문구</t>
    <phoneticPr fontId="23" type="noConversion"/>
  </si>
  <si>
    <t>한방</t>
    <phoneticPr fontId="23" type="noConversion"/>
  </si>
  <si>
    <t>5.15~5.16
(2일간)</t>
    <phoneticPr fontId="23" type="noConversion"/>
  </si>
  <si>
    <t>서울약령시 한방축제</t>
    <phoneticPr fontId="23" type="noConversion"/>
  </si>
  <si>
    <t>방학천</t>
    <phoneticPr fontId="23" type="noConversion"/>
  </si>
  <si>
    <t>2013
(9회)</t>
    <phoneticPr fontId="23" type="noConversion"/>
  </si>
  <si>
    <t xml:space="preserve"> ○ 개막점등식: 개막식 공연
 ○ 테마가 있는 등 전시, 빛 전시, 미디어 아트 연출
 ○ 부대행사 : 문화공연, 문화체험, 소망등 띄우기, 둘리포토존</t>
    <phoneticPr fontId="23" type="noConversion"/>
  </si>
  <si>
    <t>10.9.~10.14.
(6일간)</t>
    <phoneticPr fontId="23" type="noConversion"/>
  </si>
  <si>
    <t>도봉구 등축제</t>
    <phoneticPr fontId="23" type="noConversion"/>
  </si>
  <si>
    <t>도봉구</t>
    <phoneticPr fontId="23" type="noConversion"/>
  </si>
  <si>
    <t>평화문화진지</t>
    <phoneticPr fontId="23" type="noConversion"/>
  </si>
  <si>
    <t>재단법인/임의단체</t>
    <phoneticPr fontId="23" type="noConversion"/>
  </si>
  <si>
    <t>평화문화</t>
    <phoneticPr fontId="23" type="noConversion"/>
  </si>
  <si>
    <t>도봉문화재단 문화사업팀
(070-4949-7582)</t>
    <phoneticPr fontId="23" type="noConversion"/>
  </si>
  <si>
    <t xml:space="preserve"> ○ 평화에 대한 다양한 담론과 예술활동이 발생하는 플랫폼 형식의 축제로서, '평화문화'를 주제로 한 공연, 포럼, 워크숍 등 운영
 ○ 대표프로그램: 라운드테이블(예술가, 기획자, 스태프가 한 공간에 모여 '평화문화'에 대한 이야기를 나누는 프로그램)
 ○ 프로그램: 거리퍼포먼스, 창작무용, 설치전시, 릴레이공연, 시민참여프로그램, 포럼, 워크숍 등</t>
    <phoneticPr fontId="23" type="noConversion"/>
  </si>
  <si>
    <t>9.26.~9.27.
(2일간)</t>
    <phoneticPr fontId="23" type="noConversion"/>
  </si>
  <si>
    <t>서울평화문화축제</t>
    <phoneticPr fontId="23" type="noConversion"/>
  </si>
  <si>
    <t>도봉산 일대</t>
    <phoneticPr fontId="23" type="noConversion"/>
  </si>
  <si>
    <t>도봉산</t>
    <phoneticPr fontId="23" type="noConversion"/>
  </si>
  <si>
    <t>도봉문화재단 문화사업팀
(02-908-2923)</t>
    <phoneticPr fontId="23" type="noConversion"/>
  </si>
  <si>
    <t xml:space="preserve"> ○ 도봉산을 주제로 한 공연, 전시, 체험프로그램 운영
 ○ 대표프로그램: 릴랙스파크(도봉산을 바라보는 잔디광장에서 공연, 전시, 체험을 즐기는 프로그램)
 ○ 프로그램: 도봉산 일대에서 주제공연 및 문화공연, 스탬프투어, 버스킹, 암벽체험 등 운영</t>
    <phoneticPr fontId="23" type="noConversion"/>
  </si>
  <si>
    <t>도봉산페스티벌</t>
    <phoneticPr fontId="23" type="noConversion"/>
  </si>
  <si>
    <t>창포원,다락원체육공원, 평화문화진지</t>
    <phoneticPr fontId="23" type="noConversion"/>
  </si>
  <si>
    <t>캠핑, 공연예술</t>
    <phoneticPr fontId="23" type="noConversion"/>
  </si>
  <si>
    <t>도봉구 신경제사업과
(02-2091-4843)</t>
    <phoneticPr fontId="23" type="noConversion"/>
  </si>
  <si>
    <t xml:space="preserve">   ○ 캠핑과 다양한 공연예술의 콜라보 축제
   ○ 자연물 중심의 오감 체험 활동</t>
    <phoneticPr fontId="23" type="noConversion"/>
  </si>
  <si>
    <t>창포원페스티벌</t>
    <phoneticPr fontId="23" type="noConversion"/>
  </si>
  <si>
    <t>우이천</t>
    <phoneticPr fontId="23" type="noConversion"/>
  </si>
  <si>
    <t>2016
(4회)</t>
    <phoneticPr fontId="23" type="noConversion"/>
  </si>
  <si>
    <t>5.1.~5.6.
(6일간)</t>
    <phoneticPr fontId="23" type="noConversion"/>
  </si>
  <si>
    <t>암사동 유적지</t>
    <phoneticPr fontId="23" type="noConversion"/>
  </si>
  <si>
    <t>매년 10월 둘째주 금토일</t>
    <phoneticPr fontId="23" type="noConversion"/>
  </si>
  <si>
    <t>신석기 및         선사문화</t>
    <phoneticPr fontId="23" type="noConversion"/>
  </si>
  <si>
    <t>1996년         (24회)</t>
    <phoneticPr fontId="23" type="noConversion"/>
  </si>
  <si>
    <t>강동구청 문화예술과/02-3425-5245</t>
    <phoneticPr fontId="23" type="noConversion"/>
  </si>
  <si>
    <t>○ 거리퍼레이드, 선사빛 거리, 신석기 고고학 체험스쿨 
○ 체험: 원시 바비큐 체험, 노천소성 등                                 
○ 전시: 암사동선사유적박물관 상설 전시                     
○ 부대행사: 바위절마을 호상놀이, 먹을거리 장터, 지역예술인 주민참여행사</t>
    <phoneticPr fontId="23" type="noConversion"/>
  </si>
  <si>
    <t>10.9~10.11   
(3일간)</t>
    <phoneticPr fontId="23" type="noConversion"/>
  </si>
  <si>
    <t>강동선사문화축제</t>
    <phoneticPr fontId="23" type="noConversion"/>
  </si>
  <si>
    <t>○ 공연 예술 : 클래식 뮤지컬 가요 국악 재즈 등 고품격 공연 추진
○ 미술,전시 : 문인,미술,사진,서예 등 문화예술단체가 참여하는 전시
○ 문화 체험  : 어린이,청소년,가족 등 다양한 연령대가 참여하는
                       종합축제기획  
○ 폭포 장터 : 지역경제 홍보 및 활성화를 위한 소상공인 협력체계 구축</t>
    <phoneticPr fontId="23" type="noConversion"/>
  </si>
  <si>
    <t>10.9.~10.10
(2일간)</t>
    <phoneticPr fontId="23" type="noConversion"/>
  </si>
  <si>
    <t xml:space="preserve">있음
총감독 1명
정규직 1명
임기제 4명
총 6명  </t>
    <phoneticPr fontId="23" type="noConversion"/>
  </si>
  <si>
    <t>장미
문화 체험</t>
    <phoneticPr fontId="23" type="noConversion"/>
  </si>
  <si>
    <t>중랑구 문화관광과
(02-2094-1822)</t>
    <phoneticPr fontId="23" type="noConversion"/>
  </si>
  <si>
    <t>4월 초</t>
    <phoneticPr fontId="23" type="noConversion"/>
  </si>
  <si>
    <t>양재천 힐링 벚꽃축제</t>
    <phoneticPr fontId="23" type="noConversion"/>
  </si>
  <si>
    <t>강남구 전 지역</t>
    <phoneticPr fontId="23" type="noConversion"/>
  </si>
  <si>
    <t>강남의 문화관광 자원</t>
    <phoneticPr fontId="23" type="noConversion"/>
  </si>
  <si>
    <t>강남구 관광진흥과
(02-3423-5534)</t>
    <phoneticPr fontId="23" type="noConversion"/>
  </si>
  <si>
    <t>9월 말~10월 초</t>
    <phoneticPr fontId="23" type="noConversion"/>
  </si>
  <si>
    <t>강남페스티벌</t>
    <phoneticPr fontId="23" type="noConversion"/>
  </si>
  <si>
    <t>하천
(청계천)</t>
    <phoneticPr fontId="23" type="noConversion"/>
  </si>
  <si>
    <t>광장, 도서관</t>
    <phoneticPr fontId="23" type="noConversion"/>
  </si>
  <si>
    <t xml:space="preserve">매년1회 </t>
    <phoneticPr fontId="23" type="noConversion"/>
  </si>
  <si>
    <t>서울특별시 서울도서관 도서관정책과
(02-2133-0227)</t>
    <phoneticPr fontId="23" type="noConversion"/>
  </si>
  <si>
    <t>동물</t>
    <phoneticPr fontId="23" type="noConversion"/>
  </si>
  <si>
    <t>동물원 속 미술관</t>
    <phoneticPr fontId="23" type="noConversion"/>
  </si>
  <si>
    <t>장미꽃</t>
    <phoneticPr fontId="23" type="noConversion"/>
  </si>
  <si>
    <t>○ 사진찍고 데이트하기 좋은 장미원 사진공모전 및 공연 등</t>
    <phoneticPr fontId="23" type="noConversion"/>
  </si>
  <si>
    <t>구로구 문화관광과
(02-860-2060)</t>
    <phoneticPr fontId="23" type="noConversion"/>
  </si>
  <si>
    <t>구로구</t>
    <phoneticPr fontId="23" type="noConversion"/>
  </si>
  <si>
    <t xml:space="preserve">허준, 동의보감, 양한방건강문화축제 </t>
    <phoneticPr fontId="23" type="noConversion"/>
  </si>
  <si>
    <t>강서구/강서문화원
(02-2600-6455)</t>
    <phoneticPr fontId="23" type="noConversion"/>
  </si>
  <si>
    <t>강서구</t>
    <phoneticPr fontId="23" type="noConversion"/>
  </si>
  <si>
    <t xml:space="preserve">○ 전국 사생대회, 진경대전, 청소년춤경연대회
○ 겸재정선미술관 개관 11주년 기념행사 : 미공개&lt;백납병풍&gt;전 및 학술심포지엄
○주무대 프로그램 : 문화예술한마당, &lt;겸재 진경산수&gt;를 그려라 등
○부대 프로그램 : 야외전시, 문화예술직업체험존, 각종 체험부스 운영 등
○신규 참여형 프로그램 : 겸재 보물을 찾아라, 도전 겸재 골든벨 등
</t>
    <phoneticPr fontId="23" type="noConversion"/>
  </si>
  <si>
    <t>시내거리,마을</t>
    <phoneticPr fontId="23" type="noConversion"/>
  </si>
  <si>
    <t>공공, 축제조직위</t>
    <phoneticPr fontId="23" type="noConversion"/>
  </si>
  <si>
    <t xml:space="preserve"> ○ 국제 초청작가 정원전시
 ○ 시민참여 정원조성, 문화행사 등</t>
    <phoneticPr fontId="23" type="noConversion"/>
  </si>
  <si>
    <t xml:space="preserve">관악구 문화관광체육과
/ (재)관악 문화재단
(02-879-5603)
</t>
    <phoneticPr fontId="23" type="noConversion"/>
  </si>
  <si>
    <t>관악 강감찬축제</t>
    <phoneticPr fontId="23" type="noConversion"/>
  </si>
  <si>
    <t>관악구</t>
    <phoneticPr fontId="23" type="noConversion"/>
  </si>
  <si>
    <t>(사)이태원관광특구연합회
(02-797-7319)</t>
    <phoneticPr fontId="23" type="noConversion"/>
  </si>
  <si>
    <t>광진구 문화체육과
(이현정/ 02-450-7596)</t>
    <phoneticPr fontId="23" type="noConversion"/>
  </si>
  <si>
    <t>계단식 주거형태
미로미로 골목길</t>
    <phoneticPr fontId="23" type="noConversion"/>
  </si>
  <si>
    <t>○핵심프로그램 : 감천물고기 퍼레이드
○주요프로그램 : 골목, 마을이야기를 주제로 다양한 
                          공연, 체험, 전시 프로그램 운영
○개막 공연 및 문화, 예술, 체험행사 40여개 진행</t>
    <phoneticPr fontId="23" type="noConversion"/>
  </si>
  <si>
    <t>제10회 감천문화마을 
골목축제</t>
    <phoneticPr fontId="23" type="noConversion"/>
  </si>
  <si>
    <t>다대포해수욕장 해변공원 일원</t>
    <phoneticPr fontId="23" type="noConversion"/>
  </si>
  <si>
    <t>있음 
정규직 3명
총 3명</t>
    <phoneticPr fontId="23" type="noConversion"/>
  </si>
  <si>
    <t>어묵</t>
    <phoneticPr fontId="23" type="noConversion"/>
  </si>
  <si>
    <t>부산어육제품공업협동조합
 / 부산어묵축제추진위원회
(051-255-6002)</t>
    <phoneticPr fontId="23" type="noConversion"/>
  </si>
  <si>
    <t xml:space="preserve">  ○ 부산어묵 판매 및 홍보</t>
    <phoneticPr fontId="23" type="noConversion"/>
  </si>
  <si>
    <t>11.27.~11.29
(3일간)</t>
    <phoneticPr fontId="23" type="noConversion"/>
  </si>
  <si>
    <t>부산어묵축제</t>
    <phoneticPr fontId="23" type="noConversion"/>
  </si>
  <si>
    <t>사하구</t>
    <phoneticPr fontId="23" type="noConversion"/>
  </si>
  <si>
    <t>다대포항 공판장 일원</t>
    <phoneticPr fontId="23" type="noConversion"/>
  </si>
  <si>
    <t>다대포후릿소리, 방어, 아귀</t>
    <phoneticPr fontId="23" type="noConversion"/>
  </si>
  <si>
    <t>2010년
(8회)</t>
    <phoneticPr fontId="23" type="noConversion"/>
  </si>
  <si>
    <t>다대포어항문화축제추진위원회 / 부산시수협 다대어촌계
(051-263-1277)</t>
    <phoneticPr fontId="23" type="noConversion"/>
  </si>
  <si>
    <t xml:space="preserve"> ○ 다대포 후리소리 공연, 풍어기원 풍물공연 등</t>
    <phoneticPr fontId="23" type="noConversion"/>
  </si>
  <si>
    <t>10월 중
(2일 간)</t>
    <phoneticPr fontId="23" type="noConversion"/>
  </si>
  <si>
    <t>다대포어항문화축제</t>
    <phoneticPr fontId="23" type="noConversion"/>
  </si>
  <si>
    <t>하단항 일원</t>
    <phoneticPr fontId="23" type="noConversion"/>
  </si>
  <si>
    <t>웅어</t>
    <phoneticPr fontId="23" type="noConversion"/>
  </si>
  <si>
    <t>2006년
(11회)</t>
    <phoneticPr fontId="23" type="noConversion"/>
  </si>
  <si>
    <t>하단웅어축제추진위원회 / 부산시수협 하단어촌계
(051-291-0047)</t>
    <phoneticPr fontId="23" type="noConversion"/>
  </si>
  <si>
    <t xml:space="preserve"> ○ 수산물소비촉진 행사 및 각설이 공연 등</t>
    <phoneticPr fontId="23" type="noConversion"/>
  </si>
  <si>
    <t>하단웅어축제</t>
    <phoneticPr fontId="23" type="noConversion"/>
  </si>
  <si>
    <t>강서체육공원</t>
    <phoneticPr fontId="23" type="noConversion"/>
  </si>
  <si>
    <t>대저토마토</t>
    <phoneticPr fontId="23" type="noConversion"/>
  </si>
  <si>
    <t>대저토마토축제 추진위원회
/ 대저농업협동조합
(051-970-4812)</t>
    <phoneticPr fontId="23" type="noConversion"/>
  </si>
  <si>
    <r>
      <t xml:space="preserve">
○ 토마토생태탐방 걷기대회
○ 대형스파게티 만들기
○ 공연 ․ 체험 </t>
    </r>
    <r>
      <rPr>
        <sz val="10"/>
        <color theme="1"/>
        <rFont val="맑은 고딕"/>
        <family val="3"/>
        <charset val="136"/>
        <scheme val="minor"/>
      </rPr>
      <t>‧</t>
    </r>
    <r>
      <rPr>
        <sz val="10"/>
        <color theme="1"/>
        <rFont val="맑은 고딕"/>
        <family val="3"/>
        <charset val="129"/>
        <scheme val="minor"/>
      </rPr>
      <t xml:space="preserve"> 전시행사</t>
    </r>
    <phoneticPr fontId="23" type="noConversion"/>
  </si>
  <si>
    <t>4.4~4.5
(2일간)</t>
    <phoneticPr fontId="23" type="noConversion"/>
  </si>
  <si>
    <t>제20회 대저토마토축제</t>
    <phoneticPr fontId="23" type="noConversion"/>
  </si>
  <si>
    <t>어항</t>
    <phoneticPr fontId="23" type="noConversion"/>
  </si>
  <si>
    <t>특산품(가덕도대구)</t>
    <phoneticPr fontId="23" type="noConversion"/>
  </si>
  <si>
    <t>가덕도대구축제추진위원회
/가덕도대구축제추진위원회</t>
    <phoneticPr fontId="23" type="noConversion"/>
  </si>
  <si>
    <t>○ 대구 맨손잡기
○ 대구 깜짝경매
○ 수산물 직거래장터
○ 노래자랑대회
○ 맨손 굴까기대회
○ 초대가수 공연 등</t>
    <phoneticPr fontId="23" type="noConversion"/>
  </si>
  <si>
    <t>가덕도대구축제</t>
    <phoneticPr fontId="23" type="noConversion"/>
  </si>
  <si>
    <t>전체위탁
(민간위탁)</t>
    <phoneticPr fontId="23" type="noConversion"/>
  </si>
  <si>
    <t>㈜명지시장상인회/
명지시장전어축제추진위원회(051-970-4475)</t>
    <phoneticPr fontId="23" type="noConversion"/>
  </si>
  <si>
    <t xml:space="preserve"> ○개막식 ○노래자랑 ○전어무료시식회
 ○초청가수 공연 ○불꽃놀이 등</t>
    <phoneticPr fontId="23" type="noConversion"/>
  </si>
  <si>
    <t>8월 말</t>
    <phoneticPr fontId="23" type="noConversion"/>
  </si>
  <si>
    <t>제20회 
명지시장전어축제</t>
    <phoneticPr fontId="23" type="noConversion"/>
  </si>
  <si>
    <t>대저생태공원</t>
    <phoneticPr fontId="23" type="noConversion"/>
  </si>
  <si>
    <t>3.27.~3.29.
(3일간)</t>
    <phoneticPr fontId="23" type="noConversion"/>
  </si>
  <si>
    <t>강서 낙동강변
30리 벚꽃축제</t>
    <phoneticPr fontId="23" type="noConversion"/>
  </si>
  <si>
    <t>대한불교조계종 태종사/
수국축제추진위원회/ 부산광역시 영도구 문화관광과
(051-419-4064)</t>
    <phoneticPr fontId="23" type="noConversion"/>
  </si>
  <si>
    <t>○ 꽃밭버스킹, 꽃밭포토존
○ 플라워아트 전시회, 수국생태문화해설, 꽃밭냉면시식회 등
○ 수국 배경 개막식 및 문화공연</t>
    <phoneticPr fontId="23" type="noConversion"/>
  </si>
  <si>
    <t>6.27~7.5
(9일간)</t>
    <phoneticPr fontId="23" type="noConversion"/>
  </si>
  <si>
    <t>수국꽃문화축제</t>
    <phoneticPr fontId="23" type="noConversion"/>
  </si>
  <si>
    <t>영도구</t>
    <phoneticPr fontId="23" type="noConversion"/>
  </si>
  <si>
    <t>1993년
(28회)</t>
    <phoneticPr fontId="23" type="noConversion"/>
  </si>
  <si>
    <t>영도구 문화관광과/영도문화원
(051-419-4064)</t>
    <phoneticPr fontId="23" type="noConversion"/>
  </si>
  <si>
    <t>○ 영도다리퍼레이드, 해상멀티미디어쇼
○ 영도다리, 섬해양문화 관련 전시 및 체험,
○ 개막주제공연 및 문화공연(영도가왕, 바다음악제 등) 
○ 영도투어프로그램, 해양클러스터기관 체험행사, 
    영도커피페스티벌, 지역대학 참여 페스타</t>
    <phoneticPr fontId="23" type="noConversion"/>
  </si>
  <si>
    <t>영도다리축제</t>
    <phoneticPr fontId="23" type="noConversion"/>
  </si>
  <si>
    <t>바다
(송도해수욕장)</t>
    <phoneticPr fontId="23" type="noConversion"/>
  </si>
  <si>
    <t>있음
계약직 2명</t>
    <phoneticPr fontId="23" type="noConversion"/>
  </si>
  <si>
    <t>고등어</t>
    <phoneticPr fontId="23" type="noConversion"/>
  </si>
  <si>
    <t>부산광역시 서구 문화관광과,
대형선망수협 / 부산서구문화원
(051-240-4062)</t>
    <phoneticPr fontId="23" type="noConversion"/>
  </si>
  <si>
    <t xml:space="preserve"> ○ 대표프로그램 - 공동어시장 현장체험
 ○ 고등어를 테마로 한 체험, 투어, 전시, 공연, 경연 프로
     그램 운영(5개 분야 25개 프로그램) 
 ○ 특별행사(남항대교 걷기대회, 문예창작경연대회 등) 
     2개 프로그램 운영
 ○ 부대행사(먹거리장터, 수산기업홍보관 등) 운영</t>
    <phoneticPr fontId="23" type="noConversion"/>
  </si>
  <si>
    <t>10.23~10.25
(3일간)</t>
    <phoneticPr fontId="23" type="noConversion"/>
  </si>
  <si>
    <t>제13회 부산고등어축제</t>
    <phoneticPr fontId="23" type="noConversion"/>
  </si>
  <si>
    <t>서구</t>
    <phoneticPr fontId="23" type="noConversion"/>
  </si>
  <si>
    <t>광복동 일원 등</t>
    <phoneticPr fontId="23" type="noConversion"/>
  </si>
  <si>
    <t>사단법인
(축제조직위)</t>
    <phoneticPr fontId="23" type="noConversion"/>
  </si>
  <si>
    <t>트리축제</t>
    <phoneticPr fontId="23" type="noConversion"/>
  </si>
  <si>
    <t>(사)부산기독교총연합회 
부산크리스마스트리 문화축제 
조직위원회
(051-243-3927)</t>
    <phoneticPr fontId="23" type="noConversion"/>
  </si>
  <si>
    <t>○ 트리점등식, 거리 트리장식 문화공연, 폐막소등식 등</t>
    <phoneticPr fontId="23" type="noConversion"/>
  </si>
  <si>
    <t>20.11.28 ~21.1.3
(37일간)</t>
    <phoneticPr fontId="23" type="noConversion"/>
  </si>
  <si>
    <t>부산크리스마스트리 문화축제</t>
    <phoneticPr fontId="23" type="noConversion"/>
  </si>
  <si>
    <t>보수동책방골목</t>
    <phoneticPr fontId="23" type="noConversion"/>
  </si>
  <si>
    <t>책</t>
    <phoneticPr fontId="23" type="noConversion"/>
  </si>
  <si>
    <t>보수동책방골목번영회
(051-254-7119)</t>
    <phoneticPr fontId="23" type="noConversion"/>
  </si>
  <si>
    <t>보수동책방골목 문화축제</t>
    <phoneticPr fontId="23" type="noConversion"/>
  </si>
  <si>
    <t>자갈치시장 
일원 등</t>
    <phoneticPr fontId="23" type="noConversion"/>
  </si>
  <si>
    <t>있음
상근직 2명</t>
    <phoneticPr fontId="23" type="noConversion"/>
  </si>
  <si>
    <t>어패류</t>
    <phoneticPr fontId="23" type="noConversion"/>
  </si>
  <si>
    <t>1992
(29회)</t>
    <phoneticPr fontId="23" type="noConversion"/>
  </si>
  <si>
    <t>(사)부산자갈치문화관광 
축제위원회
(051-243-9363)</t>
    <phoneticPr fontId="23" type="noConversion"/>
  </si>
  <si>
    <t>10.8~10.11
(4일간)</t>
    <phoneticPr fontId="23" type="noConversion"/>
  </si>
  <si>
    <t>부산자갈치 축제</t>
    <phoneticPr fontId="23" type="noConversion"/>
  </si>
  <si>
    <t>공원, 광장</t>
    <phoneticPr fontId="23" type="noConversion"/>
  </si>
  <si>
    <t>있음
상근직80명</t>
    <phoneticPr fontId="23" type="noConversion"/>
  </si>
  <si>
    <t>조선통신사</t>
    <phoneticPr fontId="23" type="noConversion"/>
  </si>
  <si>
    <t>(재)부산문화재단
(051-745-7273)</t>
    <phoneticPr fontId="23" type="noConversion"/>
  </si>
  <si>
    <t>○ 조선통신사 평화의 행렬, 조선 통신사의 밤 등</t>
    <phoneticPr fontId="23" type="noConversion"/>
  </si>
  <si>
    <t>조선통신사 축제</t>
    <phoneticPr fontId="23" type="noConversion"/>
  </si>
  <si>
    <t>광복로 일원</t>
    <phoneticPr fontId="23" type="noConversion"/>
  </si>
  <si>
    <t>연등</t>
    <phoneticPr fontId="23" type="noConversion"/>
  </si>
  <si>
    <t>부산광역시 중구 문화관광과
(051-600-4062)</t>
    <phoneticPr fontId="23" type="noConversion"/>
  </si>
  <si>
    <t>○ 장엄등 및 가로등 설치, 개막점등식, 무료체험행사 등</t>
    <phoneticPr fontId="23" type="noConversion"/>
  </si>
  <si>
    <t>4.14~5.3.
(20일간)</t>
    <phoneticPr fontId="23" type="noConversion"/>
  </si>
  <si>
    <t>2020 광복로 연등문화제</t>
    <phoneticPr fontId="23" type="noConversion"/>
  </si>
  <si>
    <t>생태, 문화, 교육, 체육 등</t>
    <phoneticPr fontId="23" type="noConversion"/>
  </si>
  <si>
    <t>기장군 인재양성과/
정관생태하천학습문화
      축제 추진위원회
      (051-709-4332)</t>
    <phoneticPr fontId="23" type="noConversion"/>
  </si>
  <si>
    <t>○ 건강증진 및 주민화합을 위한 걷기 대회
○ 정관 생태문예제(백일장, 사생대회, 시낭송대회)
○ 청소년 어울림 한마당, 기장군 청소년 가요제
○ 정관 문화 프린지 공연, 정관생태하천학습문 콘서트
○ 과학 및 영어 체험학습, 정관 나눔 프리마켓, 복지박람회 등 부대행사</t>
    <phoneticPr fontId="23" type="noConversion"/>
  </si>
  <si>
    <t xml:space="preserve">10.24~10.25
(2일간)
</t>
    <phoneticPr fontId="23" type="noConversion"/>
  </si>
  <si>
    <t>정관 생태하천 학습문화축제</t>
    <phoneticPr fontId="23" type="noConversion"/>
  </si>
  <si>
    <t>기장군</t>
    <phoneticPr fontId="23" type="noConversion"/>
  </si>
  <si>
    <t>문화, 예술</t>
    <phoneticPr fontId="23" type="noConversion"/>
  </si>
  <si>
    <t>1995년도
(16회)</t>
    <phoneticPr fontId="23" type="noConversion"/>
  </si>
  <si>
    <t>기장군 문화관광과/
차성문화제추진위원회
(051-709-4062)</t>
    <phoneticPr fontId="23" type="noConversion"/>
  </si>
  <si>
    <t>○ 개막식, 길놀이, 축하공연, 체험행사, 부대행사 등</t>
    <phoneticPr fontId="23" type="noConversion"/>
  </si>
  <si>
    <t>차성문화제</t>
    <phoneticPr fontId="23" type="noConversion"/>
  </si>
  <si>
    <t>부산시 기장군 철마면 장전천 들녘</t>
    <phoneticPr fontId="23" type="noConversion"/>
  </si>
  <si>
    <t>한우불고기</t>
    <phoneticPr fontId="23" type="noConversion"/>
  </si>
  <si>
    <t>2004년
(14회)</t>
    <phoneticPr fontId="23" type="noConversion"/>
  </si>
  <si>
    <t>기장군 친환경농업과/
철마한우불고기축제추진위원회
(051-721-4245)</t>
    <phoneticPr fontId="23" type="noConversion"/>
  </si>
  <si>
    <t xml:space="preserve">○ 한우숯불구이 장터 운영
○ 개막식, 축하공연, 농촌체험행사 등 </t>
    <phoneticPr fontId="23" type="noConversion"/>
  </si>
  <si>
    <t>철마한우불고기축제</t>
    <phoneticPr fontId="23" type="noConversion"/>
  </si>
  <si>
    <t>기장시장</t>
    <phoneticPr fontId="23" type="noConversion"/>
  </si>
  <si>
    <t xml:space="preserve"> (사)기장시장번영회/문화시장추진위원회
(051-721-3963)</t>
    <phoneticPr fontId="23" type="noConversion"/>
  </si>
  <si>
    <t>❍ 개막식 및 축하공연
❍ 먹방 유튜버 방송 및 축제 홍보영상 촬영/업로드
❍ 기장시장 바다먹거리 BBQ 장터, 소규모 문화공연 등</t>
    <phoneticPr fontId="23" type="noConversion"/>
  </si>
  <si>
    <t>기장시장 한마당 잔치</t>
    <phoneticPr fontId="23" type="noConversion"/>
  </si>
  <si>
    <t>붕장어</t>
    <phoneticPr fontId="23" type="noConversion"/>
  </si>
  <si>
    <t>기장군 해양수산과/
기장붕장어축제추진위원회
(051-709-4502)</t>
    <phoneticPr fontId="23" type="noConversion"/>
  </si>
  <si>
    <t xml:space="preserve"> ○붕장어회 무료시식, 지역특산물 경매,  등</t>
    <phoneticPr fontId="23" type="noConversion"/>
  </si>
  <si>
    <t>기장붕장어축제</t>
    <phoneticPr fontId="23" type="noConversion"/>
  </si>
  <si>
    <t>1995년도
(24회)</t>
    <phoneticPr fontId="23" type="noConversion"/>
  </si>
  <si>
    <t>기장군 문화관광과/
기장갯마을축제추진위원회
(051-709-4062)</t>
    <phoneticPr fontId="23" type="noConversion"/>
  </si>
  <si>
    <t>○ 갯마을 콘서트 및 각종 체험행사, 부대행사 등</t>
    <phoneticPr fontId="23" type="noConversion"/>
  </si>
  <si>
    <t>8월초
(3일간)</t>
    <phoneticPr fontId="23" type="noConversion"/>
  </si>
  <si>
    <t>기장갯마을축제</t>
    <phoneticPr fontId="23" type="noConversion"/>
  </si>
  <si>
    <t>기장군 해양수산과/
기장멸치축제추진위원회
(051-709-4502)</t>
    <phoneticPr fontId="23" type="noConversion"/>
  </si>
  <si>
    <t xml:space="preserve"> ○ 멸치털이체험, 멸치회 무료시식회, 지역특산물 경매 등</t>
    <phoneticPr fontId="23" type="noConversion"/>
  </si>
  <si>
    <t>기장멸치축제</t>
    <phoneticPr fontId="23" type="noConversion"/>
  </si>
  <si>
    <t>미역다시마</t>
    <phoneticPr fontId="23" type="noConversion"/>
  </si>
  <si>
    <t>2008
(11회)</t>
    <phoneticPr fontId="23" type="noConversion"/>
  </si>
  <si>
    <t>기장군 해양수산과/
기장미역다시마축제추진위원회
(051-709-4612)</t>
    <phoneticPr fontId="23" type="noConversion"/>
  </si>
  <si>
    <t xml:space="preserve"> ○ 생초캐기 체험, 지역특산물 경매 등</t>
    <phoneticPr fontId="23" type="noConversion"/>
  </si>
  <si>
    <t>기장미역다시마축제</t>
    <phoneticPr fontId="23" type="noConversion"/>
  </si>
  <si>
    <t>화명생태공원선착장 일원</t>
    <phoneticPr fontId="23" type="noConversion"/>
  </si>
  <si>
    <t>계약직1명
파견직 4명
총5명</t>
    <phoneticPr fontId="23" type="noConversion"/>
  </si>
  <si>
    <t>낙동강, 밀, 감동진</t>
    <phoneticPr fontId="23" type="noConversion"/>
  </si>
  <si>
    <t>2011년
(9회)</t>
    <phoneticPr fontId="23" type="noConversion"/>
  </si>
  <si>
    <t>(사)부산북구문화관광축제조직위원회/
(051-309-4522/4523)</t>
    <phoneticPr fontId="23" type="noConversion"/>
  </si>
  <si>
    <t xml:space="preserve"> ○ 대표프로그램 : 낙동강&amp;밀 그리고 감동진
 ○ 밀사리 한마당, 구포국수 만들기 체험
 ○ 낙동강은 흐른다 등 개폐막식, 각종 수상체험 등
     - 7개 분야 30여개 프로그램
 ○ 구포맥주(수제맥주) 체험, 사운드 피크닉 등</t>
    <phoneticPr fontId="23" type="noConversion"/>
  </si>
  <si>
    <t>제9회 낙동강 구포나루축제</t>
    <phoneticPr fontId="23" type="noConversion"/>
  </si>
  <si>
    <t>북구</t>
    <phoneticPr fontId="23" type="noConversion"/>
  </si>
  <si>
    <t>공원, 사적지</t>
    <phoneticPr fontId="23" type="noConversion"/>
  </si>
  <si>
    <t>연제구 문화체육과
/ 연제구축제추진위원회
(051-665-4062)</t>
    <phoneticPr fontId="23" type="noConversion"/>
  </si>
  <si>
    <t xml:space="preserve"> ○ 1500년전 거칠산국 역사체험
 ○ 연산동 고분군 및 배산성지 홍보관 운영
 ○ 문화재 탐방, 전통놀이 체험프로그램 운영
 ○ 독후감상화 그리기대회, 백일장, 공연 등 부대행사
 ○ 연산동 고분군 발굴과 관련 공부체험 콘텐츠 접목행사</t>
    <phoneticPr fontId="23" type="noConversion"/>
  </si>
  <si>
    <t>연제고분판타지축제</t>
    <phoneticPr fontId="23" type="noConversion"/>
  </si>
  <si>
    <t>연제구</t>
    <phoneticPr fontId="23" type="noConversion"/>
  </si>
  <si>
    <t>일루미네이션</t>
    <phoneticPr fontId="23" type="noConversion"/>
  </si>
  <si>
    <t>부산진구 관광과 
(051-605-4522)</t>
    <phoneticPr fontId="23" type="noConversion"/>
  </si>
  <si>
    <t>○ 일루미네이션, 조명 조형물 설치 및 운영
○ 소등을 통한 퍼포먼스 운영</t>
    <phoneticPr fontId="23" type="noConversion"/>
  </si>
  <si>
    <t>20.12월.~'21.1월
(2개월 간)</t>
    <phoneticPr fontId="23" type="noConversion"/>
  </si>
  <si>
    <t>서면 빛 축제</t>
    <phoneticPr fontId="23" type="noConversion"/>
  </si>
  <si>
    <t>부산진구</t>
    <phoneticPr fontId="23" type="noConversion"/>
  </si>
  <si>
    <t>의료</t>
    <phoneticPr fontId="23" type="noConversion"/>
  </si>
  <si>
    <t xml:space="preserve"> 부산진구 관광과 
(051-605-6022)
/  (사)서면메디컬스트리트
의료관광협의회</t>
    <phoneticPr fontId="23" type="noConversion"/>
  </si>
  <si>
    <t>○ 지역특화산업 의료를 테마로 한 전시·체험프로그램
  - 개막식, 의료체험부스(2일간 48개), 문화체험(공연)</t>
    <phoneticPr fontId="23" type="noConversion"/>
  </si>
  <si>
    <t>제10회 
서면메디컬스트리트 
축제</t>
    <phoneticPr fontId="23" type="noConversion"/>
  </si>
  <si>
    <t>전포카페거리,
커피</t>
    <phoneticPr fontId="23" type="noConversion"/>
  </si>
  <si>
    <t xml:space="preserve">부산진구 관광과
(051-605-4525)
/ 전포카페거리상인회
</t>
    <phoneticPr fontId="23" type="noConversion"/>
  </si>
  <si>
    <t>○ 카페를 주 테마로 하되 전포카페거리 및 커피업계 전체로 확대
○ 커피·디저트·음식 부스 운영, 커피 관련 체험 행사, 아트프리마켓과 함께 운영
○ 개막식, 퍼레이드, 버스킹, 거리 전시 등 다양한 공연, 노천 카페 및 테마 카페 운영
○ 연계행사: 2020 부산진구 팸투어</t>
    <phoneticPr fontId="23" type="noConversion"/>
  </si>
  <si>
    <t>전포카페거리축제</t>
    <phoneticPr fontId="23" type="noConversion"/>
  </si>
  <si>
    <t>전통문화 행사 및 프로그램</t>
    <phoneticPr fontId="23" type="noConversion"/>
  </si>
  <si>
    <t>2007년도
(10회)</t>
    <phoneticPr fontId="23" type="noConversion"/>
  </si>
  <si>
    <t>부산진구 문화체육과
(051-605-4064)</t>
    <phoneticPr fontId="23" type="noConversion"/>
  </si>
  <si>
    <t>○ 개막공연, 주제공연 및 문화행사
○ 우리 전통문화를 테마로한 공연, 전시, 체험프로그램
○ 기타 건강, 홍보 부스 운영</t>
    <phoneticPr fontId="23" type="noConversion"/>
  </si>
  <si>
    <t>서면우리문화체험 축제</t>
    <phoneticPr fontId="23" type="noConversion"/>
  </si>
  <si>
    <t>계절(여름) 문화관광 기획공연 및 체험</t>
    <phoneticPr fontId="23" type="noConversion"/>
  </si>
  <si>
    <t>부산진구 문화체육과
(051-605-4062)</t>
    <phoneticPr fontId="23" type="noConversion"/>
  </si>
  <si>
    <t>○ 거리 문화 기획 공연
○ 개막공연, 주제공연 및 테마행사
○ 도심 올나잇 행사
○ 축제참여자 체험 프로그램</t>
    <phoneticPr fontId="23" type="noConversion"/>
  </si>
  <si>
    <t>7~8월 중
(4일간)</t>
    <phoneticPr fontId="23" type="noConversion"/>
  </si>
  <si>
    <t>서면대표축제</t>
    <phoneticPr fontId="23" type="noConversion"/>
  </si>
  <si>
    <t>공공(시구)</t>
    <phoneticPr fontId="23" type="noConversion"/>
  </si>
  <si>
    <t>○ 금정 커피․빵․문화의 맛 즐기기 및 초콜릿 만들기 등 
    체험행사
○ 개막식 축하 공연 및 문화 공연</t>
    <phoneticPr fontId="23" type="noConversion"/>
  </si>
  <si>
    <t>부산대학로
부산대역 일원</t>
    <phoneticPr fontId="23" type="noConversion"/>
  </si>
  <si>
    <t>금정구 문화관광과/금정문화재단
(051-512-3455)</t>
    <phoneticPr fontId="23" type="noConversion"/>
  </si>
  <si>
    <t>○ 춤의거리,생활문화도앙리,시민거리공연
○ 마술과 공연 등</t>
    <phoneticPr fontId="23" type="noConversion"/>
  </si>
  <si>
    <t>2020 부산금정거리
예술축제</t>
    <phoneticPr fontId="23" type="noConversion"/>
  </si>
  <si>
    <t>금정구</t>
    <phoneticPr fontId="23" type="noConversion"/>
  </si>
  <si>
    <t>온천천,금정산성다목적광장</t>
    <phoneticPr fontId="23" type="noConversion"/>
  </si>
  <si>
    <t>금정산성</t>
    <phoneticPr fontId="23" type="noConversion"/>
  </si>
  <si>
    <t>금정구 문화관광과/금정문화재단
(070-4167-9725)</t>
    <phoneticPr fontId="23" type="noConversion"/>
  </si>
  <si>
    <t>○ 대표,특별,전야,공연예술프로그램</t>
    <phoneticPr fontId="23" type="noConversion"/>
  </si>
  <si>
    <t>5.22~5.24
(3일간)예정</t>
    <phoneticPr fontId="23" type="noConversion"/>
  </si>
  <si>
    <t>2020금정산성축제</t>
    <phoneticPr fontId="23" type="noConversion"/>
  </si>
  <si>
    <t>삼락생태공원</t>
    <phoneticPr fontId="23" type="noConversion"/>
  </si>
  <si>
    <t>정규직 4명</t>
    <phoneticPr fontId="23" type="noConversion"/>
  </si>
  <si>
    <t>강변, 벚꽃</t>
    <phoneticPr fontId="23" type="noConversion"/>
  </si>
  <si>
    <t>사상구/사상문화원
(051-310-4064)</t>
    <phoneticPr fontId="23" type="noConversion"/>
  </si>
  <si>
    <t xml:space="preserve"> ○ 강변, 벚꽃을 테마로한 주제공연 및 문화공연
 ○ 제9회 사상벚꽃가요제
 ○ 구정 역점시책사업 전시 및 홍보
 ○ 구민건강 체험 한마당
 ○ 구민건강 걷기대회 및 삼락벚꽃축제와 연계 개최</t>
    <phoneticPr fontId="23" type="noConversion"/>
  </si>
  <si>
    <t>벚꽃과 함께하는
제19회 사상강변축제</t>
    <phoneticPr fontId="23" type="noConversion"/>
  </si>
  <si>
    <t>사상구</t>
    <phoneticPr fontId="23" type="noConversion"/>
  </si>
  <si>
    <t>광안리해수욕장</t>
    <phoneticPr fontId="23" type="noConversion"/>
  </si>
  <si>
    <t>어방
(어민과 수군의
어업협동공동체)</t>
    <phoneticPr fontId="23" type="noConversion"/>
  </si>
  <si>
    <t>수영구 문화관광과
/ 수영구축제위원회
(051-610-4062)</t>
    <phoneticPr fontId="23" type="noConversion"/>
  </si>
  <si>
    <t xml:space="preserve">○ 뮤지컬어방, 경상좌수사행렬
○ 수군과 어민의 어업공동체인 '어방'을 테마로
    공연,전시,체험 프로그램 운영
○ 진두어화, 어방그물끌기,맨손으로활어잡기 등
   - 6개분야 38개 프로그램 운영
○ 문화예술의거리, 윈드서핑대회 개최 </t>
    <phoneticPr fontId="23" type="noConversion"/>
  </si>
  <si>
    <t>광안리어방축제</t>
    <phoneticPr fontId="23" type="noConversion"/>
  </si>
  <si>
    <t>바다, 광장</t>
    <phoneticPr fontId="23" type="noConversion"/>
  </si>
  <si>
    <t>미정
('20.1회추경반영예정)</t>
    <phoneticPr fontId="23" type="noConversion"/>
  </si>
  <si>
    <t>○ 해운대해수욕장 및 해운대광장 빛의 거리 조성
○ 다양한 포토존 설치
○ 버스킹 등 다양한 문화축제의 장 등</t>
    <phoneticPr fontId="23" type="noConversion"/>
  </si>
  <si>
    <t>해운대 빛축제</t>
    <phoneticPr fontId="23" type="noConversion"/>
  </si>
  <si>
    <t>해운대구</t>
    <phoneticPr fontId="23" type="noConversion"/>
  </si>
  <si>
    <t>해양, 레포츠</t>
    <phoneticPr fontId="23" type="noConversion"/>
  </si>
  <si>
    <t>부산광역시 해운대구/부산광역시 해운대구
(051-749-5602)</t>
    <phoneticPr fontId="23" type="noConversion"/>
  </si>
  <si>
    <t>○ 해양레저 체험, 시민참여 프로그램 운영
○ 해양레저용품 전시관, 포토존 운영
○ 개막공연 등 다양한 문화축제의 장 등</t>
    <phoneticPr fontId="23" type="noConversion"/>
  </si>
  <si>
    <t>해운대 해양레저축제</t>
    <phoneticPr fontId="23" type="noConversion"/>
  </si>
  <si>
    <t>달, 온천</t>
    <phoneticPr fontId="23" type="noConversion"/>
  </si>
  <si>
    <t>해운대구/(사)해운대지구발전협의회
(051-749-4062)</t>
    <phoneticPr fontId="23" type="noConversion"/>
  </si>
  <si>
    <t>○ 달집 기원제, 소망기원문 쓰기, 대동놀이
○ 달집태우기, 강강술래등</t>
    <phoneticPr fontId="23" type="noConversion"/>
  </si>
  <si>
    <t>2.6~2.8
(3일간)</t>
    <phoneticPr fontId="23" type="noConversion"/>
  </si>
  <si>
    <t>해운대 달맞이 온천축제</t>
    <phoneticPr fontId="23" type="noConversion"/>
  </si>
  <si>
    <t>모래</t>
    <phoneticPr fontId="23" type="noConversion"/>
  </si>
  <si>
    <t>○ 세계모래조각전
○ 모래를 소재로한 국내 최대규모의 친환경축제
○ 개막식공연, 퍼레이드 외 3개분야 20여개 프로그램</t>
    <phoneticPr fontId="23" type="noConversion"/>
  </si>
  <si>
    <t>5.22~5.25
(4일간)</t>
    <phoneticPr fontId="23" type="noConversion"/>
  </si>
  <si>
    <t>해운대모래축제</t>
    <phoneticPr fontId="23" type="noConversion"/>
  </si>
  <si>
    <t>공공(시〮군〮구)</t>
    <phoneticPr fontId="23" type="noConversion"/>
  </si>
  <si>
    <t>동래구
 (051-550-4094)</t>
    <phoneticPr fontId="23" type="noConversion"/>
  </si>
  <si>
    <t xml:space="preserve">○  대형크리스마스트 설치, 빛아트존 조성
○  버스킹 공연, 프리마켓 운영 등 </t>
    <phoneticPr fontId="23" type="noConversion"/>
  </si>
  <si>
    <t>12.22~12.25
(4일간)</t>
    <phoneticPr fontId="23" type="noConversion"/>
  </si>
  <si>
    <t>추억의 크리스마스
꺼내기</t>
    <phoneticPr fontId="23" type="noConversion"/>
  </si>
  <si>
    <t>동래구
(051-550-4092)</t>
    <phoneticPr fontId="23" type="noConversion"/>
  </si>
  <si>
    <t>○ 온천을 테마로한 공연, 참여, 체험프로그램 운영
○ 개막 공연, 용왕제 길놀이 등
   - 4개 분야  20여개 프로그램</t>
    <phoneticPr fontId="23" type="noConversion"/>
  </si>
  <si>
    <t>동래온천 대축제</t>
    <phoneticPr fontId="23" type="noConversion"/>
  </si>
  <si>
    <t>공원(사적지),
마을</t>
    <phoneticPr fontId="23" type="noConversion"/>
  </si>
  <si>
    <t>역사
(동래읍성, 송상현 부사, 조선시대 등)</t>
    <phoneticPr fontId="23" type="noConversion"/>
  </si>
  <si>
    <t>1995년
(26회)</t>
    <phoneticPr fontId="23" type="noConversion"/>
  </si>
  <si>
    <t>동래구 / 동래문화원, 동래읍성역사축제 추진위원회
(051-550-4092)</t>
    <phoneticPr fontId="23" type="noConversion"/>
  </si>
  <si>
    <t>○ 대표 프로그램 : 동래성 전투 재현 뮤지컬 (관람객 한마당)
○ 조선시대 동래성 사람들의 생활상과 1592년 임진왜란 
    동래성 전투를 테마로 한 공연,전시,체험 프로그램 운영
○ 동래부사행차길놀이, 조선 동래사람되어보기 체험 등 4개
    분야 40여개 프로그램</t>
    <phoneticPr fontId="23" type="noConversion"/>
  </si>
  <si>
    <t>제26회 동래읍성역사축제</t>
    <phoneticPr fontId="23" type="noConversion"/>
  </si>
  <si>
    <t xml:space="preserve">취소 </t>
    <phoneticPr fontId="23" type="noConversion"/>
  </si>
  <si>
    <t xml:space="preserve"> ○ 평화를 테마로한 공연, 전시, 체험프로그램 운영
 ○ 개폐막 공연, 주제공연 및 문화공연
    - 4개 분야 20여개 프로그램
 ○ 기타 특별행사 및 전시 등등 </t>
    <phoneticPr fontId="23" type="noConversion"/>
  </si>
  <si>
    <t>10.17∼10.18
(2일간)</t>
    <phoneticPr fontId="23" type="noConversion"/>
  </si>
  <si>
    <t>사문진나루터
상설야외공연장</t>
    <phoneticPr fontId="23" type="noConversion"/>
  </si>
  <si>
    <t>100대 피아노</t>
    <phoneticPr fontId="23" type="noConversion"/>
  </si>
  <si>
    <t xml:space="preserve"> ○ 한국 최초 피아노 유입지에서 펼쳐지는 100대 피아노 및 100인 피아스니트 공연
 ○ 유명 아티스트 초청공연 및 피아니스트와의 협연</t>
    <phoneticPr fontId="23" type="noConversion"/>
  </si>
  <si>
    <t>비슬산자연휴양림 일원</t>
    <phoneticPr fontId="23" type="noConversion"/>
  </si>
  <si>
    <t>참꽃</t>
    <phoneticPr fontId="23" type="noConversion"/>
  </si>
  <si>
    <t>1997년
(24회)</t>
    <phoneticPr fontId="23" type="noConversion"/>
  </si>
  <si>
    <t>달성군 문화체육과
/달성문화재단
(053-668-2172)</t>
    <phoneticPr fontId="23" type="noConversion"/>
  </si>
  <si>
    <t xml:space="preserve"> ○ 개막식, 산신제, 문화예술공연, 참꽃관련 체험부스운영등</t>
    <phoneticPr fontId="23" type="noConversion"/>
  </si>
  <si>
    <t>비슬산 참꽃 문화제</t>
    <phoneticPr fontId="23" type="noConversion"/>
  </si>
  <si>
    <t>달성군</t>
    <phoneticPr fontId="23" type="noConversion"/>
  </si>
  <si>
    <t>개최완료(온라인)
(5.22~5.24)</t>
    <phoneticPr fontId="23" type="noConversion"/>
  </si>
  <si>
    <t xml:space="preserve"> 달서문화재단
(053-584-9712)</t>
    <phoneticPr fontId="23" type="noConversion"/>
  </si>
  <si>
    <t xml:space="preserve"> ○ 축하콘서트
 ○ 버스킹공연 및 장미체험부스 운영 등</t>
    <phoneticPr fontId="23" type="noConversion"/>
  </si>
  <si>
    <t>5.14~5.16
(3일간)</t>
    <phoneticPr fontId="23" type="noConversion"/>
  </si>
  <si>
    <t>장미꽃필무렵</t>
    <phoneticPr fontId="23" type="noConversion"/>
  </si>
  <si>
    <t>달서구</t>
    <phoneticPr fontId="23" type="noConversion"/>
  </si>
  <si>
    <t>부분위탁
(시스템, 행사운영 등)</t>
    <phoneticPr fontId="23" type="noConversion"/>
  </si>
  <si>
    <t>있음
정규직 4명</t>
    <phoneticPr fontId="23" type="noConversion"/>
  </si>
  <si>
    <t>호수, 생활예술</t>
    <phoneticPr fontId="23" type="noConversion"/>
  </si>
  <si>
    <t>2014년
(6회)</t>
    <phoneticPr fontId="23" type="noConversion"/>
  </si>
  <si>
    <t>대구광역시 수성구 문화예술과
(053-666-2163) / (재)수성문화재단(053-668-1504)</t>
    <phoneticPr fontId="23" type="noConversion"/>
  </si>
  <si>
    <t xml:space="preserve"> ○ 호반을 배경으로 펼쳐지는 다채로운 문화예술 공연 및 
     음악 불꽃쇼
 ○ 수성문화재단 상주예술단(합창단)과 지역무형문화재(고산,욱수농악)를 필두로 1,000명의 시민합창단과 주민·학생풍물단이 함께 하는 수성못 시민 대동한마당 공연
 ○ 도서·출판 관련 지역기관 및 단체(도서관, 책방, 출판사 등)의 역량이 집결되는 축제 속 쉼터 조성
 ○ (부대행사)들안길 푸드페스티벌</t>
    <phoneticPr fontId="23" type="noConversion"/>
  </si>
  <si>
    <t>수성못 페스티벌</t>
    <phoneticPr fontId="23" type="noConversion"/>
  </si>
  <si>
    <t>수성구</t>
    <phoneticPr fontId="23" type="noConversion"/>
  </si>
  <si>
    <t>경북농업기술원,경북농업자원관리원</t>
    <phoneticPr fontId="23" type="noConversion"/>
  </si>
  <si>
    <t>허수아비, 논, 밭</t>
    <phoneticPr fontId="23" type="noConversion"/>
  </si>
  <si>
    <t>강북풀뿌리단체협의회(053-326-0645)/선린종합사회복지관, 함지노인복지관</t>
    <phoneticPr fontId="23" type="noConversion"/>
  </si>
  <si>
    <t xml:space="preserve"> ○ 허수아비 공모전
 ○ 찾아가는 허수아비 제작교실 
 ○ 전야제(복면가수자랑, 모닥불파티)</t>
    <phoneticPr fontId="23" type="noConversion"/>
  </si>
  <si>
    <t>10.10~10.31.
(32일간)</t>
    <phoneticPr fontId="23" type="noConversion"/>
  </si>
  <si>
    <t>논두렁밭두렁축제</t>
    <phoneticPr fontId="23" type="noConversion"/>
  </si>
  <si>
    <t>하천
(금호강 둔치)</t>
    <phoneticPr fontId="23" type="noConversion"/>
  </si>
  <si>
    <t>금호강
(생태자연)</t>
    <phoneticPr fontId="23" type="noConversion"/>
  </si>
  <si>
    <t>행복북구문화재단
/대구광역시 북구
(053-665-2172)</t>
    <phoneticPr fontId="23" type="noConversion"/>
  </si>
  <si>
    <t xml:space="preserve"> ○ 마칭퍼레이드
 ○ 금호강 생태전시
 ○ 체험부스 80여개, 포토존, 금호강 노래방
 ○ 수상체험프로그램, 힐링쉼터</t>
    <phoneticPr fontId="23" type="noConversion"/>
  </si>
  <si>
    <t>금호강 바람소리길축제</t>
    <phoneticPr fontId="23" type="noConversion"/>
  </si>
  <si>
    <t>앞산3개맛길</t>
    <phoneticPr fontId="23" type="noConversion"/>
  </si>
  <si>
    <t>할로윈</t>
    <phoneticPr fontId="23" type="noConversion"/>
  </si>
  <si>
    <t>문화특화지역조성사업</t>
    <phoneticPr fontId="23" type="noConversion"/>
  </si>
  <si>
    <t>대구 남구 문화관광과
/(사)공동체디자인연구소
053-664-2174</t>
    <phoneticPr fontId="23" type="noConversion"/>
  </si>
  <si>
    <t xml:space="preserve"> ○ 앞산맛둘레길, 안지랑곱창골목, 대명문화거리 연계 
     할로윈 축제
 ○ 대구YWCA 앞산아래 별별마켓, 안지랑 플리마켓
 ○ 할로위크 대명, 대구 라이브 클럽데이</t>
    <phoneticPr fontId="23" type="noConversion"/>
  </si>
  <si>
    <t>대구 할로윈 축제</t>
    <phoneticPr fontId="23" type="noConversion"/>
  </si>
  <si>
    <t>남구</t>
    <phoneticPr fontId="23" type="noConversion"/>
  </si>
  <si>
    <t>신천둔치(중동교 남편)</t>
    <phoneticPr fontId="23" type="noConversion"/>
  </si>
  <si>
    <t>비영리단체</t>
    <phoneticPr fontId="23" type="noConversion"/>
  </si>
  <si>
    <t>남구문화행사추진위원회
053-664-3262</t>
    <phoneticPr fontId="23" type="noConversion"/>
  </si>
  <si>
    <t xml:space="preserve"> ○ 대프리카 콘서트, 신천돗자리트롯가요제
 ○ 신천달빛버스킹, THE LIVE, 아이스이벤트, 쿨존
 ○ 라이트아트, 나만의돗자리만들기, 나눔장터, 건강부스</t>
    <phoneticPr fontId="23" type="noConversion"/>
  </si>
  <si>
    <t>7월 중
(2일간)</t>
    <phoneticPr fontId="23" type="noConversion"/>
  </si>
  <si>
    <t>신천돗자리음악축제</t>
    <phoneticPr fontId="23" type="noConversion"/>
  </si>
  <si>
    <t>앞산맛둘레길 일원(대덕식당~앞산빨래터공원)</t>
    <phoneticPr fontId="23" type="noConversion"/>
  </si>
  <si>
    <t>1987년
(27회)</t>
    <phoneticPr fontId="23" type="noConversion"/>
  </si>
  <si>
    <t>남구문화행사추진위원회
(053-664-3262)</t>
    <phoneticPr fontId="23" type="noConversion"/>
  </si>
  <si>
    <t xml:space="preserve"> ○ 대구의 명소 앞산을 무대로 앞산의 역사․문화․생태와 
     마을자원이 결합된 문화행사를 기획한 축제
 ○ 앞산트레일(팸)투어, 앞산콘서트, 앞산이야기극
 ○ 거리예술공연, 앞산스케치북, 현장참여프로그램
 ○ 체험부스, 전시부스, 플리마켓
 ○ 연계행사</t>
    <phoneticPr fontId="23" type="noConversion"/>
  </si>
  <si>
    <t>4.25~4.26
(2일간)</t>
    <phoneticPr fontId="23" type="noConversion"/>
  </si>
  <si>
    <t>대덕제
"대구앞산축제"</t>
    <phoneticPr fontId="23" type="noConversion"/>
  </si>
  <si>
    <t>서구 일대
북비산네거리</t>
    <phoneticPr fontId="23" type="noConversion"/>
  </si>
  <si>
    <t>날뫼북춤</t>
    <phoneticPr fontId="23" type="noConversion"/>
  </si>
  <si>
    <t>대구광역시 서구 문화홍보과
(053-663-2184)</t>
    <phoneticPr fontId="23" type="noConversion"/>
  </si>
  <si>
    <t xml:space="preserve"> ○ 달구벌목민관 부임행차 재현 퍼레이드
 ○ 달구벌목민관 추원제</t>
    <phoneticPr fontId="23" type="noConversion"/>
  </si>
  <si>
    <t>달구벌목민관 부임
마을축제</t>
    <phoneticPr fontId="23" type="noConversion"/>
  </si>
  <si>
    <t>팔공산
동화지구</t>
    <phoneticPr fontId="23" type="noConversion"/>
  </si>
  <si>
    <t>축제조직위
(상가번영회)</t>
    <phoneticPr fontId="23" type="noConversion"/>
  </si>
  <si>
    <t>팔공산</t>
    <phoneticPr fontId="23" type="noConversion"/>
  </si>
  <si>
    <t>팔공산 동화지구 상가번영회
(053-982-0103)</t>
    <phoneticPr fontId="23" type="noConversion"/>
  </si>
  <si>
    <t xml:space="preserve"> ○ 단풍가요제, 단풍길 걷기대회, 축하공연 등</t>
    <phoneticPr fontId="23" type="noConversion"/>
  </si>
  <si>
    <t>팔공산 단풍축제</t>
    <phoneticPr fontId="48" type="noConversion"/>
  </si>
  <si>
    <t>동구</t>
    <phoneticPr fontId="23" type="noConversion"/>
  </si>
  <si>
    <t>불로천
다목적광장</t>
    <phoneticPr fontId="23" type="noConversion"/>
  </si>
  <si>
    <t>공공+축제조직위</t>
    <phoneticPr fontId="23" type="noConversion"/>
  </si>
  <si>
    <t>역사배경
(임진왜란)</t>
    <phoneticPr fontId="23" type="noConversion"/>
  </si>
  <si>
    <t>용암산성 옥샘문화제 추진위원회
(053-662-3082)</t>
    <phoneticPr fontId="23" type="noConversion"/>
  </si>
  <si>
    <t xml:space="preserve"> ○ 제례행사, 공산농요</t>
    <phoneticPr fontId="23" type="noConversion"/>
  </si>
  <si>
    <t>용암산성 옥샘문화제</t>
    <phoneticPr fontId="48" type="noConversion"/>
  </si>
  <si>
    <t xml:space="preserve"> ○ 벚꽃가요제, 봄나물비빔밥시식, 축하공연 등</t>
    <phoneticPr fontId="23" type="noConversion"/>
  </si>
  <si>
    <t>4월 중
(5일간)</t>
    <phoneticPr fontId="23" type="noConversion"/>
  </si>
  <si>
    <t>팔공산 벚꽃축제</t>
    <phoneticPr fontId="23" type="noConversion"/>
  </si>
  <si>
    <t xml:space="preserve"> ○ 각 화랑 초대전시회
 ○ 갤러리 합동 소품전, 미술작품경매
 ○ 어린이미술대회, 아트마켓 등</t>
    <phoneticPr fontId="23" type="noConversion"/>
  </si>
  <si>
    <t>10.11~10.13
(3일간)</t>
    <phoneticPr fontId="23" type="noConversion"/>
  </si>
  <si>
    <t xml:space="preserve"> ○ 개막식, 중국용춤·사자춤
 ○ 중화전통의상, 음식, 놀이 전시 및 체험
 ○ 전통그림자극, 변검술, 치파오 모델선발 등</t>
    <phoneticPr fontId="23" type="noConversion"/>
  </si>
  <si>
    <t>대구 향촌동수제화골목일원</t>
    <phoneticPr fontId="23" type="noConversion"/>
  </si>
  <si>
    <t>비영리법인</t>
    <phoneticPr fontId="23" type="noConversion"/>
  </si>
  <si>
    <t>수제화</t>
    <phoneticPr fontId="23" type="noConversion"/>
  </si>
  <si>
    <t xml:space="preserve"> ○ 가요제, 플리마켓, 수제화 전시 및 체험 행사 등</t>
    <phoneticPr fontId="48" type="noConversion"/>
  </si>
  <si>
    <t>10월 중 
(2일간)</t>
    <phoneticPr fontId="23" type="noConversion"/>
  </si>
  <si>
    <t>빨간구두이야기</t>
    <phoneticPr fontId="48" type="noConversion"/>
  </si>
  <si>
    <t>대구 교동시장
일원</t>
    <phoneticPr fontId="23" type="noConversion"/>
  </si>
  <si>
    <t xml:space="preserve"> 매년</t>
    <phoneticPr fontId="23" type="noConversion"/>
  </si>
  <si>
    <t>전통시장</t>
    <phoneticPr fontId="23" type="noConversion"/>
  </si>
  <si>
    <t>시장경영바우처사업</t>
    <phoneticPr fontId="23" type="noConversion"/>
  </si>
  <si>
    <t>중기부</t>
    <phoneticPr fontId="23" type="noConversion"/>
  </si>
  <si>
    <t xml:space="preserve"> ○ 교동시장보물찾기, 추억의 낭만DJ, 사진전 등</t>
    <phoneticPr fontId="23" type="noConversion"/>
  </si>
  <si>
    <t>교동시장한마음축제</t>
    <phoneticPr fontId="23" type="noConversion"/>
  </si>
  <si>
    <t>대구 서문시장
일원</t>
    <phoneticPr fontId="23" type="noConversion"/>
  </si>
  <si>
    <t>1997년
(20회)</t>
    <phoneticPr fontId="23" type="noConversion"/>
  </si>
  <si>
    <t xml:space="preserve"> ○ 보부상퍼레이드, 상인가요제, 서문가요제 등</t>
    <phoneticPr fontId="23" type="noConversion"/>
  </si>
  <si>
    <t xml:space="preserve">10월 중 
(3일간)
</t>
    <phoneticPr fontId="23" type="noConversion"/>
  </si>
  <si>
    <t>서문시장글로벌대축제</t>
    <phoneticPr fontId="23" type="noConversion"/>
  </si>
  <si>
    <t>김광석길, 신천둔치</t>
    <phoneticPr fontId="23" type="noConversion"/>
  </si>
  <si>
    <t>2013년              (8회)</t>
    <phoneticPr fontId="23" type="noConversion"/>
  </si>
  <si>
    <t>대구 중구 문화교육과/ ㈜대구문화방송               
 (053-661-2174)</t>
    <phoneticPr fontId="23" type="noConversion"/>
  </si>
  <si>
    <t xml:space="preserve"> ○ 김광석 노래경연(예선, 본선)
 ○ 김광석 추모사진 전시 및 시화전
 ○ 아트마켓                                   </t>
    <phoneticPr fontId="23" type="noConversion"/>
  </si>
  <si>
    <t>김광석, 나의노래
다시부르기</t>
    <phoneticPr fontId="23" type="noConversion"/>
  </si>
  <si>
    <t>대구근대골목일원</t>
    <phoneticPr fontId="23" type="noConversion"/>
  </si>
  <si>
    <t>근대문화</t>
    <phoneticPr fontId="23" type="noConversion"/>
  </si>
  <si>
    <t>대구광역시 중구 관광진흥과
(053-661-2195)</t>
    <phoneticPr fontId="23" type="noConversion"/>
  </si>
  <si>
    <t xml:space="preserve"> ○ 문화(재)시설, 야간개방
 ○ 근대스토리재현, 경관조명
 ○ 전통 근대관련 문화공연ㆍ전시ㆍ체험
 ○ 청사초롱 야경투어 및 테마투어
 ○ 근대상회, 한옥숙박</t>
    <phoneticPr fontId="48" type="noConversion"/>
  </si>
  <si>
    <t>8.21~8.22
(2일간)</t>
    <phoneticPr fontId="23" type="noConversion"/>
  </si>
  <si>
    <t>대구문화재야행</t>
    <phoneticPr fontId="23" type="noConversion"/>
  </si>
  <si>
    <t>대구 남산동자동차골목 일원</t>
    <phoneticPr fontId="23" type="noConversion"/>
  </si>
  <si>
    <t>상인회</t>
    <phoneticPr fontId="23" type="noConversion"/>
  </si>
  <si>
    <t xml:space="preserve">  매년</t>
    <phoneticPr fontId="23" type="noConversion"/>
  </si>
  <si>
    <t>남산동자동차골목상점가상인회/동DSMF조직위원회
(053-661-3014)</t>
    <phoneticPr fontId="23" type="noConversion"/>
  </si>
  <si>
    <t>5.16~5.17
(2일간)</t>
    <phoneticPr fontId="23" type="noConversion"/>
  </si>
  <si>
    <t>대구스트리트모터
페스티벌</t>
    <phoneticPr fontId="23" type="noConversion"/>
  </si>
  <si>
    <t>대구 교동 ~ 
동성로 일원</t>
    <phoneticPr fontId="23" type="noConversion"/>
  </si>
  <si>
    <t>주얼리</t>
    <phoneticPr fontId="23" type="noConversion"/>
  </si>
  <si>
    <t>대구패션주얼리특구 상인회
(053-424-9150)</t>
    <phoneticPr fontId="23" type="noConversion"/>
  </si>
  <si>
    <t xml:space="preserve"> ○ 주얼리패션쇼, 주얼리경매
 ○ 미즈 주얼리모델 선발, 주얼리댄스 퍼레이드
 ○ 주얼리프리마켓, 대학생 작품전, 주얼리체험 등</t>
    <phoneticPr fontId="23" type="noConversion"/>
  </si>
  <si>
    <t>데구 동성로 시내 일원</t>
    <phoneticPr fontId="23" type="noConversion"/>
  </si>
  <si>
    <t>동성로거리</t>
    <phoneticPr fontId="23" type="noConversion"/>
  </si>
  <si>
    <t>1990년
(31회)</t>
    <phoneticPr fontId="23" type="noConversion"/>
  </si>
  <si>
    <t xml:space="preserve"> ○ 동성로뷰티쇼/패션쇼(산학연계) 등
 ○ 히트바디챔피온십, K-Classic
 ○ 동성로가요제, 동성로DJ페스티발, 킹오브댄싱
 ○ 뷰티거리와 연계된 뷰티체험 부스 운영
 ○ 푸드트럭  운영 등</t>
    <phoneticPr fontId="23" type="noConversion"/>
  </si>
  <si>
    <t>5.8~5.10.
(3일간)</t>
    <phoneticPr fontId="23" type="noConversion"/>
  </si>
  <si>
    <t>달성습지</t>
    <phoneticPr fontId="23" type="noConversion"/>
  </si>
  <si>
    <t>멸종위기종
(맹꽁이)</t>
    <phoneticPr fontId="23" type="noConversion"/>
  </si>
  <si>
    <t>대구광역시 환경정책과
/ 사)대구경북늘푸른자원봉사단
(053-803-4215)</t>
    <phoneticPr fontId="23" type="noConversion"/>
  </si>
  <si>
    <t xml:space="preserve"> ○ 맹꽁이축제 하이라이트 영상, 어린이환경합창단 공연
 ○ 습지탐방코스, 체험부스 등 40개 부스운영
 ○ 1회용품사용 줄이기 등 녹색환경 시홍보 부스 운영</t>
    <phoneticPr fontId="23" type="noConversion"/>
  </si>
  <si>
    <t>9.26~9.27
(2일간)</t>
    <phoneticPr fontId="23" type="noConversion"/>
  </si>
  <si>
    <t>생명사랑환경축제 
"맹꽁이야 놀자~!!"</t>
    <phoneticPr fontId="23" type="noConversion"/>
  </si>
  <si>
    <t>부분위탁(운영 및 프로그램</t>
    <phoneticPr fontId="23" type="noConversion"/>
  </si>
  <si>
    <t>패션-문화 융합 중심의 패션쇼, 전시, 공연, 체험 등의 행사 콘텐츠 진행</t>
    <phoneticPr fontId="23" type="noConversion"/>
  </si>
  <si>
    <t>대구광역시 섬유패션과/한국패션산업연구원(053-721-7434)</t>
    <phoneticPr fontId="23" type="noConversion"/>
  </si>
  <si>
    <t xml:space="preserve"> ○ K 컬쳐 퍼포먼스 패션쇼 개최
 ○ 참여형 패션쇼 및 체험형 옴니채널 팝업스토어 운영
 ○ 문화예술공연 전시 프로그램 운영</t>
    <phoneticPr fontId="23" type="noConversion"/>
  </si>
  <si>
    <t>7.1~7.5
(5일간)</t>
    <phoneticPr fontId="23" type="noConversion"/>
  </si>
  <si>
    <t>대구국제패션문화페스티벌</t>
    <phoneticPr fontId="23" type="noConversion"/>
  </si>
  <si>
    <t>대구스타디움, 시민광장, 소극장 등</t>
    <phoneticPr fontId="23" type="noConversion"/>
  </si>
  <si>
    <t>비상설
계약 20명</t>
    <phoneticPr fontId="23" type="noConversion"/>
  </si>
  <si>
    <t>괴기, 좀비, 여름</t>
    <phoneticPr fontId="23" type="noConversion"/>
  </si>
  <si>
    <t>2002년
(18회)</t>
    <phoneticPr fontId="23" type="noConversion"/>
  </si>
  <si>
    <t>(사)한국연극협회 대구시지회/ 
대구호러공연예술제조직위원회
(053-255-2555)</t>
    <phoneticPr fontId="23" type="noConversion"/>
  </si>
  <si>
    <t xml:space="preserve"> ○ 공식초청공연 및 자유경연작
 ○ 호러공연예술제 및 프린지 공연, 체험부스 운영 등  </t>
    <phoneticPr fontId="23" type="noConversion"/>
  </si>
  <si>
    <t>대구국제호러페스티벌</t>
    <phoneticPr fontId="23" type="noConversion"/>
  </si>
  <si>
    <t>두류공원일원</t>
    <phoneticPr fontId="23" type="noConversion"/>
  </si>
  <si>
    <t>사단법인
축제조직위</t>
    <phoneticPr fontId="23" type="noConversion"/>
  </si>
  <si>
    <t xml:space="preserve"> ○ 치킨, 맥주 홍보, 전시, 판매
 ○ 치킨, 맥주를 테마로한 공연, 전시, 체험프로그램 운영
 ○ 개폐막 공연, 주제공연 및 문화공연
    - 6개 행사 66여개 프로그램</t>
    <phoneticPr fontId="23" type="noConversion"/>
  </si>
  <si>
    <t>대구치맥페스티벌</t>
    <phoneticPr fontId="23" type="noConversion"/>
  </si>
  <si>
    <t>약령시장</t>
    <phoneticPr fontId="23" type="noConversion"/>
  </si>
  <si>
    <t xml:space="preserve">있음
정규직 7명
계약직 0명
총 7명  </t>
    <phoneticPr fontId="23" type="noConversion"/>
  </si>
  <si>
    <t>한방문화</t>
    <phoneticPr fontId="23" type="noConversion"/>
  </si>
  <si>
    <t>1978년
(43회)</t>
    <phoneticPr fontId="23" type="noConversion"/>
  </si>
  <si>
    <t>대구광역시·대구시 중구청
/ (사)약령시보존위원회
(053-253-4729)</t>
    <phoneticPr fontId="23" type="noConversion"/>
  </si>
  <si>
    <r>
      <t xml:space="preserve"> ○</t>
    </r>
    <r>
      <rPr>
        <u/>
        <sz val="10"/>
        <color theme="1"/>
        <rFont val="맑은 고딕"/>
        <family val="3"/>
        <charset val="129"/>
        <scheme val="minor"/>
      </rPr>
      <t xml:space="preserve"> 대표프로그램 : 사상체질체험관</t>
    </r>
    <r>
      <rPr>
        <sz val="10"/>
        <color theme="1"/>
        <rFont val="맑은 고딕"/>
        <family val="3"/>
        <charset val="129"/>
        <scheme val="minor"/>
      </rPr>
      <t xml:space="preserve">
 ○ 한방문화를 테마로한 공연, 전시, 체험프로그램 운영
 ○ 개폐막식, 주제공연 및 문화공연
    -50여개 프로그램</t>
    </r>
    <phoneticPr fontId="23" type="noConversion"/>
  </si>
  <si>
    <t>대구약령시
한방문화축제</t>
    <phoneticPr fontId="23" type="noConversion"/>
  </si>
  <si>
    <t>바디페인팅 경연</t>
    <phoneticPr fontId="23" type="noConversion"/>
  </si>
  <si>
    <t>㈜티비씨/DIBF조직위
053-760-1845</t>
    <phoneticPr fontId="23" type="noConversion"/>
  </si>
  <si>
    <t xml:space="preserve"> ○ 바디페인팅 경연 및 시상식
 ○ 축하공연, 각종 체험 및 전시행사</t>
    <phoneticPr fontId="23" type="noConversion"/>
  </si>
  <si>
    <t>8.29~8.30
(2일간)</t>
    <phoneticPr fontId="23" type="noConversion"/>
  </si>
  <si>
    <t>대구국제바디페인팅페스티벌</t>
    <phoneticPr fontId="23" type="noConversion"/>
  </si>
  <si>
    <t>기타
(동화사 경내)</t>
    <phoneticPr fontId="23" type="noConversion"/>
  </si>
  <si>
    <t>승시(소통, 공유)
불교문화
사찰</t>
    <phoneticPr fontId="23" type="noConversion"/>
  </si>
  <si>
    <t>팔공총림동화사
/ 팔공산승시축제봉행위원회
(053-980-7956)</t>
    <phoneticPr fontId="23" type="noConversion"/>
  </si>
  <si>
    <t xml:space="preserve"> ○ 산중장터 승시 재연
 ○ 사찰음식체헌괌 등 체험프로그램 운영
 ○ 개폐막 공연 등 문화공연과 전시
 ○ 합창대회, 씨름대회 등 경연대회
 ○ 대학생 UCC공모전 등 참여 프로그램</t>
    <phoneticPr fontId="23" type="noConversion"/>
  </si>
  <si>
    <t>10.1~10.4.
(4일간)</t>
    <phoneticPr fontId="23" type="noConversion"/>
  </si>
  <si>
    <t>팔공산 산중장터 승시</t>
    <phoneticPr fontId="23" type="noConversion"/>
  </si>
  <si>
    <t>대구광역시 문화예술정책과
(053-803-3633)
/대구문화재단
(053-430-1221)</t>
    <phoneticPr fontId="23" type="noConversion"/>
  </si>
  <si>
    <t>개최완료(온라인)
(7.29~7.30)</t>
    <phoneticPr fontId="23" type="noConversion"/>
  </si>
  <si>
    <t>정규직2명
계약직 12명
총14명</t>
    <phoneticPr fontId="23" type="noConversion"/>
  </si>
  <si>
    <t>포크</t>
    <phoneticPr fontId="23" type="noConversion"/>
  </si>
  <si>
    <t>대구광역시 문화예술정책과 
/ (사)대구포크페스티벌
(053-626-2015)</t>
    <phoneticPr fontId="23" type="noConversion"/>
  </si>
  <si>
    <t xml:space="preserve"> ○ 포크송 공연, 버스킹 공연, 포크로드, 포토존 등
 ○ 총67팀(메인25, 서브24, 사전버스킹 18)</t>
    <phoneticPr fontId="23" type="noConversion"/>
  </si>
  <si>
    <t>5.28~5.30
(3일간)</t>
    <phoneticPr fontId="23" type="noConversion"/>
  </si>
  <si>
    <t>대구포크페스티벌</t>
    <phoneticPr fontId="23" type="noConversion"/>
  </si>
  <si>
    <t>정규직2명
계약직 10명
총13명</t>
    <phoneticPr fontId="23" type="noConversion"/>
  </si>
  <si>
    <t>대구광역시 문화예술정책과 
/ 대구국제재즈축제조직위원회
(1544-1850)</t>
    <phoneticPr fontId="23" type="noConversion"/>
  </si>
  <si>
    <r>
      <t xml:space="preserve"> </t>
    </r>
    <r>
      <rPr>
        <sz val="10"/>
        <color theme="1"/>
        <rFont val="맑은 고딕"/>
        <family val="1"/>
        <charset val="129"/>
        <scheme val="minor"/>
      </rPr>
      <t>〇</t>
    </r>
    <r>
      <rPr>
        <sz val="10"/>
        <color theme="1"/>
        <rFont val="맑은 고딕"/>
        <family val="3"/>
        <charset val="129"/>
        <scheme val="minor"/>
      </rPr>
      <t xml:space="preserve"> 재즈뮤지션초청공연 : 2회, 8팀
 </t>
    </r>
    <r>
      <rPr>
        <sz val="10"/>
        <color theme="1"/>
        <rFont val="맑은 고딕"/>
        <family val="1"/>
        <charset val="129"/>
        <scheme val="minor"/>
      </rPr>
      <t>〇</t>
    </r>
    <r>
      <rPr>
        <sz val="10"/>
        <color theme="1"/>
        <rFont val="맑은 고딕"/>
        <family val="3"/>
        <charset val="129"/>
        <scheme val="minor"/>
      </rPr>
      <t xml:space="preserve"> 프린지 공연 : 5회, 14팀
 </t>
    </r>
    <r>
      <rPr>
        <sz val="10"/>
        <color theme="1"/>
        <rFont val="맑은 고딕"/>
        <family val="1"/>
        <charset val="129"/>
        <scheme val="minor"/>
      </rPr>
      <t>〇</t>
    </r>
    <r>
      <rPr>
        <sz val="10"/>
        <color theme="1"/>
        <rFont val="맑은 고딕"/>
        <family val="3"/>
        <charset val="129"/>
        <scheme val="minor"/>
      </rPr>
      <t xml:space="preserve"> 매니아 스테이지 : 1회, 3팀
 </t>
    </r>
    <r>
      <rPr>
        <sz val="10"/>
        <color theme="1"/>
        <rFont val="맑은 고딕"/>
        <family val="1"/>
        <charset val="129"/>
        <scheme val="minor"/>
      </rPr>
      <t>〇</t>
    </r>
    <r>
      <rPr>
        <sz val="10"/>
        <color theme="1"/>
        <rFont val="맑은 고딕"/>
        <family val="3"/>
        <charset val="129"/>
        <scheme val="minor"/>
      </rPr>
      <t xml:space="preserve"> 제4회대구국제실용음악콩쿠르
  - 예선 120팀, 결선 22팀
  - 시상 6팀(중등 3, 대학일반 3)</t>
    </r>
    <phoneticPr fontId="23" type="noConversion"/>
  </si>
  <si>
    <t>대구국제재즈축제</t>
    <phoneticPr fontId="23" type="noConversion"/>
  </si>
  <si>
    <t>운동장(야구장)</t>
    <phoneticPr fontId="23" type="noConversion"/>
  </si>
  <si>
    <t>·사단법인
 ·축제조직위</t>
    <phoneticPr fontId="23" type="noConversion"/>
  </si>
  <si>
    <t xml:space="preserve"> ○ 점등식(2020.4.4 / 수성못)
 ○ 연등행렬, 법요식, 연등식, 소원풍등날리기
     (2020.4.18 / 두류야구장)
 ○ 관등놀이 등전시(2020.4.24. ~ 4.26.)</t>
    <phoneticPr fontId="23" type="noConversion"/>
  </si>
  <si>
    <t>4.4~4.26
(23일간)</t>
    <phoneticPr fontId="23" type="noConversion"/>
  </si>
  <si>
    <t>형형색색 달구벌
관등놀이</t>
    <phoneticPr fontId="23" type="noConversion"/>
  </si>
  <si>
    <t>개최예정
(온오프라인병행)
(10.23-11.1)</t>
    <phoneticPr fontId="23" type="noConversion"/>
  </si>
  <si>
    <t>공연장, 시내 거리 등</t>
    <phoneticPr fontId="23" type="noConversion"/>
  </si>
  <si>
    <t>있음
(정규직 13명)</t>
    <phoneticPr fontId="23" type="noConversion"/>
  </si>
  <si>
    <t>음악산업 및 대중산업문화육성</t>
    <phoneticPr fontId="23" type="noConversion"/>
  </si>
  <si>
    <t>대구광역시 문화콘텐츠과
/ (사)DIMF 
(053-622-1945)</t>
    <phoneticPr fontId="23" type="noConversion"/>
  </si>
  <si>
    <t xml:space="preserve"> ○ 국내·외 우수작품 공연
 ○ 딤프어워즈, 딤프린지 등</t>
    <phoneticPr fontId="23" type="noConversion"/>
  </si>
  <si>
    <t>6.26~7.13
(18일간)</t>
    <phoneticPr fontId="23" type="noConversion"/>
  </si>
  <si>
    <t>대구국제뮤지컬페스티벌</t>
    <phoneticPr fontId="23" type="noConversion"/>
  </si>
  <si>
    <t>공연장, 광장, 주요거리, 전시관 등</t>
    <phoneticPr fontId="23" type="noConversion"/>
  </si>
  <si>
    <t>재단 고유업무</t>
    <phoneticPr fontId="23" type="noConversion"/>
  </si>
  <si>
    <t>오페라</t>
    <phoneticPr fontId="23" type="noConversion"/>
  </si>
  <si>
    <t>대구광역시 문화콘텐츠과
/ (재)대구오페라하우스
(053-803-3792)</t>
    <phoneticPr fontId="23" type="noConversion"/>
  </si>
  <si>
    <t xml:space="preserve"> ○ 주제 : 오페라와 인간
 ○ 메인오페라 4편 공연
 ○ 제2회 대구국제오페라어워즈 개최
 ○ 소극장오페라, 광장오페라, 콘서트 등
 ○ 기타 부대행사 및 특별행사 </t>
    <phoneticPr fontId="23" type="noConversion"/>
  </si>
  <si>
    <t>8.17~10.11
(56일간)</t>
    <phoneticPr fontId="23" type="noConversion"/>
  </si>
  <si>
    <t>대구국제오페라축제</t>
    <phoneticPr fontId="23" type="noConversion"/>
  </si>
  <si>
    <t>게임</t>
    <phoneticPr fontId="23" type="noConversion"/>
  </si>
  <si>
    <t>게임산업 정책지원</t>
    <phoneticPr fontId="23" type="noConversion"/>
  </si>
  <si>
    <t>대구광역시 문화콘텐츠과
/(재)대구디지털산업진흥원
(053-803-3801)</t>
    <phoneticPr fontId="23" type="noConversion"/>
  </si>
  <si>
    <t xml:space="preserve"> ○ 게임영상콘서트
 ○ 이스포스대회,  코스프레대회, 게임체험존, 게임잼 등</t>
    <phoneticPr fontId="23" type="noConversion"/>
  </si>
  <si>
    <t>8.22~8.23
(2일간)</t>
    <phoneticPr fontId="23" type="noConversion"/>
  </si>
  <si>
    <t>대구글로벌게임문화축제 e-Fun</t>
    <phoneticPr fontId="23" type="noConversion"/>
  </si>
  <si>
    <t>국채보상로 일원</t>
    <phoneticPr fontId="23" type="noConversion"/>
  </si>
  <si>
    <t xml:space="preserve">있음
정규직 2명
계약직 3명
총 5명  </t>
    <phoneticPr fontId="23" type="noConversion"/>
  </si>
  <si>
    <t>2005년
(15회)</t>
    <phoneticPr fontId="23" type="noConversion"/>
  </si>
  <si>
    <t>대구광역시 문화콘텐츠과
(053-803-6224)
/(재)대구문화재단
(053-430-1263)</t>
    <phoneticPr fontId="23" type="noConversion"/>
  </si>
  <si>
    <t xml:space="preserve"> ○ 컬러풀퍼레이드
 ○ 거리예술제, 예술장터, 푸드트럭
 ○ 전야제 개최(5.3. 동성로야외무대)</t>
    <phoneticPr fontId="23" type="noConversion"/>
  </si>
  <si>
    <t>대구컬러풀페스티벌</t>
    <phoneticPr fontId="23" type="noConversion"/>
  </si>
  <si>
    <t>2020년 지역축제 개최계획 총괄표(대구광역시)</t>
    <phoneticPr fontId="23" type="noConversion"/>
  </si>
  <si>
    <t>정규직 1명</t>
    <phoneticPr fontId="23" type="noConversion"/>
  </si>
  <si>
    <t>성찰( 省察  )</t>
    <phoneticPr fontId="23" type="noConversion"/>
  </si>
  <si>
    <t xml:space="preserve">불교산사예술제 </t>
    <phoneticPr fontId="23" type="noConversion"/>
  </si>
  <si>
    <t>삼랑성역사문화축제조직위원회/
삼랑성역사문화축제추진위원회
(032-937-0025)</t>
    <phoneticPr fontId="23" type="noConversion"/>
  </si>
  <si>
    <t>○ 가을음악회 개최
○ 성찰(省察)을 주제로 전시
○ 인경, 목공예, 가죽공예 등 체험행사
○ 미술대회, 글쓰기 대회 등
○ 다례재, 영산대제, 남사당 놀이, 마당극
○ 먹거리장터, 특산물 운영 등</t>
    <phoneticPr fontId="23" type="noConversion"/>
  </si>
  <si>
    <t>강화군</t>
    <phoneticPr fontId="23" type="noConversion"/>
  </si>
  <si>
    <t>공원, 산</t>
    <phoneticPr fontId="23" type="noConversion"/>
  </si>
  <si>
    <t>2005년도
(13회)</t>
    <phoneticPr fontId="23" type="noConversion"/>
  </si>
  <si>
    <t>강화군/강화군문화축제추진위원회
(032-930-3623)</t>
    <phoneticPr fontId="23" type="noConversion"/>
  </si>
  <si>
    <t>○ 진달래를 테마로 한 체험프로그램 운영
○ 버스킹 페스티벌, 달래 방송국 공연
○ 진달래 포토존 등 전시 프로그램
○ 먹거리 부스운영, 농특산물 판매부스 운영 등</t>
    <phoneticPr fontId="23" type="noConversion"/>
  </si>
  <si>
    <t>4.18~4.26
(9일간)</t>
    <phoneticPr fontId="23" type="noConversion"/>
  </si>
  <si>
    <t>초지교통광장
일원</t>
    <phoneticPr fontId="23" type="noConversion"/>
  </si>
  <si>
    <t>부분위탁
(운영,하드웨어, 
   프로그램)</t>
    <phoneticPr fontId="23" type="noConversion"/>
  </si>
  <si>
    <t>새우젓</t>
    <phoneticPr fontId="23" type="noConversion"/>
  </si>
  <si>
    <t>강화군청 해양수산과
(032-930-3413)</t>
    <phoneticPr fontId="23" type="noConversion"/>
  </si>
  <si>
    <t>○ 새우젓 경매
○ 새우젓 시식회
○ 김치 담그기
○ 강화농축수산물 판매 및 홍보행사 등</t>
    <phoneticPr fontId="23" type="noConversion"/>
  </si>
  <si>
    <t>강화도새우젓축제</t>
    <phoneticPr fontId="23" type="noConversion"/>
  </si>
  <si>
    <t>강화군 농업기술센터/강화고려인삼축제추진위원회
(032-930-4122)</t>
    <phoneticPr fontId="23" type="noConversion"/>
  </si>
  <si>
    <t>○ 강화6년근 인삼판매
○ 축하행사, 강화인삼경매행사, 강화인삼홍보관운영
○ 강화인삼먹거리장터, 강화인삼체험행사 등</t>
    <phoneticPr fontId="23" type="noConversion"/>
  </si>
  <si>
    <t>강화고려인삼축제</t>
    <phoneticPr fontId="23" type="noConversion"/>
  </si>
  <si>
    <t>강화군 농업기술센터/강화군 농업기술센터
(032-930-4122)</t>
    <phoneticPr fontId="23" type="noConversion"/>
  </si>
  <si>
    <t>○ 강화섬포도판매, 농특산물판매
○ 축하행사, 강화포도체험행사, 먹거리장터 등</t>
    <phoneticPr fontId="23" type="noConversion"/>
  </si>
  <si>
    <t>9.19~9.20
(2일간)</t>
    <phoneticPr fontId="23" type="noConversion"/>
  </si>
  <si>
    <t>강화섬포도축제</t>
    <phoneticPr fontId="23" type="noConversion"/>
  </si>
  <si>
    <t>시내거리
(부평대로)</t>
    <phoneticPr fontId="23" type="noConversion"/>
  </si>
  <si>
    <t>있음
비정규직 2명</t>
    <phoneticPr fontId="23" type="noConversion"/>
  </si>
  <si>
    <t>풍물</t>
    <phoneticPr fontId="23" type="noConversion"/>
  </si>
  <si>
    <t>부평구 문화관광과 
/ 부평구축제위원회
(032-509-7516)</t>
    <phoneticPr fontId="23" type="noConversion"/>
  </si>
  <si>
    <t>○ 개폐막식 : 개막축하공연, 폐막공연
○ 공연예술축제 : 창작풍물페스티벌, 부평두레놀이 공연 등
○ 거리축제 : 풍물난장, 부평시민축제, 대동놀이 등</t>
    <phoneticPr fontId="23" type="noConversion"/>
  </si>
  <si>
    <t>부평풍물대축제</t>
    <phoneticPr fontId="23" type="noConversion"/>
  </si>
  <si>
    <t>부평구</t>
    <phoneticPr fontId="23" type="noConversion"/>
  </si>
  <si>
    <t>○ 수산물잡기 체험행사
○ 소래포구 특산물을 소재로 다양한 공연, 전시, 체험프로그램 운영
○ 개폐막 공연, 주제공연 및 문화공연
    - 5개 분야 30여개 프로그램</t>
    <phoneticPr fontId="23" type="noConversion"/>
  </si>
  <si>
    <t>공원, 시내거리, 광장 등</t>
    <phoneticPr fontId="23" type="noConversion"/>
  </si>
  <si>
    <t>미디어 콘텐츠</t>
    <phoneticPr fontId="23" type="noConversion"/>
  </si>
  <si>
    <t>인천광역시 미추홀구
문화예술과
(032-880-7978)</t>
    <phoneticPr fontId="23" type="noConversion"/>
  </si>
  <si>
    <t>○ 미디어퍼포먼스 등 미디어 콘텐츠를 활용한 프로그램
○ 미추홀 퍼레이드, 마을극장 21 등 주민참여프로그램
○ 미디어 아트 작가 협업 전시 체험 공간 운영
○ 기타 문화 체험 공간 운영 등</t>
    <phoneticPr fontId="23" type="noConversion"/>
  </si>
  <si>
    <t>9.18.~9.20.
(3일간)</t>
    <phoneticPr fontId="23" type="noConversion"/>
  </si>
  <si>
    <t>미추홀구</t>
    <phoneticPr fontId="23" type="noConversion"/>
  </si>
  <si>
    <t>화도진</t>
    <phoneticPr fontId="23" type="noConversion"/>
  </si>
  <si>
    <t>인천광역시 동구 / 인천광역시 동구, 화도진문화원
(032-770-6923)</t>
    <phoneticPr fontId="23" type="noConversion"/>
  </si>
  <si>
    <t xml:space="preserve">○ 어영대장 축성행렬(대표프로그램)
○ 문화예술 무대공연, 특집공개방송, 구민의 날 기념식 
○ 구민노래자랑, 청소년프린지 등 주민참여행사
○ 관광콘텐츠체험관, 공예체험, 군영체험 등 체험행사
○ 구정 홍보관, 먹거리 장터 </t>
    <phoneticPr fontId="23" type="noConversion"/>
  </si>
  <si>
    <t>화도진축제</t>
    <phoneticPr fontId="23" type="noConversion"/>
  </si>
  <si>
    <t>트리</t>
    <phoneticPr fontId="23" type="noConversion"/>
  </si>
  <si>
    <t>30
(2회추경 확보예정)</t>
    <phoneticPr fontId="23" type="noConversion"/>
  </si>
  <si>
    <t>인천광역시 중구 문화관광과 /
인천광역시 중구 문화관광과
(032-760-6443)</t>
    <phoneticPr fontId="23" type="noConversion"/>
  </si>
  <si>
    <t>○ 트리점등식
○ 크리스마스 콘서트
○ 송년버스킹</t>
    <phoneticPr fontId="23" type="noConversion"/>
  </si>
  <si>
    <t>2020 크리스마스 트리 문화축제</t>
    <phoneticPr fontId="23" type="noConversion"/>
  </si>
  <si>
    <t>인물, 벚꽃</t>
    <phoneticPr fontId="23" type="noConversion"/>
  </si>
  <si>
    <t>인천광역시 중구 문화관광과 /
인천광역시 중구 문화관광과
(032-760-6445)</t>
    <phoneticPr fontId="23" type="noConversion"/>
  </si>
  <si>
    <t>○ 지역문화예술인 공연
○ 대한민국 임시정부 수립 101주년 기념 문화공연
○ 백범 김구 문화제,  서예대전
○ 체험  프로그램 운영</t>
    <phoneticPr fontId="23" type="noConversion"/>
  </si>
  <si>
    <t>4.11~4.12
(2일간)</t>
    <phoneticPr fontId="23" type="noConversion"/>
  </si>
  <si>
    <t>2020 자유공원 벚꽃축제</t>
    <phoneticPr fontId="23" type="noConversion"/>
  </si>
  <si>
    <t>시내거리
(문화지구내)</t>
    <phoneticPr fontId="23" type="noConversion"/>
  </si>
  <si>
    <t>문화재
문화유산</t>
    <phoneticPr fontId="23" type="noConversion"/>
  </si>
  <si>
    <t>문화유산 활용진흥</t>
    <phoneticPr fontId="23" type="noConversion"/>
  </si>
  <si>
    <t>2017년도</t>
    <phoneticPr fontId="23" type="noConversion"/>
  </si>
  <si>
    <t>인천광역시 문화재과
인천광역시 중구 문화관광과
인천관광공사
(032-899-7424)</t>
    <phoneticPr fontId="23" type="noConversion"/>
  </si>
  <si>
    <t xml:space="preserve"> ○ 문화재 및 문화시설 야간개방
 ○ 문화탐방 프로그램, 공연, 전시
 ○ 먹거리, 볼거리, 즐길거리 가득한 야간문화 향유 관광
     프로그램</t>
    <phoneticPr fontId="23" type="noConversion"/>
  </si>
  <si>
    <t>5.2~5.3(2일)
9.19~20(2일)</t>
    <phoneticPr fontId="23" type="noConversion"/>
  </si>
  <si>
    <t>개항장 문화재 야행</t>
    <phoneticPr fontId="23" type="noConversion"/>
  </si>
  <si>
    <t>계약선정</t>
    <phoneticPr fontId="23" type="noConversion"/>
  </si>
  <si>
    <t>불빛(조명)</t>
    <phoneticPr fontId="23" type="noConversion"/>
  </si>
  <si>
    <t>2015
(4회)</t>
    <phoneticPr fontId="23" type="noConversion"/>
  </si>
  <si>
    <t>주관:계약선정 
주최 : 인천경제자유구역청 
(032-453-7093)</t>
    <phoneticPr fontId="23" type="noConversion"/>
  </si>
  <si>
    <t>10월 중
(10일간</t>
    <phoneticPr fontId="23" type="noConversion"/>
  </si>
  <si>
    <t>2020 인천송도불빛축제</t>
    <phoneticPr fontId="23" type="noConversion"/>
  </si>
  <si>
    <t>인천경제자유구역청</t>
    <phoneticPr fontId="23" type="noConversion"/>
  </si>
  <si>
    <t>공원
(청라호수공원 일대)</t>
    <phoneticPr fontId="23" type="noConversion"/>
  </si>
  <si>
    <t>공모선정</t>
    <phoneticPr fontId="23" type="noConversion"/>
  </si>
  <si>
    <t>2018
(1회)</t>
    <phoneticPr fontId="23" type="noConversion"/>
  </si>
  <si>
    <t>주관 : 공모선정
 주최 : 인천경제자유구역청 
(032-453-7092)</t>
    <phoneticPr fontId="23" type="noConversion"/>
  </si>
  <si>
    <t>○ 청라의 아름다운 도시풍경을 배경으로 즐기는 와인 축제
 - 와인 시음행사, 와인관련 체험프로그램, 공연 등</t>
    <phoneticPr fontId="23" type="noConversion"/>
  </si>
  <si>
    <t>2020 청라와인페스티벌</t>
    <phoneticPr fontId="23" type="noConversion"/>
  </si>
  <si>
    <t>인천관광공사</t>
    <phoneticPr fontId="23" type="noConversion"/>
  </si>
  <si>
    <t>광장, 시장</t>
    <phoneticPr fontId="23" type="noConversion"/>
  </si>
  <si>
    <t>인천광역시 관광진흥과
/ 인천관광공사
(032-440-4052)</t>
    <phoneticPr fontId="23" type="noConversion"/>
  </si>
  <si>
    <t>○ 크리스마스와 연말연시 활용 겨울 테마로한 마켓 운영
○ 음악공연, 크리스마스트리, 조명, 마켓, 포토존
○ 지역 상인, 시민 주도의 참여형 축제</t>
    <phoneticPr fontId="23" type="noConversion"/>
  </si>
  <si>
    <t>미추홀윈터마켓</t>
    <phoneticPr fontId="23" type="noConversion"/>
  </si>
  <si>
    <t>○ 도심 속 겨울의 빛을 테마로 한 공연,전시,체험프로그램 운영 
○ 별빛거리 조성(은하수 LED, 라이트 볼 등), 포토존, 문화공연,벼룩시장,체험프로그램 등
○ 지역 상인, 시민 주도의 참여형 축제</t>
    <phoneticPr fontId="23" type="noConversion"/>
  </si>
  <si>
    <t>서창 별빛거리</t>
    <phoneticPr fontId="23" type="noConversion"/>
  </si>
  <si>
    <t>○ 동인천역주변 과거 번성했던 시장을 테마로 한
    공연,전시,체험프로그램 운영 
○ 문화공연,벼룩시장,그리기대회,체험프로그램 등
○ 과거 인천 시장분위기 재현및 현재와 조화로운 컨셉
○ 지역 상인, 시민 주도의 참여형 축제</t>
    <phoneticPr fontId="23" type="noConversion"/>
  </si>
  <si>
    <t>동인천 낭만시장</t>
    <phoneticPr fontId="23" type="noConversion"/>
  </si>
  <si>
    <t>공공
(인천관광공사)</t>
    <phoneticPr fontId="23" type="noConversion"/>
  </si>
  <si>
    <t>음악(락)</t>
    <phoneticPr fontId="23" type="noConversion"/>
  </si>
  <si>
    <t>2020-2021년 문화관광축제 지원</t>
    <phoneticPr fontId="23" type="noConversion"/>
  </si>
  <si>
    <t>인천광역시 문화예술과
(032-440-4022)
/
인천관광공사
(032-899-7422)</t>
    <phoneticPr fontId="23" type="noConversion"/>
  </si>
  <si>
    <t>○ 락 페스티벌(2019.8.7.∼8.9.)
  - 국내외 아티스트 공연(60여개팀)
○ 펜타 유스스타(신지 아티스트 발굴육성)
   - 최종 6개팀 선정(상금 및 해외페스티벌 출연기회 제공)
○ 루드 투 펜타포트 
   - 인천시 전역 3회 이상 공연
○ 라이브클럽 뮤직파티
   - 10개클럽 2회공연</t>
    <phoneticPr fontId="23" type="noConversion"/>
  </si>
  <si>
    <t>8.7.∼8.9.
(3일간)</t>
    <phoneticPr fontId="23" type="noConversion"/>
  </si>
  <si>
    <t>인천펜타포트 음악축제</t>
    <phoneticPr fontId="23" type="noConversion"/>
  </si>
  <si>
    <t>광주광역시남구
/ 남구 문화원
(062-607-2312
/ 062-671-7356)</t>
    <phoneticPr fontId="23" type="noConversion"/>
  </si>
  <si>
    <t>2월 중</t>
    <phoneticPr fontId="23" type="noConversion"/>
  </si>
  <si>
    <t>억새, 생태, 환경</t>
    <phoneticPr fontId="23" type="noConversion"/>
  </si>
  <si>
    <t>광주광역시 서구
(062-360-7186)</t>
    <phoneticPr fontId="23" type="noConversion"/>
  </si>
  <si>
    <t>○ (대표프로그램)생태환경사랑캠페인 
○ 억새를 테마로한 친환경 체험프로그램 운영
○ 개폐막공연, 사전공연 및 특집 프로그램
  - 3개 장소, 40여개 프로그램 운영
○ 상설체험프로그램 및 특별프로그램 운영 등</t>
    <phoneticPr fontId="23" type="noConversion"/>
  </si>
  <si>
    <t>영산강 서창들녘 억새축제</t>
    <phoneticPr fontId="23" type="noConversion"/>
  </si>
  <si>
    <t>광주광역시 동구 
/ 추억의 충장축제위원회
(062-608-2422)</t>
    <phoneticPr fontId="23" type="noConversion"/>
  </si>
  <si>
    <t>○ 충장 퍼레이드 경연, 추억의 테마거리
○추억을 테마로한 공연, 전시, 체험프로그램 운영
○ 개폐막 공연, 주제공연 및 문화공연
   - 6개 분야 30여개 프로그램 
○ 기타 지역 문화자원 연계 특별행사 및 전시 등</t>
    <phoneticPr fontId="23" type="noConversion"/>
  </si>
  <si>
    <t>10.14~10.18
(5일간)</t>
    <phoneticPr fontId="23" type="noConversion"/>
  </si>
  <si>
    <t>광주동구 추억의 충장축제</t>
    <phoneticPr fontId="23" type="noConversion"/>
  </si>
  <si>
    <t>광주시립미술관 잔디광장 등</t>
    <phoneticPr fontId="23" type="noConversion"/>
  </si>
  <si>
    <t>4월~10월
(매주 토요일)</t>
    <phoneticPr fontId="23" type="noConversion"/>
  </si>
  <si>
    <t>2020 아트피크닉</t>
    <phoneticPr fontId="23" type="noConversion"/>
  </si>
  <si>
    <t>광주광역시 문화도시정책관 
/ 광주문화재단
(062-223-0410)</t>
    <phoneticPr fontId="23" type="noConversion"/>
  </si>
  <si>
    <t xml:space="preserve"> ○ 계획 수립 중</t>
    <phoneticPr fontId="23" type="noConversion"/>
  </si>
  <si>
    <t>2020 프린지페스티벌</t>
    <phoneticPr fontId="23" type="noConversion"/>
  </si>
  <si>
    <t>시내</t>
    <phoneticPr fontId="23" type="noConversion"/>
  </si>
  <si>
    <t>광주광역시 청년청소년과
(062-613-2722)</t>
    <phoneticPr fontId="23" type="noConversion"/>
  </si>
  <si>
    <t>2020 세계청년축제</t>
    <phoneticPr fontId="23" type="noConversion"/>
  </si>
  <si>
    <t>광주김치타운</t>
    <phoneticPr fontId="23" type="noConversion"/>
  </si>
  <si>
    <t>김치</t>
    <phoneticPr fontId="23" type="noConversion"/>
  </si>
  <si>
    <t>광주광역시 생명농업과
/ 광주세계김치축제위원회
(062-613-3992)</t>
    <phoneticPr fontId="23" type="noConversion"/>
  </si>
  <si>
    <t xml:space="preserve"> ○ 대한민국 김치 경연대회 및 김치응용요리 경연대회
 ○ 김치를 테마로한 공연, 전시, 체험프로그램 운영
 ○ 개폐막 공연, 주제공연 및 문화공연
 ○ 김치마켓 운영 등 </t>
    <phoneticPr fontId="23" type="noConversion"/>
  </si>
  <si>
    <t>제27회 광주세계김치축제</t>
    <phoneticPr fontId="23" type="noConversion"/>
  </si>
  <si>
    <t>산(장동 산림욕장 계족산황톳길)</t>
    <phoneticPr fontId="23" type="noConversion"/>
  </si>
  <si>
    <t>자체추진
(기획, 운영, 관리, 홍보, 디자인)</t>
    <phoneticPr fontId="23" type="noConversion"/>
  </si>
  <si>
    <t xml:space="preserve">있음
정규직 2명
TF 10명
총 12명 </t>
    <phoneticPr fontId="23" type="noConversion"/>
  </si>
  <si>
    <t>출제조직위</t>
    <phoneticPr fontId="23" type="noConversion"/>
  </si>
  <si>
    <t>맨발걷기, 맨발마라톤</t>
    <phoneticPr fontId="23" type="noConversion"/>
  </si>
  <si>
    <t>㈜맥키스컴퍼니
(042-530-1841)</t>
    <phoneticPr fontId="23" type="noConversion"/>
  </si>
  <si>
    <t>○ 맨발걷기 / 맨발마라톤
○ 계족산황톳길과 맨발을 테마로한 에코힐링 문화체험
○ 개최 축하공연, 맨발도장, 사랑의엽서 및 체험이벤트
○ 뻔뻔한클래식 공연 및 사진전시 등등</t>
    <phoneticPr fontId="23" type="noConversion"/>
  </si>
  <si>
    <t>계족산맨발축제</t>
    <phoneticPr fontId="23" type="noConversion"/>
  </si>
  <si>
    <t>민간</t>
    <phoneticPr fontId="23" type="noConversion"/>
  </si>
  <si>
    <t xml:space="preserve">엑스포시민광장
대전컨벤션센터
대덕특구 일원 </t>
    <phoneticPr fontId="23" type="noConversion"/>
  </si>
  <si>
    <t>시대행사업</t>
    <phoneticPr fontId="23" type="noConversion"/>
  </si>
  <si>
    <t>과학교육</t>
    <phoneticPr fontId="23" type="noConversion"/>
  </si>
  <si>
    <t xml:space="preserve">한국과학창의재단 
과학축제지원 </t>
    <phoneticPr fontId="23" type="noConversion"/>
  </si>
  <si>
    <t>과학기술정보통신부</t>
    <phoneticPr fontId="23" type="noConversion"/>
  </si>
  <si>
    <t>2000
(20회)</t>
    <phoneticPr fontId="23" type="noConversion"/>
  </si>
  <si>
    <t>대전광역시/대전마케팅공사
(042-250-1273)</t>
    <phoneticPr fontId="23" type="noConversion"/>
  </si>
  <si>
    <t>○ 과학기술전시 및 체험, 문화예술공연,시민,참여행사 등 
○ 5개분야 44개 포로그램, 185개 기관 단체 참여 과학
    문화축제</t>
    <phoneticPr fontId="23" type="noConversion"/>
  </si>
  <si>
    <t>10월 중
(예정)</t>
    <phoneticPr fontId="23" type="noConversion"/>
  </si>
  <si>
    <t>대전사이언스페스티벌</t>
    <phoneticPr fontId="23" type="noConversion"/>
  </si>
  <si>
    <t>전시장, 공원 등</t>
    <phoneticPr fontId="23" type="noConversion"/>
  </si>
  <si>
    <t>공공(공사)</t>
    <phoneticPr fontId="23" type="noConversion"/>
  </si>
  <si>
    <t>와인, 전통주, 기타 주류 등</t>
    <phoneticPr fontId="23" type="noConversion"/>
  </si>
  <si>
    <t>2012년도             (9회)</t>
    <phoneticPr fontId="23" type="noConversion"/>
  </si>
  <si>
    <t>대전광역시 관광마케팅과                                    / 대전마케팅공사
(042-270-3976)
/ (042-250-1349)</t>
    <phoneticPr fontId="23" type="noConversion"/>
  </si>
  <si>
    <t>8.28~9.6
(10일간)</t>
    <phoneticPr fontId="23" type="noConversion"/>
  </si>
  <si>
    <t>대전국제와인페스티벌</t>
    <phoneticPr fontId="23" type="noConversion"/>
  </si>
  <si>
    <t>디쿠페스티벌 조직위원회/
대전아마추어만화협회 디쿠
(070-7633-4907)</t>
    <phoneticPr fontId="23" type="noConversion"/>
  </si>
  <si>
    <t>○아마추어 만화산업전, 코스튬플레이공연(가요제, 뮤지컬)
○독립애니메이션 상영, VR게임대회 등</t>
    <phoneticPr fontId="23" type="noConversion"/>
  </si>
  <si>
    <t>공원, 시내거리, 시장, 하천 등</t>
    <phoneticPr fontId="23" type="noConversion"/>
  </si>
  <si>
    <t xml:space="preserve">부분위탁
 (운영,하드웨어, 
   프로그램)
</t>
    <phoneticPr fontId="23" type="noConversion"/>
  </si>
  <si>
    <t>온천, 과학,지역문화</t>
    <phoneticPr fontId="23" type="noConversion"/>
  </si>
  <si>
    <t>1989년도
(27회)</t>
    <phoneticPr fontId="23" type="noConversion"/>
  </si>
  <si>
    <t>대전광역시 유성구 문화관광과
/ 유성구, 유성문화원
(042-611-2080)</t>
    <phoneticPr fontId="23" type="noConversion"/>
  </si>
  <si>
    <t>유성온천문화축제</t>
    <phoneticPr fontId="23" type="noConversion"/>
  </si>
  <si>
    <t>유성구</t>
    <phoneticPr fontId="23" type="noConversion"/>
  </si>
  <si>
    <t>여(공무원조직)
정규직 4명
총 4명</t>
    <phoneticPr fontId="23" type="noConversion"/>
  </si>
  <si>
    <t>성씨조형물
(뿌리, 효)</t>
    <phoneticPr fontId="23" type="noConversion"/>
  </si>
  <si>
    <t>대전광역시 중구 문화체육과/ 
대전효문화뿌리축제추진위원회
(042-606-6293)</t>
    <phoneticPr fontId="23" type="noConversion"/>
  </si>
  <si>
    <t>대전효문화뿌리축제</t>
    <phoneticPr fontId="23" type="noConversion"/>
  </si>
  <si>
    <t>아트(예술)</t>
    <phoneticPr fontId="23" type="noConversion"/>
  </si>
  <si>
    <t>대전광역시 서구 문화체육과
/ 서구축제추진위원회, 서구문화원, 
한국예총 대전시연합회
(042-288-2714)</t>
    <phoneticPr fontId="23" type="noConversion"/>
  </si>
  <si>
    <t>대전 서구힐링 아트페스티벌</t>
    <phoneticPr fontId="23" type="noConversion"/>
  </si>
  <si>
    <t>울산광역시 소방본부
예방안전과
(052-229-5331)</t>
    <phoneticPr fontId="23" type="noConversion"/>
  </si>
  <si>
    <t>10.15~10.17
(3일간)</t>
    <phoneticPr fontId="23" type="noConversion"/>
  </si>
  <si>
    <t>개최완료
(8.13~8.16)</t>
    <phoneticPr fontId="23" type="noConversion"/>
  </si>
  <si>
    <t>울산광역시/
한국연극협회 울산광역시지회
(052-229-3753)</t>
    <phoneticPr fontId="23" type="noConversion"/>
  </si>
  <si>
    <t>태화강 대숲 납량축제</t>
    <phoneticPr fontId="23" type="noConversion"/>
  </si>
  <si>
    <t>개최완료(온라인)
(6.13~6.14)</t>
    <phoneticPr fontId="23" type="noConversion"/>
  </si>
  <si>
    <t>울산광역시/
울산민족예술인총연합회
(052-229-3752)</t>
    <phoneticPr fontId="23" type="noConversion"/>
  </si>
  <si>
    <t>6.13-6.14</t>
    <phoneticPr fontId="23" type="noConversion"/>
  </si>
  <si>
    <t>울산광역시/
한국예총울산광역지회
(052-229-3751)</t>
    <phoneticPr fontId="23" type="noConversion"/>
  </si>
  <si>
    <t>개최완료
(8.14~8.21)</t>
    <phoneticPr fontId="23" type="noConversion"/>
  </si>
  <si>
    <t>울산광역시/울산문화방송
(052-229-3751)</t>
    <phoneticPr fontId="23" type="noConversion"/>
  </si>
  <si>
    <t>울산대공원</t>
    <phoneticPr fontId="23" type="noConversion"/>
  </si>
  <si>
    <t>울산시설공단
공원녹지관리처
(052-226-0305)</t>
    <phoneticPr fontId="23" type="noConversion"/>
  </si>
  <si>
    <t>울산대공원 빛축제</t>
    <phoneticPr fontId="23" type="noConversion"/>
  </si>
  <si>
    <t>울산광역시 태화강국가정원과
(052-229-7573)</t>
    <phoneticPr fontId="23" type="noConversion"/>
  </si>
  <si>
    <t>울산대공원
장미축제</t>
    <phoneticPr fontId="23" type="noConversion"/>
  </si>
  <si>
    <t>2000년도
(제20회)</t>
    <phoneticPr fontId="23" type="noConversion"/>
  </si>
  <si>
    <t>울산광역시 울주군 문화관광과
/울산MBC
(052-204-0313)</t>
    <phoneticPr fontId="23" type="noConversion"/>
  </si>
  <si>
    <t>울산광역시 북구 문화체육과
/울산쇠부리축제추진위원회                   (052-241-7333)
/(052-293-3500)</t>
    <phoneticPr fontId="23" type="noConversion"/>
  </si>
  <si>
    <t>5.8.~5.10.
(3일간)</t>
    <phoneticPr fontId="23" type="noConversion"/>
  </si>
  <si>
    <t>울산광역시, 울산광역시동구
/ 울산조선해양축제추진위원회
(052-209-3362) - 박창균 주사님</t>
    <phoneticPr fontId="23" type="noConversion"/>
  </si>
  <si>
    <t>7.24-7.26
(3일간)</t>
    <phoneticPr fontId="23" type="noConversion"/>
  </si>
  <si>
    <t>울산 남구 환경관리과
/울산매일신문사
(052-226-4821)
/(052-271-8701)</t>
    <phoneticPr fontId="23" type="noConversion"/>
  </si>
  <si>
    <t>울산 남구 문화체육과 
/ 울산 남구 문화원
(052-226-5415)</t>
    <phoneticPr fontId="23" type="noConversion"/>
  </si>
  <si>
    <t>울산광역시 중구 문화관광과 / 
울산마두희축제추진위원회
(052-244-2008)</t>
    <phoneticPr fontId="23" type="noConversion"/>
  </si>
  <si>
    <t>6.26.~6.28.
(3일간)</t>
    <phoneticPr fontId="23" type="noConversion"/>
  </si>
  <si>
    <t>울산마두희축제</t>
    <phoneticPr fontId="23" type="noConversion"/>
  </si>
  <si>
    <t>세종문화예술회관 일원</t>
    <phoneticPr fontId="23" type="noConversion"/>
  </si>
  <si>
    <t>110년 전통의 조치원 복숭아</t>
    <phoneticPr fontId="23" type="noConversion"/>
  </si>
  <si>
    <t>2019년도
(17회)</t>
    <phoneticPr fontId="23" type="noConversion"/>
  </si>
  <si>
    <t>세종특별자치시 로컬푸드과
/조치원복숭아연합영농조합법인
(044-300-2512)</t>
    <phoneticPr fontId="23" type="noConversion"/>
  </si>
  <si>
    <t>○ 공연, 판매, 체험, 전시, 먹거리, 워터파크 등 운영
○ 기타 특별행사 및 복숭아 품평회
○그린축제(행사장내 술, 담배 없는 가족형 건강축제)</t>
    <phoneticPr fontId="23" type="noConversion"/>
  </si>
  <si>
    <t>7월말~8월초
(2일간)</t>
    <phoneticPr fontId="23" type="noConversion"/>
  </si>
  <si>
    <t>제18회세종조치원복숭아축제</t>
    <phoneticPr fontId="23" type="noConversion"/>
  </si>
  <si>
    <t>세종시</t>
    <phoneticPr fontId="23" type="noConversion"/>
  </si>
  <si>
    <t>세종호수공원  일원</t>
    <phoneticPr fontId="23" type="noConversion"/>
  </si>
  <si>
    <t>세종대왕과 한글</t>
    <phoneticPr fontId="23" type="noConversion"/>
  </si>
  <si>
    <t>○ 세종대왕의 업적과 사상을 컨셉으로 한글·음악·과학 ·애민·창의 정신 등 테마별 프로그램 운영을 통한 세종축제의 정체성 확립                                                      ○ 세종대왕을 테마로한 공연, 전시 체험프로그램 운영      ○ 한글날 기념행사 등</t>
    <phoneticPr fontId="23" type="noConversion"/>
  </si>
  <si>
    <t>10.9.~10.11.</t>
    <phoneticPr fontId="23" type="noConversion"/>
  </si>
  <si>
    <t>여덟번째 세종축제</t>
    <phoneticPr fontId="23" type="noConversion"/>
  </si>
  <si>
    <t>수원시 도시계획과
(031-228-3362)</t>
    <phoneticPr fontId="23" type="noConversion"/>
  </si>
  <si>
    <t>진주시,(재)진주문화예술재단
/진주남강유등축제제전위원회
(055-755-9111)</t>
    <phoneticPr fontId="23" type="noConversion"/>
  </si>
  <si>
    <t>○ (대표공연) 작품성/대중성을 겸비한 국내외 작품 공연
○ (부대공연) 밀양시민으로 구성된 생활예술 동아리의
      프린지 공연, 거리예술공연 등
○ (기타행사) 세미나, 전시, 워크샵, 연극체험 등 
     부수적인 행사 진행</t>
    <phoneticPr fontId="23" type="noConversion"/>
  </si>
  <si>
    <t>개최예정(오프라인)
(10.30~10.31)</t>
    <phoneticPr fontId="23" type="noConversion"/>
  </si>
  <si>
    <t>개최예정(오프라인)
(10.23~11.15)</t>
    <phoneticPr fontId="23" type="noConversion"/>
  </si>
  <si>
    <t>개최예정(오프라인)
(10.27~11.1)</t>
    <phoneticPr fontId="23" type="noConversion"/>
  </si>
  <si>
    <t>개최예정(오프라인)
(10.23~10.25)</t>
    <phoneticPr fontId="23" type="noConversion"/>
  </si>
  <si>
    <t>개최예정(오프라인)
(10.31~11.01)</t>
    <phoneticPr fontId="23" type="noConversion"/>
  </si>
  <si>
    <t>취소</t>
    <phoneticPr fontId="23" type="noConversion"/>
  </si>
  <si>
    <t>개최예정(온라인)
(10.17~18)</t>
    <phoneticPr fontId="23" type="noConversion"/>
  </si>
  <si>
    <t>개최예정(오프라인)
(10.24~11.8)</t>
    <phoneticPr fontId="23" type="noConversion"/>
  </si>
  <si>
    <t>예산군 문화관광과
/공모예정
(041-339-7317)</t>
    <phoneticPr fontId="23" type="noConversion"/>
  </si>
  <si>
    <t>보령시 관광과/(사)대천관광협회
(041-930-0898/041-933-7051)</t>
    <phoneticPr fontId="23" type="noConversion"/>
  </si>
  <si>
    <t>개최완료(온라인)
(9.10~9.13)</t>
    <phoneticPr fontId="23" type="noConversion"/>
  </si>
  <si>
    <t>개최예정
(온오프라인병행)
(10.30~11.1)</t>
    <phoneticPr fontId="23" type="noConversion"/>
  </si>
  <si>
    <t>개최예정
(온오프라인병행)
(10.27-11.16)</t>
    <phoneticPr fontId="23" type="noConversion"/>
  </si>
  <si>
    <t>개최예정(온라인)
(11.1 ~ 11.30)</t>
    <phoneticPr fontId="23" type="noConversion"/>
  </si>
  <si>
    <t>개최중(온라인)
(9.16~10.30)</t>
    <phoneticPr fontId="23" type="noConversion"/>
  </si>
  <si>
    <t>용인시 아동보육과
(031-324-3238)</t>
    <phoneticPr fontId="23" type="noConversion"/>
  </si>
  <si>
    <t>어린이 대축제</t>
    <phoneticPr fontId="23" type="noConversion"/>
  </si>
  <si>
    <t>영동군· 영동군축제추진위원회
/ 영동축제관광재단·영동와인연구회
(043-745-8917)</t>
    <phoneticPr fontId="23" type="noConversion"/>
  </si>
  <si>
    <t>영동군·영동군축제추진위원회
/ 영동축제관광재단·난계기념사업회
(043-745-8917)</t>
    <phoneticPr fontId="23" type="noConversion"/>
  </si>
  <si>
    <t>개최중(오프라인)
(8.1~10.31)</t>
    <phoneticPr fontId="23" type="noConversion"/>
  </si>
  <si>
    <t>개최완료(온라인)
(8.26~8.30)</t>
    <phoneticPr fontId="23" type="noConversion"/>
  </si>
  <si>
    <t>개최완료(온라인)
(9.4~9.6)</t>
    <phoneticPr fontId="23" type="noConversion"/>
  </si>
  <si>
    <t>개최완료(오프라인)
(9.18~9.20)</t>
    <phoneticPr fontId="23" type="noConversion"/>
  </si>
  <si>
    <t>개최완료(온오프라인병행)
(9.18~9.22)</t>
    <phoneticPr fontId="23" type="noConversion"/>
  </si>
  <si>
    <t>개최완료(오프라인)
(9.17 ~ 9.24)</t>
    <phoneticPr fontId="23" type="noConversion"/>
  </si>
  <si>
    <t>개최완료(온라인)
(9.18~9.20)</t>
    <phoneticPr fontId="23" type="noConversion"/>
  </si>
  <si>
    <t>개최완료(온라인)
(9.18-9.20)</t>
    <phoneticPr fontId="23" type="noConversion"/>
  </si>
  <si>
    <t>개최중(온라인)
(9.18 ~ 11.30)</t>
    <phoneticPr fontId="23" type="noConversion"/>
  </si>
  <si>
    <t>최남단방어축제위원회
(064-794-8032)</t>
    <phoneticPr fontId="23" type="noConversion"/>
  </si>
  <si>
    <t>취소</t>
    <phoneticPr fontId="23" type="noConversion"/>
  </si>
  <si>
    <t>10.19~10.20.
(2일간)</t>
    <phoneticPr fontId="23" type="noConversion"/>
  </si>
  <si>
    <t>고성군 문화관광과(055-670-2201)/고성군농업인단체협의회</t>
    <phoneticPr fontId="23" type="noConversion"/>
  </si>
  <si>
    <t>개최완료(온라인)
(9.19 ~ 9.20)</t>
    <phoneticPr fontId="23" type="noConversion"/>
  </si>
  <si>
    <t>개최예정(온라인)
(10.30~11.1)</t>
    <phoneticPr fontId="23" type="noConversion"/>
  </si>
  <si>
    <t>구미시 문화예술과
(054-480-6612)</t>
    <phoneticPr fontId="23" type="noConversion"/>
  </si>
  <si>
    <t>홍성군/
홍성한우바비큐페스티벌추진위원회
(041-630-1228)</t>
    <phoneticPr fontId="23" type="noConversion"/>
  </si>
  <si>
    <t>보령시 청라면/은행마을축제 추진위원회 (041-930-0806)</t>
    <phoneticPr fontId="23" type="noConversion"/>
  </si>
  <si>
    <t>보령시 수산과/
보령시김생산협의회 (041-930-6761)</t>
    <phoneticPr fontId="23" type="noConversion"/>
  </si>
  <si>
    <t>구례군 문화관광과 / 지리산피아골단풍축제추진위원회
(061-780-2390)</t>
    <phoneticPr fontId="23" type="noConversion"/>
  </si>
  <si>
    <t>개최완료(온라인)
(9.19~9.20)</t>
    <phoneticPr fontId="23" type="noConversion"/>
  </si>
  <si>
    <t>개최예정(온라인)
(10.18-10.24)</t>
    <phoneticPr fontId="23" type="noConversion"/>
  </si>
  <si>
    <t>개최중(온라인)
(9.25-10.25)</t>
    <phoneticPr fontId="23" type="noConversion"/>
  </si>
  <si>
    <t>개최중(온라인)
(9.25-11.15)</t>
    <phoneticPr fontId="23" type="noConversion"/>
  </si>
  <si>
    <t>이천시청 축제팀
031-645-3095</t>
    <phoneticPr fontId="23" type="noConversion"/>
  </si>
  <si>
    <t>오산시 문화예술과
031-8036-7612</t>
    <phoneticPr fontId="23" type="noConversion"/>
  </si>
  <si>
    <t>안산시 문화예술과/
(사)한국예총 안산지회
(031-481-2068) / (031-485-3844)</t>
    <phoneticPr fontId="23" type="noConversion"/>
  </si>
  <si>
    <t>고성군 해양수산과
/ 죽왕면 수협
(033-680-3413)</t>
    <phoneticPr fontId="23" type="noConversion"/>
  </si>
  <si>
    <t>(사)양구군축제위원회/시래기축제집행위원회
(김진우/ 033-480-2230)</t>
    <phoneticPr fontId="23" type="noConversion"/>
  </si>
  <si>
    <t>원주시청 로컬푸드과
033-737-4131</t>
    <phoneticPr fontId="23" type="noConversion"/>
  </si>
  <si>
    <t>개최예정(온라인)
(11.23~11.29)</t>
    <phoneticPr fontId="23" type="noConversion"/>
  </si>
  <si>
    <t>개최예정(온라인)
(11.6~11.15)</t>
    <phoneticPr fontId="23" type="noConversion"/>
  </si>
  <si>
    <t>개최완료(오프라인)
(9.18~9.28)</t>
    <phoneticPr fontId="23" type="noConversion"/>
  </si>
  <si>
    <t>개최완료(온라인)
 (9.23~9.27)</t>
    <phoneticPr fontId="23" type="noConversion"/>
  </si>
  <si>
    <t>개최완료(온라인)
(9.26~9.27)</t>
    <phoneticPr fontId="23" type="noConversion"/>
  </si>
  <si>
    <t>개최완료(오프라인)
(9.23~9.26)</t>
    <phoneticPr fontId="23" type="noConversion"/>
  </si>
  <si>
    <t>개최완료(오프라인)
(9.25-9.26)</t>
    <phoneticPr fontId="23" type="noConversion"/>
  </si>
  <si>
    <t>개최완료(온라인)
(9.19~9.27)</t>
    <phoneticPr fontId="23" type="noConversion"/>
  </si>
  <si>
    <t xml:space="preserve">개최중(온라인)
(9.27  ~ 10.25) </t>
    <phoneticPr fontId="23" type="noConversion"/>
  </si>
  <si>
    <t>개최중(온라인)
(10.5 ~ 10.18)</t>
    <phoneticPr fontId="23" type="noConversion"/>
  </si>
  <si>
    <t>개최완료(온라인)
(9.3~9.26)</t>
    <phoneticPr fontId="23" type="noConversion"/>
  </si>
  <si>
    <t>개최중(오프라인)
(10.2 ~ 10.18)</t>
    <phoneticPr fontId="23" type="noConversion"/>
  </si>
  <si>
    <t>개최완료(온라인)
(9.26~10.4)</t>
    <phoneticPr fontId="23" type="noConversion"/>
  </si>
  <si>
    <t>개최완료(온오프라인병행)
(9.18~9.27)</t>
    <phoneticPr fontId="23" type="noConversion"/>
  </si>
  <si>
    <t>개최완료(온라인)
(9.24 ~ 9.25)</t>
    <phoneticPr fontId="23" type="noConversion"/>
  </si>
  <si>
    <t>개최완료(오프라인)
(9.25~27)</t>
    <phoneticPr fontId="23" type="noConversion"/>
  </si>
  <si>
    <t>개최완료(온라인)
(9.7~9.27)</t>
    <phoneticPr fontId="23" type="noConversion"/>
  </si>
  <si>
    <t>개최예정(온라인)
(11월초)</t>
    <phoneticPr fontId="23" type="noConversion"/>
  </si>
  <si>
    <t>취소</t>
    <phoneticPr fontId="23" type="noConversion"/>
  </si>
  <si>
    <t>취소</t>
    <phoneticPr fontId="23" type="noConversion"/>
  </si>
  <si>
    <t>개최예정(온라인)
(11.11~11.15)</t>
    <phoneticPr fontId="23" type="noConversion"/>
  </si>
  <si>
    <t>개최중(온라인)
(8.15~10.31)</t>
    <phoneticPr fontId="23" type="noConversion"/>
  </si>
  <si>
    <t>문화관광과/은평문화재단
(070-4174-1588)</t>
    <phoneticPr fontId="23" type="noConversion"/>
  </si>
  <si>
    <t>개최완료
(온오프라인병행)
(8.20~8.28)</t>
    <phoneticPr fontId="23" type="noConversion"/>
  </si>
  <si>
    <t>개최완료
(온오프라인병행)
(8.13~8.30)</t>
    <phoneticPr fontId="23" type="noConversion"/>
  </si>
  <si>
    <t>개최예정(오프라인)
(10.23~11.22)</t>
    <phoneticPr fontId="23" type="noConversion"/>
  </si>
  <si>
    <t>서울관광재단
(02-3788-0845)</t>
    <phoneticPr fontId="23" type="noConversion"/>
  </si>
  <si>
    <t>부산광역시 사하구
/ (사)감천문화마을 주민협의회
(051-220-5924)</t>
    <phoneticPr fontId="23" type="noConversion"/>
  </si>
  <si>
    <t>개최완료(오프라인)
(4.30~5.30)</t>
    <phoneticPr fontId="23" type="noConversion"/>
  </si>
  <si>
    <t>연기
(21년 1,2월)</t>
    <phoneticPr fontId="23" type="noConversion"/>
  </si>
  <si>
    <t>개최예정
(온오프라인병행)
(11.14~11.15)</t>
    <phoneticPr fontId="23" type="noConversion"/>
  </si>
  <si>
    <t>파주북소리축제</t>
    <phoneticPr fontId="23" type="noConversion"/>
  </si>
  <si>
    <t>개최예정(온라인)
(11.11 ~ 11.22)</t>
    <phoneticPr fontId="23" type="noConversion"/>
  </si>
  <si>
    <t>개최예정(온라인)
(11.13 ~ 11.15)</t>
    <phoneticPr fontId="23" type="noConversion"/>
  </si>
  <si>
    <t>대한민국 무형문화재 축제</t>
    <phoneticPr fontId="23" type="noConversion"/>
  </si>
  <si>
    <t>개최중(온라인) 
(일정 : 9.28 ~ 2021년 초)</t>
    <phoneticPr fontId="23" type="noConversion"/>
  </si>
  <si>
    <t>개최예정(오프라인)
(10.29 ~ 10.30)</t>
    <phoneticPr fontId="23" type="noConversion"/>
  </si>
  <si>
    <t>개최예정(온오프라인)
(10.23 ~ 10.27)</t>
    <phoneticPr fontId="23" type="noConversion"/>
  </si>
  <si>
    <t>개최예정(온오프라인)
(11.6~11.8)</t>
    <phoneticPr fontId="23" type="noConversion"/>
  </si>
  <si>
    <t>개최예정(온오프라인병행)
(10.23~11.1)</t>
    <phoneticPr fontId="23" type="noConversion"/>
  </si>
  <si>
    <t>구미시 문화예술과
(054-480-6614)</t>
    <phoneticPr fontId="23" type="noConversion"/>
  </si>
  <si>
    <t>개최예정
(온라인)
(11.6~11.8)</t>
    <phoneticPr fontId="23" type="noConversion"/>
  </si>
  <si>
    <t xml:space="preserve">울산광역시 울주군  / 
울산옹기축제추진위원회
(052-204-0338) </t>
    <phoneticPr fontId="23" type="noConversion"/>
  </si>
  <si>
    <t>개최중(온라인)
(10.8~10.18)</t>
    <phoneticPr fontId="23" type="noConversion"/>
  </si>
  <si>
    <t>개최완료(온라인)
(10.5~10.11)</t>
    <phoneticPr fontId="23" type="noConversion"/>
  </si>
  <si>
    <t>개최완료
(온오프라인병행)
(10.6~10.14)</t>
    <phoneticPr fontId="23" type="noConversion"/>
  </si>
  <si>
    <t>개최중(온라인)
(10.9~10.31)</t>
    <phoneticPr fontId="23" type="noConversion"/>
  </si>
  <si>
    <t>개최중
(온오프라인병행)
(10.16-11.14)</t>
    <phoneticPr fontId="23" type="noConversion"/>
  </si>
  <si>
    <t>개최완료
(온오프라인병행)
(10.9~10.11)</t>
    <phoneticPr fontId="23" type="noConversion"/>
  </si>
  <si>
    <t>개최중
(온라인)
(10.16~10.17)</t>
    <phoneticPr fontId="23" type="noConversion"/>
  </si>
  <si>
    <t>개최중(온라인)
(10.16~10.18)</t>
    <phoneticPr fontId="23" type="noConversion"/>
  </si>
  <si>
    <t>개최중(온라인)
(10.10~10.17)</t>
    <phoneticPr fontId="23" type="noConversion"/>
  </si>
  <si>
    <t>개최완료(온라인)
(10.7~10.10)</t>
    <phoneticPr fontId="23" type="noConversion"/>
  </si>
  <si>
    <t>개최완료(온라인)
(10.09~10.11)</t>
    <phoneticPr fontId="23" type="noConversion"/>
  </si>
  <si>
    <t>개최완료
(온오프라인병행)
(10.09~10.11)</t>
    <phoneticPr fontId="23" type="noConversion"/>
  </si>
  <si>
    <t>개최중(오프라인)
(10.16 ~ 10.18)</t>
    <phoneticPr fontId="23" type="noConversion"/>
  </si>
  <si>
    <t>개최중(온라인)
(10.12 ~ 11.16)</t>
    <phoneticPr fontId="23" type="noConversion"/>
  </si>
  <si>
    <t>개최중(온라인)
(10.7 ~ 11.30)</t>
    <phoneticPr fontId="23" type="noConversion"/>
  </si>
  <si>
    <t>개최중(온라인)
(10. 16 ~ 11. 8)</t>
    <phoneticPr fontId="23" type="noConversion"/>
  </si>
  <si>
    <t>개최중(오프라인)
(10.9 ~ 12.30)</t>
    <phoneticPr fontId="23" type="noConversion"/>
  </si>
  <si>
    <t xml:space="preserve">개최중(온라인)
(10.15 ~ 10.30) </t>
    <phoneticPr fontId="23" type="noConversion"/>
  </si>
  <si>
    <t>개최중(온라인)
(10.12 ~ 10.18)</t>
    <phoneticPr fontId="23" type="noConversion"/>
  </si>
  <si>
    <t>개최중(온라인)
(10.16 ~ 10. 30)</t>
    <phoneticPr fontId="23" type="noConversion"/>
  </si>
  <si>
    <t>개최중(온라인)
(10.14~10.18)</t>
    <phoneticPr fontId="23" type="noConversion"/>
  </si>
  <si>
    <t>개최중(온라인)
(10.9~10.18)</t>
    <phoneticPr fontId="23" type="noConversion"/>
  </si>
  <si>
    <t>개최중(온오프라인병행)
(10.16~10.29)</t>
    <phoneticPr fontId="23" type="noConversion"/>
  </si>
  <si>
    <t>개최완료(온라인)
(10.7~10.11)</t>
    <phoneticPr fontId="23" type="noConversion"/>
  </si>
  <si>
    <t>개최중(온오프라인병행)
(10.10~31)</t>
    <phoneticPr fontId="23" type="noConversion"/>
  </si>
  <si>
    <t>개최완료(오프라인)
(10.9~10.11)</t>
    <phoneticPr fontId="23" type="noConversion"/>
  </si>
  <si>
    <t>개최중(오프라인)
(10.14~18)</t>
    <phoneticPr fontId="23" type="noConversion"/>
  </si>
  <si>
    <t>개최중(온라인)
10.9~18</t>
    <phoneticPr fontId="23" type="noConversion"/>
  </si>
  <si>
    <t>개최중(온라인)
(10.12~31)</t>
    <phoneticPr fontId="23" type="noConversion"/>
  </si>
  <si>
    <t>개최완료(오프라인)
(10.10~11)</t>
    <phoneticPr fontId="23" type="noConversion"/>
  </si>
  <si>
    <t>개최중(오프라인)
(10.16~17)</t>
    <phoneticPr fontId="23" type="noConversion"/>
  </si>
  <si>
    <t>개최완료(온라인)
(10.07~10.11)</t>
    <phoneticPr fontId="23" type="noConversion"/>
  </si>
  <si>
    <t>취소</t>
    <phoneticPr fontId="23" type="noConversion"/>
  </si>
  <si>
    <t>개최예정(오프라인)
(12월 중)</t>
    <phoneticPr fontId="23" type="noConversion"/>
  </si>
  <si>
    <t>설천참굴축제추진위원회/설천면(055-860-8403)</t>
    <phoneticPr fontId="23" type="noConversion"/>
  </si>
  <si>
    <t>개최예정
(12월)</t>
    <phoneticPr fontId="23" type="noConversion"/>
  </si>
  <si>
    <t>개최예정(온라인)
(12.1~12.15)</t>
    <phoneticPr fontId="23" type="noConversion"/>
  </si>
  <si>
    <t>개최예정(온라인)
(12월 중)</t>
    <phoneticPr fontId="23" type="noConversion"/>
  </si>
  <si>
    <t>개최예정(온라인)
(12월)</t>
    <phoneticPr fontId="23" type="noConversion"/>
  </si>
  <si>
    <t>개최예정(오프라인)
(12월 중)</t>
    <phoneticPr fontId="23" type="noConversion"/>
  </si>
  <si>
    <t>김해시 문화예술과
/크리스마스추진위원회
(055-330-4943)</t>
    <phoneticPr fontId="23" type="noConversion"/>
  </si>
  <si>
    <t>개최예정
(12월 중)</t>
    <phoneticPr fontId="23" type="noConversion"/>
  </si>
  <si>
    <t>무안맛나향 고추작목회
(055-353-1750)/ 무안농협</t>
    <phoneticPr fontId="23" type="noConversion"/>
  </si>
  <si>
    <t>개최예정(온라인)
(12월 말)</t>
    <phoneticPr fontId="23" type="noConversion"/>
  </si>
  <si>
    <t>개최예정(오프라인)
(12.31~1.1)</t>
    <phoneticPr fontId="23" type="noConversion"/>
  </si>
  <si>
    <t>(1.20~12월)</t>
    <phoneticPr fontId="23" type="noConversion"/>
  </si>
  <si>
    <t>개최예정(오프라인)
(11월 중)</t>
    <phoneticPr fontId="23" type="noConversion"/>
  </si>
  <si>
    <t>성북구청 문화체육과
/성북문화재단
(02-2241-2603)</t>
    <phoneticPr fontId="23" type="noConversion"/>
  </si>
  <si>
    <t>개최예정
(온오프라인)
(11.3~11.8)</t>
    <phoneticPr fontId="23" type="noConversion"/>
  </si>
  <si>
    <t>서대문구청 문화체육과
/ 서대문구립이진아기념도서관
(02-330-1115)(02-360-8600)</t>
    <phoneticPr fontId="23" type="noConversion"/>
  </si>
  <si>
    <t>개최예정(온라인)
(11.13~11.14)</t>
    <phoneticPr fontId="23" type="noConversion"/>
  </si>
  <si>
    <t>개최예정(온라인)
(11.25~12.02)</t>
    <phoneticPr fontId="23" type="noConversion"/>
  </si>
  <si>
    <t>대구 중구 일자리경제과
(053-256-2673)
 / 수제화협회
(053-253-9245)</t>
    <phoneticPr fontId="23" type="noConversion"/>
  </si>
  <si>
    <t>대구 중구 일자리경제과
(053-661-2673)
 / 교동시장활성화구역상인회
(053-427-0443)</t>
    <phoneticPr fontId="23" type="noConversion"/>
  </si>
  <si>
    <t>대구 중구 일자리경제과
(053-661-2673)
 / 서문시장상가 연합회
(053-256-6341)</t>
    <phoneticPr fontId="23" type="noConversion"/>
  </si>
  <si>
    <t>개최예정(온라인)
(10.24,10.31)</t>
    <phoneticPr fontId="23" type="noConversion"/>
  </si>
  <si>
    <t>개최예정(온라인)
(10.30~10.31)</t>
    <phoneticPr fontId="23" type="noConversion"/>
  </si>
  <si>
    <t>개최예정(온라인)
(10.30~11.01)</t>
    <phoneticPr fontId="23" type="noConversion"/>
  </si>
  <si>
    <t>개최예정(온라인)
(10.26~11.20)</t>
    <phoneticPr fontId="23" type="noConversion"/>
  </si>
  <si>
    <t>개최예정(온라인)
(11.23~11.28)</t>
    <phoneticPr fontId="23" type="noConversion"/>
  </si>
  <si>
    <t>개최예정(온라인)
(11.2~11.21)</t>
    <phoneticPr fontId="23" type="noConversion"/>
  </si>
  <si>
    <t>개최예정(축소 개최)
날짜 미정</t>
    <phoneticPr fontId="23" type="noConversion"/>
  </si>
  <si>
    <t>개최중(온라인)
(10.5~10.31)</t>
    <phoneticPr fontId="23" type="noConversion"/>
  </si>
  <si>
    <t>용인시 관광 정책팀
(031-324-2067)</t>
    <phoneticPr fontId="23" type="noConversion"/>
  </si>
  <si>
    <t>개최예정(온라인)
10.23~11.14</t>
    <phoneticPr fontId="23" type="noConversion"/>
  </si>
  <si>
    <t>개최예정
(11월, 날짜미정)</t>
    <phoneticPr fontId="23" type="noConversion"/>
  </si>
  <si>
    <t>개최예정(온라인병행)
(11.21~11.22)</t>
    <phoneticPr fontId="23" type="noConversion"/>
  </si>
  <si>
    <t>개최예정(오프라인)
(12.24~12.27)</t>
    <phoneticPr fontId="23" type="noConversion"/>
  </si>
  <si>
    <t>보령시 관광과/(재)보령축제관광재단(041-930-6562)</t>
    <phoneticPr fontId="23" type="noConversion"/>
  </si>
  <si>
    <t>대천겨울바다 사랑축제</t>
    <phoneticPr fontId="23" type="noConversion"/>
  </si>
  <si>
    <t xml:space="preserve">보령천북굴축제추진위원회
(041-930-0804) </t>
    <phoneticPr fontId="23" type="noConversion"/>
  </si>
  <si>
    <t>보령시 농업기술센터/온새미로 축제추진위원회(041-930-7982)</t>
    <phoneticPr fontId="23" type="noConversion"/>
  </si>
  <si>
    <t>개최중(오프라인)
(10.1~10.31)</t>
    <phoneticPr fontId="23" type="noConversion"/>
  </si>
  <si>
    <t>부안군 미래전략담당관 /
부안상설시장상인회
(063-580-4117)</t>
    <phoneticPr fontId="23" type="noConversion"/>
  </si>
  <si>
    <t>개최예정(오프라인)
(10.25)</t>
    <phoneticPr fontId="23" type="noConversion"/>
  </si>
  <si>
    <t>개최예정(오프라인)
(11.20~11.22)</t>
    <phoneticPr fontId="23" type="noConversion"/>
  </si>
  <si>
    <t>개최예정(온라인)
(11.2~11.7)</t>
    <phoneticPr fontId="23" type="noConversion"/>
  </si>
  <si>
    <t>개최예정(오프라인)
(12.18~21.2.14)</t>
    <phoneticPr fontId="23" type="noConversion"/>
  </si>
  <si>
    <t>취소</t>
    <phoneticPr fontId="23" type="noConversion"/>
  </si>
  <si>
    <t>2020년 지역축제 개최 현황(10.16 기준)</t>
    <phoneticPr fontId="34" type="noConversion"/>
  </si>
  <si>
    <t>대구광역시 문화예술정책과
/ (사)대구불교총연합회
(053-803-3732)</t>
    <phoneticPr fontId="23" type="noConversion"/>
  </si>
  <si>
    <t>지동시장 등 3개 시장
(031-251-0171)</t>
    <phoneticPr fontId="23" type="noConversion"/>
  </si>
  <si>
    <t>계룡산산신제보존회
(041-855-7084)</t>
    <phoneticPr fontId="23" type="noConversion"/>
  </si>
  <si>
    <t>서산시 농식품유통과 
/ 6쪽마늘축제추진위원회</t>
    <phoneticPr fontId="23" type="noConversion"/>
  </si>
  <si>
    <t>당진시 항만수산과
/ 한진포구바지락축제위원회
(
041-350-4273)</t>
    <phoneticPr fontId="23" type="noConversion"/>
  </si>
  <si>
    <t>남당항축제추진위원회</t>
    <phoneticPr fontId="23" type="noConversion"/>
  </si>
  <si>
    <t>순창군 문화관광과 /
적성슬로공동체 사무장
(063-650-1624)</t>
    <phoneticPr fontId="23" type="noConversion"/>
  </si>
  <si>
    <t>주암발전추진위원회</t>
    <phoneticPr fontId="23" type="noConversion"/>
  </si>
  <si>
    <t>박병주 차장
진주시/KNN
(055-283-0505)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</si>
</sst>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_);[Red]\(#,##0\)"/>
    <numFmt numFmtId="177" formatCode="#,##0.0"/>
    <numFmt numFmtId="178" formatCode="#,##0_ "/>
    <numFmt numFmtId="179" formatCode="0_);[Red]\(0\)"/>
    <numFmt numFmtId="180" formatCode="#,##0;[Red]#,##0"/>
    <numFmt numFmtId="181" formatCode="mm&quot;월&quot;\ dd&quot;일&quot;"/>
  </numFmts>
  <fonts count="9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3"/>
      <name val="굴림"/>
      <family val="3"/>
      <charset val="129"/>
    </font>
    <font>
      <sz val="13"/>
      <name val="굴림"/>
      <family val="3"/>
      <charset val="129"/>
    </font>
    <font>
      <b/>
      <u/>
      <sz val="24"/>
      <name val="HY헤드라인M"/>
      <family val="1"/>
      <charset val="129"/>
    </font>
    <font>
      <sz val="11"/>
      <color indexed="8"/>
      <name val="맑은 고딕"/>
      <family val="3"/>
      <charset val="129"/>
    </font>
    <font>
      <sz val="11"/>
      <name val="HY중고딕"/>
      <family val="1"/>
      <charset val="129"/>
    </font>
    <font>
      <b/>
      <sz val="11"/>
      <name val="굴림"/>
      <family val="3"/>
      <charset val="129"/>
    </font>
    <font>
      <sz val="8"/>
      <name val="맑은 고딕"/>
      <family val="3"/>
      <charset val="129"/>
    </font>
    <font>
      <b/>
      <u/>
      <sz val="20"/>
      <name val="HY헤드라인M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FF0000"/>
      <name val="굴림"/>
      <family val="3"/>
      <charset val="129"/>
    </font>
    <font>
      <b/>
      <sz val="13"/>
      <color theme="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4"/>
      <color rgb="FFFF0000"/>
      <name val="굴림"/>
      <family val="3"/>
      <charset val="129"/>
    </font>
    <font>
      <u/>
      <sz val="13"/>
      <name val="굴림"/>
      <family val="3"/>
      <charset val="129"/>
    </font>
    <font>
      <b/>
      <sz val="14"/>
      <color rgb="FF002060"/>
      <name val="굴림"/>
      <family val="3"/>
      <charset val="129"/>
    </font>
    <font>
      <b/>
      <sz val="12"/>
      <color rgb="FFC00000"/>
      <name val="굴림"/>
      <family val="3"/>
      <charset val="129"/>
    </font>
    <font>
      <b/>
      <sz val="11"/>
      <color rgb="FFC00000"/>
      <name val="굴림"/>
      <family val="3"/>
      <charset val="129"/>
    </font>
    <font>
      <sz val="11"/>
      <color theme="0"/>
      <name val="굴림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70C0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HyhwpEQ"/>
      <family val="1"/>
      <charset val="129"/>
    </font>
    <font>
      <sz val="9.9"/>
      <name val="HY중고딕"/>
      <family val="1"/>
      <charset val="129"/>
    </font>
    <font>
      <sz val="10.5"/>
      <name val="HY중고딕"/>
      <family val="1"/>
      <charset val="129"/>
    </font>
    <font>
      <sz val="10"/>
      <name val="HY중고딕"/>
      <family val="1"/>
      <charset val="129"/>
    </font>
    <font>
      <sz val="11"/>
      <color rgb="FF000000"/>
      <name val="굴림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맑은 고딕"/>
      <family val="3"/>
      <charset val="129"/>
    </font>
    <font>
      <sz val="11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.5"/>
      <name val="맑은 고딕"/>
      <family val="3"/>
      <charset val="129"/>
    </font>
    <font>
      <sz val="11"/>
      <color rgb="FFC00000"/>
      <name val="굴림"/>
      <family val="3"/>
      <charset val="129"/>
    </font>
    <font>
      <u/>
      <sz val="12"/>
      <color theme="1"/>
      <name val="돋움"/>
      <family val="3"/>
      <charset val="129"/>
    </font>
    <font>
      <b/>
      <sz val="12"/>
      <color rgb="FF0000CC"/>
      <name val="굴림"/>
      <family val="3"/>
      <charset val="129"/>
    </font>
    <font>
      <i/>
      <sz val="11"/>
      <color rgb="FF0000CC"/>
      <name val="굴림"/>
      <family val="3"/>
      <charset val="129"/>
    </font>
    <font>
      <sz val="11"/>
      <color rgb="FF0000CC"/>
      <name val="굴림"/>
      <family val="3"/>
      <charset val="129"/>
    </font>
    <font>
      <b/>
      <sz val="12"/>
      <name val="돋움"/>
      <family val="3"/>
      <charset val="129"/>
    </font>
    <font>
      <i/>
      <sz val="11"/>
      <name val="굴림"/>
      <family val="3"/>
      <charset val="129"/>
    </font>
    <font>
      <sz val="10"/>
      <color rgb="FF0000CC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36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1"/>
      <charset val="128"/>
      <scheme val="minor"/>
    </font>
    <font>
      <b/>
      <sz val="12"/>
      <color theme="1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theme="1"/>
      <name val="굴림"/>
      <family val="3"/>
      <charset val="129"/>
    </font>
    <font>
      <sz val="10"/>
      <name val="맑은 고딕"/>
      <family val="3"/>
      <charset val="136"/>
      <scheme val="minor"/>
    </font>
    <font>
      <b/>
      <sz val="10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1"/>
      <color rgb="FF9C65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01">
    <xf numFmtId="0" fontId="0" fillId="0" borderId="0"/>
    <xf numFmtId="41" fontId="31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36" fillId="0" borderId="0">
      <alignment vertical="center"/>
    </xf>
    <xf numFmtId="0" fontId="22" fillId="0" borderId="0"/>
    <xf numFmtId="0" fontId="22" fillId="0" borderId="0">
      <alignment vertical="center"/>
    </xf>
    <xf numFmtId="0" fontId="36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39" fillId="0" borderId="0"/>
    <xf numFmtId="0" fontId="22" fillId="0" borderId="0"/>
    <xf numFmtId="41" fontId="22" fillId="0" borderId="0" applyFont="0" applyFill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1" fillId="0" borderId="0">
      <alignment vertical="center"/>
    </xf>
    <xf numFmtId="0" fontId="39" fillId="0" borderId="0"/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6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47">
    <xf numFmtId="0" fontId="0" fillId="0" borderId="0" xfId="0"/>
    <xf numFmtId="0" fontId="24" fillId="0" borderId="0" xfId="0" applyFont="1"/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32" fillId="2" borderId="5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left"/>
    </xf>
    <xf numFmtId="0" fontId="27" fillId="6" borderId="1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2" fillId="2" borderId="14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center" vertical="center" wrapText="1"/>
    </xf>
    <xf numFmtId="0" fontId="27" fillId="5" borderId="25" xfId="0" applyFont="1" applyFill="1" applyBorder="1" applyAlignment="1">
      <alignment horizontal="center" vertical="center" wrapText="1"/>
    </xf>
    <xf numFmtId="0" fontId="27" fillId="5" borderId="16" xfId="0" applyFont="1" applyFill="1" applyBorder="1" applyAlignment="1">
      <alignment horizontal="center" vertical="center" wrapText="1"/>
    </xf>
    <xf numFmtId="0" fontId="27" fillId="6" borderId="16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/>
    </xf>
    <xf numFmtId="0" fontId="27" fillId="6" borderId="24" xfId="0" applyFont="1" applyFill="1" applyBorder="1" applyAlignment="1">
      <alignment horizontal="center" vertical="center"/>
    </xf>
    <xf numFmtId="0" fontId="27" fillId="6" borderId="16" xfId="0" applyFont="1" applyFill="1" applyBorder="1" applyAlignment="1">
      <alignment horizontal="center" vertical="center"/>
    </xf>
    <xf numFmtId="0" fontId="45" fillId="0" borderId="0" xfId="0" applyFont="1" applyAlignment="1">
      <alignment vertical="center"/>
    </xf>
    <xf numFmtId="0" fontId="45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vertical="center"/>
    </xf>
    <xf numFmtId="0" fontId="32" fillId="2" borderId="27" xfId="0" applyFont="1" applyFill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center" vertical="center" wrapText="1"/>
    </xf>
    <xf numFmtId="0" fontId="27" fillId="6" borderId="30" xfId="0" applyFont="1" applyFill="1" applyBorder="1" applyAlignment="1">
      <alignment horizontal="center" vertical="center" wrapText="1"/>
    </xf>
    <xf numFmtId="0" fontId="27" fillId="6" borderId="25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25" fillId="7" borderId="0" xfId="0" applyFont="1" applyFill="1" applyAlignment="1">
      <alignment horizontal="center" vertical="center"/>
    </xf>
    <xf numFmtId="0" fontId="25" fillId="7" borderId="0" xfId="0" applyFont="1" applyFill="1" applyAlignment="1">
      <alignment vertical="center"/>
    </xf>
    <xf numFmtId="0" fontId="27" fillId="6" borderId="32" xfId="0" applyFont="1" applyFill="1" applyBorder="1" applyAlignment="1">
      <alignment horizontal="center" vertical="center" wrapText="1"/>
    </xf>
    <xf numFmtId="0" fontId="32" fillId="0" borderId="14" xfId="0" applyFont="1" applyFill="1" applyBorder="1" applyAlignment="1">
      <alignment horizontal="center" vertical="center" wrapText="1"/>
    </xf>
    <xf numFmtId="0" fontId="32" fillId="0" borderId="26" xfId="0" applyFont="1" applyFill="1" applyBorder="1" applyAlignment="1">
      <alignment horizontal="center" vertical="center" wrapText="1"/>
    </xf>
    <xf numFmtId="0" fontId="32" fillId="2" borderId="26" xfId="0" applyFont="1" applyFill="1" applyBorder="1" applyAlignment="1">
      <alignment vertical="center" wrapText="1"/>
    </xf>
    <xf numFmtId="0" fontId="32" fillId="0" borderId="14" xfId="0" applyFont="1" applyFill="1" applyBorder="1" applyAlignment="1">
      <alignment vertical="center" wrapText="1"/>
    </xf>
    <xf numFmtId="0" fontId="32" fillId="0" borderId="7" xfId="0" applyFont="1" applyFill="1" applyBorder="1" applyAlignment="1">
      <alignment horizontal="center" vertical="center" wrapText="1"/>
    </xf>
    <xf numFmtId="0" fontId="32" fillId="0" borderId="33" xfId="0" applyFont="1" applyFill="1" applyBorder="1" applyAlignment="1">
      <alignment horizontal="center" vertical="center" wrapText="1"/>
    </xf>
    <xf numFmtId="0" fontId="32" fillId="0" borderId="6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37" fillId="0" borderId="15" xfId="0" applyFont="1" applyBorder="1" applyAlignment="1">
      <alignment vertical="center"/>
    </xf>
    <xf numFmtId="0" fontId="46" fillId="0" borderId="15" xfId="0" applyFont="1" applyBorder="1" applyAlignment="1">
      <alignment vertical="center"/>
    </xf>
    <xf numFmtId="0" fontId="47" fillId="0" borderId="15" xfId="0" applyFont="1" applyBorder="1" applyAlignment="1">
      <alignment vertical="center"/>
    </xf>
    <xf numFmtId="0" fontId="32" fillId="0" borderId="6" xfId="0" applyFont="1" applyFill="1" applyBorder="1" applyAlignment="1">
      <alignment horizontal="center" vertical="center"/>
    </xf>
    <xf numFmtId="0" fontId="32" fillId="0" borderId="5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 wrapText="1"/>
    </xf>
    <xf numFmtId="0" fontId="32" fillId="0" borderId="36" xfId="0" applyFont="1" applyFill="1" applyBorder="1" applyAlignment="1">
      <alignment horizontal="center" vertical="center" wrapText="1"/>
    </xf>
    <xf numFmtId="0" fontId="32" fillId="0" borderId="27" xfId="0" applyFont="1" applyFill="1" applyBorder="1" applyAlignment="1">
      <alignment horizontal="center" vertical="center" wrapText="1"/>
    </xf>
    <xf numFmtId="0" fontId="32" fillId="0" borderId="7" xfId="0" applyFont="1" applyFill="1" applyBorder="1" applyAlignment="1">
      <alignment horizontal="center" vertical="center"/>
    </xf>
    <xf numFmtId="0" fontId="32" fillId="0" borderId="26" xfId="0" applyFont="1" applyFill="1" applyBorder="1" applyAlignment="1">
      <alignment horizontal="center" vertical="center"/>
    </xf>
    <xf numFmtId="0" fontId="32" fillId="0" borderId="0" xfId="0" applyFont="1"/>
    <xf numFmtId="0" fontId="32" fillId="0" borderId="35" xfId="0" applyFont="1" applyFill="1" applyBorder="1" applyAlignment="1">
      <alignment horizontal="center" vertical="center" wrapText="1"/>
    </xf>
    <xf numFmtId="0" fontId="32" fillId="0" borderId="26" xfId="0" applyFont="1" applyFill="1" applyBorder="1" applyAlignment="1">
      <alignment horizontal="left" vertical="center" wrapText="1"/>
    </xf>
    <xf numFmtId="0" fontId="32" fillId="0" borderId="39" xfId="0" applyFont="1" applyFill="1" applyBorder="1" applyAlignment="1">
      <alignment horizontal="center" vertical="center" wrapText="1"/>
    </xf>
    <xf numFmtId="0" fontId="32" fillId="0" borderId="44" xfId="0" applyFont="1" applyFill="1" applyBorder="1" applyAlignment="1">
      <alignment horizontal="center" vertical="center" wrapText="1"/>
    </xf>
    <xf numFmtId="0" fontId="32" fillId="0" borderId="42" xfId="0" applyFont="1" applyFill="1" applyBorder="1" applyAlignment="1">
      <alignment horizontal="center" vertical="center" wrapText="1"/>
    </xf>
    <xf numFmtId="0" fontId="32" fillId="0" borderId="43" xfId="0" applyFont="1" applyFill="1" applyBorder="1" applyAlignment="1">
      <alignment horizontal="center" vertical="center" wrapText="1"/>
    </xf>
    <xf numFmtId="0" fontId="32" fillId="0" borderId="41" xfId="0" applyFont="1" applyFill="1" applyBorder="1" applyAlignment="1">
      <alignment horizontal="center" vertical="center" wrapText="1"/>
    </xf>
    <xf numFmtId="0" fontId="32" fillId="0" borderId="50" xfId="0" applyFont="1" applyFill="1" applyBorder="1" applyAlignment="1">
      <alignment horizontal="center" vertical="center" wrapText="1"/>
    </xf>
    <xf numFmtId="0" fontId="32" fillId="0" borderId="52" xfId="0" applyFont="1" applyFill="1" applyBorder="1" applyAlignment="1">
      <alignment horizontal="center" vertical="center" wrapText="1"/>
    </xf>
    <xf numFmtId="0" fontId="32" fillId="0" borderId="53" xfId="0" applyFont="1" applyFill="1" applyBorder="1" applyAlignment="1">
      <alignment horizontal="center" vertical="center" wrapText="1"/>
    </xf>
    <xf numFmtId="0" fontId="32" fillId="0" borderId="54" xfId="0" applyFont="1" applyFill="1" applyBorder="1" applyAlignment="1">
      <alignment horizontal="center" vertical="center" wrapText="1"/>
    </xf>
    <xf numFmtId="0" fontId="32" fillId="0" borderId="55" xfId="0" applyFont="1" applyFill="1" applyBorder="1" applyAlignment="1">
      <alignment horizontal="center" vertical="center" wrapText="1"/>
    </xf>
    <xf numFmtId="0" fontId="32" fillId="0" borderId="10" xfId="0" applyFont="1" applyFill="1" applyBorder="1" applyAlignment="1">
      <alignment horizontal="center" vertical="center" wrapText="1"/>
    </xf>
    <xf numFmtId="0" fontId="32" fillId="0" borderId="56" xfId="0" applyFont="1" applyFill="1" applyBorder="1" applyAlignment="1">
      <alignment horizontal="center" vertical="center" wrapText="1"/>
    </xf>
    <xf numFmtId="0" fontId="32" fillId="0" borderId="57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vertical="center"/>
    </xf>
    <xf numFmtId="41" fontId="24" fillId="0" borderId="0" xfId="19" applyFont="1" applyAlignment="1"/>
    <xf numFmtId="41" fontId="24" fillId="0" borderId="0" xfId="19" applyFont="1" applyAlignment="1">
      <alignment vertical="center"/>
    </xf>
    <xf numFmtId="0" fontId="37" fillId="0" borderId="0" xfId="0" applyFont="1" applyBorder="1" applyAlignment="1">
      <alignment vertical="center"/>
    </xf>
    <xf numFmtId="0" fontId="46" fillId="0" borderId="0" xfId="0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24" fillId="2" borderId="0" xfId="0" applyFont="1" applyFill="1" applyBorder="1"/>
    <xf numFmtId="0" fontId="63" fillId="2" borderId="0" xfId="0" applyFont="1" applyFill="1" applyBorder="1" applyAlignment="1">
      <alignment horizontal="left"/>
    </xf>
    <xf numFmtId="0" fontId="62" fillId="0" borderId="0" xfId="0" applyFont="1" applyFill="1"/>
    <xf numFmtId="0" fontId="0" fillId="0" borderId="0" xfId="0" applyFill="1"/>
    <xf numFmtId="0" fontId="24" fillId="0" borderId="0" xfId="0" applyFont="1" applyFill="1"/>
    <xf numFmtId="0" fontId="32" fillId="2" borderId="36" xfId="0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right"/>
    </xf>
    <xf numFmtId="0" fontId="32" fillId="2" borderId="4" xfId="0" applyFont="1" applyFill="1" applyBorder="1" applyAlignment="1">
      <alignment horizontal="center" vertical="center"/>
    </xf>
    <xf numFmtId="0" fontId="32" fillId="2" borderId="0" xfId="0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 wrapText="1"/>
    </xf>
    <xf numFmtId="0" fontId="32" fillId="2" borderId="14" xfId="0" applyFont="1" applyFill="1" applyBorder="1" applyAlignment="1">
      <alignment horizontal="center" vertical="center" wrapText="1"/>
    </xf>
    <xf numFmtId="0" fontId="32" fillId="2" borderId="26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32" fillId="2" borderId="28" xfId="0" applyFont="1" applyFill="1" applyBorder="1" applyAlignment="1">
      <alignment horizontal="center" vertical="center" wrapText="1"/>
    </xf>
    <xf numFmtId="0" fontId="32" fillId="2" borderId="33" xfId="0" applyFont="1" applyFill="1" applyBorder="1" applyAlignment="1">
      <alignment horizontal="center" vertical="center" wrapText="1"/>
    </xf>
    <xf numFmtId="0" fontId="49" fillId="0" borderId="26" xfId="0" applyFont="1" applyFill="1" applyBorder="1" applyAlignment="1">
      <alignment horizontal="center" vertical="center" wrapText="1"/>
    </xf>
    <xf numFmtId="0" fontId="69" fillId="0" borderId="60" xfId="0" applyFont="1" applyFill="1" applyBorder="1" applyAlignment="1">
      <alignment horizontal="center" vertical="center" wrapText="1"/>
    </xf>
    <xf numFmtId="0" fontId="71" fillId="0" borderId="0" xfId="0" applyFont="1" applyFill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7" fillId="4" borderId="45" xfId="0" applyFont="1" applyFill="1" applyBorder="1" applyAlignment="1">
      <alignment horizontal="center" vertical="center"/>
    </xf>
    <xf numFmtId="0" fontId="27" fillId="4" borderId="46" xfId="0" applyFont="1" applyFill="1" applyBorder="1" applyAlignment="1">
      <alignment horizontal="center" vertical="center"/>
    </xf>
    <xf numFmtId="0" fontId="69" fillId="0" borderId="60" xfId="0" applyFont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50" fillId="0" borderId="26" xfId="0" applyFont="1" applyBorder="1" applyAlignment="1">
      <alignment horizontal="center" vertical="center" wrapText="1"/>
    </xf>
    <xf numFmtId="0" fontId="73" fillId="0" borderId="0" xfId="0" applyFont="1"/>
    <xf numFmtId="0" fontId="73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27" fillId="4" borderId="11" xfId="0" applyFont="1" applyFill="1" applyBorder="1" applyAlignment="1">
      <alignment horizontal="center" vertical="center"/>
    </xf>
    <xf numFmtId="0" fontId="24" fillId="2" borderId="0" xfId="0" applyFont="1" applyFill="1"/>
    <xf numFmtId="0" fontId="32" fillId="2" borderId="4" xfId="0" applyFont="1" applyFill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 wrapText="1"/>
    </xf>
    <xf numFmtId="0" fontId="27" fillId="5" borderId="34" xfId="0" applyFont="1" applyFill="1" applyBorder="1" applyAlignment="1">
      <alignment horizontal="center" vertical="center" wrapText="1"/>
    </xf>
    <xf numFmtId="0" fontId="69" fillId="0" borderId="34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center" vertical="center"/>
    </xf>
    <xf numFmtId="0" fontId="50" fillId="2" borderId="26" xfId="0" applyFont="1" applyFill="1" applyBorder="1" applyAlignment="1">
      <alignment horizontal="center" vertical="center"/>
    </xf>
    <xf numFmtId="0" fontId="49" fillId="2" borderId="26" xfId="0" applyFont="1" applyFill="1" applyBorder="1" applyAlignment="1">
      <alignment horizontal="center" vertical="center" wrapText="1"/>
    </xf>
    <xf numFmtId="0" fontId="49" fillId="2" borderId="26" xfId="0" applyFont="1" applyFill="1" applyBorder="1" applyAlignment="1">
      <alignment horizontal="center" vertical="center"/>
    </xf>
    <xf numFmtId="0" fontId="50" fillId="2" borderId="52" xfId="0" applyFont="1" applyFill="1" applyBorder="1" applyAlignment="1">
      <alignment horizontal="center" vertical="center"/>
    </xf>
    <xf numFmtId="0" fontId="50" fillId="2" borderId="52" xfId="0" applyFont="1" applyFill="1" applyBorder="1" applyAlignment="1">
      <alignment horizontal="center" vertical="center" wrapText="1"/>
    </xf>
    <xf numFmtId="0" fontId="49" fillId="0" borderId="52" xfId="0" applyFont="1" applyFill="1" applyBorder="1" applyAlignment="1">
      <alignment horizontal="center" vertical="center" wrapText="1"/>
    </xf>
    <xf numFmtId="0" fontId="49" fillId="0" borderId="26" xfId="0" applyFont="1" applyFill="1" applyBorder="1" applyAlignment="1">
      <alignment horizontal="left" vertical="center" wrapText="1"/>
    </xf>
    <xf numFmtId="0" fontId="49" fillId="0" borderId="52" xfId="0" applyFont="1" applyFill="1" applyBorder="1" applyAlignment="1">
      <alignment horizontal="left" vertical="center" wrapText="1"/>
    </xf>
    <xf numFmtId="0" fontId="50" fillId="0" borderId="26" xfId="0" applyNumberFormat="1" applyFont="1" applyBorder="1" applyAlignment="1">
      <alignment horizontal="center" vertical="center" wrapText="1"/>
    </xf>
    <xf numFmtId="0" fontId="50" fillId="0" borderId="26" xfId="0" applyFont="1" applyFill="1" applyBorder="1" applyAlignment="1">
      <alignment vertical="center" wrapText="1"/>
    </xf>
    <xf numFmtId="0" fontId="50" fillId="2" borderId="26" xfId="0" applyFont="1" applyFill="1" applyBorder="1" applyAlignment="1">
      <alignment vertical="center" wrapText="1"/>
    </xf>
    <xf numFmtId="0" fontId="74" fillId="0" borderId="26" xfId="0" applyFont="1" applyFill="1" applyBorder="1" applyAlignment="1">
      <alignment horizontal="center" vertical="center" wrapText="1"/>
    </xf>
    <xf numFmtId="3" fontId="50" fillId="2" borderId="26" xfId="0" applyNumberFormat="1" applyFont="1" applyFill="1" applyBorder="1" applyAlignment="1">
      <alignment vertical="center" wrapText="1"/>
    </xf>
    <xf numFmtId="0" fontId="50" fillId="0" borderId="26" xfId="0" applyFont="1" applyBorder="1"/>
    <xf numFmtId="41" fontId="50" fillId="2" borderId="26" xfId="19" applyFont="1" applyFill="1" applyBorder="1" applyAlignment="1">
      <alignment horizontal="center" vertical="center" wrapText="1"/>
    </xf>
    <xf numFmtId="0" fontId="74" fillId="0" borderId="26" xfId="0" applyFont="1" applyFill="1" applyBorder="1" applyAlignment="1">
      <alignment horizontal="center" vertical="center"/>
    </xf>
    <xf numFmtId="49" fontId="50" fillId="2" borderId="26" xfId="0" applyNumberFormat="1" applyFont="1" applyFill="1" applyBorder="1" applyAlignment="1">
      <alignment horizontal="left" vertical="center" wrapText="1"/>
    </xf>
    <xf numFmtId="41" fontId="50" fillId="2" borderId="26" xfId="19" applyFont="1" applyFill="1" applyBorder="1" applyAlignment="1">
      <alignment horizontal="right" vertical="center" wrapText="1"/>
    </xf>
    <xf numFmtId="41" fontId="50" fillId="2" borderId="26" xfId="19" applyFont="1" applyFill="1" applyBorder="1" applyAlignment="1">
      <alignment vertical="center" wrapText="1"/>
    </xf>
    <xf numFmtId="0" fontId="50" fillId="2" borderId="26" xfId="0" applyFont="1" applyFill="1" applyBorder="1" applyAlignment="1">
      <alignment horizontal="right" vertical="center" wrapText="1"/>
    </xf>
    <xf numFmtId="0" fontId="50" fillId="2" borderId="26" xfId="0" applyFont="1" applyFill="1" applyBorder="1" applyAlignment="1">
      <alignment horizontal="right" vertical="center"/>
    </xf>
    <xf numFmtId="0" fontId="50" fillId="0" borderId="26" xfId="0" applyFont="1" applyBorder="1" applyAlignment="1">
      <alignment horizontal="center" vertical="center"/>
    </xf>
    <xf numFmtId="0" fontId="50" fillId="0" borderId="26" xfId="0" applyFont="1" applyBorder="1" applyAlignment="1">
      <alignment horizontal="left" vertical="center" wrapText="1"/>
    </xf>
    <xf numFmtId="0" fontId="50" fillId="0" borderId="26" xfId="0" applyFont="1" applyBorder="1" applyAlignment="1">
      <alignment vertical="center"/>
    </xf>
    <xf numFmtId="3" fontId="50" fillId="2" borderId="26" xfId="0" applyNumberFormat="1" applyFont="1" applyFill="1" applyBorder="1" applyAlignment="1">
      <alignment horizontal="center" vertical="center" wrapText="1"/>
    </xf>
    <xf numFmtId="0" fontId="74" fillId="0" borderId="26" xfId="0" applyFont="1" applyBorder="1" applyAlignment="1">
      <alignment horizontal="center" vertical="center"/>
    </xf>
    <xf numFmtId="0" fontId="74" fillId="0" borderId="26" xfId="0" applyFont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center" vertical="center" shrinkToFit="1"/>
    </xf>
    <xf numFmtId="0" fontId="50" fillId="0" borderId="26" xfId="0" applyFont="1" applyFill="1" applyBorder="1" applyAlignment="1">
      <alignment vertical="center"/>
    </xf>
    <xf numFmtId="41" fontId="50" fillId="0" borderId="26" xfId="19" applyFont="1" applyFill="1" applyBorder="1" applyAlignment="1">
      <alignment horizontal="center" vertical="center" wrapText="1"/>
    </xf>
    <xf numFmtId="0" fontId="50" fillId="8" borderId="26" xfId="0" applyFont="1" applyFill="1" applyBorder="1" applyAlignment="1">
      <alignment horizontal="center" vertical="center" wrapText="1"/>
    </xf>
    <xf numFmtId="49" fontId="50" fillId="8" borderId="26" xfId="0" applyNumberFormat="1" applyFont="1" applyFill="1" applyBorder="1" applyAlignment="1">
      <alignment horizontal="left" vertical="center" wrapText="1"/>
    </xf>
    <xf numFmtId="0" fontId="50" fillId="8" borderId="26" xfId="0" applyFont="1" applyFill="1" applyBorder="1" applyAlignment="1">
      <alignment horizontal="right" vertical="center" wrapText="1"/>
    </xf>
    <xf numFmtId="0" fontId="74" fillId="0" borderId="52" xfId="0" applyFont="1" applyFill="1" applyBorder="1" applyAlignment="1">
      <alignment horizontal="center" vertical="center"/>
    </xf>
    <xf numFmtId="0" fontId="49" fillId="0" borderId="26" xfId="0" applyFont="1" applyFill="1" applyBorder="1" applyAlignment="1">
      <alignment horizontal="center" vertical="center"/>
    </xf>
    <xf numFmtId="0" fontId="49" fillId="0" borderId="26" xfId="0" applyFont="1" applyFill="1" applyBorder="1" applyAlignment="1">
      <alignment vertical="center" wrapText="1"/>
    </xf>
    <xf numFmtId="41" fontId="49" fillId="0" borderId="26" xfId="19" applyFont="1" applyFill="1" applyBorder="1" applyAlignment="1">
      <alignment horizontal="center" vertical="center" wrapText="1"/>
    </xf>
    <xf numFmtId="0" fontId="49" fillId="2" borderId="26" xfId="0" applyFont="1" applyFill="1" applyBorder="1" applyAlignment="1">
      <alignment horizontal="left" vertical="center" wrapText="1"/>
    </xf>
    <xf numFmtId="0" fontId="50" fillId="0" borderId="26" xfId="0" applyFont="1" applyFill="1" applyBorder="1"/>
    <xf numFmtId="0" fontId="49" fillId="0" borderId="26" xfId="0" applyFont="1" applyBorder="1" applyAlignment="1">
      <alignment horizontal="center" vertical="center" wrapText="1"/>
    </xf>
    <xf numFmtId="0" fontId="49" fillId="2" borderId="26" xfId="0" applyFont="1" applyFill="1" applyBorder="1" applyAlignment="1">
      <alignment vertical="center" wrapText="1"/>
    </xf>
    <xf numFmtId="3" fontId="49" fillId="2" borderId="26" xfId="0" applyNumberFormat="1" applyFont="1" applyFill="1" applyBorder="1" applyAlignment="1">
      <alignment horizontal="center" vertical="center" wrapText="1"/>
    </xf>
    <xf numFmtId="0" fontId="50" fillId="2" borderId="52" xfId="0" applyFont="1" applyFill="1" applyBorder="1" applyAlignment="1">
      <alignment vertical="center" wrapText="1"/>
    </xf>
    <xf numFmtId="0" fontId="50" fillId="0" borderId="52" xfId="0" applyFont="1" applyBorder="1" applyAlignment="1">
      <alignment horizontal="center" vertical="center"/>
    </xf>
    <xf numFmtId="0" fontId="71" fillId="0" borderId="0" xfId="0" applyFont="1" applyBorder="1" applyAlignment="1">
      <alignment horizontal="center" vertical="center"/>
    </xf>
    <xf numFmtId="0" fontId="24" fillId="0" borderId="0" xfId="0" applyFont="1" applyBorder="1"/>
    <xf numFmtId="0" fontId="25" fillId="0" borderId="0" xfId="0" applyFont="1" applyBorder="1" applyAlignment="1">
      <alignment vertical="center"/>
    </xf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/>
    </xf>
    <xf numFmtId="0" fontId="4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41" fontId="50" fillId="0" borderId="26" xfId="19" applyFont="1" applyFill="1" applyBorder="1" applyAlignment="1">
      <alignment vertical="center" wrapText="1"/>
    </xf>
    <xf numFmtId="176" fontId="78" fillId="0" borderId="26" xfId="0" applyNumberFormat="1" applyFont="1" applyFill="1" applyBorder="1" applyAlignment="1" applyProtection="1">
      <alignment horizontal="center" vertical="center"/>
    </xf>
    <xf numFmtId="176" fontId="78" fillId="0" borderId="26" xfId="0" applyNumberFormat="1" applyFont="1" applyFill="1" applyBorder="1" applyAlignment="1" applyProtection="1">
      <alignment horizontal="center" vertical="center" wrapText="1"/>
    </xf>
    <xf numFmtId="176" fontId="78" fillId="0" borderId="26" xfId="0" applyNumberFormat="1" applyFont="1" applyFill="1" applyBorder="1" applyAlignment="1" applyProtection="1">
      <alignment vertical="center" wrapText="1"/>
    </xf>
    <xf numFmtId="41" fontId="78" fillId="0" borderId="26" xfId="19" applyFont="1" applyFill="1" applyBorder="1" applyAlignment="1" applyProtection="1">
      <alignment horizontal="right" vertical="center" wrapText="1"/>
    </xf>
    <xf numFmtId="49" fontId="78" fillId="0" borderId="26" xfId="0" applyNumberFormat="1" applyFont="1" applyFill="1" applyBorder="1" applyAlignment="1" applyProtection="1">
      <alignment horizontal="center" vertical="center" wrapText="1"/>
    </xf>
    <xf numFmtId="49" fontId="78" fillId="0" borderId="26" xfId="0" applyNumberFormat="1" applyFont="1" applyFill="1" applyBorder="1" applyAlignment="1" applyProtection="1">
      <alignment horizontal="center" vertical="center"/>
    </xf>
    <xf numFmtId="49" fontId="78" fillId="0" borderId="26" xfId="0" applyNumberFormat="1" applyFont="1" applyFill="1" applyBorder="1" applyAlignment="1">
      <alignment horizontal="center" vertical="center"/>
    </xf>
    <xf numFmtId="0" fontId="78" fillId="0" borderId="26" xfId="0" applyFont="1" applyFill="1" applyBorder="1" applyAlignment="1">
      <alignment horizontal="center" vertical="center"/>
    </xf>
    <xf numFmtId="0" fontId="78" fillId="0" borderId="26" xfId="0" applyFont="1" applyFill="1" applyBorder="1" applyAlignment="1">
      <alignment horizontal="center" vertical="center" wrapText="1"/>
    </xf>
    <xf numFmtId="0" fontId="78" fillId="0" borderId="26" xfId="0" applyFont="1" applyFill="1" applyBorder="1" applyAlignment="1">
      <alignment vertical="center" wrapText="1"/>
    </xf>
    <xf numFmtId="41" fontId="78" fillId="0" borderId="26" xfId="19" applyFont="1" applyFill="1" applyBorder="1" applyAlignment="1">
      <alignment horizontal="center" vertical="center" wrapText="1"/>
    </xf>
    <xf numFmtId="49" fontId="78" fillId="0" borderId="26" xfId="0" applyNumberFormat="1" applyFont="1" applyFill="1" applyBorder="1" applyAlignment="1">
      <alignment horizontal="center" vertical="center" wrapText="1"/>
    </xf>
    <xf numFmtId="0" fontId="50" fillId="0" borderId="52" xfId="0" applyFont="1" applyFill="1" applyBorder="1" applyAlignment="1">
      <alignment horizontal="center" vertical="center"/>
    </xf>
    <xf numFmtId="0" fontId="50" fillId="0" borderId="52" xfId="0" applyFont="1" applyFill="1" applyBorder="1" applyAlignment="1">
      <alignment horizontal="center" vertical="center" wrapText="1"/>
    </xf>
    <xf numFmtId="0" fontId="50" fillId="0" borderId="52" xfId="0" applyFont="1" applyFill="1" applyBorder="1" applyAlignment="1">
      <alignment vertical="center" wrapText="1"/>
    </xf>
    <xf numFmtId="41" fontId="50" fillId="0" borderId="52" xfId="19" applyFont="1" applyFill="1" applyBorder="1" applyAlignment="1">
      <alignment horizontal="center" vertical="center" wrapText="1"/>
    </xf>
    <xf numFmtId="41" fontId="49" fillId="0" borderId="52" xfId="19" applyFont="1" applyFill="1" applyBorder="1" applyAlignment="1">
      <alignment horizontal="center" vertical="center" wrapText="1"/>
    </xf>
    <xf numFmtId="0" fontId="50" fillId="0" borderId="52" xfId="0" applyFont="1" applyFill="1" applyBorder="1" applyAlignment="1">
      <alignment vertical="center"/>
    </xf>
    <xf numFmtId="176" fontId="50" fillId="2" borderId="26" xfId="0" applyNumberFormat="1" applyFont="1" applyFill="1" applyBorder="1" applyAlignment="1">
      <alignment horizontal="center" vertical="center" wrapText="1"/>
    </xf>
    <xf numFmtId="176" fontId="49" fillId="2" borderId="26" xfId="0" applyNumberFormat="1" applyFont="1" applyFill="1" applyBorder="1" applyAlignment="1">
      <alignment horizontal="center" vertical="center" wrapText="1"/>
    </xf>
    <xf numFmtId="178" fontId="49" fillId="2" borderId="26" xfId="0" applyNumberFormat="1" applyFont="1" applyFill="1" applyBorder="1" applyAlignment="1">
      <alignment horizontal="center" vertical="center" wrapText="1"/>
    </xf>
    <xf numFmtId="0" fontId="74" fillId="2" borderId="26" xfId="0" applyFont="1" applyFill="1" applyBorder="1" applyAlignment="1">
      <alignment horizontal="center" vertical="center" wrapText="1"/>
    </xf>
    <xf numFmtId="12" fontId="49" fillId="2" borderId="26" xfId="0" applyNumberFormat="1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shrinkToFit="1"/>
    </xf>
    <xf numFmtId="0" fontId="74" fillId="0" borderId="40" xfId="0" applyFont="1" applyFill="1" applyBorder="1" applyAlignment="1">
      <alignment horizontal="center" vertical="center" wrapText="1"/>
    </xf>
    <xf numFmtId="0" fontId="50" fillId="0" borderId="40" xfId="0" applyFont="1" applyFill="1" applyBorder="1" applyAlignment="1">
      <alignment horizontal="center" vertical="center" wrapText="1"/>
    </xf>
    <xf numFmtId="0" fontId="50" fillId="0" borderId="40" xfId="0" applyFont="1" applyFill="1" applyBorder="1" applyAlignment="1">
      <alignment horizontal="left" vertical="center" wrapText="1"/>
    </xf>
    <xf numFmtId="0" fontId="49" fillId="0" borderId="40" xfId="0" applyFont="1" applyFill="1" applyBorder="1" applyAlignment="1">
      <alignment horizontal="left" vertical="center" wrapText="1"/>
    </xf>
    <xf numFmtId="0" fontId="50" fillId="2" borderId="34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center" vertical="center" wrapText="1"/>
    </xf>
    <xf numFmtId="0" fontId="27" fillId="5" borderId="60" xfId="0" applyFont="1" applyFill="1" applyBorder="1" applyAlignment="1">
      <alignment horizontal="center" vertical="center" wrapText="1"/>
    </xf>
    <xf numFmtId="0" fontId="74" fillId="0" borderId="34" xfId="0" applyFont="1" applyFill="1" applyBorder="1" applyAlignment="1">
      <alignment horizontal="center" vertical="center" wrapText="1"/>
    </xf>
    <xf numFmtId="0" fontId="43" fillId="0" borderId="21" xfId="0" applyFont="1" applyBorder="1" applyAlignment="1">
      <alignment vertical="center"/>
    </xf>
    <xf numFmtId="0" fontId="37" fillId="0" borderId="0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3" fontId="50" fillId="2" borderId="26" xfId="0" applyNumberFormat="1" applyFont="1" applyFill="1" applyBorder="1" applyAlignment="1">
      <alignment horizontal="right" vertical="center" wrapText="1"/>
    </xf>
    <xf numFmtId="0" fontId="50" fillId="0" borderId="26" xfId="0" applyFont="1" applyBorder="1" applyAlignment="1">
      <alignment horizontal="right" vertical="center" wrapText="1"/>
    </xf>
    <xf numFmtId="180" fontId="50" fillId="0" borderId="26" xfId="0" applyNumberFormat="1" applyFont="1" applyBorder="1" applyAlignment="1">
      <alignment vertical="center"/>
    </xf>
    <xf numFmtId="180" fontId="50" fillId="0" borderId="26" xfId="0" applyNumberFormat="1" applyFont="1" applyBorder="1" applyAlignment="1">
      <alignment horizontal="center" vertical="center"/>
    </xf>
    <xf numFmtId="180" fontId="50" fillId="0" borderId="26" xfId="0" applyNumberFormat="1" applyFont="1" applyFill="1" applyBorder="1" applyAlignment="1">
      <alignment horizontal="center" vertical="center" wrapText="1" shrinkToFit="1"/>
    </xf>
    <xf numFmtId="180" fontId="50" fillId="0" borderId="26" xfId="0" applyNumberFormat="1" applyFont="1" applyFill="1" applyBorder="1" applyAlignment="1">
      <alignment horizontal="left" vertical="center" wrapText="1" shrinkToFit="1"/>
    </xf>
    <xf numFmtId="180" fontId="50" fillId="0" borderId="26" xfId="0" applyNumberFormat="1" applyFont="1" applyBorder="1" applyAlignment="1">
      <alignment horizontal="center" vertical="center" wrapText="1"/>
    </xf>
    <xf numFmtId="180" fontId="50" fillId="0" borderId="26" xfId="0" applyNumberFormat="1" applyFont="1" applyBorder="1" applyAlignment="1">
      <alignment horizontal="right" vertical="center"/>
    </xf>
    <xf numFmtId="180" fontId="50" fillId="2" borderId="26" xfId="0" applyNumberFormat="1" applyFont="1" applyFill="1" applyBorder="1" applyAlignment="1">
      <alignment horizontal="right" vertical="center" wrapText="1"/>
    </xf>
    <xf numFmtId="0" fontId="50" fillId="0" borderId="26" xfId="0" applyFont="1" applyBorder="1" applyAlignment="1">
      <alignment horizontal="right" vertical="center"/>
    </xf>
    <xf numFmtId="3" fontId="50" fillId="0" borderId="26" xfId="0" applyNumberFormat="1" applyFont="1" applyBorder="1" applyAlignment="1">
      <alignment horizontal="right" vertical="center"/>
    </xf>
    <xf numFmtId="0" fontId="50" fillId="0" borderId="26" xfId="0" applyFont="1" applyFill="1" applyBorder="1" applyAlignment="1">
      <alignment horizontal="left" vertical="center"/>
    </xf>
    <xf numFmtId="3" fontId="50" fillId="0" borderId="26" xfId="0" applyNumberFormat="1" applyFont="1" applyBorder="1" applyAlignment="1">
      <alignment horizontal="right" vertical="center" wrapText="1"/>
    </xf>
    <xf numFmtId="0" fontId="50" fillId="2" borderId="62" xfId="0" applyFont="1" applyFill="1" applyBorder="1" applyAlignment="1">
      <alignment horizontal="center" vertical="center"/>
    </xf>
    <xf numFmtId="0" fontId="50" fillId="2" borderId="62" xfId="0" applyFont="1" applyFill="1" applyBorder="1" applyAlignment="1">
      <alignment horizontal="center" vertical="center" wrapText="1"/>
    </xf>
    <xf numFmtId="0" fontId="50" fillId="0" borderId="62" xfId="0" applyFont="1" applyFill="1" applyBorder="1" applyAlignment="1">
      <alignment horizontal="center" vertical="center" wrapText="1"/>
    </xf>
    <xf numFmtId="0" fontId="50" fillId="0" borderId="62" xfId="0" applyFont="1" applyFill="1" applyBorder="1" applyAlignment="1">
      <alignment horizontal="left" vertical="center" wrapText="1"/>
    </xf>
    <xf numFmtId="0" fontId="50" fillId="2" borderId="62" xfId="0" applyFont="1" applyFill="1" applyBorder="1" applyAlignment="1">
      <alignment horizontal="right" vertical="center" wrapText="1"/>
    </xf>
    <xf numFmtId="0" fontId="74" fillId="0" borderId="62" xfId="0" applyFont="1" applyBorder="1" applyAlignment="1">
      <alignment horizontal="center" vertical="center"/>
    </xf>
    <xf numFmtId="180" fontId="74" fillId="0" borderId="26" xfId="0" applyNumberFormat="1" applyFont="1" applyBorder="1" applyAlignment="1">
      <alignment horizontal="center" vertical="center" wrapText="1"/>
    </xf>
    <xf numFmtId="0" fontId="50" fillId="0" borderId="52" xfId="0" applyFont="1" applyFill="1" applyBorder="1" applyAlignment="1">
      <alignment horizontal="left" vertical="center" wrapText="1"/>
    </xf>
    <xf numFmtId="0" fontId="50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left" vertical="center" wrapText="1"/>
    </xf>
    <xf numFmtId="0" fontId="50" fillId="0" borderId="0" xfId="0" applyFont="1" applyFill="1" applyBorder="1" applyAlignment="1">
      <alignment horizontal="right" vertical="center" wrapText="1"/>
    </xf>
    <xf numFmtId="0" fontId="74" fillId="0" borderId="0" xfId="0" applyFont="1" applyFill="1" applyBorder="1" applyAlignment="1">
      <alignment horizontal="center" vertical="center" wrapText="1"/>
    </xf>
    <xf numFmtId="178" fontId="50" fillId="0" borderId="0" xfId="0" applyNumberFormat="1" applyFont="1" applyFill="1" applyBorder="1" applyAlignment="1">
      <alignment horizontal="right" vertical="center" wrapText="1"/>
    </xf>
    <xf numFmtId="0" fontId="45" fillId="0" borderId="0" xfId="0" applyFont="1" applyFill="1" applyAlignment="1">
      <alignment vertical="center"/>
    </xf>
    <xf numFmtId="0" fontId="50" fillId="0" borderId="0" xfId="0" applyFont="1" applyFill="1" applyBorder="1" applyAlignment="1">
      <alignment horizontal="right" vertical="center"/>
    </xf>
    <xf numFmtId="0" fontId="50" fillId="0" borderId="0" xfId="0" applyFont="1" applyFill="1" applyBorder="1" applyAlignment="1">
      <alignment vertical="center"/>
    </xf>
    <xf numFmtId="0" fontId="74" fillId="0" borderId="0" xfId="0" applyFont="1" applyFill="1" applyBorder="1" applyAlignment="1">
      <alignment horizontal="center" vertical="center"/>
    </xf>
    <xf numFmtId="0" fontId="50" fillId="0" borderId="0" xfId="0" applyFont="1" applyFill="1" applyBorder="1" applyAlignment="1">
      <alignment horizontal="left" vertical="center"/>
    </xf>
    <xf numFmtId="0" fontId="49" fillId="0" borderId="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 shrinkToFit="1"/>
    </xf>
    <xf numFmtId="0" fontId="24" fillId="0" borderId="0" xfId="0" applyFont="1" applyFill="1" applyAlignment="1">
      <alignment vertical="center"/>
    </xf>
    <xf numFmtId="3" fontId="50" fillId="0" borderId="0" xfId="0" applyNumberFormat="1" applyFont="1" applyFill="1" applyBorder="1" applyAlignment="1">
      <alignment horizontal="right" vertical="center" wrapText="1"/>
    </xf>
    <xf numFmtId="0" fontId="24" fillId="0" borderId="0" xfId="0" applyFont="1" applyFill="1" applyBorder="1" applyAlignment="1">
      <alignment horizontal="center"/>
    </xf>
    <xf numFmtId="0" fontId="24" fillId="0" borderId="0" xfId="0" applyFont="1" applyFill="1" applyBorder="1"/>
    <xf numFmtId="0" fontId="74" fillId="0" borderId="52" xfId="0" applyFont="1" applyFill="1" applyBorder="1" applyAlignment="1">
      <alignment horizontal="center" vertical="center" wrapText="1"/>
    </xf>
    <xf numFmtId="0" fontId="50" fillId="0" borderId="26" xfId="0" quotePrefix="1" applyFont="1" applyFill="1" applyBorder="1" applyAlignment="1">
      <alignment horizontal="center" vertical="center" wrapText="1"/>
    </xf>
    <xf numFmtId="0" fontId="84" fillId="4" borderId="39" xfId="0" applyFont="1" applyFill="1" applyBorder="1" applyAlignment="1">
      <alignment horizontal="center" vertical="center"/>
    </xf>
    <xf numFmtId="0" fontId="84" fillId="4" borderId="39" xfId="0" applyFont="1" applyFill="1" applyBorder="1" applyAlignment="1">
      <alignment horizontal="center" vertical="center" wrapText="1"/>
    </xf>
    <xf numFmtId="0" fontId="85" fillId="4" borderId="39" xfId="0" applyFont="1" applyFill="1" applyBorder="1" applyAlignment="1">
      <alignment horizontal="center" vertical="center" wrapText="1"/>
    </xf>
    <xf numFmtId="0" fontId="85" fillId="4" borderId="44" xfId="0" applyFont="1" applyFill="1" applyBorder="1" applyAlignment="1">
      <alignment horizontal="center" vertical="center" wrapText="1"/>
    </xf>
    <xf numFmtId="0" fontId="84" fillId="4" borderId="4" xfId="0" applyFont="1" applyFill="1" applyBorder="1" applyAlignment="1">
      <alignment horizontal="center" vertical="center"/>
    </xf>
    <xf numFmtId="0" fontId="84" fillId="4" borderId="4" xfId="0" applyFont="1" applyFill="1" applyBorder="1" applyAlignment="1">
      <alignment horizontal="center" vertical="center" wrapText="1"/>
    </xf>
    <xf numFmtId="0" fontId="85" fillId="4" borderId="4" xfId="0" applyFont="1" applyFill="1" applyBorder="1" applyAlignment="1">
      <alignment horizontal="center" vertical="center" wrapText="1"/>
    </xf>
    <xf numFmtId="0" fontId="85" fillId="4" borderId="5" xfId="0" applyFont="1" applyFill="1" applyBorder="1" applyAlignment="1">
      <alignment horizontal="center" vertical="center" wrapText="1"/>
    </xf>
    <xf numFmtId="0" fontId="85" fillId="4" borderId="4" xfId="0" applyFont="1" applyFill="1" applyBorder="1" applyAlignment="1">
      <alignment horizontal="center" vertical="center"/>
    </xf>
    <xf numFmtId="0" fontId="85" fillId="4" borderId="5" xfId="0" applyFont="1" applyFill="1" applyBorder="1" applyAlignment="1">
      <alignment horizontal="center" vertical="center"/>
    </xf>
    <xf numFmtId="0" fontId="84" fillId="4" borderId="61" xfId="0" applyFont="1" applyFill="1" applyBorder="1" applyAlignment="1">
      <alignment horizontal="center" vertical="center"/>
    </xf>
    <xf numFmtId="0" fontId="69" fillId="0" borderId="34" xfId="0" applyFont="1" applyBorder="1" applyAlignment="1">
      <alignment horizontal="center" vertical="center" wrapText="1"/>
    </xf>
    <xf numFmtId="0" fontId="61" fillId="0" borderId="26" xfId="0" applyFont="1" applyBorder="1" applyAlignment="1">
      <alignment vertical="center" wrapText="1"/>
    </xf>
    <xf numFmtId="0" fontId="49" fillId="0" borderId="26" xfId="0" applyFont="1" applyBorder="1" applyAlignment="1">
      <alignment horizontal="center" vertical="center"/>
    </xf>
    <xf numFmtId="3" fontId="50" fillId="0" borderId="26" xfId="0" applyNumberFormat="1" applyFont="1" applyBorder="1" applyAlignment="1">
      <alignment horizontal="center" vertical="center" wrapText="1"/>
    </xf>
    <xf numFmtId="178" fontId="50" fillId="0" borderId="26" xfId="0" applyNumberFormat="1" applyFont="1" applyBorder="1" applyAlignment="1">
      <alignment horizontal="center" vertical="center" wrapText="1"/>
    </xf>
    <xf numFmtId="41" fontId="50" fillId="0" borderId="26" xfId="19" applyFont="1" applyFill="1" applyBorder="1" applyAlignment="1">
      <alignment horizontal="left" vertical="center" wrapText="1"/>
    </xf>
    <xf numFmtId="0" fontId="50" fillId="0" borderId="26" xfId="19" applyNumberFormat="1" applyFont="1" applyFill="1" applyBorder="1" applyAlignment="1">
      <alignment horizontal="center" vertical="center" wrapText="1"/>
    </xf>
    <xf numFmtId="3" fontId="50" fillId="0" borderId="26" xfId="19" applyNumberFormat="1" applyFont="1" applyFill="1" applyBorder="1" applyAlignment="1">
      <alignment horizontal="center" vertical="center" wrapText="1"/>
    </xf>
    <xf numFmtId="41" fontId="27" fillId="6" borderId="34" xfId="19" applyFont="1" applyFill="1" applyBorder="1" applyAlignment="1">
      <alignment horizontal="center" vertical="center" wrapText="1"/>
    </xf>
    <xf numFmtId="0" fontId="61" fillId="2" borderId="26" xfId="0" applyFont="1" applyFill="1" applyBorder="1" applyAlignment="1">
      <alignment horizontal="center" vertical="center"/>
    </xf>
    <xf numFmtId="0" fontId="61" fillId="2" borderId="26" xfId="0" applyFont="1" applyFill="1" applyBorder="1" applyAlignment="1">
      <alignment horizontal="center" vertical="center" wrapText="1"/>
    </xf>
    <xf numFmtId="0" fontId="61" fillId="2" borderId="26" xfId="0" applyFont="1" applyFill="1" applyBorder="1" applyAlignment="1">
      <alignment vertical="center" wrapText="1"/>
    </xf>
    <xf numFmtId="41" fontId="61" fillId="2" borderId="26" xfId="19" applyFont="1" applyFill="1" applyBorder="1" applyAlignment="1">
      <alignment horizontal="center" vertical="center" wrapText="1"/>
    </xf>
    <xf numFmtId="0" fontId="61" fillId="0" borderId="26" xfId="0" applyFont="1" applyFill="1" applyBorder="1" applyAlignment="1">
      <alignment horizontal="center" vertical="center" wrapText="1"/>
    </xf>
    <xf numFmtId="0" fontId="89" fillId="2" borderId="26" xfId="0" applyFont="1" applyFill="1" applyBorder="1" applyAlignment="1">
      <alignment horizontal="center" vertical="center" wrapText="1"/>
    </xf>
    <xf numFmtId="41" fontId="61" fillId="2" borderId="26" xfId="19" applyFont="1" applyFill="1" applyBorder="1" applyAlignment="1">
      <alignment horizontal="center" vertical="center"/>
    </xf>
    <xf numFmtId="0" fontId="50" fillId="2" borderId="22" xfId="0" applyFont="1" applyFill="1" applyBorder="1" applyAlignment="1">
      <alignment vertical="center" wrapText="1"/>
    </xf>
    <xf numFmtId="0" fontId="27" fillId="4" borderId="63" xfId="0" applyFont="1" applyFill="1" applyBorder="1" applyAlignment="1">
      <alignment horizontal="center" vertical="center"/>
    </xf>
    <xf numFmtId="0" fontId="72" fillId="4" borderId="64" xfId="0" applyFont="1" applyFill="1" applyBorder="1" applyAlignment="1">
      <alignment horizontal="center" vertical="center"/>
    </xf>
    <xf numFmtId="0" fontId="72" fillId="4" borderId="57" xfId="0" applyFont="1" applyFill="1" applyBorder="1" applyAlignment="1">
      <alignment horizontal="center" vertical="center"/>
    </xf>
    <xf numFmtId="0" fontId="83" fillId="4" borderId="49" xfId="0" applyFont="1" applyFill="1" applyBorder="1" applyAlignment="1">
      <alignment horizontal="center" vertical="center"/>
    </xf>
    <xf numFmtId="0" fontId="83" fillId="4" borderId="36" xfId="0" applyFont="1" applyFill="1" applyBorder="1" applyAlignment="1">
      <alignment horizontal="center" vertical="center"/>
    </xf>
    <xf numFmtId="0" fontId="83" fillId="4" borderId="65" xfId="0" applyFont="1" applyFill="1" applyBorder="1" applyAlignment="1">
      <alignment horizontal="center" vertical="center"/>
    </xf>
    <xf numFmtId="0" fontId="0" fillId="7" borderId="0" xfId="0" applyFill="1"/>
    <xf numFmtId="0" fontId="91" fillId="3" borderId="13" xfId="0" applyFont="1" applyFill="1" applyBorder="1" applyAlignment="1">
      <alignment horizontal="center" vertical="center"/>
    </xf>
    <xf numFmtId="0" fontId="91" fillId="3" borderId="6" xfId="0" applyFont="1" applyFill="1" applyBorder="1" applyAlignment="1">
      <alignment horizontal="center" vertical="center"/>
    </xf>
    <xf numFmtId="0" fontId="91" fillId="3" borderId="9" xfId="0" applyFont="1" applyFill="1" applyBorder="1" applyAlignment="1">
      <alignment horizontal="center" vertical="center"/>
    </xf>
    <xf numFmtId="0" fontId="61" fillId="0" borderId="26" xfId="0" applyFont="1" applyFill="1" applyBorder="1" applyAlignment="1">
      <alignment horizontal="center" vertical="center"/>
    </xf>
    <xf numFmtId="0" fontId="61" fillId="0" borderId="26" xfId="0" applyFont="1" applyFill="1" applyBorder="1" applyAlignment="1">
      <alignment vertical="center" wrapText="1"/>
    </xf>
    <xf numFmtId="41" fontId="61" fillId="0" borderId="26" xfId="19" applyFont="1" applyFill="1" applyBorder="1" applyAlignment="1">
      <alignment horizontal="center" vertical="center" wrapText="1"/>
    </xf>
    <xf numFmtId="0" fontId="88" fillId="0" borderId="26" xfId="0" applyFont="1" applyFill="1" applyBorder="1" applyAlignment="1">
      <alignment horizontal="center" vertical="center" wrapText="1"/>
    </xf>
    <xf numFmtId="3" fontId="50" fillId="0" borderId="26" xfId="0" applyNumberFormat="1" applyFont="1" applyFill="1" applyBorder="1" applyAlignment="1">
      <alignment vertical="center" wrapText="1"/>
    </xf>
    <xf numFmtId="0" fontId="24" fillId="0" borderId="0" xfId="0" applyFont="1" applyFill="1" applyAlignment="1">
      <alignment horizontal="left"/>
    </xf>
    <xf numFmtId="0" fontId="50" fillId="0" borderId="26" xfId="0" applyNumberFormat="1" applyFont="1" applyFill="1" applyBorder="1" applyAlignment="1">
      <alignment horizontal="center" vertical="center" wrapText="1"/>
    </xf>
    <xf numFmtId="3" fontId="50" fillId="0" borderId="26" xfId="0" applyNumberFormat="1" applyFont="1" applyFill="1" applyBorder="1" applyAlignment="1">
      <alignment horizontal="center" vertical="center" wrapText="1"/>
    </xf>
    <xf numFmtId="176" fontId="49" fillId="0" borderId="26" xfId="0" applyNumberFormat="1" applyFont="1" applyFill="1" applyBorder="1" applyAlignment="1">
      <alignment horizontal="center" vertical="center" wrapText="1"/>
    </xf>
    <xf numFmtId="12" fontId="49" fillId="0" borderId="26" xfId="0" applyNumberFormat="1" applyFont="1" applyFill="1" applyBorder="1" applyAlignment="1">
      <alignment horizontal="center" vertical="center" wrapText="1"/>
    </xf>
    <xf numFmtId="178" fontId="49" fillId="0" borderId="26" xfId="0" applyNumberFormat="1" applyFont="1" applyFill="1" applyBorder="1" applyAlignment="1">
      <alignment horizontal="center" vertical="center" wrapText="1"/>
    </xf>
    <xf numFmtId="3" fontId="49" fillId="0" borderId="26" xfId="0" applyNumberFormat="1" applyFont="1" applyFill="1" applyBorder="1" applyAlignment="1">
      <alignment horizontal="center" vertical="center" wrapText="1"/>
    </xf>
    <xf numFmtId="176" fontId="50" fillId="0" borderId="26" xfId="0" applyNumberFormat="1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left"/>
    </xf>
    <xf numFmtId="0" fontId="87" fillId="0" borderId="26" xfId="0" applyFont="1" applyFill="1" applyBorder="1" applyAlignment="1">
      <alignment horizontal="center" vertical="center" wrapText="1"/>
    </xf>
    <xf numFmtId="0" fontId="56" fillId="0" borderId="0" xfId="0" applyFont="1" applyFill="1"/>
    <xf numFmtId="49" fontId="50" fillId="0" borderId="26" xfId="0" applyNumberFormat="1" applyFont="1" applyFill="1" applyBorder="1" applyAlignment="1">
      <alignment horizontal="left" vertical="center" wrapText="1"/>
    </xf>
    <xf numFmtId="0" fontId="50" fillId="0" borderId="26" xfId="0" applyFont="1" applyFill="1" applyBorder="1" applyAlignment="1">
      <alignment horizontal="right" vertical="center" wrapText="1"/>
    </xf>
    <xf numFmtId="3" fontId="50" fillId="0" borderId="26" xfId="0" applyNumberFormat="1" applyFont="1" applyFill="1" applyBorder="1" applyAlignment="1">
      <alignment horizontal="right" vertical="center" wrapText="1"/>
    </xf>
    <xf numFmtId="0" fontId="49" fillId="0" borderId="26" xfId="0" applyFont="1" applyFill="1" applyBorder="1" applyAlignment="1">
      <alignment horizontal="right" vertical="center" wrapText="1"/>
    </xf>
    <xf numFmtId="180" fontId="50" fillId="0" borderId="26" xfId="0" applyNumberFormat="1" applyFont="1" applyFill="1" applyBorder="1" applyAlignment="1">
      <alignment horizontal="center" vertical="center"/>
    </xf>
    <xf numFmtId="180" fontId="50" fillId="0" borderId="26" xfId="0" applyNumberFormat="1" applyFont="1" applyFill="1" applyBorder="1" applyAlignment="1">
      <alignment horizontal="center" vertical="center" shrinkToFit="1"/>
    </xf>
    <xf numFmtId="180" fontId="50" fillId="0" borderId="26" xfId="0" applyNumberFormat="1" applyFont="1" applyFill="1" applyBorder="1" applyAlignment="1">
      <alignment horizontal="center" vertical="center" wrapText="1"/>
    </xf>
    <xf numFmtId="180" fontId="50" fillId="0" borderId="26" xfId="0" applyNumberFormat="1" applyFont="1" applyFill="1" applyBorder="1" applyAlignment="1">
      <alignment horizontal="right" vertical="center"/>
    </xf>
    <xf numFmtId="180" fontId="50" fillId="0" borderId="26" xfId="0" applyNumberFormat="1" applyFont="1" applyFill="1" applyBorder="1" applyAlignment="1">
      <alignment vertical="center"/>
    </xf>
    <xf numFmtId="180" fontId="50" fillId="0" borderId="26" xfId="0" applyNumberFormat="1" applyFont="1" applyFill="1" applyBorder="1" applyAlignment="1">
      <alignment horizontal="right" vertical="center" wrapText="1"/>
    </xf>
    <xf numFmtId="180" fontId="74" fillId="0" borderId="26" xfId="0" applyNumberFormat="1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right" vertical="center"/>
    </xf>
    <xf numFmtId="3" fontId="50" fillId="0" borderId="26" xfId="0" applyNumberFormat="1" applyFont="1" applyFill="1" applyBorder="1" applyAlignment="1">
      <alignment horizontal="right" vertical="center"/>
    </xf>
    <xf numFmtId="178" fontId="50" fillId="0" borderId="26" xfId="0" applyNumberFormat="1" applyFont="1" applyFill="1" applyBorder="1" applyAlignment="1">
      <alignment horizontal="right" vertical="center" wrapText="1"/>
    </xf>
    <xf numFmtId="0" fontId="50" fillId="0" borderId="40" xfId="0" applyFont="1" applyFill="1" applyBorder="1" applyAlignment="1">
      <alignment horizontal="center" vertical="center"/>
    </xf>
    <xf numFmtId="0" fontId="50" fillId="0" borderId="40" xfId="0" applyFont="1" applyFill="1" applyBorder="1" applyAlignment="1">
      <alignment horizontal="right" vertical="center" wrapText="1"/>
    </xf>
    <xf numFmtId="0" fontId="50" fillId="0" borderId="62" xfId="0" applyFont="1" applyFill="1" applyBorder="1" applyAlignment="1">
      <alignment horizontal="center" vertical="center"/>
    </xf>
    <xf numFmtId="0" fontId="50" fillId="0" borderId="62" xfId="0" applyFont="1" applyFill="1" applyBorder="1" applyAlignment="1">
      <alignment horizontal="right" vertical="center" wrapText="1"/>
    </xf>
    <xf numFmtId="0" fontId="50" fillId="0" borderId="34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50" fillId="0" borderId="52" xfId="0" applyFont="1" applyFill="1" applyBorder="1" applyAlignment="1">
      <alignment horizontal="right" vertic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right" vertical="center"/>
    </xf>
    <xf numFmtId="0" fontId="24" fillId="0" borderId="59" xfId="0" applyFont="1" applyFill="1" applyBorder="1" applyAlignment="1">
      <alignment horizontal="right" vertical="center"/>
    </xf>
    <xf numFmtId="0" fontId="62" fillId="0" borderId="0" xfId="0" applyFont="1" applyFill="1" applyAlignment="1">
      <alignment horizontal="center"/>
    </xf>
    <xf numFmtId="0" fontId="24" fillId="0" borderId="0" xfId="0" applyFont="1" applyFill="1" applyAlignment="1">
      <alignment horizontal="right"/>
    </xf>
    <xf numFmtId="0" fontId="24" fillId="0" borderId="59" xfId="0" applyFont="1" applyFill="1" applyBorder="1" applyAlignment="1">
      <alignment horizontal="right"/>
    </xf>
    <xf numFmtId="0" fontId="50" fillId="0" borderId="47" xfId="0" applyFont="1" applyFill="1" applyBorder="1" applyAlignment="1">
      <alignment horizontal="center" vertical="center"/>
    </xf>
    <xf numFmtId="0" fontId="50" fillId="0" borderId="23" xfId="0" applyFont="1" applyFill="1" applyBorder="1" applyAlignment="1">
      <alignment horizontal="center" vertical="center"/>
    </xf>
    <xf numFmtId="0" fontId="24" fillId="0" borderId="18" xfId="0" applyFont="1" applyFill="1" applyBorder="1"/>
    <xf numFmtId="0" fontId="50" fillId="0" borderId="53" xfId="0" applyFont="1" applyFill="1" applyBorder="1" applyAlignment="1">
      <alignment horizontal="center" vertical="center" wrapText="1"/>
    </xf>
    <xf numFmtId="0" fontId="50" fillId="0" borderId="9" xfId="0" applyFont="1" applyFill="1" applyBorder="1" applyAlignment="1">
      <alignment horizontal="center" vertical="center" wrapText="1"/>
    </xf>
    <xf numFmtId="0" fontId="50" fillId="0" borderId="56" xfId="0" applyFont="1" applyFill="1" applyBorder="1" applyAlignment="1">
      <alignment horizontal="center" vertical="center" wrapText="1"/>
    </xf>
    <xf numFmtId="0" fontId="50" fillId="0" borderId="54" xfId="0" applyFont="1" applyFill="1" applyBorder="1" applyAlignment="1">
      <alignment horizontal="center" vertical="center" wrapText="1"/>
    </xf>
    <xf numFmtId="0" fontId="50" fillId="0" borderId="55" xfId="0" applyFont="1" applyFill="1" applyBorder="1" applyAlignment="1">
      <alignment horizontal="center" vertical="center" wrapText="1"/>
    </xf>
    <xf numFmtId="0" fontId="50" fillId="0" borderId="48" xfId="0" applyFont="1" applyFill="1" applyBorder="1" applyAlignment="1">
      <alignment horizontal="center" vertical="center" wrapText="1"/>
    </xf>
    <xf numFmtId="0" fontId="77" fillId="0" borderId="26" xfId="0" applyFont="1" applyFill="1" applyBorder="1" applyAlignment="1">
      <alignment horizontal="center" vertical="center" wrapText="1"/>
    </xf>
    <xf numFmtId="0" fontId="70" fillId="0" borderId="0" xfId="0" applyFont="1" applyFill="1" applyAlignment="1">
      <alignment vertical="center"/>
    </xf>
    <xf numFmtId="0" fontId="32" fillId="0" borderId="37" xfId="0" applyFont="1" applyFill="1" applyBorder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0" fontId="45" fillId="0" borderId="0" xfId="0" applyFont="1" applyFill="1" applyAlignment="1">
      <alignment horizontal="center" vertical="center" wrapText="1"/>
    </xf>
    <xf numFmtId="0" fontId="32" fillId="0" borderId="58" xfId="0" applyFont="1" applyFill="1" applyBorder="1" applyAlignment="1">
      <alignment horizontal="center" vertical="center" wrapText="1"/>
    </xf>
    <xf numFmtId="0" fontId="45" fillId="0" borderId="0" xfId="0" applyFont="1" applyFill="1" applyBorder="1" applyAlignment="1">
      <alignment vertical="center"/>
    </xf>
    <xf numFmtId="0" fontId="95" fillId="0" borderId="35" xfId="0" applyFont="1" applyFill="1" applyBorder="1" applyAlignment="1">
      <alignment horizontal="center" vertical="center"/>
    </xf>
    <xf numFmtId="0" fontId="95" fillId="0" borderId="26" xfId="0" applyFont="1" applyFill="1" applyBorder="1" applyAlignment="1">
      <alignment horizontal="center" vertical="center"/>
    </xf>
    <xf numFmtId="0" fontId="95" fillId="0" borderId="26" xfId="0" applyFont="1" applyFill="1" applyBorder="1" applyAlignment="1">
      <alignment horizontal="center" vertical="center" wrapText="1"/>
    </xf>
    <xf numFmtId="177" fontId="50" fillId="0" borderId="26" xfId="0" applyNumberFormat="1" applyFont="1" applyFill="1" applyBorder="1" applyAlignment="1">
      <alignment horizontal="center" vertical="center" wrapText="1"/>
    </xf>
    <xf numFmtId="0" fontId="94" fillId="0" borderId="26" xfId="0" applyFont="1" applyFill="1" applyBorder="1" applyAlignment="1">
      <alignment horizontal="center" vertical="center" wrapText="1"/>
    </xf>
    <xf numFmtId="0" fontId="95" fillId="0" borderId="7" xfId="0" applyFont="1" applyFill="1" applyBorder="1" applyAlignment="1">
      <alignment horizontal="center" vertical="center" wrapText="1"/>
    </xf>
    <xf numFmtId="0" fontId="95" fillId="0" borderId="14" xfId="0" applyFont="1" applyFill="1" applyBorder="1" applyAlignment="1">
      <alignment horizontal="center" vertical="center" wrapText="1"/>
    </xf>
    <xf numFmtId="0" fontId="95" fillId="0" borderId="0" xfId="0" applyFont="1" applyFill="1"/>
    <xf numFmtId="41" fontId="89" fillId="0" borderId="26" xfId="19" applyFont="1" applyFill="1" applyBorder="1" applyAlignment="1">
      <alignment horizontal="center" vertical="center"/>
    </xf>
    <xf numFmtId="0" fontId="89" fillId="0" borderId="26" xfId="0" applyFont="1" applyFill="1" applyBorder="1" applyAlignment="1">
      <alignment horizontal="center" vertical="center"/>
    </xf>
    <xf numFmtId="0" fontId="61" fillId="0" borderId="26" xfId="0" applyFont="1" applyFill="1" applyBorder="1" applyAlignment="1">
      <alignment horizontal="center"/>
    </xf>
    <xf numFmtId="41" fontId="45" fillId="0" borderId="0" xfId="19" applyFont="1" applyFill="1" applyAlignment="1">
      <alignment vertical="center"/>
    </xf>
    <xf numFmtId="41" fontId="24" fillId="0" borderId="0" xfId="19" applyFont="1" applyFill="1" applyAlignment="1"/>
    <xf numFmtId="0" fontId="45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0" fontId="50" fillId="0" borderId="34" xfId="0" applyFont="1" applyFill="1" applyBorder="1" applyAlignment="1">
      <alignment horizontal="center" vertical="center" wrapText="1"/>
    </xf>
    <xf numFmtId="3" fontId="50" fillId="0" borderId="26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 wrapText="1"/>
    </xf>
    <xf numFmtId="0" fontId="70" fillId="0" borderId="0" xfId="0" applyFont="1" applyFill="1" applyAlignment="1">
      <alignment horizontal="left" vertical="center"/>
    </xf>
    <xf numFmtId="0" fontId="73" fillId="0" borderId="0" xfId="0" applyFont="1" applyFill="1" applyAlignment="1">
      <alignment vertical="center"/>
    </xf>
    <xf numFmtId="0" fontId="73" fillId="0" borderId="0" xfId="0" applyFont="1" applyFill="1"/>
    <xf numFmtId="0" fontId="88" fillId="0" borderId="26" xfId="0" applyFont="1" applyFill="1" applyBorder="1" applyAlignment="1">
      <alignment horizontal="center" vertical="center"/>
    </xf>
    <xf numFmtId="0" fontId="89" fillId="0" borderId="26" xfId="0" applyFont="1" applyFill="1" applyBorder="1" applyAlignment="1">
      <alignment horizontal="center" vertical="center" wrapText="1"/>
    </xf>
    <xf numFmtId="41" fontId="61" fillId="0" borderId="26" xfId="19" applyFont="1" applyFill="1" applyBorder="1" applyAlignment="1">
      <alignment horizontal="center" vertical="center"/>
    </xf>
    <xf numFmtId="41" fontId="89" fillId="0" borderId="26" xfId="19" applyFont="1" applyFill="1" applyBorder="1" applyAlignment="1">
      <alignment horizontal="center" vertical="center" wrapText="1"/>
    </xf>
    <xf numFmtId="0" fontId="50" fillId="0" borderId="34" xfId="0" applyFont="1" applyFill="1" applyBorder="1" applyAlignment="1">
      <alignment vertical="center" wrapText="1"/>
    </xf>
    <xf numFmtId="0" fontId="50" fillId="0" borderId="51" xfId="0" applyFont="1" applyFill="1" applyBorder="1" applyAlignment="1">
      <alignment horizontal="center" vertical="center" wrapText="1"/>
    </xf>
    <xf numFmtId="0" fontId="50" fillId="0" borderId="11" xfId="0" applyFont="1" applyFill="1" applyBorder="1" applyAlignment="1">
      <alignment horizontal="center" vertical="center" wrapText="1"/>
    </xf>
    <xf numFmtId="0" fontId="50" fillId="0" borderId="10" xfId="0" applyFont="1" applyFill="1" applyBorder="1" applyAlignment="1">
      <alignment horizontal="center" vertical="center" wrapText="1"/>
    </xf>
    <xf numFmtId="0" fontId="32" fillId="0" borderId="38" xfId="0" applyFont="1" applyFill="1" applyBorder="1" applyAlignment="1">
      <alignment horizontal="center" vertical="center" wrapText="1"/>
    </xf>
    <xf numFmtId="0" fontId="32" fillId="0" borderId="11" xfId="0" applyFont="1" applyFill="1" applyBorder="1" applyAlignment="1">
      <alignment horizontal="center" vertical="center" wrapText="1"/>
    </xf>
    <xf numFmtId="0" fontId="95" fillId="0" borderId="35" xfId="0" applyFont="1" applyFill="1" applyBorder="1" applyAlignment="1">
      <alignment horizontal="center" vertical="center" wrapText="1"/>
    </xf>
    <xf numFmtId="0" fontId="95" fillId="0" borderId="5" xfId="0" applyFont="1" applyFill="1" applyBorder="1" applyAlignment="1">
      <alignment horizontal="center" vertical="center" wrapText="1"/>
    </xf>
    <xf numFmtId="0" fontId="95" fillId="0" borderId="6" xfId="0" applyFont="1" applyFill="1" applyBorder="1" applyAlignment="1">
      <alignment horizontal="center" vertical="center" wrapText="1"/>
    </xf>
    <xf numFmtId="0" fontId="50" fillId="0" borderId="26" xfId="18" applyFont="1" applyFill="1" applyBorder="1" applyAlignment="1">
      <alignment horizontal="center" vertical="center" wrapText="1"/>
    </xf>
    <xf numFmtId="0" fontId="50" fillId="0" borderId="26" xfId="18" applyFont="1" applyFill="1" applyBorder="1" applyAlignment="1">
      <alignment horizontal="left" vertical="center" wrapText="1"/>
    </xf>
    <xf numFmtId="0" fontId="50" fillId="0" borderId="26" xfId="18" applyFont="1" applyFill="1" applyBorder="1" applyAlignment="1">
      <alignment vertical="center" wrapText="1"/>
    </xf>
    <xf numFmtId="0" fontId="32" fillId="0" borderId="0" xfId="0" applyFont="1" applyFill="1"/>
    <xf numFmtId="0" fontId="89" fillId="0" borderId="26" xfId="0" applyFont="1" applyFill="1" applyBorder="1" applyAlignment="1">
      <alignment vertical="center" wrapText="1"/>
    </xf>
    <xf numFmtId="41" fontId="90" fillId="0" borderId="26" xfId="19" applyFont="1" applyFill="1" applyBorder="1" applyAlignment="1">
      <alignment horizontal="center" vertical="center" wrapText="1"/>
    </xf>
    <xf numFmtId="0" fontId="90" fillId="0" borderId="26" xfId="0" applyFont="1" applyFill="1" applyBorder="1" applyAlignment="1">
      <alignment horizontal="center" vertical="center" wrapText="1"/>
    </xf>
    <xf numFmtId="41" fontId="24" fillId="0" borderId="0" xfId="19" applyFont="1" applyFill="1" applyAlignment="1">
      <alignment vertical="center"/>
    </xf>
    <xf numFmtId="49" fontId="50" fillId="0" borderId="26" xfId="0" applyNumberFormat="1" applyFont="1" applyFill="1" applyBorder="1" applyAlignment="1">
      <alignment vertical="center" wrapText="1"/>
    </xf>
    <xf numFmtId="179" fontId="49" fillId="0" borderId="26" xfId="19" applyNumberFormat="1" applyFont="1" applyFill="1" applyBorder="1" applyAlignment="1">
      <alignment horizontal="center" vertical="center" wrapText="1"/>
    </xf>
    <xf numFmtId="179" fontId="50" fillId="0" borderId="26" xfId="19" applyNumberFormat="1" applyFont="1" applyFill="1" applyBorder="1" applyAlignment="1">
      <alignment horizontal="center" vertical="center"/>
    </xf>
    <xf numFmtId="0" fontId="50" fillId="0" borderId="26" xfId="0" applyFont="1" applyFill="1" applyBorder="1" applyAlignment="1">
      <alignment horizontal="left"/>
    </xf>
    <xf numFmtId="49" fontId="61" fillId="0" borderId="26" xfId="0" applyNumberFormat="1" applyFont="1" applyFill="1" applyBorder="1" applyAlignment="1">
      <alignment vertical="center" wrapText="1"/>
    </xf>
    <xf numFmtId="0" fontId="62" fillId="0" borderId="0" xfId="0" applyFont="1" applyFill="1" applyBorder="1"/>
    <xf numFmtId="176" fontId="50" fillId="0" borderId="52" xfId="0" applyNumberFormat="1" applyFont="1" applyFill="1" applyBorder="1" applyAlignment="1">
      <alignment horizontal="center" vertical="center" wrapText="1"/>
    </xf>
    <xf numFmtId="178" fontId="50" fillId="0" borderId="52" xfId="0" applyNumberFormat="1" applyFont="1" applyFill="1" applyBorder="1" applyAlignment="1">
      <alignment horizontal="center" vertical="center" wrapText="1"/>
    </xf>
    <xf numFmtId="0" fontId="63" fillId="0" borderId="0" xfId="0" applyFont="1" applyFill="1" applyBorder="1" applyAlignment="1">
      <alignment horizontal="left"/>
    </xf>
    <xf numFmtId="180" fontId="74" fillId="0" borderId="26" xfId="0" applyNumberFormat="1" applyFont="1" applyFill="1" applyBorder="1" applyAlignment="1">
      <alignment horizontal="center" vertical="center"/>
    </xf>
    <xf numFmtId="180" fontId="24" fillId="0" borderId="0" xfId="0" applyNumberFormat="1" applyFont="1" applyFill="1" applyAlignment="1">
      <alignment vertical="center"/>
    </xf>
    <xf numFmtId="0" fontId="50" fillId="0" borderId="0" xfId="0" applyFont="1" applyFill="1" applyAlignment="1">
      <alignment horizontal="center" vertical="center"/>
    </xf>
    <xf numFmtId="0" fontId="50" fillId="0" borderId="0" xfId="0" applyFont="1" applyFill="1" applyAlignment="1">
      <alignment vertical="center"/>
    </xf>
    <xf numFmtId="0" fontId="50" fillId="0" borderId="0" xfId="0" applyFont="1" applyFill="1" applyAlignment="1">
      <alignment horizontal="right" vertical="center"/>
    </xf>
    <xf numFmtId="0" fontId="50" fillId="0" borderId="59" xfId="0" applyFont="1" applyFill="1" applyBorder="1" applyAlignment="1">
      <alignment horizontal="right" vertical="center"/>
    </xf>
    <xf numFmtId="0" fontId="49" fillId="0" borderId="0" xfId="0" applyFont="1" applyFill="1" applyAlignment="1">
      <alignment horizontal="center"/>
    </xf>
    <xf numFmtId="0" fontId="50" fillId="0" borderId="26" xfId="20" applyFont="1" applyFill="1" applyBorder="1" applyAlignment="1">
      <alignment horizontal="left" vertical="center" wrapText="1"/>
    </xf>
    <xf numFmtId="0" fontId="50" fillId="0" borderId="26" xfId="20" applyFont="1" applyFill="1" applyBorder="1" applyAlignment="1">
      <alignment horizontal="center" vertical="center" wrapText="1"/>
    </xf>
    <xf numFmtId="0" fontId="61" fillId="0" borderId="52" xfId="0" applyFont="1" applyFill="1" applyBorder="1" applyAlignment="1">
      <alignment horizontal="center" vertical="center"/>
    </xf>
    <xf numFmtId="0" fontId="61" fillId="0" borderId="52" xfId="0" applyFont="1" applyFill="1" applyBorder="1" applyAlignment="1">
      <alignment horizontal="center" vertical="center" wrapText="1"/>
    </xf>
    <xf numFmtId="0" fontId="61" fillId="0" borderId="52" xfId="0" applyFont="1" applyFill="1" applyBorder="1" applyAlignment="1">
      <alignment vertical="center" wrapText="1"/>
    </xf>
    <xf numFmtId="41" fontId="61" fillId="0" borderId="52" xfId="19" applyFont="1" applyFill="1" applyBorder="1" applyAlignment="1">
      <alignment horizontal="center" vertical="center" wrapText="1"/>
    </xf>
    <xf numFmtId="41" fontId="61" fillId="0" borderId="52" xfId="19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left" vertical="center"/>
    </xf>
    <xf numFmtId="3" fontId="77" fillId="0" borderId="26" xfId="0" applyNumberFormat="1" applyFont="1" applyFill="1" applyBorder="1" applyAlignment="1">
      <alignment horizontal="center" vertical="center" wrapText="1"/>
    </xf>
    <xf numFmtId="0" fontId="50" fillId="0" borderId="34" xfId="0" applyFont="1" applyFill="1" applyBorder="1" applyAlignment="1">
      <alignment horizontal="left" vertical="center" wrapText="1"/>
    </xf>
    <xf numFmtId="0" fontId="95" fillId="0" borderId="2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horizontal="center" vertical="center"/>
    </xf>
    <xf numFmtId="0" fontId="74" fillId="0" borderId="26" xfId="0" quotePrefix="1" applyFont="1" applyFill="1" applyBorder="1" applyAlignment="1">
      <alignment horizontal="center" vertical="center" wrapText="1"/>
    </xf>
    <xf numFmtId="0" fontId="91" fillId="9" borderId="6" xfId="0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/>
    </xf>
    <xf numFmtId="0" fontId="74" fillId="2" borderId="26" xfId="0" applyFont="1" applyFill="1" applyBorder="1" applyAlignment="1">
      <alignment horizontal="center" vertical="center"/>
    </xf>
    <xf numFmtId="0" fontId="88" fillId="0" borderId="26" xfId="0" applyFont="1" applyFill="1" applyBorder="1" applyAlignment="1">
      <alignment horizontal="center" wrapText="1"/>
    </xf>
    <xf numFmtId="0" fontId="64" fillId="0" borderId="26" xfId="0" applyFont="1" applyFill="1" applyBorder="1" applyAlignment="1">
      <alignment horizontal="center" vertical="center"/>
    </xf>
    <xf numFmtId="0" fontId="64" fillId="0" borderId="41" xfId="0" applyFont="1" applyFill="1" applyBorder="1" applyAlignment="1">
      <alignment horizontal="center" vertical="center"/>
    </xf>
    <xf numFmtId="0" fontId="64" fillId="0" borderId="37" xfId="0" applyFont="1" applyFill="1" applyBorder="1" applyAlignment="1">
      <alignment horizontal="center" vertical="center" wrapText="1"/>
    </xf>
    <xf numFmtId="0" fontId="64" fillId="0" borderId="40" xfId="0" applyFont="1" applyFill="1" applyBorder="1" applyAlignment="1">
      <alignment horizontal="center" vertical="center" wrapText="1"/>
    </xf>
    <xf numFmtId="0" fontId="64" fillId="2" borderId="37" xfId="0" applyFont="1" applyFill="1" applyBorder="1" applyAlignment="1">
      <alignment vertical="center" wrapText="1"/>
    </xf>
    <xf numFmtId="0" fontId="64" fillId="0" borderId="52" xfId="0" applyFont="1" applyFill="1" applyBorder="1" applyAlignment="1">
      <alignment horizontal="center" vertical="center"/>
    </xf>
    <xf numFmtId="0" fontId="64" fillId="0" borderId="53" xfId="0" applyFont="1" applyFill="1" applyBorder="1" applyAlignment="1">
      <alignment horizontal="center" vertical="center"/>
    </xf>
    <xf numFmtId="0" fontId="64" fillId="0" borderId="52" xfId="0" applyFont="1" applyFill="1" applyBorder="1" applyAlignment="1">
      <alignment horizontal="center" vertical="center" wrapText="1"/>
    </xf>
    <xf numFmtId="0" fontId="64" fillId="2" borderId="52" xfId="0" applyFont="1" applyFill="1" applyBorder="1" applyAlignment="1">
      <alignment vertical="center" wrapText="1"/>
    </xf>
    <xf numFmtId="0" fontId="50" fillId="0" borderId="26" xfId="0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left" vertical="center" wrapText="1"/>
    </xf>
    <xf numFmtId="0" fontId="71" fillId="0" borderId="0" xfId="0" applyFont="1" applyFill="1" applyAlignment="1">
      <alignment vertical="center"/>
    </xf>
    <xf numFmtId="0" fontId="93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50" fillId="0" borderId="26" xfId="0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left" vertical="center" wrapText="1"/>
    </xf>
    <xf numFmtId="181" fontId="0" fillId="0" borderId="0" xfId="0" applyNumberFormat="1"/>
    <xf numFmtId="0" fontId="0" fillId="0" borderId="0" xfId="0" applyAlignment="1">
      <alignment wrapText="1"/>
    </xf>
    <xf numFmtId="0" fontId="74" fillId="0" borderId="52" xfId="0" applyFont="1" applyBorder="1" applyAlignment="1">
      <alignment horizontal="center" vertical="center" wrapText="1"/>
    </xf>
    <xf numFmtId="0" fontId="49" fillId="0" borderId="26" xfId="0" applyNumberFormat="1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wrapText="1"/>
    </xf>
    <xf numFmtId="0" fontId="88" fillId="0" borderId="26" xfId="0" applyFont="1" applyBorder="1" applyAlignment="1">
      <alignment horizontal="center" wrapText="1"/>
    </xf>
    <xf numFmtId="0" fontId="74" fillId="2" borderId="40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center" vertical="center" wrapText="1"/>
    </xf>
    <xf numFmtId="0" fontId="74" fillId="0" borderId="4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 wrapText="1"/>
    </xf>
    <xf numFmtId="0" fontId="24" fillId="0" borderId="66" xfId="0" applyFont="1" applyFill="1" applyBorder="1"/>
    <xf numFmtId="0" fontId="96" fillId="2" borderId="67" xfId="52" applyFill="1" applyBorder="1" applyAlignment="1"/>
    <xf numFmtId="0" fontId="74" fillId="2" borderId="35" xfId="0" applyFont="1" applyFill="1" applyBorder="1" applyAlignment="1">
      <alignment horizontal="center" vertical="center" wrapText="1"/>
    </xf>
    <xf numFmtId="0" fontId="24" fillId="0" borderId="67" xfId="0" applyFont="1" applyFill="1" applyBorder="1"/>
    <xf numFmtId="0" fontId="93" fillId="2" borderId="26" xfId="0" applyFont="1" applyFill="1" applyBorder="1" applyAlignment="1">
      <alignment horizontal="center" vertical="center" wrapText="1"/>
    </xf>
    <xf numFmtId="0" fontId="74" fillId="2" borderId="52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wrapText="1"/>
    </xf>
    <xf numFmtId="178" fontId="50" fillId="0" borderId="26" xfId="0" applyNumberFormat="1" applyFont="1" applyFill="1" applyBorder="1" applyAlignment="1">
      <alignment horizontal="center" vertical="center" wrapText="1"/>
    </xf>
    <xf numFmtId="178" fontId="50" fillId="2" borderId="26" xfId="0" applyNumberFormat="1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left" vertical="center" wrapText="1"/>
    </xf>
    <xf numFmtId="0" fontId="25" fillId="0" borderId="0" xfId="0" applyFont="1" applyBorder="1" applyAlignment="1">
      <alignment horizontal="center" vertical="center"/>
    </xf>
    <xf numFmtId="0" fontId="50" fillId="0" borderId="40" xfId="0" applyFont="1" applyFill="1" applyBorder="1" applyAlignment="1">
      <alignment horizontal="center" vertical="center" wrapText="1"/>
    </xf>
    <xf numFmtId="0" fontId="32" fillId="0" borderId="40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left" vertical="center" wrapText="1"/>
    </xf>
    <xf numFmtId="0" fontId="81" fillId="2" borderId="26" xfId="0" applyFont="1" applyFill="1" applyBorder="1" applyAlignment="1">
      <alignment horizontal="center" vertical="center" wrapText="1"/>
    </xf>
    <xf numFmtId="14" fontId="50" fillId="0" borderId="26" xfId="95" applyNumberFormat="1" applyFont="1" applyFill="1" applyBorder="1" applyAlignment="1">
      <alignment horizontal="center" vertical="center" wrapText="1"/>
    </xf>
    <xf numFmtId="0" fontId="50" fillId="0" borderId="26" xfId="96" applyNumberFormat="1" applyFont="1" applyFill="1" applyBorder="1" applyAlignment="1">
      <alignment horizontal="center" vertical="center" wrapText="1"/>
    </xf>
    <xf numFmtId="181" fontId="24" fillId="0" borderId="0" xfId="0" applyNumberFormat="1" applyFont="1" applyFill="1" applyBorder="1"/>
    <xf numFmtId="14" fontId="50" fillId="0" borderId="26" xfId="97" applyNumberFormat="1" applyFont="1" applyFill="1" applyBorder="1" applyAlignment="1">
      <alignment horizontal="center" vertical="center" wrapText="1"/>
    </xf>
    <xf numFmtId="0" fontId="50" fillId="0" borderId="26" xfId="98" applyNumberFormat="1" applyFont="1" applyFill="1" applyBorder="1" applyAlignment="1">
      <alignment horizontal="center" vertical="center" wrapText="1"/>
    </xf>
    <xf numFmtId="14" fontId="50" fillId="0" borderId="26" xfId="99" applyNumberFormat="1" applyFont="1" applyFill="1" applyBorder="1" applyAlignment="1">
      <alignment horizontal="center" vertical="center" wrapText="1"/>
    </xf>
    <xf numFmtId="0" fontId="50" fillId="0" borderId="26" xfId="100" applyNumberFormat="1" applyFont="1" applyFill="1" applyBorder="1" applyAlignment="1">
      <alignment horizontal="center" vertical="center" wrapText="1"/>
    </xf>
    <xf numFmtId="0" fontId="1" fillId="2" borderId="26" xfId="52" applyFont="1" applyFill="1" applyBorder="1" applyAlignment="1">
      <alignment horizontal="center" vertical="center"/>
    </xf>
    <xf numFmtId="0" fontId="96" fillId="0" borderId="0" xfId="52" applyFill="1" applyAlignment="1"/>
    <xf numFmtId="0" fontId="28" fillId="5" borderId="17" xfId="0" applyFont="1" applyFill="1" applyBorder="1" applyAlignment="1">
      <alignment horizontal="left" vertical="center" wrapText="1"/>
    </xf>
    <xf numFmtId="0" fontId="28" fillId="5" borderId="18" xfId="0" applyFont="1" applyFill="1" applyBorder="1" applyAlignment="1">
      <alignment horizontal="left" vertical="center" wrapText="1"/>
    </xf>
    <xf numFmtId="0" fontId="28" fillId="5" borderId="19" xfId="0" applyFont="1" applyFill="1" applyBorder="1" applyAlignment="1">
      <alignment horizontal="left" vertical="center" wrapText="1"/>
    </xf>
    <xf numFmtId="0" fontId="28" fillId="5" borderId="20" xfId="0" applyFont="1" applyFill="1" applyBorder="1" applyAlignment="1">
      <alignment horizontal="left" vertical="center" wrapText="1"/>
    </xf>
    <xf numFmtId="0" fontId="28" fillId="5" borderId="0" xfId="0" applyFont="1" applyFill="1" applyBorder="1" applyAlignment="1">
      <alignment horizontal="left" vertical="center" wrapText="1"/>
    </xf>
    <xf numFmtId="0" fontId="28" fillId="5" borderId="21" xfId="0" applyFont="1" applyFill="1" applyBorder="1" applyAlignment="1">
      <alignment horizontal="left" vertical="center" wrapText="1"/>
    </xf>
    <xf numFmtId="0" fontId="28" fillId="5" borderId="22" xfId="0" applyFont="1" applyFill="1" applyBorder="1" applyAlignment="1">
      <alignment horizontal="left" vertical="center" wrapText="1"/>
    </xf>
    <xf numFmtId="0" fontId="28" fillId="5" borderId="15" xfId="0" applyFont="1" applyFill="1" applyBorder="1" applyAlignment="1">
      <alignment horizontal="left" vertical="center" wrapText="1"/>
    </xf>
    <xf numFmtId="0" fontId="28" fillId="5" borderId="23" xfId="0" applyFont="1" applyFill="1" applyBorder="1" applyAlignment="1">
      <alignment horizontal="left" vertical="center" wrapText="1"/>
    </xf>
    <xf numFmtId="0" fontId="24" fillId="3" borderId="17" xfId="0" applyFont="1" applyFill="1" applyBorder="1" applyAlignment="1">
      <alignment horizontal="left" vertical="center" wrapText="1"/>
    </xf>
    <xf numFmtId="0" fontId="24" fillId="3" borderId="18" xfId="0" applyFont="1" applyFill="1" applyBorder="1" applyAlignment="1">
      <alignment horizontal="left" vertical="center" wrapText="1"/>
    </xf>
    <xf numFmtId="0" fontId="24" fillId="3" borderId="19" xfId="0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left" vertical="center" wrapText="1"/>
    </xf>
    <xf numFmtId="0" fontId="24" fillId="3" borderId="15" xfId="0" applyFont="1" applyFill="1" applyBorder="1" applyAlignment="1">
      <alignment horizontal="left" vertical="center" wrapText="1"/>
    </xf>
    <xf numFmtId="0" fontId="24" fillId="3" borderId="23" xfId="0" applyFont="1" applyFill="1" applyBorder="1" applyAlignment="1">
      <alignment horizontal="left" vertical="center" wrapText="1"/>
    </xf>
    <xf numFmtId="0" fontId="30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0" fontId="26" fillId="7" borderId="0" xfId="0" applyFont="1" applyFill="1" applyAlignment="1">
      <alignment horizontal="right" vertical="center"/>
    </xf>
    <xf numFmtId="0" fontId="68" fillId="0" borderId="0" xfId="0" applyFont="1" applyAlignment="1">
      <alignment horizontal="left" vertical="center" wrapText="1"/>
    </xf>
    <xf numFmtId="0" fontId="50" fillId="0" borderId="26" xfId="0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43" fillId="0" borderId="31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7" fillId="4" borderId="31" xfId="0" applyFont="1" applyFill="1" applyBorder="1" applyAlignment="1">
      <alignment horizontal="center" vertical="center"/>
    </xf>
    <xf numFmtId="0" fontId="27" fillId="4" borderId="25" xfId="0" applyFont="1" applyFill="1" applyBorder="1" applyAlignment="1">
      <alignment horizontal="center" vertical="center"/>
    </xf>
    <xf numFmtId="0" fontId="47" fillId="4" borderId="31" xfId="0" applyFont="1" applyFill="1" applyBorder="1" applyAlignment="1">
      <alignment horizontal="center" vertical="center"/>
    </xf>
    <xf numFmtId="0" fontId="47" fillId="4" borderId="24" xfId="0" applyFont="1" applyFill="1" applyBorder="1" applyAlignment="1">
      <alignment horizontal="center" vertical="center"/>
    </xf>
    <xf numFmtId="0" fontId="47" fillId="4" borderId="25" xfId="0" applyFont="1" applyFill="1" applyBorder="1" applyAlignment="1">
      <alignment horizontal="center" vertical="center"/>
    </xf>
    <xf numFmtId="178" fontId="50" fillId="0" borderId="26" xfId="0" applyNumberFormat="1" applyFont="1" applyFill="1" applyBorder="1" applyAlignment="1">
      <alignment horizontal="center" vertical="center" wrapText="1"/>
    </xf>
    <xf numFmtId="178" fontId="50" fillId="2" borderId="26" xfId="0" applyNumberFormat="1" applyFont="1" applyFill="1" applyBorder="1" applyAlignment="1">
      <alignment horizontal="center" vertical="center" wrapText="1"/>
    </xf>
    <xf numFmtId="0" fontId="50" fillId="2" borderId="26" xfId="0" applyFont="1" applyFill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  <xf numFmtId="0" fontId="47" fillId="4" borderId="0" xfId="0" applyFont="1" applyFill="1" applyBorder="1" applyAlignment="1">
      <alignment horizontal="center" vertical="center"/>
    </xf>
    <xf numFmtId="0" fontId="78" fillId="0" borderId="26" xfId="0" applyNumberFormat="1" applyFont="1" applyFill="1" applyBorder="1" applyAlignment="1" applyProtection="1">
      <alignment horizontal="center" vertical="center" wrapText="1"/>
    </xf>
    <xf numFmtId="0" fontId="30" fillId="0" borderId="0" xfId="0" applyFont="1" applyAlignment="1">
      <alignment horizontal="center"/>
    </xf>
    <xf numFmtId="0" fontId="50" fillId="0" borderId="47" xfId="0" applyFont="1" applyFill="1" applyBorder="1" applyAlignment="1">
      <alignment horizontal="center" vertical="center" wrapText="1"/>
    </xf>
    <xf numFmtId="0" fontId="50" fillId="0" borderId="40" xfId="0" applyFont="1" applyFill="1" applyBorder="1" applyAlignment="1">
      <alignment horizontal="center" vertical="center" wrapText="1"/>
    </xf>
    <xf numFmtId="0" fontId="32" fillId="0" borderId="47" xfId="0" applyFont="1" applyFill="1" applyBorder="1" applyAlignment="1">
      <alignment horizontal="center" vertical="center" wrapText="1"/>
    </xf>
    <xf numFmtId="0" fontId="32" fillId="0" borderId="40" xfId="0" applyFont="1" applyFill="1" applyBorder="1" applyAlignment="1">
      <alignment horizontal="center" vertical="center" wrapText="1"/>
    </xf>
    <xf numFmtId="0" fontId="50" fillId="0" borderId="26" xfId="0" applyFont="1" applyFill="1" applyBorder="1" applyAlignment="1">
      <alignment horizontal="left" vertical="center" wrapText="1"/>
    </xf>
    <xf numFmtId="0" fontId="43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/>
    </xf>
    <xf numFmtId="0" fontId="27" fillId="4" borderId="19" xfId="0" applyFont="1" applyFill="1" applyBorder="1" applyAlignment="1">
      <alignment horizontal="center" vertical="center"/>
    </xf>
    <xf numFmtId="0" fontId="47" fillId="4" borderId="17" xfId="0" applyFont="1" applyFill="1" applyBorder="1" applyAlignment="1">
      <alignment horizontal="right" vertical="center"/>
    </xf>
    <xf numFmtId="0" fontId="47" fillId="4" borderId="18" xfId="0" applyFont="1" applyFill="1" applyBorder="1" applyAlignment="1">
      <alignment horizontal="right" vertical="center"/>
    </xf>
    <xf numFmtId="0" fontId="47" fillId="4" borderId="19" xfId="0" applyFont="1" applyFill="1" applyBorder="1" applyAlignment="1">
      <alignment horizontal="right" vertical="center"/>
    </xf>
    <xf numFmtId="0" fontId="47" fillId="4" borderId="17" xfId="0" applyFont="1" applyFill="1" applyBorder="1" applyAlignment="1">
      <alignment horizontal="center" vertical="center"/>
    </xf>
    <xf numFmtId="0" fontId="47" fillId="4" borderId="18" xfId="0" applyFont="1" applyFill="1" applyBorder="1" applyAlignment="1">
      <alignment horizontal="center" vertical="center"/>
    </xf>
    <xf numFmtId="0" fontId="47" fillId="4" borderId="19" xfId="0" applyFont="1" applyFill="1" applyBorder="1" applyAlignment="1">
      <alignment horizontal="center" vertical="center"/>
    </xf>
  </cellXfs>
  <cellStyles count="101">
    <cellStyle name="보통" xfId="52" builtinId="28"/>
    <cellStyle name="쉼표 [0]" xfId="19" builtinId="6"/>
    <cellStyle name="쉼표 [0] 2" xfId="1"/>
    <cellStyle name="쉼표 [0] 2 2" xfId="2"/>
    <cellStyle name="쉼표 [0] 3" xfId="3"/>
    <cellStyle name="표준" xfId="0" builtinId="0"/>
    <cellStyle name="표준 10" xfId="4"/>
    <cellStyle name="표준 11" xfId="5"/>
    <cellStyle name="표준 12" xfId="6"/>
    <cellStyle name="표준 13" xfId="7"/>
    <cellStyle name="표준 13 2" xfId="23"/>
    <cellStyle name="표준 14" xfId="22"/>
    <cellStyle name="표준 14 2" xfId="26"/>
    <cellStyle name="표준 14 3" xfId="27"/>
    <cellStyle name="표준 16" xfId="25"/>
    <cellStyle name="표준 16 2" xfId="29"/>
    <cellStyle name="표준 16 2 2" xfId="30"/>
    <cellStyle name="표준 16 2 2 2" xfId="36"/>
    <cellStyle name="표준 16 2 2 2 2" xfId="39"/>
    <cellStyle name="표준 16 2 2 2 2 2" xfId="46"/>
    <cellStyle name="표준 16 2 2 2 2 2 2" xfId="57"/>
    <cellStyle name="표준 16 2 2 2 2 2 2 2" xfId="65"/>
    <cellStyle name="표준 16 2 2 2 2 2 2 2 2" xfId="69"/>
    <cellStyle name="표준 16 2 2 2 2 2 2 2 2 2" xfId="75"/>
    <cellStyle name="표준 16 2 2 2 2 2 2 2 2 3" xfId="79"/>
    <cellStyle name="표준 16 2 2 2 2 2 2 2 2 3 2" xfId="83"/>
    <cellStyle name="표준 16 2 2 2 2 2 2 2 2 3 2 2" xfId="93"/>
    <cellStyle name="표준 16 2 2 2 2 2 2 2 2 3 2 2 2" xfId="99"/>
    <cellStyle name="표준 16 2 3" xfId="34"/>
    <cellStyle name="표준 16 2 3 2" xfId="44"/>
    <cellStyle name="표준 16 2 3 2 2" xfId="50"/>
    <cellStyle name="표준 16 2 3 2 2 2" xfId="55"/>
    <cellStyle name="표준 16 2 3 2 2 2 2" xfId="61"/>
    <cellStyle name="표준 16 2 3 2 2 2 2 2" xfId="63"/>
    <cellStyle name="표준 16 2 3 2 2 2 2 2 2" xfId="71"/>
    <cellStyle name="표준 16 2 3 2 2 2 2 2 2 2" xfId="81"/>
    <cellStyle name="표준 16 2 3 2 2 2 2 2 2 2 2" xfId="87"/>
    <cellStyle name="표준 16 2 3 2 2 2 2 2 2 2 2 2" xfId="91"/>
    <cellStyle name="표준 16 2 3 2 2 2 2 2 2 2 2 2 2" xfId="97"/>
    <cellStyle name="표준 16 3" xfId="32"/>
    <cellStyle name="표준 16 3 2" xfId="40"/>
    <cellStyle name="표준 16 3 2 2" xfId="42"/>
    <cellStyle name="표준 16 3 2 2 2" xfId="48"/>
    <cellStyle name="표준 16 3 2 2 2 2" xfId="53"/>
    <cellStyle name="표준 16 3 2 2 2 2 2" xfId="59"/>
    <cellStyle name="표준 16 3 2 2 2 2 2 2" xfId="67"/>
    <cellStyle name="표준 16 3 2 2 2 2 2 2 2" xfId="73"/>
    <cellStyle name="표준 16 3 2 2 2 2 2 2 2 2" xfId="77"/>
    <cellStyle name="표준 16 3 2 2 2 2 2 2 2 2 2" xfId="85"/>
    <cellStyle name="표준 16 3 2 2 2 2 2 2 2 2 3" xfId="89"/>
    <cellStyle name="표준 16 3 2 2 2 2 2 2 2 2 3 2" xfId="95"/>
    <cellStyle name="표준 19" xfId="21"/>
    <cellStyle name="표준 2" xfId="8"/>
    <cellStyle name="표준 2 2" xfId="9"/>
    <cellStyle name="표준 2 2 2" xfId="10"/>
    <cellStyle name="표준 3" xfId="11"/>
    <cellStyle name="표준 3 2" xfId="12"/>
    <cellStyle name="표준 4" xfId="24"/>
    <cellStyle name="표준 4 2" xfId="28"/>
    <cellStyle name="표준 4 2 2" xfId="31"/>
    <cellStyle name="표준 4 2 2 2" xfId="37"/>
    <cellStyle name="표준 4 2 2 2 2" xfId="38"/>
    <cellStyle name="표준 4 2 2 2 2 2" xfId="47"/>
    <cellStyle name="표준 4 2 2 2 2 2 2" xfId="58"/>
    <cellStyle name="표준 4 2 2 2 2 2 2 2" xfId="66"/>
    <cellStyle name="표준 4 2 2 2 2 2 2 2 2" xfId="70"/>
    <cellStyle name="표준 4 2 2 2 2 2 2 2 2 2" xfId="76"/>
    <cellStyle name="표준 4 2 2 2 2 2 2 2 2 3" xfId="80"/>
    <cellStyle name="표준 4 2 2 2 2 2 2 2 2 3 2" xfId="84"/>
    <cellStyle name="표준 4 2 2 2 2 2 2 2 2 3 2 2" xfId="94"/>
    <cellStyle name="표준 4 2 2 2 2 2 2 2 2 3 2 2 2" xfId="100"/>
    <cellStyle name="표준 4 2 3" xfId="35"/>
    <cellStyle name="표준 4 2 3 2" xfId="45"/>
    <cellStyle name="표준 4 2 3 2 2" xfId="51"/>
    <cellStyle name="표준 4 2 3 2 2 2" xfId="56"/>
    <cellStyle name="표준 4 2 3 2 2 2 2" xfId="62"/>
    <cellStyle name="표준 4 2 3 2 2 2 2 2" xfId="64"/>
    <cellStyle name="표준 4 2 3 2 2 2 2 2 2" xfId="72"/>
    <cellStyle name="표준 4 2 3 2 2 2 2 2 2 2" xfId="82"/>
    <cellStyle name="표준 4 2 3 2 2 2 2 2 2 2 2" xfId="88"/>
    <cellStyle name="표준 4 2 3 2 2 2 2 2 2 2 2 2" xfId="92"/>
    <cellStyle name="표준 4 2 3 2 2 2 2 2 2 2 2 2 2" xfId="98"/>
    <cellStyle name="표준 4 3" xfId="33"/>
    <cellStyle name="표준 4 3 2" xfId="41"/>
    <cellStyle name="표준 4 3 2 2" xfId="43"/>
    <cellStyle name="표준 4 3 2 2 2" xfId="49"/>
    <cellStyle name="표준 4 3 2 2 2 2" xfId="54"/>
    <cellStyle name="표준 4 3 2 2 2 2 2" xfId="60"/>
    <cellStyle name="표준 4 3 2 2 2 2 2 2" xfId="68"/>
    <cellStyle name="표준 4 3 2 2 2 2 2 2 2" xfId="74"/>
    <cellStyle name="표준 4 3 2 2 2 2 2 2 2 2" xfId="78"/>
    <cellStyle name="표준 4 3 2 2 2 2 2 2 2 2 2" xfId="86"/>
    <cellStyle name="표준 4 3 2 2 2 2 2 2 2 2 3" xfId="90"/>
    <cellStyle name="표준 4 3 2 2 2 2 2 2 2 2 3 2" xfId="96"/>
    <cellStyle name="표준 5" xfId="13"/>
    <cellStyle name="표준 5 2" xfId="14"/>
    <cellStyle name="표준 7" xfId="15"/>
    <cellStyle name="표준 8" xfId="16"/>
    <cellStyle name="표준 9" xfId="17"/>
    <cellStyle name="표준_120201_2012축제개최계획 및 2011개최실적(충청북도)" xfId="20"/>
    <cellStyle name="표준_2010지역축제표(서울)" xfId="18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1005417</xdr:colOff>
      <xdr:row>68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 txBox="1"/>
      </xdr:nvSpPr>
      <xdr:spPr>
        <a:xfrm>
          <a:off x="4567767" y="116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68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 txBox="1"/>
      </xdr:nvSpPr>
      <xdr:spPr>
        <a:xfrm>
          <a:off x="4567767" y="116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68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 txBox="1"/>
      </xdr:nvSpPr>
      <xdr:spPr>
        <a:xfrm>
          <a:off x="4567767" y="116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68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 txBox="1"/>
      </xdr:nvSpPr>
      <xdr:spPr>
        <a:xfrm>
          <a:off x="4567767" y="116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68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 txBox="1"/>
      </xdr:nvSpPr>
      <xdr:spPr>
        <a:xfrm>
          <a:off x="4567767" y="116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68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 txBox="1"/>
      </xdr:nvSpPr>
      <xdr:spPr>
        <a:xfrm>
          <a:off x="4567767" y="116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oneCellAnchor>
    <xdr:from>
      <xdr:col>5</xdr:col>
      <xdr:colOff>1005417</xdr:colOff>
      <xdr:row>68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 txBox="1"/>
      </xdr:nvSpPr>
      <xdr:spPr>
        <a:xfrm>
          <a:off x="4567767" y="11658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rles.J/Desktop/&#48177;&#50629;&#51088;&#47308;(20.3&#50900;)/0303/&#52629;&#51228;%20&#52712;&#49548;%20&#54788;&#54889;/2020&#45380;%20&#51648;&#50669;&#52629;&#51228;%20&#44060;&#52572;&#44228;&#54925;(&#52712;&#54633;)0302-&#51060;&#50980;&#506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rles.J/Desktop/&#48177;&#50629;&#51088;&#47308;(20.3&#50900;)/0303/&#52629;&#51228;%20&#52712;&#49548;%20&#54788;&#54889;/2020&#45380;%20&#51648;&#50669;&#52629;&#51228;%20&#44060;&#52572;&#44228;&#54925;(&#52712;&#54633;)0302-&#51060;&#51652;&#50864;,%20&#52572;&#51452;&#5098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rles.J/AppData/Local/Temp/2020&#45380;%20&#51648;&#50669;&#52629;&#51228;%20&#44060;&#52572;&#44228;&#54925;(&#52712;&#54633;)0306-%20&#52572;&#51452;&#5098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rles.J/Desktop/&#48177;&#50629;&#51088;&#47308;(20.3&#50900;)/0303/&#52629;&#51228;%20&#52712;&#49548;%20&#54788;&#54889;/2020&#45380;%20&#51648;&#50669;&#52629;&#51228;%20&#44060;&#52572;&#44228;&#54925;(&#52712;&#54633;)0302-&#44608;&#48124;&#50865;(&#44053;&#50896;,%20&#52649;&#4522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성명)"/>
      <sheetName val="서울(23)-정우철"/>
      <sheetName val="부산(17)-정우철"/>
      <sheetName val="대구(11)-정우철"/>
      <sheetName val="인천(5)-정우철"/>
      <sheetName val="광주(3)-정우철"/>
      <sheetName val="대전(4)-이윤영"/>
      <sheetName val="울산(6)-이윤영"/>
      <sheetName val="세종(0)"/>
      <sheetName val="경기도"/>
      <sheetName val="경기(37)-이윤영"/>
      <sheetName val="경기(37)-이윤영 (2)"/>
      <sheetName val="충북(16)-이윤영"/>
      <sheetName val="강원(32)-김민욱"/>
      <sheetName val="충남(45)-김민욱"/>
      <sheetName val="전북(29)-최주윤"/>
      <sheetName val="전남(51)-최주윤"/>
      <sheetName val="경북(29)-이진우"/>
      <sheetName val="경남(39)-이진우"/>
      <sheetName val="제주(12)-이진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성명)"/>
      <sheetName val="서울(23)-정우철"/>
      <sheetName val="부산(17)-정우철"/>
      <sheetName val="대구(11)-정우철"/>
      <sheetName val="인천(5)-정우철"/>
      <sheetName val="광주(3)-정우철"/>
      <sheetName val="대전(4)-이윤영"/>
      <sheetName val="울산(6)-이윤영"/>
      <sheetName val="세종(0)"/>
      <sheetName val="경기도"/>
      <sheetName val="경기(37)-이윤영"/>
      <sheetName val="충북(16)-이윤영"/>
      <sheetName val="강원(32)-김민욱"/>
      <sheetName val="충남(45)-김민욱"/>
      <sheetName val="전북(29)-최주윤"/>
      <sheetName val="전남(51)-최주윤"/>
      <sheetName val="경북(29)-이진우"/>
      <sheetName val="경남(39)-이진우"/>
      <sheetName val="제주(12)-이진우"/>
      <sheetName val="지역별 축제 누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성명)"/>
      <sheetName val="서울(23)-정우철"/>
      <sheetName val="부산(17)-정우철"/>
      <sheetName val="대구(11)-정우철"/>
      <sheetName val="인천(5)-정우철"/>
      <sheetName val="광주(3)-정우철"/>
      <sheetName val="대전(4)-이윤영"/>
      <sheetName val="울산(6)-이윤영"/>
      <sheetName val="세종(0)"/>
      <sheetName val="경기도"/>
      <sheetName val="경기(37)-이윤영"/>
      <sheetName val="충북(16)-이윤영"/>
      <sheetName val="강원(32)-김민욱"/>
      <sheetName val="충남(45)-김민욱"/>
      <sheetName val="전북(29)-최주윤"/>
      <sheetName val="전남(51)-최주윤"/>
      <sheetName val="경북(29)-이진우"/>
      <sheetName val="경남(39)-이진우"/>
      <sheetName val="제주(12)-이진우"/>
      <sheetName val="지역별 축제 누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(성명)"/>
      <sheetName val="경기도"/>
      <sheetName val="강원(32)-김민욱"/>
      <sheetName val="충남(45)-김민욱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abSelected="1" view="pageBreakPreview" zoomScale="70" zoomScaleNormal="100" zoomScaleSheetLayoutView="70" workbookViewId="0"/>
  </sheetViews>
  <sheetFormatPr defaultRowHeight="13.5"/>
  <cols>
    <col min="1" max="1" width="14.88671875" bestFit="1" customWidth="1"/>
    <col min="6" max="6" width="10.6640625" customWidth="1"/>
  </cols>
  <sheetData>
    <row r="1" spans="1:19" ht="31.5">
      <c r="A1" s="292"/>
      <c r="B1" s="506" t="s">
        <v>6168</v>
      </c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</row>
    <row r="2" spans="1:19" ht="15" thickBot="1">
      <c r="A2" s="292"/>
      <c r="B2" s="36"/>
      <c r="C2" s="37"/>
      <c r="D2" s="37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508" t="s">
        <v>8</v>
      </c>
      <c r="S2" s="508"/>
    </row>
    <row r="3" spans="1:19" ht="22.5" customHeight="1">
      <c r="A3" s="293" t="s">
        <v>1214</v>
      </c>
      <c r="B3" s="286" t="s">
        <v>9</v>
      </c>
      <c r="C3" s="13" t="s">
        <v>10</v>
      </c>
      <c r="D3" s="13" t="s">
        <v>11</v>
      </c>
      <c r="E3" s="13" t="s">
        <v>12</v>
      </c>
      <c r="F3" s="14" t="s">
        <v>13</v>
      </c>
      <c r="G3" s="13" t="s">
        <v>14</v>
      </c>
      <c r="H3" s="14" t="s">
        <v>15</v>
      </c>
      <c r="I3" s="14" t="s">
        <v>16</v>
      </c>
      <c r="J3" s="14" t="s">
        <v>17</v>
      </c>
      <c r="K3" s="14" t="s">
        <v>18</v>
      </c>
      <c r="L3" s="14" t="s">
        <v>19</v>
      </c>
      <c r="M3" s="14" t="s">
        <v>20</v>
      </c>
      <c r="N3" s="14" t="s">
        <v>21</v>
      </c>
      <c r="O3" s="14" t="s">
        <v>22</v>
      </c>
      <c r="P3" s="14" t="s">
        <v>23</v>
      </c>
      <c r="Q3" s="14" t="s">
        <v>24</v>
      </c>
      <c r="R3" s="14" t="s">
        <v>25</v>
      </c>
      <c r="S3" s="15" t="s">
        <v>26</v>
      </c>
    </row>
    <row r="4" spans="1:19" ht="19.899999999999999" customHeight="1">
      <c r="A4" s="294" t="s">
        <v>1144</v>
      </c>
      <c r="B4" s="287" t="str">
        <f>SUM(C4:S4)&amp;"*"</f>
        <v>968*</v>
      </c>
      <c r="C4" s="108">
        <v>81</v>
      </c>
      <c r="D4" s="108">
        <v>45</v>
      </c>
      <c r="E4" s="108">
        <v>38</v>
      </c>
      <c r="F4" s="108">
        <v>19</v>
      </c>
      <c r="G4" s="108">
        <v>8</v>
      </c>
      <c r="H4" s="108">
        <v>8</v>
      </c>
      <c r="I4" s="108">
        <v>23</v>
      </c>
      <c r="J4" s="108">
        <v>2</v>
      </c>
      <c r="K4" s="108">
        <v>110</v>
      </c>
      <c r="L4" s="108">
        <v>97</v>
      </c>
      <c r="M4" s="108">
        <v>40</v>
      </c>
      <c r="N4" s="108">
        <v>98</v>
      </c>
      <c r="O4" s="108">
        <v>57</v>
      </c>
      <c r="P4" s="108">
        <v>122</v>
      </c>
      <c r="Q4" s="108">
        <v>86</v>
      </c>
      <c r="R4" s="108">
        <v>95</v>
      </c>
      <c r="S4" s="109">
        <v>39</v>
      </c>
    </row>
    <row r="5" spans="1:19" ht="19.899999999999999" customHeight="1" thickBot="1">
      <c r="A5" s="294" t="s">
        <v>6134</v>
      </c>
      <c r="B5" s="288" t="str">
        <f>SUM(C5:S5)&amp;"*"</f>
        <v>947*</v>
      </c>
      <c r="C5" s="118">
        <v>80</v>
      </c>
      <c r="D5" s="118">
        <v>45</v>
      </c>
      <c r="E5" s="118">
        <v>38</v>
      </c>
      <c r="F5" s="118">
        <v>19</v>
      </c>
      <c r="G5" s="118">
        <v>8</v>
      </c>
      <c r="H5" s="118">
        <v>8</v>
      </c>
      <c r="I5" s="118">
        <v>23</v>
      </c>
      <c r="J5" s="118">
        <v>2</v>
      </c>
      <c r="K5" s="118">
        <v>110</v>
      </c>
      <c r="L5" s="118">
        <v>90</v>
      </c>
      <c r="M5" s="118">
        <v>38</v>
      </c>
      <c r="N5" s="118">
        <v>93</v>
      </c>
      <c r="O5" s="118">
        <v>56</v>
      </c>
      <c r="P5" s="118">
        <v>121</v>
      </c>
      <c r="Q5" s="118">
        <v>85</v>
      </c>
      <c r="R5" s="118">
        <v>93</v>
      </c>
      <c r="S5" s="428">
        <v>38</v>
      </c>
    </row>
    <row r="6" spans="1:19" ht="19.899999999999999" customHeight="1">
      <c r="A6" s="294" t="s">
        <v>1145</v>
      </c>
      <c r="B6" s="289">
        <f t="shared" ref="B6:B12" si="0">SUM(C6:S6)</f>
        <v>65</v>
      </c>
      <c r="C6" s="258">
        <v>13</v>
      </c>
      <c r="D6" s="258">
        <v>1</v>
      </c>
      <c r="E6" s="258">
        <v>6</v>
      </c>
      <c r="F6" s="259">
        <v>0</v>
      </c>
      <c r="G6" s="258">
        <v>0</v>
      </c>
      <c r="H6" s="260">
        <v>1</v>
      </c>
      <c r="I6" s="260">
        <v>5</v>
      </c>
      <c r="J6" s="260">
        <v>0</v>
      </c>
      <c r="K6" s="260">
        <v>6</v>
      </c>
      <c r="L6" s="260">
        <v>6</v>
      </c>
      <c r="M6" s="260">
        <v>3</v>
      </c>
      <c r="N6" s="260">
        <v>7</v>
      </c>
      <c r="O6" s="260">
        <v>7</v>
      </c>
      <c r="P6" s="260">
        <v>1</v>
      </c>
      <c r="Q6" s="260">
        <v>5</v>
      </c>
      <c r="R6" s="260">
        <v>4</v>
      </c>
      <c r="S6" s="261">
        <v>0</v>
      </c>
    </row>
    <row r="7" spans="1:19" ht="19.899999999999999" customHeight="1">
      <c r="A7" s="430" t="s">
        <v>1352</v>
      </c>
      <c r="B7" s="289">
        <f t="shared" si="0"/>
        <v>34</v>
      </c>
      <c r="C7" s="258">
        <v>3</v>
      </c>
      <c r="D7" s="258">
        <v>0</v>
      </c>
      <c r="E7" s="258">
        <v>2</v>
      </c>
      <c r="F7" s="259">
        <v>3</v>
      </c>
      <c r="G7" s="258">
        <v>2</v>
      </c>
      <c r="H7" s="260">
        <v>0</v>
      </c>
      <c r="I7" s="260">
        <v>0</v>
      </c>
      <c r="J7" s="260">
        <v>0</v>
      </c>
      <c r="K7" s="260">
        <v>8</v>
      </c>
      <c r="L7" s="260">
        <v>4</v>
      </c>
      <c r="M7" s="260">
        <v>3</v>
      </c>
      <c r="N7" s="260">
        <v>4</v>
      </c>
      <c r="O7" s="260">
        <v>0</v>
      </c>
      <c r="P7" s="260">
        <v>0</v>
      </c>
      <c r="Q7" s="260">
        <v>4</v>
      </c>
      <c r="R7" s="260">
        <v>0</v>
      </c>
      <c r="S7" s="261">
        <v>1</v>
      </c>
    </row>
    <row r="8" spans="1:19" ht="19.899999999999999" hidden="1" customHeight="1">
      <c r="A8" s="430" t="s">
        <v>1353</v>
      </c>
      <c r="B8" s="289">
        <f t="shared" si="0"/>
        <v>0</v>
      </c>
      <c r="C8" s="258">
        <v>0</v>
      </c>
      <c r="D8" s="258">
        <v>0</v>
      </c>
      <c r="E8" s="258">
        <v>0</v>
      </c>
      <c r="F8" s="259">
        <v>0</v>
      </c>
      <c r="G8" s="258">
        <v>0</v>
      </c>
      <c r="H8" s="260">
        <v>0</v>
      </c>
      <c r="I8" s="260">
        <v>0</v>
      </c>
      <c r="J8" s="260">
        <v>0</v>
      </c>
      <c r="K8" s="260">
        <v>0</v>
      </c>
      <c r="L8" s="260">
        <v>0</v>
      </c>
      <c r="M8" s="260">
        <v>0</v>
      </c>
      <c r="N8" s="260">
        <v>0</v>
      </c>
      <c r="O8" s="260">
        <v>0</v>
      </c>
      <c r="P8" s="260">
        <v>0</v>
      </c>
      <c r="Q8" s="260">
        <v>0</v>
      </c>
      <c r="R8" s="260">
        <v>0</v>
      </c>
      <c r="S8" s="261">
        <v>0</v>
      </c>
    </row>
    <row r="9" spans="1:19" ht="19.899999999999999" customHeight="1">
      <c r="A9" s="294" t="s">
        <v>1146</v>
      </c>
      <c r="B9" s="290">
        <f t="shared" si="0"/>
        <v>743</v>
      </c>
      <c r="C9" s="262">
        <v>50</v>
      </c>
      <c r="D9" s="262">
        <v>36</v>
      </c>
      <c r="E9" s="262">
        <v>20</v>
      </c>
      <c r="F9" s="263">
        <v>10</v>
      </c>
      <c r="G9" s="262">
        <v>2</v>
      </c>
      <c r="H9" s="264">
        <v>7</v>
      </c>
      <c r="I9" s="264">
        <v>10</v>
      </c>
      <c r="J9" s="264">
        <v>2</v>
      </c>
      <c r="K9" s="264">
        <v>87</v>
      </c>
      <c r="L9" s="264">
        <v>78</v>
      </c>
      <c r="M9" s="264">
        <v>30</v>
      </c>
      <c r="N9" s="264">
        <v>77</v>
      </c>
      <c r="O9" s="264">
        <v>43</v>
      </c>
      <c r="P9" s="264">
        <v>112</v>
      </c>
      <c r="Q9" s="264">
        <v>64</v>
      </c>
      <c r="R9" s="264">
        <v>78</v>
      </c>
      <c r="S9" s="265">
        <v>37</v>
      </c>
    </row>
    <row r="10" spans="1:19" ht="19.899999999999999" customHeight="1">
      <c r="A10" s="294" t="s">
        <v>2743</v>
      </c>
      <c r="B10" s="290">
        <f t="shared" si="0"/>
        <v>58</v>
      </c>
      <c r="C10" s="262">
        <v>10</v>
      </c>
      <c r="D10" s="262">
        <v>2</v>
      </c>
      <c r="E10" s="262">
        <v>6</v>
      </c>
      <c r="F10" s="263">
        <v>3</v>
      </c>
      <c r="G10" s="262">
        <v>2</v>
      </c>
      <c r="H10" s="264">
        <v>0</v>
      </c>
      <c r="I10" s="264">
        <v>4</v>
      </c>
      <c r="J10" s="264">
        <v>0</v>
      </c>
      <c r="K10" s="264">
        <v>8</v>
      </c>
      <c r="L10" s="264">
        <v>0</v>
      </c>
      <c r="M10" s="264">
        <v>2</v>
      </c>
      <c r="N10" s="264">
        <v>2</v>
      </c>
      <c r="O10" s="264">
        <v>3</v>
      </c>
      <c r="P10" s="264">
        <v>3</v>
      </c>
      <c r="Q10" s="264">
        <v>8</v>
      </c>
      <c r="R10" s="264">
        <v>5</v>
      </c>
      <c r="S10" s="265">
        <v>0</v>
      </c>
    </row>
    <row r="11" spans="1:19" ht="19.899999999999999" customHeight="1">
      <c r="A11" s="294" t="s">
        <v>1147</v>
      </c>
      <c r="B11" s="290">
        <f t="shared" si="0"/>
        <v>4</v>
      </c>
      <c r="C11" s="262">
        <v>0</v>
      </c>
      <c r="D11" s="262">
        <v>0</v>
      </c>
      <c r="E11" s="262">
        <v>1</v>
      </c>
      <c r="F11" s="262">
        <v>0</v>
      </c>
      <c r="G11" s="262">
        <v>0</v>
      </c>
      <c r="H11" s="266">
        <v>0</v>
      </c>
      <c r="I11" s="266">
        <v>0</v>
      </c>
      <c r="J11" s="266">
        <v>0</v>
      </c>
      <c r="K11" s="266">
        <v>0</v>
      </c>
      <c r="L11" s="266">
        <v>0</v>
      </c>
      <c r="M11" s="266">
        <v>0</v>
      </c>
      <c r="N11" s="266">
        <v>0</v>
      </c>
      <c r="O11" s="266">
        <v>0</v>
      </c>
      <c r="P11" s="266">
        <v>2</v>
      </c>
      <c r="Q11" s="266">
        <v>0</v>
      </c>
      <c r="R11" s="266">
        <v>1</v>
      </c>
      <c r="S11" s="267">
        <v>0</v>
      </c>
    </row>
    <row r="12" spans="1:19" ht="19.899999999999999" customHeight="1" thickBot="1">
      <c r="A12" s="295" t="s">
        <v>1149</v>
      </c>
      <c r="B12" s="291">
        <f t="shared" si="0"/>
        <v>43</v>
      </c>
      <c r="C12" s="268">
        <f t="shared" ref="C12:S12" si="1">C5-SUM(C6:C11)</f>
        <v>4</v>
      </c>
      <c r="D12" s="268">
        <f t="shared" si="1"/>
        <v>6</v>
      </c>
      <c r="E12" s="268">
        <f t="shared" si="1"/>
        <v>3</v>
      </c>
      <c r="F12" s="268">
        <f t="shared" si="1"/>
        <v>3</v>
      </c>
      <c r="G12" s="268">
        <f t="shared" si="1"/>
        <v>2</v>
      </c>
      <c r="H12" s="268">
        <f t="shared" si="1"/>
        <v>0</v>
      </c>
      <c r="I12" s="268">
        <f t="shared" si="1"/>
        <v>4</v>
      </c>
      <c r="J12" s="268">
        <f t="shared" si="1"/>
        <v>0</v>
      </c>
      <c r="K12" s="268">
        <f t="shared" si="1"/>
        <v>1</v>
      </c>
      <c r="L12" s="268">
        <f t="shared" si="1"/>
        <v>2</v>
      </c>
      <c r="M12" s="268">
        <f t="shared" si="1"/>
        <v>0</v>
      </c>
      <c r="N12" s="268">
        <f t="shared" si="1"/>
        <v>3</v>
      </c>
      <c r="O12" s="268">
        <f t="shared" si="1"/>
        <v>3</v>
      </c>
      <c r="P12" s="268">
        <f t="shared" si="1"/>
        <v>3</v>
      </c>
      <c r="Q12" s="268">
        <f t="shared" si="1"/>
        <v>4</v>
      </c>
      <c r="R12" s="268">
        <f t="shared" si="1"/>
        <v>5</v>
      </c>
      <c r="S12" s="268">
        <f t="shared" si="1"/>
        <v>0</v>
      </c>
    </row>
    <row r="13" spans="1:19" ht="20.25" customHeight="1" thickBot="1"/>
    <row r="14" spans="1:19" ht="26.25" customHeight="1">
      <c r="B14" s="491" t="s">
        <v>1141</v>
      </c>
      <c r="C14" s="492"/>
      <c r="D14" s="492"/>
      <c r="E14" s="492"/>
      <c r="F14" s="493"/>
      <c r="G14" s="11"/>
      <c r="H14" s="11"/>
      <c r="I14" s="11"/>
      <c r="J14" s="6"/>
      <c r="K14" s="6"/>
      <c r="L14" s="6"/>
      <c r="M14" s="6"/>
      <c r="N14" s="6"/>
      <c r="O14" s="7"/>
      <c r="P14" s="7"/>
      <c r="R14" s="7"/>
      <c r="S14" s="7"/>
    </row>
    <row r="15" spans="1:19" ht="18.75" customHeight="1">
      <c r="B15" s="494"/>
      <c r="C15" s="495"/>
      <c r="D15" s="495"/>
      <c r="E15" s="495"/>
      <c r="F15" s="496"/>
      <c r="K15" s="7"/>
      <c r="L15" s="7"/>
      <c r="M15" s="7"/>
      <c r="N15" s="7"/>
      <c r="O15" s="7"/>
      <c r="P15" s="7"/>
      <c r="Q15" s="7"/>
      <c r="R15" s="7"/>
      <c r="S15" s="7"/>
    </row>
    <row r="16" spans="1:19" ht="23.25" customHeight="1">
      <c r="B16" s="494"/>
      <c r="C16" s="495"/>
      <c r="D16" s="495"/>
      <c r="E16" s="495"/>
      <c r="F16" s="496"/>
      <c r="K16" s="7"/>
      <c r="L16" s="7"/>
      <c r="M16" s="7"/>
      <c r="N16" s="7"/>
      <c r="O16" s="7"/>
      <c r="P16" s="7"/>
      <c r="Q16" s="7"/>
      <c r="R16" s="7"/>
      <c r="S16" s="7"/>
    </row>
    <row r="17" spans="2:19" ht="16.5">
      <c r="B17" s="494"/>
      <c r="C17" s="495"/>
      <c r="D17" s="495"/>
      <c r="E17" s="495"/>
      <c r="F17" s="496"/>
      <c r="K17" s="7"/>
      <c r="L17" s="7"/>
      <c r="M17" s="7"/>
      <c r="N17" s="7"/>
      <c r="O17" s="5"/>
      <c r="P17" s="5"/>
      <c r="Q17" s="5"/>
      <c r="R17" s="5"/>
      <c r="S17" s="5"/>
    </row>
    <row r="18" spans="2:19" ht="16.5">
      <c r="B18" s="494"/>
      <c r="C18" s="495"/>
      <c r="D18" s="495"/>
      <c r="E18" s="495"/>
      <c r="F18" s="496"/>
      <c r="K18" s="7"/>
      <c r="L18" s="7"/>
      <c r="M18" s="7"/>
      <c r="N18" s="7"/>
      <c r="O18" s="5"/>
      <c r="P18" s="5"/>
      <c r="Q18" s="5"/>
      <c r="R18" s="5"/>
      <c r="S18" s="5"/>
    </row>
    <row r="19" spans="2:19">
      <c r="B19" s="494"/>
      <c r="C19" s="495"/>
      <c r="D19" s="495"/>
      <c r="E19" s="495"/>
      <c r="F19" s="496"/>
      <c r="K19" s="5"/>
      <c r="L19" s="5"/>
      <c r="M19" s="5"/>
      <c r="N19" s="5"/>
      <c r="O19" s="5"/>
      <c r="P19" s="5"/>
      <c r="Q19" s="5"/>
      <c r="R19" s="5"/>
      <c r="S19" s="5"/>
    </row>
    <row r="20" spans="2:19" ht="13.5" customHeight="1">
      <c r="B20" s="494"/>
      <c r="C20" s="495"/>
      <c r="D20" s="495"/>
      <c r="E20" s="495"/>
      <c r="F20" s="496"/>
      <c r="K20" s="5"/>
      <c r="L20" s="5"/>
      <c r="M20" s="5"/>
      <c r="N20" s="5"/>
      <c r="O20" s="5"/>
      <c r="P20" s="5"/>
      <c r="Q20" s="5"/>
      <c r="R20" s="5"/>
      <c r="S20" s="5"/>
    </row>
    <row r="21" spans="2:19" ht="59.25" customHeight="1" thickBot="1">
      <c r="B21" s="497"/>
      <c r="C21" s="498"/>
      <c r="D21" s="498"/>
      <c r="E21" s="498"/>
      <c r="F21" s="499"/>
      <c r="J21" s="509" t="s">
        <v>1143</v>
      </c>
      <c r="K21" s="509"/>
      <c r="L21" s="509"/>
      <c r="M21" s="509"/>
      <c r="N21" s="509"/>
      <c r="O21" s="509"/>
      <c r="P21" s="509"/>
      <c r="Q21" s="509"/>
    </row>
    <row r="22" spans="2:19" ht="72" customHeight="1">
      <c r="B22" s="500" t="s">
        <v>1142</v>
      </c>
      <c r="C22" s="501"/>
      <c r="D22" s="501"/>
      <c r="E22" s="501"/>
      <c r="F22" s="502"/>
    </row>
    <row r="23" spans="2:19" ht="95.25" customHeight="1" thickBot="1">
      <c r="B23" s="503"/>
      <c r="C23" s="504"/>
      <c r="D23" s="504"/>
      <c r="E23" s="504"/>
      <c r="F23" s="505"/>
    </row>
  </sheetData>
  <mergeCells count="5">
    <mergeCell ref="B14:F21"/>
    <mergeCell ref="B22:F23"/>
    <mergeCell ref="B1:S1"/>
    <mergeCell ref="R2:S2"/>
    <mergeCell ref="J21:Q21"/>
  </mergeCells>
  <phoneticPr fontId="23" type="noConversion"/>
  <pageMargins left="0.7" right="0.7" top="0.75" bottom="0.75" header="0.3" footer="0.3"/>
  <pageSetup paperSize="9"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XFB95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17.6640625" style="89" customWidth="1"/>
    <col min="5" max="5" width="14.77734375" style="89" customWidth="1"/>
    <col min="6" max="6" width="47.44140625" style="5" customWidth="1"/>
    <col min="7" max="7" width="25.109375" style="332" customWidth="1"/>
    <col min="8" max="8" width="12.21875" style="89" customWidth="1"/>
    <col min="9" max="9" width="14.21875" style="89" customWidth="1"/>
    <col min="10" max="13" width="7.6640625" style="89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4" width="12.21875" style="89" customWidth="1"/>
    <col min="25" max="25" width="71.109375" style="89" customWidth="1"/>
    <col min="26" max="26" width="14" style="105" bestFit="1" customWidth="1"/>
    <col min="27" max="27" width="11.21875" style="89" customWidth="1"/>
    <col min="28" max="16384" width="8.88671875" style="89"/>
  </cols>
  <sheetData>
    <row r="1" spans="1:35" s="1" customFormat="1">
      <c r="A1" s="512" t="s">
        <v>34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Z1" s="105"/>
    </row>
    <row r="2" spans="1:35" s="3" customFormat="1" ht="14.25" thickBo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Z2" s="105"/>
    </row>
    <row r="3" spans="1:35" s="3" customFormat="1" ht="17.25" thickBot="1">
      <c r="A3" s="4"/>
      <c r="B3" s="4"/>
      <c r="C3" s="4"/>
      <c r="D3" s="2"/>
      <c r="E3" s="2"/>
      <c r="F3" s="91"/>
      <c r="G3" s="4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84"/>
      <c r="Z3" s="106"/>
    </row>
    <row r="4" spans="1:35" s="1" customFormat="1" ht="100.15" customHeight="1" thickBot="1">
      <c r="A4" s="210" t="s">
        <v>0</v>
      </c>
      <c r="B4" s="210" t="s">
        <v>134</v>
      </c>
      <c r="C4" s="210" t="s">
        <v>1</v>
      </c>
      <c r="D4" s="210" t="s">
        <v>135</v>
      </c>
      <c r="E4" s="211" t="s">
        <v>136</v>
      </c>
      <c r="F4" s="210" t="s">
        <v>137</v>
      </c>
      <c r="G4" s="211" t="s">
        <v>138</v>
      </c>
      <c r="H4" s="211" t="s">
        <v>3</v>
      </c>
      <c r="I4" s="211" t="s">
        <v>139</v>
      </c>
      <c r="J4" s="211" t="s">
        <v>140</v>
      </c>
      <c r="K4" s="211" t="s">
        <v>4</v>
      </c>
      <c r="L4" s="211" t="s">
        <v>141</v>
      </c>
      <c r="M4" s="211" t="s">
        <v>2</v>
      </c>
      <c r="N4" s="211" t="s">
        <v>142</v>
      </c>
      <c r="O4" s="211" t="s">
        <v>143</v>
      </c>
      <c r="P4" s="211" t="s">
        <v>29</v>
      </c>
      <c r="Q4" s="212" t="s">
        <v>27</v>
      </c>
      <c r="R4" s="212" t="s">
        <v>144</v>
      </c>
      <c r="S4" s="212" t="s">
        <v>145</v>
      </c>
      <c r="T4" s="212" t="s">
        <v>146</v>
      </c>
      <c r="U4" s="212" t="s">
        <v>28</v>
      </c>
      <c r="V4" s="212" t="s">
        <v>33</v>
      </c>
      <c r="W4" s="212" t="s">
        <v>147</v>
      </c>
      <c r="X4" s="212" t="s">
        <v>148</v>
      </c>
      <c r="Y4" s="212" t="s">
        <v>30</v>
      </c>
      <c r="Z4" s="104" t="s">
        <v>1152</v>
      </c>
      <c r="AA4"/>
      <c r="AB4" s="465"/>
      <c r="AC4"/>
      <c r="AD4"/>
      <c r="AE4"/>
      <c r="AF4"/>
      <c r="AG4"/>
      <c r="AH4"/>
      <c r="AI4"/>
    </row>
    <row r="5" spans="1:35" ht="69" customHeight="1">
      <c r="A5" s="331">
        <v>1</v>
      </c>
      <c r="B5" s="331" t="s">
        <v>667</v>
      </c>
      <c r="C5" s="331" t="s">
        <v>1408</v>
      </c>
      <c r="D5" s="372" t="s">
        <v>1231</v>
      </c>
      <c r="E5" s="372" t="s">
        <v>1350</v>
      </c>
      <c r="F5" s="426" t="s">
        <v>1349</v>
      </c>
      <c r="G5" s="372" t="s">
        <v>5365</v>
      </c>
      <c r="H5" s="372" t="s">
        <v>1016</v>
      </c>
      <c r="I5" s="372">
        <v>380</v>
      </c>
      <c r="J5" s="372"/>
      <c r="K5" s="372">
        <v>200</v>
      </c>
      <c r="L5" s="372">
        <v>180</v>
      </c>
      <c r="M5" s="372"/>
      <c r="N5" s="372"/>
      <c r="O5" s="372"/>
      <c r="P5" s="372" t="s">
        <v>31</v>
      </c>
      <c r="Q5" s="372" t="s">
        <v>1348</v>
      </c>
      <c r="R5" s="372" t="s">
        <v>36</v>
      </c>
      <c r="S5" s="372" t="s">
        <v>1408</v>
      </c>
      <c r="T5" s="372" t="s">
        <v>49</v>
      </c>
      <c r="U5" s="372" t="s">
        <v>38</v>
      </c>
      <c r="V5" s="382">
        <f>SUM(W5:X5)</f>
        <v>200</v>
      </c>
      <c r="W5" s="382">
        <v>200</v>
      </c>
      <c r="X5" s="382"/>
      <c r="Y5" s="372" t="s">
        <v>1347</v>
      </c>
      <c r="Z5" s="213" t="s">
        <v>1148</v>
      </c>
      <c r="AA5"/>
      <c r="AB5"/>
      <c r="AC5"/>
      <c r="AD5"/>
      <c r="AE5"/>
      <c r="AF5"/>
      <c r="AG5"/>
      <c r="AH5"/>
      <c r="AI5"/>
    </row>
    <row r="6" spans="1:35" s="1" customFormat="1" ht="50.1" customHeight="1" thickBot="1">
      <c r="A6" s="126">
        <v>2</v>
      </c>
      <c r="B6" s="126" t="s">
        <v>1015</v>
      </c>
      <c r="C6" s="126" t="s">
        <v>1017</v>
      </c>
      <c r="D6" s="473" t="s">
        <v>1346</v>
      </c>
      <c r="E6" s="473" t="s">
        <v>1018</v>
      </c>
      <c r="F6" s="476" t="s">
        <v>1019</v>
      </c>
      <c r="G6" s="473" t="s">
        <v>5364</v>
      </c>
      <c r="H6" s="473" t="s">
        <v>1285</v>
      </c>
      <c r="I6" s="473">
        <v>315</v>
      </c>
      <c r="J6" s="473"/>
      <c r="K6" s="473"/>
      <c r="L6" s="473">
        <v>315</v>
      </c>
      <c r="M6" s="473"/>
      <c r="N6" s="473"/>
      <c r="O6" s="473"/>
      <c r="P6" s="473" t="s">
        <v>46</v>
      </c>
      <c r="Q6" s="473" t="s">
        <v>1020</v>
      </c>
      <c r="R6" s="473" t="s">
        <v>56</v>
      </c>
      <c r="S6" s="473" t="s">
        <v>750</v>
      </c>
      <c r="T6" s="473" t="s">
        <v>61</v>
      </c>
      <c r="U6" s="473" t="s">
        <v>76</v>
      </c>
      <c r="V6" s="138">
        <v>1000</v>
      </c>
      <c r="W6" s="136"/>
      <c r="X6" s="136"/>
      <c r="Y6" s="473" t="s">
        <v>1021</v>
      </c>
      <c r="Z6" s="141" t="s">
        <v>1148</v>
      </c>
    </row>
    <row r="7" spans="1:35" s="1" customFormat="1" ht="50.1" customHeight="1">
      <c r="A7" s="209">
        <v>3</v>
      </c>
      <c r="B7" s="126" t="s">
        <v>1015</v>
      </c>
      <c r="C7" s="126" t="s">
        <v>1017</v>
      </c>
      <c r="D7" s="473" t="s">
        <v>1407</v>
      </c>
      <c r="E7" s="473" t="s">
        <v>1018</v>
      </c>
      <c r="F7" s="476" t="s">
        <v>1022</v>
      </c>
      <c r="G7" s="473" t="s">
        <v>1023</v>
      </c>
      <c r="H7" s="473" t="s">
        <v>887</v>
      </c>
      <c r="I7" s="473">
        <v>20</v>
      </c>
      <c r="J7" s="473"/>
      <c r="K7" s="473"/>
      <c r="L7" s="473">
        <v>20</v>
      </c>
      <c r="M7" s="473"/>
      <c r="N7" s="473"/>
      <c r="O7" s="473"/>
      <c r="P7" s="473" t="s">
        <v>41</v>
      </c>
      <c r="Q7" s="473" t="s">
        <v>1024</v>
      </c>
      <c r="R7" s="473" t="s">
        <v>56</v>
      </c>
      <c r="S7" s="473" t="s">
        <v>265</v>
      </c>
      <c r="T7" s="473" t="s">
        <v>61</v>
      </c>
      <c r="U7" s="473" t="s">
        <v>1025</v>
      </c>
      <c r="V7" s="136">
        <v>1</v>
      </c>
      <c r="W7" s="136"/>
      <c r="X7" s="136"/>
      <c r="Y7" s="473" t="s">
        <v>1026</v>
      </c>
      <c r="Z7" s="141" t="s">
        <v>1148</v>
      </c>
    </row>
    <row r="8" spans="1:35" ht="108.75" thickBot="1">
      <c r="A8" s="125">
        <v>4</v>
      </c>
      <c r="B8" s="125" t="s">
        <v>1015</v>
      </c>
      <c r="C8" s="125" t="s">
        <v>5363</v>
      </c>
      <c r="D8" s="472" t="s">
        <v>5362</v>
      </c>
      <c r="E8" s="472" t="s">
        <v>549</v>
      </c>
      <c r="F8" s="480" t="s">
        <v>1406</v>
      </c>
      <c r="G8" s="472" t="s">
        <v>5361</v>
      </c>
      <c r="H8" s="472" t="s">
        <v>503</v>
      </c>
      <c r="I8" s="472">
        <v>500</v>
      </c>
      <c r="J8" s="472">
        <v>0</v>
      </c>
      <c r="K8" s="472">
        <v>200</v>
      </c>
      <c r="L8" s="472">
        <v>300</v>
      </c>
      <c r="M8" s="472">
        <v>0</v>
      </c>
      <c r="N8" s="472">
        <v>0</v>
      </c>
      <c r="O8" s="472">
        <v>0</v>
      </c>
      <c r="P8" s="472" t="s">
        <v>52</v>
      </c>
      <c r="Q8" s="472" t="s">
        <v>1230</v>
      </c>
      <c r="R8" s="472" t="s">
        <v>36</v>
      </c>
      <c r="S8" s="472" t="s">
        <v>1345</v>
      </c>
      <c r="T8" s="472" t="s">
        <v>49</v>
      </c>
      <c r="U8" s="472" t="s">
        <v>53</v>
      </c>
      <c r="V8" s="135">
        <f>SUM(W8:X8)</f>
        <v>236</v>
      </c>
      <c r="W8" s="135">
        <v>236</v>
      </c>
      <c r="X8" s="135"/>
      <c r="Y8" s="472" t="s">
        <v>240</v>
      </c>
      <c r="Z8" s="137" t="s">
        <v>6087</v>
      </c>
    </row>
    <row r="9" spans="1:35" ht="50.1" customHeight="1">
      <c r="A9" s="331">
        <v>5</v>
      </c>
      <c r="B9" s="125" t="s">
        <v>667</v>
      </c>
      <c r="C9" s="125" t="s">
        <v>1405</v>
      </c>
      <c r="D9" s="472" t="s">
        <v>1344</v>
      </c>
      <c r="E9" s="472" t="s">
        <v>1404</v>
      </c>
      <c r="F9" s="480" t="s">
        <v>1027</v>
      </c>
      <c r="G9" s="472" t="s">
        <v>1403</v>
      </c>
      <c r="H9" s="472" t="s">
        <v>1028</v>
      </c>
      <c r="I9" s="472">
        <v>345</v>
      </c>
      <c r="J9" s="472"/>
      <c r="K9" s="472">
        <v>345</v>
      </c>
      <c r="L9" s="472"/>
      <c r="M9" s="472"/>
      <c r="N9" s="472"/>
      <c r="O9" s="472"/>
      <c r="P9" s="472" t="s">
        <v>67</v>
      </c>
      <c r="Q9" s="472" t="s">
        <v>1229</v>
      </c>
      <c r="R9" s="472" t="s">
        <v>36</v>
      </c>
      <c r="S9" s="472" t="s">
        <v>186</v>
      </c>
      <c r="T9" s="472" t="s">
        <v>49</v>
      </c>
      <c r="U9" s="472" t="s">
        <v>38</v>
      </c>
      <c r="V9" s="135">
        <v>39</v>
      </c>
      <c r="W9" s="135">
        <v>39</v>
      </c>
      <c r="X9" s="135"/>
      <c r="Y9" s="472" t="s">
        <v>1402</v>
      </c>
      <c r="Z9" s="141" t="s">
        <v>1148</v>
      </c>
      <c r="AA9"/>
      <c r="AB9"/>
      <c r="AC9"/>
      <c r="AD9"/>
      <c r="AE9"/>
      <c r="AF9"/>
      <c r="AG9"/>
      <c r="AH9"/>
      <c r="AI9"/>
    </row>
    <row r="10" spans="1:35" ht="40.5" customHeight="1" thickBot="1">
      <c r="A10" s="125">
        <v>6</v>
      </c>
      <c r="B10" s="125" t="s">
        <v>667</v>
      </c>
      <c r="C10" s="125" t="s">
        <v>825</v>
      </c>
      <c r="D10" s="472" t="s">
        <v>1401</v>
      </c>
      <c r="E10" s="472" t="s">
        <v>1228</v>
      </c>
      <c r="F10" s="480" t="s">
        <v>5360</v>
      </c>
      <c r="G10" s="472" t="s">
        <v>1343</v>
      </c>
      <c r="H10" s="472" t="s">
        <v>1227</v>
      </c>
      <c r="I10" s="155">
        <v>2582</v>
      </c>
      <c r="J10" s="472"/>
      <c r="K10" s="155">
        <v>2582</v>
      </c>
      <c r="L10" s="472"/>
      <c r="M10" s="472"/>
      <c r="N10" s="472"/>
      <c r="O10" s="472"/>
      <c r="P10" s="472" t="s">
        <v>46</v>
      </c>
      <c r="Q10" s="472" t="s">
        <v>1029</v>
      </c>
      <c r="R10" s="472" t="s">
        <v>885</v>
      </c>
      <c r="S10" s="472" t="s">
        <v>5359</v>
      </c>
      <c r="T10" s="472" t="s">
        <v>313</v>
      </c>
      <c r="U10" s="472" t="s">
        <v>37</v>
      </c>
      <c r="V10" s="135">
        <f>SUM(W10:X10)</f>
        <v>710</v>
      </c>
      <c r="W10" s="135">
        <v>710</v>
      </c>
      <c r="X10" s="135"/>
      <c r="Y10" s="472" t="s">
        <v>5358</v>
      </c>
      <c r="Z10" s="137" t="s">
        <v>6089</v>
      </c>
    </row>
    <row r="11" spans="1:35" ht="108">
      <c r="A11" s="331">
        <v>7</v>
      </c>
      <c r="B11" s="125" t="s">
        <v>1015</v>
      </c>
      <c r="C11" s="125" t="s">
        <v>1030</v>
      </c>
      <c r="D11" s="472" t="s">
        <v>1031</v>
      </c>
      <c r="E11" s="472" t="s">
        <v>1400</v>
      </c>
      <c r="F11" s="480" t="s">
        <v>5357</v>
      </c>
      <c r="G11" s="472" t="s">
        <v>1032</v>
      </c>
      <c r="H11" s="472" t="s">
        <v>1033</v>
      </c>
      <c r="I11" s="472">
        <v>145</v>
      </c>
      <c r="J11" s="472"/>
      <c r="K11" s="472">
        <v>39</v>
      </c>
      <c r="L11" s="472">
        <v>106</v>
      </c>
      <c r="M11" s="472"/>
      <c r="N11" s="472"/>
      <c r="O11" s="472"/>
      <c r="P11" s="472" t="s">
        <v>7</v>
      </c>
      <c r="Q11" s="472" t="s">
        <v>1034</v>
      </c>
      <c r="R11" s="472" t="s">
        <v>36</v>
      </c>
      <c r="S11" s="472" t="s">
        <v>68</v>
      </c>
      <c r="T11" s="472" t="s">
        <v>49</v>
      </c>
      <c r="U11" s="472" t="s">
        <v>1295</v>
      </c>
      <c r="V11" s="135">
        <v>4</v>
      </c>
      <c r="W11" s="135">
        <v>4</v>
      </c>
      <c r="X11" s="135">
        <v>0</v>
      </c>
      <c r="Y11" s="472" t="s">
        <v>1035</v>
      </c>
      <c r="Z11" s="141" t="s">
        <v>1148</v>
      </c>
      <c r="AA11"/>
      <c r="AB11"/>
      <c r="AC11"/>
      <c r="AD11"/>
      <c r="AE11"/>
      <c r="AF11"/>
      <c r="AG11"/>
      <c r="AH11"/>
      <c r="AI11"/>
    </row>
    <row r="12" spans="1:35" ht="95.25" thickBot="1">
      <c r="A12" s="125">
        <v>8</v>
      </c>
      <c r="B12" s="125" t="s">
        <v>1015</v>
      </c>
      <c r="C12" s="125" t="s">
        <v>5356</v>
      </c>
      <c r="D12" s="472" t="s">
        <v>1399</v>
      </c>
      <c r="E12" s="472" t="s">
        <v>236</v>
      </c>
      <c r="F12" s="480" t="s">
        <v>1398</v>
      </c>
      <c r="G12" s="472" t="s">
        <v>5355</v>
      </c>
      <c r="H12" s="472" t="s">
        <v>285</v>
      </c>
      <c r="I12" s="472">
        <v>458</v>
      </c>
      <c r="J12" s="472"/>
      <c r="K12" s="472">
        <v>70</v>
      </c>
      <c r="L12" s="472">
        <v>388</v>
      </c>
      <c r="M12" s="472"/>
      <c r="N12" s="472"/>
      <c r="O12" s="472"/>
      <c r="P12" s="472" t="s">
        <v>7</v>
      </c>
      <c r="Q12" s="472" t="s">
        <v>5354</v>
      </c>
      <c r="R12" s="472" t="s">
        <v>36</v>
      </c>
      <c r="S12" s="472" t="s">
        <v>1342</v>
      </c>
      <c r="T12" s="472" t="s">
        <v>49</v>
      </c>
      <c r="U12" s="472" t="s">
        <v>1295</v>
      </c>
      <c r="V12" s="135">
        <v>30</v>
      </c>
      <c r="W12" s="135">
        <v>28</v>
      </c>
      <c r="X12" s="135">
        <v>2</v>
      </c>
      <c r="Y12" s="472" t="s">
        <v>1341</v>
      </c>
      <c r="Z12" s="141" t="s">
        <v>1148</v>
      </c>
    </row>
    <row r="13" spans="1:35" ht="50.1" customHeight="1">
      <c r="A13" s="331">
        <v>9</v>
      </c>
      <c r="B13" s="125" t="s">
        <v>667</v>
      </c>
      <c r="C13" s="472" t="s">
        <v>5353</v>
      </c>
      <c r="D13" s="472" t="s">
        <v>1340</v>
      </c>
      <c r="E13" s="472" t="s">
        <v>1397</v>
      </c>
      <c r="F13" s="313" t="s">
        <v>1396</v>
      </c>
      <c r="G13" s="472" t="s">
        <v>5352</v>
      </c>
      <c r="H13" s="472" t="s">
        <v>184</v>
      </c>
      <c r="I13" s="472">
        <v>800</v>
      </c>
      <c r="J13" s="472"/>
      <c r="K13" s="472">
        <v>320</v>
      </c>
      <c r="L13" s="472">
        <v>480</v>
      </c>
      <c r="M13" s="472"/>
      <c r="N13" s="472"/>
      <c r="O13" s="472"/>
      <c r="P13" s="472" t="s">
        <v>46</v>
      </c>
      <c r="Q13" s="472" t="s">
        <v>132</v>
      </c>
      <c r="R13" s="472" t="s">
        <v>36</v>
      </c>
      <c r="S13" s="472" t="s">
        <v>186</v>
      </c>
      <c r="T13" s="472" t="s">
        <v>49</v>
      </c>
      <c r="U13" s="472" t="s">
        <v>38</v>
      </c>
      <c r="V13" s="135">
        <f t="shared" ref="V13:V29" si="0">SUM(W13:X13)</f>
        <v>20</v>
      </c>
      <c r="W13" s="135">
        <v>18.8</v>
      </c>
      <c r="X13" s="135">
        <v>1.2</v>
      </c>
      <c r="Y13" s="472" t="s">
        <v>64</v>
      </c>
      <c r="Z13" s="141" t="s">
        <v>1148</v>
      </c>
      <c r="AA13"/>
      <c r="AB13"/>
      <c r="AC13"/>
      <c r="AD13"/>
      <c r="AE13"/>
      <c r="AF13"/>
      <c r="AG13"/>
      <c r="AH13"/>
      <c r="AI13"/>
    </row>
    <row r="14" spans="1:35" ht="50.1" customHeight="1" thickBot="1">
      <c r="A14" s="125">
        <v>10</v>
      </c>
      <c r="B14" s="125" t="s">
        <v>1015</v>
      </c>
      <c r="C14" s="125" t="s">
        <v>1036</v>
      </c>
      <c r="D14" s="472" t="s">
        <v>5201</v>
      </c>
      <c r="E14" s="472" t="s">
        <v>1395</v>
      </c>
      <c r="F14" s="480" t="s">
        <v>1394</v>
      </c>
      <c r="G14" s="472" t="s">
        <v>1337</v>
      </c>
      <c r="H14" s="472" t="s">
        <v>798</v>
      </c>
      <c r="I14" s="472">
        <v>110</v>
      </c>
      <c r="J14" s="472"/>
      <c r="K14" s="472">
        <v>110</v>
      </c>
      <c r="L14" s="472"/>
      <c r="M14" s="472"/>
      <c r="N14" s="472"/>
      <c r="O14" s="472"/>
      <c r="P14" s="472" t="s">
        <v>46</v>
      </c>
      <c r="Q14" s="472" t="s">
        <v>130</v>
      </c>
      <c r="R14" s="472" t="s">
        <v>36</v>
      </c>
      <c r="S14" s="472" t="s">
        <v>55</v>
      </c>
      <c r="T14" s="472" t="s">
        <v>49</v>
      </c>
      <c r="U14" s="472" t="s">
        <v>38</v>
      </c>
      <c r="V14" s="135">
        <f t="shared" si="0"/>
        <v>273</v>
      </c>
      <c r="W14" s="135">
        <v>273</v>
      </c>
      <c r="X14" s="135"/>
      <c r="Y14" s="472" t="s">
        <v>64</v>
      </c>
      <c r="Z14" s="141" t="s">
        <v>1148</v>
      </c>
      <c r="AA14"/>
      <c r="AB14"/>
      <c r="AC14"/>
      <c r="AD14"/>
      <c r="AE14"/>
      <c r="AF14"/>
      <c r="AG14"/>
      <c r="AH14"/>
      <c r="AI14"/>
    </row>
    <row r="15" spans="1:35" ht="50.1" customHeight="1">
      <c r="A15" s="331">
        <v>11</v>
      </c>
      <c r="B15" s="125" t="s">
        <v>1015</v>
      </c>
      <c r="C15" s="125" t="s">
        <v>1036</v>
      </c>
      <c r="D15" s="472" t="s">
        <v>1393</v>
      </c>
      <c r="E15" s="472" t="s">
        <v>1392</v>
      </c>
      <c r="F15" s="480" t="s">
        <v>5351</v>
      </c>
      <c r="G15" s="472" t="s">
        <v>1337</v>
      </c>
      <c r="H15" s="472" t="s">
        <v>798</v>
      </c>
      <c r="I15" s="472">
        <v>80</v>
      </c>
      <c r="J15" s="472"/>
      <c r="K15" s="472">
        <v>80</v>
      </c>
      <c r="L15" s="472"/>
      <c r="M15" s="472"/>
      <c r="N15" s="472"/>
      <c r="O15" s="472"/>
      <c r="P15" s="472" t="s">
        <v>46</v>
      </c>
      <c r="Q15" s="472" t="s">
        <v>5350</v>
      </c>
      <c r="R15" s="472" t="s">
        <v>36</v>
      </c>
      <c r="S15" s="472" t="s">
        <v>55</v>
      </c>
      <c r="T15" s="472" t="s">
        <v>49</v>
      </c>
      <c r="U15" s="472" t="s">
        <v>38</v>
      </c>
      <c r="V15" s="135">
        <f t="shared" si="0"/>
        <v>90</v>
      </c>
      <c r="W15" s="135">
        <v>90</v>
      </c>
      <c r="X15" s="135"/>
      <c r="Y15" s="472" t="s">
        <v>64</v>
      </c>
      <c r="Z15" s="141" t="s">
        <v>1148</v>
      </c>
      <c r="AA15"/>
      <c r="AB15"/>
      <c r="AC15"/>
      <c r="AD15"/>
      <c r="AE15"/>
      <c r="AF15"/>
      <c r="AG15"/>
      <c r="AH15"/>
      <c r="AI15"/>
    </row>
    <row r="16" spans="1:35" ht="50.1" customHeight="1" thickBot="1">
      <c r="A16" s="125">
        <v>12</v>
      </c>
      <c r="B16" s="125" t="s">
        <v>1015</v>
      </c>
      <c r="C16" s="125" t="s">
        <v>1036</v>
      </c>
      <c r="D16" s="472" t="s">
        <v>5349</v>
      </c>
      <c r="E16" s="472" t="s">
        <v>1339</v>
      </c>
      <c r="F16" s="480" t="s">
        <v>1338</v>
      </c>
      <c r="G16" s="472" t="s">
        <v>1337</v>
      </c>
      <c r="H16" s="472" t="s">
        <v>798</v>
      </c>
      <c r="I16" s="472">
        <v>170</v>
      </c>
      <c r="J16" s="472"/>
      <c r="K16" s="472">
        <v>170</v>
      </c>
      <c r="L16" s="472"/>
      <c r="M16" s="472"/>
      <c r="N16" s="472"/>
      <c r="O16" s="472"/>
      <c r="P16" s="472" t="s">
        <v>52</v>
      </c>
      <c r="Q16" s="472" t="s">
        <v>5348</v>
      </c>
      <c r="R16" s="472" t="s">
        <v>36</v>
      </c>
      <c r="S16" s="472" t="s">
        <v>55</v>
      </c>
      <c r="T16" s="472" t="s">
        <v>49</v>
      </c>
      <c r="U16" s="472" t="s">
        <v>38</v>
      </c>
      <c r="V16" s="135">
        <f t="shared" si="0"/>
        <v>130</v>
      </c>
      <c r="W16" s="135">
        <v>130</v>
      </c>
      <c r="X16" s="135"/>
      <c r="Y16" s="472" t="s">
        <v>64</v>
      </c>
      <c r="Z16" s="137"/>
    </row>
    <row r="17" spans="1:35" ht="40.5">
      <c r="A17" s="331">
        <v>13</v>
      </c>
      <c r="B17" s="125" t="s">
        <v>667</v>
      </c>
      <c r="C17" s="125" t="s">
        <v>668</v>
      </c>
      <c r="D17" s="472" t="s">
        <v>1391</v>
      </c>
      <c r="E17" s="472" t="s">
        <v>1336</v>
      </c>
      <c r="F17" s="480" t="s">
        <v>1390</v>
      </c>
      <c r="G17" s="472" t="s">
        <v>5347</v>
      </c>
      <c r="H17" s="472" t="s">
        <v>1389</v>
      </c>
      <c r="I17" s="472">
        <v>234.2</v>
      </c>
      <c r="J17" s="472">
        <v>0</v>
      </c>
      <c r="K17" s="472">
        <v>234.2</v>
      </c>
      <c r="L17" s="472">
        <v>0</v>
      </c>
      <c r="M17" s="472">
        <v>0</v>
      </c>
      <c r="N17" s="472"/>
      <c r="O17" s="472"/>
      <c r="P17" s="472" t="s">
        <v>7</v>
      </c>
      <c r="Q17" s="472" t="s">
        <v>1388</v>
      </c>
      <c r="R17" s="472" t="s">
        <v>5346</v>
      </c>
      <c r="S17" s="472" t="s">
        <v>566</v>
      </c>
      <c r="T17" s="472" t="s">
        <v>49</v>
      </c>
      <c r="U17" s="472" t="s">
        <v>38</v>
      </c>
      <c r="V17" s="135">
        <f t="shared" si="0"/>
        <v>13</v>
      </c>
      <c r="W17" s="135">
        <v>13</v>
      </c>
      <c r="X17" s="135">
        <v>0</v>
      </c>
      <c r="Y17" s="472" t="s">
        <v>5345</v>
      </c>
      <c r="Z17" s="141" t="s">
        <v>1148</v>
      </c>
    </row>
    <row r="18" spans="1:35" ht="50.1" customHeight="1" thickBot="1">
      <c r="A18" s="125">
        <v>14</v>
      </c>
      <c r="B18" s="125" t="s">
        <v>1015</v>
      </c>
      <c r="C18" s="125" t="s">
        <v>668</v>
      </c>
      <c r="D18" s="472" t="s">
        <v>1037</v>
      </c>
      <c r="E18" s="472" t="s">
        <v>1038</v>
      </c>
      <c r="F18" s="480" t="s">
        <v>1387</v>
      </c>
      <c r="G18" s="472" t="s">
        <v>6072</v>
      </c>
      <c r="H18" s="472" t="s">
        <v>488</v>
      </c>
      <c r="I18" s="472">
        <v>830</v>
      </c>
      <c r="J18" s="472">
        <v>0</v>
      </c>
      <c r="K18" s="472">
        <v>830</v>
      </c>
      <c r="L18" s="472">
        <v>0</v>
      </c>
      <c r="M18" s="472">
        <v>0</v>
      </c>
      <c r="N18" s="472"/>
      <c r="O18" s="472"/>
      <c r="P18" s="472" t="s">
        <v>46</v>
      </c>
      <c r="Q18" s="472" t="s">
        <v>1386</v>
      </c>
      <c r="R18" s="472" t="s">
        <v>56</v>
      </c>
      <c r="S18" s="472" t="s">
        <v>199</v>
      </c>
      <c r="T18" s="472"/>
      <c r="U18" s="472" t="s">
        <v>38</v>
      </c>
      <c r="V18" s="135">
        <f t="shared" si="0"/>
        <v>2308</v>
      </c>
      <c r="W18" s="135">
        <v>1793</v>
      </c>
      <c r="X18" s="135">
        <v>515</v>
      </c>
      <c r="Y18" s="472" t="s">
        <v>5344</v>
      </c>
      <c r="Z18" s="137" t="s">
        <v>6071</v>
      </c>
      <c r="AB18" s="243"/>
    </row>
    <row r="19" spans="1:35" s="1" customFormat="1" ht="54">
      <c r="A19" s="209">
        <v>15</v>
      </c>
      <c r="B19" s="126" t="s">
        <v>667</v>
      </c>
      <c r="C19" s="126" t="s">
        <v>1384</v>
      </c>
      <c r="D19" s="473" t="s">
        <v>5343</v>
      </c>
      <c r="E19" s="473" t="s">
        <v>5342</v>
      </c>
      <c r="F19" s="476" t="s">
        <v>1385</v>
      </c>
      <c r="G19" s="473" t="s">
        <v>5341</v>
      </c>
      <c r="H19" s="473" t="s">
        <v>1016</v>
      </c>
      <c r="I19" s="143">
        <f>SUM(J19:M19)</f>
        <v>2233</v>
      </c>
      <c r="J19" s="143"/>
      <c r="K19" s="143">
        <v>1909</v>
      </c>
      <c r="L19" s="143">
        <v>324</v>
      </c>
      <c r="M19" s="143"/>
      <c r="N19" s="473"/>
      <c r="O19" s="473"/>
      <c r="P19" s="473" t="s">
        <v>7</v>
      </c>
      <c r="Q19" s="473" t="s">
        <v>5340</v>
      </c>
      <c r="R19" s="473" t="s">
        <v>36</v>
      </c>
      <c r="S19" s="473" t="s">
        <v>55</v>
      </c>
      <c r="T19" s="473" t="s">
        <v>49</v>
      </c>
      <c r="U19" s="473" t="s">
        <v>38</v>
      </c>
      <c r="V19" s="144">
        <f t="shared" si="0"/>
        <v>312502</v>
      </c>
      <c r="W19" s="144">
        <v>312502</v>
      </c>
      <c r="X19" s="144"/>
      <c r="Y19" s="473" t="s">
        <v>5339</v>
      </c>
      <c r="Z19" s="137" t="s">
        <v>6037</v>
      </c>
      <c r="AA19"/>
      <c r="AB19"/>
      <c r="AC19"/>
      <c r="AD19"/>
      <c r="AE19"/>
      <c r="AF19"/>
      <c r="AG19"/>
      <c r="AH19"/>
      <c r="AI19"/>
    </row>
    <row r="20" spans="1:35" ht="50.1" customHeight="1" thickBot="1">
      <c r="A20" s="125">
        <v>16</v>
      </c>
      <c r="B20" s="125" t="s">
        <v>1015</v>
      </c>
      <c r="C20" s="472" t="s">
        <v>1384</v>
      </c>
      <c r="D20" s="472" t="s">
        <v>5338</v>
      </c>
      <c r="E20" s="472" t="s">
        <v>5337</v>
      </c>
      <c r="F20" s="313" t="s">
        <v>1226</v>
      </c>
      <c r="G20" s="472" t="s">
        <v>1225</v>
      </c>
      <c r="H20" s="472" t="s">
        <v>1335</v>
      </c>
      <c r="I20" s="472"/>
      <c r="J20" s="472"/>
      <c r="K20" s="472"/>
      <c r="L20" s="472"/>
      <c r="M20" s="472"/>
      <c r="N20" s="472"/>
      <c r="O20" s="472"/>
      <c r="P20" s="472" t="s">
        <v>46</v>
      </c>
      <c r="Q20" s="472" t="s">
        <v>130</v>
      </c>
      <c r="R20" s="472" t="s">
        <v>36</v>
      </c>
      <c r="S20" s="472" t="s">
        <v>1298</v>
      </c>
      <c r="T20" s="472" t="s">
        <v>49</v>
      </c>
      <c r="U20" s="472" t="s">
        <v>38</v>
      </c>
      <c r="V20" s="135">
        <f t="shared" si="0"/>
        <v>250</v>
      </c>
      <c r="W20" s="135">
        <v>200</v>
      </c>
      <c r="X20" s="135">
        <v>50</v>
      </c>
      <c r="Y20" s="472" t="s">
        <v>1383</v>
      </c>
      <c r="Z20" s="141" t="s">
        <v>1148</v>
      </c>
      <c r="AA20"/>
      <c r="AB20"/>
      <c r="AC20"/>
      <c r="AD20"/>
      <c r="AE20"/>
      <c r="AF20"/>
      <c r="AG20"/>
      <c r="AH20"/>
      <c r="AI20"/>
    </row>
    <row r="21" spans="1:35" ht="148.5">
      <c r="A21" s="331">
        <v>17</v>
      </c>
      <c r="B21" s="125" t="s">
        <v>667</v>
      </c>
      <c r="C21" s="472" t="s">
        <v>1039</v>
      </c>
      <c r="D21" s="125" t="s">
        <v>1382</v>
      </c>
      <c r="E21" s="472" t="s">
        <v>1381</v>
      </c>
      <c r="F21" s="480" t="s">
        <v>1380</v>
      </c>
      <c r="G21" s="472" t="s">
        <v>5336</v>
      </c>
      <c r="H21" s="472" t="s">
        <v>811</v>
      </c>
      <c r="I21" s="472">
        <v>600</v>
      </c>
      <c r="J21" s="472"/>
      <c r="K21" s="472"/>
      <c r="L21" s="472">
        <v>600</v>
      </c>
      <c r="M21" s="472"/>
      <c r="N21" s="472"/>
      <c r="O21" s="472"/>
      <c r="P21" s="472" t="s">
        <v>31</v>
      </c>
      <c r="Q21" s="472" t="s">
        <v>5335</v>
      </c>
      <c r="R21" s="472" t="s">
        <v>36</v>
      </c>
      <c r="S21" s="472" t="s">
        <v>55</v>
      </c>
      <c r="T21" s="472" t="s">
        <v>5334</v>
      </c>
      <c r="U21" s="472" t="s">
        <v>38</v>
      </c>
      <c r="V21" s="135">
        <f t="shared" si="0"/>
        <v>2020</v>
      </c>
      <c r="W21" s="135">
        <v>1900</v>
      </c>
      <c r="X21" s="135">
        <v>120</v>
      </c>
      <c r="Y21" s="472" t="s">
        <v>1040</v>
      </c>
      <c r="Z21" s="141" t="s">
        <v>1148</v>
      </c>
      <c r="AA21"/>
      <c r="AB21"/>
      <c r="AC21"/>
      <c r="AD21"/>
      <c r="AE21"/>
      <c r="AF21"/>
      <c r="AG21"/>
      <c r="AH21"/>
      <c r="AI21"/>
    </row>
    <row r="22" spans="1:35" ht="68.25" thickBot="1">
      <c r="A22" s="125">
        <v>18</v>
      </c>
      <c r="B22" s="125" t="s">
        <v>1015</v>
      </c>
      <c r="C22" s="472" t="s">
        <v>1039</v>
      </c>
      <c r="D22" s="472" t="s">
        <v>1379</v>
      </c>
      <c r="E22" s="472" t="s">
        <v>5333</v>
      </c>
      <c r="F22" s="480" t="s">
        <v>5332</v>
      </c>
      <c r="G22" s="472" t="s">
        <v>1378</v>
      </c>
      <c r="H22" s="472" t="s">
        <v>1289</v>
      </c>
      <c r="I22" s="472">
        <v>103</v>
      </c>
      <c r="J22" s="472"/>
      <c r="K22" s="472"/>
      <c r="L22" s="472">
        <v>103</v>
      </c>
      <c r="M22" s="472"/>
      <c r="N22" s="472"/>
      <c r="O22" s="472"/>
      <c r="P22" s="472" t="s">
        <v>31</v>
      </c>
      <c r="Q22" s="472" t="s">
        <v>1334</v>
      </c>
      <c r="R22" s="472" t="s">
        <v>36</v>
      </c>
      <c r="S22" s="472" t="s">
        <v>55</v>
      </c>
      <c r="T22" s="472" t="s">
        <v>61</v>
      </c>
      <c r="U22" s="472" t="s">
        <v>38</v>
      </c>
      <c r="V22" s="135">
        <f t="shared" si="0"/>
        <v>30</v>
      </c>
      <c r="W22" s="135">
        <v>30</v>
      </c>
      <c r="X22" s="135"/>
      <c r="Y22" s="472" t="s">
        <v>1041</v>
      </c>
      <c r="Z22" s="141" t="s">
        <v>1148</v>
      </c>
    </row>
    <row r="23" spans="1:35" s="1" customFormat="1" ht="67.5">
      <c r="A23" s="209">
        <v>19</v>
      </c>
      <c r="B23" s="126" t="s">
        <v>667</v>
      </c>
      <c r="C23" s="126" t="s">
        <v>1377</v>
      </c>
      <c r="D23" s="473" t="s">
        <v>5331</v>
      </c>
      <c r="E23" s="473" t="s">
        <v>5330</v>
      </c>
      <c r="F23" s="476" t="s">
        <v>5329</v>
      </c>
      <c r="G23" s="473" t="s">
        <v>5328</v>
      </c>
      <c r="H23" s="473" t="s">
        <v>5327</v>
      </c>
      <c r="I23" s="473">
        <f>SUM(K23:L23)</f>
        <v>617</v>
      </c>
      <c r="J23" s="473"/>
      <c r="K23" s="473">
        <v>200</v>
      </c>
      <c r="L23" s="473">
        <v>417</v>
      </c>
      <c r="M23" s="473"/>
      <c r="N23" s="473"/>
      <c r="O23" s="473"/>
      <c r="P23" s="473" t="s">
        <v>7</v>
      </c>
      <c r="Q23" s="473" t="s">
        <v>5326</v>
      </c>
      <c r="R23" s="473" t="s">
        <v>5325</v>
      </c>
      <c r="S23" s="473" t="s">
        <v>1376</v>
      </c>
      <c r="T23" s="473" t="s">
        <v>49</v>
      </c>
      <c r="U23" s="473" t="s">
        <v>38</v>
      </c>
      <c r="V23" s="136">
        <f t="shared" si="0"/>
        <v>0</v>
      </c>
      <c r="W23" s="136"/>
      <c r="X23" s="138"/>
      <c r="Y23" s="473" t="s">
        <v>5324</v>
      </c>
      <c r="Z23" s="137" t="s">
        <v>6090</v>
      </c>
    </row>
    <row r="24" spans="1:35" ht="50.1" customHeight="1" thickBot="1">
      <c r="A24" s="125">
        <v>20</v>
      </c>
      <c r="B24" s="125" t="s">
        <v>1015</v>
      </c>
      <c r="C24" s="125" t="s">
        <v>5303</v>
      </c>
      <c r="D24" s="472" t="s">
        <v>1375</v>
      </c>
      <c r="E24" s="472" t="s">
        <v>5323</v>
      </c>
      <c r="F24" s="480" t="s">
        <v>5300</v>
      </c>
      <c r="G24" s="472" t="s">
        <v>2740</v>
      </c>
      <c r="H24" s="472" t="s">
        <v>5322</v>
      </c>
      <c r="I24" s="472">
        <v>162</v>
      </c>
      <c r="J24" s="472">
        <v>0</v>
      </c>
      <c r="K24" s="472">
        <v>0</v>
      </c>
      <c r="L24" s="472">
        <v>162</v>
      </c>
      <c r="M24" s="472"/>
      <c r="N24" s="472"/>
      <c r="O24" s="472"/>
      <c r="P24" s="472" t="s">
        <v>46</v>
      </c>
      <c r="Q24" s="472" t="s">
        <v>1043</v>
      </c>
      <c r="R24" s="472" t="s">
        <v>36</v>
      </c>
      <c r="S24" s="472" t="s">
        <v>1373</v>
      </c>
      <c r="T24" s="472" t="s">
        <v>49</v>
      </c>
      <c r="U24" s="472" t="s">
        <v>38</v>
      </c>
      <c r="V24" s="135">
        <f t="shared" si="0"/>
        <v>150</v>
      </c>
      <c r="W24" s="135">
        <v>150</v>
      </c>
      <c r="X24" s="135"/>
      <c r="Y24" s="472" t="s">
        <v>5321</v>
      </c>
      <c r="Z24" s="141" t="s">
        <v>1148</v>
      </c>
      <c r="AA24"/>
      <c r="AB24"/>
      <c r="AC24"/>
      <c r="AD24"/>
      <c r="AE24"/>
      <c r="AF24"/>
      <c r="AG24"/>
      <c r="AH24"/>
      <c r="AI24"/>
    </row>
    <row r="25" spans="1:35" ht="50.1" customHeight="1">
      <c r="A25" s="331">
        <v>21</v>
      </c>
      <c r="B25" s="125" t="s">
        <v>1015</v>
      </c>
      <c r="C25" s="125" t="s">
        <v>5303</v>
      </c>
      <c r="D25" s="472" t="s">
        <v>5320</v>
      </c>
      <c r="E25" s="472" t="s">
        <v>1151</v>
      </c>
      <c r="F25" s="480" t="s">
        <v>5319</v>
      </c>
      <c r="G25" s="472" t="s">
        <v>5318</v>
      </c>
      <c r="H25" s="472" t="s">
        <v>420</v>
      </c>
      <c r="I25" s="472">
        <v>500</v>
      </c>
      <c r="J25" s="472"/>
      <c r="K25" s="472"/>
      <c r="L25" s="472">
        <v>500</v>
      </c>
      <c r="M25" s="472"/>
      <c r="N25" s="472"/>
      <c r="O25" s="472"/>
      <c r="P25" s="472" t="s">
        <v>7</v>
      </c>
      <c r="Q25" s="472" t="s">
        <v>5317</v>
      </c>
      <c r="R25" s="472" t="s">
        <v>36</v>
      </c>
      <c r="S25" s="472"/>
      <c r="T25" s="472"/>
      <c r="U25" s="472"/>
      <c r="V25" s="135">
        <f t="shared" si="0"/>
        <v>5</v>
      </c>
      <c r="W25" s="135">
        <v>5</v>
      </c>
      <c r="X25" s="135"/>
      <c r="Y25" s="472" t="s">
        <v>5316</v>
      </c>
      <c r="Z25" s="141" t="s">
        <v>1148</v>
      </c>
      <c r="AA25"/>
      <c r="AB25"/>
      <c r="AC25"/>
      <c r="AD25"/>
      <c r="AE25"/>
      <c r="AF25"/>
      <c r="AG25"/>
      <c r="AH25"/>
      <c r="AI25"/>
    </row>
    <row r="26" spans="1:35" ht="68.25" thickBot="1">
      <c r="A26" s="125">
        <v>22</v>
      </c>
      <c r="B26" s="125" t="s">
        <v>1015</v>
      </c>
      <c r="C26" s="125" t="s">
        <v>5303</v>
      </c>
      <c r="D26" s="472" t="s">
        <v>5315</v>
      </c>
      <c r="E26" s="472" t="s">
        <v>5309</v>
      </c>
      <c r="F26" s="480" t="s">
        <v>5314</v>
      </c>
      <c r="G26" s="472" t="s">
        <v>5313</v>
      </c>
      <c r="H26" s="472" t="s">
        <v>1374</v>
      </c>
      <c r="I26" s="472">
        <v>197</v>
      </c>
      <c r="J26" s="472">
        <v>0</v>
      </c>
      <c r="K26" s="472">
        <v>0</v>
      </c>
      <c r="L26" s="472">
        <v>197</v>
      </c>
      <c r="M26" s="472">
        <v>0</v>
      </c>
      <c r="N26" s="472" t="s">
        <v>43</v>
      </c>
      <c r="O26" s="472" t="s">
        <v>43</v>
      </c>
      <c r="P26" s="472" t="s">
        <v>5</v>
      </c>
      <c r="Q26" s="472" t="s">
        <v>5312</v>
      </c>
      <c r="R26" s="472" t="s">
        <v>36</v>
      </c>
      <c r="S26" s="472" t="s">
        <v>1277</v>
      </c>
      <c r="T26" s="472" t="s">
        <v>49</v>
      </c>
      <c r="U26" s="472" t="s">
        <v>53</v>
      </c>
      <c r="V26" s="135">
        <f t="shared" si="0"/>
        <v>32</v>
      </c>
      <c r="W26" s="135">
        <v>32</v>
      </c>
      <c r="X26" s="135" t="s">
        <v>43</v>
      </c>
      <c r="Y26" s="472" t="s">
        <v>5311</v>
      </c>
      <c r="Z26" s="141" t="s">
        <v>1148</v>
      </c>
      <c r="AA26"/>
      <c r="AB26"/>
      <c r="AC26"/>
      <c r="AD26"/>
      <c r="AE26"/>
      <c r="AF26"/>
      <c r="AG26"/>
      <c r="AH26"/>
      <c r="AI26"/>
    </row>
    <row r="27" spans="1:35" ht="81">
      <c r="A27" s="331">
        <v>23</v>
      </c>
      <c r="B27" s="125" t="s">
        <v>667</v>
      </c>
      <c r="C27" s="125" t="s">
        <v>5303</v>
      </c>
      <c r="D27" s="472" t="s">
        <v>5310</v>
      </c>
      <c r="E27" s="472" t="s">
        <v>5309</v>
      </c>
      <c r="F27" s="480" t="s">
        <v>5308</v>
      </c>
      <c r="G27" s="472" t="s">
        <v>5307</v>
      </c>
      <c r="H27" s="472" t="s">
        <v>420</v>
      </c>
      <c r="I27" s="472">
        <v>100</v>
      </c>
      <c r="J27" s="472">
        <v>0</v>
      </c>
      <c r="K27" s="472">
        <v>0</v>
      </c>
      <c r="L27" s="472">
        <v>100</v>
      </c>
      <c r="M27" s="472">
        <v>0</v>
      </c>
      <c r="N27" s="472" t="s">
        <v>43</v>
      </c>
      <c r="O27" s="472" t="s">
        <v>43</v>
      </c>
      <c r="P27" s="472" t="s">
        <v>7</v>
      </c>
      <c r="Q27" s="472" t="s">
        <v>5306</v>
      </c>
      <c r="R27" s="472" t="s">
        <v>36</v>
      </c>
      <c r="S27" s="472" t="s">
        <v>5305</v>
      </c>
      <c r="T27" s="472" t="s">
        <v>49</v>
      </c>
      <c r="U27" s="472" t="s">
        <v>53</v>
      </c>
      <c r="V27" s="135">
        <f t="shared" si="0"/>
        <v>1</v>
      </c>
      <c r="W27" s="135">
        <v>1</v>
      </c>
      <c r="X27" s="135" t="s">
        <v>43</v>
      </c>
      <c r="Y27" s="472" t="s">
        <v>5304</v>
      </c>
      <c r="Z27" s="141" t="s">
        <v>1148</v>
      </c>
      <c r="AA27"/>
      <c r="AB27"/>
      <c r="AC27"/>
      <c r="AD27"/>
      <c r="AE27"/>
      <c r="AF27"/>
      <c r="AG27"/>
      <c r="AH27"/>
      <c r="AI27"/>
    </row>
    <row r="28" spans="1:35" ht="50.1" customHeight="1" thickBot="1">
      <c r="A28" s="125">
        <v>24</v>
      </c>
      <c r="B28" s="125" t="s">
        <v>1015</v>
      </c>
      <c r="C28" s="125" t="s">
        <v>5303</v>
      </c>
      <c r="D28" s="472" t="s">
        <v>5302</v>
      </c>
      <c r="E28" s="472" t="s">
        <v>5301</v>
      </c>
      <c r="F28" s="480" t="s">
        <v>5300</v>
      </c>
      <c r="G28" s="472" t="s">
        <v>1042</v>
      </c>
      <c r="H28" s="472" t="s">
        <v>5299</v>
      </c>
      <c r="I28" s="472">
        <v>100</v>
      </c>
      <c r="J28" s="472">
        <v>0</v>
      </c>
      <c r="K28" s="472">
        <v>0</v>
      </c>
      <c r="L28" s="472">
        <v>100</v>
      </c>
      <c r="M28" s="472"/>
      <c r="N28" s="472"/>
      <c r="O28" s="472"/>
      <c r="P28" s="472" t="s">
        <v>46</v>
      </c>
      <c r="Q28" s="472" t="s">
        <v>1043</v>
      </c>
      <c r="R28" s="472" t="s">
        <v>36</v>
      </c>
      <c r="S28" s="472" t="s">
        <v>1373</v>
      </c>
      <c r="T28" s="472" t="s">
        <v>49</v>
      </c>
      <c r="U28" s="472" t="s">
        <v>38</v>
      </c>
      <c r="V28" s="135">
        <f t="shared" si="0"/>
        <v>150</v>
      </c>
      <c r="W28" s="135">
        <v>150</v>
      </c>
      <c r="X28" s="135"/>
      <c r="Y28" s="472" t="s">
        <v>5298</v>
      </c>
      <c r="Z28" s="159" t="s">
        <v>1148</v>
      </c>
    </row>
    <row r="29" spans="1:35" ht="50.1" customHeight="1">
      <c r="A29" s="331">
        <v>25</v>
      </c>
      <c r="B29" s="125" t="s">
        <v>1015</v>
      </c>
      <c r="C29" s="125" t="s">
        <v>1044</v>
      </c>
      <c r="D29" s="472" t="s">
        <v>5297</v>
      </c>
      <c r="E29" s="472" t="s">
        <v>5296</v>
      </c>
      <c r="F29" s="480" t="s">
        <v>5291</v>
      </c>
      <c r="G29" s="472" t="s">
        <v>1045</v>
      </c>
      <c r="H29" s="472" t="s">
        <v>1327</v>
      </c>
      <c r="I29" s="472">
        <v>195</v>
      </c>
      <c r="J29" s="472"/>
      <c r="K29" s="472"/>
      <c r="L29" s="472"/>
      <c r="M29" s="472"/>
      <c r="N29" s="472"/>
      <c r="O29" s="472"/>
      <c r="P29" s="472" t="s">
        <v>52</v>
      </c>
      <c r="Q29" s="472" t="s">
        <v>5295</v>
      </c>
      <c r="R29" s="472" t="s">
        <v>36</v>
      </c>
      <c r="S29" s="472" t="s">
        <v>246</v>
      </c>
      <c r="T29" s="472" t="s">
        <v>1372</v>
      </c>
      <c r="U29" s="472" t="s">
        <v>37</v>
      </c>
      <c r="V29" s="135">
        <f t="shared" si="0"/>
        <v>58</v>
      </c>
      <c r="W29" s="135">
        <v>58</v>
      </c>
      <c r="X29" s="135"/>
      <c r="Y29" s="472" t="s">
        <v>445</v>
      </c>
      <c r="Z29" s="141" t="s">
        <v>1148</v>
      </c>
      <c r="AA29"/>
      <c r="AB29"/>
      <c r="AC29"/>
      <c r="AD29"/>
      <c r="AE29"/>
      <c r="AF29"/>
      <c r="AG29"/>
      <c r="AH29"/>
      <c r="AI29"/>
    </row>
    <row r="30" spans="1:35" ht="50.1" customHeight="1" thickBot="1">
      <c r="A30" s="125">
        <v>26</v>
      </c>
      <c r="B30" s="125" t="s">
        <v>667</v>
      </c>
      <c r="C30" s="125" t="s">
        <v>5294</v>
      </c>
      <c r="D30" s="472" t="s">
        <v>5293</v>
      </c>
      <c r="E30" s="472" t="s">
        <v>5292</v>
      </c>
      <c r="F30" s="480" t="s">
        <v>5291</v>
      </c>
      <c r="G30" s="472" t="s">
        <v>5290</v>
      </c>
      <c r="H30" s="472" t="s">
        <v>397</v>
      </c>
      <c r="I30" s="472">
        <v>110</v>
      </c>
      <c r="J30" s="472"/>
      <c r="K30" s="472"/>
      <c r="L30" s="472"/>
      <c r="M30" s="472"/>
      <c r="N30" s="472"/>
      <c r="O30" s="472"/>
      <c r="P30" s="472" t="s">
        <v>50</v>
      </c>
      <c r="Q30" s="472" t="s">
        <v>286</v>
      </c>
      <c r="R30" s="472" t="s">
        <v>36</v>
      </c>
      <c r="S30" s="472" t="s">
        <v>5289</v>
      </c>
      <c r="T30" s="472"/>
      <c r="U30" s="472" t="s">
        <v>38</v>
      </c>
      <c r="V30" s="135">
        <v>300</v>
      </c>
      <c r="W30" s="135">
        <v>300</v>
      </c>
      <c r="X30" s="135"/>
      <c r="Y30" s="472" t="s">
        <v>64</v>
      </c>
      <c r="Z30" s="464" t="s">
        <v>1148</v>
      </c>
      <c r="AA30"/>
      <c r="AB30"/>
      <c r="AC30"/>
      <c r="AD30"/>
      <c r="AE30"/>
      <c r="AF30"/>
      <c r="AG30"/>
      <c r="AH30"/>
      <c r="AI30"/>
    </row>
    <row r="31" spans="1:35" ht="50.1" customHeight="1">
      <c r="A31" s="331">
        <v>27</v>
      </c>
      <c r="B31" s="125" t="s">
        <v>1015</v>
      </c>
      <c r="C31" s="125" t="s">
        <v>1044</v>
      </c>
      <c r="D31" s="472" t="s">
        <v>1046</v>
      </c>
      <c r="E31" s="472" t="s">
        <v>1224</v>
      </c>
      <c r="F31" s="480" t="s">
        <v>5288</v>
      </c>
      <c r="G31" s="472" t="s">
        <v>5287</v>
      </c>
      <c r="H31" s="472" t="s">
        <v>1016</v>
      </c>
      <c r="I31" s="472">
        <v>100</v>
      </c>
      <c r="J31" s="472"/>
      <c r="K31" s="472">
        <v>70</v>
      </c>
      <c r="L31" s="472">
        <v>30</v>
      </c>
      <c r="M31" s="472"/>
      <c r="N31" s="472"/>
      <c r="O31" s="472"/>
      <c r="P31" s="472" t="s">
        <v>46</v>
      </c>
      <c r="Q31" s="472" t="s">
        <v>5286</v>
      </c>
      <c r="R31" s="472" t="s">
        <v>36</v>
      </c>
      <c r="S31" s="472" t="s">
        <v>246</v>
      </c>
      <c r="T31" s="472" t="s">
        <v>49</v>
      </c>
      <c r="U31" s="472" t="s">
        <v>37</v>
      </c>
      <c r="V31" s="135">
        <v>480</v>
      </c>
      <c r="W31" s="135">
        <v>480</v>
      </c>
      <c r="X31" s="135"/>
      <c r="Y31" s="472" t="s">
        <v>1371</v>
      </c>
      <c r="Z31" s="141" t="s">
        <v>1148</v>
      </c>
      <c r="AA31"/>
      <c r="AB31"/>
      <c r="AC31"/>
      <c r="AD31"/>
      <c r="AE31"/>
      <c r="AF31"/>
      <c r="AG31"/>
      <c r="AH31"/>
      <c r="AI31"/>
    </row>
    <row r="32" spans="1:35" ht="50.1" customHeight="1" thickBot="1">
      <c r="A32" s="125">
        <v>28</v>
      </c>
      <c r="B32" s="125" t="s">
        <v>1015</v>
      </c>
      <c r="C32" s="125" t="s">
        <v>1044</v>
      </c>
      <c r="D32" s="472" t="s">
        <v>1047</v>
      </c>
      <c r="E32" s="472" t="s">
        <v>1309</v>
      </c>
      <c r="F32" s="480" t="s">
        <v>1048</v>
      </c>
      <c r="G32" s="472" t="s">
        <v>1370</v>
      </c>
      <c r="H32" s="472" t="s">
        <v>1333</v>
      </c>
      <c r="I32" s="472">
        <v>75</v>
      </c>
      <c r="J32" s="472"/>
      <c r="K32" s="472">
        <v>30</v>
      </c>
      <c r="L32" s="472">
        <v>45</v>
      </c>
      <c r="M32" s="472"/>
      <c r="N32" s="472"/>
      <c r="O32" s="472"/>
      <c r="P32" s="472" t="s">
        <v>52</v>
      </c>
      <c r="Q32" s="472" t="s">
        <v>5285</v>
      </c>
      <c r="R32" s="472" t="s">
        <v>36</v>
      </c>
      <c r="S32" s="472" t="s">
        <v>246</v>
      </c>
      <c r="T32" s="472"/>
      <c r="U32" s="472" t="s">
        <v>37</v>
      </c>
      <c r="V32" s="300">
        <v>100</v>
      </c>
      <c r="W32" s="300">
        <v>100</v>
      </c>
      <c r="X32" s="135"/>
      <c r="Y32" s="472" t="s">
        <v>64</v>
      </c>
      <c r="Z32" s="141" t="s">
        <v>1148</v>
      </c>
    </row>
    <row r="33" spans="1:35" ht="40.5">
      <c r="A33" s="331">
        <v>29</v>
      </c>
      <c r="B33" s="125" t="s">
        <v>1015</v>
      </c>
      <c r="C33" s="125" t="s">
        <v>1369</v>
      </c>
      <c r="D33" s="472" t="s">
        <v>5284</v>
      </c>
      <c r="E33" s="472" t="s">
        <v>3232</v>
      </c>
      <c r="F33" s="480" t="s">
        <v>5283</v>
      </c>
      <c r="G33" s="472" t="s">
        <v>1332</v>
      </c>
      <c r="H33" s="472" t="s">
        <v>5282</v>
      </c>
      <c r="I33" s="472">
        <f>SUM(K33:M33)</f>
        <v>254</v>
      </c>
      <c r="J33" s="472"/>
      <c r="K33" s="472">
        <v>110</v>
      </c>
      <c r="L33" s="472">
        <v>84</v>
      </c>
      <c r="M33" s="472">
        <v>60</v>
      </c>
      <c r="N33" s="472"/>
      <c r="O33" s="472"/>
      <c r="P33" s="472" t="s">
        <v>50</v>
      </c>
      <c r="Q33" s="472" t="s">
        <v>1305</v>
      </c>
      <c r="R33" s="472" t="s">
        <v>36</v>
      </c>
      <c r="S33" s="472" t="s">
        <v>1277</v>
      </c>
      <c r="T33" s="472" t="s">
        <v>5281</v>
      </c>
      <c r="U33" s="472" t="s">
        <v>5280</v>
      </c>
      <c r="V33" s="135">
        <f>SUM(W33:X33)</f>
        <v>350</v>
      </c>
      <c r="W33" s="135">
        <v>350</v>
      </c>
      <c r="X33" s="135"/>
      <c r="Y33" s="472" t="s">
        <v>5279</v>
      </c>
      <c r="Z33" s="141" t="s">
        <v>1148</v>
      </c>
    </row>
    <row r="34" spans="1:35" ht="50.1" customHeight="1" thickBot="1">
      <c r="A34" s="125">
        <v>30</v>
      </c>
      <c r="B34" s="125" t="s">
        <v>1015</v>
      </c>
      <c r="C34" s="125" t="s">
        <v>1369</v>
      </c>
      <c r="D34" s="472" t="s">
        <v>1368</v>
      </c>
      <c r="E34" s="472" t="s">
        <v>4766</v>
      </c>
      <c r="F34" s="480" t="s">
        <v>5278</v>
      </c>
      <c r="G34" s="472" t="s">
        <v>5277</v>
      </c>
      <c r="H34" s="472" t="s">
        <v>5276</v>
      </c>
      <c r="I34" s="472">
        <f>SUM(K34:M34)</f>
        <v>97</v>
      </c>
      <c r="J34" s="472"/>
      <c r="K34" s="472">
        <v>93</v>
      </c>
      <c r="L34" s="472">
        <v>4</v>
      </c>
      <c r="M34" s="472"/>
      <c r="N34" s="472"/>
      <c r="O34" s="472"/>
      <c r="P34" s="472" t="s">
        <v>50</v>
      </c>
      <c r="Q34" s="472" t="s">
        <v>5275</v>
      </c>
      <c r="R34" s="472" t="s">
        <v>36</v>
      </c>
      <c r="S34" s="472" t="s">
        <v>5274</v>
      </c>
      <c r="T34" s="472" t="s">
        <v>1331</v>
      </c>
      <c r="U34" s="472" t="s">
        <v>53</v>
      </c>
      <c r="V34" s="135">
        <f>SUM(W34:X34)</f>
        <v>10</v>
      </c>
      <c r="W34" s="135">
        <v>10</v>
      </c>
      <c r="X34" s="135"/>
      <c r="Y34" s="472" t="s">
        <v>1367</v>
      </c>
      <c r="Z34" s="141" t="s">
        <v>1148</v>
      </c>
      <c r="AA34"/>
      <c r="AB34"/>
      <c r="AC34"/>
      <c r="AD34"/>
      <c r="AE34"/>
      <c r="AF34"/>
      <c r="AG34"/>
      <c r="AH34"/>
      <c r="AI34"/>
    </row>
    <row r="35" spans="1:35" s="1" customFormat="1" ht="50.1" customHeight="1">
      <c r="A35" s="209">
        <v>31</v>
      </c>
      <c r="B35" s="126" t="s">
        <v>1015</v>
      </c>
      <c r="C35" s="473" t="s">
        <v>1049</v>
      </c>
      <c r="D35" s="473" t="s">
        <v>1050</v>
      </c>
      <c r="E35" s="473" t="s">
        <v>1223</v>
      </c>
      <c r="F35" s="142" t="s">
        <v>1051</v>
      </c>
      <c r="G35" s="473" t="s">
        <v>1052</v>
      </c>
      <c r="H35" s="473" t="s">
        <v>1053</v>
      </c>
      <c r="I35" s="145">
        <v>181</v>
      </c>
      <c r="J35" s="145">
        <v>30</v>
      </c>
      <c r="K35" s="145"/>
      <c r="L35" s="145">
        <v>25</v>
      </c>
      <c r="M35" s="145">
        <v>126</v>
      </c>
      <c r="N35" s="473" t="s">
        <v>44</v>
      </c>
      <c r="O35" s="473"/>
      <c r="P35" s="473" t="s">
        <v>46</v>
      </c>
      <c r="Q35" s="473" t="s">
        <v>1054</v>
      </c>
      <c r="R35" s="473" t="s">
        <v>56</v>
      </c>
      <c r="S35" s="476" t="s">
        <v>369</v>
      </c>
      <c r="T35" s="473"/>
      <c r="U35" s="476" t="s">
        <v>356</v>
      </c>
      <c r="V35" s="144">
        <v>1</v>
      </c>
      <c r="W35" s="144">
        <v>1</v>
      </c>
      <c r="X35" s="136"/>
      <c r="Y35" s="473" t="s">
        <v>1055</v>
      </c>
      <c r="Z35" s="152" t="s">
        <v>6070</v>
      </c>
      <c r="AA35"/>
      <c r="AB35"/>
      <c r="AC35"/>
      <c r="AD35"/>
      <c r="AE35"/>
      <c r="AF35"/>
      <c r="AG35"/>
      <c r="AH35"/>
      <c r="AI35"/>
    </row>
    <row r="36" spans="1:35" ht="50.1" customHeight="1" thickBot="1">
      <c r="A36" s="125">
        <v>32</v>
      </c>
      <c r="B36" s="125" t="s">
        <v>1015</v>
      </c>
      <c r="C36" s="472" t="s">
        <v>1049</v>
      </c>
      <c r="D36" s="125" t="s">
        <v>1056</v>
      </c>
      <c r="E36" s="472" t="s">
        <v>5273</v>
      </c>
      <c r="F36" s="480" t="s">
        <v>1057</v>
      </c>
      <c r="G36" s="472" t="s">
        <v>1058</v>
      </c>
      <c r="H36" s="472"/>
      <c r="I36" s="314">
        <v>30</v>
      </c>
      <c r="J36" s="314"/>
      <c r="K36" s="314"/>
      <c r="L36" s="314">
        <v>20</v>
      </c>
      <c r="M36" s="314">
        <v>10</v>
      </c>
      <c r="N36" s="472"/>
      <c r="O36" s="472"/>
      <c r="P36" s="472" t="s">
        <v>46</v>
      </c>
      <c r="Q36" s="472" t="s">
        <v>1059</v>
      </c>
      <c r="R36" s="472" t="s">
        <v>56</v>
      </c>
      <c r="S36" s="480" t="s">
        <v>369</v>
      </c>
      <c r="T36" s="472"/>
      <c r="U36" s="480" t="s">
        <v>356</v>
      </c>
      <c r="V36" s="180">
        <v>2</v>
      </c>
      <c r="W36" s="180">
        <v>2</v>
      </c>
      <c r="X36" s="135"/>
      <c r="Y36" s="472" t="s">
        <v>1060</v>
      </c>
      <c r="Z36" s="152" t="s">
        <v>6048</v>
      </c>
    </row>
    <row r="37" spans="1:35" s="1" customFormat="1" ht="50.1" customHeight="1">
      <c r="A37" s="209">
        <v>33</v>
      </c>
      <c r="B37" s="126" t="s">
        <v>1015</v>
      </c>
      <c r="C37" s="473" t="s">
        <v>1049</v>
      </c>
      <c r="D37" s="473" t="s">
        <v>1061</v>
      </c>
      <c r="E37" s="473" t="s">
        <v>4834</v>
      </c>
      <c r="F37" s="476" t="s">
        <v>1062</v>
      </c>
      <c r="G37" s="473" t="s">
        <v>1063</v>
      </c>
      <c r="H37" s="473" t="s">
        <v>1064</v>
      </c>
      <c r="I37" s="145">
        <f>SUM(J37:M37)</f>
        <v>210</v>
      </c>
      <c r="J37" s="145">
        <v>70</v>
      </c>
      <c r="K37" s="145"/>
      <c r="L37" s="145">
        <v>20</v>
      </c>
      <c r="M37" s="145">
        <v>120</v>
      </c>
      <c r="N37" s="473" t="s">
        <v>44</v>
      </c>
      <c r="O37" s="473"/>
      <c r="P37" s="473" t="s">
        <v>46</v>
      </c>
      <c r="Q37" s="473" t="s">
        <v>1065</v>
      </c>
      <c r="R37" s="473" t="s">
        <v>56</v>
      </c>
      <c r="S37" s="476" t="s">
        <v>1366</v>
      </c>
      <c r="T37" s="473"/>
      <c r="U37" s="476" t="s">
        <v>356</v>
      </c>
      <c r="V37" s="144">
        <v>25</v>
      </c>
      <c r="W37" s="144">
        <v>25</v>
      </c>
      <c r="X37" s="136"/>
      <c r="Y37" s="473" t="s">
        <v>1066</v>
      </c>
      <c r="Z37" s="137" t="s">
        <v>6091</v>
      </c>
    </row>
    <row r="38" spans="1:35" s="1" customFormat="1" ht="50.1" customHeight="1" thickBot="1">
      <c r="A38" s="126">
        <v>34</v>
      </c>
      <c r="B38" s="126" t="s">
        <v>1015</v>
      </c>
      <c r="C38" s="126" t="s">
        <v>1049</v>
      </c>
      <c r="D38" s="473" t="s">
        <v>5272</v>
      </c>
      <c r="E38" s="473" t="s">
        <v>1223</v>
      </c>
      <c r="F38" s="476" t="s">
        <v>1067</v>
      </c>
      <c r="G38" s="473" t="s">
        <v>5271</v>
      </c>
      <c r="H38" s="473" t="s">
        <v>1068</v>
      </c>
      <c r="I38" s="145">
        <f>SUM(J38:M38)</f>
        <v>340</v>
      </c>
      <c r="J38" s="146"/>
      <c r="K38" s="146">
        <v>80</v>
      </c>
      <c r="L38" s="146">
        <v>10</v>
      </c>
      <c r="M38" s="146">
        <v>250</v>
      </c>
      <c r="N38" s="126"/>
      <c r="O38" s="126"/>
      <c r="P38" s="126" t="s">
        <v>46</v>
      </c>
      <c r="Q38" s="126" t="s">
        <v>1069</v>
      </c>
      <c r="R38" s="473" t="s">
        <v>56</v>
      </c>
      <c r="S38" s="476" t="s">
        <v>1366</v>
      </c>
      <c r="T38" s="473"/>
      <c r="U38" s="476" t="s">
        <v>356</v>
      </c>
      <c r="V38" s="144">
        <v>55</v>
      </c>
      <c r="W38" s="144">
        <v>55</v>
      </c>
      <c r="X38" s="136"/>
      <c r="Y38" s="473" t="s">
        <v>1070</v>
      </c>
      <c r="Z38" s="152" t="s">
        <v>6069</v>
      </c>
      <c r="AA38"/>
      <c r="AB38"/>
      <c r="AC38"/>
      <c r="AD38"/>
      <c r="AE38"/>
      <c r="AF38"/>
      <c r="AG38"/>
      <c r="AH38"/>
      <c r="AI38"/>
    </row>
    <row r="39" spans="1:35" s="1" customFormat="1" ht="50.1" customHeight="1">
      <c r="A39" s="209">
        <v>35</v>
      </c>
      <c r="B39" s="126" t="s">
        <v>1015</v>
      </c>
      <c r="C39" s="473" t="s">
        <v>1049</v>
      </c>
      <c r="D39" s="473" t="s">
        <v>1071</v>
      </c>
      <c r="E39" s="473" t="s">
        <v>3237</v>
      </c>
      <c r="F39" s="476" t="s">
        <v>1072</v>
      </c>
      <c r="G39" s="473" t="s">
        <v>2702</v>
      </c>
      <c r="H39" s="473" t="s">
        <v>1073</v>
      </c>
      <c r="I39" s="145">
        <f>SUM(J39:M39)</f>
        <v>100</v>
      </c>
      <c r="J39" s="145">
        <v>50</v>
      </c>
      <c r="K39" s="145"/>
      <c r="L39" s="145">
        <v>30</v>
      </c>
      <c r="M39" s="145">
        <v>20</v>
      </c>
      <c r="N39" s="473"/>
      <c r="O39" s="473"/>
      <c r="P39" s="473" t="s">
        <v>50</v>
      </c>
      <c r="Q39" s="473" t="s">
        <v>251</v>
      </c>
      <c r="R39" s="473" t="s">
        <v>56</v>
      </c>
      <c r="S39" s="476" t="s">
        <v>1366</v>
      </c>
      <c r="T39" s="473"/>
      <c r="U39" s="476" t="s">
        <v>356</v>
      </c>
      <c r="V39" s="144">
        <v>5</v>
      </c>
      <c r="W39" s="144">
        <v>5</v>
      </c>
      <c r="X39" s="136"/>
      <c r="Y39" s="473" t="s">
        <v>1074</v>
      </c>
      <c r="Z39" s="151" t="s">
        <v>1148</v>
      </c>
      <c r="AA39"/>
      <c r="AB39"/>
      <c r="AC39"/>
      <c r="AD39"/>
      <c r="AE39"/>
      <c r="AF39"/>
      <c r="AG39"/>
      <c r="AH39"/>
      <c r="AI39"/>
    </row>
    <row r="40" spans="1:35" ht="50.1" customHeight="1" thickBot="1">
      <c r="A40" s="125">
        <v>36</v>
      </c>
      <c r="B40" s="125" t="s">
        <v>1015</v>
      </c>
      <c r="C40" s="125" t="s">
        <v>1049</v>
      </c>
      <c r="D40" s="472" t="s">
        <v>1075</v>
      </c>
      <c r="E40" s="472" t="s">
        <v>5270</v>
      </c>
      <c r="F40" s="480" t="s">
        <v>1076</v>
      </c>
      <c r="G40" s="472" t="s">
        <v>5269</v>
      </c>
      <c r="H40" s="472"/>
      <c r="I40" s="314">
        <f>SUM(J40:M40)</f>
        <v>97</v>
      </c>
      <c r="J40" s="324">
        <v>45</v>
      </c>
      <c r="K40" s="324"/>
      <c r="L40" s="324">
        <v>5</v>
      </c>
      <c r="M40" s="324">
        <v>47</v>
      </c>
      <c r="N40" s="125"/>
      <c r="O40" s="125"/>
      <c r="P40" s="125" t="s">
        <v>46</v>
      </c>
      <c r="Q40" s="125" t="s">
        <v>1077</v>
      </c>
      <c r="R40" s="472" t="s">
        <v>56</v>
      </c>
      <c r="S40" s="480" t="s">
        <v>369</v>
      </c>
      <c r="T40" s="472"/>
      <c r="U40" s="480" t="s">
        <v>356</v>
      </c>
      <c r="V40" s="180">
        <v>6</v>
      </c>
      <c r="W40" s="180">
        <v>6</v>
      </c>
      <c r="X40" s="135"/>
      <c r="Y40" s="472" t="s">
        <v>1078</v>
      </c>
      <c r="Z40" s="137" t="s">
        <v>6036</v>
      </c>
      <c r="AA40"/>
      <c r="AB40"/>
      <c r="AC40"/>
      <c r="AD40"/>
      <c r="AE40"/>
      <c r="AF40"/>
      <c r="AG40"/>
      <c r="AH40"/>
      <c r="AI40"/>
    </row>
    <row r="41" spans="1:35" ht="50.1" customHeight="1">
      <c r="A41" s="331">
        <v>37</v>
      </c>
      <c r="B41" s="125" t="s">
        <v>1015</v>
      </c>
      <c r="C41" s="125" t="s">
        <v>1049</v>
      </c>
      <c r="D41" s="391" t="s">
        <v>5268</v>
      </c>
      <c r="E41" s="391" t="s">
        <v>1365</v>
      </c>
      <c r="F41" s="392" t="s">
        <v>5267</v>
      </c>
      <c r="G41" s="472" t="s">
        <v>5266</v>
      </c>
      <c r="H41" s="391" t="s">
        <v>1222</v>
      </c>
      <c r="I41" s="472">
        <v>300</v>
      </c>
      <c r="J41" s="125"/>
      <c r="K41" s="125"/>
      <c r="L41" s="125">
        <v>300</v>
      </c>
      <c r="M41" s="125"/>
      <c r="N41" s="125"/>
      <c r="O41" s="125"/>
      <c r="P41" s="125" t="s">
        <v>46</v>
      </c>
      <c r="Q41" s="125" t="s">
        <v>5265</v>
      </c>
      <c r="R41" s="472" t="s">
        <v>56</v>
      </c>
      <c r="S41" s="391" t="s">
        <v>5264</v>
      </c>
      <c r="T41" s="125"/>
      <c r="U41" s="391" t="s">
        <v>37</v>
      </c>
      <c r="V41" s="135">
        <f>SUM(W41:X41)</f>
        <v>670</v>
      </c>
      <c r="W41" s="393">
        <v>670</v>
      </c>
      <c r="X41" s="393"/>
      <c r="Y41" s="391" t="s">
        <v>5263</v>
      </c>
      <c r="Z41" s="151" t="s">
        <v>1148</v>
      </c>
    </row>
    <row r="42" spans="1:35" ht="50.1" customHeight="1" thickBot="1">
      <c r="A42" s="125">
        <v>38</v>
      </c>
      <c r="B42" s="125" t="s">
        <v>1015</v>
      </c>
      <c r="C42" s="125" t="s">
        <v>5239</v>
      </c>
      <c r="D42" s="472" t="s">
        <v>5262</v>
      </c>
      <c r="E42" s="472" t="s">
        <v>1364</v>
      </c>
      <c r="F42" s="313" t="s">
        <v>5261</v>
      </c>
      <c r="G42" s="472" t="s">
        <v>1363</v>
      </c>
      <c r="H42" s="472" t="s">
        <v>5260</v>
      </c>
      <c r="I42" s="472">
        <v>270</v>
      </c>
      <c r="J42" s="472"/>
      <c r="K42" s="472">
        <v>200</v>
      </c>
      <c r="L42" s="472"/>
      <c r="M42" s="472">
        <v>70</v>
      </c>
      <c r="N42" s="472"/>
      <c r="O42" s="472"/>
      <c r="P42" s="472" t="s">
        <v>52</v>
      </c>
      <c r="Q42" s="472" t="s">
        <v>5259</v>
      </c>
      <c r="R42" s="472" t="s">
        <v>36</v>
      </c>
      <c r="S42" s="472" t="s">
        <v>68</v>
      </c>
      <c r="T42" s="472" t="s">
        <v>49</v>
      </c>
      <c r="U42" s="472" t="s">
        <v>5246</v>
      </c>
      <c r="V42" s="135">
        <f>SUM(W42:X42)</f>
        <v>50</v>
      </c>
      <c r="W42" s="135">
        <v>50</v>
      </c>
      <c r="X42" s="135"/>
      <c r="Y42" s="472" t="s">
        <v>445</v>
      </c>
      <c r="Z42" s="137" t="s">
        <v>1148</v>
      </c>
      <c r="AA42"/>
      <c r="AB42"/>
      <c r="AC42"/>
      <c r="AD42"/>
      <c r="AE42"/>
      <c r="AF42"/>
      <c r="AG42"/>
      <c r="AH42"/>
      <c r="AI42"/>
    </row>
    <row r="43" spans="1:35" ht="50.1" customHeight="1">
      <c r="A43" s="331">
        <v>39</v>
      </c>
      <c r="B43" s="125" t="s">
        <v>1015</v>
      </c>
      <c r="C43" s="125" t="s">
        <v>5239</v>
      </c>
      <c r="D43" s="472" t="s">
        <v>1362</v>
      </c>
      <c r="E43" s="472" t="s">
        <v>1079</v>
      </c>
      <c r="F43" s="480" t="s">
        <v>1080</v>
      </c>
      <c r="G43" s="472" t="s">
        <v>1081</v>
      </c>
      <c r="H43" s="472" t="s">
        <v>1361</v>
      </c>
      <c r="I43" s="472">
        <f>SUM(J43:M43)</f>
        <v>200</v>
      </c>
      <c r="J43" s="472">
        <v>0</v>
      </c>
      <c r="K43" s="472">
        <v>30</v>
      </c>
      <c r="L43" s="472">
        <v>150</v>
      </c>
      <c r="M43" s="472">
        <v>20</v>
      </c>
      <c r="N43" s="472"/>
      <c r="O43" s="472"/>
      <c r="P43" s="472" t="s">
        <v>98</v>
      </c>
      <c r="Q43" s="472" t="s">
        <v>5258</v>
      </c>
      <c r="R43" s="472" t="s">
        <v>36</v>
      </c>
      <c r="S43" s="472" t="s">
        <v>42</v>
      </c>
      <c r="T43" s="472" t="s">
        <v>49</v>
      </c>
      <c r="U43" s="472" t="s">
        <v>49</v>
      </c>
      <c r="V43" s="135">
        <f>SUM(W43:X43)</f>
        <v>24</v>
      </c>
      <c r="W43" s="135">
        <v>23</v>
      </c>
      <c r="X43" s="135">
        <v>1</v>
      </c>
      <c r="Y43" s="472" t="s">
        <v>844</v>
      </c>
      <c r="Z43" s="137" t="s">
        <v>5257</v>
      </c>
      <c r="AA43"/>
      <c r="AB43"/>
      <c r="AC43"/>
      <c r="AD43"/>
      <c r="AE43"/>
      <c r="AF43"/>
      <c r="AG43"/>
      <c r="AH43"/>
      <c r="AI43"/>
    </row>
    <row r="44" spans="1:35" s="301" customFormat="1" ht="54.75" thickBot="1">
      <c r="A44" s="125">
        <v>40</v>
      </c>
      <c r="B44" s="125" t="s">
        <v>1015</v>
      </c>
      <c r="C44" s="125" t="s">
        <v>5239</v>
      </c>
      <c r="D44" s="472" t="s">
        <v>5256</v>
      </c>
      <c r="E44" s="472" t="s">
        <v>1221</v>
      </c>
      <c r="F44" s="480" t="s">
        <v>5255</v>
      </c>
      <c r="G44" s="472" t="s">
        <v>5254</v>
      </c>
      <c r="H44" s="472" t="s">
        <v>5253</v>
      </c>
      <c r="I44" s="472"/>
      <c r="J44" s="472"/>
      <c r="K44" s="472"/>
      <c r="L44" s="472">
        <v>130</v>
      </c>
      <c r="M44" s="472"/>
      <c r="N44" s="472"/>
      <c r="O44" s="472"/>
      <c r="P44" s="472" t="s">
        <v>46</v>
      </c>
      <c r="Q44" s="472" t="s">
        <v>1360</v>
      </c>
      <c r="R44" s="472" t="s">
        <v>36</v>
      </c>
      <c r="S44" s="472" t="s">
        <v>55</v>
      </c>
      <c r="T44" s="472" t="s">
        <v>49</v>
      </c>
      <c r="U44" s="472" t="s">
        <v>38</v>
      </c>
      <c r="V44" s="135">
        <v>20</v>
      </c>
      <c r="W44" s="135"/>
      <c r="X44" s="135"/>
      <c r="Y44" s="472" t="s">
        <v>5252</v>
      </c>
      <c r="Z44" s="402"/>
    </row>
    <row r="45" spans="1:35" s="301" customFormat="1" ht="50.1" customHeight="1">
      <c r="A45" s="331">
        <v>41</v>
      </c>
      <c r="B45" s="125" t="s">
        <v>1015</v>
      </c>
      <c r="C45" s="125" t="s">
        <v>5239</v>
      </c>
      <c r="D45" s="472" t="s">
        <v>5251</v>
      </c>
      <c r="E45" s="472" t="s">
        <v>5250</v>
      </c>
      <c r="F45" s="480" t="s">
        <v>5249</v>
      </c>
      <c r="G45" s="472" t="s">
        <v>5248</v>
      </c>
      <c r="H45" s="472" t="s">
        <v>564</v>
      </c>
      <c r="I45" s="472">
        <v>40</v>
      </c>
      <c r="J45" s="472">
        <v>0</v>
      </c>
      <c r="K45" s="472">
        <v>0</v>
      </c>
      <c r="L45" s="472">
        <v>40</v>
      </c>
      <c r="M45" s="472">
        <v>0</v>
      </c>
      <c r="N45" s="472"/>
      <c r="O45" s="472"/>
      <c r="P45" s="472" t="s">
        <v>7</v>
      </c>
      <c r="Q45" s="472" t="s">
        <v>5247</v>
      </c>
      <c r="R45" s="472" t="s">
        <v>36</v>
      </c>
      <c r="S45" s="472" t="s">
        <v>55</v>
      </c>
      <c r="T45" s="472" t="s">
        <v>49</v>
      </c>
      <c r="U45" s="472" t="s">
        <v>5246</v>
      </c>
      <c r="V45" s="135">
        <f t="shared" ref="V45:V53" si="1">SUM(W45:X45)</f>
        <v>2</v>
      </c>
      <c r="W45" s="135">
        <v>2</v>
      </c>
      <c r="X45" s="135"/>
      <c r="Y45" s="472" t="s">
        <v>445</v>
      </c>
      <c r="Z45" s="141" t="s">
        <v>1148</v>
      </c>
      <c r="AA45"/>
      <c r="AB45"/>
      <c r="AC45"/>
      <c r="AD45"/>
      <c r="AE45"/>
      <c r="AF45"/>
      <c r="AG45"/>
      <c r="AH45"/>
      <c r="AI45"/>
    </row>
    <row r="46" spans="1:35" s="301" customFormat="1" ht="50.1" customHeight="1" thickBot="1">
      <c r="A46" s="125">
        <v>42</v>
      </c>
      <c r="B46" s="125" t="s">
        <v>1015</v>
      </c>
      <c r="C46" s="125" t="s">
        <v>5239</v>
      </c>
      <c r="D46" s="472" t="s">
        <v>5245</v>
      </c>
      <c r="E46" s="472" t="s">
        <v>5244</v>
      </c>
      <c r="F46" s="480" t="s">
        <v>5243</v>
      </c>
      <c r="G46" s="472" t="s">
        <v>5242</v>
      </c>
      <c r="H46" s="472" t="s">
        <v>5241</v>
      </c>
      <c r="I46" s="472">
        <v>4</v>
      </c>
      <c r="J46" s="472">
        <v>0</v>
      </c>
      <c r="K46" s="472">
        <v>0</v>
      </c>
      <c r="L46" s="472">
        <v>4</v>
      </c>
      <c r="M46" s="472">
        <v>0</v>
      </c>
      <c r="N46" s="472"/>
      <c r="O46" s="472"/>
      <c r="P46" s="472" t="s">
        <v>7</v>
      </c>
      <c r="Q46" s="472" t="s">
        <v>5240</v>
      </c>
      <c r="R46" s="472" t="s">
        <v>36</v>
      </c>
      <c r="S46" s="472" t="s">
        <v>68</v>
      </c>
      <c r="T46" s="472" t="s">
        <v>49</v>
      </c>
      <c r="U46" s="472" t="s">
        <v>38</v>
      </c>
      <c r="V46" s="135">
        <f t="shared" si="1"/>
        <v>100</v>
      </c>
      <c r="W46" s="135">
        <v>100</v>
      </c>
      <c r="X46" s="135"/>
      <c r="Y46" s="472" t="s">
        <v>445</v>
      </c>
      <c r="Z46" s="141" t="s">
        <v>1148</v>
      </c>
      <c r="AA46"/>
      <c r="AB46"/>
      <c r="AC46"/>
      <c r="AD46"/>
      <c r="AE46"/>
      <c r="AF46"/>
      <c r="AG46"/>
      <c r="AH46"/>
      <c r="AI46"/>
    </row>
    <row r="47" spans="1:35" s="5" customFormat="1" ht="50.1" customHeight="1">
      <c r="A47" s="209">
        <v>43</v>
      </c>
      <c r="B47" s="126" t="s">
        <v>1015</v>
      </c>
      <c r="C47" s="126" t="s">
        <v>5239</v>
      </c>
      <c r="D47" s="473" t="s">
        <v>5238</v>
      </c>
      <c r="E47" s="473" t="s">
        <v>5237</v>
      </c>
      <c r="F47" s="476" t="s">
        <v>5236</v>
      </c>
      <c r="G47" s="473" t="s">
        <v>6138</v>
      </c>
      <c r="H47" s="473" t="s">
        <v>5235</v>
      </c>
      <c r="I47" s="473">
        <v>40</v>
      </c>
      <c r="J47" s="473"/>
      <c r="K47" s="473"/>
      <c r="L47" s="473">
        <v>40</v>
      </c>
      <c r="M47" s="473"/>
      <c r="N47" s="473"/>
      <c r="O47" s="473"/>
      <c r="P47" s="473" t="s">
        <v>50</v>
      </c>
      <c r="Q47" s="473" t="s">
        <v>5234</v>
      </c>
      <c r="R47" s="473" t="s">
        <v>36</v>
      </c>
      <c r="S47" s="473" t="s">
        <v>55</v>
      </c>
      <c r="T47" s="473" t="s">
        <v>49</v>
      </c>
      <c r="U47" s="473" t="s">
        <v>37</v>
      </c>
      <c r="V47" s="136">
        <f t="shared" si="1"/>
        <v>13</v>
      </c>
      <c r="W47" s="136">
        <v>13</v>
      </c>
      <c r="X47" s="136"/>
      <c r="Y47" s="473" t="s">
        <v>64</v>
      </c>
      <c r="Z47" s="152" t="s">
        <v>6137</v>
      </c>
      <c r="AA47"/>
      <c r="AB47"/>
      <c r="AC47"/>
      <c r="AD47"/>
      <c r="AE47"/>
      <c r="AF47"/>
      <c r="AG47"/>
      <c r="AH47"/>
      <c r="AI47"/>
    </row>
    <row r="48" spans="1:35" s="5" customFormat="1" ht="50.1" customHeight="1" thickBot="1">
      <c r="A48" s="126">
        <v>44</v>
      </c>
      <c r="B48" s="126" t="s">
        <v>1015</v>
      </c>
      <c r="C48" s="126" t="s">
        <v>5233</v>
      </c>
      <c r="D48" s="473" t="s">
        <v>5232</v>
      </c>
      <c r="E48" s="473" t="s">
        <v>2803</v>
      </c>
      <c r="F48" s="476" t="s">
        <v>5231</v>
      </c>
      <c r="G48" s="473" t="s">
        <v>5230</v>
      </c>
      <c r="H48" s="473" t="s">
        <v>1285</v>
      </c>
      <c r="I48" s="473">
        <v>295</v>
      </c>
      <c r="J48" s="473"/>
      <c r="K48" s="473">
        <v>295</v>
      </c>
      <c r="L48" s="473"/>
      <c r="M48" s="473"/>
      <c r="N48" s="473"/>
      <c r="O48" s="473"/>
      <c r="P48" s="473" t="s">
        <v>48</v>
      </c>
      <c r="Q48" s="473" t="s">
        <v>620</v>
      </c>
      <c r="R48" s="473" t="s">
        <v>36</v>
      </c>
      <c r="S48" s="473" t="s">
        <v>566</v>
      </c>
      <c r="T48" s="473" t="s">
        <v>49</v>
      </c>
      <c r="U48" s="473" t="s">
        <v>38</v>
      </c>
      <c r="V48" s="136">
        <f t="shared" si="1"/>
        <v>610</v>
      </c>
      <c r="W48" s="136"/>
      <c r="X48" s="136">
        <v>610</v>
      </c>
      <c r="Y48" s="473" t="s">
        <v>5229</v>
      </c>
      <c r="Z48" s="151" t="s">
        <v>1148</v>
      </c>
    </row>
    <row r="49" spans="1:16382" s="5" customFormat="1" ht="50.1" customHeight="1">
      <c r="A49" s="209">
        <v>45</v>
      </c>
      <c r="B49" s="126" t="s">
        <v>1015</v>
      </c>
      <c r="C49" s="126" t="s">
        <v>1082</v>
      </c>
      <c r="D49" s="473" t="s">
        <v>1083</v>
      </c>
      <c r="E49" s="473" t="s">
        <v>5228</v>
      </c>
      <c r="F49" s="476" t="s">
        <v>1084</v>
      </c>
      <c r="G49" s="473" t="s">
        <v>1085</v>
      </c>
      <c r="H49" s="473" t="s">
        <v>811</v>
      </c>
      <c r="I49" s="473">
        <v>95</v>
      </c>
      <c r="J49" s="473"/>
      <c r="K49" s="473"/>
      <c r="L49" s="473">
        <v>95</v>
      </c>
      <c r="M49" s="473"/>
      <c r="N49" s="473"/>
      <c r="O49" s="473"/>
      <c r="P49" s="473" t="s">
        <v>46</v>
      </c>
      <c r="Q49" s="473"/>
      <c r="R49" s="473" t="s">
        <v>56</v>
      </c>
      <c r="S49" s="473" t="s">
        <v>199</v>
      </c>
      <c r="T49" s="473"/>
      <c r="U49" s="473" t="s">
        <v>37</v>
      </c>
      <c r="V49" s="136">
        <f t="shared" si="1"/>
        <v>150</v>
      </c>
      <c r="W49" s="136">
        <v>150</v>
      </c>
      <c r="X49" s="136"/>
      <c r="Y49" s="473" t="s">
        <v>5227</v>
      </c>
      <c r="Z49" s="151" t="s">
        <v>1148</v>
      </c>
      <c r="AA49"/>
      <c r="AB49"/>
      <c r="AC49"/>
      <c r="AD49"/>
      <c r="AE49"/>
      <c r="AF49"/>
      <c r="AG49"/>
      <c r="AH49"/>
      <c r="AI49"/>
    </row>
    <row r="50" spans="1:16382" s="5" customFormat="1" ht="50.1" customHeight="1" thickBot="1">
      <c r="A50" s="126">
        <v>46</v>
      </c>
      <c r="B50" s="126" t="s">
        <v>1015</v>
      </c>
      <c r="C50" s="126" t="s">
        <v>1082</v>
      </c>
      <c r="D50" s="473" t="s">
        <v>1086</v>
      </c>
      <c r="E50" s="473" t="s">
        <v>461</v>
      </c>
      <c r="F50" s="476" t="s">
        <v>1087</v>
      </c>
      <c r="G50" s="473" t="s">
        <v>1088</v>
      </c>
      <c r="H50" s="473" t="s">
        <v>564</v>
      </c>
      <c r="I50" s="473">
        <v>200</v>
      </c>
      <c r="J50" s="473">
        <v>80</v>
      </c>
      <c r="K50" s="473">
        <v>60</v>
      </c>
      <c r="L50" s="473">
        <v>60</v>
      </c>
      <c r="M50" s="473"/>
      <c r="N50" s="473" t="s">
        <v>928</v>
      </c>
      <c r="O50" s="473" t="s">
        <v>1089</v>
      </c>
      <c r="P50" s="473" t="s">
        <v>52</v>
      </c>
      <c r="Q50" s="473" t="s">
        <v>1090</v>
      </c>
      <c r="R50" s="473" t="s">
        <v>56</v>
      </c>
      <c r="S50" s="473" t="s">
        <v>199</v>
      </c>
      <c r="T50" s="473"/>
      <c r="U50" s="473" t="s">
        <v>37</v>
      </c>
      <c r="V50" s="136">
        <f t="shared" si="1"/>
        <v>250</v>
      </c>
      <c r="W50" s="136">
        <v>250</v>
      </c>
      <c r="X50" s="136"/>
      <c r="Y50" s="473" t="s">
        <v>1091</v>
      </c>
      <c r="Z50" s="151" t="s">
        <v>1148</v>
      </c>
      <c r="AA50"/>
      <c r="AB50"/>
      <c r="AC50"/>
      <c r="AD50"/>
      <c r="AE50"/>
      <c r="AF50"/>
      <c r="AG50"/>
      <c r="AH50"/>
      <c r="AI50"/>
    </row>
    <row r="51" spans="1:16382" s="5" customFormat="1" ht="50.1" customHeight="1">
      <c r="A51" s="209">
        <v>47</v>
      </c>
      <c r="B51" s="126" t="s">
        <v>1015</v>
      </c>
      <c r="C51" s="126" t="s">
        <v>1082</v>
      </c>
      <c r="D51" s="473" t="s">
        <v>1092</v>
      </c>
      <c r="E51" s="473" t="s">
        <v>5226</v>
      </c>
      <c r="F51" s="476" t="s">
        <v>1093</v>
      </c>
      <c r="G51" s="473" t="s">
        <v>6136</v>
      </c>
      <c r="H51" s="473" t="s">
        <v>1016</v>
      </c>
      <c r="I51" s="473">
        <v>28</v>
      </c>
      <c r="J51" s="473"/>
      <c r="K51" s="473"/>
      <c r="L51" s="473">
        <v>28</v>
      </c>
      <c r="M51" s="473"/>
      <c r="N51" s="473"/>
      <c r="O51" s="473"/>
      <c r="P51" s="473" t="s">
        <v>46</v>
      </c>
      <c r="Q51" s="473"/>
      <c r="R51" s="473" t="s">
        <v>56</v>
      </c>
      <c r="S51" s="473" t="s">
        <v>199</v>
      </c>
      <c r="T51" s="473"/>
      <c r="U51" s="473" t="s">
        <v>37</v>
      </c>
      <c r="V51" s="136">
        <f t="shared" si="1"/>
        <v>20</v>
      </c>
      <c r="W51" s="136">
        <v>20</v>
      </c>
      <c r="X51" s="136"/>
      <c r="Y51" s="473" t="s">
        <v>1094</v>
      </c>
      <c r="Z51" s="151" t="s">
        <v>1148</v>
      </c>
    </row>
    <row r="52" spans="1:16382" s="301" customFormat="1" ht="50.1" customHeight="1" thickBot="1">
      <c r="A52" s="125">
        <v>48</v>
      </c>
      <c r="B52" s="125" t="s">
        <v>1015</v>
      </c>
      <c r="C52" s="125" t="s">
        <v>1082</v>
      </c>
      <c r="D52" s="472" t="s">
        <v>1095</v>
      </c>
      <c r="E52" s="472" t="s">
        <v>54</v>
      </c>
      <c r="F52" s="480" t="s">
        <v>5225</v>
      </c>
      <c r="G52" s="472" t="s">
        <v>1096</v>
      </c>
      <c r="H52" s="472" t="s">
        <v>826</v>
      </c>
      <c r="I52" s="472">
        <v>25</v>
      </c>
      <c r="J52" s="472"/>
      <c r="K52" s="472">
        <v>10</v>
      </c>
      <c r="L52" s="472">
        <v>15</v>
      </c>
      <c r="M52" s="472"/>
      <c r="N52" s="472"/>
      <c r="O52" s="472"/>
      <c r="P52" s="472" t="s">
        <v>46</v>
      </c>
      <c r="Q52" s="472" t="s">
        <v>1059</v>
      </c>
      <c r="R52" s="472" t="s">
        <v>56</v>
      </c>
      <c r="S52" s="472" t="s">
        <v>55</v>
      </c>
      <c r="T52" s="472"/>
      <c r="U52" s="472" t="s">
        <v>38</v>
      </c>
      <c r="V52" s="135">
        <f t="shared" si="1"/>
        <v>10</v>
      </c>
      <c r="W52" s="135">
        <v>10</v>
      </c>
      <c r="X52" s="135"/>
      <c r="Y52" s="472" t="s">
        <v>5224</v>
      </c>
      <c r="Z52" s="141"/>
    </row>
    <row r="53" spans="1:16382" s="301" customFormat="1" ht="50.1" customHeight="1">
      <c r="A53" s="331">
        <v>49</v>
      </c>
      <c r="B53" s="125" t="s">
        <v>1015</v>
      </c>
      <c r="C53" s="125" t="s">
        <v>668</v>
      </c>
      <c r="D53" s="472" t="s">
        <v>5223</v>
      </c>
      <c r="E53" s="472" t="s">
        <v>5222</v>
      </c>
      <c r="F53" s="480" t="s">
        <v>5221</v>
      </c>
      <c r="G53" s="472" t="s">
        <v>5220</v>
      </c>
      <c r="H53" s="472" t="s">
        <v>321</v>
      </c>
      <c r="I53" s="472">
        <v>500</v>
      </c>
      <c r="J53" s="125"/>
      <c r="K53" s="125">
        <v>500</v>
      </c>
      <c r="L53" s="125"/>
      <c r="M53" s="125"/>
      <c r="N53" s="125"/>
      <c r="O53" s="125"/>
      <c r="P53" s="125" t="s">
        <v>7</v>
      </c>
      <c r="Q53" s="125" t="s">
        <v>5219</v>
      </c>
      <c r="R53" s="472" t="s">
        <v>36</v>
      </c>
      <c r="S53" s="472" t="s">
        <v>55</v>
      </c>
      <c r="T53" s="125" t="s">
        <v>49</v>
      </c>
      <c r="U53" s="472" t="s">
        <v>38</v>
      </c>
      <c r="V53" s="135">
        <f t="shared" si="1"/>
        <v>40</v>
      </c>
      <c r="W53" s="135">
        <v>30</v>
      </c>
      <c r="X53" s="135">
        <v>10</v>
      </c>
      <c r="Y53" s="472" t="s">
        <v>5218</v>
      </c>
      <c r="Z53" s="137" t="s">
        <v>3192</v>
      </c>
      <c r="AA53"/>
      <c r="AB53"/>
      <c r="AC53"/>
      <c r="AD53"/>
      <c r="AE53"/>
      <c r="AF53"/>
      <c r="AG53"/>
      <c r="AH53"/>
      <c r="AI53"/>
    </row>
    <row r="54" spans="1:16382" s="301" customFormat="1" ht="50.1" customHeight="1" thickBot="1">
      <c r="A54" s="125">
        <v>50</v>
      </c>
      <c r="B54" s="125" t="s">
        <v>1015</v>
      </c>
      <c r="C54" s="125" t="s">
        <v>1097</v>
      </c>
      <c r="D54" s="472" t="s">
        <v>1098</v>
      </c>
      <c r="E54" s="472" t="s">
        <v>1099</v>
      </c>
      <c r="F54" s="480" t="s">
        <v>1100</v>
      </c>
      <c r="G54" s="472" t="s">
        <v>1101</v>
      </c>
      <c r="H54" s="472" t="s">
        <v>652</v>
      </c>
      <c r="I54" s="472">
        <v>130</v>
      </c>
      <c r="J54" s="472"/>
      <c r="K54" s="472">
        <v>30</v>
      </c>
      <c r="L54" s="472">
        <v>100</v>
      </c>
      <c r="M54" s="472"/>
      <c r="N54" s="472"/>
      <c r="O54" s="472"/>
      <c r="P54" s="472" t="s">
        <v>48</v>
      </c>
      <c r="Q54" s="472" t="s">
        <v>1102</v>
      </c>
      <c r="R54" s="472" t="s">
        <v>56</v>
      </c>
      <c r="S54" s="472" t="s">
        <v>1103</v>
      </c>
      <c r="T54" s="472"/>
      <c r="U54" s="472" t="s">
        <v>47</v>
      </c>
      <c r="V54" s="135">
        <v>150</v>
      </c>
      <c r="W54" s="135"/>
      <c r="X54" s="135"/>
      <c r="Y54" s="472" t="s">
        <v>1104</v>
      </c>
      <c r="Z54" s="137" t="s">
        <v>5997</v>
      </c>
    </row>
    <row r="55" spans="1:16382" s="301" customFormat="1" ht="54">
      <c r="A55" s="331">
        <v>51</v>
      </c>
      <c r="B55" s="125" t="s">
        <v>1015</v>
      </c>
      <c r="C55" s="125" t="s">
        <v>1097</v>
      </c>
      <c r="D55" s="483" t="s">
        <v>5217</v>
      </c>
      <c r="E55" s="482" t="s">
        <v>1105</v>
      </c>
      <c r="F55" s="476" t="s">
        <v>1106</v>
      </c>
      <c r="G55" s="472" t="s">
        <v>1107</v>
      </c>
      <c r="H55" s="472" t="s">
        <v>1108</v>
      </c>
      <c r="I55" s="155">
        <v>290</v>
      </c>
      <c r="J55" s="155"/>
      <c r="K55" s="155"/>
      <c r="L55" s="155"/>
      <c r="M55" s="155">
        <v>290</v>
      </c>
      <c r="N55" s="472"/>
      <c r="O55" s="472"/>
      <c r="P55" s="472" t="s">
        <v>48</v>
      </c>
      <c r="Q55" s="472" t="s">
        <v>700</v>
      </c>
      <c r="R55" s="472" t="s">
        <v>56</v>
      </c>
      <c r="S55" s="472" t="s">
        <v>91</v>
      </c>
      <c r="T55" s="472"/>
      <c r="U55" s="472"/>
      <c r="V55" s="300">
        <v>5000</v>
      </c>
      <c r="W55" s="135"/>
      <c r="X55" s="135"/>
      <c r="Y55" s="472" t="s">
        <v>1109</v>
      </c>
      <c r="Z55" s="141" t="s">
        <v>1148</v>
      </c>
      <c r="AA55"/>
      <c r="AB55"/>
      <c r="AC55"/>
      <c r="AD55"/>
      <c r="AE55"/>
      <c r="AF55"/>
      <c r="AG55"/>
      <c r="AH55"/>
      <c r="AI55"/>
    </row>
    <row r="56" spans="1:16382" s="1" customFormat="1" ht="231" customHeight="1" thickBot="1">
      <c r="A56" s="126">
        <v>52</v>
      </c>
      <c r="B56" s="126" t="s">
        <v>1015</v>
      </c>
      <c r="C56" s="125" t="s">
        <v>1097</v>
      </c>
      <c r="D56" s="472" t="s">
        <v>5216</v>
      </c>
      <c r="E56" s="472" t="s">
        <v>1110</v>
      </c>
      <c r="F56" s="476" t="s">
        <v>5215</v>
      </c>
      <c r="G56" s="473" t="s">
        <v>5214</v>
      </c>
      <c r="H56" s="473" t="s">
        <v>1111</v>
      </c>
      <c r="I56" s="140">
        <v>2352</v>
      </c>
      <c r="J56" s="140"/>
      <c r="K56" s="140">
        <v>490</v>
      </c>
      <c r="L56" s="140">
        <v>1532</v>
      </c>
      <c r="M56" s="140">
        <v>330</v>
      </c>
      <c r="N56" s="473"/>
      <c r="O56" s="473"/>
      <c r="P56" s="473" t="s">
        <v>52</v>
      </c>
      <c r="Q56" s="473" t="s">
        <v>1112</v>
      </c>
      <c r="R56" s="473" t="s">
        <v>56</v>
      </c>
      <c r="S56" s="473" t="s">
        <v>1113</v>
      </c>
      <c r="T56" s="473" t="s">
        <v>1114</v>
      </c>
      <c r="U56" s="473" t="s">
        <v>47</v>
      </c>
      <c r="V56" s="136">
        <v>385</v>
      </c>
      <c r="W56" s="136"/>
      <c r="X56" s="136"/>
      <c r="Y56" s="473" t="s">
        <v>1115</v>
      </c>
      <c r="Z56" s="152" t="s">
        <v>6049</v>
      </c>
      <c r="AA56" s="457"/>
      <c r="AB56"/>
      <c r="AC56"/>
      <c r="AD56"/>
      <c r="AE56"/>
      <c r="AF56"/>
      <c r="AG56"/>
      <c r="AH56"/>
      <c r="AI56"/>
    </row>
    <row r="57" spans="1:16382" s="1" customFormat="1" ht="50.1" customHeight="1">
      <c r="A57" s="209">
        <v>53</v>
      </c>
      <c r="B57" s="126" t="s">
        <v>1015</v>
      </c>
      <c r="C57" s="126" t="s">
        <v>1097</v>
      </c>
      <c r="D57" s="473" t="s">
        <v>1116</v>
      </c>
      <c r="E57" s="473" t="s">
        <v>1117</v>
      </c>
      <c r="F57" s="476" t="s">
        <v>1118</v>
      </c>
      <c r="G57" s="473" t="s">
        <v>1119</v>
      </c>
      <c r="H57" s="473" t="s">
        <v>975</v>
      </c>
      <c r="I57" s="473">
        <v>50</v>
      </c>
      <c r="J57" s="473"/>
      <c r="K57" s="473">
        <v>10</v>
      </c>
      <c r="L57" s="473"/>
      <c r="M57" s="473">
        <v>40</v>
      </c>
      <c r="N57" s="473"/>
      <c r="O57" s="473"/>
      <c r="P57" s="473" t="s">
        <v>50</v>
      </c>
      <c r="Q57" s="473" t="s">
        <v>1120</v>
      </c>
      <c r="R57" s="473" t="s">
        <v>56</v>
      </c>
      <c r="S57" s="473" t="s">
        <v>83</v>
      </c>
      <c r="T57" s="473" t="s">
        <v>61</v>
      </c>
      <c r="U57" s="473" t="s">
        <v>47</v>
      </c>
      <c r="V57" s="136">
        <v>15</v>
      </c>
      <c r="W57" s="136"/>
      <c r="X57" s="136"/>
      <c r="Y57" s="473" t="s">
        <v>1121</v>
      </c>
      <c r="Z57" s="141" t="s">
        <v>1148</v>
      </c>
      <c r="AA57"/>
      <c r="AB57"/>
      <c r="AC57"/>
      <c r="AD57"/>
      <c r="AE57"/>
      <c r="AF57"/>
      <c r="AG57"/>
      <c r="AH57"/>
      <c r="AI57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5"/>
      <c r="BL57" s="95"/>
      <c r="BM57" s="95"/>
      <c r="BN57" s="95"/>
      <c r="BO57" s="95"/>
      <c r="BP57" s="95"/>
      <c r="BQ57" s="95"/>
      <c r="BR57" s="95"/>
      <c r="BS57" s="95"/>
      <c r="BT57" s="95"/>
      <c r="BU57" s="95"/>
      <c r="BV57" s="95"/>
      <c r="BW57" s="95"/>
      <c r="BX57" s="95"/>
      <c r="BY57" s="95"/>
      <c r="BZ57" s="95"/>
      <c r="CA57" s="95"/>
      <c r="CB57" s="95"/>
      <c r="CC57" s="95"/>
      <c r="CD57" s="95"/>
      <c r="CE57" s="95"/>
      <c r="CF57" s="95"/>
      <c r="CG57" s="95"/>
      <c r="CH57" s="95"/>
      <c r="CI57" s="95"/>
      <c r="CJ57" s="95"/>
      <c r="CK57" s="95"/>
      <c r="CL57" s="95"/>
      <c r="CM57" s="95"/>
      <c r="CN57" s="95"/>
      <c r="CO57" s="95"/>
      <c r="CP57" s="95"/>
      <c r="CQ57" s="95"/>
      <c r="CR57" s="95"/>
      <c r="CS57" s="95"/>
      <c r="CT57" s="95"/>
      <c r="CU57" s="95"/>
      <c r="CV57" s="95"/>
      <c r="CW57" s="95"/>
      <c r="CX57" s="95"/>
      <c r="CY57" s="95"/>
      <c r="CZ57" s="95"/>
      <c r="DA57" s="95"/>
      <c r="DB57" s="95"/>
      <c r="DC57" s="95"/>
      <c r="DD57" s="95"/>
      <c r="DE57" s="95"/>
      <c r="DF57" s="95"/>
      <c r="DG57" s="95"/>
      <c r="DH57" s="95"/>
      <c r="DI57" s="95"/>
      <c r="DJ57" s="95"/>
      <c r="DK57" s="95"/>
      <c r="DL57" s="95"/>
      <c r="DM57" s="95"/>
      <c r="DN57" s="95"/>
      <c r="DO57" s="95"/>
      <c r="DP57" s="95"/>
      <c r="DQ57" s="95"/>
      <c r="DR57" s="95"/>
      <c r="DS57" s="95"/>
      <c r="DT57" s="95"/>
      <c r="DU57" s="95"/>
      <c r="DV57" s="95"/>
      <c r="DW57" s="95"/>
      <c r="DX57" s="95"/>
      <c r="DY57" s="95"/>
      <c r="DZ57" s="95"/>
      <c r="EA57" s="95"/>
      <c r="EB57" s="95"/>
      <c r="EC57" s="95"/>
      <c r="ED57" s="95"/>
      <c r="EE57" s="95"/>
      <c r="EF57" s="95"/>
      <c r="EG57" s="95"/>
      <c r="EH57" s="95"/>
      <c r="EI57" s="95"/>
      <c r="EJ57" s="95"/>
      <c r="EK57" s="95"/>
      <c r="EL57" s="95"/>
      <c r="EM57" s="95"/>
      <c r="EN57" s="95"/>
      <c r="EO57" s="95"/>
      <c r="EP57" s="95"/>
      <c r="EQ57" s="95"/>
      <c r="ER57" s="95"/>
      <c r="ES57" s="95"/>
      <c r="ET57" s="95"/>
      <c r="EU57" s="95"/>
      <c r="EV57" s="95"/>
      <c r="EW57" s="95"/>
      <c r="EX57" s="95"/>
      <c r="EY57" s="95"/>
      <c r="EZ57" s="95"/>
      <c r="FA57" s="95"/>
      <c r="FB57" s="95"/>
      <c r="FC57" s="95"/>
      <c r="FD57" s="95"/>
      <c r="FE57" s="95"/>
      <c r="FF57" s="95"/>
      <c r="FG57" s="95"/>
      <c r="FH57" s="95"/>
      <c r="FI57" s="95"/>
      <c r="FJ57" s="95"/>
      <c r="FK57" s="95"/>
      <c r="FL57" s="95"/>
      <c r="FM57" s="95"/>
      <c r="FN57" s="95"/>
      <c r="FO57" s="95"/>
      <c r="FP57" s="95"/>
      <c r="FQ57" s="95"/>
      <c r="FR57" s="95"/>
      <c r="FS57" s="95"/>
      <c r="FT57" s="95"/>
      <c r="FU57" s="95"/>
      <c r="FV57" s="95"/>
      <c r="FW57" s="95"/>
      <c r="FX57" s="95"/>
      <c r="FY57" s="95"/>
      <c r="FZ57" s="95"/>
      <c r="GA57" s="95"/>
      <c r="GB57" s="95"/>
      <c r="GC57" s="95"/>
      <c r="GD57" s="95"/>
      <c r="GE57" s="95"/>
      <c r="GF57" s="95"/>
      <c r="GG57" s="95"/>
      <c r="GH57" s="95"/>
      <c r="GI57" s="95"/>
      <c r="GJ57" s="95"/>
      <c r="GK57" s="95"/>
      <c r="GL57" s="95"/>
      <c r="GM57" s="95"/>
      <c r="GN57" s="95"/>
      <c r="GO57" s="95"/>
      <c r="GP57" s="95"/>
      <c r="GQ57" s="95"/>
      <c r="GR57" s="95"/>
      <c r="GS57" s="95"/>
      <c r="GT57" s="95"/>
      <c r="GU57" s="95"/>
      <c r="GV57" s="95"/>
      <c r="GW57" s="95"/>
      <c r="GX57" s="95"/>
      <c r="GY57" s="95"/>
      <c r="GZ57" s="95"/>
      <c r="HA57" s="95"/>
      <c r="HB57" s="95"/>
      <c r="HC57" s="95"/>
      <c r="HD57" s="95"/>
      <c r="HE57" s="95"/>
      <c r="HF57" s="95"/>
      <c r="HG57" s="95"/>
      <c r="HH57" s="95"/>
      <c r="HI57" s="95"/>
      <c r="HJ57" s="95"/>
      <c r="HK57" s="95"/>
      <c r="HL57" s="95"/>
      <c r="HM57" s="95"/>
      <c r="HN57" s="95"/>
      <c r="HO57" s="95"/>
      <c r="HP57" s="95"/>
      <c r="HQ57" s="95"/>
      <c r="HR57" s="95"/>
      <c r="HS57" s="95"/>
      <c r="HT57" s="95"/>
      <c r="HU57" s="95"/>
      <c r="HV57" s="95"/>
      <c r="HW57" s="95"/>
      <c r="HX57" s="95"/>
      <c r="HY57" s="95"/>
      <c r="HZ57" s="95"/>
      <c r="IA57" s="95"/>
      <c r="IB57" s="95"/>
      <c r="IC57" s="95"/>
      <c r="ID57" s="95"/>
      <c r="IE57" s="95"/>
      <c r="IF57" s="95"/>
      <c r="IG57" s="95"/>
      <c r="IH57" s="95"/>
      <c r="II57" s="95"/>
      <c r="IJ57" s="95"/>
      <c r="IK57" s="95"/>
      <c r="IL57" s="95"/>
      <c r="IM57" s="95"/>
      <c r="IN57" s="95"/>
      <c r="IO57" s="95"/>
      <c r="IP57" s="95"/>
      <c r="IQ57" s="95"/>
      <c r="IR57" s="95"/>
      <c r="IS57" s="95"/>
      <c r="IT57" s="95"/>
      <c r="IU57" s="95"/>
      <c r="IV57" s="95"/>
      <c r="IW57" s="95"/>
      <c r="IX57" s="95"/>
      <c r="IY57" s="95"/>
      <c r="IZ57" s="95"/>
      <c r="JA57" s="95"/>
      <c r="JB57" s="95"/>
      <c r="JC57" s="95"/>
      <c r="JD57" s="95"/>
      <c r="JE57" s="95"/>
      <c r="JF57" s="95"/>
      <c r="JG57" s="95"/>
      <c r="JH57" s="95"/>
      <c r="JI57" s="95"/>
      <c r="JJ57" s="95"/>
      <c r="JK57" s="95"/>
      <c r="JL57" s="95"/>
      <c r="JM57" s="95"/>
      <c r="JN57" s="95"/>
      <c r="JO57" s="95"/>
      <c r="JP57" s="95"/>
      <c r="JQ57" s="95"/>
      <c r="JR57" s="95"/>
      <c r="JS57" s="95"/>
      <c r="JT57" s="95"/>
      <c r="JU57" s="95"/>
      <c r="JV57" s="95"/>
      <c r="JW57" s="95"/>
      <c r="JX57" s="95"/>
      <c r="JY57" s="95"/>
      <c r="JZ57" s="95"/>
      <c r="KA57" s="95"/>
      <c r="KB57" s="95"/>
      <c r="KC57" s="95"/>
      <c r="KD57" s="95"/>
      <c r="KE57" s="95"/>
      <c r="KF57" s="95"/>
      <c r="KG57" s="95"/>
      <c r="KH57" s="95"/>
      <c r="KI57" s="95"/>
      <c r="KJ57" s="95"/>
      <c r="KK57" s="95"/>
      <c r="KL57" s="95"/>
      <c r="KM57" s="95"/>
      <c r="KN57" s="95"/>
      <c r="KO57" s="95"/>
      <c r="KP57" s="95"/>
      <c r="KQ57" s="95"/>
      <c r="KR57" s="95"/>
      <c r="KS57" s="95"/>
      <c r="KT57" s="95"/>
      <c r="KU57" s="95"/>
      <c r="KV57" s="95"/>
      <c r="KW57" s="95"/>
      <c r="KX57" s="95"/>
      <c r="KY57" s="95"/>
      <c r="KZ57" s="95"/>
      <c r="LA57" s="95"/>
      <c r="LB57" s="95"/>
      <c r="LC57" s="95"/>
      <c r="LD57" s="95"/>
      <c r="LE57" s="95"/>
      <c r="LF57" s="95"/>
      <c r="LG57" s="95"/>
      <c r="LH57" s="95"/>
      <c r="LI57" s="95"/>
      <c r="LJ57" s="95"/>
      <c r="LK57" s="95"/>
      <c r="LL57" s="95"/>
      <c r="LM57" s="95"/>
      <c r="LN57" s="95"/>
      <c r="LO57" s="95"/>
      <c r="LP57" s="95"/>
      <c r="LQ57" s="95"/>
      <c r="LR57" s="95"/>
      <c r="LS57" s="95"/>
      <c r="LT57" s="95"/>
      <c r="LU57" s="95"/>
      <c r="LV57" s="95"/>
      <c r="LW57" s="95"/>
      <c r="LX57" s="95"/>
      <c r="LY57" s="95"/>
      <c r="LZ57" s="95"/>
      <c r="MA57" s="95"/>
      <c r="MB57" s="95"/>
      <c r="MC57" s="95"/>
      <c r="MD57" s="95"/>
      <c r="ME57" s="95"/>
      <c r="MF57" s="95"/>
      <c r="MG57" s="95"/>
      <c r="MH57" s="95"/>
      <c r="MI57" s="95"/>
      <c r="MJ57" s="95"/>
      <c r="MK57" s="95"/>
      <c r="ML57" s="95"/>
      <c r="MM57" s="95"/>
      <c r="MN57" s="95"/>
      <c r="MO57" s="95"/>
      <c r="MP57" s="95"/>
      <c r="MQ57" s="95"/>
      <c r="MR57" s="95"/>
      <c r="MS57" s="95"/>
      <c r="MT57" s="95"/>
      <c r="MU57" s="95"/>
      <c r="MV57" s="95"/>
      <c r="MW57" s="95"/>
      <c r="MX57" s="95"/>
      <c r="MY57" s="95"/>
      <c r="MZ57" s="95"/>
      <c r="NA57" s="95"/>
      <c r="NB57" s="95"/>
      <c r="NC57" s="95"/>
      <c r="ND57" s="95"/>
      <c r="NE57" s="95"/>
      <c r="NF57" s="95"/>
      <c r="NG57" s="95"/>
      <c r="NH57" s="95"/>
      <c r="NI57" s="95"/>
      <c r="NJ57" s="95"/>
      <c r="NK57" s="95"/>
      <c r="NL57" s="95"/>
      <c r="NM57" s="95"/>
      <c r="NN57" s="95"/>
      <c r="NO57" s="95"/>
      <c r="NP57" s="95"/>
      <c r="NQ57" s="95"/>
      <c r="NR57" s="95"/>
      <c r="NS57" s="95"/>
      <c r="NT57" s="95"/>
      <c r="NU57" s="95"/>
      <c r="NV57" s="95"/>
      <c r="NW57" s="95"/>
      <c r="NX57" s="95"/>
      <c r="NY57" s="95"/>
      <c r="NZ57" s="95"/>
      <c r="OA57" s="95"/>
      <c r="OB57" s="95"/>
      <c r="OC57" s="95"/>
      <c r="OD57" s="95"/>
      <c r="OE57" s="95"/>
      <c r="OF57" s="95"/>
      <c r="OG57" s="95"/>
      <c r="OH57" s="95"/>
      <c r="OI57" s="95"/>
      <c r="OJ57" s="95"/>
      <c r="OK57" s="95"/>
      <c r="OL57" s="95"/>
      <c r="OM57" s="95"/>
      <c r="ON57" s="95"/>
      <c r="OO57" s="95"/>
      <c r="OP57" s="95"/>
      <c r="OQ57" s="95"/>
      <c r="OR57" s="95"/>
      <c r="OS57" s="95"/>
      <c r="OT57" s="95"/>
      <c r="OU57" s="95"/>
      <c r="OV57" s="95"/>
      <c r="OW57" s="95"/>
      <c r="OX57" s="95"/>
      <c r="OY57" s="95"/>
      <c r="OZ57" s="95"/>
      <c r="PA57" s="95"/>
      <c r="PB57" s="95"/>
      <c r="PC57" s="95"/>
      <c r="PD57" s="95"/>
      <c r="PE57" s="95"/>
      <c r="PF57" s="95"/>
      <c r="PG57" s="95"/>
      <c r="PH57" s="95"/>
      <c r="PI57" s="95"/>
      <c r="PJ57" s="95"/>
      <c r="PK57" s="95"/>
      <c r="PL57" s="95"/>
      <c r="PM57" s="95"/>
      <c r="PN57" s="95"/>
      <c r="PO57" s="95"/>
      <c r="PP57" s="95"/>
      <c r="PQ57" s="95"/>
      <c r="PR57" s="95"/>
      <c r="PS57" s="95"/>
      <c r="PT57" s="95"/>
      <c r="PU57" s="95"/>
      <c r="PV57" s="95"/>
      <c r="PW57" s="95"/>
      <c r="PX57" s="95"/>
      <c r="PY57" s="95"/>
      <c r="PZ57" s="95"/>
      <c r="QA57" s="95"/>
      <c r="QB57" s="95"/>
      <c r="QC57" s="95"/>
      <c r="QD57" s="95"/>
      <c r="QE57" s="95"/>
      <c r="QF57" s="95"/>
      <c r="QG57" s="95"/>
      <c r="QH57" s="95"/>
      <c r="QI57" s="95"/>
      <c r="QJ57" s="95"/>
      <c r="QK57" s="95"/>
      <c r="QL57" s="95"/>
      <c r="QM57" s="95"/>
      <c r="QN57" s="95"/>
      <c r="QO57" s="95"/>
      <c r="QP57" s="95"/>
      <c r="QQ57" s="95"/>
      <c r="QR57" s="95"/>
      <c r="QS57" s="95"/>
      <c r="QT57" s="95"/>
      <c r="QU57" s="95"/>
      <c r="QV57" s="95"/>
      <c r="QW57" s="95"/>
      <c r="QX57" s="95"/>
      <c r="QY57" s="95"/>
      <c r="QZ57" s="95"/>
      <c r="RA57" s="95"/>
      <c r="RB57" s="95"/>
      <c r="RC57" s="95"/>
      <c r="RD57" s="95"/>
      <c r="RE57" s="95"/>
      <c r="RF57" s="95"/>
      <c r="RG57" s="95"/>
      <c r="RH57" s="95"/>
      <c r="RI57" s="95"/>
      <c r="RJ57" s="95"/>
      <c r="RK57" s="95"/>
      <c r="RL57" s="95"/>
      <c r="RM57" s="95"/>
      <c r="RN57" s="95"/>
      <c r="RO57" s="95"/>
      <c r="RP57" s="95"/>
      <c r="RQ57" s="95"/>
      <c r="RR57" s="95"/>
      <c r="RS57" s="95"/>
      <c r="RT57" s="95"/>
      <c r="RU57" s="95"/>
      <c r="RV57" s="95"/>
      <c r="RW57" s="95"/>
      <c r="RX57" s="95"/>
      <c r="RY57" s="95"/>
      <c r="RZ57" s="95"/>
      <c r="SA57" s="95"/>
      <c r="SB57" s="95"/>
      <c r="SC57" s="95"/>
      <c r="SD57" s="95"/>
      <c r="SE57" s="95"/>
      <c r="SF57" s="95"/>
      <c r="SG57" s="95"/>
      <c r="SH57" s="95"/>
      <c r="SI57" s="95"/>
      <c r="SJ57" s="95"/>
      <c r="SK57" s="95"/>
      <c r="SL57" s="95"/>
      <c r="SM57" s="95"/>
      <c r="SN57" s="95"/>
      <c r="SO57" s="95"/>
      <c r="SP57" s="95"/>
      <c r="SQ57" s="95"/>
      <c r="SR57" s="95"/>
      <c r="SS57" s="95"/>
      <c r="ST57" s="95"/>
      <c r="SU57" s="95"/>
      <c r="SV57" s="95"/>
      <c r="SW57" s="95"/>
      <c r="SX57" s="95"/>
      <c r="SY57" s="95"/>
      <c r="SZ57" s="95"/>
      <c r="TA57" s="95"/>
      <c r="TB57" s="95"/>
      <c r="TC57" s="95"/>
      <c r="TD57" s="95"/>
      <c r="TE57" s="95"/>
      <c r="TF57" s="95"/>
      <c r="TG57" s="95"/>
      <c r="TH57" s="95"/>
      <c r="TI57" s="95"/>
      <c r="TJ57" s="95"/>
      <c r="TK57" s="95"/>
      <c r="TL57" s="95"/>
      <c r="TM57" s="95"/>
      <c r="TN57" s="95"/>
      <c r="TO57" s="95"/>
      <c r="TP57" s="95"/>
      <c r="TQ57" s="95"/>
      <c r="TR57" s="95"/>
      <c r="TS57" s="95"/>
      <c r="TT57" s="95"/>
      <c r="TU57" s="95"/>
      <c r="TV57" s="95"/>
      <c r="TW57" s="95"/>
      <c r="TX57" s="95"/>
      <c r="TY57" s="95"/>
      <c r="TZ57" s="95"/>
      <c r="UA57" s="95"/>
      <c r="UB57" s="95"/>
      <c r="UC57" s="95"/>
      <c r="UD57" s="95"/>
      <c r="UE57" s="95"/>
      <c r="UF57" s="95"/>
      <c r="UG57" s="95"/>
      <c r="UH57" s="95"/>
      <c r="UI57" s="95"/>
      <c r="UJ57" s="95"/>
      <c r="UK57" s="95"/>
      <c r="UL57" s="95"/>
      <c r="UM57" s="95"/>
      <c r="UN57" s="95"/>
      <c r="UO57" s="95"/>
      <c r="UP57" s="95"/>
      <c r="UQ57" s="95"/>
      <c r="UR57" s="95"/>
      <c r="US57" s="95"/>
      <c r="UT57" s="95"/>
      <c r="UU57" s="95"/>
      <c r="UV57" s="95"/>
      <c r="UW57" s="95"/>
      <c r="UX57" s="95"/>
      <c r="UY57" s="95"/>
      <c r="UZ57" s="95"/>
      <c r="VA57" s="95"/>
      <c r="VB57" s="95"/>
      <c r="VC57" s="95"/>
      <c r="VD57" s="95"/>
      <c r="VE57" s="95"/>
      <c r="VF57" s="95"/>
      <c r="VG57" s="95"/>
      <c r="VH57" s="95"/>
      <c r="VI57" s="95"/>
      <c r="VJ57" s="95"/>
      <c r="VK57" s="95"/>
      <c r="VL57" s="95"/>
      <c r="VM57" s="95"/>
      <c r="VN57" s="95"/>
      <c r="VO57" s="95"/>
      <c r="VP57" s="95"/>
      <c r="VQ57" s="95"/>
      <c r="VR57" s="95"/>
      <c r="VS57" s="95"/>
      <c r="VT57" s="95"/>
      <c r="VU57" s="95"/>
      <c r="VV57" s="95"/>
      <c r="VW57" s="95"/>
      <c r="VX57" s="95"/>
      <c r="VY57" s="95"/>
      <c r="VZ57" s="95"/>
      <c r="WA57" s="95"/>
      <c r="WB57" s="95"/>
      <c r="WC57" s="95"/>
      <c r="WD57" s="95"/>
      <c r="WE57" s="95"/>
      <c r="WF57" s="95"/>
      <c r="WG57" s="95"/>
      <c r="WH57" s="95"/>
      <c r="WI57" s="95"/>
      <c r="WJ57" s="95"/>
      <c r="WK57" s="95"/>
      <c r="WL57" s="95"/>
      <c r="WM57" s="95"/>
      <c r="WN57" s="95"/>
      <c r="WO57" s="95"/>
      <c r="WP57" s="95"/>
      <c r="WQ57" s="95"/>
      <c r="WR57" s="95"/>
      <c r="WS57" s="95"/>
      <c r="WT57" s="95"/>
      <c r="WU57" s="95"/>
      <c r="WV57" s="95"/>
      <c r="WW57" s="95"/>
      <c r="WX57" s="95"/>
      <c r="WY57" s="95"/>
      <c r="WZ57" s="95"/>
      <c r="XA57" s="95"/>
      <c r="XB57" s="95"/>
      <c r="XC57" s="95"/>
      <c r="XD57" s="95"/>
      <c r="XE57" s="95"/>
      <c r="XF57" s="95"/>
      <c r="XG57" s="95"/>
      <c r="XH57" s="95"/>
      <c r="XI57" s="95"/>
      <c r="XJ57" s="95"/>
      <c r="XK57" s="95"/>
      <c r="XL57" s="95"/>
      <c r="XM57" s="95"/>
      <c r="XN57" s="95"/>
      <c r="XO57" s="95"/>
      <c r="XP57" s="95"/>
      <c r="XQ57" s="95"/>
      <c r="XR57" s="95"/>
      <c r="XS57" s="95"/>
      <c r="XT57" s="95"/>
      <c r="XU57" s="95"/>
      <c r="XV57" s="95"/>
      <c r="XW57" s="95"/>
      <c r="XX57" s="95"/>
      <c r="XY57" s="95"/>
      <c r="XZ57" s="95"/>
      <c r="YA57" s="95"/>
      <c r="YB57" s="95"/>
      <c r="YC57" s="95"/>
      <c r="YD57" s="95"/>
      <c r="YE57" s="95"/>
      <c r="YF57" s="95"/>
      <c r="YG57" s="95"/>
      <c r="YH57" s="95"/>
      <c r="YI57" s="95"/>
      <c r="YJ57" s="95"/>
      <c r="YK57" s="95"/>
      <c r="YL57" s="95"/>
      <c r="YM57" s="95"/>
      <c r="YN57" s="95"/>
      <c r="YO57" s="95"/>
      <c r="YP57" s="95"/>
      <c r="YQ57" s="95"/>
      <c r="YR57" s="95"/>
      <c r="YS57" s="95"/>
      <c r="YT57" s="95"/>
      <c r="YU57" s="95"/>
      <c r="YV57" s="95"/>
      <c r="YW57" s="95"/>
      <c r="YX57" s="95"/>
      <c r="YY57" s="95"/>
      <c r="YZ57" s="95"/>
      <c r="ZA57" s="95"/>
      <c r="ZB57" s="95"/>
      <c r="ZC57" s="95"/>
      <c r="ZD57" s="95"/>
      <c r="ZE57" s="95"/>
      <c r="ZF57" s="95"/>
      <c r="ZG57" s="95"/>
      <c r="ZH57" s="95"/>
      <c r="ZI57" s="95"/>
      <c r="ZJ57" s="95"/>
      <c r="ZK57" s="95"/>
      <c r="ZL57" s="95"/>
      <c r="ZM57" s="95"/>
      <c r="ZN57" s="95"/>
      <c r="ZO57" s="95"/>
      <c r="ZP57" s="95"/>
      <c r="ZQ57" s="95"/>
      <c r="ZR57" s="95"/>
      <c r="ZS57" s="95"/>
      <c r="ZT57" s="95"/>
      <c r="ZU57" s="95"/>
      <c r="ZV57" s="95"/>
      <c r="ZW57" s="95"/>
      <c r="ZX57" s="95"/>
      <c r="ZY57" s="95"/>
      <c r="ZZ57" s="95"/>
      <c r="AAA57" s="95"/>
      <c r="AAB57" s="95"/>
      <c r="AAC57" s="95"/>
      <c r="AAD57" s="95"/>
      <c r="AAE57" s="95"/>
      <c r="AAF57" s="95"/>
      <c r="AAG57" s="95"/>
      <c r="AAH57" s="95"/>
      <c r="AAI57" s="95"/>
      <c r="AAJ57" s="95"/>
      <c r="AAK57" s="95"/>
      <c r="AAL57" s="95"/>
      <c r="AAM57" s="95"/>
      <c r="AAN57" s="95"/>
      <c r="AAO57" s="95"/>
      <c r="AAP57" s="95"/>
      <c r="AAQ57" s="95"/>
      <c r="AAR57" s="95"/>
      <c r="AAS57" s="95"/>
      <c r="AAT57" s="95"/>
      <c r="AAU57" s="95"/>
      <c r="AAV57" s="95"/>
      <c r="AAW57" s="95"/>
      <c r="AAX57" s="95"/>
      <c r="AAY57" s="95"/>
      <c r="AAZ57" s="95"/>
      <c r="ABA57" s="95"/>
      <c r="ABB57" s="95"/>
      <c r="ABC57" s="95"/>
      <c r="ABD57" s="95"/>
      <c r="ABE57" s="95"/>
      <c r="ABF57" s="95"/>
      <c r="ABG57" s="95"/>
      <c r="ABH57" s="95"/>
      <c r="ABI57" s="90"/>
      <c r="ABJ57" s="94"/>
      <c r="ABK57" s="94"/>
      <c r="ABL57" s="94"/>
      <c r="ABM57" s="94"/>
      <c r="ABN57" s="94"/>
      <c r="ABO57" s="94"/>
      <c r="ABP57" s="94"/>
      <c r="ABQ57" s="94"/>
      <c r="ABR57" s="94"/>
      <c r="ABS57" s="94"/>
      <c r="ABT57" s="94"/>
      <c r="ABU57" s="94"/>
      <c r="ABV57" s="94"/>
      <c r="ABW57" s="94"/>
      <c r="ABX57" s="94"/>
      <c r="ABY57" s="94"/>
      <c r="ABZ57" s="94"/>
      <c r="ACA57" s="94"/>
      <c r="ACB57" s="94"/>
      <c r="ACC57" s="94"/>
      <c r="ACD57" s="94"/>
      <c r="ACE57" s="94"/>
      <c r="ACF57" s="94"/>
      <c r="ACG57" s="94"/>
      <c r="ACH57" s="94"/>
      <c r="ACI57" s="94"/>
      <c r="ACJ57" s="94"/>
      <c r="ACK57" s="94"/>
      <c r="ACL57" s="94"/>
      <c r="ACM57" s="94"/>
      <c r="ACN57" s="94"/>
      <c r="ACO57" s="94"/>
      <c r="ACP57" s="94"/>
      <c r="ACQ57" s="94"/>
      <c r="ACR57" s="94"/>
      <c r="ACS57" s="94"/>
      <c r="ACT57" s="94"/>
      <c r="ACU57" s="94"/>
      <c r="ACV57" s="94"/>
      <c r="ACW57" s="94"/>
      <c r="ACX57" s="94"/>
      <c r="ACY57" s="94"/>
      <c r="ACZ57" s="94"/>
      <c r="ADA57" s="94"/>
      <c r="ADB57" s="94"/>
      <c r="ADC57" s="94"/>
      <c r="ADD57" s="94"/>
      <c r="ADE57" s="94"/>
      <c r="ADF57" s="94"/>
      <c r="ADG57" s="94"/>
      <c r="ADH57" s="94"/>
      <c r="ADI57" s="94"/>
      <c r="ADJ57" s="94"/>
      <c r="ADK57" s="94"/>
      <c r="ADL57" s="94"/>
      <c r="ADM57" s="94"/>
      <c r="ADN57" s="94"/>
      <c r="ADO57" s="94"/>
      <c r="ADP57" s="94"/>
      <c r="ADQ57" s="94"/>
      <c r="ADR57" s="94"/>
      <c r="ADS57" s="94"/>
      <c r="ADT57" s="94"/>
      <c r="ADU57" s="94"/>
      <c r="ADV57" s="94"/>
      <c r="ADW57" s="94"/>
      <c r="ADX57" s="94"/>
      <c r="ADY57" s="94"/>
      <c r="ADZ57" s="94"/>
      <c r="AEA57" s="94"/>
      <c r="AEB57" s="94"/>
      <c r="AEC57" s="94"/>
      <c r="AED57" s="94"/>
      <c r="AEE57" s="94"/>
      <c r="AEF57" s="94"/>
      <c r="AEG57" s="94"/>
      <c r="AEH57" s="94"/>
      <c r="AEI57" s="94"/>
      <c r="AEJ57" s="94"/>
      <c r="AEK57" s="94"/>
      <c r="AEL57" s="94"/>
      <c r="AEM57" s="94"/>
      <c r="AEN57" s="94"/>
      <c r="AEO57" s="94"/>
      <c r="AEP57" s="94"/>
      <c r="AEQ57" s="94"/>
      <c r="AER57" s="94"/>
      <c r="AES57" s="94"/>
      <c r="AET57" s="94"/>
      <c r="AEU57" s="94"/>
      <c r="AEV57" s="94"/>
      <c r="AEW57" s="94"/>
      <c r="AEX57" s="94"/>
      <c r="AEY57" s="94"/>
      <c r="AEZ57" s="94"/>
      <c r="AFA57" s="94"/>
      <c r="AFB57" s="94"/>
      <c r="AFC57" s="94"/>
      <c r="AFD57" s="94"/>
      <c r="AFE57" s="94"/>
      <c r="AFF57" s="94"/>
      <c r="AFG57" s="94"/>
      <c r="AFH57" s="94"/>
      <c r="AFI57" s="94"/>
      <c r="AFJ57" s="94"/>
      <c r="AFK57" s="94"/>
      <c r="AFL57" s="94"/>
      <c r="AFM57" s="94"/>
      <c r="AFN57" s="94"/>
      <c r="AFO57" s="94"/>
      <c r="AFP57" s="94"/>
      <c r="AFQ57" s="94"/>
      <c r="AFR57" s="94"/>
      <c r="AFS57" s="94"/>
      <c r="AFT57" s="94"/>
      <c r="AFU57" s="94"/>
      <c r="AFV57" s="94"/>
      <c r="AFW57" s="94"/>
      <c r="AFX57" s="94"/>
      <c r="AFY57" s="94"/>
      <c r="AFZ57" s="94"/>
      <c r="AGA57" s="94"/>
      <c r="AGB57" s="94"/>
      <c r="AGC57" s="94"/>
      <c r="AGD57" s="94"/>
      <c r="AGE57" s="94"/>
      <c r="AGF57" s="94"/>
      <c r="AGG57" s="94"/>
      <c r="AGH57" s="94"/>
      <c r="AGI57" s="94"/>
      <c r="AGJ57" s="94"/>
      <c r="AGK57" s="94"/>
      <c r="AGL57" s="94"/>
      <c r="AGM57" s="94"/>
      <c r="AGN57" s="94"/>
      <c r="AGO57" s="94"/>
      <c r="AGP57" s="94"/>
      <c r="AGQ57" s="94"/>
      <c r="AGR57" s="94"/>
      <c r="AGS57" s="94"/>
      <c r="AGT57" s="94"/>
      <c r="AGU57" s="94"/>
      <c r="AGV57" s="94"/>
      <c r="AGW57" s="94"/>
      <c r="AGX57" s="94"/>
      <c r="AGY57" s="94"/>
      <c r="AGZ57" s="94"/>
      <c r="AHA57" s="94"/>
      <c r="AHB57" s="94"/>
      <c r="AHC57" s="94"/>
      <c r="AHD57" s="94"/>
      <c r="AHE57" s="94"/>
      <c r="AHF57" s="94"/>
      <c r="AHG57" s="94"/>
      <c r="AHH57" s="94"/>
      <c r="AHI57" s="94"/>
      <c r="AHJ57" s="94"/>
      <c r="AHK57" s="94"/>
      <c r="AHL57" s="94"/>
      <c r="AHM57" s="94"/>
      <c r="AHN57" s="94"/>
      <c r="AHO57" s="94"/>
      <c r="AHP57" s="94"/>
      <c r="AHQ57" s="94"/>
      <c r="AHR57" s="94"/>
      <c r="AHS57" s="94"/>
      <c r="AHT57" s="94"/>
      <c r="AHU57" s="94"/>
      <c r="AHV57" s="94"/>
      <c r="AHW57" s="94"/>
      <c r="AHX57" s="94"/>
      <c r="AHY57" s="94"/>
      <c r="AHZ57" s="94"/>
      <c r="AIA57" s="94"/>
      <c r="AIB57" s="94"/>
      <c r="AIC57" s="94"/>
      <c r="AID57" s="94"/>
      <c r="AIE57" s="94"/>
      <c r="AIF57" s="94"/>
      <c r="AIG57" s="94"/>
      <c r="AIH57" s="94"/>
      <c r="AII57" s="94"/>
      <c r="AIJ57" s="94"/>
      <c r="AIK57" s="94"/>
      <c r="AIL57" s="94"/>
      <c r="AIM57" s="94"/>
      <c r="AIN57" s="94"/>
      <c r="AIO57" s="94"/>
      <c r="AIP57" s="94"/>
      <c r="AIQ57" s="94"/>
      <c r="AIR57" s="94"/>
      <c r="AIS57" s="94"/>
      <c r="AIT57" s="94"/>
      <c r="AIU57" s="94"/>
      <c r="AIV57" s="94"/>
      <c r="AIW57" s="94"/>
      <c r="AIX57" s="94"/>
      <c r="AIY57" s="94"/>
      <c r="AIZ57" s="94"/>
      <c r="AJA57" s="94"/>
      <c r="AJB57" s="94"/>
      <c r="AJC57" s="94"/>
      <c r="AJD57" s="94"/>
      <c r="AJE57" s="94"/>
      <c r="AJF57" s="94"/>
      <c r="AJG57" s="94"/>
      <c r="AJH57" s="94"/>
      <c r="AJI57" s="94"/>
      <c r="AJJ57" s="94"/>
      <c r="AJK57" s="94"/>
      <c r="AJL57" s="94"/>
      <c r="AJM57" s="94"/>
      <c r="AJN57" s="94"/>
      <c r="AJO57" s="94"/>
      <c r="AJP57" s="94"/>
      <c r="AJQ57" s="94"/>
      <c r="AJR57" s="94"/>
      <c r="AJS57" s="94"/>
      <c r="AJT57" s="94"/>
      <c r="AJU57" s="94"/>
      <c r="AJV57" s="94"/>
      <c r="AJW57" s="94"/>
      <c r="AJX57" s="94"/>
      <c r="AJY57" s="94"/>
      <c r="AJZ57" s="94"/>
      <c r="AKA57" s="94"/>
      <c r="AKB57" s="94"/>
      <c r="AKC57" s="94"/>
      <c r="AKD57" s="94"/>
      <c r="AKE57" s="94"/>
      <c r="AKF57" s="94"/>
      <c r="AKG57" s="94"/>
      <c r="AKH57" s="94"/>
      <c r="AKI57" s="94"/>
      <c r="AKJ57" s="94"/>
      <c r="AKK57" s="94"/>
      <c r="AKL57" s="94"/>
      <c r="AKM57" s="94"/>
      <c r="AKN57" s="94"/>
      <c r="AKO57" s="94"/>
      <c r="AKP57" s="94"/>
      <c r="AKQ57" s="94"/>
      <c r="AKR57" s="94"/>
      <c r="AKS57" s="94"/>
      <c r="AKT57" s="94"/>
      <c r="AKU57" s="94"/>
      <c r="AKV57" s="94"/>
      <c r="AKW57" s="94"/>
      <c r="AKX57" s="94"/>
      <c r="AKY57" s="94"/>
      <c r="AKZ57" s="94"/>
      <c r="ALA57" s="94"/>
      <c r="ALB57" s="94"/>
      <c r="ALC57" s="94"/>
      <c r="ALD57" s="94"/>
      <c r="ALE57" s="94"/>
      <c r="ALF57" s="94"/>
      <c r="ALG57" s="94"/>
      <c r="ALH57" s="94"/>
      <c r="ALI57" s="94"/>
      <c r="ALJ57" s="94"/>
      <c r="ALK57" s="94"/>
      <c r="ALL57" s="94"/>
      <c r="ALM57" s="94"/>
      <c r="ALN57" s="94"/>
      <c r="ALO57" s="94"/>
      <c r="ALP57" s="94"/>
      <c r="ALQ57" s="94"/>
      <c r="ALR57" s="94"/>
      <c r="ALS57" s="94"/>
      <c r="ALT57" s="94"/>
      <c r="ALU57" s="94"/>
      <c r="ALV57" s="94"/>
      <c r="ALW57" s="94"/>
      <c r="ALX57" s="94"/>
      <c r="ALY57" s="94"/>
      <c r="ALZ57" s="94"/>
      <c r="AMA57" s="94"/>
      <c r="AMB57" s="94"/>
      <c r="AMC57" s="94"/>
      <c r="AMD57" s="94"/>
      <c r="AME57" s="94"/>
      <c r="AMF57" s="94"/>
      <c r="AMG57" s="94"/>
      <c r="AMH57" s="94"/>
      <c r="AMI57" s="94"/>
      <c r="AMJ57" s="94"/>
      <c r="AMK57" s="94"/>
      <c r="AML57" s="94"/>
      <c r="AMM57" s="94"/>
      <c r="AMN57" s="94"/>
      <c r="AMO57" s="94"/>
      <c r="AMP57" s="94"/>
      <c r="AMQ57" s="94"/>
      <c r="AMR57" s="94"/>
      <c r="AMS57" s="94"/>
      <c r="AMT57" s="94"/>
      <c r="AMU57" s="94"/>
      <c r="AMV57" s="94"/>
      <c r="AMW57" s="94"/>
      <c r="AMX57" s="94"/>
      <c r="AMY57" s="94"/>
      <c r="AMZ57" s="94"/>
      <c r="ANA57" s="94"/>
      <c r="ANB57" s="94"/>
      <c r="ANC57" s="94"/>
      <c r="AND57" s="94"/>
      <c r="ANE57" s="94"/>
      <c r="ANF57" s="94"/>
      <c r="ANG57" s="94"/>
      <c r="ANH57" s="94"/>
      <c r="ANI57" s="94"/>
      <c r="ANJ57" s="94"/>
      <c r="ANK57" s="94"/>
      <c r="ANL57" s="94"/>
      <c r="ANM57" s="94"/>
      <c r="ANN57" s="94"/>
      <c r="ANO57" s="94"/>
      <c r="ANP57" s="94"/>
      <c r="ANQ57" s="94"/>
      <c r="ANR57" s="94"/>
      <c r="ANS57" s="94"/>
      <c r="ANT57" s="94"/>
      <c r="ANU57" s="94"/>
      <c r="ANV57" s="94"/>
      <c r="ANW57" s="94"/>
      <c r="ANX57" s="94"/>
      <c r="ANY57" s="94"/>
      <c r="ANZ57" s="94"/>
      <c r="AOA57" s="94"/>
      <c r="AOB57" s="94"/>
      <c r="AOC57" s="94"/>
      <c r="AOD57" s="94"/>
      <c r="AOE57" s="94"/>
      <c r="AOF57" s="94"/>
      <c r="AOG57" s="94"/>
      <c r="AOH57" s="94"/>
      <c r="AOI57" s="94"/>
      <c r="AOJ57" s="94"/>
      <c r="AOK57" s="94"/>
      <c r="AOL57" s="94"/>
      <c r="AOM57" s="94"/>
      <c r="AON57" s="94"/>
      <c r="AOO57" s="94"/>
      <c r="AOP57" s="94"/>
      <c r="AOQ57" s="94"/>
      <c r="AOR57" s="94"/>
      <c r="AOS57" s="94"/>
      <c r="AOT57" s="94"/>
      <c r="AOU57" s="94"/>
      <c r="AOV57" s="94"/>
      <c r="AOW57" s="94"/>
      <c r="AOX57" s="94"/>
      <c r="AOY57" s="94"/>
      <c r="AOZ57" s="94"/>
      <c r="APA57" s="94"/>
      <c r="APB57" s="94"/>
      <c r="APC57" s="94"/>
      <c r="APD57" s="94"/>
      <c r="APE57" s="94"/>
      <c r="APF57" s="94"/>
      <c r="APG57" s="94"/>
      <c r="APH57" s="94"/>
      <c r="API57" s="94"/>
      <c r="APJ57" s="94"/>
      <c r="APK57" s="94"/>
      <c r="APL57" s="94"/>
      <c r="APM57" s="94"/>
      <c r="APN57" s="94"/>
      <c r="APO57" s="94"/>
      <c r="APP57" s="94"/>
      <c r="APQ57" s="94"/>
      <c r="APR57" s="94"/>
      <c r="APS57" s="94"/>
      <c r="APT57" s="94"/>
      <c r="APU57" s="94"/>
      <c r="APV57" s="94"/>
      <c r="APW57" s="94"/>
      <c r="APX57" s="94"/>
      <c r="APY57" s="94"/>
      <c r="APZ57" s="94"/>
      <c r="AQA57" s="94"/>
      <c r="AQB57" s="94"/>
      <c r="AQC57" s="94"/>
      <c r="AQD57" s="94"/>
      <c r="AQE57" s="94"/>
      <c r="AQF57" s="94"/>
      <c r="AQG57" s="94"/>
      <c r="AQH57" s="94"/>
      <c r="AQI57" s="94"/>
      <c r="AQJ57" s="94"/>
      <c r="AQK57" s="94"/>
      <c r="AQL57" s="94"/>
      <c r="AQM57" s="94"/>
      <c r="AQN57" s="94"/>
      <c r="AQO57" s="94"/>
      <c r="AQP57" s="94"/>
      <c r="AQQ57" s="94"/>
      <c r="AQR57" s="94"/>
      <c r="AQS57" s="94"/>
      <c r="AQT57" s="94"/>
      <c r="AQU57" s="94"/>
      <c r="AQV57" s="94"/>
      <c r="AQW57" s="94"/>
      <c r="AQX57" s="94"/>
      <c r="AQY57" s="94"/>
      <c r="AQZ57" s="94"/>
      <c r="ARA57" s="94"/>
      <c r="ARB57" s="94"/>
      <c r="ARC57" s="94"/>
      <c r="ARD57" s="94"/>
      <c r="ARE57" s="94"/>
      <c r="ARF57" s="94"/>
      <c r="ARG57" s="94"/>
      <c r="ARH57" s="94"/>
      <c r="ARI57" s="94"/>
      <c r="ARJ57" s="94"/>
      <c r="ARK57" s="94"/>
      <c r="ARL57" s="94"/>
      <c r="ARM57" s="94"/>
      <c r="ARN57" s="94"/>
      <c r="ARO57" s="94"/>
      <c r="ARP57" s="94"/>
      <c r="ARQ57" s="94"/>
      <c r="ARR57" s="94"/>
      <c r="ARS57" s="94"/>
      <c r="ART57" s="94"/>
      <c r="ARU57" s="94"/>
      <c r="ARV57" s="94"/>
      <c r="ARW57" s="94"/>
      <c r="ARX57" s="94"/>
      <c r="ARY57" s="94"/>
      <c r="ARZ57" s="94"/>
      <c r="ASA57" s="94"/>
      <c r="ASB57" s="94"/>
      <c r="ASC57" s="94"/>
      <c r="ASD57" s="94"/>
      <c r="ASE57" s="94"/>
      <c r="ASF57" s="94"/>
      <c r="ASG57" s="94"/>
      <c r="ASH57" s="94"/>
      <c r="ASI57" s="94"/>
      <c r="ASJ57" s="94"/>
      <c r="ASK57" s="94"/>
      <c r="ASL57" s="94"/>
      <c r="ASM57" s="94"/>
      <c r="ASN57" s="94"/>
      <c r="ASO57" s="94"/>
      <c r="ASP57" s="94"/>
      <c r="ASQ57" s="94"/>
      <c r="ASR57" s="94"/>
      <c r="ASS57" s="94"/>
      <c r="AST57" s="94"/>
      <c r="ASU57" s="94"/>
      <c r="ASV57" s="94"/>
      <c r="ASW57" s="94"/>
      <c r="ASX57" s="94"/>
      <c r="ASY57" s="94"/>
      <c r="ASZ57" s="94"/>
      <c r="ATA57" s="94"/>
      <c r="ATB57" s="94"/>
      <c r="ATC57" s="94"/>
      <c r="ATD57" s="94"/>
      <c r="ATE57" s="94"/>
      <c r="ATF57" s="94"/>
      <c r="ATG57" s="94"/>
      <c r="ATH57" s="94"/>
      <c r="ATI57" s="94"/>
      <c r="ATJ57" s="94"/>
      <c r="ATK57" s="94"/>
      <c r="ATL57" s="94"/>
      <c r="ATM57" s="94"/>
      <c r="ATN57" s="94"/>
      <c r="ATO57" s="94"/>
      <c r="ATP57" s="94"/>
      <c r="ATQ57" s="94"/>
      <c r="ATR57" s="94"/>
      <c r="ATS57" s="94"/>
      <c r="ATT57" s="94"/>
      <c r="ATU57" s="94"/>
      <c r="ATV57" s="94"/>
      <c r="ATW57" s="94"/>
      <c r="ATX57" s="94"/>
      <c r="ATY57" s="94"/>
      <c r="ATZ57" s="94"/>
      <c r="AUA57" s="94"/>
      <c r="AUB57" s="94"/>
      <c r="AUC57" s="94"/>
      <c r="AUD57" s="94"/>
      <c r="AUE57" s="94"/>
      <c r="AUF57" s="94"/>
      <c r="AUG57" s="94"/>
      <c r="AUH57" s="94"/>
      <c r="AUI57" s="94"/>
      <c r="AUJ57" s="94"/>
      <c r="AUK57" s="94"/>
      <c r="AUL57" s="94"/>
      <c r="AUM57" s="94"/>
      <c r="AUN57" s="94"/>
      <c r="AUO57" s="94"/>
      <c r="AUP57" s="94"/>
      <c r="AUQ57" s="94"/>
      <c r="AUR57" s="94"/>
      <c r="AUS57" s="94"/>
      <c r="AUT57" s="94"/>
      <c r="AUU57" s="94"/>
      <c r="AUV57" s="94"/>
      <c r="AUW57" s="94"/>
      <c r="AUX57" s="94"/>
      <c r="AUY57" s="94"/>
      <c r="AUZ57" s="94"/>
      <c r="AVA57" s="94"/>
      <c r="AVB57" s="94"/>
      <c r="AVC57" s="94"/>
      <c r="AVD57" s="94"/>
      <c r="AVE57" s="94"/>
      <c r="AVF57" s="94"/>
      <c r="AVG57" s="94"/>
      <c r="AVH57" s="94"/>
      <c r="AVI57" s="94"/>
      <c r="AVJ57" s="94"/>
      <c r="AVK57" s="94"/>
      <c r="AVL57" s="94"/>
      <c r="AVM57" s="94"/>
      <c r="AVN57" s="94"/>
      <c r="AVO57" s="94"/>
      <c r="AVP57" s="94"/>
      <c r="AVQ57" s="94"/>
      <c r="AVR57" s="94"/>
      <c r="AVS57" s="94"/>
      <c r="AVT57" s="94"/>
      <c r="AVU57" s="94"/>
      <c r="AVV57" s="94"/>
      <c r="AVW57" s="94"/>
      <c r="AVX57" s="94"/>
      <c r="AVY57" s="94"/>
      <c r="AVZ57" s="94"/>
      <c r="AWA57" s="94"/>
      <c r="AWB57" s="94"/>
      <c r="AWC57" s="94"/>
      <c r="AWD57" s="94"/>
      <c r="AWE57" s="94"/>
      <c r="AWF57" s="94"/>
      <c r="AWG57" s="94"/>
      <c r="AWH57" s="94"/>
      <c r="AWI57" s="94"/>
      <c r="AWJ57" s="94"/>
      <c r="AWK57" s="94"/>
      <c r="AWL57" s="94"/>
      <c r="AWM57" s="94"/>
      <c r="AWN57" s="94"/>
      <c r="AWO57" s="94"/>
      <c r="AWP57" s="94"/>
      <c r="AWQ57" s="94"/>
      <c r="AWR57" s="94"/>
      <c r="AWS57" s="94"/>
      <c r="AWT57" s="94"/>
      <c r="AWU57" s="94"/>
      <c r="AWV57" s="94"/>
      <c r="AWW57" s="94"/>
      <c r="AWX57" s="94"/>
      <c r="AWY57" s="94"/>
      <c r="AWZ57" s="94"/>
      <c r="AXA57" s="94"/>
      <c r="AXB57" s="94"/>
      <c r="AXC57" s="94"/>
      <c r="AXD57" s="94"/>
      <c r="AXE57" s="94"/>
      <c r="AXF57" s="94"/>
      <c r="AXG57" s="94"/>
      <c r="AXH57" s="94"/>
      <c r="AXI57" s="94"/>
      <c r="AXJ57" s="94"/>
      <c r="AXK57" s="94"/>
      <c r="AXL57" s="94"/>
      <c r="AXM57" s="94"/>
      <c r="AXN57" s="94"/>
      <c r="AXO57" s="94"/>
      <c r="AXP57" s="94"/>
      <c r="AXQ57" s="94"/>
      <c r="AXR57" s="94"/>
      <c r="AXS57" s="94"/>
      <c r="AXT57" s="94"/>
      <c r="AXU57" s="94"/>
      <c r="AXV57" s="94"/>
      <c r="AXW57" s="94"/>
      <c r="AXX57" s="94"/>
      <c r="AXY57" s="94"/>
      <c r="AXZ57" s="94"/>
      <c r="AYA57" s="94"/>
      <c r="AYB57" s="94"/>
      <c r="AYC57" s="94"/>
      <c r="AYD57" s="94"/>
      <c r="AYE57" s="94"/>
      <c r="AYF57" s="94"/>
      <c r="AYG57" s="94"/>
      <c r="AYH57" s="94"/>
      <c r="AYI57" s="94"/>
      <c r="AYJ57" s="94"/>
      <c r="AYK57" s="94"/>
      <c r="AYL57" s="94"/>
      <c r="AYM57" s="94"/>
      <c r="AYN57" s="94"/>
      <c r="AYO57" s="94"/>
      <c r="AYP57" s="94"/>
      <c r="AYQ57" s="94"/>
      <c r="AYR57" s="94"/>
      <c r="AYS57" s="94"/>
      <c r="AYT57" s="94"/>
      <c r="AYU57" s="94"/>
      <c r="AYV57" s="94"/>
      <c r="AYW57" s="94"/>
      <c r="AYX57" s="94"/>
      <c r="AYY57" s="94"/>
      <c r="AYZ57" s="94"/>
      <c r="AZA57" s="94"/>
      <c r="AZB57" s="94"/>
      <c r="AZC57" s="94"/>
      <c r="AZD57" s="94"/>
      <c r="AZE57" s="94"/>
      <c r="AZF57" s="94"/>
      <c r="AZG57" s="94"/>
      <c r="AZH57" s="94"/>
      <c r="AZI57" s="94"/>
      <c r="AZJ57" s="94"/>
      <c r="AZK57" s="94"/>
      <c r="AZL57" s="94"/>
      <c r="AZM57" s="94"/>
      <c r="AZN57" s="94"/>
      <c r="AZO57" s="94"/>
      <c r="AZP57" s="94"/>
      <c r="AZQ57" s="94"/>
      <c r="AZR57" s="94"/>
      <c r="AZS57" s="94"/>
      <c r="AZT57" s="94"/>
      <c r="AZU57" s="94"/>
      <c r="AZV57" s="94"/>
      <c r="AZW57" s="94"/>
      <c r="AZX57" s="94"/>
      <c r="AZY57" s="94"/>
      <c r="AZZ57" s="94"/>
      <c r="BAA57" s="94"/>
      <c r="BAB57" s="94"/>
      <c r="BAC57" s="94"/>
      <c r="BAD57" s="94"/>
      <c r="BAE57" s="94"/>
      <c r="BAF57" s="94"/>
      <c r="BAG57" s="94"/>
      <c r="BAH57" s="94"/>
      <c r="BAI57" s="94"/>
      <c r="BAJ57" s="94"/>
      <c r="BAK57" s="94"/>
      <c r="BAL57" s="94"/>
      <c r="BAM57" s="94"/>
      <c r="BAN57" s="94"/>
      <c r="BAO57" s="94"/>
      <c r="BAP57" s="94"/>
      <c r="BAQ57" s="94"/>
      <c r="BAR57" s="94"/>
      <c r="BAS57" s="94"/>
      <c r="BAT57" s="94"/>
      <c r="BAU57" s="94"/>
      <c r="BAV57" s="94"/>
      <c r="BAW57" s="94"/>
      <c r="BAX57" s="94"/>
      <c r="BAY57" s="94"/>
      <c r="BAZ57" s="94"/>
      <c r="BBA57" s="94"/>
      <c r="BBB57" s="94"/>
      <c r="BBC57" s="94"/>
      <c r="BBD57" s="94"/>
      <c r="BBE57" s="94"/>
      <c r="BBF57" s="94"/>
      <c r="BBG57" s="94"/>
      <c r="BBH57" s="94"/>
      <c r="BBI57" s="94"/>
      <c r="BBJ57" s="94"/>
      <c r="BBK57" s="94"/>
      <c r="BBL57" s="94"/>
      <c r="BBM57" s="94"/>
      <c r="BBN57" s="94"/>
      <c r="BBO57" s="94"/>
      <c r="BBP57" s="94"/>
      <c r="BBQ57" s="94"/>
      <c r="BBR57" s="94"/>
      <c r="BBS57" s="94"/>
      <c r="BBT57" s="94"/>
      <c r="BBU57" s="94"/>
      <c r="BBV57" s="94"/>
      <c r="BBW57" s="94"/>
      <c r="BBX57" s="94"/>
      <c r="BBY57" s="94"/>
      <c r="BBZ57" s="94"/>
      <c r="BCA57" s="94"/>
      <c r="BCB57" s="94"/>
      <c r="BCC57" s="94"/>
      <c r="BCD57" s="94"/>
      <c r="BCE57" s="94"/>
      <c r="BCF57" s="94"/>
      <c r="BCG57" s="94"/>
      <c r="BCH57" s="94"/>
      <c r="BCI57" s="94"/>
      <c r="BCJ57" s="94"/>
      <c r="BCK57" s="94"/>
      <c r="BCL57" s="94"/>
      <c r="BCM57" s="94"/>
      <c r="BCN57" s="94"/>
      <c r="BCO57" s="94"/>
      <c r="BCP57" s="94"/>
      <c r="BCQ57" s="94"/>
      <c r="BCR57" s="94"/>
      <c r="BCS57" s="94"/>
      <c r="BCT57" s="94"/>
      <c r="BCU57" s="94"/>
      <c r="BCV57" s="94"/>
      <c r="BCW57" s="94"/>
      <c r="BCX57" s="94"/>
      <c r="BCY57" s="94"/>
      <c r="BCZ57" s="94"/>
      <c r="BDA57" s="94"/>
      <c r="BDB57" s="94"/>
      <c r="BDC57" s="94"/>
      <c r="BDD57" s="94"/>
      <c r="BDE57" s="94"/>
      <c r="BDF57" s="94"/>
      <c r="BDG57" s="94"/>
      <c r="BDH57" s="94"/>
      <c r="BDI57" s="94"/>
      <c r="BDJ57" s="94"/>
      <c r="BDK57" s="94"/>
      <c r="BDL57" s="94"/>
      <c r="BDM57" s="94"/>
      <c r="BDN57" s="94"/>
      <c r="BDO57" s="94"/>
      <c r="BDP57" s="94"/>
      <c r="BDQ57" s="94"/>
      <c r="BDR57" s="94"/>
      <c r="BDS57" s="94"/>
      <c r="BDT57" s="94"/>
      <c r="BDU57" s="94"/>
      <c r="BDV57" s="94"/>
      <c r="BDW57" s="94"/>
      <c r="BDX57" s="94"/>
      <c r="BDY57" s="94"/>
      <c r="BDZ57" s="94"/>
      <c r="BEA57" s="94"/>
      <c r="BEB57" s="94"/>
      <c r="BEC57" s="94"/>
      <c r="BED57" s="94"/>
      <c r="BEE57" s="94"/>
      <c r="BEF57" s="94"/>
      <c r="BEG57" s="94"/>
      <c r="BEH57" s="94"/>
      <c r="BEI57" s="94"/>
      <c r="BEJ57" s="94"/>
      <c r="BEK57" s="94"/>
      <c r="BEL57" s="94"/>
      <c r="BEM57" s="94"/>
      <c r="BEN57" s="94"/>
      <c r="BEO57" s="94"/>
      <c r="BEP57" s="94"/>
      <c r="BEQ57" s="94"/>
      <c r="BER57" s="94"/>
      <c r="BES57" s="94"/>
      <c r="BET57" s="94"/>
      <c r="BEU57" s="94"/>
      <c r="BEV57" s="94"/>
      <c r="BEW57" s="94"/>
      <c r="BEX57" s="94"/>
      <c r="BEY57" s="94"/>
      <c r="BEZ57" s="94"/>
      <c r="BFA57" s="94"/>
      <c r="BFB57" s="94"/>
      <c r="BFC57" s="94"/>
      <c r="BFD57" s="94"/>
      <c r="BFE57" s="94"/>
      <c r="BFF57" s="94"/>
      <c r="BFG57" s="94"/>
      <c r="BFH57" s="94"/>
      <c r="BFI57" s="94"/>
      <c r="BFJ57" s="94"/>
      <c r="BFK57" s="94"/>
      <c r="BFL57" s="94"/>
      <c r="BFM57" s="94"/>
      <c r="BFN57" s="94"/>
      <c r="BFO57" s="94"/>
      <c r="BFP57" s="94"/>
      <c r="BFQ57" s="94"/>
      <c r="BFR57" s="94"/>
      <c r="BFS57" s="94"/>
      <c r="BFT57" s="94"/>
      <c r="BFU57" s="94"/>
      <c r="BFV57" s="94"/>
      <c r="BFW57" s="94"/>
      <c r="BFX57" s="94"/>
      <c r="BFY57" s="94"/>
      <c r="BFZ57" s="94"/>
      <c r="BGA57" s="94"/>
      <c r="BGB57" s="94"/>
      <c r="BGC57" s="94"/>
      <c r="BGD57" s="94"/>
      <c r="BGE57" s="94"/>
      <c r="BGF57" s="94"/>
      <c r="BGG57" s="94"/>
      <c r="BGH57" s="94"/>
      <c r="BGI57" s="94"/>
      <c r="BGJ57" s="94"/>
      <c r="BGK57" s="94"/>
      <c r="BGL57" s="94"/>
      <c r="BGM57" s="94"/>
      <c r="BGN57" s="94"/>
      <c r="BGO57" s="94"/>
      <c r="BGP57" s="94"/>
      <c r="BGQ57" s="94"/>
      <c r="BGR57" s="94"/>
      <c r="BGS57" s="94"/>
      <c r="BGT57" s="94"/>
      <c r="BGU57" s="94"/>
      <c r="BGV57" s="94"/>
      <c r="BGW57" s="94"/>
      <c r="BGX57" s="94"/>
      <c r="BGY57" s="94"/>
      <c r="BGZ57" s="94"/>
      <c r="BHA57" s="94"/>
      <c r="BHB57" s="94"/>
      <c r="BHC57" s="94"/>
      <c r="BHD57" s="94"/>
      <c r="BHE57" s="94"/>
      <c r="BHF57" s="94"/>
      <c r="BHG57" s="94"/>
      <c r="BHH57" s="94"/>
      <c r="BHI57" s="94"/>
      <c r="BHJ57" s="94"/>
      <c r="BHK57" s="94"/>
      <c r="BHL57" s="94"/>
      <c r="BHM57" s="94"/>
      <c r="BHN57" s="94"/>
      <c r="BHO57" s="94"/>
      <c r="BHP57" s="94"/>
      <c r="BHQ57" s="94"/>
      <c r="BHR57" s="94"/>
      <c r="BHS57" s="94"/>
      <c r="BHT57" s="94"/>
      <c r="BHU57" s="94"/>
      <c r="BHV57" s="94"/>
      <c r="BHW57" s="94"/>
      <c r="BHX57" s="94"/>
      <c r="BHY57" s="94"/>
      <c r="BHZ57" s="94"/>
      <c r="BIA57" s="94"/>
      <c r="BIB57" s="94"/>
      <c r="BIC57" s="94"/>
      <c r="BID57" s="94"/>
      <c r="BIE57" s="94"/>
      <c r="BIF57" s="94"/>
      <c r="BIG57" s="94"/>
      <c r="BIH57" s="94"/>
      <c r="BII57" s="94"/>
      <c r="BIJ57" s="94"/>
      <c r="BIK57" s="94"/>
      <c r="BIL57" s="94"/>
      <c r="BIM57" s="94"/>
      <c r="BIN57" s="94"/>
      <c r="BIO57" s="94"/>
      <c r="BIP57" s="94"/>
      <c r="BIQ57" s="94"/>
      <c r="BIR57" s="94"/>
      <c r="BIS57" s="94"/>
      <c r="BIT57" s="94"/>
      <c r="BIU57" s="94"/>
      <c r="BIV57" s="94"/>
      <c r="BIW57" s="94"/>
      <c r="BIX57" s="94"/>
      <c r="BIY57" s="94"/>
      <c r="BIZ57" s="94"/>
      <c r="BJA57" s="94"/>
      <c r="BJB57" s="94"/>
      <c r="BJC57" s="94"/>
      <c r="BJD57" s="94"/>
      <c r="BJE57" s="94"/>
      <c r="BJF57" s="94"/>
      <c r="BJG57" s="94"/>
      <c r="BJH57" s="94"/>
      <c r="BJI57" s="94"/>
      <c r="BJJ57" s="94"/>
      <c r="BJK57" s="94"/>
      <c r="BJL57" s="94"/>
      <c r="BJM57" s="94"/>
      <c r="BJN57" s="94"/>
      <c r="BJO57" s="94"/>
      <c r="BJP57" s="94"/>
      <c r="BJQ57" s="94"/>
      <c r="BJR57" s="94"/>
      <c r="BJS57" s="94"/>
      <c r="BJT57" s="94"/>
      <c r="BJU57" s="94"/>
      <c r="BJV57" s="94"/>
      <c r="BJW57" s="94"/>
      <c r="BJX57" s="94"/>
      <c r="BJY57" s="94"/>
      <c r="BJZ57" s="94"/>
      <c r="BKA57" s="94"/>
      <c r="BKB57" s="94"/>
      <c r="BKC57" s="94"/>
      <c r="BKD57" s="94"/>
      <c r="BKE57" s="94"/>
      <c r="BKF57" s="94"/>
      <c r="BKG57" s="94"/>
      <c r="BKH57" s="94"/>
      <c r="BKI57" s="94"/>
      <c r="BKJ57" s="94"/>
      <c r="BKK57" s="94"/>
      <c r="BKL57" s="94"/>
      <c r="BKM57" s="94"/>
      <c r="BKN57" s="94"/>
      <c r="BKO57" s="94"/>
      <c r="BKP57" s="94"/>
      <c r="BKQ57" s="94"/>
      <c r="BKR57" s="94"/>
      <c r="BKS57" s="94"/>
      <c r="BKT57" s="94"/>
      <c r="BKU57" s="94"/>
      <c r="BKV57" s="94"/>
      <c r="BKW57" s="94"/>
      <c r="BKX57" s="94"/>
      <c r="BKY57" s="94"/>
      <c r="BKZ57" s="94"/>
      <c r="BLA57" s="94"/>
      <c r="BLB57" s="94"/>
      <c r="BLC57" s="94"/>
      <c r="BLD57" s="94"/>
      <c r="BLE57" s="94"/>
      <c r="BLF57" s="94"/>
      <c r="BLG57" s="94"/>
      <c r="BLH57" s="94"/>
      <c r="BLI57" s="94"/>
      <c r="BLJ57" s="94"/>
      <c r="BLK57" s="94"/>
      <c r="BLL57" s="94"/>
      <c r="BLM57" s="94"/>
      <c r="BLN57" s="94"/>
      <c r="BLO57" s="94"/>
      <c r="BLP57" s="94"/>
      <c r="BLQ57" s="94"/>
      <c r="BLR57" s="94"/>
      <c r="BLS57" s="94"/>
      <c r="BLT57" s="94"/>
      <c r="BLU57" s="94"/>
      <c r="BLV57" s="94"/>
      <c r="BLW57" s="94"/>
      <c r="BLX57" s="94"/>
      <c r="BLY57" s="94"/>
      <c r="BLZ57" s="94"/>
      <c r="BMA57" s="94"/>
      <c r="BMB57" s="94"/>
      <c r="BMC57" s="94"/>
      <c r="BMD57" s="94"/>
      <c r="BME57" s="94"/>
      <c r="BMF57" s="94"/>
      <c r="BMG57" s="94"/>
      <c r="BMH57" s="94"/>
      <c r="BMI57" s="94"/>
      <c r="BMJ57" s="94"/>
      <c r="BMK57" s="94"/>
      <c r="BML57" s="94"/>
      <c r="BMM57" s="94"/>
      <c r="BMN57" s="94"/>
      <c r="BMO57" s="94"/>
      <c r="BMP57" s="94"/>
      <c r="BMQ57" s="94"/>
      <c r="BMR57" s="94"/>
      <c r="BMS57" s="94"/>
      <c r="BMT57" s="94"/>
      <c r="BMU57" s="94"/>
      <c r="BMV57" s="94"/>
      <c r="BMW57" s="94"/>
      <c r="BMX57" s="94"/>
      <c r="BMY57" s="94"/>
      <c r="BMZ57" s="94"/>
      <c r="BNA57" s="94"/>
      <c r="BNB57" s="94"/>
      <c r="BNC57" s="94"/>
      <c r="BND57" s="94"/>
      <c r="BNE57" s="94"/>
      <c r="BNF57" s="94"/>
      <c r="BNG57" s="94"/>
      <c r="BNH57" s="94"/>
      <c r="BNI57" s="94"/>
      <c r="BNJ57" s="94"/>
      <c r="BNK57" s="94"/>
      <c r="BNL57" s="94"/>
      <c r="BNM57" s="94"/>
      <c r="BNN57" s="94"/>
      <c r="BNO57" s="94"/>
      <c r="BNP57" s="94"/>
      <c r="BNQ57" s="94"/>
      <c r="BNR57" s="94"/>
      <c r="BNS57" s="94"/>
      <c r="BNT57" s="94"/>
      <c r="BNU57" s="94"/>
      <c r="BNV57" s="94"/>
      <c r="BNW57" s="94"/>
      <c r="BNX57" s="94"/>
      <c r="BNY57" s="94"/>
      <c r="BNZ57" s="94"/>
      <c r="BOA57" s="94"/>
      <c r="BOB57" s="94"/>
      <c r="BOC57" s="94"/>
      <c r="BOD57" s="94"/>
      <c r="BOE57" s="94"/>
      <c r="BOF57" s="94"/>
      <c r="BOG57" s="94"/>
      <c r="BOH57" s="94"/>
      <c r="BOI57" s="94"/>
      <c r="BOJ57" s="94"/>
      <c r="BOK57" s="94"/>
      <c r="BOL57" s="94"/>
      <c r="BOM57" s="94"/>
      <c r="BON57" s="94"/>
      <c r="BOO57" s="94"/>
      <c r="BOP57" s="94"/>
      <c r="BOQ57" s="94"/>
      <c r="BOR57" s="94"/>
      <c r="BOS57" s="94"/>
      <c r="BOT57" s="94"/>
      <c r="BOU57" s="94"/>
      <c r="BOV57" s="94"/>
      <c r="BOW57" s="94"/>
      <c r="BOX57" s="94"/>
      <c r="BOY57" s="94"/>
      <c r="BOZ57" s="94"/>
      <c r="BPA57" s="94"/>
      <c r="BPB57" s="94"/>
      <c r="BPC57" s="94"/>
      <c r="BPD57" s="94"/>
      <c r="BPE57" s="94"/>
      <c r="BPF57" s="94"/>
      <c r="BPG57" s="94"/>
      <c r="BPH57" s="94"/>
      <c r="BPI57" s="94"/>
      <c r="BPJ57" s="94"/>
      <c r="BPK57" s="94"/>
      <c r="BPL57" s="94"/>
      <c r="BPM57" s="94"/>
      <c r="BPN57" s="94"/>
      <c r="BPO57" s="94"/>
      <c r="BPP57" s="94"/>
      <c r="BPQ57" s="94"/>
      <c r="BPR57" s="94"/>
      <c r="BPS57" s="94"/>
      <c r="BPT57" s="94"/>
      <c r="BPU57" s="94"/>
      <c r="BPV57" s="94"/>
      <c r="BPW57" s="94"/>
      <c r="BPX57" s="94"/>
      <c r="BPY57" s="94"/>
      <c r="BPZ57" s="94"/>
      <c r="BQA57" s="94"/>
      <c r="BQB57" s="94"/>
      <c r="BQC57" s="94"/>
      <c r="BQD57" s="94"/>
      <c r="BQE57" s="94"/>
      <c r="BQF57" s="94"/>
      <c r="BQG57" s="94"/>
      <c r="BQH57" s="94"/>
      <c r="BQI57" s="94"/>
      <c r="BQJ57" s="94"/>
      <c r="BQK57" s="94"/>
      <c r="BQL57" s="94"/>
      <c r="BQM57" s="94"/>
      <c r="BQN57" s="94"/>
      <c r="BQO57" s="94"/>
      <c r="BQP57" s="94"/>
      <c r="BQQ57" s="94"/>
      <c r="BQR57" s="94"/>
      <c r="BQS57" s="94"/>
      <c r="BQT57" s="94"/>
      <c r="BQU57" s="94"/>
      <c r="BQV57" s="94"/>
      <c r="BQW57" s="94"/>
      <c r="BQX57" s="94"/>
      <c r="BQY57" s="94"/>
      <c r="BQZ57" s="94"/>
      <c r="BRA57" s="94"/>
      <c r="BRB57" s="94"/>
      <c r="BRC57" s="94"/>
      <c r="BRD57" s="94"/>
      <c r="BRE57" s="94"/>
      <c r="BRF57" s="94"/>
      <c r="BRG57" s="94"/>
      <c r="BRH57" s="94"/>
      <c r="BRI57" s="94"/>
      <c r="BRJ57" s="94"/>
      <c r="BRK57" s="94"/>
      <c r="BRL57" s="94"/>
      <c r="BRM57" s="94"/>
      <c r="BRN57" s="94"/>
      <c r="BRO57" s="94"/>
      <c r="BRP57" s="94"/>
      <c r="BRQ57" s="94"/>
      <c r="BRR57" s="94"/>
      <c r="BRS57" s="94"/>
      <c r="BRT57" s="94"/>
      <c r="BRU57" s="94"/>
      <c r="BRV57" s="94"/>
      <c r="BRW57" s="94"/>
      <c r="BRX57" s="94"/>
      <c r="BRY57" s="94"/>
      <c r="BRZ57" s="94"/>
      <c r="BSA57" s="94"/>
      <c r="BSB57" s="94"/>
      <c r="BSC57" s="94"/>
      <c r="BSD57" s="94"/>
      <c r="BSE57" s="94"/>
      <c r="BSF57" s="94"/>
      <c r="BSG57" s="94"/>
      <c r="BSH57" s="94"/>
      <c r="BSI57" s="94"/>
      <c r="BSJ57" s="94"/>
      <c r="BSK57" s="94"/>
      <c r="BSL57" s="94"/>
      <c r="BSM57" s="94"/>
      <c r="BSN57" s="94"/>
      <c r="BSO57" s="94"/>
      <c r="BSP57" s="94"/>
      <c r="BSQ57" s="94"/>
      <c r="BSR57" s="94"/>
      <c r="BSS57" s="94"/>
      <c r="BST57" s="94"/>
      <c r="BSU57" s="94"/>
      <c r="BSV57" s="94"/>
      <c r="BSW57" s="94"/>
      <c r="BSX57" s="94"/>
      <c r="BSY57" s="94"/>
      <c r="BSZ57" s="94"/>
      <c r="BTA57" s="94"/>
      <c r="BTB57" s="94"/>
      <c r="BTC57" s="94"/>
      <c r="BTD57" s="94"/>
      <c r="BTE57" s="94"/>
      <c r="BTF57" s="94"/>
      <c r="BTG57" s="94"/>
      <c r="BTH57" s="94"/>
      <c r="BTI57" s="94"/>
      <c r="BTJ57" s="94"/>
      <c r="BTK57" s="94"/>
      <c r="BTL57" s="94"/>
      <c r="BTM57" s="94"/>
      <c r="BTN57" s="94"/>
      <c r="BTO57" s="94"/>
      <c r="BTP57" s="94"/>
      <c r="BTQ57" s="94"/>
      <c r="BTR57" s="94"/>
      <c r="BTS57" s="94"/>
      <c r="BTT57" s="94"/>
      <c r="BTU57" s="94"/>
      <c r="BTV57" s="94"/>
      <c r="BTW57" s="94"/>
      <c r="BTX57" s="94"/>
      <c r="BTY57" s="94"/>
      <c r="BTZ57" s="94"/>
      <c r="BUA57" s="94"/>
      <c r="BUB57" s="94"/>
      <c r="BUC57" s="94"/>
      <c r="BUD57" s="94"/>
      <c r="BUE57" s="94"/>
      <c r="BUF57" s="94"/>
      <c r="BUG57" s="94"/>
      <c r="BUH57" s="94"/>
      <c r="BUI57" s="94"/>
      <c r="BUJ57" s="94"/>
      <c r="BUK57" s="94"/>
      <c r="BUL57" s="94"/>
      <c r="BUM57" s="94"/>
      <c r="BUN57" s="94"/>
      <c r="BUO57" s="94"/>
      <c r="BUP57" s="94"/>
      <c r="BUQ57" s="94"/>
      <c r="BUR57" s="94"/>
      <c r="BUS57" s="94"/>
      <c r="BUT57" s="94"/>
      <c r="BUU57" s="94"/>
      <c r="BUV57" s="94"/>
      <c r="BUW57" s="94"/>
      <c r="BUX57" s="94"/>
      <c r="BUY57" s="94"/>
      <c r="BUZ57" s="94"/>
      <c r="BVA57" s="94"/>
      <c r="BVB57" s="94"/>
      <c r="BVC57" s="94"/>
      <c r="BVD57" s="94"/>
      <c r="BVE57" s="94"/>
      <c r="BVF57" s="94"/>
      <c r="BVG57" s="94"/>
      <c r="BVH57" s="94"/>
      <c r="BVI57" s="94"/>
      <c r="BVJ57" s="94"/>
      <c r="BVK57" s="94"/>
      <c r="BVL57" s="94"/>
      <c r="BVM57" s="94"/>
      <c r="BVN57" s="94"/>
      <c r="BVO57" s="94"/>
      <c r="BVP57" s="94"/>
      <c r="BVQ57" s="94"/>
      <c r="BVR57" s="94"/>
      <c r="BVS57" s="94"/>
      <c r="BVT57" s="94"/>
      <c r="BVU57" s="94"/>
      <c r="BVV57" s="94"/>
      <c r="BVW57" s="94"/>
      <c r="BVX57" s="94"/>
      <c r="BVY57" s="94"/>
      <c r="BVZ57" s="94"/>
      <c r="BWA57" s="94"/>
      <c r="BWB57" s="94"/>
      <c r="BWC57" s="94"/>
      <c r="BWD57" s="94"/>
      <c r="BWE57" s="94"/>
      <c r="BWF57" s="94"/>
      <c r="BWG57" s="94"/>
      <c r="BWH57" s="94"/>
      <c r="BWI57" s="94"/>
      <c r="BWJ57" s="94"/>
      <c r="BWK57" s="94"/>
      <c r="BWL57" s="94"/>
      <c r="BWM57" s="94"/>
      <c r="BWN57" s="94"/>
      <c r="BWO57" s="94"/>
      <c r="BWP57" s="94"/>
      <c r="BWQ57" s="94"/>
      <c r="BWR57" s="94"/>
      <c r="BWS57" s="94"/>
      <c r="BWT57" s="94"/>
      <c r="BWU57" s="94"/>
      <c r="BWV57" s="94"/>
      <c r="BWW57" s="94"/>
      <c r="BWX57" s="94"/>
      <c r="BWY57" s="94"/>
      <c r="BWZ57" s="94"/>
      <c r="BXA57" s="94"/>
      <c r="BXB57" s="94"/>
      <c r="BXC57" s="94"/>
      <c r="BXD57" s="94"/>
      <c r="BXE57" s="94"/>
      <c r="BXF57" s="94"/>
      <c r="BXG57" s="94"/>
      <c r="BXH57" s="94"/>
      <c r="BXI57" s="94"/>
      <c r="BXJ57" s="94"/>
      <c r="BXK57" s="94"/>
      <c r="BXL57" s="94"/>
      <c r="BXM57" s="94"/>
      <c r="BXN57" s="94"/>
      <c r="BXO57" s="94"/>
      <c r="BXP57" s="94"/>
      <c r="BXQ57" s="94"/>
      <c r="BXR57" s="94"/>
      <c r="BXS57" s="94"/>
      <c r="BXT57" s="94"/>
      <c r="BXU57" s="94"/>
      <c r="BXV57" s="94"/>
      <c r="BXW57" s="94"/>
      <c r="BXX57" s="94"/>
      <c r="BXY57" s="94"/>
      <c r="BXZ57" s="94"/>
      <c r="BYA57" s="94"/>
      <c r="BYB57" s="94"/>
      <c r="BYC57" s="94"/>
      <c r="BYD57" s="94"/>
      <c r="BYE57" s="94"/>
      <c r="BYF57" s="94"/>
      <c r="BYG57" s="94"/>
      <c r="BYH57" s="94"/>
      <c r="BYI57" s="94"/>
      <c r="BYJ57" s="94"/>
      <c r="BYK57" s="94"/>
      <c r="BYL57" s="94"/>
      <c r="BYM57" s="94"/>
      <c r="BYN57" s="94"/>
      <c r="BYO57" s="94"/>
      <c r="BYP57" s="94"/>
      <c r="BYQ57" s="94"/>
      <c r="BYR57" s="94"/>
      <c r="BYS57" s="94"/>
      <c r="BYT57" s="94"/>
      <c r="BYU57" s="94"/>
      <c r="BYV57" s="94"/>
      <c r="BYW57" s="94"/>
      <c r="BYX57" s="94"/>
      <c r="BYY57" s="94"/>
      <c r="BYZ57" s="94"/>
      <c r="BZA57" s="94"/>
      <c r="BZB57" s="94"/>
      <c r="BZC57" s="94"/>
      <c r="BZD57" s="94"/>
      <c r="BZE57" s="94"/>
      <c r="BZF57" s="94"/>
      <c r="BZG57" s="94"/>
      <c r="BZH57" s="94"/>
      <c r="BZI57" s="94"/>
      <c r="BZJ57" s="94"/>
      <c r="BZK57" s="94"/>
      <c r="BZL57" s="94"/>
      <c r="BZM57" s="94"/>
      <c r="BZN57" s="94"/>
      <c r="BZO57" s="94"/>
      <c r="BZP57" s="94"/>
      <c r="BZQ57" s="94"/>
      <c r="BZR57" s="94"/>
      <c r="BZS57" s="94"/>
      <c r="BZT57" s="94"/>
      <c r="BZU57" s="94"/>
      <c r="BZV57" s="94"/>
      <c r="BZW57" s="94"/>
      <c r="BZX57" s="94"/>
      <c r="BZY57" s="94"/>
      <c r="BZZ57" s="94"/>
      <c r="CAA57" s="94"/>
      <c r="CAB57" s="94"/>
      <c r="CAC57" s="94"/>
      <c r="CAD57" s="94"/>
      <c r="CAE57" s="94"/>
      <c r="CAF57" s="94"/>
      <c r="CAG57" s="94"/>
      <c r="CAH57" s="94"/>
      <c r="CAI57" s="94"/>
      <c r="CAJ57" s="94"/>
      <c r="CAK57" s="94"/>
      <c r="CAL57" s="94"/>
      <c r="CAM57" s="94"/>
      <c r="CAN57" s="94"/>
      <c r="CAO57" s="94"/>
      <c r="CAP57" s="94"/>
      <c r="CAQ57" s="94"/>
      <c r="CAR57" s="94"/>
      <c r="CAS57" s="94"/>
      <c r="CAT57" s="94"/>
      <c r="CAU57" s="94"/>
      <c r="CAV57" s="94"/>
      <c r="CAW57" s="94"/>
      <c r="CAX57" s="94"/>
      <c r="CAY57" s="94"/>
      <c r="CAZ57" s="94"/>
      <c r="CBA57" s="94"/>
      <c r="CBB57" s="94"/>
      <c r="CBC57" s="94"/>
      <c r="CBD57" s="94"/>
      <c r="CBE57" s="94"/>
      <c r="CBF57" s="94"/>
      <c r="CBG57" s="94"/>
      <c r="CBH57" s="94"/>
      <c r="CBI57" s="94"/>
      <c r="CBJ57" s="94"/>
      <c r="CBK57" s="94"/>
      <c r="CBL57" s="94"/>
      <c r="CBM57" s="94"/>
      <c r="CBN57" s="94"/>
      <c r="CBO57" s="94"/>
      <c r="CBP57" s="94"/>
      <c r="CBQ57" s="94"/>
      <c r="CBR57" s="94"/>
      <c r="CBS57" s="94"/>
      <c r="CBT57" s="94"/>
      <c r="CBU57" s="94"/>
      <c r="CBV57" s="94"/>
      <c r="CBW57" s="94"/>
      <c r="CBX57" s="94"/>
      <c r="CBY57" s="94"/>
      <c r="CBZ57" s="94"/>
      <c r="CCA57" s="94"/>
      <c r="CCB57" s="94"/>
      <c r="CCC57" s="94"/>
      <c r="CCD57" s="94"/>
      <c r="CCE57" s="94"/>
      <c r="CCF57" s="94"/>
      <c r="CCG57" s="94"/>
      <c r="CCH57" s="94"/>
      <c r="CCI57" s="94"/>
      <c r="CCJ57" s="94"/>
      <c r="CCK57" s="94"/>
      <c r="CCL57" s="94"/>
      <c r="CCM57" s="94"/>
      <c r="CCN57" s="94"/>
      <c r="CCO57" s="94"/>
      <c r="CCP57" s="94"/>
      <c r="CCQ57" s="94"/>
      <c r="CCR57" s="94"/>
      <c r="CCS57" s="94"/>
      <c r="CCT57" s="94"/>
      <c r="CCU57" s="94"/>
      <c r="CCV57" s="94"/>
      <c r="CCW57" s="94"/>
      <c r="CCX57" s="94"/>
      <c r="CCY57" s="94"/>
      <c r="CCZ57" s="94"/>
      <c r="CDA57" s="94"/>
      <c r="CDB57" s="94"/>
      <c r="CDC57" s="94"/>
      <c r="CDD57" s="94"/>
      <c r="CDE57" s="94"/>
      <c r="CDF57" s="94"/>
      <c r="CDG57" s="94"/>
      <c r="CDH57" s="94"/>
      <c r="CDI57" s="94"/>
      <c r="CDJ57" s="94"/>
      <c r="CDK57" s="94"/>
      <c r="CDL57" s="94"/>
      <c r="CDM57" s="94"/>
      <c r="CDN57" s="94"/>
      <c r="CDO57" s="94"/>
      <c r="CDP57" s="94"/>
      <c r="CDQ57" s="94"/>
      <c r="CDR57" s="94"/>
      <c r="CDS57" s="94"/>
      <c r="CDT57" s="94"/>
      <c r="CDU57" s="94"/>
      <c r="CDV57" s="94"/>
      <c r="CDW57" s="94"/>
      <c r="CDX57" s="94"/>
      <c r="CDY57" s="94"/>
      <c r="CDZ57" s="94"/>
      <c r="CEA57" s="94"/>
      <c r="CEB57" s="94"/>
      <c r="CEC57" s="94"/>
      <c r="CED57" s="94"/>
      <c r="CEE57" s="94"/>
      <c r="CEF57" s="94"/>
      <c r="CEG57" s="94"/>
      <c r="CEH57" s="94"/>
      <c r="CEI57" s="94"/>
      <c r="CEJ57" s="94"/>
      <c r="CEK57" s="94"/>
      <c r="CEL57" s="94"/>
      <c r="CEM57" s="94"/>
      <c r="CEN57" s="94"/>
      <c r="CEO57" s="94"/>
      <c r="CEP57" s="94"/>
      <c r="CEQ57" s="94"/>
      <c r="CER57" s="94"/>
      <c r="CES57" s="94"/>
      <c r="CET57" s="94"/>
      <c r="CEU57" s="94"/>
      <c r="CEV57" s="94"/>
      <c r="CEW57" s="94"/>
      <c r="CEX57" s="94"/>
      <c r="CEY57" s="94"/>
      <c r="CEZ57" s="94"/>
      <c r="CFA57" s="94"/>
      <c r="CFB57" s="94"/>
      <c r="CFC57" s="94"/>
      <c r="CFD57" s="94"/>
      <c r="CFE57" s="94"/>
      <c r="CFF57" s="94"/>
      <c r="CFG57" s="94"/>
      <c r="CFH57" s="94"/>
      <c r="CFI57" s="94"/>
      <c r="CFJ57" s="94"/>
      <c r="CFK57" s="94"/>
      <c r="CFL57" s="94"/>
      <c r="CFM57" s="94"/>
      <c r="CFN57" s="94"/>
      <c r="CFO57" s="94"/>
      <c r="CFP57" s="94"/>
      <c r="CFQ57" s="94"/>
      <c r="CFR57" s="94"/>
      <c r="CFS57" s="94"/>
      <c r="CFT57" s="94"/>
      <c r="CFU57" s="94"/>
      <c r="CFV57" s="94"/>
      <c r="CFW57" s="94"/>
      <c r="CFX57" s="94"/>
      <c r="CFY57" s="94"/>
      <c r="CFZ57" s="94"/>
      <c r="CGA57" s="94"/>
      <c r="CGB57" s="94"/>
      <c r="CGC57" s="94"/>
      <c r="CGD57" s="94"/>
      <c r="CGE57" s="94"/>
      <c r="CGF57" s="94"/>
      <c r="CGG57" s="94"/>
      <c r="CGH57" s="94"/>
      <c r="CGI57" s="94"/>
      <c r="CGJ57" s="94"/>
      <c r="CGK57" s="94"/>
      <c r="CGL57" s="94"/>
      <c r="CGM57" s="94"/>
      <c r="CGN57" s="94"/>
      <c r="CGO57" s="94"/>
      <c r="CGP57" s="94"/>
      <c r="CGQ57" s="94"/>
      <c r="CGR57" s="94"/>
      <c r="CGS57" s="94"/>
      <c r="CGT57" s="94"/>
      <c r="CGU57" s="94"/>
      <c r="CGV57" s="94"/>
      <c r="CGW57" s="94"/>
      <c r="CGX57" s="94"/>
      <c r="CGY57" s="94"/>
      <c r="CGZ57" s="94"/>
      <c r="CHA57" s="94"/>
      <c r="CHB57" s="94"/>
      <c r="CHC57" s="94"/>
      <c r="CHD57" s="94"/>
      <c r="CHE57" s="94"/>
      <c r="CHF57" s="94"/>
      <c r="CHG57" s="94"/>
      <c r="CHH57" s="94"/>
      <c r="CHI57" s="94"/>
      <c r="CHJ57" s="94"/>
      <c r="CHK57" s="94"/>
      <c r="CHL57" s="94"/>
      <c r="CHM57" s="94"/>
      <c r="CHN57" s="94"/>
      <c r="CHO57" s="94"/>
      <c r="CHP57" s="94"/>
      <c r="CHQ57" s="94"/>
      <c r="CHR57" s="94"/>
      <c r="CHS57" s="94"/>
      <c r="CHT57" s="94"/>
      <c r="CHU57" s="94"/>
      <c r="CHV57" s="94"/>
      <c r="CHW57" s="94"/>
      <c r="CHX57" s="94"/>
      <c r="CHY57" s="94"/>
      <c r="CHZ57" s="94"/>
      <c r="CIA57" s="94"/>
      <c r="CIB57" s="94"/>
      <c r="CIC57" s="94"/>
      <c r="CID57" s="94"/>
      <c r="CIE57" s="94"/>
      <c r="CIF57" s="94"/>
      <c r="CIG57" s="94"/>
      <c r="CIH57" s="94"/>
      <c r="CII57" s="94"/>
      <c r="CIJ57" s="94"/>
      <c r="CIK57" s="94"/>
      <c r="CIL57" s="94"/>
      <c r="CIM57" s="94"/>
      <c r="CIN57" s="94"/>
      <c r="CIO57" s="94"/>
      <c r="CIP57" s="94"/>
      <c r="CIQ57" s="94"/>
      <c r="CIR57" s="94"/>
      <c r="CIS57" s="94"/>
      <c r="CIT57" s="94"/>
      <c r="CIU57" s="94"/>
      <c r="CIV57" s="94"/>
      <c r="CIW57" s="94"/>
      <c r="CIX57" s="94"/>
      <c r="CIY57" s="94"/>
      <c r="CIZ57" s="94"/>
      <c r="CJA57" s="94"/>
      <c r="CJB57" s="94"/>
      <c r="CJC57" s="94"/>
      <c r="CJD57" s="94"/>
      <c r="CJE57" s="94"/>
      <c r="CJF57" s="94"/>
      <c r="CJG57" s="94"/>
      <c r="CJH57" s="94"/>
      <c r="CJI57" s="94"/>
      <c r="CJJ57" s="94"/>
      <c r="CJK57" s="94"/>
      <c r="CJL57" s="94"/>
      <c r="CJM57" s="94"/>
      <c r="CJN57" s="94"/>
      <c r="CJO57" s="94"/>
      <c r="CJP57" s="94"/>
      <c r="CJQ57" s="94"/>
      <c r="CJR57" s="94"/>
      <c r="CJS57" s="94"/>
      <c r="CJT57" s="94"/>
      <c r="CJU57" s="94"/>
      <c r="CJV57" s="94"/>
      <c r="CJW57" s="94"/>
      <c r="CJX57" s="94"/>
      <c r="CJY57" s="94"/>
      <c r="CJZ57" s="94"/>
      <c r="CKA57" s="94"/>
      <c r="CKB57" s="94"/>
      <c r="CKC57" s="94"/>
      <c r="CKD57" s="94"/>
      <c r="CKE57" s="94"/>
      <c r="CKF57" s="94"/>
      <c r="CKG57" s="94"/>
      <c r="CKH57" s="94"/>
      <c r="CKI57" s="94"/>
      <c r="CKJ57" s="94"/>
      <c r="CKK57" s="94"/>
      <c r="CKL57" s="94"/>
      <c r="CKM57" s="94"/>
      <c r="CKN57" s="94"/>
      <c r="CKO57" s="94"/>
      <c r="CKP57" s="94"/>
      <c r="CKQ57" s="94"/>
      <c r="CKR57" s="94"/>
      <c r="CKS57" s="94"/>
      <c r="CKT57" s="94"/>
      <c r="CKU57" s="94"/>
      <c r="CKV57" s="94"/>
      <c r="CKW57" s="94"/>
      <c r="CKX57" s="94"/>
      <c r="CKY57" s="94"/>
      <c r="CKZ57" s="94"/>
      <c r="CLA57" s="94"/>
      <c r="CLB57" s="94"/>
      <c r="CLC57" s="94"/>
      <c r="CLD57" s="94"/>
      <c r="CLE57" s="94"/>
      <c r="CLF57" s="94"/>
      <c r="CLG57" s="94"/>
      <c r="CLH57" s="94"/>
      <c r="CLI57" s="94"/>
      <c r="CLJ57" s="94"/>
      <c r="CLK57" s="94"/>
      <c r="CLL57" s="94"/>
      <c r="CLM57" s="94"/>
      <c r="CLN57" s="94"/>
      <c r="CLO57" s="94"/>
      <c r="CLP57" s="94"/>
      <c r="CLQ57" s="94"/>
      <c r="CLR57" s="94"/>
      <c r="CLS57" s="94"/>
      <c r="CLT57" s="94"/>
      <c r="CLU57" s="94"/>
      <c r="CLV57" s="94"/>
      <c r="CLW57" s="94"/>
      <c r="CLX57" s="94"/>
      <c r="CLY57" s="94"/>
      <c r="CLZ57" s="94"/>
      <c r="CMA57" s="94"/>
      <c r="CMB57" s="94"/>
      <c r="CMC57" s="94"/>
      <c r="CMD57" s="94"/>
      <c r="CME57" s="94"/>
      <c r="CMF57" s="94"/>
      <c r="CMG57" s="94"/>
      <c r="CMH57" s="94"/>
      <c r="CMI57" s="94"/>
      <c r="CMJ57" s="94"/>
      <c r="CMK57" s="94"/>
      <c r="CML57" s="94"/>
      <c r="CMM57" s="94"/>
      <c r="CMN57" s="94"/>
      <c r="CMO57" s="94"/>
      <c r="CMP57" s="94"/>
      <c r="CMQ57" s="94"/>
      <c r="CMR57" s="94"/>
      <c r="CMS57" s="94"/>
      <c r="CMT57" s="94"/>
      <c r="CMU57" s="94"/>
      <c r="CMV57" s="94"/>
      <c r="CMW57" s="94"/>
      <c r="CMX57" s="94"/>
      <c r="CMY57" s="94"/>
      <c r="CMZ57" s="94"/>
      <c r="CNA57" s="94"/>
      <c r="CNB57" s="94"/>
      <c r="CNC57" s="94"/>
      <c r="CND57" s="94"/>
      <c r="CNE57" s="94"/>
      <c r="CNF57" s="94"/>
      <c r="CNG57" s="94"/>
      <c r="CNH57" s="94"/>
      <c r="CNI57" s="94"/>
      <c r="CNJ57" s="94"/>
      <c r="CNK57" s="94"/>
      <c r="CNL57" s="94"/>
      <c r="CNM57" s="94"/>
      <c r="CNN57" s="94"/>
      <c r="CNO57" s="94"/>
      <c r="CNP57" s="94"/>
      <c r="CNQ57" s="94"/>
      <c r="CNR57" s="94"/>
      <c r="CNS57" s="94"/>
      <c r="CNT57" s="94"/>
      <c r="CNU57" s="94"/>
      <c r="CNV57" s="94"/>
      <c r="CNW57" s="94"/>
      <c r="CNX57" s="94"/>
      <c r="CNY57" s="94"/>
      <c r="CNZ57" s="94"/>
      <c r="COA57" s="94"/>
      <c r="COB57" s="94"/>
      <c r="COC57" s="94"/>
      <c r="COD57" s="94"/>
      <c r="COE57" s="94"/>
      <c r="COF57" s="94"/>
      <c r="COG57" s="94"/>
      <c r="COH57" s="94"/>
      <c r="COI57" s="94"/>
      <c r="COJ57" s="94"/>
      <c r="COK57" s="94"/>
      <c r="COL57" s="94"/>
      <c r="COM57" s="94"/>
      <c r="CON57" s="94"/>
      <c r="COO57" s="94"/>
      <c r="COP57" s="94"/>
      <c r="COQ57" s="94"/>
      <c r="COR57" s="94"/>
      <c r="COS57" s="94"/>
      <c r="COT57" s="94"/>
      <c r="COU57" s="94"/>
      <c r="COV57" s="94"/>
      <c r="COW57" s="94"/>
      <c r="COX57" s="94"/>
      <c r="COY57" s="94"/>
      <c r="COZ57" s="94"/>
      <c r="CPA57" s="94"/>
      <c r="CPB57" s="94"/>
      <c r="CPC57" s="94"/>
      <c r="CPD57" s="94"/>
      <c r="CPE57" s="94"/>
      <c r="CPF57" s="94"/>
      <c r="CPG57" s="94"/>
      <c r="CPH57" s="94"/>
      <c r="CPI57" s="94"/>
      <c r="CPJ57" s="94"/>
      <c r="CPK57" s="94"/>
      <c r="CPL57" s="94"/>
      <c r="CPM57" s="94"/>
      <c r="CPN57" s="94"/>
      <c r="CPO57" s="94"/>
      <c r="CPP57" s="94"/>
      <c r="CPQ57" s="94"/>
      <c r="CPR57" s="94"/>
      <c r="CPS57" s="94"/>
      <c r="CPT57" s="94"/>
      <c r="CPU57" s="94"/>
      <c r="CPV57" s="94"/>
      <c r="CPW57" s="94"/>
      <c r="CPX57" s="94"/>
      <c r="CPY57" s="94"/>
      <c r="CPZ57" s="94"/>
      <c r="CQA57" s="94"/>
      <c r="CQB57" s="94"/>
      <c r="CQC57" s="94"/>
      <c r="CQD57" s="94"/>
      <c r="CQE57" s="94"/>
      <c r="CQF57" s="94"/>
      <c r="CQG57" s="94"/>
      <c r="CQH57" s="94"/>
      <c r="CQI57" s="94"/>
      <c r="CQJ57" s="94"/>
      <c r="CQK57" s="94"/>
      <c r="CQL57" s="94"/>
      <c r="CQM57" s="94"/>
      <c r="CQN57" s="94"/>
      <c r="CQO57" s="94"/>
      <c r="CQP57" s="94"/>
      <c r="CQQ57" s="94"/>
      <c r="CQR57" s="94"/>
      <c r="CQS57" s="94"/>
      <c r="CQT57" s="94"/>
      <c r="CQU57" s="94"/>
      <c r="CQV57" s="94"/>
      <c r="CQW57" s="94"/>
      <c r="CQX57" s="94"/>
      <c r="CQY57" s="94"/>
      <c r="CQZ57" s="94"/>
      <c r="CRA57" s="94"/>
      <c r="CRB57" s="94"/>
      <c r="CRC57" s="94"/>
      <c r="CRD57" s="94"/>
      <c r="CRE57" s="94"/>
      <c r="CRF57" s="94"/>
      <c r="CRG57" s="94"/>
      <c r="CRH57" s="94"/>
      <c r="CRI57" s="94"/>
      <c r="CRJ57" s="94"/>
      <c r="CRK57" s="94"/>
      <c r="CRL57" s="94"/>
      <c r="CRM57" s="94"/>
      <c r="CRN57" s="94"/>
      <c r="CRO57" s="94"/>
      <c r="CRP57" s="94"/>
      <c r="CRQ57" s="94"/>
      <c r="CRR57" s="94"/>
      <c r="CRS57" s="94"/>
      <c r="CRT57" s="94"/>
      <c r="CRU57" s="94"/>
      <c r="CRV57" s="94"/>
      <c r="CRW57" s="94"/>
      <c r="CRX57" s="94"/>
      <c r="CRY57" s="94"/>
      <c r="CRZ57" s="94"/>
      <c r="CSA57" s="94"/>
      <c r="CSB57" s="94"/>
      <c r="CSC57" s="94"/>
      <c r="CSD57" s="94"/>
      <c r="CSE57" s="94"/>
      <c r="CSF57" s="94"/>
      <c r="CSG57" s="94"/>
      <c r="CSH57" s="94"/>
      <c r="CSI57" s="94"/>
      <c r="CSJ57" s="94"/>
      <c r="CSK57" s="94"/>
      <c r="CSL57" s="94"/>
      <c r="CSM57" s="94"/>
      <c r="CSN57" s="94"/>
      <c r="CSO57" s="94"/>
      <c r="CSP57" s="94"/>
      <c r="CSQ57" s="94"/>
      <c r="CSR57" s="94"/>
      <c r="CSS57" s="94"/>
      <c r="CST57" s="94"/>
      <c r="CSU57" s="94"/>
      <c r="CSV57" s="94"/>
      <c r="CSW57" s="94"/>
      <c r="CSX57" s="94"/>
      <c r="CSY57" s="94"/>
      <c r="CSZ57" s="94"/>
      <c r="CTA57" s="94"/>
      <c r="CTB57" s="94"/>
      <c r="CTC57" s="94"/>
      <c r="CTD57" s="94"/>
      <c r="CTE57" s="94"/>
      <c r="CTF57" s="94"/>
      <c r="CTG57" s="94"/>
      <c r="CTH57" s="94"/>
      <c r="CTI57" s="94"/>
      <c r="CTJ57" s="94"/>
      <c r="CTK57" s="94"/>
      <c r="CTL57" s="94"/>
      <c r="CTM57" s="94"/>
      <c r="CTN57" s="94"/>
      <c r="CTO57" s="94"/>
      <c r="CTP57" s="94"/>
      <c r="CTQ57" s="94"/>
      <c r="CTR57" s="94"/>
      <c r="CTS57" s="94"/>
      <c r="CTT57" s="94"/>
      <c r="CTU57" s="94"/>
      <c r="CTV57" s="94"/>
      <c r="CTW57" s="94"/>
      <c r="CTX57" s="94"/>
      <c r="CTY57" s="94"/>
      <c r="CTZ57" s="94"/>
      <c r="CUA57" s="94"/>
      <c r="CUB57" s="94"/>
      <c r="CUC57" s="94"/>
      <c r="CUD57" s="94"/>
      <c r="CUE57" s="94"/>
      <c r="CUF57" s="94"/>
      <c r="CUG57" s="94"/>
      <c r="CUH57" s="94"/>
      <c r="CUI57" s="94"/>
      <c r="CUJ57" s="94"/>
      <c r="CUK57" s="94"/>
      <c r="CUL57" s="94"/>
      <c r="CUM57" s="94"/>
      <c r="CUN57" s="94"/>
      <c r="CUO57" s="94"/>
      <c r="CUP57" s="94"/>
      <c r="CUQ57" s="94"/>
      <c r="CUR57" s="94"/>
      <c r="CUS57" s="94"/>
      <c r="CUT57" s="94"/>
      <c r="CUU57" s="94"/>
      <c r="CUV57" s="94"/>
      <c r="CUW57" s="94"/>
      <c r="CUX57" s="94"/>
      <c r="CUY57" s="94"/>
      <c r="CUZ57" s="94"/>
      <c r="CVA57" s="94"/>
      <c r="CVB57" s="94"/>
      <c r="CVC57" s="94"/>
      <c r="CVD57" s="94"/>
      <c r="CVE57" s="94"/>
      <c r="CVF57" s="94"/>
      <c r="CVG57" s="94"/>
      <c r="CVH57" s="94"/>
      <c r="CVI57" s="94"/>
      <c r="CVJ57" s="94"/>
      <c r="CVK57" s="94"/>
      <c r="CVL57" s="94"/>
      <c r="CVM57" s="94"/>
      <c r="CVN57" s="94"/>
      <c r="CVO57" s="94"/>
      <c r="CVP57" s="94"/>
      <c r="CVQ57" s="94"/>
      <c r="CVR57" s="94"/>
      <c r="CVS57" s="94"/>
      <c r="CVT57" s="94"/>
      <c r="CVU57" s="94"/>
      <c r="CVV57" s="94"/>
      <c r="CVW57" s="94"/>
      <c r="CVX57" s="94"/>
      <c r="CVY57" s="94"/>
      <c r="CVZ57" s="94"/>
      <c r="CWA57" s="94"/>
      <c r="CWB57" s="94"/>
      <c r="CWC57" s="94"/>
      <c r="CWD57" s="94"/>
      <c r="CWE57" s="94"/>
      <c r="CWF57" s="94"/>
      <c r="CWG57" s="94"/>
      <c r="CWH57" s="94"/>
      <c r="CWI57" s="94"/>
      <c r="CWJ57" s="94"/>
      <c r="CWK57" s="94"/>
      <c r="CWL57" s="94"/>
      <c r="CWM57" s="94"/>
      <c r="CWN57" s="94"/>
      <c r="CWO57" s="94"/>
      <c r="CWP57" s="94"/>
      <c r="CWQ57" s="94"/>
      <c r="CWR57" s="94"/>
      <c r="CWS57" s="94"/>
      <c r="CWT57" s="94"/>
      <c r="CWU57" s="94"/>
      <c r="CWV57" s="94"/>
      <c r="CWW57" s="94"/>
      <c r="CWX57" s="94"/>
      <c r="CWY57" s="94"/>
      <c r="CWZ57" s="94"/>
      <c r="CXA57" s="94"/>
      <c r="CXB57" s="94"/>
      <c r="CXC57" s="94"/>
      <c r="CXD57" s="94"/>
      <c r="CXE57" s="94"/>
      <c r="CXF57" s="94"/>
      <c r="CXG57" s="94"/>
      <c r="CXH57" s="94"/>
      <c r="CXI57" s="94"/>
      <c r="CXJ57" s="94"/>
      <c r="CXK57" s="94"/>
      <c r="CXL57" s="94"/>
      <c r="CXM57" s="94"/>
      <c r="CXN57" s="94"/>
      <c r="CXO57" s="94"/>
      <c r="CXP57" s="94"/>
      <c r="CXQ57" s="94"/>
      <c r="CXR57" s="94"/>
      <c r="CXS57" s="94"/>
      <c r="CXT57" s="94"/>
      <c r="CXU57" s="94"/>
      <c r="CXV57" s="94"/>
      <c r="CXW57" s="94"/>
      <c r="CXX57" s="94"/>
      <c r="CXY57" s="94"/>
      <c r="CXZ57" s="94"/>
      <c r="CYA57" s="94"/>
      <c r="CYB57" s="94"/>
      <c r="CYC57" s="94"/>
      <c r="CYD57" s="94"/>
      <c r="CYE57" s="94"/>
      <c r="CYF57" s="94"/>
      <c r="CYG57" s="94"/>
      <c r="CYH57" s="94"/>
      <c r="CYI57" s="94"/>
      <c r="CYJ57" s="94"/>
      <c r="CYK57" s="94"/>
      <c r="CYL57" s="94"/>
      <c r="CYM57" s="94"/>
      <c r="CYN57" s="94"/>
      <c r="CYO57" s="94"/>
      <c r="CYP57" s="94"/>
      <c r="CYQ57" s="94"/>
      <c r="CYR57" s="94"/>
      <c r="CYS57" s="94"/>
      <c r="CYT57" s="94"/>
      <c r="CYU57" s="94"/>
      <c r="CYV57" s="94"/>
      <c r="CYW57" s="94"/>
      <c r="CYX57" s="94"/>
      <c r="CYY57" s="94"/>
      <c r="CYZ57" s="94"/>
      <c r="CZA57" s="94"/>
      <c r="CZB57" s="94"/>
      <c r="CZC57" s="94"/>
      <c r="CZD57" s="94"/>
      <c r="CZE57" s="94"/>
      <c r="CZF57" s="94"/>
      <c r="CZG57" s="94"/>
      <c r="CZH57" s="94"/>
      <c r="CZI57" s="94"/>
      <c r="CZJ57" s="94"/>
      <c r="CZK57" s="94"/>
      <c r="CZL57" s="94"/>
      <c r="CZM57" s="94"/>
      <c r="CZN57" s="94"/>
      <c r="CZO57" s="94"/>
      <c r="CZP57" s="94"/>
      <c r="CZQ57" s="94"/>
      <c r="CZR57" s="94"/>
      <c r="CZS57" s="94"/>
      <c r="CZT57" s="94"/>
      <c r="CZU57" s="94"/>
      <c r="CZV57" s="94"/>
      <c r="CZW57" s="94"/>
      <c r="CZX57" s="94"/>
      <c r="CZY57" s="94"/>
      <c r="CZZ57" s="94"/>
      <c r="DAA57" s="94"/>
      <c r="DAB57" s="94"/>
      <c r="DAC57" s="94"/>
      <c r="DAD57" s="94"/>
      <c r="DAE57" s="94"/>
      <c r="DAF57" s="94"/>
      <c r="DAG57" s="94"/>
      <c r="DAH57" s="94"/>
      <c r="DAI57" s="94"/>
      <c r="DAJ57" s="94"/>
      <c r="DAK57" s="94"/>
      <c r="DAL57" s="94"/>
      <c r="DAM57" s="94"/>
      <c r="DAN57" s="94"/>
      <c r="DAO57" s="94"/>
      <c r="DAP57" s="94"/>
      <c r="DAQ57" s="94"/>
      <c r="DAR57" s="94"/>
      <c r="DAS57" s="94"/>
      <c r="DAT57" s="94"/>
      <c r="DAU57" s="94"/>
      <c r="DAV57" s="94"/>
      <c r="DAW57" s="94"/>
      <c r="DAX57" s="94"/>
      <c r="DAY57" s="94"/>
      <c r="DAZ57" s="94"/>
      <c r="DBA57" s="94"/>
      <c r="DBB57" s="94"/>
      <c r="DBC57" s="94"/>
      <c r="DBD57" s="94"/>
      <c r="DBE57" s="94"/>
      <c r="DBF57" s="94"/>
      <c r="DBG57" s="94"/>
      <c r="DBH57" s="94"/>
      <c r="DBI57" s="94"/>
      <c r="DBJ57" s="94"/>
      <c r="DBK57" s="94"/>
      <c r="DBL57" s="94"/>
      <c r="DBM57" s="94"/>
      <c r="DBN57" s="94"/>
      <c r="DBO57" s="94"/>
      <c r="DBP57" s="94"/>
      <c r="DBQ57" s="94"/>
      <c r="DBR57" s="94"/>
      <c r="DBS57" s="94"/>
      <c r="DBT57" s="94"/>
      <c r="DBU57" s="94"/>
      <c r="DBV57" s="94"/>
      <c r="DBW57" s="94"/>
      <c r="DBX57" s="94"/>
      <c r="DBY57" s="94"/>
      <c r="DBZ57" s="94"/>
      <c r="DCA57" s="94"/>
      <c r="DCB57" s="94"/>
      <c r="DCC57" s="94"/>
      <c r="DCD57" s="94"/>
      <c r="DCE57" s="94"/>
      <c r="DCF57" s="94"/>
      <c r="DCG57" s="94"/>
      <c r="DCH57" s="94"/>
      <c r="DCI57" s="94"/>
      <c r="DCJ57" s="94"/>
      <c r="DCK57" s="94"/>
      <c r="DCL57" s="94"/>
      <c r="DCM57" s="94"/>
      <c r="DCN57" s="94"/>
      <c r="DCO57" s="94"/>
      <c r="DCP57" s="94"/>
      <c r="DCQ57" s="94"/>
      <c r="DCR57" s="94"/>
      <c r="DCS57" s="94"/>
      <c r="DCT57" s="94"/>
      <c r="DCU57" s="94"/>
      <c r="DCV57" s="94"/>
      <c r="DCW57" s="94"/>
      <c r="DCX57" s="94"/>
      <c r="DCY57" s="94"/>
      <c r="DCZ57" s="94"/>
      <c r="DDA57" s="94"/>
      <c r="DDB57" s="94"/>
      <c r="DDC57" s="94"/>
      <c r="DDD57" s="94"/>
      <c r="DDE57" s="94"/>
      <c r="DDF57" s="94"/>
      <c r="DDG57" s="94"/>
      <c r="DDH57" s="94"/>
      <c r="DDI57" s="94"/>
      <c r="DDJ57" s="94"/>
      <c r="DDK57" s="94"/>
      <c r="DDL57" s="94"/>
      <c r="DDM57" s="94"/>
      <c r="DDN57" s="94"/>
      <c r="DDO57" s="94"/>
      <c r="DDP57" s="94"/>
      <c r="DDQ57" s="94"/>
      <c r="DDR57" s="94"/>
      <c r="DDS57" s="94"/>
      <c r="DDT57" s="94"/>
      <c r="DDU57" s="94"/>
      <c r="DDV57" s="94"/>
      <c r="DDW57" s="94"/>
      <c r="DDX57" s="94"/>
      <c r="DDY57" s="94"/>
      <c r="DDZ57" s="94"/>
      <c r="DEA57" s="94"/>
      <c r="DEB57" s="94"/>
      <c r="DEC57" s="94"/>
      <c r="DED57" s="94"/>
      <c r="DEE57" s="94"/>
      <c r="DEF57" s="94"/>
      <c r="DEG57" s="94"/>
      <c r="DEH57" s="94"/>
      <c r="DEI57" s="94"/>
      <c r="DEJ57" s="94"/>
      <c r="DEK57" s="94"/>
      <c r="DEL57" s="94"/>
      <c r="DEM57" s="94"/>
      <c r="DEN57" s="94"/>
      <c r="DEO57" s="94"/>
      <c r="DEP57" s="94"/>
      <c r="DEQ57" s="94"/>
      <c r="DER57" s="94"/>
      <c r="DES57" s="94"/>
      <c r="DET57" s="94"/>
      <c r="DEU57" s="94"/>
      <c r="DEV57" s="94"/>
      <c r="DEW57" s="94"/>
      <c r="DEX57" s="94"/>
      <c r="DEY57" s="94"/>
      <c r="DEZ57" s="94"/>
      <c r="DFA57" s="94"/>
      <c r="DFB57" s="94"/>
      <c r="DFC57" s="94"/>
      <c r="DFD57" s="94"/>
      <c r="DFE57" s="94"/>
      <c r="DFF57" s="94"/>
      <c r="DFG57" s="94"/>
      <c r="DFH57" s="94"/>
      <c r="DFI57" s="94"/>
      <c r="DFJ57" s="94"/>
      <c r="DFK57" s="94"/>
      <c r="DFL57" s="94"/>
      <c r="DFM57" s="94"/>
      <c r="DFN57" s="94"/>
      <c r="DFO57" s="94"/>
      <c r="DFP57" s="94"/>
      <c r="DFQ57" s="94"/>
      <c r="DFR57" s="94"/>
      <c r="DFS57" s="94"/>
      <c r="DFT57" s="94"/>
      <c r="DFU57" s="94"/>
      <c r="DFV57" s="94"/>
      <c r="DFW57" s="94"/>
      <c r="DFX57" s="94"/>
      <c r="DFY57" s="94"/>
      <c r="DFZ57" s="94"/>
      <c r="DGA57" s="94"/>
      <c r="DGB57" s="94"/>
      <c r="DGC57" s="94"/>
      <c r="DGD57" s="94"/>
      <c r="DGE57" s="94"/>
      <c r="DGF57" s="94"/>
      <c r="DGG57" s="94"/>
      <c r="DGH57" s="94"/>
      <c r="DGI57" s="94"/>
      <c r="DGJ57" s="94"/>
      <c r="DGK57" s="94"/>
      <c r="DGL57" s="94"/>
      <c r="DGM57" s="94"/>
      <c r="DGN57" s="94"/>
      <c r="DGO57" s="94"/>
      <c r="DGP57" s="94"/>
      <c r="DGQ57" s="94"/>
      <c r="DGR57" s="94"/>
      <c r="DGS57" s="94"/>
      <c r="DGT57" s="94"/>
      <c r="DGU57" s="94"/>
      <c r="DGV57" s="94"/>
      <c r="DGW57" s="94"/>
      <c r="DGX57" s="94"/>
      <c r="DGY57" s="94"/>
      <c r="DGZ57" s="94"/>
      <c r="DHA57" s="94"/>
      <c r="DHB57" s="94"/>
      <c r="DHC57" s="94"/>
      <c r="DHD57" s="94"/>
      <c r="DHE57" s="94"/>
      <c r="DHF57" s="94"/>
      <c r="DHG57" s="94"/>
      <c r="DHH57" s="94"/>
      <c r="DHI57" s="94"/>
      <c r="DHJ57" s="94"/>
      <c r="DHK57" s="94"/>
      <c r="DHL57" s="94"/>
      <c r="DHM57" s="94"/>
      <c r="DHN57" s="94"/>
      <c r="DHO57" s="94"/>
      <c r="DHP57" s="94"/>
      <c r="DHQ57" s="94"/>
      <c r="DHR57" s="94"/>
      <c r="DHS57" s="94"/>
      <c r="DHT57" s="94"/>
      <c r="DHU57" s="94"/>
      <c r="DHV57" s="94"/>
      <c r="DHW57" s="94"/>
      <c r="DHX57" s="94"/>
      <c r="DHY57" s="94"/>
      <c r="DHZ57" s="94"/>
      <c r="DIA57" s="94"/>
      <c r="DIB57" s="94"/>
      <c r="DIC57" s="94"/>
      <c r="DID57" s="94"/>
      <c r="DIE57" s="94"/>
      <c r="DIF57" s="94"/>
      <c r="DIG57" s="94"/>
      <c r="DIH57" s="94"/>
      <c r="DII57" s="94"/>
      <c r="DIJ57" s="94"/>
      <c r="DIK57" s="94"/>
      <c r="DIL57" s="94"/>
      <c r="DIM57" s="94"/>
      <c r="DIN57" s="94"/>
      <c r="DIO57" s="94"/>
      <c r="DIP57" s="94"/>
      <c r="DIQ57" s="94"/>
      <c r="DIR57" s="94"/>
      <c r="DIS57" s="94"/>
      <c r="DIT57" s="94"/>
      <c r="DIU57" s="94"/>
      <c r="DIV57" s="94"/>
      <c r="DIW57" s="94"/>
      <c r="DIX57" s="94"/>
      <c r="DIY57" s="94"/>
      <c r="DIZ57" s="94"/>
      <c r="DJA57" s="94"/>
      <c r="DJB57" s="94"/>
      <c r="DJC57" s="94"/>
      <c r="DJD57" s="94"/>
      <c r="DJE57" s="94"/>
      <c r="DJF57" s="94"/>
      <c r="DJG57" s="94"/>
      <c r="DJH57" s="94"/>
      <c r="DJI57" s="94"/>
      <c r="DJJ57" s="94"/>
      <c r="DJK57" s="94"/>
      <c r="DJL57" s="94"/>
      <c r="DJM57" s="94"/>
      <c r="DJN57" s="94"/>
      <c r="DJO57" s="94"/>
      <c r="DJP57" s="94"/>
      <c r="DJQ57" s="94"/>
      <c r="DJR57" s="94"/>
      <c r="DJS57" s="94"/>
      <c r="DJT57" s="94"/>
      <c r="DJU57" s="94"/>
      <c r="DJV57" s="94"/>
      <c r="DJW57" s="94"/>
      <c r="DJX57" s="94"/>
      <c r="DJY57" s="94"/>
      <c r="DJZ57" s="94"/>
      <c r="DKA57" s="94"/>
      <c r="DKB57" s="94"/>
      <c r="DKC57" s="94"/>
      <c r="DKD57" s="94"/>
      <c r="DKE57" s="94"/>
      <c r="DKF57" s="94"/>
      <c r="DKG57" s="94"/>
      <c r="DKH57" s="94"/>
      <c r="DKI57" s="94"/>
      <c r="DKJ57" s="94"/>
      <c r="DKK57" s="94"/>
      <c r="DKL57" s="94"/>
      <c r="DKM57" s="94"/>
      <c r="DKN57" s="94"/>
      <c r="DKO57" s="94"/>
      <c r="DKP57" s="94"/>
      <c r="DKQ57" s="94"/>
      <c r="DKR57" s="94"/>
      <c r="DKS57" s="94"/>
      <c r="DKT57" s="94"/>
      <c r="DKU57" s="94"/>
      <c r="DKV57" s="94"/>
      <c r="DKW57" s="94"/>
      <c r="DKX57" s="94"/>
      <c r="DKY57" s="94"/>
      <c r="DKZ57" s="94"/>
      <c r="DLA57" s="94"/>
      <c r="DLB57" s="94"/>
      <c r="DLC57" s="94"/>
      <c r="DLD57" s="94"/>
      <c r="DLE57" s="94"/>
      <c r="DLF57" s="94"/>
      <c r="DLG57" s="94"/>
      <c r="DLH57" s="94"/>
      <c r="DLI57" s="94"/>
      <c r="DLJ57" s="94"/>
      <c r="DLK57" s="94"/>
      <c r="DLL57" s="94"/>
      <c r="DLM57" s="94"/>
      <c r="DLN57" s="94"/>
      <c r="DLO57" s="94"/>
      <c r="DLP57" s="94"/>
      <c r="DLQ57" s="94"/>
      <c r="DLR57" s="94"/>
      <c r="DLS57" s="94"/>
      <c r="DLT57" s="94"/>
      <c r="DLU57" s="94"/>
      <c r="DLV57" s="94"/>
      <c r="DLW57" s="94"/>
      <c r="DLX57" s="94"/>
      <c r="DLY57" s="94"/>
      <c r="DLZ57" s="94"/>
      <c r="DMA57" s="94"/>
      <c r="DMB57" s="94"/>
      <c r="DMC57" s="94"/>
      <c r="DMD57" s="94"/>
      <c r="DME57" s="94"/>
      <c r="DMF57" s="94"/>
      <c r="DMG57" s="94"/>
      <c r="DMH57" s="94"/>
      <c r="DMI57" s="94"/>
      <c r="DMJ57" s="94"/>
      <c r="DMK57" s="94"/>
      <c r="DML57" s="94"/>
      <c r="DMM57" s="94"/>
      <c r="DMN57" s="94"/>
      <c r="DMO57" s="94"/>
      <c r="DMP57" s="94"/>
      <c r="DMQ57" s="94"/>
      <c r="DMR57" s="94"/>
      <c r="DMS57" s="94"/>
      <c r="DMT57" s="94"/>
      <c r="DMU57" s="94"/>
      <c r="DMV57" s="94"/>
      <c r="DMW57" s="94"/>
      <c r="DMX57" s="94"/>
      <c r="DMY57" s="94"/>
      <c r="DMZ57" s="94"/>
      <c r="DNA57" s="94"/>
      <c r="DNB57" s="94"/>
      <c r="DNC57" s="94"/>
      <c r="DND57" s="94"/>
      <c r="DNE57" s="94"/>
      <c r="DNF57" s="94"/>
      <c r="DNG57" s="94"/>
      <c r="DNH57" s="94"/>
      <c r="DNI57" s="94"/>
      <c r="DNJ57" s="94"/>
      <c r="DNK57" s="94"/>
      <c r="DNL57" s="94"/>
      <c r="DNM57" s="94"/>
      <c r="DNN57" s="94"/>
      <c r="DNO57" s="94"/>
      <c r="DNP57" s="94"/>
      <c r="DNQ57" s="94"/>
      <c r="DNR57" s="94"/>
      <c r="DNS57" s="94"/>
      <c r="DNT57" s="94"/>
      <c r="DNU57" s="94"/>
      <c r="DNV57" s="94"/>
      <c r="DNW57" s="94"/>
      <c r="DNX57" s="94"/>
      <c r="DNY57" s="94"/>
      <c r="DNZ57" s="94"/>
      <c r="DOA57" s="94"/>
      <c r="DOB57" s="94"/>
      <c r="DOC57" s="94"/>
      <c r="DOD57" s="94"/>
      <c r="DOE57" s="94"/>
      <c r="DOF57" s="94"/>
      <c r="DOG57" s="94"/>
      <c r="DOH57" s="94"/>
      <c r="DOI57" s="94"/>
      <c r="DOJ57" s="94"/>
      <c r="DOK57" s="94"/>
      <c r="DOL57" s="94"/>
      <c r="DOM57" s="94"/>
      <c r="DON57" s="94"/>
      <c r="DOO57" s="94"/>
      <c r="DOP57" s="94"/>
      <c r="DOQ57" s="94"/>
      <c r="DOR57" s="94"/>
      <c r="DOS57" s="94"/>
      <c r="DOT57" s="94"/>
      <c r="DOU57" s="94"/>
      <c r="DOV57" s="94"/>
      <c r="DOW57" s="94"/>
      <c r="DOX57" s="94"/>
      <c r="DOY57" s="94"/>
      <c r="DOZ57" s="94"/>
      <c r="DPA57" s="94"/>
      <c r="DPB57" s="94"/>
      <c r="DPC57" s="94"/>
      <c r="DPD57" s="94"/>
      <c r="DPE57" s="94"/>
      <c r="DPF57" s="94"/>
      <c r="DPG57" s="94"/>
      <c r="DPH57" s="94"/>
      <c r="DPI57" s="94"/>
      <c r="DPJ57" s="94"/>
      <c r="DPK57" s="94"/>
      <c r="DPL57" s="94"/>
      <c r="DPM57" s="94"/>
      <c r="DPN57" s="94"/>
      <c r="DPO57" s="94"/>
      <c r="DPP57" s="94"/>
      <c r="DPQ57" s="94"/>
      <c r="DPR57" s="94"/>
      <c r="DPS57" s="94"/>
      <c r="DPT57" s="94"/>
      <c r="DPU57" s="94"/>
      <c r="DPV57" s="94"/>
      <c r="DPW57" s="94"/>
      <c r="DPX57" s="94"/>
      <c r="DPY57" s="94"/>
      <c r="DPZ57" s="94"/>
      <c r="DQA57" s="94"/>
      <c r="DQB57" s="94"/>
      <c r="DQC57" s="94"/>
      <c r="DQD57" s="94"/>
      <c r="DQE57" s="94"/>
      <c r="DQF57" s="94"/>
      <c r="DQG57" s="94"/>
      <c r="DQH57" s="94"/>
      <c r="DQI57" s="94"/>
      <c r="DQJ57" s="94"/>
      <c r="DQK57" s="94"/>
      <c r="DQL57" s="94"/>
      <c r="DQM57" s="94"/>
      <c r="DQN57" s="94"/>
      <c r="DQO57" s="94"/>
      <c r="DQP57" s="94"/>
      <c r="DQQ57" s="94"/>
      <c r="DQR57" s="94"/>
      <c r="DQS57" s="94"/>
      <c r="DQT57" s="94"/>
      <c r="DQU57" s="94"/>
      <c r="DQV57" s="94"/>
      <c r="DQW57" s="94"/>
      <c r="DQX57" s="94"/>
      <c r="DQY57" s="94"/>
      <c r="DQZ57" s="94"/>
      <c r="DRA57" s="94"/>
      <c r="DRB57" s="94"/>
      <c r="DRC57" s="94"/>
      <c r="DRD57" s="94"/>
      <c r="DRE57" s="94"/>
      <c r="DRF57" s="94"/>
      <c r="DRG57" s="94"/>
      <c r="DRH57" s="94"/>
      <c r="DRI57" s="94"/>
      <c r="DRJ57" s="94"/>
      <c r="DRK57" s="94"/>
      <c r="DRL57" s="94"/>
      <c r="DRM57" s="94"/>
      <c r="DRN57" s="94"/>
      <c r="DRO57" s="94"/>
      <c r="DRP57" s="94"/>
      <c r="DRQ57" s="94"/>
      <c r="DRR57" s="94"/>
      <c r="DRS57" s="94"/>
      <c r="DRT57" s="94"/>
      <c r="DRU57" s="94"/>
      <c r="DRV57" s="94"/>
      <c r="DRW57" s="94"/>
      <c r="DRX57" s="94"/>
      <c r="DRY57" s="94"/>
      <c r="DRZ57" s="94"/>
      <c r="DSA57" s="94"/>
      <c r="DSB57" s="94"/>
      <c r="DSC57" s="94"/>
      <c r="DSD57" s="94"/>
      <c r="DSE57" s="94"/>
      <c r="DSF57" s="94"/>
      <c r="DSG57" s="94"/>
      <c r="DSH57" s="94"/>
      <c r="DSI57" s="94"/>
      <c r="DSJ57" s="94"/>
      <c r="DSK57" s="94"/>
      <c r="DSL57" s="94"/>
      <c r="DSM57" s="94"/>
      <c r="DSN57" s="94"/>
      <c r="DSO57" s="94"/>
      <c r="DSP57" s="94"/>
      <c r="DSQ57" s="94"/>
      <c r="DSR57" s="94"/>
      <c r="DSS57" s="94"/>
      <c r="DST57" s="94"/>
      <c r="DSU57" s="94"/>
      <c r="DSV57" s="94"/>
      <c r="DSW57" s="94"/>
      <c r="DSX57" s="94"/>
      <c r="DSY57" s="94"/>
      <c r="DSZ57" s="94"/>
      <c r="DTA57" s="94"/>
      <c r="DTB57" s="94"/>
      <c r="DTC57" s="94"/>
      <c r="DTD57" s="94"/>
      <c r="DTE57" s="94"/>
      <c r="DTF57" s="94"/>
      <c r="DTG57" s="94"/>
      <c r="DTH57" s="94"/>
      <c r="DTI57" s="94"/>
      <c r="DTJ57" s="94"/>
      <c r="DTK57" s="94"/>
      <c r="DTL57" s="94"/>
      <c r="DTM57" s="94"/>
      <c r="DTN57" s="94"/>
      <c r="DTO57" s="94"/>
      <c r="DTP57" s="94"/>
      <c r="DTQ57" s="94"/>
      <c r="DTR57" s="94"/>
      <c r="DTS57" s="94"/>
      <c r="DTT57" s="94"/>
      <c r="DTU57" s="94"/>
      <c r="DTV57" s="94"/>
      <c r="DTW57" s="94"/>
      <c r="DTX57" s="94"/>
      <c r="DTY57" s="94"/>
      <c r="DTZ57" s="94"/>
      <c r="DUA57" s="94"/>
      <c r="DUB57" s="94"/>
      <c r="DUC57" s="94"/>
      <c r="DUD57" s="94"/>
      <c r="DUE57" s="94"/>
      <c r="DUF57" s="94"/>
      <c r="DUG57" s="94"/>
      <c r="DUH57" s="94"/>
      <c r="DUI57" s="94"/>
      <c r="DUJ57" s="94"/>
      <c r="DUK57" s="94"/>
      <c r="DUL57" s="94"/>
      <c r="DUM57" s="94"/>
      <c r="DUN57" s="94"/>
      <c r="DUO57" s="94"/>
      <c r="DUP57" s="94"/>
      <c r="DUQ57" s="94"/>
      <c r="DUR57" s="94"/>
      <c r="DUS57" s="94"/>
      <c r="DUT57" s="94"/>
      <c r="DUU57" s="94"/>
      <c r="DUV57" s="94"/>
      <c r="DUW57" s="94"/>
      <c r="DUX57" s="94"/>
      <c r="DUY57" s="94"/>
      <c r="DUZ57" s="94"/>
      <c r="DVA57" s="94"/>
      <c r="DVB57" s="94"/>
      <c r="DVC57" s="94"/>
      <c r="DVD57" s="94"/>
      <c r="DVE57" s="94"/>
      <c r="DVF57" s="94"/>
      <c r="DVG57" s="94"/>
      <c r="DVH57" s="94"/>
      <c r="DVI57" s="94"/>
      <c r="DVJ57" s="94"/>
      <c r="DVK57" s="94"/>
      <c r="DVL57" s="94"/>
      <c r="DVM57" s="94"/>
      <c r="DVN57" s="94"/>
      <c r="DVO57" s="94"/>
      <c r="DVP57" s="94"/>
      <c r="DVQ57" s="94"/>
      <c r="DVR57" s="94"/>
      <c r="DVS57" s="94"/>
      <c r="DVT57" s="94"/>
      <c r="DVU57" s="94"/>
      <c r="DVV57" s="94"/>
      <c r="DVW57" s="94"/>
      <c r="DVX57" s="94"/>
      <c r="DVY57" s="94"/>
      <c r="DVZ57" s="94"/>
      <c r="DWA57" s="94"/>
      <c r="DWB57" s="94"/>
      <c r="DWC57" s="94"/>
      <c r="DWD57" s="94"/>
      <c r="DWE57" s="94"/>
      <c r="DWF57" s="94"/>
      <c r="DWG57" s="94"/>
      <c r="DWH57" s="94"/>
      <c r="DWI57" s="94"/>
      <c r="DWJ57" s="94"/>
      <c r="DWK57" s="94"/>
      <c r="DWL57" s="94"/>
      <c r="DWM57" s="94"/>
      <c r="DWN57" s="94"/>
      <c r="DWO57" s="94"/>
      <c r="DWP57" s="94"/>
      <c r="DWQ57" s="94"/>
      <c r="DWR57" s="94"/>
      <c r="DWS57" s="94"/>
      <c r="DWT57" s="94"/>
      <c r="DWU57" s="94"/>
      <c r="DWV57" s="94"/>
      <c r="DWW57" s="94"/>
      <c r="DWX57" s="94"/>
      <c r="DWY57" s="94"/>
      <c r="DWZ57" s="94"/>
      <c r="DXA57" s="94"/>
      <c r="DXB57" s="94"/>
      <c r="DXC57" s="94"/>
      <c r="DXD57" s="94"/>
      <c r="DXE57" s="94"/>
      <c r="DXF57" s="94"/>
      <c r="DXG57" s="94"/>
      <c r="DXH57" s="94"/>
      <c r="DXI57" s="94"/>
      <c r="DXJ57" s="94"/>
      <c r="DXK57" s="94"/>
      <c r="DXL57" s="94"/>
      <c r="DXM57" s="94"/>
      <c r="DXN57" s="94"/>
      <c r="DXO57" s="94"/>
      <c r="DXP57" s="94"/>
      <c r="DXQ57" s="94"/>
      <c r="DXR57" s="94"/>
      <c r="DXS57" s="94"/>
      <c r="DXT57" s="94"/>
      <c r="DXU57" s="94"/>
      <c r="DXV57" s="94"/>
      <c r="DXW57" s="94"/>
      <c r="DXX57" s="94"/>
      <c r="DXY57" s="94"/>
      <c r="DXZ57" s="94"/>
      <c r="DYA57" s="94"/>
      <c r="DYB57" s="94"/>
      <c r="DYC57" s="94"/>
      <c r="DYD57" s="94"/>
      <c r="DYE57" s="94"/>
      <c r="DYF57" s="94"/>
      <c r="DYG57" s="94"/>
      <c r="DYH57" s="94"/>
      <c r="DYI57" s="94"/>
      <c r="DYJ57" s="94"/>
      <c r="DYK57" s="94"/>
      <c r="DYL57" s="94"/>
      <c r="DYM57" s="94"/>
      <c r="DYN57" s="94"/>
      <c r="DYO57" s="94"/>
      <c r="DYP57" s="94"/>
      <c r="DYQ57" s="94"/>
      <c r="DYR57" s="94"/>
      <c r="DYS57" s="94"/>
      <c r="DYT57" s="94"/>
      <c r="DYU57" s="94"/>
      <c r="DYV57" s="94"/>
      <c r="DYW57" s="94"/>
      <c r="DYX57" s="94"/>
      <c r="DYY57" s="94"/>
      <c r="DYZ57" s="94"/>
      <c r="DZA57" s="94"/>
      <c r="DZB57" s="94"/>
      <c r="DZC57" s="94"/>
      <c r="DZD57" s="94"/>
      <c r="DZE57" s="94"/>
      <c r="DZF57" s="94"/>
      <c r="DZG57" s="94"/>
      <c r="DZH57" s="94"/>
      <c r="DZI57" s="94"/>
      <c r="DZJ57" s="94"/>
      <c r="DZK57" s="94"/>
      <c r="DZL57" s="94"/>
      <c r="DZM57" s="94"/>
      <c r="DZN57" s="94"/>
      <c r="DZO57" s="94"/>
      <c r="DZP57" s="94"/>
      <c r="DZQ57" s="94"/>
      <c r="DZR57" s="94"/>
      <c r="DZS57" s="94"/>
      <c r="DZT57" s="94"/>
      <c r="DZU57" s="94"/>
      <c r="DZV57" s="94"/>
      <c r="DZW57" s="94"/>
      <c r="DZX57" s="94"/>
      <c r="DZY57" s="94"/>
      <c r="DZZ57" s="94"/>
      <c r="EAA57" s="94"/>
      <c r="EAB57" s="94"/>
      <c r="EAC57" s="94"/>
      <c r="EAD57" s="94"/>
      <c r="EAE57" s="94"/>
      <c r="EAF57" s="94"/>
      <c r="EAG57" s="94"/>
      <c r="EAH57" s="94"/>
      <c r="EAI57" s="94"/>
      <c r="EAJ57" s="94"/>
      <c r="EAK57" s="94"/>
      <c r="EAL57" s="94"/>
      <c r="EAM57" s="94"/>
      <c r="EAN57" s="94"/>
      <c r="EAO57" s="94"/>
      <c r="EAP57" s="94"/>
      <c r="EAQ57" s="94"/>
      <c r="EAR57" s="94"/>
      <c r="EAS57" s="94"/>
      <c r="EAT57" s="94"/>
      <c r="EAU57" s="94"/>
      <c r="EAV57" s="94"/>
      <c r="EAW57" s="94"/>
      <c r="EAX57" s="94"/>
      <c r="EAY57" s="94"/>
      <c r="EAZ57" s="94"/>
      <c r="EBA57" s="94"/>
      <c r="EBB57" s="94"/>
      <c r="EBC57" s="94"/>
      <c r="EBD57" s="94"/>
      <c r="EBE57" s="94"/>
      <c r="EBF57" s="94"/>
      <c r="EBG57" s="94"/>
      <c r="EBH57" s="94"/>
      <c r="EBI57" s="94"/>
      <c r="EBJ57" s="94"/>
      <c r="EBK57" s="94"/>
      <c r="EBL57" s="94"/>
      <c r="EBM57" s="94"/>
      <c r="EBN57" s="94"/>
      <c r="EBO57" s="94"/>
      <c r="EBP57" s="94"/>
      <c r="EBQ57" s="94"/>
      <c r="EBR57" s="94"/>
      <c r="EBS57" s="94"/>
      <c r="EBT57" s="94"/>
      <c r="EBU57" s="94"/>
      <c r="EBV57" s="94"/>
      <c r="EBW57" s="94"/>
      <c r="EBX57" s="94"/>
      <c r="EBY57" s="94"/>
      <c r="EBZ57" s="94"/>
      <c r="ECA57" s="94"/>
      <c r="ECB57" s="94"/>
      <c r="ECC57" s="94"/>
      <c r="ECD57" s="94"/>
      <c r="ECE57" s="94"/>
      <c r="ECF57" s="94"/>
      <c r="ECG57" s="94"/>
      <c r="ECH57" s="94"/>
      <c r="ECI57" s="94"/>
      <c r="ECJ57" s="94"/>
      <c r="ECK57" s="94"/>
      <c r="ECL57" s="94"/>
      <c r="ECM57" s="94"/>
      <c r="ECN57" s="94"/>
      <c r="ECO57" s="94"/>
      <c r="ECP57" s="94"/>
      <c r="ECQ57" s="94"/>
      <c r="ECR57" s="94"/>
      <c r="ECS57" s="94"/>
      <c r="ECT57" s="94"/>
      <c r="ECU57" s="94"/>
      <c r="ECV57" s="94"/>
      <c r="ECW57" s="94"/>
      <c r="ECX57" s="94"/>
      <c r="ECY57" s="94"/>
      <c r="ECZ57" s="94"/>
      <c r="EDA57" s="94"/>
      <c r="EDB57" s="94"/>
      <c r="EDC57" s="94"/>
      <c r="EDD57" s="94"/>
      <c r="EDE57" s="94"/>
      <c r="EDF57" s="94"/>
      <c r="EDG57" s="94"/>
      <c r="EDH57" s="94"/>
      <c r="EDI57" s="94"/>
      <c r="EDJ57" s="94"/>
      <c r="EDK57" s="94"/>
      <c r="EDL57" s="94"/>
      <c r="EDM57" s="94"/>
      <c r="EDN57" s="94"/>
      <c r="EDO57" s="94"/>
      <c r="EDP57" s="94"/>
      <c r="EDQ57" s="94"/>
      <c r="EDR57" s="94"/>
      <c r="EDS57" s="94"/>
      <c r="EDT57" s="94"/>
      <c r="EDU57" s="94"/>
      <c r="EDV57" s="94"/>
      <c r="EDW57" s="94"/>
      <c r="EDX57" s="94"/>
      <c r="EDY57" s="94"/>
      <c r="EDZ57" s="94"/>
      <c r="EEA57" s="94"/>
      <c r="EEB57" s="94"/>
      <c r="EEC57" s="94"/>
      <c r="EED57" s="94"/>
      <c r="EEE57" s="94"/>
      <c r="EEF57" s="94"/>
      <c r="EEG57" s="94"/>
      <c r="EEH57" s="94"/>
      <c r="EEI57" s="94"/>
      <c r="EEJ57" s="94"/>
      <c r="EEK57" s="94"/>
      <c r="EEL57" s="94"/>
      <c r="EEM57" s="94"/>
      <c r="EEN57" s="94"/>
      <c r="EEO57" s="94"/>
      <c r="EEP57" s="94"/>
      <c r="EEQ57" s="94"/>
      <c r="EER57" s="94"/>
      <c r="EES57" s="94"/>
      <c r="EET57" s="94"/>
      <c r="EEU57" s="94"/>
      <c r="EEV57" s="94"/>
      <c r="EEW57" s="94"/>
      <c r="EEX57" s="94"/>
      <c r="EEY57" s="94"/>
      <c r="EEZ57" s="94"/>
      <c r="EFA57" s="94"/>
      <c r="EFB57" s="94"/>
      <c r="EFC57" s="94"/>
      <c r="EFD57" s="94"/>
      <c r="EFE57" s="94"/>
      <c r="EFF57" s="94"/>
      <c r="EFG57" s="94"/>
      <c r="EFH57" s="94"/>
      <c r="EFI57" s="94"/>
      <c r="EFJ57" s="94"/>
      <c r="EFK57" s="94"/>
      <c r="EFL57" s="94"/>
      <c r="EFM57" s="94"/>
      <c r="EFN57" s="94"/>
      <c r="EFO57" s="94"/>
      <c r="EFP57" s="94"/>
      <c r="EFQ57" s="94"/>
      <c r="EFR57" s="94"/>
      <c r="EFS57" s="94"/>
      <c r="EFT57" s="94"/>
      <c r="EFU57" s="94"/>
      <c r="EFV57" s="94"/>
      <c r="EFW57" s="94"/>
      <c r="EFX57" s="94"/>
      <c r="EFY57" s="94"/>
      <c r="EFZ57" s="94"/>
      <c r="EGA57" s="94"/>
      <c r="EGB57" s="94"/>
      <c r="EGC57" s="94"/>
      <c r="EGD57" s="94"/>
      <c r="EGE57" s="94"/>
      <c r="EGF57" s="94"/>
      <c r="EGG57" s="94"/>
      <c r="EGH57" s="94"/>
      <c r="EGI57" s="94"/>
      <c r="EGJ57" s="94"/>
      <c r="EGK57" s="94"/>
      <c r="EGL57" s="94"/>
      <c r="EGM57" s="94"/>
      <c r="EGN57" s="94"/>
      <c r="EGO57" s="94"/>
      <c r="EGP57" s="94"/>
      <c r="EGQ57" s="94"/>
      <c r="EGR57" s="94"/>
      <c r="EGS57" s="94"/>
      <c r="EGT57" s="94"/>
      <c r="EGU57" s="94"/>
      <c r="EGV57" s="94"/>
      <c r="EGW57" s="94"/>
      <c r="EGX57" s="94"/>
      <c r="EGY57" s="94"/>
      <c r="EGZ57" s="94"/>
      <c r="EHA57" s="94"/>
      <c r="EHB57" s="94"/>
      <c r="EHC57" s="94"/>
      <c r="EHD57" s="94"/>
      <c r="EHE57" s="94"/>
      <c r="EHF57" s="94"/>
      <c r="EHG57" s="94"/>
      <c r="EHH57" s="94"/>
      <c r="EHI57" s="94"/>
      <c r="EHJ57" s="94"/>
      <c r="EHK57" s="94"/>
      <c r="EHL57" s="94"/>
      <c r="EHM57" s="94"/>
      <c r="EHN57" s="94"/>
      <c r="EHO57" s="94"/>
      <c r="EHP57" s="94"/>
      <c r="EHQ57" s="94"/>
      <c r="EHR57" s="94"/>
      <c r="EHS57" s="94"/>
      <c r="EHT57" s="94"/>
      <c r="EHU57" s="94"/>
      <c r="EHV57" s="94"/>
      <c r="EHW57" s="94"/>
      <c r="EHX57" s="94"/>
      <c r="EHY57" s="94"/>
      <c r="EHZ57" s="94"/>
      <c r="EIA57" s="94"/>
      <c r="EIB57" s="94"/>
      <c r="EIC57" s="94"/>
      <c r="EID57" s="94"/>
      <c r="EIE57" s="94"/>
      <c r="EIF57" s="94"/>
      <c r="EIG57" s="94"/>
      <c r="EIH57" s="94"/>
      <c r="EII57" s="94"/>
      <c r="EIJ57" s="94"/>
      <c r="EIK57" s="94"/>
      <c r="EIL57" s="94"/>
      <c r="EIM57" s="94"/>
      <c r="EIN57" s="94"/>
      <c r="EIO57" s="94"/>
      <c r="EIP57" s="94"/>
      <c r="EIQ57" s="94"/>
      <c r="EIR57" s="94"/>
      <c r="EIS57" s="94"/>
      <c r="EIT57" s="94"/>
      <c r="EIU57" s="94"/>
      <c r="EIV57" s="94"/>
      <c r="EIW57" s="94"/>
      <c r="EIX57" s="94"/>
      <c r="EIY57" s="94"/>
      <c r="EIZ57" s="94"/>
      <c r="EJA57" s="94"/>
      <c r="EJB57" s="94"/>
      <c r="EJC57" s="94"/>
      <c r="EJD57" s="94"/>
      <c r="EJE57" s="94"/>
      <c r="EJF57" s="94"/>
      <c r="EJG57" s="94"/>
      <c r="EJH57" s="94"/>
      <c r="EJI57" s="94"/>
      <c r="EJJ57" s="94"/>
      <c r="EJK57" s="94"/>
      <c r="EJL57" s="94"/>
      <c r="EJM57" s="94"/>
      <c r="EJN57" s="94"/>
      <c r="EJO57" s="94"/>
      <c r="EJP57" s="94"/>
      <c r="EJQ57" s="94"/>
      <c r="EJR57" s="94"/>
      <c r="EJS57" s="94"/>
      <c r="EJT57" s="94"/>
      <c r="EJU57" s="94"/>
      <c r="EJV57" s="94"/>
      <c r="EJW57" s="94"/>
      <c r="EJX57" s="94"/>
      <c r="EJY57" s="94"/>
      <c r="EJZ57" s="94"/>
      <c r="EKA57" s="94"/>
      <c r="EKB57" s="94"/>
      <c r="EKC57" s="94"/>
      <c r="EKD57" s="94"/>
      <c r="EKE57" s="94"/>
      <c r="EKF57" s="94"/>
      <c r="EKG57" s="94"/>
      <c r="EKH57" s="94"/>
      <c r="EKI57" s="94"/>
      <c r="EKJ57" s="94"/>
      <c r="EKK57" s="94"/>
      <c r="EKL57" s="94"/>
      <c r="EKM57" s="94"/>
      <c r="EKN57" s="94"/>
      <c r="EKO57" s="94"/>
      <c r="EKP57" s="94"/>
      <c r="EKQ57" s="94"/>
      <c r="EKR57" s="94"/>
      <c r="EKS57" s="94"/>
      <c r="EKT57" s="94"/>
      <c r="EKU57" s="94"/>
      <c r="EKV57" s="94"/>
      <c r="EKW57" s="94"/>
      <c r="EKX57" s="94"/>
      <c r="EKY57" s="94"/>
      <c r="EKZ57" s="94"/>
      <c r="ELA57" s="94"/>
      <c r="ELB57" s="94"/>
      <c r="ELC57" s="94"/>
      <c r="ELD57" s="94"/>
      <c r="ELE57" s="94"/>
      <c r="ELF57" s="94"/>
      <c r="ELG57" s="94"/>
      <c r="ELH57" s="94"/>
      <c r="ELI57" s="94"/>
      <c r="ELJ57" s="94"/>
      <c r="ELK57" s="94"/>
      <c r="ELL57" s="94"/>
      <c r="ELM57" s="94"/>
      <c r="ELN57" s="94"/>
      <c r="ELO57" s="94"/>
      <c r="ELP57" s="94"/>
      <c r="ELQ57" s="94"/>
      <c r="ELR57" s="94"/>
      <c r="ELS57" s="94"/>
      <c r="ELT57" s="94"/>
      <c r="ELU57" s="94"/>
      <c r="ELV57" s="94"/>
      <c r="ELW57" s="94"/>
      <c r="ELX57" s="94"/>
      <c r="ELY57" s="94"/>
      <c r="ELZ57" s="94"/>
      <c r="EMA57" s="94"/>
      <c r="EMB57" s="94"/>
      <c r="EMC57" s="94"/>
      <c r="EMD57" s="94"/>
      <c r="EME57" s="94"/>
      <c r="EMF57" s="94"/>
      <c r="EMG57" s="94"/>
      <c r="EMH57" s="94"/>
      <c r="EMI57" s="94"/>
      <c r="EMJ57" s="94"/>
      <c r="EMK57" s="94"/>
      <c r="EML57" s="94"/>
      <c r="EMM57" s="94"/>
      <c r="EMN57" s="94"/>
      <c r="EMO57" s="94"/>
      <c r="EMP57" s="94"/>
      <c r="EMQ57" s="94"/>
      <c r="EMR57" s="94"/>
      <c r="EMS57" s="94"/>
      <c r="EMT57" s="94"/>
      <c r="EMU57" s="94"/>
      <c r="EMV57" s="94"/>
      <c r="EMW57" s="94"/>
      <c r="EMX57" s="94"/>
      <c r="EMY57" s="94"/>
      <c r="EMZ57" s="94"/>
      <c r="ENA57" s="94"/>
      <c r="ENB57" s="94"/>
      <c r="ENC57" s="94"/>
      <c r="END57" s="94"/>
      <c r="ENE57" s="94"/>
      <c r="ENF57" s="94"/>
      <c r="ENG57" s="94"/>
      <c r="ENH57" s="94"/>
      <c r="ENI57" s="94"/>
      <c r="ENJ57" s="94"/>
      <c r="ENK57" s="94"/>
      <c r="ENL57" s="94"/>
      <c r="ENM57" s="94"/>
      <c r="ENN57" s="94"/>
      <c r="ENO57" s="94"/>
      <c r="ENP57" s="94"/>
      <c r="ENQ57" s="94"/>
      <c r="ENR57" s="94"/>
      <c r="ENS57" s="94"/>
      <c r="ENT57" s="94"/>
      <c r="ENU57" s="94"/>
      <c r="ENV57" s="94"/>
      <c r="ENW57" s="94"/>
      <c r="ENX57" s="94"/>
      <c r="ENY57" s="94"/>
      <c r="ENZ57" s="94"/>
      <c r="EOA57" s="94"/>
      <c r="EOB57" s="94"/>
      <c r="EOC57" s="94"/>
      <c r="EOD57" s="94"/>
      <c r="EOE57" s="94"/>
      <c r="EOF57" s="94"/>
      <c r="EOG57" s="94"/>
      <c r="EOH57" s="94"/>
      <c r="EOI57" s="94"/>
      <c r="EOJ57" s="94"/>
      <c r="EOK57" s="94"/>
      <c r="EOL57" s="94"/>
      <c r="EOM57" s="94"/>
      <c r="EON57" s="94"/>
      <c r="EOO57" s="94"/>
      <c r="EOP57" s="94"/>
      <c r="EOQ57" s="94"/>
      <c r="EOR57" s="94"/>
      <c r="EOS57" s="94"/>
      <c r="EOT57" s="94"/>
      <c r="EOU57" s="94"/>
      <c r="EOV57" s="94"/>
      <c r="EOW57" s="94"/>
      <c r="EOX57" s="94"/>
      <c r="EOY57" s="94"/>
      <c r="EOZ57" s="94"/>
      <c r="EPA57" s="94"/>
      <c r="EPB57" s="94"/>
      <c r="EPC57" s="94"/>
      <c r="EPD57" s="94"/>
      <c r="EPE57" s="94"/>
      <c r="EPF57" s="94"/>
      <c r="EPG57" s="94"/>
      <c r="EPH57" s="94"/>
      <c r="EPI57" s="94"/>
      <c r="EPJ57" s="94"/>
      <c r="EPK57" s="94"/>
      <c r="EPL57" s="94"/>
      <c r="EPM57" s="94"/>
      <c r="EPN57" s="94"/>
      <c r="EPO57" s="94"/>
      <c r="EPP57" s="94"/>
      <c r="EPQ57" s="94"/>
      <c r="EPR57" s="94"/>
      <c r="EPS57" s="94"/>
      <c r="EPT57" s="94"/>
      <c r="EPU57" s="94"/>
      <c r="EPV57" s="94"/>
      <c r="EPW57" s="94"/>
      <c r="EPX57" s="94"/>
      <c r="EPY57" s="94"/>
      <c r="EPZ57" s="94"/>
      <c r="EQA57" s="94"/>
      <c r="EQB57" s="94"/>
      <c r="EQC57" s="94"/>
      <c r="EQD57" s="94"/>
      <c r="EQE57" s="94"/>
      <c r="EQF57" s="94"/>
      <c r="EQG57" s="94"/>
      <c r="EQH57" s="94"/>
      <c r="EQI57" s="94"/>
      <c r="EQJ57" s="94"/>
      <c r="EQK57" s="94"/>
      <c r="EQL57" s="94"/>
      <c r="EQM57" s="94"/>
      <c r="EQN57" s="94"/>
      <c r="EQO57" s="94"/>
      <c r="EQP57" s="94"/>
      <c r="EQQ57" s="94"/>
      <c r="EQR57" s="94"/>
      <c r="EQS57" s="94"/>
      <c r="EQT57" s="94"/>
      <c r="EQU57" s="94"/>
      <c r="EQV57" s="94"/>
      <c r="EQW57" s="94"/>
      <c r="EQX57" s="94"/>
      <c r="EQY57" s="94"/>
      <c r="EQZ57" s="94"/>
      <c r="ERA57" s="94"/>
      <c r="ERB57" s="94"/>
      <c r="ERC57" s="94"/>
      <c r="ERD57" s="94"/>
      <c r="ERE57" s="94"/>
      <c r="ERF57" s="94"/>
      <c r="ERG57" s="94"/>
      <c r="ERH57" s="94"/>
      <c r="ERI57" s="94"/>
      <c r="ERJ57" s="94"/>
      <c r="ERK57" s="94"/>
      <c r="ERL57" s="94"/>
      <c r="ERM57" s="94"/>
      <c r="ERN57" s="94"/>
      <c r="ERO57" s="94"/>
      <c r="ERP57" s="94"/>
      <c r="ERQ57" s="94"/>
      <c r="ERR57" s="94"/>
      <c r="ERS57" s="94"/>
      <c r="ERT57" s="94"/>
      <c r="ERU57" s="94"/>
      <c r="ERV57" s="94"/>
      <c r="ERW57" s="94"/>
      <c r="ERX57" s="94"/>
      <c r="ERY57" s="94"/>
      <c r="ERZ57" s="94"/>
      <c r="ESA57" s="94"/>
      <c r="ESB57" s="94"/>
      <c r="ESC57" s="94"/>
      <c r="ESD57" s="94"/>
      <c r="ESE57" s="94"/>
      <c r="ESF57" s="94"/>
      <c r="ESG57" s="94"/>
      <c r="ESH57" s="94"/>
      <c r="ESI57" s="94"/>
      <c r="ESJ57" s="94"/>
      <c r="ESK57" s="94"/>
      <c r="ESL57" s="94"/>
      <c r="ESM57" s="94"/>
      <c r="ESN57" s="94"/>
      <c r="ESO57" s="94"/>
      <c r="ESP57" s="94"/>
      <c r="ESQ57" s="94"/>
      <c r="ESR57" s="94"/>
      <c r="ESS57" s="94"/>
      <c r="EST57" s="94"/>
      <c r="ESU57" s="94"/>
      <c r="ESV57" s="94"/>
      <c r="ESW57" s="94"/>
      <c r="ESX57" s="94"/>
      <c r="ESY57" s="94"/>
      <c r="ESZ57" s="94"/>
      <c r="ETA57" s="94"/>
      <c r="ETB57" s="94"/>
      <c r="ETC57" s="94"/>
      <c r="ETD57" s="94"/>
      <c r="ETE57" s="94"/>
      <c r="ETF57" s="94"/>
      <c r="ETG57" s="94"/>
      <c r="ETH57" s="94"/>
      <c r="ETI57" s="94"/>
      <c r="ETJ57" s="94"/>
      <c r="ETK57" s="94"/>
      <c r="ETL57" s="94"/>
      <c r="ETM57" s="94"/>
      <c r="ETN57" s="94"/>
      <c r="ETO57" s="94"/>
      <c r="ETP57" s="94"/>
      <c r="ETQ57" s="94"/>
      <c r="ETR57" s="94"/>
      <c r="ETS57" s="94"/>
      <c r="ETT57" s="94"/>
      <c r="ETU57" s="94"/>
      <c r="ETV57" s="94"/>
      <c r="ETW57" s="94"/>
      <c r="ETX57" s="94"/>
      <c r="ETY57" s="94"/>
      <c r="ETZ57" s="94"/>
      <c r="EUA57" s="94"/>
      <c r="EUB57" s="94"/>
      <c r="EUC57" s="94"/>
      <c r="EUD57" s="94"/>
      <c r="EUE57" s="94"/>
      <c r="EUF57" s="94"/>
      <c r="EUG57" s="94"/>
      <c r="EUH57" s="94"/>
      <c r="EUI57" s="94"/>
      <c r="EUJ57" s="94"/>
      <c r="EUK57" s="94"/>
      <c r="EUL57" s="94"/>
      <c r="EUM57" s="94"/>
      <c r="EUN57" s="94"/>
      <c r="EUO57" s="94"/>
      <c r="EUP57" s="94"/>
      <c r="EUQ57" s="94"/>
      <c r="EUR57" s="94"/>
      <c r="EUS57" s="94"/>
      <c r="EUT57" s="94"/>
      <c r="EUU57" s="94"/>
      <c r="EUV57" s="94"/>
      <c r="EUW57" s="94"/>
      <c r="EUX57" s="94"/>
      <c r="EUY57" s="94"/>
      <c r="EUZ57" s="94"/>
      <c r="EVA57" s="94"/>
      <c r="EVB57" s="94"/>
      <c r="EVC57" s="94"/>
      <c r="EVD57" s="94"/>
      <c r="EVE57" s="94"/>
      <c r="EVF57" s="94"/>
      <c r="EVG57" s="94"/>
      <c r="EVH57" s="94"/>
      <c r="EVI57" s="94"/>
      <c r="EVJ57" s="94"/>
      <c r="EVK57" s="94"/>
      <c r="EVL57" s="94"/>
      <c r="EVM57" s="94"/>
      <c r="EVN57" s="94"/>
      <c r="EVO57" s="94"/>
      <c r="EVP57" s="94"/>
      <c r="EVQ57" s="94"/>
      <c r="EVR57" s="94"/>
      <c r="EVS57" s="94"/>
      <c r="EVT57" s="94"/>
      <c r="EVU57" s="94"/>
      <c r="EVV57" s="94"/>
      <c r="EVW57" s="94"/>
      <c r="EVX57" s="94"/>
      <c r="EVY57" s="94"/>
      <c r="EVZ57" s="94"/>
      <c r="EWA57" s="94"/>
      <c r="EWB57" s="94"/>
      <c r="EWC57" s="94"/>
      <c r="EWD57" s="94"/>
      <c r="EWE57" s="94"/>
      <c r="EWF57" s="94"/>
      <c r="EWG57" s="94"/>
      <c r="EWH57" s="94"/>
      <c r="EWI57" s="94"/>
      <c r="EWJ57" s="94"/>
      <c r="EWK57" s="94"/>
      <c r="EWL57" s="94"/>
      <c r="EWM57" s="94"/>
      <c r="EWN57" s="94"/>
      <c r="EWO57" s="94"/>
      <c r="EWP57" s="94"/>
      <c r="EWQ57" s="94"/>
      <c r="EWR57" s="94"/>
      <c r="EWS57" s="94"/>
      <c r="EWT57" s="94"/>
      <c r="EWU57" s="94"/>
      <c r="EWV57" s="94"/>
      <c r="EWW57" s="94"/>
      <c r="EWX57" s="94"/>
      <c r="EWY57" s="94"/>
      <c r="EWZ57" s="94"/>
      <c r="EXA57" s="94"/>
      <c r="EXB57" s="94"/>
      <c r="EXC57" s="94"/>
      <c r="EXD57" s="94"/>
      <c r="EXE57" s="94"/>
      <c r="EXF57" s="94"/>
      <c r="EXG57" s="94"/>
      <c r="EXH57" s="94"/>
      <c r="EXI57" s="94"/>
      <c r="EXJ57" s="94"/>
      <c r="EXK57" s="94"/>
      <c r="EXL57" s="94"/>
      <c r="EXM57" s="94"/>
      <c r="EXN57" s="94"/>
      <c r="EXO57" s="94"/>
      <c r="EXP57" s="94"/>
      <c r="EXQ57" s="94"/>
      <c r="EXR57" s="94"/>
      <c r="EXS57" s="94"/>
      <c r="EXT57" s="94"/>
      <c r="EXU57" s="94"/>
      <c r="EXV57" s="94"/>
      <c r="EXW57" s="94"/>
      <c r="EXX57" s="94"/>
      <c r="EXY57" s="94"/>
      <c r="EXZ57" s="94"/>
      <c r="EYA57" s="94"/>
      <c r="EYB57" s="94"/>
      <c r="EYC57" s="94"/>
      <c r="EYD57" s="94"/>
      <c r="EYE57" s="94"/>
      <c r="EYF57" s="94"/>
      <c r="EYG57" s="94"/>
      <c r="EYH57" s="94"/>
      <c r="EYI57" s="94"/>
      <c r="EYJ57" s="94"/>
      <c r="EYK57" s="94"/>
      <c r="EYL57" s="94"/>
      <c r="EYM57" s="94"/>
      <c r="EYN57" s="94"/>
      <c r="EYO57" s="94"/>
      <c r="EYP57" s="94"/>
      <c r="EYQ57" s="94"/>
      <c r="EYR57" s="94"/>
      <c r="EYS57" s="94"/>
      <c r="EYT57" s="94"/>
      <c r="EYU57" s="94"/>
      <c r="EYV57" s="94"/>
      <c r="EYW57" s="94"/>
      <c r="EYX57" s="94"/>
      <c r="EYY57" s="94"/>
      <c r="EYZ57" s="94"/>
      <c r="EZA57" s="94"/>
      <c r="EZB57" s="94"/>
      <c r="EZC57" s="94"/>
      <c r="EZD57" s="94"/>
      <c r="EZE57" s="94"/>
      <c r="EZF57" s="94"/>
      <c r="EZG57" s="94"/>
      <c r="EZH57" s="94"/>
      <c r="EZI57" s="94"/>
      <c r="EZJ57" s="94"/>
      <c r="EZK57" s="94"/>
      <c r="EZL57" s="94"/>
      <c r="EZM57" s="94"/>
      <c r="EZN57" s="94"/>
      <c r="EZO57" s="94"/>
      <c r="EZP57" s="94"/>
      <c r="EZQ57" s="94"/>
      <c r="EZR57" s="94"/>
      <c r="EZS57" s="94"/>
      <c r="EZT57" s="94"/>
      <c r="EZU57" s="94"/>
      <c r="EZV57" s="94"/>
      <c r="EZW57" s="94"/>
      <c r="EZX57" s="94"/>
      <c r="EZY57" s="94"/>
      <c r="EZZ57" s="94"/>
      <c r="FAA57" s="94"/>
      <c r="FAB57" s="94"/>
      <c r="FAC57" s="94"/>
      <c r="FAD57" s="94"/>
      <c r="FAE57" s="94"/>
      <c r="FAF57" s="94"/>
      <c r="FAG57" s="94"/>
      <c r="FAH57" s="94"/>
      <c r="FAI57" s="94"/>
      <c r="FAJ57" s="94"/>
      <c r="FAK57" s="94"/>
      <c r="FAL57" s="94"/>
      <c r="FAM57" s="94"/>
      <c r="FAN57" s="94"/>
      <c r="FAO57" s="94"/>
      <c r="FAP57" s="94"/>
      <c r="FAQ57" s="94"/>
      <c r="FAR57" s="94"/>
      <c r="FAS57" s="94"/>
      <c r="FAT57" s="94"/>
      <c r="FAU57" s="94"/>
      <c r="FAV57" s="94"/>
      <c r="FAW57" s="94"/>
      <c r="FAX57" s="94"/>
      <c r="FAY57" s="94"/>
      <c r="FAZ57" s="94"/>
      <c r="FBA57" s="94"/>
      <c r="FBB57" s="94"/>
      <c r="FBC57" s="94"/>
      <c r="FBD57" s="94"/>
      <c r="FBE57" s="94"/>
      <c r="FBF57" s="94"/>
      <c r="FBG57" s="94"/>
      <c r="FBH57" s="94"/>
      <c r="FBI57" s="94"/>
      <c r="FBJ57" s="94"/>
      <c r="FBK57" s="94"/>
      <c r="FBL57" s="94"/>
      <c r="FBM57" s="94"/>
      <c r="FBN57" s="94"/>
      <c r="FBO57" s="94"/>
      <c r="FBP57" s="94"/>
      <c r="FBQ57" s="94"/>
      <c r="FBR57" s="94"/>
      <c r="FBS57" s="94"/>
      <c r="FBT57" s="94"/>
      <c r="FBU57" s="94"/>
      <c r="FBV57" s="94"/>
      <c r="FBW57" s="94"/>
      <c r="FBX57" s="94"/>
      <c r="FBY57" s="94"/>
      <c r="FBZ57" s="94"/>
      <c r="FCA57" s="94"/>
      <c r="FCB57" s="94"/>
      <c r="FCC57" s="94"/>
      <c r="FCD57" s="94"/>
      <c r="FCE57" s="94"/>
      <c r="FCF57" s="94"/>
      <c r="FCG57" s="94"/>
      <c r="FCH57" s="94"/>
      <c r="FCI57" s="94"/>
      <c r="FCJ57" s="94"/>
      <c r="FCK57" s="94"/>
      <c r="FCL57" s="94"/>
      <c r="FCM57" s="94"/>
      <c r="FCN57" s="94"/>
      <c r="FCO57" s="94"/>
      <c r="FCP57" s="94"/>
      <c r="FCQ57" s="94"/>
      <c r="FCR57" s="94"/>
      <c r="FCS57" s="94"/>
      <c r="FCT57" s="94"/>
      <c r="FCU57" s="94"/>
      <c r="FCV57" s="94"/>
      <c r="FCW57" s="94"/>
      <c r="FCX57" s="94"/>
      <c r="FCY57" s="94"/>
      <c r="FCZ57" s="94"/>
      <c r="FDA57" s="94"/>
      <c r="FDB57" s="94"/>
      <c r="FDC57" s="94"/>
      <c r="FDD57" s="94"/>
      <c r="FDE57" s="94"/>
      <c r="FDF57" s="94"/>
      <c r="FDG57" s="94"/>
      <c r="FDH57" s="94"/>
      <c r="FDI57" s="94"/>
      <c r="FDJ57" s="94"/>
      <c r="FDK57" s="94"/>
      <c r="FDL57" s="94"/>
      <c r="FDM57" s="94"/>
      <c r="FDN57" s="94"/>
      <c r="FDO57" s="94"/>
      <c r="FDP57" s="94"/>
      <c r="FDQ57" s="94"/>
      <c r="FDR57" s="94"/>
      <c r="FDS57" s="94"/>
      <c r="FDT57" s="94"/>
      <c r="FDU57" s="94"/>
      <c r="FDV57" s="94"/>
      <c r="FDW57" s="94"/>
      <c r="FDX57" s="94"/>
      <c r="FDY57" s="94"/>
      <c r="FDZ57" s="94"/>
      <c r="FEA57" s="94"/>
      <c r="FEB57" s="94"/>
      <c r="FEC57" s="94"/>
      <c r="FED57" s="94"/>
      <c r="FEE57" s="94"/>
      <c r="FEF57" s="94"/>
      <c r="FEG57" s="94"/>
      <c r="FEH57" s="94"/>
      <c r="FEI57" s="94"/>
      <c r="FEJ57" s="94"/>
      <c r="FEK57" s="94"/>
      <c r="FEL57" s="94"/>
      <c r="FEM57" s="94"/>
      <c r="FEN57" s="94"/>
      <c r="FEO57" s="94"/>
      <c r="FEP57" s="94"/>
      <c r="FEQ57" s="94"/>
      <c r="FER57" s="94"/>
      <c r="FES57" s="94"/>
      <c r="FET57" s="94"/>
      <c r="FEU57" s="94"/>
      <c r="FEV57" s="94"/>
      <c r="FEW57" s="94"/>
      <c r="FEX57" s="94"/>
      <c r="FEY57" s="94"/>
      <c r="FEZ57" s="94"/>
      <c r="FFA57" s="94"/>
      <c r="FFB57" s="94"/>
      <c r="FFC57" s="94"/>
      <c r="FFD57" s="94"/>
      <c r="FFE57" s="94"/>
      <c r="FFF57" s="94"/>
      <c r="FFG57" s="94"/>
      <c r="FFH57" s="94"/>
      <c r="FFI57" s="94"/>
      <c r="FFJ57" s="94"/>
      <c r="FFK57" s="94"/>
      <c r="FFL57" s="94"/>
      <c r="FFM57" s="94"/>
      <c r="FFN57" s="94"/>
      <c r="FFO57" s="94"/>
      <c r="FFP57" s="94"/>
      <c r="FFQ57" s="94"/>
      <c r="FFR57" s="94"/>
      <c r="FFS57" s="94"/>
      <c r="FFT57" s="94"/>
      <c r="FFU57" s="94"/>
      <c r="FFV57" s="94"/>
      <c r="FFW57" s="94"/>
      <c r="FFX57" s="94"/>
      <c r="FFY57" s="94"/>
      <c r="FFZ57" s="94"/>
      <c r="FGA57" s="94"/>
      <c r="FGB57" s="94"/>
      <c r="FGC57" s="94"/>
      <c r="FGD57" s="94"/>
      <c r="FGE57" s="94"/>
      <c r="FGF57" s="94"/>
      <c r="FGG57" s="94"/>
      <c r="FGH57" s="94"/>
      <c r="FGI57" s="94"/>
      <c r="FGJ57" s="94"/>
      <c r="FGK57" s="94"/>
      <c r="FGL57" s="94"/>
      <c r="FGM57" s="94"/>
      <c r="FGN57" s="94"/>
      <c r="FGO57" s="94"/>
      <c r="FGP57" s="94"/>
      <c r="FGQ57" s="94"/>
      <c r="FGR57" s="94"/>
      <c r="FGS57" s="94"/>
      <c r="FGT57" s="94"/>
      <c r="FGU57" s="94"/>
      <c r="FGV57" s="94"/>
      <c r="FGW57" s="94"/>
      <c r="FGX57" s="94"/>
      <c r="FGY57" s="94"/>
      <c r="FGZ57" s="94"/>
      <c r="FHA57" s="94"/>
      <c r="FHB57" s="94"/>
      <c r="FHC57" s="94"/>
      <c r="FHD57" s="94"/>
      <c r="FHE57" s="94"/>
      <c r="FHF57" s="94"/>
      <c r="FHG57" s="94"/>
      <c r="FHH57" s="94"/>
      <c r="FHI57" s="94"/>
      <c r="FHJ57" s="94"/>
      <c r="FHK57" s="94"/>
      <c r="FHL57" s="94"/>
      <c r="FHM57" s="94"/>
      <c r="FHN57" s="94"/>
      <c r="FHO57" s="94"/>
      <c r="FHP57" s="94"/>
      <c r="FHQ57" s="94"/>
      <c r="FHR57" s="94"/>
      <c r="FHS57" s="94"/>
      <c r="FHT57" s="94"/>
      <c r="FHU57" s="94"/>
      <c r="FHV57" s="94"/>
      <c r="FHW57" s="94"/>
      <c r="FHX57" s="94"/>
      <c r="FHY57" s="94"/>
      <c r="FHZ57" s="94"/>
      <c r="FIA57" s="94"/>
      <c r="FIB57" s="94"/>
      <c r="FIC57" s="94"/>
      <c r="FID57" s="94"/>
      <c r="FIE57" s="94"/>
      <c r="FIF57" s="94"/>
      <c r="FIG57" s="94"/>
      <c r="FIH57" s="94"/>
      <c r="FII57" s="94"/>
      <c r="FIJ57" s="94"/>
      <c r="FIK57" s="94"/>
      <c r="FIL57" s="94"/>
      <c r="FIM57" s="94"/>
      <c r="FIN57" s="94"/>
      <c r="FIO57" s="94"/>
      <c r="FIP57" s="94"/>
      <c r="FIQ57" s="94"/>
      <c r="FIR57" s="94"/>
      <c r="FIS57" s="94"/>
      <c r="FIT57" s="94"/>
      <c r="FIU57" s="94"/>
      <c r="FIV57" s="94"/>
      <c r="FIW57" s="94"/>
      <c r="FIX57" s="94"/>
      <c r="FIY57" s="94"/>
      <c r="FIZ57" s="94"/>
      <c r="FJA57" s="94"/>
      <c r="FJB57" s="94"/>
      <c r="FJC57" s="94"/>
      <c r="FJD57" s="94"/>
      <c r="FJE57" s="94"/>
      <c r="FJF57" s="94"/>
      <c r="FJG57" s="94"/>
      <c r="FJH57" s="94"/>
      <c r="FJI57" s="94"/>
      <c r="FJJ57" s="94"/>
      <c r="FJK57" s="94"/>
      <c r="FJL57" s="94"/>
      <c r="FJM57" s="94"/>
      <c r="FJN57" s="94"/>
      <c r="FJO57" s="94"/>
      <c r="FJP57" s="94"/>
      <c r="FJQ57" s="94"/>
      <c r="FJR57" s="94"/>
      <c r="FJS57" s="94"/>
      <c r="FJT57" s="94"/>
      <c r="FJU57" s="94"/>
      <c r="FJV57" s="94"/>
      <c r="FJW57" s="94"/>
      <c r="FJX57" s="94"/>
      <c r="FJY57" s="94"/>
      <c r="FJZ57" s="94"/>
      <c r="FKA57" s="94"/>
      <c r="FKB57" s="94"/>
      <c r="FKC57" s="94"/>
      <c r="FKD57" s="94"/>
      <c r="FKE57" s="94"/>
      <c r="FKF57" s="94"/>
      <c r="FKG57" s="94"/>
      <c r="FKH57" s="94"/>
      <c r="FKI57" s="94"/>
      <c r="FKJ57" s="94"/>
      <c r="FKK57" s="94"/>
      <c r="FKL57" s="94"/>
      <c r="FKM57" s="94"/>
      <c r="FKN57" s="94"/>
      <c r="FKO57" s="94"/>
      <c r="FKP57" s="94"/>
      <c r="FKQ57" s="94"/>
      <c r="FKR57" s="94"/>
      <c r="FKS57" s="94"/>
      <c r="FKT57" s="94"/>
      <c r="FKU57" s="94"/>
      <c r="FKV57" s="94"/>
      <c r="FKW57" s="94"/>
      <c r="FKX57" s="94"/>
      <c r="FKY57" s="94"/>
      <c r="FKZ57" s="94"/>
      <c r="FLA57" s="94"/>
      <c r="FLB57" s="94"/>
      <c r="FLC57" s="94"/>
      <c r="FLD57" s="94"/>
      <c r="FLE57" s="94"/>
      <c r="FLF57" s="94"/>
      <c r="FLG57" s="94"/>
      <c r="FLH57" s="94"/>
      <c r="FLI57" s="94"/>
      <c r="FLJ57" s="94"/>
      <c r="FLK57" s="94"/>
      <c r="FLL57" s="94"/>
      <c r="FLM57" s="94"/>
      <c r="FLN57" s="94"/>
      <c r="FLO57" s="94"/>
      <c r="FLP57" s="94"/>
      <c r="FLQ57" s="94"/>
      <c r="FLR57" s="94"/>
      <c r="FLS57" s="94"/>
      <c r="FLT57" s="94"/>
      <c r="FLU57" s="94"/>
      <c r="FLV57" s="94"/>
      <c r="FLW57" s="94"/>
      <c r="FLX57" s="94"/>
      <c r="FLY57" s="94"/>
      <c r="FLZ57" s="94"/>
      <c r="FMA57" s="94"/>
      <c r="FMB57" s="94"/>
      <c r="FMC57" s="94"/>
      <c r="FMD57" s="94"/>
      <c r="FME57" s="94"/>
      <c r="FMF57" s="94"/>
      <c r="FMG57" s="94"/>
      <c r="FMH57" s="94"/>
      <c r="FMI57" s="94"/>
      <c r="FMJ57" s="94"/>
      <c r="FMK57" s="94"/>
      <c r="FML57" s="94"/>
      <c r="FMM57" s="94"/>
      <c r="FMN57" s="94"/>
      <c r="FMO57" s="94"/>
      <c r="FMP57" s="94"/>
      <c r="FMQ57" s="94"/>
      <c r="FMR57" s="94"/>
      <c r="FMS57" s="94"/>
      <c r="FMT57" s="94"/>
      <c r="FMU57" s="94"/>
      <c r="FMV57" s="94"/>
      <c r="FMW57" s="94"/>
      <c r="FMX57" s="94"/>
      <c r="FMY57" s="94"/>
      <c r="FMZ57" s="94"/>
      <c r="FNA57" s="94"/>
      <c r="FNB57" s="94"/>
      <c r="FNC57" s="94"/>
      <c r="FND57" s="94"/>
      <c r="FNE57" s="94"/>
      <c r="FNF57" s="94"/>
      <c r="FNG57" s="94"/>
      <c r="FNH57" s="94"/>
      <c r="FNI57" s="94"/>
      <c r="FNJ57" s="94"/>
      <c r="FNK57" s="94"/>
      <c r="FNL57" s="94"/>
      <c r="FNM57" s="94"/>
      <c r="FNN57" s="94"/>
      <c r="FNO57" s="94"/>
      <c r="FNP57" s="94"/>
      <c r="FNQ57" s="94"/>
      <c r="FNR57" s="94"/>
      <c r="FNS57" s="94"/>
      <c r="FNT57" s="94"/>
      <c r="FNU57" s="94"/>
      <c r="FNV57" s="94"/>
      <c r="FNW57" s="94"/>
      <c r="FNX57" s="94"/>
      <c r="FNY57" s="94"/>
      <c r="FNZ57" s="94"/>
      <c r="FOA57" s="94"/>
      <c r="FOB57" s="94"/>
      <c r="FOC57" s="94"/>
      <c r="FOD57" s="94"/>
      <c r="FOE57" s="94"/>
      <c r="FOF57" s="94"/>
      <c r="FOG57" s="94"/>
      <c r="FOH57" s="94"/>
      <c r="FOI57" s="94"/>
      <c r="FOJ57" s="94"/>
      <c r="FOK57" s="94"/>
      <c r="FOL57" s="94"/>
      <c r="FOM57" s="94"/>
      <c r="FON57" s="94"/>
      <c r="FOO57" s="94"/>
      <c r="FOP57" s="94"/>
      <c r="FOQ57" s="94"/>
      <c r="FOR57" s="94"/>
      <c r="FOS57" s="94"/>
      <c r="FOT57" s="94"/>
      <c r="FOU57" s="94"/>
      <c r="FOV57" s="94"/>
      <c r="FOW57" s="94"/>
      <c r="FOX57" s="94"/>
      <c r="FOY57" s="94"/>
      <c r="FOZ57" s="94"/>
      <c r="FPA57" s="94"/>
      <c r="FPB57" s="94"/>
      <c r="FPC57" s="94"/>
      <c r="FPD57" s="94"/>
      <c r="FPE57" s="94"/>
      <c r="FPF57" s="94"/>
      <c r="FPG57" s="94"/>
      <c r="FPH57" s="94"/>
      <c r="FPI57" s="94"/>
      <c r="FPJ57" s="94"/>
      <c r="FPK57" s="94"/>
      <c r="FPL57" s="94"/>
      <c r="FPM57" s="94"/>
      <c r="FPN57" s="94"/>
      <c r="FPO57" s="94"/>
      <c r="FPP57" s="94"/>
      <c r="FPQ57" s="94"/>
      <c r="FPR57" s="94"/>
      <c r="FPS57" s="94"/>
      <c r="FPT57" s="94"/>
      <c r="FPU57" s="94"/>
      <c r="FPV57" s="94"/>
      <c r="FPW57" s="94"/>
      <c r="FPX57" s="94"/>
      <c r="FPY57" s="94"/>
      <c r="FPZ57" s="94"/>
      <c r="FQA57" s="94"/>
      <c r="FQB57" s="94"/>
      <c r="FQC57" s="94"/>
      <c r="FQD57" s="94"/>
      <c r="FQE57" s="94"/>
      <c r="FQF57" s="94"/>
      <c r="FQG57" s="94"/>
      <c r="FQH57" s="94"/>
      <c r="FQI57" s="94"/>
      <c r="FQJ57" s="94"/>
      <c r="FQK57" s="94"/>
      <c r="FQL57" s="94"/>
      <c r="FQM57" s="94"/>
      <c r="FQN57" s="94"/>
      <c r="FQO57" s="94"/>
      <c r="FQP57" s="94"/>
      <c r="FQQ57" s="94"/>
      <c r="FQR57" s="94"/>
      <c r="FQS57" s="94"/>
      <c r="FQT57" s="94"/>
      <c r="FQU57" s="94"/>
      <c r="FQV57" s="94"/>
      <c r="FQW57" s="94"/>
      <c r="FQX57" s="94"/>
      <c r="FQY57" s="94"/>
      <c r="FQZ57" s="94"/>
      <c r="FRA57" s="94"/>
      <c r="FRB57" s="94"/>
      <c r="FRC57" s="94"/>
      <c r="FRD57" s="94"/>
      <c r="FRE57" s="94"/>
      <c r="FRF57" s="94"/>
      <c r="FRG57" s="94"/>
      <c r="FRH57" s="94"/>
      <c r="FRI57" s="94"/>
      <c r="FRJ57" s="94"/>
      <c r="FRK57" s="94"/>
      <c r="FRL57" s="94"/>
      <c r="FRM57" s="94"/>
      <c r="FRN57" s="94"/>
      <c r="FRO57" s="94"/>
      <c r="FRP57" s="94"/>
      <c r="FRQ57" s="94"/>
      <c r="FRR57" s="94"/>
      <c r="FRS57" s="94"/>
      <c r="FRT57" s="94"/>
      <c r="FRU57" s="94"/>
      <c r="FRV57" s="94"/>
      <c r="FRW57" s="94"/>
      <c r="FRX57" s="94"/>
      <c r="FRY57" s="94"/>
      <c r="FRZ57" s="94"/>
      <c r="FSA57" s="94"/>
      <c r="FSB57" s="94"/>
      <c r="FSC57" s="94"/>
      <c r="FSD57" s="94"/>
      <c r="FSE57" s="94"/>
      <c r="FSF57" s="94"/>
      <c r="FSG57" s="94"/>
      <c r="FSH57" s="94"/>
      <c r="FSI57" s="94"/>
      <c r="FSJ57" s="94"/>
      <c r="FSK57" s="94"/>
      <c r="FSL57" s="94"/>
      <c r="FSM57" s="94"/>
      <c r="FSN57" s="94"/>
      <c r="FSO57" s="94"/>
      <c r="FSP57" s="94"/>
      <c r="FSQ57" s="94"/>
      <c r="FSR57" s="94"/>
      <c r="FSS57" s="94"/>
      <c r="FST57" s="94"/>
      <c r="FSU57" s="94"/>
      <c r="FSV57" s="94"/>
      <c r="FSW57" s="94"/>
      <c r="FSX57" s="94"/>
      <c r="FSY57" s="94"/>
      <c r="FSZ57" s="94"/>
      <c r="FTA57" s="94"/>
      <c r="FTB57" s="94"/>
      <c r="FTC57" s="94"/>
      <c r="FTD57" s="94"/>
      <c r="FTE57" s="94"/>
      <c r="FTF57" s="94"/>
      <c r="FTG57" s="94"/>
      <c r="FTH57" s="94"/>
      <c r="FTI57" s="94"/>
      <c r="FTJ57" s="94"/>
      <c r="FTK57" s="94"/>
      <c r="FTL57" s="94"/>
      <c r="FTM57" s="94"/>
      <c r="FTN57" s="94"/>
      <c r="FTO57" s="94"/>
      <c r="FTP57" s="94"/>
      <c r="FTQ57" s="94"/>
      <c r="FTR57" s="94"/>
      <c r="FTS57" s="94"/>
      <c r="FTT57" s="94"/>
      <c r="FTU57" s="94"/>
      <c r="FTV57" s="94"/>
      <c r="FTW57" s="94"/>
      <c r="FTX57" s="94"/>
      <c r="FTY57" s="94"/>
      <c r="FTZ57" s="94"/>
      <c r="FUA57" s="94"/>
      <c r="FUB57" s="94"/>
      <c r="FUC57" s="94"/>
      <c r="FUD57" s="94"/>
      <c r="FUE57" s="94"/>
      <c r="FUF57" s="94"/>
      <c r="FUG57" s="94"/>
      <c r="FUH57" s="94"/>
      <c r="FUI57" s="94"/>
      <c r="FUJ57" s="94"/>
      <c r="FUK57" s="94"/>
      <c r="FUL57" s="94"/>
      <c r="FUM57" s="94"/>
      <c r="FUN57" s="94"/>
      <c r="FUO57" s="94"/>
      <c r="FUP57" s="94"/>
      <c r="FUQ57" s="94"/>
      <c r="FUR57" s="94"/>
      <c r="FUS57" s="94"/>
      <c r="FUT57" s="94"/>
      <c r="FUU57" s="94"/>
      <c r="FUV57" s="94"/>
      <c r="FUW57" s="94"/>
      <c r="FUX57" s="94"/>
      <c r="FUY57" s="94"/>
      <c r="FUZ57" s="94"/>
      <c r="FVA57" s="94"/>
      <c r="FVB57" s="94"/>
      <c r="FVC57" s="94"/>
      <c r="FVD57" s="94"/>
      <c r="FVE57" s="94"/>
      <c r="FVF57" s="94"/>
      <c r="FVG57" s="94"/>
      <c r="FVH57" s="94"/>
      <c r="FVI57" s="94"/>
      <c r="FVJ57" s="94"/>
      <c r="FVK57" s="94"/>
      <c r="FVL57" s="94"/>
      <c r="FVM57" s="94"/>
      <c r="FVN57" s="94"/>
      <c r="FVO57" s="94"/>
      <c r="FVP57" s="94"/>
      <c r="FVQ57" s="94"/>
      <c r="FVR57" s="94"/>
      <c r="FVS57" s="94"/>
      <c r="FVT57" s="94"/>
      <c r="FVU57" s="94"/>
      <c r="FVV57" s="94"/>
      <c r="FVW57" s="94"/>
      <c r="FVX57" s="94"/>
      <c r="FVY57" s="94"/>
      <c r="FVZ57" s="94"/>
      <c r="FWA57" s="94"/>
      <c r="FWB57" s="94"/>
      <c r="FWC57" s="94"/>
      <c r="FWD57" s="94"/>
      <c r="FWE57" s="94"/>
      <c r="FWF57" s="94"/>
      <c r="FWG57" s="94"/>
      <c r="FWH57" s="94"/>
      <c r="FWI57" s="94"/>
      <c r="FWJ57" s="94"/>
      <c r="FWK57" s="94"/>
      <c r="FWL57" s="94"/>
      <c r="FWM57" s="94"/>
      <c r="FWN57" s="94"/>
      <c r="FWO57" s="94"/>
      <c r="FWP57" s="94"/>
      <c r="FWQ57" s="94"/>
      <c r="FWR57" s="94"/>
      <c r="FWS57" s="94"/>
      <c r="FWT57" s="94"/>
      <c r="FWU57" s="94"/>
      <c r="FWV57" s="94"/>
      <c r="FWW57" s="94"/>
      <c r="FWX57" s="94"/>
      <c r="FWY57" s="94"/>
      <c r="FWZ57" s="94"/>
      <c r="FXA57" s="94"/>
      <c r="FXB57" s="94"/>
      <c r="FXC57" s="94"/>
      <c r="FXD57" s="94"/>
      <c r="FXE57" s="94"/>
      <c r="FXF57" s="94"/>
      <c r="FXG57" s="94"/>
      <c r="FXH57" s="94"/>
      <c r="FXI57" s="94"/>
      <c r="FXJ57" s="94"/>
      <c r="FXK57" s="94"/>
      <c r="FXL57" s="94"/>
      <c r="FXM57" s="94"/>
      <c r="FXN57" s="94"/>
      <c r="FXO57" s="94"/>
      <c r="FXP57" s="94"/>
      <c r="FXQ57" s="94"/>
      <c r="FXR57" s="94"/>
      <c r="FXS57" s="94"/>
      <c r="FXT57" s="94"/>
      <c r="FXU57" s="94"/>
      <c r="FXV57" s="94"/>
      <c r="FXW57" s="94"/>
      <c r="FXX57" s="94"/>
      <c r="FXY57" s="94"/>
      <c r="FXZ57" s="94"/>
      <c r="FYA57" s="94"/>
      <c r="FYB57" s="94"/>
      <c r="FYC57" s="94"/>
      <c r="FYD57" s="94"/>
      <c r="FYE57" s="94"/>
      <c r="FYF57" s="94"/>
      <c r="FYG57" s="94"/>
      <c r="FYH57" s="94"/>
      <c r="FYI57" s="94"/>
      <c r="FYJ57" s="94"/>
      <c r="FYK57" s="94"/>
      <c r="FYL57" s="94"/>
      <c r="FYM57" s="94"/>
      <c r="FYN57" s="94"/>
      <c r="FYO57" s="94"/>
      <c r="FYP57" s="94"/>
      <c r="FYQ57" s="94"/>
      <c r="FYR57" s="94"/>
      <c r="FYS57" s="94"/>
      <c r="FYT57" s="94"/>
      <c r="FYU57" s="94"/>
      <c r="FYV57" s="94"/>
      <c r="FYW57" s="94"/>
      <c r="FYX57" s="94"/>
      <c r="FYY57" s="94"/>
      <c r="FYZ57" s="94"/>
      <c r="FZA57" s="94"/>
      <c r="FZB57" s="94"/>
      <c r="FZC57" s="94"/>
      <c r="FZD57" s="94"/>
      <c r="FZE57" s="94"/>
      <c r="FZF57" s="94"/>
      <c r="FZG57" s="94"/>
      <c r="FZH57" s="94"/>
      <c r="FZI57" s="94"/>
      <c r="FZJ57" s="94"/>
      <c r="FZK57" s="94"/>
      <c r="FZL57" s="94"/>
      <c r="FZM57" s="94"/>
      <c r="FZN57" s="94"/>
      <c r="FZO57" s="94"/>
      <c r="FZP57" s="94"/>
      <c r="FZQ57" s="94"/>
      <c r="FZR57" s="94"/>
      <c r="FZS57" s="94"/>
      <c r="FZT57" s="94"/>
      <c r="FZU57" s="94"/>
      <c r="FZV57" s="94"/>
      <c r="FZW57" s="94"/>
      <c r="FZX57" s="94"/>
      <c r="FZY57" s="94"/>
      <c r="FZZ57" s="94"/>
      <c r="GAA57" s="94"/>
      <c r="GAB57" s="94"/>
      <c r="GAC57" s="94"/>
      <c r="GAD57" s="94"/>
      <c r="GAE57" s="94"/>
      <c r="GAF57" s="94"/>
      <c r="GAG57" s="94"/>
      <c r="GAH57" s="94"/>
      <c r="GAI57" s="94"/>
      <c r="GAJ57" s="94"/>
      <c r="GAK57" s="94"/>
      <c r="GAL57" s="94"/>
      <c r="GAM57" s="94"/>
      <c r="GAN57" s="94"/>
      <c r="GAO57" s="94"/>
      <c r="GAP57" s="94"/>
      <c r="GAQ57" s="94"/>
      <c r="GAR57" s="94"/>
      <c r="GAS57" s="94"/>
      <c r="GAT57" s="94"/>
      <c r="GAU57" s="94"/>
      <c r="GAV57" s="94"/>
      <c r="GAW57" s="94"/>
      <c r="GAX57" s="94"/>
      <c r="GAY57" s="94"/>
      <c r="GAZ57" s="94"/>
      <c r="GBA57" s="94"/>
      <c r="GBB57" s="94"/>
      <c r="GBC57" s="94"/>
      <c r="GBD57" s="94"/>
      <c r="GBE57" s="94"/>
      <c r="GBF57" s="94"/>
      <c r="GBG57" s="94"/>
      <c r="GBH57" s="94"/>
      <c r="GBI57" s="94"/>
      <c r="GBJ57" s="94"/>
      <c r="GBK57" s="94"/>
      <c r="GBL57" s="94"/>
      <c r="GBM57" s="94"/>
      <c r="GBN57" s="94"/>
      <c r="GBO57" s="94"/>
      <c r="GBP57" s="94"/>
      <c r="GBQ57" s="94"/>
      <c r="GBR57" s="94"/>
      <c r="GBS57" s="94"/>
      <c r="GBT57" s="94"/>
      <c r="GBU57" s="94"/>
      <c r="GBV57" s="94"/>
      <c r="GBW57" s="94"/>
      <c r="GBX57" s="94"/>
      <c r="GBY57" s="94"/>
      <c r="GBZ57" s="94"/>
      <c r="GCA57" s="94"/>
      <c r="GCB57" s="94"/>
      <c r="GCC57" s="94"/>
      <c r="GCD57" s="94"/>
      <c r="GCE57" s="94"/>
      <c r="GCF57" s="94"/>
      <c r="GCG57" s="94"/>
      <c r="GCH57" s="94"/>
      <c r="GCI57" s="94"/>
      <c r="GCJ57" s="94"/>
      <c r="GCK57" s="94"/>
      <c r="GCL57" s="94"/>
      <c r="GCM57" s="94"/>
      <c r="GCN57" s="94"/>
      <c r="GCO57" s="94"/>
      <c r="GCP57" s="94"/>
      <c r="GCQ57" s="94"/>
      <c r="GCR57" s="94"/>
      <c r="GCS57" s="94"/>
      <c r="GCT57" s="94"/>
      <c r="GCU57" s="94"/>
      <c r="GCV57" s="94"/>
      <c r="GCW57" s="94"/>
      <c r="GCX57" s="94"/>
      <c r="GCY57" s="94"/>
      <c r="GCZ57" s="94"/>
      <c r="GDA57" s="94"/>
      <c r="GDB57" s="94"/>
      <c r="GDC57" s="94"/>
      <c r="GDD57" s="94"/>
      <c r="GDE57" s="94"/>
      <c r="GDF57" s="94"/>
      <c r="GDG57" s="94"/>
      <c r="GDH57" s="94"/>
      <c r="GDI57" s="94"/>
      <c r="GDJ57" s="94"/>
      <c r="GDK57" s="94"/>
      <c r="GDL57" s="94"/>
      <c r="GDM57" s="94"/>
      <c r="GDN57" s="94"/>
      <c r="GDO57" s="94"/>
      <c r="GDP57" s="94"/>
      <c r="GDQ57" s="94"/>
      <c r="GDR57" s="94"/>
      <c r="GDS57" s="94"/>
      <c r="GDT57" s="94"/>
      <c r="GDU57" s="94"/>
      <c r="GDV57" s="94"/>
      <c r="GDW57" s="94"/>
      <c r="GDX57" s="94"/>
      <c r="GDY57" s="94"/>
      <c r="GDZ57" s="94"/>
      <c r="GEA57" s="94"/>
      <c r="GEB57" s="94"/>
      <c r="GEC57" s="94"/>
      <c r="GED57" s="94"/>
      <c r="GEE57" s="94"/>
      <c r="GEF57" s="94"/>
      <c r="GEG57" s="94"/>
      <c r="GEH57" s="94"/>
      <c r="GEI57" s="94"/>
      <c r="GEJ57" s="94"/>
      <c r="GEK57" s="94"/>
      <c r="GEL57" s="94"/>
      <c r="GEM57" s="94"/>
      <c r="GEN57" s="94"/>
      <c r="GEO57" s="94"/>
      <c r="GEP57" s="94"/>
      <c r="GEQ57" s="94"/>
      <c r="GER57" s="94"/>
      <c r="GES57" s="94"/>
      <c r="GET57" s="94"/>
      <c r="GEU57" s="94"/>
      <c r="GEV57" s="94"/>
      <c r="GEW57" s="94"/>
      <c r="GEX57" s="94"/>
      <c r="GEY57" s="94"/>
      <c r="GEZ57" s="94"/>
      <c r="GFA57" s="94"/>
      <c r="GFB57" s="94"/>
      <c r="GFC57" s="94"/>
      <c r="GFD57" s="94"/>
      <c r="GFE57" s="94"/>
      <c r="GFF57" s="94"/>
      <c r="GFG57" s="94"/>
      <c r="GFH57" s="94"/>
      <c r="GFI57" s="94"/>
      <c r="GFJ57" s="94"/>
      <c r="GFK57" s="94"/>
      <c r="GFL57" s="94"/>
      <c r="GFM57" s="94"/>
      <c r="GFN57" s="94"/>
      <c r="GFO57" s="94"/>
      <c r="GFP57" s="94"/>
      <c r="GFQ57" s="94"/>
      <c r="GFR57" s="94"/>
      <c r="GFS57" s="94"/>
      <c r="GFT57" s="94"/>
      <c r="GFU57" s="94"/>
      <c r="GFV57" s="94"/>
      <c r="GFW57" s="94"/>
      <c r="GFX57" s="94"/>
      <c r="GFY57" s="94"/>
      <c r="GFZ57" s="94"/>
      <c r="GGA57" s="94"/>
      <c r="GGB57" s="94"/>
      <c r="GGC57" s="94"/>
      <c r="GGD57" s="94"/>
      <c r="GGE57" s="94"/>
      <c r="GGF57" s="94"/>
      <c r="GGG57" s="94"/>
      <c r="GGH57" s="94"/>
      <c r="GGI57" s="94"/>
      <c r="GGJ57" s="94"/>
      <c r="GGK57" s="94"/>
      <c r="GGL57" s="94"/>
      <c r="GGM57" s="94"/>
      <c r="GGN57" s="94"/>
      <c r="GGO57" s="94"/>
      <c r="GGP57" s="94"/>
      <c r="GGQ57" s="94"/>
      <c r="GGR57" s="94"/>
      <c r="GGS57" s="94"/>
      <c r="GGT57" s="94"/>
      <c r="GGU57" s="94"/>
      <c r="GGV57" s="94"/>
      <c r="GGW57" s="94"/>
      <c r="GGX57" s="94"/>
      <c r="GGY57" s="94"/>
      <c r="GGZ57" s="94"/>
      <c r="GHA57" s="94"/>
      <c r="GHB57" s="94"/>
      <c r="GHC57" s="94"/>
      <c r="GHD57" s="94"/>
      <c r="GHE57" s="94"/>
      <c r="GHF57" s="94"/>
      <c r="GHG57" s="94"/>
      <c r="GHH57" s="94"/>
      <c r="GHI57" s="94"/>
      <c r="GHJ57" s="94"/>
      <c r="GHK57" s="94"/>
      <c r="GHL57" s="94"/>
      <c r="GHM57" s="94"/>
      <c r="GHN57" s="94"/>
      <c r="GHO57" s="94"/>
      <c r="GHP57" s="94"/>
      <c r="GHQ57" s="94"/>
      <c r="GHR57" s="94"/>
      <c r="GHS57" s="94"/>
      <c r="GHT57" s="94"/>
      <c r="GHU57" s="94"/>
      <c r="GHV57" s="94"/>
      <c r="GHW57" s="94"/>
      <c r="GHX57" s="94"/>
      <c r="GHY57" s="94"/>
      <c r="GHZ57" s="94"/>
      <c r="GIA57" s="94"/>
      <c r="GIB57" s="94"/>
      <c r="GIC57" s="94"/>
      <c r="GID57" s="94"/>
      <c r="GIE57" s="94"/>
      <c r="GIF57" s="94"/>
      <c r="GIG57" s="94"/>
      <c r="GIH57" s="94"/>
      <c r="GII57" s="94"/>
      <c r="GIJ57" s="94"/>
      <c r="GIK57" s="94"/>
      <c r="GIL57" s="94"/>
      <c r="GIM57" s="94"/>
      <c r="GIN57" s="94"/>
      <c r="GIO57" s="94"/>
      <c r="GIP57" s="94"/>
      <c r="GIQ57" s="94"/>
      <c r="GIR57" s="94"/>
      <c r="GIS57" s="94"/>
      <c r="GIT57" s="94"/>
      <c r="GIU57" s="94"/>
      <c r="GIV57" s="94"/>
      <c r="GIW57" s="94"/>
      <c r="GIX57" s="94"/>
      <c r="GIY57" s="94"/>
      <c r="GIZ57" s="94"/>
      <c r="GJA57" s="94"/>
      <c r="GJB57" s="94"/>
      <c r="GJC57" s="94"/>
      <c r="GJD57" s="94"/>
      <c r="GJE57" s="94"/>
      <c r="GJF57" s="94"/>
      <c r="GJG57" s="94"/>
      <c r="GJH57" s="94"/>
      <c r="GJI57" s="94"/>
      <c r="GJJ57" s="94"/>
      <c r="GJK57" s="94"/>
      <c r="GJL57" s="94"/>
      <c r="GJM57" s="94"/>
      <c r="GJN57" s="94"/>
      <c r="GJO57" s="94"/>
      <c r="GJP57" s="94"/>
      <c r="GJQ57" s="94"/>
      <c r="GJR57" s="94"/>
      <c r="GJS57" s="94"/>
      <c r="GJT57" s="94"/>
      <c r="GJU57" s="94"/>
      <c r="GJV57" s="94"/>
      <c r="GJW57" s="94"/>
      <c r="GJX57" s="94"/>
      <c r="GJY57" s="94"/>
      <c r="GJZ57" s="94"/>
      <c r="GKA57" s="94"/>
      <c r="GKB57" s="94"/>
      <c r="GKC57" s="94"/>
      <c r="GKD57" s="94"/>
      <c r="GKE57" s="94"/>
      <c r="GKF57" s="94"/>
      <c r="GKG57" s="94"/>
      <c r="GKH57" s="94"/>
      <c r="GKI57" s="94"/>
      <c r="GKJ57" s="94"/>
      <c r="GKK57" s="94"/>
      <c r="GKL57" s="94"/>
      <c r="GKM57" s="94"/>
      <c r="GKN57" s="94"/>
      <c r="GKO57" s="94"/>
      <c r="GKP57" s="94"/>
      <c r="GKQ57" s="94"/>
      <c r="GKR57" s="94"/>
      <c r="GKS57" s="94"/>
      <c r="GKT57" s="94"/>
      <c r="GKU57" s="94"/>
      <c r="GKV57" s="94"/>
      <c r="GKW57" s="94"/>
      <c r="GKX57" s="94"/>
      <c r="GKY57" s="94"/>
      <c r="GKZ57" s="94"/>
      <c r="GLA57" s="94"/>
      <c r="GLB57" s="94"/>
      <c r="GLC57" s="94"/>
      <c r="GLD57" s="94"/>
      <c r="GLE57" s="94"/>
      <c r="GLF57" s="94"/>
      <c r="GLG57" s="94"/>
      <c r="GLH57" s="94"/>
      <c r="GLI57" s="94"/>
      <c r="GLJ57" s="94"/>
      <c r="GLK57" s="94"/>
      <c r="GLL57" s="94"/>
      <c r="GLM57" s="94"/>
      <c r="GLN57" s="94"/>
      <c r="GLO57" s="94"/>
      <c r="GLP57" s="94"/>
      <c r="GLQ57" s="94"/>
      <c r="GLR57" s="94"/>
      <c r="GLS57" s="94"/>
      <c r="GLT57" s="94"/>
      <c r="GLU57" s="94"/>
      <c r="GLV57" s="94"/>
      <c r="GLW57" s="94"/>
      <c r="GLX57" s="94"/>
      <c r="GLY57" s="94"/>
      <c r="GLZ57" s="94"/>
      <c r="GMA57" s="94"/>
      <c r="GMB57" s="94"/>
      <c r="GMC57" s="94"/>
      <c r="GMD57" s="94"/>
      <c r="GME57" s="94"/>
      <c r="GMF57" s="94"/>
      <c r="GMG57" s="94"/>
      <c r="GMH57" s="94"/>
      <c r="GMI57" s="94"/>
      <c r="GMJ57" s="94"/>
      <c r="GMK57" s="94"/>
      <c r="GML57" s="94"/>
      <c r="GMM57" s="94"/>
      <c r="GMN57" s="94"/>
      <c r="GMO57" s="94"/>
      <c r="GMP57" s="94"/>
      <c r="GMQ57" s="94"/>
      <c r="GMR57" s="94"/>
      <c r="GMS57" s="94"/>
      <c r="GMT57" s="94"/>
      <c r="GMU57" s="94"/>
      <c r="GMV57" s="94"/>
      <c r="GMW57" s="94"/>
      <c r="GMX57" s="94"/>
      <c r="GMY57" s="94"/>
      <c r="GMZ57" s="94"/>
      <c r="GNA57" s="94"/>
      <c r="GNB57" s="94"/>
      <c r="GNC57" s="94"/>
      <c r="GND57" s="94"/>
      <c r="GNE57" s="94"/>
      <c r="GNF57" s="94"/>
      <c r="GNG57" s="94"/>
      <c r="GNH57" s="94"/>
      <c r="GNI57" s="94"/>
      <c r="GNJ57" s="94"/>
      <c r="GNK57" s="94"/>
      <c r="GNL57" s="94"/>
      <c r="GNM57" s="94"/>
      <c r="GNN57" s="94"/>
      <c r="GNO57" s="94"/>
      <c r="GNP57" s="94"/>
      <c r="GNQ57" s="94"/>
      <c r="GNR57" s="94"/>
      <c r="GNS57" s="94"/>
      <c r="GNT57" s="94"/>
      <c r="GNU57" s="94"/>
      <c r="GNV57" s="94"/>
      <c r="GNW57" s="94"/>
      <c r="GNX57" s="94"/>
      <c r="GNY57" s="94"/>
      <c r="GNZ57" s="94"/>
      <c r="GOA57" s="94"/>
      <c r="GOB57" s="94"/>
      <c r="GOC57" s="94"/>
      <c r="GOD57" s="94"/>
      <c r="GOE57" s="94"/>
      <c r="GOF57" s="94"/>
      <c r="GOG57" s="94"/>
      <c r="GOH57" s="94"/>
      <c r="GOI57" s="94"/>
      <c r="GOJ57" s="94"/>
      <c r="GOK57" s="94"/>
      <c r="GOL57" s="94"/>
      <c r="GOM57" s="94"/>
      <c r="GON57" s="94"/>
      <c r="GOO57" s="94"/>
      <c r="GOP57" s="94"/>
      <c r="GOQ57" s="94"/>
      <c r="GOR57" s="94"/>
      <c r="GOS57" s="94"/>
      <c r="GOT57" s="94"/>
      <c r="GOU57" s="94"/>
      <c r="GOV57" s="94"/>
      <c r="GOW57" s="94"/>
      <c r="GOX57" s="94"/>
      <c r="GOY57" s="94"/>
      <c r="GOZ57" s="94"/>
      <c r="GPA57" s="94"/>
      <c r="GPB57" s="94"/>
      <c r="GPC57" s="94"/>
      <c r="GPD57" s="94"/>
      <c r="GPE57" s="94"/>
      <c r="GPF57" s="94"/>
      <c r="GPG57" s="94"/>
      <c r="GPH57" s="94"/>
      <c r="GPI57" s="94"/>
      <c r="GPJ57" s="94"/>
      <c r="GPK57" s="94"/>
      <c r="GPL57" s="94"/>
      <c r="GPM57" s="94"/>
      <c r="GPN57" s="94"/>
      <c r="GPO57" s="94"/>
      <c r="GPP57" s="94"/>
      <c r="GPQ57" s="94"/>
      <c r="GPR57" s="94"/>
      <c r="GPS57" s="94"/>
      <c r="GPT57" s="94"/>
      <c r="GPU57" s="94"/>
      <c r="GPV57" s="94"/>
      <c r="GPW57" s="94"/>
      <c r="GPX57" s="94"/>
      <c r="GPY57" s="94"/>
      <c r="GPZ57" s="94"/>
      <c r="GQA57" s="94"/>
      <c r="GQB57" s="94"/>
      <c r="GQC57" s="94"/>
      <c r="GQD57" s="94"/>
      <c r="GQE57" s="94"/>
      <c r="GQF57" s="94"/>
      <c r="GQG57" s="94"/>
      <c r="GQH57" s="94"/>
      <c r="GQI57" s="94"/>
      <c r="GQJ57" s="94"/>
      <c r="GQK57" s="94"/>
      <c r="GQL57" s="94"/>
      <c r="GQM57" s="94"/>
      <c r="GQN57" s="94"/>
      <c r="GQO57" s="94"/>
      <c r="GQP57" s="94"/>
      <c r="GQQ57" s="94"/>
      <c r="GQR57" s="94"/>
      <c r="GQS57" s="94"/>
      <c r="GQT57" s="94"/>
      <c r="GQU57" s="94"/>
      <c r="GQV57" s="94"/>
      <c r="GQW57" s="94"/>
      <c r="GQX57" s="94"/>
      <c r="GQY57" s="94"/>
      <c r="GQZ57" s="94"/>
      <c r="GRA57" s="94"/>
      <c r="GRB57" s="94"/>
      <c r="GRC57" s="94"/>
      <c r="GRD57" s="94"/>
      <c r="GRE57" s="94"/>
      <c r="GRF57" s="94"/>
      <c r="GRG57" s="94"/>
      <c r="GRH57" s="94"/>
      <c r="GRI57" s="94"/>
      <c r="GRJ57" s="94"/>
      <c r="GRK57" s="94"/>
      <c r="GRL57" s="94"/>
      <c r="GRM57" s="94"/>
      <c r="GRN57" s="94"/>
      <c r="GRO57" s="94"/>
      <c r="GRP57" s="94"/>
      <c r="GRQ57" s="94"/>
      <c r="GRR57" s="94"/>
      <c r="GRS57" s="94"/>
      <c r="GRT57" s="94"/>
      <c r="GRU57" s="94"/>
      <c r="GRV57" s="94"/>
      <c r="GRW57" s="94"/>
      <c r="GRX57" s="94"/>
      <c r="GRY57" s="94"/>
      <c r="GRZ57" s="94"/>
      <c r="GSA57" s="94"/>
      <c r="GSB57" s="94"/>
      <c r="GSC57" s="94"/>
      <c r="GSD57" s="94"/>
      <c r="GSE57" s="94"/>
      <c r="GSF57" s="94"/>
      <c r="GSG57" s="94"/>
      <c r="GSH57" s="94"/>
      <c r="GSI57" s="94"/>
      <c r="GSJ57" s="94"/>
      <c r="GSK57" s="94"/>
      <c r="GSL57" s="94"/>
      <c r="GSM57" s="94"/>
      <c r="GSN57" s="94"/>
      <c r="GSO57" s="94"/>
      <c r="GSP57" s="94"/>
      <c r="GSQ57" s="94"/>
      <c r="GSR57" s="94"/>
      <c r="GSS57" s="94"/>
      <c r="GST57" s="94"/>
      <c r="GSU57" s="94"/>
      <c r="GSV57" s="94"/>
      <c r="GSW57" s="94"/>
      <c r="GSX57" s="94"/>
      <c r="GSY57" s="94"/>
      <c r="GSZ57" s="94"/>
      <c r="GTA57" s="94"/>
      <c r="GTB57" s="94"/>
      <c r="GTC57" s="94"/>
      <c r="GTD57" s="94"/>
      <c r="GTE57" s="94"/>
      <c r="GTF57" s="94"/>
      <c r="GTG57" s="94"/>
      <c r="GTH57" s="94"/>
      <c r="GTI57" s="94"/>
      <c r="GTJ57" s="94"/>
      <c r="GTK57" s="94"/>
      <c r="GTL57" s="94"/>
      <c r="GTM57" s="94"/>
      <c r="GTN57" s="94"/>
      <c r="GTO57" s="94"/>
      <c r="GTP57" s="94"/>
      <c r="GTQ57" s="94"/>
      <c r="GTR57" s="94"/>
      <c r="GTS57" s="94"/>
      <c r="GTT57" s="94"/>
      <c r="GTU57" s="94"/>
      <c r="GTV57" s="94"/>
      <c r="GTW57" s="94"/>
      <c r="GTX57" s="94"/>
      <c r="GTY57" s="94"/>
      <c r="GTZ57" s="94"/>
      <c r="GUA57" s="94"/>
      <c r="GUB57" s="94"/>
      <c r="GUC57" s="94"/>
      <c r="GUD57" s="94"/>
      <c r="GUE57" s="94"/>
      <c r="GUF57" s="94"/>
      <c r="GUG57" s="94"/>
      <c r="GUH57" s="94"/>
      <c r="GUI57" s="94"/>
      <c r="GUJ57" s="94"/>
      <c r="GUK57" s="94"/>
      <c r="GUL57" s="94"/>
      <c r="GUM57" s="94"/>
      <c r="GUN57" s="94"/>
      <c r="GUO57" s="94"/>
      <c r="GUP57" s="94"/>
      <c r="GUQ57" s="94"/>
      <c r="GUR57" s="94"/>
      <c r="GUS57" s="94"/>
      <c r="GUT57" s="94"/>
      <c r="GUU57" s="94"/>
      <c r="GUV57" s="94"/>
      <c r="GUW57" s="94"/>
      <c r="GUX57" s="94"/>
      <c r="GUY57" s="94"/>
      <c r="GUZ57" s="94"/>
      <c r="GVA57" s="94"/>
      <c r="GVB57" s="94"/>
      <c r="GVC57" s="94"/>
      <c r="GVD57" s="94"/>
      <c r="GVE57" s="94"/>
      <c r="GVF57" s="94"/>
      <c r="GVG57" s="94"/>
      <c r="GVH57" s="94"/>
      <c r="GVI57" s="94"/>
      <c r="GVJ57" s="94"/>
      <c r="GVK57" s="94"/>
      <c r="GVL57" s="94"/>
      <c r="GVM57" s="94"/>
      <c r="GVN57" s="94"/>
      <c r="GVO57" s="94"/>
      <c r="GVP57" s="94"/>
      <c r="GVQ57" s="94"/>
      <c r="GVR57" s="94"/>
      <c r="GVS57" s="94"/>
      <c r="GVT57" s="94"/>
      <c r="GVU57" s="94"/>
      <c r="GVV57" s="94"/>
      <c r="GVW57" s="94"/>
      <c r="GVX57" s="94"/>
      <c r="GVY57" s="94"/>
      <c r="GVZ57" s="94"/>
      <c r="GWA57" s="94"/>
      <c r="GWB57" s="94"/>
      <c r="GWC57" s="94"/>
      <c r="GWD57" s="94"/>
      <c r="GWE57" s="94"/>
      <c r="GWF57" s="94"/>
      <c r="GWG57" s="94"/>
      <c r="GWH57" s="94"/>
      <c r="GWI57" s="94"/>
      <c r="GWJ57" s="94"/>
      <c r="GWK57" s="94"/>
      <c r="GWL57" s="94"/>
      <c r="GWM57" s="94"/>
      <c r="GWN57" s="94"/>
      <c r="GWO57" s="94"/>
      <c r="GWP57" s="94"/>
      <c r="GWQ57" s="94"/>
      <c r="GWR57" s="94"/>
      <c r="GWS57" s="94"/>
      <c r="GWT57" s="94"/>
      <c r="GWU57" s="94"/>
      <c r="GWV57" s="94"/>
      <c r="GWW57" s="94"/>
      <c r="GWX57" s="94"/>
      <c r="GWY57" s="94"/>
      <c r="GWZ57" s="94"/>
      <c r="GXA57" s="94"/>
      <c r="GXB57" s="94"/>
      <c r="GXC57" s="94"/>
      <c r="GXD57" s="94"/>
      <c r="GXE57" s="94"/>
      <c r="GXF57" s="94"/>
      <c r="GXG57" s="94"/>
      <c r="GXH57" s="94"/>
      <c r="GXI57" s="94"/>
      <c r="GXJ57" s="94"/>
      <c r="GXK57" s="94"/>
      <c r="GXL57" s="94"/>
      <c r="GXM57" s="94"/>
      <c r="GXN57" s="94"/>
      <c r="GXO57" s="94"/>
      <c r="GXP57" s="94"/>
      <c r="GXQ57" s="94"/>
      <c r="GXR57" s="94"/>
      <c r="GXS57" s="94"/>
      <c r="GXT57" s="94"/>
      <c r="GXU57" s="94"/>
      <c r="GXV57" s="94"/>
      <c r="GXW57" s="94"/>
      <c r="GXX57" s="94"/>
      <c r="GXY57" s="94"/>
      <c r="GXZ57" s="94"/>
      <c r="GYA57" s="94"/>
      <c r="GYB57" s="94"/>
      <c r="GYC57" s="94"/>
      <c r="GYD57" s="94"/>
      <c r="GYE57" s="94"/>
      <c r="GYF57" s="94"/>
      <c r="GYG57" s="94"/>
      <c r="GYH57" s="94"/>
      <c r="GYI57" s="94"/>
      <c r="GYJ57" s="94"/>
      <c r="GYK57" s="94"/>
      <c r="GYL57" s="94"/>
      <c r="GYM57" s="94"/>
      <c r="GYN57" s="94"/>
      <c r="GYO57" s="94"/>
      <c r="GYP57" s="94"/>
      <c r="GYQ57" s="94"/>
      <c r="GYR57" s="94"/>
      <c r="GYS57" s="94"/>
      <c r="GYT57" s="94"/>
      <c r="GYU57" s="94"/>
      <c r="GYV57" s="94"/>
      <c r="GYW57" s="94"/>
      <c r="GYX57" s="94"/>
      <c r="GYY57" s="94"/>
      <c r="GYZ57" s="94"/>
      <c r="GZA57" s="94"/>
      <c r="GZB57" s="94"/>
      <c r="GZC57" s="94"/>
      <c r="GZD57" s="94"/>
      <c r="GZE57" s="94"/>
      <c r="GZF57" s="94"/>
      <c r="GZG57" s="94"/>
      <c r="GZH57" s="94"/>
      <c r="GZI57" s="94"/>
      <c r="GZJ57" s="94"/>
      <c r="GZK57" s="94"/>
      <c r="GZL57" s="94"/>
      <c r="GZM57" s="94"/>
      <c r="GZN57" s="94"/>
      <c r="GZO57" s="94"/>
      <c r="GZP57" s="94"/>
      <c r="GZQ57" s="94"/>
      <c r="GZR57" s="94"/>
      <c r="GZS57" s="94"/>
      <c r="GZT57" s="94"/>
      <c r="GZU57" s="94"/>
      <c r="GZV57" s="94"/>
      <c r="GZW57" s="94"/>
      <c r="GZX57" s="94"/>
      <c r="GZY57" s="94"/>
      <c r="GZZ57" s="94"/>
      <c r="HAA57" s="94"/>
      <c r="HAB57" s="94"/>
      <c r="HAC57" s="94"/>
      <c r="HAD57" s="94"/>
      <c r="HAE57" s="94"/>
      <c r="HAF57" s="94"/>
      <c r="HAG57" s="94"/>
      <c r="HAH57" s="94"/>
      <c r="HAI57" s="94"/>
      <c r="HAJ57" s="94"/>
      <c r="HAK57" s="94"/>
      <c r="HAL57" s="94"/>
      <c r="HAM57" s="94"/>
      <c r="HAN57" s="94"/>
      <c r="HAO57" s="94"/>
      <c r="HAP57" s="94"/>
      <c r="HAQ57" s="94"/>
      <c r="HAR57" s="94"/>
      <c r="HAS57" s="94"/>
      <c r="HAT57" s="94"/>
      <c r="HAU57" s="94"/>
      <c r="HAV57" s="94"/>
      <c r="HAW57" s="94"/>
      <c r="HAX57" s="94"/>
      <c r="HAY57" s="94"/>
      <c r="HAZ57" s="94"/>
      <c r="HBA57" s="94"/>
      <c r="HBB57" s="94"/>
      <c r="HBC57" s="94"/>
      <c r="HBD57" s="94"/>
      <c r="HBE57" s="94"/>
      <c r="HBF57" s="94"/>
      <c r="HBG57" s="94"/>
      <c r="HBH57" s="94"/>
      <c r="HBI57" s="94"/>
      <c r="HBJ57" s="94"/>
      <c r="HBK57" s="94"/>
      <c r="HBL57" s="94"/>
      <c r="HBM57" s="94"/>
      <c r="HBN57" s="94"/>
      <c r="HBO57" s="94"/>
      <c r="HBP57" s="94"/>
      <c r="HBQ57" s="94"/>
      <c r="HBR57" s="94"/>
      <c r="HBS57" s="94"/>
      <c r="HBT57" s="94"/>
      <c r="HBU57" s="94"/>
      <c r="HBV57" s="94"/>
      <c r="HBW57" s="94"/>
      <c r="HBX57" s="94"/>
      <c r="HBY57" s="94"/>
      <c r="HBZ57" s="94"/>
      <c r="HCA57" s="94"/>
      <c r="HCB57" s="94"/>
      <c r="HCC57" s="94"/>
      <c r="HCD57" s="94"/>
      <c r="HCE57" s="94"/>
      <c r="HCF57" s="94"/>
      <c r="HCG57" s="94"/>
      <c r="HCH57" s="94"/>
      <c r="HCI57" s="94"/>
      <c r="HCJ57" s="94"/>
      <c r="HCK57" s="94"/>
      <c r="HCL57" s="94"/>
      <c r="HCM57" s="94"/>
      <c r="HCN57" s="94"/>
      <c r="HCO57" s="94"/>
      <c r="HCP57" s="94"/>
      <c r="HCQ57" s="94"/>
      <c r="HCR57" s="94"/>
      <c r="HCS57" s="94"/>
      <c r="HCT57" s="94"/>
      <c r="HCU57" s="94"/>
      <c r="HCV57" s="94"/>
      <c r="HCW57" s="94"/>
      <c r="HCX57" s="94"/>
      <c r="HCY57" s="94"/>
      <c r="HCZ57" s="94"/>
      <c r="HDA57" s="94"/>
      <c r="HDB57" s="94"/>
      <c r="HDC57" s="94"/>
      <c r="HDD57" s="94"/>
      <c r="HDE57" s="94"/>
      <c r="HDF57" s="94"/>
      <c r="HDG57" s="94"/>
      <c r="HDH57" s="94"/>
      <c r="HDI57" s="94"/>
      <c r="HDJ57" s="94"/>
      <c r="HDK57" s="94"/>
      <c r="HDL57" s="94"/>
      <c r="HDM57" s="94"/>
      <c r="HDN57" s="94"/>
      <c r="HDO57" s="94"/>
      <c r="HDP57" s="94"/>
      <c r="HDQ57" s="94"/>
      <c r="HDR57" s="94"/>
      <c r="HDS57" s="94"/>
      <c r="HDT57" s="94"/>
      <c r="HDU57" s="94"/>
      <c r="HDV57" s="94"/>
      <c r="HDW57" s="94"/>
      <c r="HDX57" s="94"/>
      <c r="HDY57" s="94"/>
      <c r="HDZ57" s="94"/>
      <c r="HEA57" s="94"/>
      <c r="HEB57" s="94"/>
      <c r="HEC57" s="94"/>
      <c r="HED57" s="94"/>
      <c r="HEE57" s="94"/>
      <c r="HEF57" s="94"/>
      <c r="HEG57" s="94"/>
      <c r="HEH57" s="94"/>
      <c r="HEI57" s="94"/>
      <c r="HEJ57" s="94"/>
      <c r="HEK57" s="94"/>
      <c r="HEL57" s="94"/>
      <c r="HEM57" s="94"/>
      <c r="HEN57" s="94"/>
      <c r="HEO57" s="94"/>
      <c r="HEP57" s="94"/>
      <c r="HEQ57" s="94"/>
      <c r="HER57" s="94"/>
      <c r="HES57" s="94"/>
      <c r="HET57" s="94"/>
      <c r="HEU57" s="94"/>
      <c r="HEV57" s="94"/>
      <c r="HEW57" s="94"/>
      <c r="HEX57" s="94"/>
      <c r="HEY57" s="94"/>
      <c r="HEZ57" s="94"/>
      <c r="HFA57" s="94"/>
      <c r="HFB57" s="94"/>
      <c r="HFC57" s="94"/>
      <c r="HFD57" s="94"/>
      <c r="HFE57" s="94"/>
      <c r="HFF57" s="94"/>
      <c r="HFG57" s="94"/>
      <c r="HFH57" s="94"/>
      <c r="HFI57" s="94"/>
      <c r="HFJ57" s="94"/>
      <c r="HFK57" s="94"/>
      <c r="HFL57" s="94"/>
      <c r="HFM57" s="94"/>
      <c r="HFN57" s="94"/>
      <c r="HFO57" s="94"/>
      <c r="HFP57" s="94"/>
      <c r="HFQ57" s="94"/>
      <c r="HFR57" s="94"/>
      <c r="HFS57" s="94"/>
      <c r="HFT57" s="94"/>
      <c r="HFU57" s="94"/>
      <c r="HFV57" s="94"/>
      <c r="HFW57" s="94"/>
      <c r="HFX57" s="94"/>
      <c r="HFY57" s="94"/>
      <c r="HFZ57" s="94"/>
      <c r="HGA57" s="94"/>
      <c r="HGB57" s="94"/>
      <c r="HGC57" s="94"/>
      <c r="HGD57" s="94"/>
      <c r="HGE57" s="94"/>
      <c r="HGF57" s="94"/>
      <c r="HGG57" s="94"/>
      <c r="HGH57" s="94"/>
      <c r="HGI57" s="94"/>
      <c r="HGJ57" s="94"/>
      <c r="HGK57" s="94"/>
      <c r="HGL57" s="94"/>
      <c r="HGM57" s="94"/>
      <c r="HGN57" s="94"/>
      <c r="HGO57" s="94"/>
      <c r="HGP57" s="94"/>
      <c r="HGQ57" s="94"/>
      <c r="HGR57" s="94"/>
      <c r="HGS57" s="94"/>
      <c r="HGT57" s="94"/>
      <c r="HGU57" s="94"/>
      <c r="HGV57" s="94"/>
      <c r="HGW57" s="94"/>
      <c r="HGX57" s="94"/>
      <c r="HGY57" s="94"/>
      <c r="HGZ57" s="94"/>
      <c r="HHA57" s="94"/>
      <c r="HHB57" s="94"/>
      <c r="HHC57" s="94"/>
      <c r="HHD57" s="94"/>
      <c r="HHE57" s="94"/>
      <c r="HHF57" s="94"/>
      <c r="HHG57" s="94"/>
      <c r="HHH57" s="94"/>
      <c r="HHI57" s="94"/>
      <c r="HHJ57" s="94"/>
      <c r="HHK57" s="94"/>
      <c r="HHL57" s="94"/>
      <c r="HHM57" s="94"/>
      <c r="HHN57" s="94"/>
      <c r="HHO57" s="94"/>
      <c r="HHP57" s="94"/>
      <c r="HHQ57" s="94"/>
      <c r="HHR57" s="94"/>
      <c r="HHS57" s="94"/>
      <c r="HHT57" s="94"/>
      <c r="HHU57" s="94"/>
      <c r="HHV57" s="94"/>
      <c r="HHW57" s="94"/>
      <c r="HHX57" s="94"/>
      <c r="HHY57" s="94"/>
      <c r="HHZ57" s="94"/>
      <c r="HIA57" s="94"/>
      <c r="HIB57" s="94"/>
      <c r="HIC57" s="94"/>
      <c r="HID57" s="94"/>
      <c r="HIE57" s="94"/>
      <c r="HIF57" s="94"/>
      <c r="HIG57" s="94"/>
      <c r="HIH57" s="94"/>
      <c r="HII57" s="94"/>
      <c r="HIJ57" s="94"/>
      <c r="HIK57" s="94"/>
      <c r="HIL57" s="94"/>
      <c r="HIM57" s="94"/>
      <c r="HIN57" s="94"/>
      <c r="HIO57" s="94"/>
      <c r="HIP57" s="94"/>
      <c r="HIQ57" s="94"/>
      <c r="HIR57" s="94"/>
      <c r="HIS57" s="94"/>
      <c r="HIT57" s="94"/>
      <c r="HIU57" s="94"/>
      <c r="HIV57" s="94"/>
      <c r="HIW57" s="94"/>
      <c r="HIX57" s="94"/>
      <c r="HIY57" s="94"/>
      <c r="HIZ57" s="94"/>
      <c r="HJA57" s="94"/>
      <c r="HJB57" s="94"/>
      <c r="HJC57" s="94"/>
      <c r="HJD57" s="94"/>
      <c r="HJE57" s="94"/>
      <c r="HJF57" s="94"/>
      <c r="HJG57" s="94"/>
      <c r="HJH57" s="94"/>
      <c r="HJI57" s="94"/>
      <c r="HJJ57" s="94"/>
      <c r="HJK57" s="94"/>
      <c r="HJL57" s="94"/>
      <c r="HJM57" s="94"/>
      <c r="HJN57" s="94"/>
      <c r="HJO57" s="94"/>
      <c r="HJP57" s="94"/>
      <c r="HJQ57" s="94"/>
      <c r="HJR57" s="94"/>
      <c r="HJS57" s="94"/>
      <c r="HJT57" s="94"/>
      <c r="HJU57" s="94"/>
      <c r="HJV57" s="94"/>
      <c r="HJW57" s="94"/>
      <c r="HJX57" s="94"/>
      <c r="HJY57" s="94"/>
      <c r="HJZ57" s="94"/>
      <c r="HKA57" s="94"/>
      <c r="HKB57" s="94"/>
      <c r="HKC57" s="94"/>
      <c r="HKD57" s="94"/>
      <c r="HKE57" s="94"/>
      <c r="HKF57" s="94"/>
      <c r="HKG57" s="94"/>
      <c r="HKH57" s="94"/>
      <c r="HKI57" s="94"/>
      <c r="HKJ57" s="94"/>
      <c r="HKK57" s="94"/>
      <c r="HKL57" s="94"/>
      <c r="HKM57" s="94"/>
      <c r="HKN57" s="94"/>
      <c r="HKO57" s="94"/>
      <c r="HKP57" s="94"/>
      <c r="HKQ57" s="94"/>
      <c r="HKR57" s="94"/>
      <c r="HKS57" s="94"/>
      <c r="HKT57" s="94"/>
      <c r="HKU57" s="94"/>
      <c r="HKV57" s="94"/>
      <c r="HKW57" s="94"/>
      <c r="HKX57" s="94"/>
      <c r="HKY57" s="94"/>
      <c r="HKZ57" s="94"/>
      <c r="HLA57" s="94"/>
      <c r="HLB57" s="94"/>
      <c r="HLC57" s="94"/>
      <c r="HLD57" s="94"/>
      <c r="HLE57" s="94"/>
      <c r="HLF57" s="94"/>
      <c r="HLG57" s="94"/>
      <c r="HLH57" s="94"/>
      <c r="HLI57" s="94"/>
      <c r="HLJ57" s="94"/>
      <c r="HLK57" s="94"/>
      <c r="HLL57" s="94"/>
      <c r="HLM57" s="94"/>
      <c r="HLN57" s="94"/>
      <c r="HLO57" s="94"/>
      <c r="HLP57" s="94"/>
      <c r="HLQ57" s="94"/>
      <c r="HLR57" s="94"/>
      <c r="HLS57" s="94"/>
      <c r="HLT57" s="94"/>
      <c r="HLU57" s="94"/>
      <c r="HLV57" s="94"/>
      <c r="HLW57" s="94"/>
      <c r="HLX57" s="94"/>
      <c r="HLY57" s="94"/>
      <c r="HLZ57" s="94"/>
      <c r="HMA57" s="94"/>
      <c r="HMB57" s="94"/>
      <c r="HMC57" s="94"/>
      <c r="HMD57" s="94"/>
      <c r="HME57" s="94"/>
      <c r="HMF57" s="94"/>
      <c r="HMG57" s="94"/>
      <c r="HMH57" s="94"/>
      <c r="HMI57" s="94"/>
      <c r="HMJ57" s="94"/>
      <c r="HMK57" s="94"/>
      <c r="HML57" s="94"/>
      <c r="HMM57" s="94"/>
      <c r="HMN57" s="94"/>
      <c r="HMO57" s="94"/>
      <c r="HMP57" s="94"/>
      <c r="HMQ57" s="94"/>
      <c r="HMR57" s="94"/>
      <c r="HMS57" s="94"/>
      <c r="HMT57" s="94"/>
      <c r="HMU57" s="94"/>
      <c r="HMV57" s="94"/>
      <c r="HMW57" s="94"/>
      <c r="HMX57" s="94"/>
      <c r="HMY57" s="94"/>
      <c r="HMZ57" s="94"/>
      <c r="HNA57" s="94"/>
      <c r="HNB57" s="94"/>
      <c r="HNC57" s="94"/>
      <c r="HND57" s="94"/>
      <c r="HNE57" s="94"/>
      <c r="HNF57" s="94"/>
      <c r="HNG57" s="94"/>
      <c r="HNH57" s="94"/>
      <c r="HNI57" s="94"/>
      <c r="HNJ57" s="94"/>
      <c r="HNK57" s="94"/>
      <c r="HNL57" s="94"/>
      <c r="HNM57" s="94"/>
      <c r="HNN57" s="94"/>
      <c r="HNO57" s="94"/>
      <c r="HNP57" s="94"/>
      <c r="HNQ57" s="94"/>
      <c r="HNR57" s="94"/>
      <c r="HNS57" s="94"/>
      <c r="HNT57" s="94"/>
      <c r="HNU57" s="94"/>
      <c r="HNV57" s="94"/>
      <c r="HNW57" s="94"/>
      <c r="HNX57" s="94"/>
      <c r="HNY57" s="94"/>
      <c r="HNZ57" s="94"/>
      <c r="HOA57" s="94"/>
      <c r="HOB57" s="94"/>
      <c r="HOC57" s="94"/>
      <c r="HOD57" s="94"/>
      <c r="HOE57" s="94"/>
      <c r="HOF57" s="94"/>
      <c r="HOG57" s="94"/>
      <c r="HOH57" s="94"/>
      <c r="HOI57" s="94"/>
      <c r="HOJ57" s="94"/>
      <c r="HOK57" s="94"/>
      <c r="HOL57" s="94"/>
      <c r="HOM57" s="94"/>
      <c r="HON57" s="94"/>
      <c r="HOO57" s="94"/>
      <c r="HOP57" s="94"/>
      <c r="HOQ57" s="94"/>
      <c r="HOR57" s="94"/>
      <c r="HOS57" s="94"/>
      <c r="HOT57" s="94"/>
      <c r="HOU57" s="94"/>
      <c r="HOV57" s="94"/>
      <c r="HOW57" s="94"/>
      <c r="HOX57" s="94"/>
      <c r="HOY57" s="94"/>
      <c r="HOZ57" s="94"/>
      <c r="HPA57" s="94"/>
      <c r="HPB57" s="94"/>
      <c r="HPC57" s="94"/>
      <c r="HPD57" s="94"/>
      <c r="HPE57" s="94"/>
      <c r="HPF57" s="94"/>
      <c r="HPG57" s="94"/>
      <c r="HPH57" s="94"/>
      <c r="HPI57" s="94"/>
      <c r="HPJ57" s="94"/>
      <c r="HPK57" s="94"/>
      <c r="HPL57" s="94"/>
      <c r="HPM57" s="94"/>
      <c r="HPN57" s="94"/>
      <c r="HPO57" s="94"/>
      <c r="HPP57" s="94"/>
      <c r="HPQ57" s="94"/>
      <c r="HPR57" s="94"/>
      <c r="HPS57" s="94"/>
      <c r="HPT57" s="94"/>
      <c r="HPU57" s="94"/>
      <c r="HPV57" s="94"/>
      <c r="HPW57" s="94"/>
      <c r="HPX57" s="94"/>
      <c r="HPY57" s="94"/>
      <c r="HPZ57" s="94"/>
      <c r="HQA57" s="94"/>
      <c r="HQB57" s="94"/>
      <c r="HQC57" s="94"/>
      <c r="HQD57" s="94"/>
      <c r="HQE57" s="94"/>
      <c r="HQF57" s="94"/>
      <c r="HQG57" s="94"/>
      <c r="HQH57" s="94"/>
      <c r="HQI57" s="94"/>
      <c r="HQJ57" s="94"/>
      <c r="HQK57" s="94"/>
      <c r="HQL57" s="94"/>
      <c r="HQM57" s="94"/>
      <c r="HQN57" s="94"/>
      <c r="HQO57" s="94"/>
      <c r="HQP57" s="94"/>
      <c r="HQQ57" s="94"/>
      <c r="HQR57" s="94"/>
      <c r="HQS57" s="94"/>
      <c r="HQT57" s="94"/>
      <c r="HQU57" s="94"/>
      <c r="HQV57" s="94"/>
      <c r="HQW57" s="94"/>
      <c r="HQX57" s="94"/>
      <c r="HQY57" s="94"/>
      <c r="HQZ57" s="94"/>
      <c r="HRA57" s="94"/>
      <c r="HRB57" s="94"/>
      <c r="HRC57" s="94"/>
      <c r="HRD57" s="94"/>
      <c r="HRE57" s="94"/>
      <c r="HRF57" s="94"/>
      <c r="HRG57" s="94"/>
      <c r="HRH57" s="94"/>
      <c r="HRI57" s="94"/>
      <c r="HRJ57" s="94"/>
      <c r="HRK57" s="94"/>
      <c r="HRL57" s="94"/>
      <c r="HRM57" s="94"/>
      <c r="HRN57" s="94"/>
      <c r="HRO57" s="94"/>
      <c r="HRP57" s="94"/>
      <c r="HRQ57" s="94"/>
      <c r="HRR57" s="94"/>
      <c r="HRS57" s="94"/>
      <c r="HRT57" s="94"/>
      <c r="HRU57" s="94"/>
      <c r="HRV57" s="94"/>
      <c r="HRW57" s="94"/>
      <c r="HRX57" s="94"/>
      <c r="HRY57" s="94"/>
      <c r="HRZ57" s="94"/>
      <c r="HSA57" s="94"/>
      <c r="HSB57" s="94"/>
      <c r="HSC57" s="94"/>
      <c r="HSD57" s="94"/>
      <c r="HSE57" s="94"/>
      <c r="HSF57" s="94"/>
      <c r="HSG57" s="94"/>
      <c r="HSH57" s="94"/>
      <c r="HSI57" s="94"/>
      <c r="HSJ57" s="94"/>
      <c r="HSK57" s="94"/>
      <c r="HSL57" s="94"/>
      <c r="HSM57" s="94"/>
      <c r="HSN57" s="94"/>
      <c r="HSO57" s="94"/>
      <c r="HSP57" s="94"/>
      <c r="HSQ57" s="94"/>
      <c r="HSR57" s="94"/>
      <c r="HSS57" s="94"/>
      <c r="HST57" s="94"/>
      <c r="HSU57" s="94"/>
      <c r="HSV57" s="94"/>
      <c r="HSW57" s="94"/>
      <c r="HSX57" s="94"/>
      <c r="HSY57" s="94"/>
      <c r="HSZ57" s="94"/>
      <c r="HTA57" s="94"/>
      <c r="HTB57" s="94"/>
      <c r="HTC57" s="94"/>
      <c r="HTD57" s="94"/>
      <c r="HTE57" s="94"/>
      <c r="HTF57" s="94"/>
      <c r="HTG57" s="94"/>
      <c r="HTH57" s="94"/>
      <c r="HTI57" s="94"/>
      <c r="HTJ57" s="94"/>
      <c r="HTK57" s="94"/>
      <c r="HTL57" s="94"/>
      <c r="HTM57" s="94"/>
      <c r="HTN57" s="94"/>
      <c r="HTO57" s="94"/>
      <c r="HTP57" s="94"/>
      <c r="HTQ57" s="94"/>
      <c r="HTR57" s="94"/>
      <c r="HTS57" s="94"/>
      <c r="HTT57" s="94"/>
      <c r="HTU57" s="94"/>
      <c r="HTV57" s="94"/>
      <c r="HTW57" s="94"/>
      <c r="HTX57" s="94"/>
      <c r="HTY57" s="94"/>
      <c r="HTZ57" s="94"/>
      <c r="HUA57" s="94"/>
      <c r="HUB57" s="94"/>
      <c r="HUC57" s="94"/>
      <c r="HUD57" s="94"/>
      <c r="HUE57" s="94"/>
      <c r="HUF57" s="94"/>
      <c r="HUG57" s="94"/>
      <c r="HUH57" s="94"/>
      <c r="HUI57" s="94"/>
      <c r="HUJ57" s="94"/>
      <c r="HUK57" s="94"/>
      <c r="HUL57" s="94"/>
      <c r="HUM57" s="94"/>
      <c r="HUN57" s="94"/>
      <c r="HUO57" s="94"/>
      <c r="HUP57" s="94"/>
      <c r="HUQ57" s="94"/>
      <c r="HUR57" s="94"/>
      <c r="HUS57" s="94"/>
      <c r="HUT57" s="94"/>
      <c r="HUU57" s="94"/>
      <c r="HUV57" s="94"/>
      <c r="HUW57" s="94"/>
      <c r="HUX57" s="94"/>
      <c r="HUY57" s="94"/>
      <c r="HUZ57" s="94"/>
      <c r="HVA57" s="94"/>
      <c r="HVB57" s="94"/>
      <c r="HVC57" s="94"/>
      <c r="HVD57" s="94"/>
      <c r="HVE57" s="94"/>
      <c r="HVF57" s="94"/>
      <c r="HVG57" s="94"/>
      <c r="HVH57" s="94"/>
      <c r="HVI57" s="94"/>
      <c r="HVJ57" s="94"/>
      <c r="HVK57" s="94"/>
      <c r="HVL57" s="94"/>
      <c r="HVM57" s="94"/>
      <c r="HVN57" s="94"/>
      <c r="HVO57" s="94"/>
      <c r="HVP57" s="94"/>
      <c r="HVQ57" s="94"/>
      <c r="HVR57" s="94"/>
      <c r="HVS57" s="94"/>
      <c r="HVT57" s="94"/>
      <c r="HVU57" s="94"/>
      <c r="HVV57" s="94"/>
      <c r="HVW57" s="94"/>
      <c r="HVX57" s="94"/>
      <c r="HVY57" s="94"/>
      <c r="HVZ57" s="94"/>
      <c r="HWA57" s="94"/>
      <c r="HWB57" s="94"/>
      <c r="HWC57" s="94"/>
      <c r="HWD57" s="94"/>
      <c r="HWE57" s="94"/>
      <c r="HWF57" s="94"/>
      <c r="HWG57" s="94"/>
      <c r="HWH57" s="94"/>
      <c r="HWI57" s="94"/>
      <c r="HWJ57" s="94"/>
      <c r="HWK57" s="94"/>
      <c r="HWL57" s="94"/>
      <c r="HWM57" s="94"/>
      <c r="HWN57" s="94"/>
      <c r="HWO57" s="94"/>
      <c r="HWP57" s="94"/>
      <c r="HWQ57" s="94"/>
      <c r="HWR57" s="94"/>
      <c r="HWS57" s="94"/>
      <c r="HWT57" s="94"/>
      <c r="HWU57" s="94"/>
      <c r="HWV57" s="94"/>
      <c r="HWW57" s="94"/>
      <c r="HWX57" s="94"/>
      <c r="HWY57" s="94"/>
      <c r="HWZ57" s="94"/>
      <c r="HXA57" s="94"/>
      <c r="HXB57" s="94"/>
      <c r="HXC57" s="94"/>
      <c r="HXD57" s="94"/>
      <c r="HXE57" s="94"/>
      <c r="HXF57" s="94"/>
      <c r="HXG57" s="94"/>
      <c r="HXH57" s="94"/>
      <c r="HXI57" s="94"/>
      <c r="HXJ57" s="94"/>
      <c r="HXK57" s="94"/>
      <c r="HXL57" s="94"/>
      <c r="HXM57" s="94"/>
      <c r="HXN57" s="94"/>
      <c r="HXO57" s="94"/>
      <c r="HXP57" s="94"/>
      <c r="HXQ57" s="94"/>
      <c r="HXR57" s="94"/>
      <c r="HXS57" s="94"/>
      <c r="HXT57" s="94"/>
      <c r="HXU57" s="94"/>
      <c r="HXV57" s="94"/>
      <c r="HXW57" s="94"/>
      <c r="HXX57" s="94"/>
      <c r="HXY57" s="94"/>
      <c r="HXZ57" s="94"/>
      <c r="HYA57" s="94"/>
      <c r="HYB57" s="94"/>
      <c r="HYC57" s="94"/>
      <c r="HYD57" s="94"/>
      <c r="HYE57" s="94"/>
      <c r="HYF57" s="94"/>
      <c r="HYG57" s="94"/>
      <c r="HYH57" s="94"/>
      <c r="HYI57" s="94"/>
      <c r="HYJ57" s="94"/>
      <c r="HYK57" s="94"/>
      <c r="HYL57" s="94"/>
      <c r="HYM57" s="94"/>
      <c r="HYN57" s="94"/>
      <c r="HYO57" s="94"/>
      <c r="HYP57" s="94"/>
      <c r="HYQ57" s="94"/>
      <c r="HYR57" s="94"/>
      <c r="HYS57" s="94"/>
      <c r="HYT57" s="94"/>
      <c r="HYU57" s="94"/>
      <c r="HYV57" s="94"/>
      <c r="HYW57" s="94"/>
      <c r="HYX57" s="94"/>
      <c r="HYY57" s="94"/>
      <c r="HYZ57" s="94"/>
      <c r="HZA57" s="94"/>
      <c r="HZB57" s="94"/>
      <c r="HZC57" s="94"/>
      <c r="HZD57" s="94"/>
      <c r="HZE57" s="94"/>
      <c r="HZF57" s="94"/>
      <c r="HZG57" s="94"/>
      <c r="HZH57" s="94"/>
      <c r="HZI57" s="94"/>
      <c r="HZJ57" s="94"/>
      <c r="HZK57" s="94"/>
      <c r="HZL57" s="94"/>
      <c r="HZM57" s="94"/>
      <c r="HZN57" s="94"/>
      <c r="HZO57" s="94"/>
      <c r="HZP57" s="94"/>
      <c r="HZQ57" s="94"/>
      <c r="HZR57" s="94"/>
      <c r="HZS57" s="94"/>
      <c r="HZT57" s="94"/>
      <c r="HZU57" s="94"/>
      <c r="HZV57" s="94"/>
      <c r="HZW57" s="94"/>
      <c r="HZX57" s="94"/>
      <c r="HZY57" s="94"/>
      <c r="HZZ57" s="94"/>
      <c r="IAA57" s="94"/>
      <c r="IAB57" s="94"/>
      <c r="IAC57" s="94"/>
      <c r="IAD57" s="94"/>
      <c r="IAE57" s="94"/>
      <c r="IAF57" s="94"/>
      <c r="IAG57" s="94"/>
      <c r="IAH57" s="94"/>
      <c r="IAI57" s="94"/>
      <c r="IAJ57" s="94"/>
      <c r="IAK57" s="94"/>
      <c r="IAL57" s="94"/>
      <c r="IAM57" s="94"/>
      <c r="IAN57" s="94"/>
      <c r="IAO57" s="94"/>
      <c r="IAP57" s="94"/>
      <c r="IAQ57" s="94"/>
      <c r="IAR57" s="94"/>
      <c r="IAS57" s="94"/>
      <c r="IAT57" s="94"/>
      <c r="IAU57" s="94"/>
      <c r="IAV57" s="94"/>
      <c r="IAW57" s="94"/>
      <c r="IAX57" s="94"/>
      <c r="IAY57" s="94"/>
      <c r="IAZ57" s="94"/>
      <c r="IBA57" s="94"/>
      <c r="IBB57" s="94"/>
      <c r="IBC57" s="94"/>
      <c r="IBD57" s="94"/>
      <c r="IBE57" s="94"/>
      <c r="IBF57" s="94"/>
      <c r="IBG57" s="94"/>
      <c r="IBH57" s="94"/>
      <c r="IBI57" s="94"/>
      <c r="IBJ57" s="94"/>
      <c r="IBK57" s="94"/>
      <c r="IBL57" s="94"/>
      <c r="IBM57" s="94"/>
      <c r="IBN57" s="94"/>
      <c r="IBO57" s="94"/>
      <c r="IBP57" s="94"/>
      <c r="IBQ57" s="94"/>
      <c r="IBR57" s="94"/>
      <c r="IBS57" s="94"/>
      <c r="IBT57" s="94"/>
      <c r="IBU57" s="94"/>
      <c r="IBV57" s="94"/>
      <c r="IBW57" s="94"/>
      <c r="IBX57" s="94"/>
      <c r="IBY57" s="94"/>
      <c r="IBZ57" s="94"/>
      <c r="ICA57" s="94"/>
      <c r="ICB57" s="94"/>
      <c r="ICC57" s="94"/>
      <c r="ICD57" s="94"/>
      <c r="ICE57" s="94"/>
      <c r="ICF57" s="94"/>
      <c r="ICG57" s="94"/>
      <c r="ICH57" s="94"/>
      <c r="ICI57" s="94"/>
      <c r="ICJ57" s="94"/>
      <c r="ICK57" s="94"/>
      <c r="ICL57" s="94"/>
      <c r="ICM57" s="94"/>
      <c r="ICN57" s="94"/>
      <c r="ICO57" s="94"/>
      <c r="ICP57" s="94"/>
      <c r="ICQ57" s="94"/>
      <c r="ICR57" s="94"/>
      <c r="ICS57" s="94"/>
      <c r="ICT57" s="94"/>
      <c r="ICU57" s="94"/>
      <c r="ICV57" s="94"/>
      <c r="ICW57" s="94"/>
      <c r="ICX57" s="94"/>
      <c r="ICY57" s="94"/>
      <c r="ICZ57" s="94"/>
      <c r="IDA57" s="94"/>
      <c r="IDB57" s="94"/>
      <c r="IDC57" s="94"/>
      <c r="IDD57" s="94"/>
      <c r="IDE57" s="94"/>
      <c r="IDF57" s="94"/>
      <c r="IDG57" s="94"/>
      <c r="IDH57" s="94"/>
      <c r="IDI57" s="94"/>
      <c r="IDJ57" s="94"/>
      <c r="IDK57" s="94"/>
      <c r="IDL57" s="94"/>
      <c r="IDM57" s="94"/>
      <c r="IDN57" s="94"/>
      <c r="IDO57" s="94"/>
      <c r="IDP57" s="94"/>
      <c r="IDQ57" s="94"/>
      <c r="IDR57" s="94"/>
      <c r="IDS57" s="94"/>
      <c r="IDT57" s="94"/>
      <c r="IDU57" s="94"/>
      <c r="IDV57" s="94"/>
      <c r="IDW57" s="94"/>
      <c r="IDX57" s="94"/>
      <c r="IDY57" s="94"/>
      <c r="IDZ57" s="94"/>
      <c r="IEA57" s="94"/>
      <c r="IEB57" s="94"/>
      <c r="IEC57" s="94"/>
      <c r="IED57" s="94"/>
      <c r="IEE57" s="94"/>
      <c r="IEF57" s="94"/>
      <c r="IEG57" s="94"/>
      <c r="IEH57" s="94"/>
      <c r="IEI57" s="94"/>
      <c r="IEJ57" s="94"/>
      <c r="IEK57" s="94"/>
      <c r="IEL57" s="94"/>
      <c r="IEM57" s="94"/>
      <c r="IEN57" s="94"/>
      <c r="IEO57" s="94"/>
      <c r="IEP57" s="94"/>
      <c r="IEQ57" s="94"/>
      <c r="IER57" s="94"/>
      <c r="IES57" s="94"/>
      <c r="IET57" s="94"/>
      <c r="IEU57" s="94"/>
      <c r="IEV57" s="94"/>
      <c r="IEW57" s="94"/>
      <c r="IEX57" s="94"/>
      <c r="IEY57" s="94"/>
      <c r="IEZ57" s="94"/>
      <c r="IFA57" s="94"/>
      <c r="IFB57" s="94"/>
      <c r="IFC57" s="94"/>
      <c r="IFD57" s="94"/>
      <c r="IFE57" s="94"/>
      <c r="IFF57" s="94"/>
      <c r="IFG57" s="94"/>
      <c r="IFH57" s="94"/>
      <c r="IFI57" s="94"/>
      <c r="IFJ57" s="94"/>
      <c r="IFK57" s="94"/>
      <c r="IFL57" s="94"/>
      <c r="IFM57" s="94"/>
      <c r="IFN57" s="94"/>
      <c r="IFO57" s="94"/>
      <c r="IFP57" s="94"/>
      <c r="IFQ57" s="94"/>
      <c r="IFR57" s="94"/>
      <c r="IFS57" s="94"/>
      <c r="IFT57" s="94"/>
      <c r="IFU57" s="94"/>
      <c r="IFV57" s="94"/>
      <c r="IFW57" s="94"/>
      <c r="IFX57" s="94"/>
      <c r="IFY57" s="94"/>
      <c r="IFZ57" s="94"/>
      <c r="IGA57" s="94"/>
      <c r="IGB57" s="94"/>
      <c r="IGC57" s="94"/>
      <c r="IGD57" s="94"/>
      <c r="IGE57" s="94"/>
      <c r="IGF57" s="94"/>
      <c r="IGG57" s="94"/>
      <c r="IGH57" s="94"/>
      <c r="IGI57" s="94"/>
      <c r="IGJ57" s="94"/>
      <c r="IGK57" s="94"/>
      <c r="IGL57" s="94"/>
      <c r="IGM57" s="94"/>
      <c r="IGN57" s="94"/>
      <c r="IGO57" s="94"/>
      <c r="IGP57" s="94"/>
      <c r="IGQ57" s="94"/>
      <c r="IGR57" s="94"/>
      <c r="IGS57" s="94"/>
      <c r="IGT57" s="94"/>
      <c r="IGU57" s="94"/>
      <c r="IGV57" s="94"/>
      <c r="IGW57" s="94"/>
      <c r="IGX57" s="94"/>
      <c r="IGY57" s="94"/>
      <c r="IGZ57" s="94"/>
      <c r="IHA57" s="94"/>
      <c r="IHB57" s="94"/>
      <c r="IHC57" s="94"/>
      <c r="IHD57" s="94"/>
      <c r="IHE57" s="94"/>
      <c r="IHF57" s="94"/>
      <c r="IHG57" s="94"/>
      <c r="IHH57" s="94"/>
      <c r="IHI57" s="94"/>
      <c r="IHJ57" s="94"/>
      <c r="IHK57" s="94"/>
      <c r="IHL57" s="94"/>
      <c r="IHM57" s="94"/>
      <c r="IHN57" s="94"/>
      <c r="IHO57" s="94"/>
      <c r="IHP57" s="94"/>
      <c r="IHQ57" s="94"/>
      <c r="IHR57" s="94"/>
      <c r="IHS57" s="94"/>
      <c r="IHT57" s="94"/>
      <c r="IHU57" s="94"/>
      <c r="IHV57" s="94"/>
      <c r="IHW57" s="94"/>
      <c r="IHX57" s="94"/>
      <c r="IHY57" s="94"/>
      <c r="IHZ57" s="94"/>
      <c r="IIA57" s="94"/>
      <c r="IIB57" s="94"/>
      <c r="IIC57" s="94"/>
      <c r="IID57" s="94"/>
      <c r="IIE57" s="94"/>
      <c r="IIF57" s="94"/>
      <c r="IIG57" s="94"/>
      <c r="IIH57" s="94"/>
      <c r="III57" s="94"/>
      <c r="IIJ57" s="94"/>
      <c r="IIK57" s="94"/>
      <c r="IIL57" s="94"/>
      <c r="IIM57" s="94"/>
      <c r="IIN57" s="94"/>
      <c r="IIO57" s="94"/>
      <c r="IIP57" s="94"/>
      <c r="IIQ57" s="94"/>
      <c r="IIR57" s="94"/>
      <c r="IIS57" s="94"/>
      <c r="IIT57" s="94"/>
      <c r="IIU57" s="94"/>
      <c r="IIV57" s="94"/>
      <c r="IIW57" s="94"/>
      <c r="IIX57" s="94"/>
      <c r="IIY57" s="94"/>
      <c r="IIZ57" s="94"/>
      <c r="IJA57" s="94"/>
      <c r="IJB57" s="94"/>
      <c r="IJC57" s="94"/>
      <c r="IJD57" s="94"/>
      <c r="IJE57" s="94"/>
      <c r="IJF57" s="94"/>
      <c r="IJG57" s="94"/>
      <c r="IJH57" s="94"/>
      <c r="IJI57" s="94"/>
      <c r="IJJ57" s="94"/>
      <c r="IJK57" s="94"/>
      <c r="IJL57" s="94"/>
      <c r="IJM57" s="94"/>
      <c r="IJN57" s="94"/>
      <c r="IJO57" s="94"/>
      <c r="IJP57" s="94"/>
      <c r="IJQ57" s="94"/>
      <c r="IJR57" s="94"/>
      <c r="IJS57" s="94"/>
      <c r="IJT57" s="94"/>
      <c r="IJU57" s="94"/>
      <c r="IJV57" s="94"/>
      <c r="IJW57" s="94"/>
      <c r="IJX57" s="94"/>
      <c r="IJY57" s="94"/>
      <c r="IJZ57" s="94"/>
      <c r="IKA57" s="94"/>
      <c r="IKB57" s="94"/>
      <c r="IKC57" s="94"/>
      <c r="IKD57" s="94"/>
      <c r="IKE57" s="94"/>
      <c r="IKF57" s="94"/>
      <c r="IKG57" s="94"/>
      <c r="IKH57" s="94"/>
      <c r="IKI57" s="94"/>
      <c r="IKJ57" s="94"/>
      <c r="IKK57" s="94"/>
      <c r="IKL57" s="94"/>
      <c r="IKM57" s="94"/>
      <c r="IKN57" s="94"/>
      <c r="IKO57" s="94"/>
      <c r="IKP57" s="94"/>
      <c r="IKQ57" s="94"/>
      <c r="IKR57" s="94"/>
      <c r="IKS57" s="94"/>
      <c r="IKT57" s="94"/>
      <c r="IKU57" s="94"/>
      <c r="IKV57" s="94"/>
      <c r="IKW57" s="94"/>
      <c r="IKX57" s="94"/>
      <c r="IKY57" s="94"/>
      <c r="IKZ57" s="94"/>
      <c r="ILA57" s="94"/>
      <c r="ILB57" s="94"/>
      <c r="ILC57" s="94"/>
      <c r="ILD57" s="94"/>
      <c r="ILE57" s="94"/>
      <c r="ILF57" s="94"/>
      <c r="ILG57" s="94"/>
      <c r="ILH57" s="94"/>
      <c r="ILI57" s="94"/>
      <c r="ILJ57" s="94"/>
      <c r="ILK57" s="94"/>
      <c r="ILL57" s="94"/>
      <c r="ILM57" s="94"/>
      <c r="ILN57" s="94"/>
      <c r="ILO57" s="94"/>
      <c r="ILP57" s="94"/>
      <c r="ILQ57" s="94"/>
      <c r="ILR57" s="94"/>
      <c r="ILS57" s="94"/>
      <c r="ILT57" s="94"/>
      <c r="ILU57" s="94"/>
      <c r="ILV57" s="94"/>
      <c r="ILW57" s="94"/>
      <c r="ILX57" s="94"/>
      <c r="ILY57" s="94"/>
      <c r="ILZ57" s="94"/>
      <c r="IMA57" s="94"/>
      <c r="IMB57" s="94"/>
      <c r="IMC57" s="94"/>
      <c r="IMD57" s="94"/>
      <c r="IME57" s="94"/>
      <c r="IMF57" s="94"/>
      <c r="IMG57" s="94"/>
      <c r="IMH57" s="94"/>
      <c r="IMI57" s="94"/>
      <c r="IMJ57" s="94"/>
      <c r="IMK57" s="94"/>
      <c r="IML57" s="94"/>
      <c r="IMM57" s="94"/>
      <c r="IMN57" s="94"/>
      <c r="IMO57" s="94"/>
      <c r="IMP57" s="94"/>
      <c r="IMQ57" s="94"/>
      <c r="IMR57" s="94"/>
      <c r="IMS57" s="94"/>
      <c r="IMT57" s="94"/>
      <c r="IMU57" s="94"/>
      <c r="IMV57" s="94"/>
      <c r="IMW57" s="94"/>
      <c r="IMX57" s="94"/>
      <c r="IMY57" s="94"/>
      <c r="IMZ57" s="94"/>
      <c r="INA57" s="94"/>
      <c r="INB57" s="94"/>
      <c r="INC57" s="94"/>
      <c r="IND57" s="94"/>
      <c r="INE57" s="94"/>
      <c r="INF57" s="94"/>
      <c r="ING57" s="94"/>
      <c r="INH57" s="94"/>
      <c r="INI57" s="94"/>
      <c r="INJ57" s="94"/>
      <c r="INK57" s="94"/>
      <c r="INL57" s="94"/>
      <c r="INM57" s="94"/>
      <c r="INN57" s="94"/>
      <c r="INO57" s="94"/>
      <c r="INP57" s="94"/>
      <c r="INQ57" s="94"/>
      <c r="INR57" s="94"/>
      <c r="INS57" s="94"/>
      <c r="INT57" s="94"/>
      <c r="INU57" s="94"/>
      <c r="INV57" s="94"/>
      <c r="INW57" s="94"/>
      <c r="INX57" s="94"/>
      <c r="INY57" s="94"/>
      <c r="INZ57" s="94"/>
      <c r="IOA57" s="94"/>
      <c r="IOB57" s="94"/>
      <c r="IOC57" s="94"/>
      <c r="IOD57" s="94"/>
      <c r="IOE57" s="94"/>
      <c r="IOF57" s="94"/>
      <c r="IOG57" s="94"/>
      <c r="IOH57" s="94"/>
      <c r="IOI57" s="94"/>
      <c r="IOJ57" s="94"/>
      <c r="IOK57" s="94"/>
      <c r="IOL57" s="94"/>
      <c r="IOM57" s="94"/>
      <c r="ION57" s="94"/>
      <c r="IOO57" s="94"/>
      <c r="IOP57" s="94"/>
      <c r="IOQ57" s="94"/>
      <c r="IOR57" s="94"/>
      <c r="IOS57" s="94"/>
      <c r="IOT57" s="94"/>
      <c r="IOU57" s="94"/>
      <c r="IOV57" s="94"/>
      <c r="IOW57" s="94"/>
      <c r="IOX57" s="94"/>
      <c r="IOY57" s="94"/>
      <c r="IOZ57" s="94"/>
      <c r="IPA57" s="94"/>
      <c r="IPB57" s="94"/>
      <c r="IPC57" s="94"/>
      <c r="IPD57" s="94"/>
      <c r="IPE57" s="94"/>
      <c r="IPF57" s="94"/>
      <c r="IPG57" s="94"/>
      <c r="IPH57" s="94"/>
      <c r="IPI57" s="94"/>
      <c r="IPJ57" s="94"/>
      <c r="IPK57" s="94"/>
      <c r="IPL57" s="94"/>
      <c r="IPM57" s="94"/>
      <c r="IPN57" s="94"/>
      <c r="IPO57" s="94"/>
      <c r="IPP57" s="94"/>
      <c r="IPQ57" s="94"/>
      <c r="IPR57" s="94"/>
      <c r="IPS57" s="94"/>
      <c r="IPT57" s="94"/>
      <c r="IPU57" s="94"/>
      <c r="IPV57" s="94"/>
      <c r="IPW57" s="94"/>
      <c r="IPX57" s="94"/>
      <c r="IPY57" s="94"/>
      <c r="IPZ57" s="94"/>
      <c r="IQA57" s="94"/>
      <c r="IQB57" s="94"/>
      <c r="IQC57" s="94"/>
      <c r="IQD57" s="94"/>
      <c r="IQE57" s="94"/>
      <c r="IQF57" s="94"/>
      <c r="IQG57" s="94"/>
      <c r="IQH57" s="94"/>
      <c r="IQI57" s="94"/>
      <c r="IQJ57" s="94"/>
      <c r="IQK57" s="94"/>
      <c r="IQL57" s="94"/>
      <c r="IQM57" s="94"/>
      <c r="IQN57" s="94"/>
      <c r="IQO57" s="94"/>
      <c r="IQP57" s="94"/>
      <c r="IQQ57" s="94"/>
      <c r="IQR57" s="94"/>
      <c r="IQS57" s="94"/>
      <c r="IQT57" s="94"/>
      <c r="IQU57" s="94"/>
      <c r="IQV57" s="94"/>
      <c r="IQW57" s="94"/>
      <c r="IQX57" s="94"/>
      <c r="IQY57" s="94"/>
      <c r="IQZ57" s="94"/>
      <c r="IRA57" s="94"/>
      <c r="IRB57" s="94"/>
      <c r="IRC57" s="94"/>
      <c r="IRD57" s="94"/>
      <c r="IRE57" s="94"/>
      <c r="IRF57" s="94"/>
      <c r="IRG57" s="94"/>
      <c r="IRH57" s="94"/>
      <c r="IRI57" s="94"/>
      <c r="IRJ57" s="94"/>
      <c r="IRK57" s="94"/>
      <c r="IRL57" s="94"/>
      <c r="IRM57" s="94"/>
      <c r="IRN57" s="94"/>
      <c r="IRO57" s="94"/>
      <c r="IRP57" s="94"/>
      <c r="IRQ57" s="94"/>
      <c r="IRR57" s="94"/>
      <c r="IRS57" s="94"/>
      <c r="IRT57" s="94"/>
      <c r="IRU57" s="94"/>
      <c r="IRV57" s="94"/>
      <c r="IRW57" s="94"/>
      <c r="IRX57" s="94"/>
      <c r="IRY57" s="94"/>
      <c r="IRZ57" s="94"/>
      <c r="ISA57" s="94"/>
      <c r="ISB57" s="94"/>
      <c r="ISC57" s="94"/>
      <c r="ISD57" s="94"/>
      <c r="ISE57" s="94"/>
      <c r="ISF57" s="94"/>
      <c r="ISG57" s="94"/>
      <c r="ISH57" s="94"/>
      <c r="ISI57" s="94"/>
      <c r="ISJ57" s="94"/>
      <c r="ISK57" s="94"/>
      <c r="ISL57" s="94"/>
      <c r="ISM57" s="94"/>
      <c r="ISN57" s="94"/>
      <c r="ISO57" s="94"/>
      <c r="ISP57" s="94"/>
      <c r="ISQ57" s="94"/>
      <c r="ISR57" s="94"/>
      <c r="ISS57" s="94"/>
      <c r="IST57" s="94"/>
      <c r="ISU57" s="94"/>
      <c r="ISV57" s="94"/>
      <c r="ISW57" s="94"/>
      <c r="ISX57" s="94"/>
      <c r="ISY57" s="94"/>
      <c r="ISZ57" s="94"/>
      <c r="ITA57" s="94"/>
      <c r="ITB57" s="94"/>
      <c r="ITC57" s="94"/>
      <c r="ITD57" s="94"/>
      <c r="ITE57" s="94"/>
      <c r="ITF57" s="94"/>
      <c r="ITG57" s="94"/>
      <c r="ITH57" s="94"/>
      <c r="ITI57" s="94"/>
      <c r="ITJ57" s="94"/>
      <c r="ITK57" s="94"/>
      <c r="ITL57" s="94"/>
      <c r="ITM57" s="94"/>
      <c r="ITN57" s="94"/>
      <c r="ITO57" s="94"/>
      <c r="ITP57" s="94"/>
      <c r="ITQ57" s="94"/>
      <c r="ITR57" s="94"/>
      <c r="ITS57" s="94"/>
      <c r="ITT57" s="94"/>
      <c r="ITU57" s="94"/>
      <c r="ITV57" s="94"/>
      <c r="ITW57" s="94"/>
      <c r="ITX57" s="94"/>
      <c r="ITY57" s="94"/>
      <c r="ITZ57" s="94"/>
      <c r="IUA57" s="94"/>
      <c r="IUB57" s="94"/>
      <c r="IUC57" s="94"/>
      <c r="IUD57" s="94"/>
      <c r="IUE57" s="94"/>
      <c r="IUF57" s="94"/>
      <c r="IUG57" s="94"/>
      <c r="IUH57" s="94"/>
      <c r="IUI57" s="94"/>
      <c r="IUJ57" s="94"/>
      <c r="IUK57" s="94"/>
      <c r="IUL57" s="94"/>
      <c r="IUM57" s="94"/>
      <c r="IUN57" s="94"/>
      <c r="IUO57" s="94"/>
      <c r="IUP57" s="94"/>
      <c r="IUQ57" s="94"/>
      <c r="IUR57" s="94"/>
      <c r="IUS57" s="94"/>
      <c r="IUT57" s="94"/>
      <c r="IUU57" s="94"/>
      <c r="IUV57" s="94"/>
      <c r="IUW57" s="94"/>
      <c r="IUX57" s="94"/>
      <c r="IUY57" s="94"/>
      <c r="IUZ57" s="94"/>
      <c r="IVA57" s="94"/>
      <c r="IVB57" s="94"/>
      <c r="IVC57" s="94"/>
      <c r="IVD57" s="94"/>
      <c r="IVE57" s="94"/>
      <c r="IVF57" s="94"/>
      <c r="IVG57" s="94"/>
      <c r="IVH57" s="94"/>
      <c r="IVI57" s="94"/>
      <c r="IVJ57" s="94"/>
      <c r="IVK57" s="94"/>
      <c r="IVL57" s="94"/>
      <c r="IVM57" s="94"/>
      <c r="IVN57" s="94"/>
      <c r="IVO57" s="94"/>
      <c r="IVP57" s="94"/>
      <c r="IVQ57" s="94"/>
      <c r="IVR57" s="94"/>
      <c r="IVS57" s="94"/>
      <c r="IVT57" s="94"/>
      <c r="IVU57" s="94"/>
      <c r="IVV57" s="94"/>
      <c r="IVW57" s="94"/>
      <c r="IVX57" s="94"/>
      <c r="IVY57" s="94"/>
      <c r="IVZ57" s="94"/>
      <c r="IWA57" s="94"/>
      <c r="IWB57" s="94"/>
      <c r="IWC57" s="94"/>
      <c r="IWD57" s="94"/>
      <c r="IWE57" s="94"/>
      <c r="IWF57" s="94"/>
      <c r="IWG57" s="94"/>
      <c r="IWH57" s="94"/>
      <c r="IWI57" s="94"/>
      <c r="IWJ57" s="94"/>
      <c r="IWK57" s="94"/>
      <c r="IWL57" s="94"/>
      <c r="IWM57" s="94"/>
      <c r="IWN57" s="94"/>
      <c r="IWO57" s="94"/>
      <c r="IWP57" s="94"/>
      <c r="IWQ57" s="94"/>
      <c r="IWR57" s="94"/>
      <c r="IWS57" s="94"/>
      <c r="IWT57" s="94"/>
      <c r="IWU57" s="94"/>
      <c r="IWV57" s="94"/>
      <c r="IWW57" s="94"/>
      <c r="IWX57" s="94"/>
      <c r="IWY57" s="94"/>
      <c r="IWZ57" s="94"/>
      <c r="IXA57" s="94"/>
      <c r="IXB57" s="94"/>
      <c r="IXC57" s="94"/>
      <c r="IXD57" s="94"/>
      <c r="IXE57" s="94"/>
      <c r="IXF57" s="94"/>
      <c r="IXG57" s="94"/>
      <c r="IXH57" s="94"/>
      <c r="IXI57" s="94"/>
      <c r="IXJ57" s="94"/>
      <c r="IXK57" s="94"/>
      <c r="IXL57" s="94"/>
      <c r="IXM57" s="94"/>
      <c r="IXN57" s="94"/>
      <c r="IXO57" s="94"/>
      <c r="IXP57" s="94"/>
      <c r="IXQ57" s="94"/>
      <c r="IXR57" s="94"/>
      <c r="IXS57" s="94"/>
      <c r="IXT57" s="94"/>
      <c r="IXU57" s="94"/>
      <c r="IXV57" s="94"/>
      <c r="IXW57" s="94"/>
      <c r="IXX57" s="94"/>
      <c r="IXY57" s="94"/>
      <c r="IXZ57" s="94"/>
      <c r="IYA57" s="94"/>
      <c r="IYB57" s="94"/>
      <c r="IYC57" s="94"/>
      <c r="IYD57" s="94"/>
      <c r="IYE57" s="94"/>
      <c r="IYF57" s="94"/>
      <c r="IYG57" s="94"/>
      <c r="IYH57" s="94"/>
      <c r="IYI57" s="94"/>
      <c r="IYJ57" s="94"/>
      <c r="IYK57" s="94"/>
      <c r="IYL57" s="94"/>
      <c r="IYM57" s="94"/>
      <c r="IYN57" s="94"/>
      <c r="IYO57" s="94"/>
      <c r="IYP57" s="94"/>
      <c r="IYQ57" s="94"/>
      <c r="IYR57" s="94"/>
      <c r="IYS57" s="94"/>
      <c r="IYT57" s="94"/>
      <c r="IYU57" s="94"/>
      <c r="IYV57" s="94"/>
      <c r="IYW57" s="94"/>
      <c r="IYX57" s="94"/>
      <c r="IYY57" s="94"/>
      <c r="IYZ57" s="94"/>
      <c r="IZA57" s="94"/>
      <c r="IZB57" s="94"/>
      <c r="IZC57" s="94"/>
      <c r="IZD57" s="94"/>
      <c r="IZE57" s="94"/>
      <c r="IZF57" s="94"/>
      <c r="IZG57" s="94"/>
      <c r="IZH57" s="94"/>
      <c r="IZI57" s="94"/>
      <c r="IZJ57" s="94"/>
      <c r="IZK57" s="94"/>
      <c r="IZL57" s="94"/>
      <c r="IZM57" s="94"/>
      <c r="IZN57" s="94"/>
      <c r="IZO57" s="94"/>
      <c r="IZP57" s="94"/>
      <c r="IZQ57" s="94"/>
      <c r="IZR57" s="94"/>
      <c r="IZS57" s="94"/>
      <c r="IZT57" s="94"/>
      <c r="IZU57" s="94"/>
      <c r="IZV57" s="94"/>
      <c r="IZW57" s="94"/>
      <c r="IZX57" s="94"/>
      <c r="IZY57" s="94"/>
      <c r="IZZ57" s="94"/>
      <c r="JAA57" s="94"/>
      <c r="JAB57" s="94"/>
      <c r="JAC57" s="94"/>
      <c r="JAD57" s="94"/>
      <c r="JAE57" s="94"/>
      <c r="JAF57" s="94"/>
      <c r="JAG57" s="94"/>
      <c r="JAH57" s="94"/>
      <c r="JAI57" s="94"/>
      <c r="JAJ57" s="94"/>
      <c r="JAK57" s="94"/>
      <c r="JAL57" s="94"/>
      <c r="JAM57" s="94"/>
      <c r="JAN57" s="94"/>
      <c r="JAO57" s="94"/>
      <c r="JAP57" s="94"/>
      <c r="JAQ57" s="94"/>
      <c r="JAR57" s="94"/>
      <c r="JAS57" s="94"/>
      <c r="JAT57" s="94"/>
      <c r="JAU57" s="94"/>
      <c r="JAV57" s="94"/>
      <c r="JAW57" s="94"/>
      <c r="JAX57" s="94"/>
      <c r="JAY57" s="94"/>
      <c r="JAZ57" s="94"/>
      <c r="JBA57" s="94"/>
      <c r="JBB57" s="94"/>
      <c r="JBC57" s="94"/>
      <c r="JBD57" s="94"/>
      <c r="JBE57" s="94"/>
      <c r="JBF57" s="94"/>
      <c r="JBG57" s="94"/>
      <c r="JBH57" s="94"/>
      <c r="JBI57" s="94"/>
      <c r="JBJ57" s="94"/>
      <c r="JBK57" s="94"/>
      <c r="JBL57" s="94"/>
      <c r="JBM57" s="94"/>
      <c r="JBN57" s="94"/>
      <c r="JBO57" s="94"/>
      <c r="JBP57" s="94"/>
      <c r="JBQ57" s="94"/>
      <c r="JBR57" s="94"/>
      <c r="JBS57" s="94"/>
      <c r="JBT57" s="94"/>
      <c r="JBU57" s="94"/>
      <c r="JBV57" s="94"/>
      <c r="JBW57" s="94"/>
      <c r="JBX57" s="94"/>
      <c r="JBY57" s="94"/>
      <c r="JBZ57" s="94"/>
      <c r="JCA57" s="94"/>
      <c r="JCB57" s="94"/>
      <c r="JCC57" s="94"/>
      <c r="JCD57" s="94"/>
      <c r="JCE57" s="94"/>
      <c r="JCF57" s="94"/>
      <c r="JCG57" s="94"/>
      <c r="JCH57" s="94"/>
      <c r="JCI57" s="94"/>
      <c r="JCJ57" s="94"/>
      <c r="JCK57" s="94"/>
      <c r="JCL57" s="94"/>
      <c r="JCM57" s="94"/>
      <c r="JCN57" s="94"/>
      <c r="JCO57" s="94"/>
      <c r="JCP57" s="94"/>
      <c r="JCQ57" s="94"/>
      <c r="JCR57" s="94"/>
      <c r="JCS57" s="94"/>
      <c r="JCT57" s="94"/>
      <c r="JCU57" s="94"/>
      <c r="JCV57" s="94"/>
      <c r="JCW57" s="94"/>
      <c r="JCX57" s="94"/>
      <c r="JCY57" s="94"/>
      <c r="JCZ57" s="94"/>
      <c r="JDA57" s="94"/>
      <c r="JDB57" s="94"/>
      <c r="JDC57" s="94"/>
      <c r="JDD57" s="94"/>
      <c r="JDE57" s="94"/>
      <c r="JDF57" s="94"/>
      <c r="JDG57" s="94"/>
      <c r="JDH57" s="94"/>
      <c r="JDI57" s="94"/>
      <c r="JDJ57" s="94"/>
      <c r="JDK57" s="94"/>
      <c r="JDL57" s="94"/>
      <c r="JDM57" s="94"/>
      <c r="JDN57" s="94"/>
      <c r="JDO57" s="94"/>
      <c r="JDP57" s="94"/>
      <c r="JDQ57" s="94"/>
      <c r="JDR57" s="94"/>
      <c r="JDS57" s="94"/>
      <c r="JDT57" s="94"/>
      <c r="JDU57" s="94"/>
      <c r="JDV57" s="94"/>
      <c r="JDW57" s="94"/>
      <c r="JDX57" s="94"/>
      <c r="JDY57" s="94"/>
      <c r="JDZ57" s="94"/>
      <c r="JEA57" s="94"/>
      <c r="JEB57" s="94"/>
      <c r="JEC57" s="94"/>
      <c r="JED57" s="94"/>
      <c r="JEE57" s="94"/>
      <c r="JEF57" s="94"/>
      <c r="JEG57" s="94"/>
      <c r="JEH57" s="94"/>
      <c r="JEI57" s="94"/>
      <c r="JEJ57" s="94"/>
      <c r="JEK57" s="94"/>
      <c r="JEL57" s="94"/>
      <c r="JEM57" s="94"/>
      <c r="JEN57" s="94"/>
      <c r="JEO57" s="94"/>
      <c r="JEP57" s="94"/>
      <c r="JEQ57" s="94"/>
      <c r="JER57" s="94"/>
      <c r="JES57" s="94"/>
      <c r="JET57" s="94"/>
      <c r="JEU57" s="94"/>
      <c r="JEV57" s="94"/>
      <c r="JEW57" s="94"/>
      <c r="JEX57" s="94"/>
      <c r="JEY57" s="94"/>
      <c r="JEZ57" s="94"/>
      <c r="JFA57" s="94"/>
      <c r="JFB57" s="94"/>
      <c r="JFC57" s="94"/>
      <c r="JFD57" s="94"/>
      <c r="JFE57" s="94"/>
      <c r="JFF57" s="94"/>
      <c r="JFG57" s="94"/>
      <c r="JFH57" s="94"/>
      <c r="JFI57" s="94"/>
      <c r="JFJ57" s="94"/>
      <c r="JFK57" s="94"/>
      <c r="JFL57" s="94"/>
      <c r="JFM57" s="94"/>
      <c r="JFN57" s="94"/>
      <c r="JFO57" s="94"/>
      <c r="JFP57" s="94"/>
      <c r="JFQ57" s="94"/>
      <c r="JFR57" s="94"/>
      <c r="JFS57" s="94"/>
      <c r="JFT57" s="94"/>
      <c r="JFU57" s="94"/>
      <c r="JFV57" s="94"/>
      <c r="JFW57" s="94"/>
      <c r="JFX57" s="94"/>
      <c r="JFY57" s="94"/>
      <c r="JFZ57" s="94"/>
      <c r="JGA57" s="94"/>
      <c r="JGB57" s="94"/>
      <c r="JGC57" s="94"/>
      <c r="JGD57" s="94"/>
      <c r="JGE57" s="94"/>
      <c r="JGF57" s="94"/>
      <c r="JGG57" s="94"/>
      <c r="JGH57" s="94"/>
      <c r="JGI57" s="94"/>
      <c r="JGJ57" s="94"/>
      <c r="JGK57" s="94"/>
      <c r="JGL57" s="94"/>
      <c r="JGM57" s="94"/>
      <c r="JGN57" s="94"/>
      <c r="JGO57" s="94"/>
      <c r="JGP57" s="94"/>
      <c r="JGQ57" s="94"/>
      <c r="JGR57" s="94"/>
      <c r="JGS57" s="94"/>
      <c r="JGT57" s="94"/>
      <c r="JGU57" s="94"/>
      <c r="JGV57" s="94"/>
      <c r="JGW57" s="94"/>
      <c r="JGX57" s="94"/>
      <c r="JGY57" s="94"/>
      <c r="JGZ57" s="94"/>
      <c r="JHA57" s="94"/>
      <c r="JHB57" s="94"/>
      <c r="JHC57" s="94"/>
      <c r="JHD57" s="94"/>
      <c r="JHE57" s="94"/>
      <c r="JHF57" s="94"/>
      <c r="JHG57" s="94"/>
      <c r="JHH57" s="94"/>
      <c r="JHI57" s="94"/>
      <c r="JHJ57" s="94"/>
      <c r="JHK57" s="94"/>
      <c r="JHL57" s="94"/>
      <c r="JHM57" s="94"/>
      <c r="JHN57" s="94"/>
      <c r="JHO57" s="94"/>
      <c r="JHP57" s="94"/>
      <c r="JHQ57" s="94"/>
      <c r="JHR57" s="94"/>
      <c r="JHS57" s="94"/>
      <c r="JHT57" s="94"/>
      <c r="JHU57" s="94"/>
      <c r="JHV57" s="94"/>
      <c r="JHW57" s="94"/>
      <c r="JHX57" s="94"/>
      <c r="JHY57" s="94"/>
      <c r="JHZ57" s="94"/>
      <c r="JIA57" s="94"/>
      <c r="JIB57" s="94"/>
      <c r="JIC57" s="94"/>
      <c r="JID57" s="94"/>
      <c r="JIE57" s="94"/>
      <c r="JIF57" s="94"/>
      <c r="JIG57" s="94"/>
      <c r="JIH57" s="94"/>
      <c r="JII57" s="94"/>
      <c r="JIJ57" s="94"/>
      <c r="JIK57" s="94"/>
      <c r="JIL57" s="94"/>
      <c r="JIM57" s="94"/>
      <c r="JIN57" s="94"/>
      <c r="JIO57" s="94"/>
      <c r="JIP57" s="94"/>
      <c r="JIQ57" s="94"/>
      <c r="JIR57" s="94"/>
      <c r="JIS57" s="94"/>
      <c r="JIT57" s="94"/>
      <c r="JIU57" s="94"/>
      <c r="JIV57" s="94"/>
      <c r="JIW57" s="94"/>
      <c r="JIX57" s="94"/>
      <c r="JIY57" s="94"/>
      <c r="JIZ57" s="94"/>
      <c r="JJA57" s="94"/>
      <c r="JJB57" s="94"/>
      <c r="JJC57" s="94"/>
      <c r="JJD57" s="94"/>
      <c r="JJE57" s="94"/>
      <c r="JJF57" s="94"/>
      <c r="JJG57" s="94"/>
      <c r="JJH57" s="94"/>
      <c r="JJI57" s="94"/>
      <c r="JJJ57" s="94"/>
      <c r="JJK57" s="94"/>
      <c r="JJL57" s="94"/>
      <c r="JJM57" s="94"/>
      <c r="JJN57" s="94"/>
      <c r="JJO57" s="94"/>
      <c r="JJP57" s="94"/>
      <c r="JJQ57" s="94"/>
      <c r="JJR57" s="94"/>
      <c r="JJS57" s="94"/>
      <c r="JJT57" s="94"/>
      <c r="JJU57" s="94"/>
      <c r="JJV57" s="94"/>
      <c r="JJW57" s="94"/>
      <c r="JJX57" s="94"/>
      <c r="JJY57" s="94"/>
      <c r="JJZ57" s="94"/>
      <c r="JKA57" s="94"/>
      <c r="JKB57" s="94"/>
      <c r="JKC57" s="94"/>
      <c r="JKD57" s="94"/>
      <c r="JKE57" s="94"/>
      <c r="JKF57" s="94"/>
      <c r="JKG57" s="94"/>
      <c r="JKH57" s="94"/>
      <c r="JKI57" s="94"/>
      <c r="JKJ57" s="94"/>
      <c r="JKK57" s="94"/>
      <c r="JKL57" s="94"/>
      <c r="JKM57" s="94"/>
      <c r="JKN57" s="94"/>
      <c r="JKO57" s="94"/>
      <c r="JKP57" s="94"/>
      <c r="JKQ57" s="94"/>
      <c r="JKR57" s="94"/>
      <c r="JKS57" s="94"/>
      <c r="JKT57" s="94"/>
      <c r="JKU57" s="94"/>
      <c r="JKV57" s="94"/>
      <c r="JKW57" s="94"/>
      <c r="JKX57" s="94"/>
      <c r="JKY57" s="94"/>
      <c r="JKZ57" s="94"/>
      <c r="JLA57" s="94"/>
      <c r="JLB57" s="94"/>
      <c r="JLC57" s="94"/>
      <c r="JLD57" s="94"/>
      <c r="JLE57" s="94"/>
      <c r="JLF57" s="94"/>
      <c r="JLG57" s="94"/>
      <c r="JLH57" s="94"/>
      <c r="JLI57" s="94"/>
      <c r="JLJ57" s="94"/>
      <c r="JLK57" s="94"/>
      <c r="JLL57" s="94"/>
      <c r="JLM57" s="94"/>
      <c r="JLN57" s="94"/>
      <c r="JLO57" s="94"/>
      <c r="JLP57" s="94"/>
      <c r="JLQ57" s="94"/>
      <c r="JLR57" s="94"/>
      <c r="JLS57" s="94"/>
      <c r="JLT57" s="94"/>
      <c r="JLU57" s="94"/>
      <c r="JLV57" s="94"/>
      <c r="JLW57" s="94"/>
      <c r="JLX57" s="94"/>
      <c r="JLY57" s="94"/>
      <c r="JLZ57" s="94"/>
      <c r="JMA57" s="94"/>
      <c r="JMB57" s="94"/>
      <c r="JMC57" s="94"/>
      <c r="JMD57" s="94"/>
      <c r="JME57" s="94"/>
      <c r="JMF57" s="94"/>
      <c r="JMG57" s="94"/>
      <c r="JMH57" s="94"/>
      <c r="JMI57" s="94"/>
      <c r="JMJ57" s="94"/>
      <c r="JMK57" s="94"/>
      <c r="JML57" s="94"/>
      <c r="JMM57" s="94"/>
      <c r="JMN57" s="94"/>
      <c r="JMO57" s="94"/>
      <c r="JMP57" s="94"/>
      <c r="JMQ57" s="94"/>
      <c r="JMR57" s="94"/>
      <c r="JMS57" s="94"/>
      <c r="JMT57" s="94"/>
      <c r="JMU57" s="94"/>
      <c r="JMV57" s="94"/>
      <c r="JMW57" s="94"/>
      <c r="JMX57" s="94"/>
      <c r="JMY57" s="94"/>
      <c r="JMZ57" s="94"/>
      <c r="JNA57" s="94"/>
      <c r="JNB57" s="94"/>
      <c r="JNC57" s="94"/>
      <c r="JND57" s="94"/>
      <c r="JNE57" s="94"/>
      <c r="JNF57" s="94"/>
      <c r="JNG57" s="94"/>
      <c r="JNH57" s="94"/>
      <c r="JNI57" s="94"/>
      <c r="JNJ57" s="94"/>
      <c r="JNK57" s="94"/>
      <c r="JNL57" s="94"/>
      <c r="JNM57" s="94"/>
      <c r="JNN57" s="94"/>
      <c r="JNO57" s="94"/>
      <c r="JNP57" s="94"/>
      <c r="JNQ57" s="94"/>
      <c r="JNR57" s="94"/>
      <c r="JNS57" s="94"/>
      <c r="JNT57" s="94"/>
      <c r="JNU57" s="94"/>
      <c r="JNV57" s="94"/>
      <c r="JNW57" s="94"/>
      <c r="JNX57" s="94"/>
      <c r="JNY57" s="94"/>
      <c r="JNZ57" s="94"/>
      <c r="JOA57" s="94"/>
      <c r="JOB57" s="94"/>
      <c r="JOC57" s="94"/>
      <c r="JOD57" s="94"/>
      <c r="JOE57" s="94"/>
      <c r="JOF57" s="94"/>
      <c r="JOG57" s="94"/>
      <c r="JOH57" s="94"/>
      <c r="JOI57" s="94"/>
      <c r="JOJ57" s="94"/>
      <c r="JOK57" s="94"/>
      <c r="JOL57" s="94"/>
      <c r="JOM57" s="94"/>
      <c r="JON57" s="94"/>
      <c r="JOO57" s="94"/>
      <c r="JOP57" s="94"/>
      <c r="JOQ57" s="94"/>
      <c r="JOR57" s="94"/>
      <c r="JOS57" s="94"/>
      <c r="JOT57" s="94"/>
      <c r="JOU57" s="94"/>
      <c r="JOV57" s="94"/>
      <c r="JOW57" s="94"/>
      <c r="JOX57" s="94"/>
      <c r="JOY57" s="94"/>
      <c r="JOZ57" s="94"/>
      <c r="JPA57" s="94"/>
      <c r="JPB57" s="94"/>
      <c r="JPC57" s="94"/>
      <c r="JPD57" s="94"/>
      <c r="JPE57" s="94"/>
      <c r="JPF57" s="94"/>
      <c r="JPG57" s="94"/>
      <c r="JPH57" s="94"/>
      <c r="JPI57" s="94"/>
      <c r="JPJ57" s="94"/>
      <c r="JPK57" s="94"/>
      <c r="JPL57" s="94"/>
      <c r="JPM57" s="94"/>
      <c r="JPN57" s="94"/>
      <c r="JPO57" s="94"/>
      <c r="JPP57" s="94"/>
      <c r="JPQ57" s="94"/>
      <c r="JPR57" s="94"/>
      <c r="JPS57" s="94"/>
      <c r="JPT57" s="94"/>
      <c r="JPU57" s="94"/>
      <c r="JPV57" s="94"/>
      <c r="JPW57" s="94"/>
      <c r="JPX57" s="94"/>
      <c r="JPY57" s="94"/>
      <c r="JPZ57" s="94"/>
      <c r="JQA57" s="94"/>
      <c r="JQB57" s="94"/>
      <c r="JQC57" s="94"/>
      <c r="JQD57" s="94"/>
      <c r="JQE57" s="94"/>
      <c r="JQF57" s="94"/>
      <c r="JQG57" s="94"/>
      <c r="JQH57" s="94"/>
      <c r="JQI57" s="94"/>
      <c r="JQJ57" s="94"/>
      <c r="JQK57" s="94"/>
      <c r="JQL57" s="94"/>
      <c r="JQM57" s="94"/>
      <c r="JQN57" s="94"/>
      <c r="JQO57" s="94"/>
      <c r="JQP57" s="94"/>
      <c r="JQQ57" s="94"/>
      <c r="JQR57" s="94"/>
      <c r="JQS57" s="94"/>
      <c r="JQT57" s="94"/>
      <c r="JQU57" s="94"/>
      <c r="JQV57" s="94"/>
      <c r="JQW57" s="94"/>
      <c r="JQX57" s="94"/>
      <c r="JQY57" s="94"/>
      <c r="JQZ57" s="94"/>
      <c r="JRA57" s="94"/>
      <c r="JRB57" s="94"/>
      <c r="JRC57" s="94"/>
      <c r="JRD57" s="94"/>
      <c r="JRE57" s="94"/>
      <c r="JRF57" s="94"/>
      <c r="JRG57" s="94"/>
      <c r="JRH57" s="94"/>
      <c r="JRI57" s="94"/>
      <c r="JRJ57" s="94"/>
      <c r="JRK57" s="94"/>
      <c r="JRL57" s="94"/>
      <c r="JRM57" s="94"/>
      <c r="JRN57" s="94"/>
      <c r="JRO57" s="94"/>
      <c r="JRP57" s="94"/>
      <c r="JRQ57" s="94"/>
      <c r="JRR57" s="94"/>
      <c r="JRS57" s="94"/>
      <c r="JRT57" s="94"/>
      <c r="JRU57" s="94"/>
      <c r="JRV57" s="94"/>
      <c r="JRW57" s="94"/>
      <c r="JRX57" s="94"/>
      <c r="JRY57" s="94"/>
      <c r="JRZ57" s="94"/>
      <c r="JSA57" s="94"/>
      <c r="JSB57" s="94"/>
      <c r="JSC57" s="94"/>
      <c r="JSD57" s="94"/>
      <c r="JSE57" s="94"/>
      <c r="JSF57" s="94"/>
      <c r="JSG57" s="94"/>
      <c r="JSH57" s="94"/>
      <c r="JSI57" s="94"/>
      <c r="JSJ57" s="94"/>
      <c r="JSK57" s="94"/>
      <c r="JSL57" s="94"/>
      <c r="JSM57" s="94"/>
      <c r="JSN57" s="94"/>
      <c r="JSO57" s="94"/>
      <c r="JSP57" s="94"/>
      <c r="JSQ57" s="94"/>
      <c r="JSR57" s="94"/>
      <c r="JSS57" s="94"/>
      <c r="JST57" s="94"/>
      <c r="JSU57" s="94"/>
      <c r="JSV57" s="94"/>
      <c r="JSW57" s="94"/>
      <c r="JSX57" s="94"/>
      <c r="JSY57" s="94"/>
      <c r="JSZ57" s="94"/>
      <c r="JTA57" s="94"/>
      <c r="JTB57" s="94"/>
      <c r="JTC57" s="94"/>
      <c r="JTD57" s="94"/>
      <c r="JTE57" s="94"/>
      <c r="JTF57" s="94"/>
      <c r="JTG57" s="94"/>
      <c r="JTH57" s="94"/>
      <c r="JTI57" s="94"/>
      <c r="JTJ57" s="94"/>
      <c r="JTK57" s="94"/>
      <c r="JTL57" s="94"/>
      <c r="JTM57" s="94"/>
      <c r="JTN57" s="94"/>
      <c r="JTO57" s="94"/>
      <c r="JTP57" s="94"/>
      <c r="JTQ57" s="94"/>
      <c r="JTR57" s="94"/>
      <c r="JTS57" s="94"/>
      <c r="JTT57" s="94"/>
      <c r="JTU57" s="94"/>
      <c r="JTV57" s="94"/>
      <c r="JTW57" s="94"/>
      <c r="JTX57" s="94"/>
      <c r="JTY57" s="94"/>
      <c r="JTZ57" s="94"/>
      <c r="JUA57" s="94"/>
      <c r="JUB57" s="94"/>
      <c r="JUC57" s="94"/>
      <c r="JUD57" s="94"/>
      <c r="JUE57" s="94"/>
      <c r="JUF57" s="94"/>
      <c r="JUG57" s="94"/>
      <c r="JUH57" s="94"/>
      <c r="JUI57" s="94"/>
      <c r="JUJ57" s="94"/>
      <c r="JUK57" s="94"/>
      <c r="JUL57" s="94"/>
      <c r="JUM57" s="94"/>
      <c r="JUN57" s="94"/>
      <c r="JUO57" s="94"/>
      <c r="JUP57" s="94"/>
      <c r="JUQ57" s="94"/>
      <c r="JUR57" s="94"/>
      <c r="JUS57" s="94"/>
      <c r="JUT57" s="94"/>
      <c r="JUU57" s="94"/>
      <c r="JUV57" s="94"/>
      <c r="JUW57" s="94"/>
      <c r="JUX57" s="94"/>
      <c r="JUY57" s="94"/>
      <c r="JUZ57" s="94"/>
      <c r="JVA57" s="94"/>
      <c r="JVB57" s="94"/>
      <c r="JVC57" s="94"/>
      <c r="JVD57" s="94"/>
      <c r="JVE57" s="94"/>
      <c r="JVF57" s="94"/>
      <c r="JVG57" s="94"/>
      <c r="JVH57" s="94"/>
      <c r="JVI57" s="94"/>
      <c r="JVJ57" s="94"/>
      <c r="JVK57" s="94"/>
      <c r="JVL57" s="94"/>
      <c r="JVM57" s="94"/>
      <c r="JVN57" s="94"/>
      <c r="JVO57" s="94"/>
      <c r="JVP57" s="94"/>
      <c r="JVQ57" s="94"/>
      <c r="JVR57" s="94"/>
      <c r="JVS57" s="94"/>
      <c r="JVT57" s="94"/>
      <c r="JVU57" s="94"/>
      <c r="JVV57" s="94"/>
      <c r="JVW57" s="94"/>
      <c r="JVX57" s="94"/>
      <c r="JVY57" s="94"/>
      <c r="JVZ57" s="94"/>
      <c r="JWA57" s="94"/>
      <c r="JWB57" s="94"/>
      <c r="JWC57" s="94"/>
      <c r="JWD57" s="94"/>
      <c r="JWE57" s="94"/>
      <c r="JWF57" s="94"/>
      <c r="JWG57" s="94"/>
      <c r="JWH57" s="94"/>
      <c r="JWI57" s="94"/>
      <c r="JWJ57" s="94"/>
      <c r="JWK57" s="94"/>
      <c r="JWL57" s="94"/>
      <c r="JWM57" s="94"/>
      <c r="JWN57" s="94"/>
      <c r="JWO57" s="94"/>
      <c r="JWP57" s="94"/>
      <c r="JWQ57" s="94"/>
      <c r="JWR57" s="94"/>
      <c r="JWS57" s="94"/>
      <c r="JWT57" s="94"/>
      <c r="JWU57" s="94"/>
      <c r="JWV57" s="94"/>
      <c r="JWW57" s="94"/>
      <c r="JWX57" s="94"/>
      <c r="JWY57" s="94"/>
      <c r="JWZ57" s="94"/>
      <c r="JXA57" s="94"/>
      <c r="JXB57" s="94"/>
      <c r="JXC57" s="94"/>
      <c r="JXD57" s="94"/>
      <c r="JXE57" s="94"/>
      <c r="JXF57" s="94"/>
      <c r="JXG57" s="94"/>
      <c r="JXH57" s="94"/>
      <c r="JXI57" s="94"/>
      <c r="JXJ57" s="94"/>
      <c r="JXK57" s="94"/>
      <c r="JXL57" s="94"/>
      <c r="JXM57" s="94"/>
      <c r="JXN57" s="94"/>
      <c r="JXO57" s="94"/>
      <c r="JXP57" s="94"/>
      <c r="JXQ57" s="94"/>
      <c r="JXR57" s="94"/>
      <c r="JXS57" s="94"/>
      <c r="JXT57" s="94"/>
      <c r="JXU57" s="94"/>
      <c r="JXV57" s="94"/>
      <c r="JXW57" s="94"/>
      <c r="JXX57" s="94"/>
      <c r="JXY57" s="94"/>
      <c r="JXZ57" s="94"/>
      <c r="JYA57" s="94"/>
      <c r="JYB57" s="94"/>
      <c r="JYC57" s="94"/>
      <c r="JYD57" s="94"/>
      <c r="JYE57" s="94"/>
      <c r="JYF57" s="94"/>
      <c r="JYG57" s="94"/>
      <c r="JYH57" s="94"/>
      <c r="JYI57" s="94"/>
      <c r="JYJ57" s="94"/>
      <c r="JYK57" s="94"/>
      <c r="JYL57" s="94"/>
      <c r="JYM57" s="94"/>
      <c r="JYN57" s="94"/>
      <c r="JYO57" s="94"/>
      <c r="JYP57" s="94"/>
      <c r="JYQ57" s="94"/>
      <c r="JYR57" s="94"/>
      <c r="JYS57" s="94"/>
      <c r="JYT57" s="94"/>
      <c r="JYU57" s="94"/>
      <c r="JYV57" s="94"/>
      <c r="JYW57" s="94"/>
      <c r="JYX57" s="94"/>
      <c r="JYY57" s="94"/>
      <c r="JYZ57" s="94"/>
      <c r="JZA57" s="94"/>
      <c r="JZB57" s="94"/>
      <c r="JZC57" s="94"/>
      <c r="JZD57" s="94"/>
      <c r="JZE57" s="94"/>
      <c r="JZF57" s="94"/>
      <c r="JZG57" s="94"/>
      <c r="JZH57" s="94"/>
      <c r="JZI57" s="94"/>
      <c r="JZJ57" s="94"/>
      <c r="JZK57" s="94"/>
      <c r="JZL57" s="94"/>
      <c r="JZM57" s="94"/>
      <c r="JZN57" s="94"/>
      <c r="JZO57" s="94"/>
      <c r="JZP57" s="94"/>
      <c r="JZQ57" s="94"/>
      <c r="JZR57" s="94"/>
      <c r="JZS57" s="94"/>
      <c r="JZT57" s="94"/>
      <c r="JZU57" s="94"/>
      <c r="JZV57" s="94"/>
      <c r="JZW57" s="94"/>
      <c r="JZX57" s="94"/>
      <c r="JZY57" s="94"/>
      <c r="JZZ57" s="94"/>
      <c r="KAA57" s="94"/>
      <c r="KAB57" s="94"/>
      <c r="KAC57" s="94"/>
      <c r="KAD57" s="94"/>
      <c r="KAE57" s="94"/>
      <c r="KAF57" s="94"/>
      <c r="KAG57" s="94"/>
      <c r="KAH57" s="94"/>
      <c r="KAI57" s="94"/>
      <c r="KAJ57" s="94"/>
      <c r="KAK57" s="94"/>
      <c r="KAL57" s="94"/>
      <c r="KAM57" s="94"/>
      <c r="KAN57" s="94"/>
      <c r="KAO57" s="94"/>
      <c r="KAP57" s="94"/>
      <c r="KAQ57" s="94"/>
      <c r="KAR57" s="94"/>
      <c r="KAS57" s="94"/>
      <c r="KAT57" s="94"/>
      <c r="KAU57" s="94"/>
      <c r="KAV57" s="94"/>
      <c r="KAW57" s="94"/>
      <c r="KAX57" s="94"/>
      <c r="KAY57" s="94"/>
      <c r="KAZ57" s="94"/>
      <c r="KBA57" s="94"/>
      <c r="KBB57" s="94"/>
      <c r="KBC57" s="94"/>
      <c r="KBD57" s="94"/>
      <c r="KBE57" s="94"/>
      <c r="KBF57" s="94"/>
      <c r="KBG57" s="94"/>
      <c r="KBH57" s="94"/>
      <c r="KBI57" s="94"/>
      <c r="KBJ57" s="94"/>
      <c r="KBK57" s="94"/>
      <c r="KBL57" s="94"/>
      <c r="KBM57" s="94"/>
      <c r="KBN57" s="94"/>
      <c r="KBO57" s="94"/>
      <c r="KBP57" s="94"/>
      <c r="KBQ57" s="94"/>
      <c r="KBR57" s="94"/>
      <c r="KBS57" s="94"/>
      <c r="KBT57" s="94"/>
      <c r="KBU57" s="94"/>
      <c r="KBV57" s="94"/>
      <c r="KBW57" s="94"/>
      <c r="KBX57" s="94"/>
      <c r="KBY57" s="94"/>
      <c r="KBZ57" s="94"/>
      <c r="KCA57" s="94"/>
      <c r="KCB57" s="94"/>
      <c r="KCC57" s="94"/>
      <c r="KCD57" s="94"/>
      <c r="KCE57" s="94"/>
      <c r="KCF57" s="94"/>
      <c r="KCG57" s="94"/>
      <c r="KCH57" s="94"/>
      <c r="KCI57" s="94"/>
      <c r="KCJ57" s="94"/>
      <c r="KCK57" s="94"/>
      <c r="KCL57" s="94"/>
      <c r="KCM57" s="94"/>
      <c r="KCN57" s="94"/>
      <c r="KCO57" s="94"/>
      <c r="KCP57" s="94"/>
      <c r="KCQ57" s="94"/>
      <c r="KCR57" s="94"/>
      <c r="KCS57" s="94"/>
      <c r="KCT57" s="94"/>
      <c r="KCU57" s="94"/>
      <c r="KCV57" s="94"/>
      <c r="KCW57" s="94"/>
      <c r="KCX57" s="94"/>
      <c r="KCY57" s="94"/>
      <c r="KCZ57" s="94"/>
      <c r="KDA57" s="94"/>
      <c r="KDB57" s="94"/>
      <c r="KDC57" s="94"/>
      <c r="KDD57" s="94"/>
      <c r="KDE57" s="94"/>
      <c r="KDF57" s="94"/>
      <c r="KDG57" s="94"/>
      <c r="KDH57" s="94"/>
      <c r="KDI57" s="94"/>
      <c r="KDJ57" s="94"/>
      <c r="KDK57" s="94"/>
      <c r="KDL57" s="94"/>
      <c r="KDM57" s="94"/>
      <c r="KDN57" s="94"/>
      <c r="KDO57" s="94"/>
      <c r="KDP57" s="94"/>
      <c r="KDQ57" s="94"/>
      <c r="KDR57" s="94"/>
      <c r="KDS57" s="94"/>
      <c r="KDT57" s="94"/>
      <c r="KDU57" s="94"/>
      <c r="KDV57" s="94"/>
      <c r="KDW57" s="94"/>
      <c r="KDX57" s="94"/>
      <c r="KDY57" s="94"/>
      <c r="KDZ57" s="94"/>
      <c r="KEA57" s="94"/>
      <c r="KEB57" s="94"/>
      <c r="KEC57" s="94"/>
      <c r="KED57" s="94"/>
      <c r="KEE57" s="94"/>
      <c r="KEF57" s="94"/>
      <c r="KEG57" s="94"/>
      <c r="KEH57" s="94"/>
      <c r="KEI57" s="94"/>
      <c r="KEJ57" s="94"/>
      <c r="KEK57" s="94"/>
      <c r="KEL57" s="94"/>
      <c r="KEM57" s="94"/>
      <c r="KEN57" s="94"/>
      <c r="KEO57" s="94"/>
      <c r="KEP57" s="94"/>
      <c r="KEQ57" s="94"/>
      <c r="KER57" s="94"/>
      <c r="KES57" s="94"/>
      <c r="KET57" s="94"/>
      <c r="KEU57" s="94"/>
      <c r="KEV57" s="94"/>
      <c r="KEW57" s="94"/>
      <c r="KEX57" s="94"/>
      <c r="KEY57" s="94"/>
      <c r="KEZ57" s="94"/>
      <c r="KFA57" s="94"/>
      <c r="KFB57" s="94"/>
      <c r="KFC57" s="94"/>
      <c r="KFD57" s="94"/>
      <c r="KFE57" s="94"/>
      <c r="KFF57" s="94"/>
      <c r="KFG57" s="94"/>
      <c r="KFH57" s="94"/>
      <c r="KFI57" s="94"/>
      <c r="KFJ57" s="94"/>
      <c r="KFK57" s="94"/>
      <c r="KFL57" s="94"/>
      <c r="KFM57" s="94"/>
      <c r="KFN57" s="94"/>
      <c r="KFO57" s="94"/>
      <c r="KFP57" s="94"/>
      <c r="KFQ57" s="94"/>
      <c r="KFR57" s="94"/>
      <c r="KFS57" s="94"/>
      <c r="KFT57" s="94"/>
      <c r="KFU57" s="94"/>
      <c r="KFV57" s="94"/>
      <c r="KFW57" s="94"/>
      <c r="KFX57" s="94"/>
      <c r="KFY57" s="94"/>
      <c r="KFZ57" s="94"/>
      <c r="KGA57" s="94"/>
      <c r="KGB57" s="94"/>
      <c r="KGC57" s="94"/>
      <c r="KGD57" s="94"/>
      <c r="KGE57" s="94"/>
      <c r="KGF57" s="94"/>
      <c r="KGG57" s="94"/>
      <c r="KGH57" s="94"/>
      <c r="KGI57" s="94"/>
      <c r="KGJ57" s="94"/>
      <c r="KGK57" s="94"/>
      <c r="KGL57" s="94"/>
      <c r="KGM57" s="94"/>
      <c r="KGN57" s="94"/>
      <c r="KGO57" s="94"/>
      <c r="KGP57" s="94"/>
      <c r="KGQ57" s="94"/>
      <c r="KGR57" s="94"/>
      <c r="KGS57" s="94"/>
      <c r="KGT57" s="94"/>
      <c r="KGU57" s="94"/>
      <c r="KGV57" s="94"/>
      <c r="KGW57" s="94"/>
      <c r="KGX57" s="94"/>
      <c r="KGY57" s="94"/>
      <c r="KGZ57" s="94"/>
      <c r="KHA57" s="94"/>
      <c r="KHB57" s="94"/>
      <c r="KHC57" s="94"/>
      <c r="KHD57" s="94"/>
      <c r="KHE57" s="94"/>
      <c r="KHF57" s="94"/>
      <c r="KHG57" s="94"/>
      <c r="KHH57" s="94"/>
      <c r="KHI57" s="94"/>
      <c r="KHJ57" s="94"/>
      <c r="KHK57" s="94"/>
      <c r="KHL57" s="94"/>
      <c r="KHM57" s="94"/>
      <c r="KHN57" s="94"/>
      <c r="KHO57" s="94"/>
      <c r="KHP57" s="94"/>
      <c r="KHQ57" s="94"/>
      <c r="KHR57" s="94"/>
      <c r="KHS57" s="94"/>
      <c r="KHT57" s="94"/>
      <c r="KHU57" s="94"/>
      <c r="KHV57" s="94"/>
      <c r="KHW57" s="94"/>
      <c r="KHX57" s="94"/>
      <c r="KHY57" s="94"/>
      <c r="KHZ57" s="94"/>
      <c r="KIA57" s="94"/>
      <c r="KIB57" s="94"/>
      <c r="KIC57" s="94"/>
      <c r="KID57" s="94"/>
      <c r="KIE57" s="94"/>
      <c r="KIF57" s="94"/>
      <c r="KIG57" s="94"/>
      <c r="KIH57" s="94"/>
      <c r="KII57" s="94"/>
      <c r="KIJ57" s="94"/>
      <c r="KIK57" s="94"/>
      <c r="KIL57" s="94"/>
      <c r="KIM57" s="94"/>
      <c r="KIN57" s="94"/>
      <c r="KIO57" s="94"/>
      <c r="KIP57" s="94"/>
      <c r="KIQ57" s="94"/>
      <c r="KIR57" s="94"/>
      <c r="KIS57" s="94"/>
      <c r="KIT57" s="94"/>
      <c r="KIU57" s="94"/>
      <c r="KIV57" s="94"/>
      <c r="KIW57" s="94"/>
      <c r="KIX57" s="94"/>
      <c r="KIY57" s="94"/>
      <c r="KIZ57" s="94"/>
      <c r="KJA57" s="94"/>
      <c r="KJB57" s="94"/>
      <c r="KJC57" s="94"/>
      <c r="KJD57" s="94"/>
      <c r="KJE57" s="94"/>
      <c r="KJF57" s="94"/>
      <c r="KJG57" s="94"/>
      <c r="KJH57" s="94"/>
      <c r="KJI57" s="94"/>
      <c r="KJJ57" s="94"/>
      <c r="KJK57" s="94"/>
      <c r="KJL57" s="94"/>
      <c r="KJM57" s="94"/>
      <c r="KJN57" s="94"/>
      <c r="KJO57" s="94"/>
      <c r="KJP57" s="94"/>
      <c r="KJQ57" s="94"/>
      <c r="KJR57" s="94"/>
      <c r="KJS57" s="94"/>
      <c r="KJT57" s="94"/>
      <c r="KJU57" s="94"/>
      <c r="KJV57" s="94"/>
      <c r="KJW57" s="94"/>
      <c r="KJX57" s="94"/>
      <c r="KJY57" s="94"/>
      <c r="KJZ57" s="94"/>
      <c r="KKA57" s="94"/>
      <c r="KKB57" s="94"/>
      <c r="KKC57" s="94"/>
      <c r="KKD57" s="94"/>
      <c r="KKE57" s="94"/>
      <c r="KKF57" s="94"/>
      <c r="KKG57" s="94"/>
      <c r="KKH57" s="94"/>
      <c r="KKI57" s="94"/>
      <c r="KKJ57" s="94"/>
      <c r="KKK57" s="94"/>
      <c r="KKL57" s="94"/>
      <c r="KKM57" s="94"/>
      <c r="KKN57" s="94"/>
      <c r="KKO57" s="94"/>
      <c r="KKP57" s="94"/>
      <c r="KKQ57" s="94"/>
      <c r="KKR57" s="94"/>
      <c r="KKS57" s="94"/>
      <c r="KKT57" s="94"/>
      <c r="KKU57" s="94"/>
      <c r="KKV57" s="94"/>
      <c r="KKW57" s="94"/>
      <c r="KKX57" s="94"/>
      <c r="KKY57" s="94"/>
      <c r="KKZ57" s="94"/>
      <c r="KLA57" s="94"/>
      <c r="KLB57" s="94"/>
      <c r="KLC57" s="94"/>
      <c r="KLD57" s="94"/>
      <c r="KLE57" s="94"/>
      <c r="KLF57" s="94"/>
      <c r="KLG57" s="94"/>
      <c r="KLH57" s="94"/>
      <c r="KLI57" s="94"/>
      <c r="KLJ57" s="94"/>
      <c r="KLK57" s="94"/>
      <c r="KLL57" s="94"/>
      <c r="KLM57" s="94"/>
      <c r="KLN57" s="94"/>
      <c r="KLO57" s="94"/>
      <c r="KLP57" s="94"/>
      <c r="KLQ57" s="94"/>
      <c r="KLR57" s="94"/>
      <c r="KLS57" s="94"/>
      <c r="KLT57" s="94"/>
      <c r="KLU57" s="94"/>
      <c r="KLV57" s="94"/>
      <c r="KLW57" s="94"/>
      <c r="KLX57" s="94"/>
      <c r="KLY57" s="94"/>
      <c r="KLZ57" s="94"/>
      <c r="KMA57" s="94"/>
      <c r="KMB57" s="94"/>
      <c r="KMC57" s="94"/>
      <c r="KMD57" s="94"/>
      <c r="KME57" s="94"/>
      <c r="KMF57" s="94"/>
      <c r="KMG57" s="94"/>
      <c r="KMH57" s="94"/>
      <c r="KMI57" s="94"/>
      <c r="KMJ57" s="94"/>
      <c r="KMK57" s="94"/>
      <c r="KML57" s="94"/>
      <c r="KMM57" s="94"/>
      <c r="KMN57" s="94"/>
      <c r="KMO57" s="94"/>
      <c r="KMP57" s="94"/>
      <c r="KMQ57" s="94"/>
      <c r="KMR57" s="94"/>
      <c r="KMS57" s="94"/>
      <c r="KMT57" s="94"/>
      <c r="KMU57" s="94"/>
      <c r="KMV57" s="94"/>
      <c r="KMW57" s="94"/>
      <c r="KMX57" s="94"/>
      <c r="KMY57" s="94"/>
      <c r="KMZ57" s="94"/>
      <c r="KNA57" s="94"/>
      <c r="KNB57" s="94"/>
      <c r="KNC57" s="94"/>
      <c r="KND57" s="94"/>
      <c r="KNE57" s="94"/>
      <c r="KNF57" s="94"/>
      <c r="KNG57" s="94"/>
      <c r="KNH57" s="94"/>
      <c r="KNI57" s="94"/>
      <c r="KNJ57" s="94"/>
      <c r="KNK57" s="94"/>
      <c r="KNL57" s="94"/>
      <c r="KNM57" s="94"/>
      <c r="KNN57" s="94"/>
      <c r="KNO57" s="94"/>
      <c r="KNP57" s="94"/>
      <c r="KNQ57" s="94"/>
      <c r="KNR57" s="94"/>
      <c r="KNS57" s="94"/>
      <c r="KNT57" s="94"/>
      <c r="KNU57" s="94"/>
      <c r="KNV57" s="94"/>
      <c r="KNW57" s="94"/>
      <c r="KNX57" s="94"/>
      <c r="KNY57" s="94"/>
      <c r="KNZ57" s="94"/>
      <c r="KOA57" s="94"/>
      <c r="KOB57" s="94"/>
      <c r="KOC57" s="94"/>
      <c r="KOD57" s="94"/>
      <c r="KOE57" s="94"/>
      <c r="KOF57" s="94"/>
      <c r="KOG57" s="94"/>
      <c r="KOH57" s="94"/>
      <c r="KOI57" s="94"/>
      <c r="KOJ57" s="94"/>
      <c r="KOK57" s="94"/>
      <c r="KOL57" s="94"/>
      <c r="KOM57" s="94"/>
      <c r="KON57" s="94"/>
      <c r="KOO57" s="94"/>
      <c r="KOP57" s="94"/>
      <c r="KOQ57" s="94"/>
      <c r="KOR57" s="94"/>
      <c r="KOS57" s="94"/>
      <c r="KOT57" s="94"/>
      <c r="KOU57" s="94"/>
      <c r="KOV57" s="94"/>
      <c r="KOW57" s="94"/>
      <c r="KOX57" s="94"/>
      <c r="KOY57" s="94"/>
      <c r="KOZ57" s="94"/>
      <c r="KPA57" s="94"/>
      <c r="KPB57" s="94"/>
      <c r="KPC57" s="94"/>
      <c r="KPD57" s="94"/>
      <c r="KPE57" s="94"/>
      <c r="KPF57" s="94"/>
      <c r="KPG57" s="94"/>
      <c r="KPH57" s="94"/>
      <c r="KPI57" s="94"/>
      <c r="KPJ57" s="94"/>
      <c r="KPK57" s="94"/>
      <c r="KPL57" s="94"/>
      <c r="KPM57" s="94"/>
      <c r="KPN57" s="94"/>
      <c r="KPO57" s="94"/>
      <c r="KPP57" s="94"/>
      <c r="KPQ57" s="94"/>
      <c r="KPR57" s="94"/>
      <c r="KPS57" s="94"/>
      <c r="KPT57" s="94"/>
      <c r="KPU57" s="94"/>
      <c r="KPV57" s="94"/>
      <c r="KPW57" s="94"/>
      <c r="KPX57" s="94"/>
      <c r="KPY57" s="94"/>
      <c r="KPZ57" s="94"/>
      <c r="KQA57" s="94"/>
      <c r="KQB57" s="94"/>
      <c r="KQC57" s="94"/>
      <c r="KQD57" s="94"/>
      <c r="KQE57" s="94"/>
      <c r="KQF57" s="94"/>
      <c r="KQG57" s="94"/>
      <c r="KQH57" s="94"/>
      <c r="KQI57" s="94"/>
      <c r="KQJ57" s="94"/>
      <c r="KQK57" s="94"/>
      <c r="KQL57" s="94"/>
      <c r="KQM57" s="94"/>
      <c r="KQN57" s="94"/>
      <c r="KQO57" s="94"/>
      <c r="KQP57" s="94"/>
      <c r="KQQ57" s="94"/>
      <c r="KQR57" s="94"/>
      <c r="KQS57" s="94"/>
      <c r="KQT57" s="94"/>
      <c r="KQU57" s="94"/>
      <c r="KQV57" s="94"/>
      <c r="KQW57" s="94"/>
      <c r="KQX57" s="94"/>
      <c r="KQY57" s="94"/>
      <c r="KQZ57" s="94"/>
      <c r="KRA57" s="94"/>
      <c r="KRB57" s="94"/>
      <c r="KRC57" s="94"/>
      <c r="KRD57" s="94"/>
      <c r="KRE57" s="94"/>
      <c r="KRF57" s="94"/>
      <c r="KRG57" s="94"/>
      <c r="KRH57" s="94"/>
      <c r="KRI57" s="94"/>
      <c r="KRJ57" s="94"/>
      <c r="KRK57" s="94"/>
      <c r="KRL57" s="94"/>
      <c r="KRM57" s="94"/>
      <c r="KRN57" s="94"/>
      <c r="KRO57" s="94"/>
      <c r="KRP57" s="94"/>
      <c r="KRQ57" s="94"/>
      <c r="KRR57" s="94"/>
      <c r="KRS57" s="94"/>
      <c r="KRT57" s="94"/>
      <c r="KRU57" s="94"/>
      <c r="KRV57" s="94"/>
      <c r="KRW57" s="94"/>
      <c r="KRX57" s="94"/>
      <c r="KRY57" s="94"/>
      <c r="KRZ57" s="94"/>
      <c r="KSA57" s="94"/>
      <c r="KSB57" s="94"/>
      <c r="KSC57" s="94"/>
      <c r="KSD57" s="94"/>
      <c r="KSE57" s="94"/>
      <c r="KSF57" s="94"/>
      <c r="KSG57" s="94"/>
      <c r="KSH57" s="94"/>
      <c r="KSI57" s="94"/>
      <c r="KSJ57" s="94"/>
      <c r="KSK57" s="94"/>
      <c r="KSL57" s="94"/>
      <c r="KSM57" s="94"/>
      <c r="KSN57" s="94"/>
      <c r="KSO57" s="94"/>
      <c r="KSP57" s="94"/>
      <c r="KSQ57" s="94"/>
      <c r="KSR57" s="94"/>
      <c r="KSS57" s="94"/>
      <c r="KST57" s="94"/>
      <c r="KSU57" s="94"/>
      <c r="KSV57" s="94"/>
      <c r="KSW57" s="94"/>
      <c r="KSX57" s="94"/>
      <c r="KSY57" s="94"/>
      <c r="KSZ57" s="94"/>
      <c r="KTA57" s="94"/>
      <c r="KTB57" s="94"/>
      <c r="KTC57" s="94"/>
      <c r="KTD57" s="94"/>
      <c r="KTE57" s="94"/>
      <c r="KTF57" s="94"/>
      <c r="KTG57" s="94"/>
      <c r="KTH57" s="94"/>
      <c r="KTI57" s="94"/>
      <c r="KTJ57" s="94"/>
      <c r="KTK57" s="94"/>
      <c r="KTL57" s="94"/>
      <c r="KTM57" s="94"/>
      <c r="KTN57" s="94"/>
      <c r="KTO57" s="94"/>
      <c r="KTP57" s="94"/>
      <c r="KTQ57" s="94"/>
      <c r="KTR57" s="94"/>
      <c r="KTS57" s="94"/>
      <c r="KTT57" s="94"/>
      <c r="KTU57" s="94"/>
      <c r="KTV57" s="94"/>
      <c r="KTW57" s="94"/>
      <c r="KTX57" s="94"/>
      <c r="KTY57" s="94"/>
      <c r="KTZ57" s="94"/>
      <c r="KUA57" s="94"/>
      <c r="KUB57" s="94"/>
      <c r="KUC57" s="94"/>
      <c r="KUD57" s="94"/>
      <c r="KUE57" s="94"/>
      <c r="KUF57" s="94"/>
      <c r="KUG57" s="94"/>
      <c r="KUH57" s="94"/>
      <c r="KUI57" s="94"/>
      <c r="KUJ57" s="94"/>
      <c r="KUK57" s="94"/>
      <c r="KUL57" s="94"/>
      <c r="KUM57" s="94"/>
      <c r="KUN57" s="94"/>
      <c r="KUO57" s="94"/>
      <c r="KUP57" s="94"/>
      <c r="KUQ57" s="94"/>
      <c r="KUR57" s="94"/>
      <c r="KUS57" s="94"/>
      <c r="KUT57" s="94"/>
      <c r="KUU57" s="94"/>
      <c r="KUV57" s="94"/>
      <c r="KUW57" s="94"/>
      <c r="KUX57" s="94"/>
      <c r="KUY57" s="94"/>
      <c r="KUZ57" s="94"/>
      <c r="KVA57" s="94"/>
      <c r="KVB57" s="94"/>
      <c r="KVC57" s="94"/>
      <c r="KVD57" s="94"/>
      <c r="KVE57" s="94"/>
      <c r="KVF57" s="94"/>
      <c r="KVG57" s="94"/>
      <c r="KVH57" s="94"/>
      <c r="KVI57" s="94"/>
      <c r="KVJ57" s="94"/>
      <c r="KVK57" s="94"/>
      <c r="KVL57" s="94"/>
      <c r="KVM57" s="94"/>
      <c r="KVN57" s="94"/>
      <c r="KVO57" s="94"/>
      <c r="KVP57" s="94"/>
      <c r="KVQ57" s="94"/>
      <c r="KVR57" s="94"/>
      <c r="KVS57" s="94"/>
      <c r="KVT57" s="94"/>
      <c r="KVU57" s="94"/>
      <c r="KVV57" s="94"/>
      <c r="KVW57" s="94"/>
      <c r="KVX57" s="94"/>
      <c r="KVY57" s="94"/>
      <c r="KVZ57" s="94"/>
      <c r="KWA57" s="94"/>
      <c r="KWB57" s="94"/>
      <c r="KWC57" s="94"/>
      <c r="KWD57" s="94"/>
      <c r="KWE57" s="94"/>
      <c r="KWF57" s="94"/>
      <c r="KWG57" s="94"/>
      <c r="KWH57" s="94"/>
      <c r="KWI57" s="94"/>
      <c r="KWJ57" s="94"/>
      <c r="KWK57" s="94"/>
      <c r="KWL57" s="94"/>
      <c r="KWM57" s="94"/>
      <c r="KWN57" s="94"/>
      <c r="KWO57" s="94"/>
      <c r="KWP57" s="94"/>
      <c r="KWQ57" s="94"/>
      <c r="KWR57" s="94"/>
      <c r="KWS57" s="94"/>
      <c r="KWT57" s="94"/>
      <c r="KWU57" s="94"/>
      <c r="KWV57" s="94"/>
      <c r="KWW57" s="94"/>
      <c r="KWX57" s="94"/>
      <c r="KWY57" s="94"/>
      <c r="KWZ57" s="94"/>
      <c r="KXA57" s="94"/>
      <c r="KXB57" s="94"/>
      <c r="KXC57" s="94"/>
      <c r="KXD57" s="94"/>
      <c r="KXE57" s="94"/>
      <c r="KXF57" s="94"/>
      <c r="KXG57" s="94"/>
      <c r="KXH57" s="94"/>
      <c r="KXI57" s="94"/>
      <c r="KXJ57" s="94"/>
      <c r="KXK57" s="94"/>
      <c r="KXL57" s="94"/>
      <c r="KXM57" s="94"/>
      <c r="KXN57" s="94"/>
      <c r="KXO57" s="94"/>
      <c r="KXP57" s="94"/>
      <c r="KXQ57" s="94"/>
      <c r="KXR57" s="94"/>
      <c r="KXS57" s="94"/>
      <c r="KXT57" s="94"/>
      <c r="KXU57" s="94"/>
      <c r="KXV57" s="94"/>
      <c r="KXW57" s="94"/>
      <c r="KXX57" s="94"/>
      <c r="KXY57" s="94"/>
      <c r="KXZ57" s="94"/>
      <c r="KYA57" s="94"/>
      <c r="KYB57" s="94"/>
      <c r="KYC57" s="94"/>
      <c r="KYD57" s="94"/>
      <c r="KYE57" s="94"/>
      <c r="KYF57" s="94"/>
      <c r="KYG57" s="94"/>
      <c r="KYH57" s="94"/>
      <c r="KYI57" s="94"/>
      <c r="KYJ57" s="94"/>
      <c r="KYK57" s="94"/>
      <c r="KYL57" s="94"/>
      <c r="KYM57" s="94"/>
      <c r="KYN57" s="94"/>
      <c r="KYO57" s="94"/>
      <c r="KYP57" s="94"/>
      <c r="KYQ57" s="94"/>
      <c r="KYR57" s="94"/>
      <c r="KYS57" s="94"/>
      <c r="KYT57" s="94"/>
      <c r="KYU57" s="94"/>
      <c r="KYV57" s="94"/>
      <c r="KYW57" s="94"/>
      <c r="KYX57" s="94"/>
      <c r="KYY57" s="94"/>
      <c r="KYZ57" s="94"/>
      <c r="KZA57" s="94"/>
      <c r="KZB57" s="94"/>
      <c r="KZC57" s="94"/>
      <c r="KZD57" s="94"/>
      <c r="KZE57" s="94"/>
      <c r="KZF57" s="94"/>
      <c r="KZG57" s="94"/>
      <c r="KZH57" s="94"/>
      <c r="KZI57" s="94"/>
      <c r="KZJ57" s="94"/>
      <c r="KZK57" s="94"/>
      <c r="KZL57" s="94"/>
      <c r="KZM57" s="94"/>
      <c r="KZN57" s="94"/>
      <c r="KZO57" s="94"/>
      <c r="KZP57" s="94"/>
      <c r="KZQ57" s="94"/>
      <c r="KZR57" s="94"/>
      <c r="KZS57" s="94"/>
      <c r="KZT57" s="94"/>
      <c r="KZU57" s="94"/>
      <c r="KZV57" s="94"/>
      <c r="KZW57" s="94"/>
      <c r="KZX57" s="94"/>
      <c r="KZY57" s="94"/>
      <c r="KZZ57" s="94"/>
      <c r="LAA57" s="94"/>
      <c r="LAB57" s="94"/>
      <c r="LAC57" s="94"/>
      <c r="LAD57" s="94"/>
      <c r="LAE57" s="94"/>
      <c r="LAF57" s="94"/>
      <c r="LAG57" s="94"/>
      <c r="LAH57" s="94"/>
      <c r="LAI57" s="94"/>
      <c r="LAJ57" s="94"/>
      <c r="LAK57" s="94"/>
      <c r="LAL57" s="94"/>
      <c r="LAM57" s="94"/>
      <c r="LAN57" s="94"/>
      <c r="LAO57" s="94"/>
      <c r="LAP57" s="94"/>
      <c r="LAQ57" s="94"/>
      <c r="LAR57" s="94"/>
      <c r="LAS57" s="94"/>
      <c r="LAT57" s="94"/>
      <c r="LAU57" s="94"/>
      <c r="LAV57" s="94"/>
      <c r="LAW57" s="94"/>
      <c r="LAX57" s="94"/>
      <c r="LAY57" s="94"/>
      <c r="LAZ57" s="94"/>
      <c r="LBA57" s="94"/>
      <c r="LBB57" s="94"/>
      <c r="LBC57" s="94"/>
      <c r="LBD57" s="94"/>
      <c r="LBE57" s="94"/>
      <c r="LBF57" s="94"/>
      <c r="LBG57" s="94"/>
      <c r="LBH57" s="94"/>
      <c r="LBI57" s="94"/>
      <c r="LBJ57" s="94"/>
      <c r="LBK57" s="94"/>
      <c r="LBL57" s="94"/>
      <c r="LBM57" s="94"/>
      <c r="LBN57" s="94"/>
      <c r="LBO57" s="94"/>
      <c r="LBP57" s="94"/>
      <c r="LBQ57" s="94"/>
      <c r="LBR57" s="94"/>
      <c r="LBS57" s="94"/>
      <c r="LBT57" s="94"/>
      <c r="LBU57" s="94"/>
      <c r="LBV57" s="94"/>
      <c r="LBW57" s="94"/>
      <c r="LBX57" s="94"/>
      <c r="LBY57" s="94"/>
      <c r="LBZ57" s="94"/>
      <c r="LCA57" s="94"/>
      <c r="LCB57" s="94"/>
      <c r="LCC57" s="94"/>
      <c r="LCD57" s="94"/>
      <c r="LCE57" s="94"/>
      <c r="LCF57" s="94"/>
      <c r="LCG57" s="94"/>
      <c r="LCH57" s="94"/>
      <c r="LCI57" s="94"/>
      <c r="LCJ57" s="94"/>
      <c r="LCK57" s="94"/>
      <c r="LCL57" s="94"/>
      <c r="LCM57" s="94"/>
      <c r="LCN57" s="94"/>
      <c r="LCO57" s="94"/>
      <c r="LCP57" s="94"/>
      <c r="LCQ57" s="94"/>
      <c r="LCR57" s="94"/>
      <c r="LCS57" s="94"/>
      <c r="LCT57" s="94"/>
      <c r="LCU57" s="94"/>
      <c r="LCV57" s="94"/>
      <c r="LCW57" s="94"/>
      <c r="LCX57" s="94"/>
      <c r="LCY57" s="94"/>
      <c r="LCZ57" s="94"/>
      <c r="LDA57" s="94"/>
      <c r="LDB57" s="94"/>
      <c r="LDC57" s="94"/>
      <c r="LDD57" s="94"/>
      <c r="LDE57" s="94"/>
      <c r="LDF57" s="94"/>
      <c r="LDG57" s="94"/>
      <c r="LDH57" s="94"/>
      <c r="LDI57" s="94"/>
      <c r="LDJ57" s="94"/>
      <c r="LDK57" s="94"/>
      <c r="LDL57" s="94"/>
      <c r="LDM57" s="94"/>
      <c r="LDN57" s="94"/>
      <c r="LDO57" s="94"/>
      <c r="LDP57" s="94"/>
      <c r="LDQ57" s="94"/>
      <c r="LDR57" s="94"/>
      <c r="LDS57" s="94"/>
      <c r="LDT57" s="94"/>
      <c r="LDU57" s="94"/>
      <c r="LDV57" s="94"/>
      <c r="LDW57" s="94"/>
      <c r="LDX57" s="94"/>
      <c r="LDY57" s="94"/>
      <c r="LDZ57" s="94"/>
      <c r="LEA57" s="94"/>
      <c r="LEB57" s="94"/>
      <c r="LEC57" s="94"/>
      <c r="LED57" s="94"/>
      <c r="LEE57" s="94"/>
      <c r="LEF57" s="94"/>
      <c r="LEG57" s="94"/>
      <c r="LEH57" s="94"/>
      <c r="LEI57" s="94"/>
      <c r="LEJ57" s="94"/>
      <c r="LEK57" s="94"/>
      <c r="LEL57" s="94"/>
      <c r="LEM57" s="94"/>
      <c r="LEN57" s="94"/>
      <c r="LEO57" s="94"/>
      <c r="LEP57" s="94"/>
      <c r="LEQ57" s="94"/>
      <c r="LER57" s="94"/>
      <c r="LES57" s="94"/>
      <c r="LET57" s="94"/>
      <c r="LEU57" s="94"/>
      <c r="LEV57" s="94"/>
      <c r="LEW57" s="94"/>
      <c r="LEX57" s="94"/>
      <c r="LEY57" s="94"/>
      <c r="LEZ57" s="94"/>
      <c r="LFA57" s="94"/>
      <c r="LFB57" s="94"/>
      <c r="LFC57" s="94"/>
      <c r="LFD57" s="94"/>
      <c r="LFE57" s="94"/>
      <c r="LFF57" s="94"/>
      <c r="LFG57" s="94"/>
      <c r="LFH57" s="94"/>
      <c r="LFI57" s="94"/>
      <c r="LFJ57" s="94"/>
      <c r="LFK57" s="94"/>
      <c r="LFL57" s="94"/>
      <c r="LFM57" s="94"/>
      <c r="LFN57" s="94"/>
      <c r="LFO57" s="94"/>
      <c r="LFP57" s="94"/>
      <c r="LFQ57" s="94"/>
      <c r="LFR57" s="94"/>
      <c r="LFS57" s="94"/>
      <c r="LFT57" s="94"/>
      <c r="LFU57" s="94"/>
      <c r="LFV57" s="94"/>
      <c r="LFW57" s="94"/>
      <c r="LFX57" s="94"/>
      <c r="LFY57" s="94"/>
      <c r="LFZ57" s="94"/>
      <c r="LGA57" s="94"/>
      <c r="LGB57" s="94"/>
      <c r="LGC57" s="94"/>
      <c r="LGD57" s="94"/>
      <c r="LGE57" s="94"/>
      <c r="LGF57" s="94"/>
      <c r="LGG57" s="94"/>
      <c r="LGH57" s="94"/>
      <c r="LGI57" s="94"/>
      <c r="LGJ57" s="94"/>
      <c r="LGK57" s="94"/>
      <c r="LGL57" s="94"/>
      <c r="LGM57" s="94"/>
      <c r="LGN57" s="94"/>
      <c r="LGO57" s="94"/>
      <c r="LGP57" s="94"/>
      <c r="LGQ57" s="94"/>
      <c r="LGR57" s="94"/>
      <c r="LGS57" s="94"/>
      <c r="LGT57" s="94"/>
      <c r="LGU57" s="94"/>
      <c r="LGV57" s="94"/>
      <c r="LGW57" s="94"/>
      <c r="LGX57" s="94"/>
      <c r="LGY57" s="94"/>
      <c r="LGZ57" s="94"/>
      <c r="LHA57" s="94"/>
      <c r="LHB57" s="94"/>
      <c r="LHC57" s="94"/>
      <c r="LHD57" s="94"/>
      <c r="LHE57" s="94"/>
      <c r="LHF57" s="94"/>
      <c r="LHG57" s="94"/>
      <c r="LHH57" s="94"/>
      <c r="LHI57" s="94"/>
      <c r="LHJ57" s="94"/>
      <c r="LHK57" s="94"/>
      <c r="LHL57" s="94"/>
      <c r="LHM57" s="94"/>
      <c r="LHN57" s="94"/>
      <c r="LHO57" s="94"/>
      <c r="LHP57" s="94"/>
      <c r="LHQ57" s="94"/>
      <c r="LHR57" s="94"/>
      <c r="LHS57" s="94"/>
      <c r="LHT57" s="94"/>
      <c r="LHU57" s="94"/>
      <c r="LHV57" s="94"/>
      <c r="LHW57" s="94"/>
      <c r="LHX57" s="94"/>
      <c r="LHY57" s="94"/>
      <c r="LHZ57" s="94"/>
      <c r="LIA57" s="94"/>
      <c r="LIB57" s="94"/>
      <c r="LIC57" s="94"/>
      <c r="LID57" s="94"/>
      <c r="LIE57" s="94"/>
      <c r="LIF57" s="94"/>
      <c r="LIG57" s="94"/>
      <c r="LIH57" s="94"/>
      <c r="LII57" s="94"/>
      <c r="LIJ57" s="94"/>
      <c r="LIK57" s="94"/>
      <c r="LIL57" s="94"/>
      <c r="LIM57" s="94"/>
      <c r="LIN57" s="94"/>
      <c r="LIO57" s="94"/>
      <c r="LIP57" s="94"/>
      <c r="LIQ57" s="94"/>
      <c r="LIR57" s="94"/>
      <c r="LIS57" s="94"/>
      <c r="LIT57" s="94"/>
      <c r="LIU57" s="94"/>
      <c r="LIV57" s="94"/>
      <c r="LIW57" s="94"/>
      <c r="LIX57" s="94"/>
      <c r="LIY57" s="94"/>
      <c r="LIZ57" s="94"/>
      <c r="LJA57" s="94"/>
      <c r="LJB57" s="94"/>
      <c r="LJC57" s="94"/>
      <c r="LJD57" s="94"/>
      <c r="LJE57" s="94"/>
      <c r="LJF57" s="94"/>
      <c r="LJG57" s="94"/>
      <c r="LJH57" s="94"/>
      <c r="LJI57" s="94"/>
      <c r="LJJ57" s="94"/>
      <c r="LJK57" s="94"/>
      <c r="LJL57" s="94"/>
      <c r="LJM57" s="94"/>
      <c r="LJN57" s="94"/>
      <c r="LJO57" s="94"/>
      <c r="LJP57" s="94"/>
      <c r="LJQ57" s="94"/>
      <c r="LJR57" s="94"/>
      <c r="LJS57" s="94"/>
      <c r="LJT57" s="94"/>
      <c r="LJU57" s="94"/>
      <c r="LJV57" s="94"/>
      <c r="LJW57" s="94"/>
      <c r="LJX57" s="94"/>
      <c r="LJY57" s="94"/>
      <c r="LJZ57" s="94"/>
      <c r="LKA57" s="94"/>
      <c r="LKB57" s="94"/>
      <c r="LKC57" s="94"/>
      <c r="LKD57" s="94"/>
      <c r="LKE57" s="94"/>
      <c r="LKF57" s="94"/>
      <c r="LKG57" s="94"/>
      <c r="LKH57" s="94"/>
      <c r="LKI57" s="94"/>
      <c r="LKJ57" s="94"/>
      <c r="LKK57" s="94"/>
      <c r="LKL57" s="94"/>
      <c r="LKM57" s="94"/>
      <c r="LKN57" s="94"/>
      <c r="LKO57" s="94"/>
      <c r="LKP57" s="94"/>
      <c r="LKQ57" s="94"/>
      <c r="LKR57" s="94"/>
      <c r="LKS57" s="94"/>
      <c r="LKT57" s="94"/>
      <c r="LKU57" s="94"/>
      <c r="LKV57" s="94"/>
      <c r="LKW57" s="94"/>
      <c r="LKX57" s="94"/>
      <c r="LKY57" s="94"/>
      <c r="LKZ57" s="94"/>
      <c r="LLA57" s="94"/>
      <c r="LLB57" s="94"/>
      <c r="LLC57" s="94"/>
      <c r="LLD57" s="94"/>
      <c r="LLE57" s="94"/>
      <c r="LLF57" s="94"/>
      <c r="LLG57" s="94"/>
      <c r="LLH57" s="94"/>
      <c r="LLI57" s="94"/>
      <c r="LLJ57" s="94"/>
      <c r="LLK57" s="94"/>
      <c r="LLL57" s="94"/>
      <c r="LLM57" s="94"/>
      <c r="LLN57" s="94"/>
      <c r="LLO57" s="94"/>
      <c r="LLP57" s="94"/>
      <c r="LLQ57" s="94"/>
      <c r="LLR57" s="94"/>
      <c r="LLS57" s="94"/>
      <c r="LLT57" s="94"/>
      <c r="LLU57" s="94"/>
      <c r="LLV57" s="94"/>
      <c r="LLW57" s="94"/>
      <c r="LLX57" s="94"/>
      <c r="LLY57" s="94"/>
      <c r="LLZ57" s="94"/>
      <c r="LMA57" s="94"/>
      <c r="LMB57" s="94"/>
      <c r="LMC57" s="94"/>
      <c r="LMD57" s="94"/>
      <c r="LME57" s="94"/>
      <c r="LMF57" s="94"/>
      <c r="LMG57" s="94"/>
      <c r="LMH57" s="94"/>
      <c r="LMI57" s="94"/>
      <c r="LMJ57" s="94"/>
      <c r="LMK57" s="94"/>
      <c r="LML57" s="94"/>
      <c r="LMM57" s="94"/>
      <c r="LMN57" s="94"/>
      <c r="LMO57" s="94"/>
      <c r="LMP57" s="94"/>
      <c r="LMQ57" s="94"/>
      <c r="LMR57" s="94"/>
      <c r="LMS57" s="94"/>
      <c r="LMT57" s="94"/>
      <c r="LMU57" s="94"/>
      <c r="LMV57" s="94"/>
      <c r="LMW57" s="94"/>
      <c r="LMX57" s="94"/>
      <c r="LMY57" s="94"/>
      <c r="LMZ57" s="94"/>
      <c r="LNA57" s="94"/>
      <c r="LNB57" s="94"/>
      <c r="LNC57" s="94"/>
      <c r="LND57" s="94"/>
      <c r="LNE57" s="94"/>
      <c r="LNF57" s="94"/>
      <c r="LNG57" s="94"/>
      <c r="LNH57" s="94"/>
      <c r="LNI57" s="94"/>
      <c r="LNJ57" s="94"/>
      <c r="LNK57" s="94"/>
      <c r="LNL57" s="94"/>
      <c r="LNM57" s="94"/>
      <c r="LNN57" s="94"/>
      <c r="LNO57" s="94"/>
      <c r="LNP57" s="94"/>
      <c r="LNQ57" s="94"/>
      <c r="LNR57" s="94"/>
      <c r="LNS57" s="94"/>
      <c r="LNT57" s="94"/>
      <c r="LNU57" s="94"/>
      <c r="LNV57" s="94"/>
      <c r="LNW57" s="94"/>
      <c r="LNX57" s="94"/>
      <c r="LNY57" s="94"/>
      <c r="LNZ57" s="94"/>
      <c r="LOA57" s="94"/>
      <c r="LOB57" s="94"/>
      <c r="LOC57" s="94"/>
      <c r="LOD57" s="94"/>
      <c r="LOE57" s="94"/>
      <c r="LOF57" s="94"/>
      <c r="LOG57" s="94"/>
      <c r="LOH57" s="94"/>
      <c r="LOI57" s="94"/>
      <c r="LOJ57" s="94"/>
      <c r="LOK57" s="94"/>
      <c r="LOL57" s="94"/>
      <c r="LOM57" s="94"/>
      <c r="LON57" s="94"/>
      <c r="LOO57" s="94"/>
      <c r="LOP57" s="94"/>
      <c r="LOQ57" s="94"/>
      <c r="LOR57" s="94"/>
      <c r="LOS57" s="94"/>
      <c r="LOT57" s="94"/>
      <c r="LOU57" s="94"/>
      <c r="LOV57" s="94"/>
      <c r="LOW57" s="94"/>
      <c r="LOX57" s="94"/>
      <c r="LOY57" s="94"/>
      <c r="LOZ57" s="94"/>
      <c r="LPA57" s="94"/>
      <c r="LPB57" s="94"/>
      <c r="LPC57" s="94"/>
      <c r="LPD57" s="94"/>
      <c r="LPE57" s="94"/>
      <c r="LPF57" s="94"/>
      <c r="LPG57" s="94"/>
      <c r="LPH57" s="94"/>
      <c r="LPI57" s="94"/>
      <c r="LPJ57" s="94"/>
      <c r="LPK57" s="94"/>
      <c r="LPL57" s="94"/>
      <c r="LPM57" s="94"/>
      <c r="LPN57" s="94"/>
      <c r="LPO57" s="94"/>
      <c r="LPP57" s="94"/>
      <c r="LPQ57" s="94"/>
      <c r="LPR57" s="94"/>
      <c r="LPS57" s="94"/>
      <c r="LPT57" s="94"/>
      <c r="LPU57" s="94"/>
      <c r="LPV57" s="94"/>
      <c r="LPW57" s="94"/>
      <c r="LPX57" s="94"/>
      <c r="LPY57" s="94"/>
      <c r="LPZ57" s="94"/>
      <c r="LQA57" s="94"/>
      <c r="LQB57" s="94"/>
      <c r="LQC57" s="94"/>
      <c r="LQD57" s="94"/>
      <c r="LQE57" s="94"/>
      <c r="LQF57" s="94"/>
      <c r="LQG57" s="94"/>
      <c r="LQH57" s="94"/>
      <c r="LQI57" s="94"/>
      <c r="LQJ57" s="94"/>
      <c r="LQK57" s="94"/>
      <c r="LQL57" s="94"/>
      <c r="LQM57" s="94"/>
      <c r="LQN57" s="94"/>
      <c r="LQO57" s="94"/>
      <c r="LQP57" s="94"/>
      <c r="LQQ57" s="94"/>
      <c r="LQR57" s="94"/>
      <c r="LQS57" s="94"/>
      <c r="LQT57" s="94"/>
      <c r="LQU57" s="94"/>
      <c r="LQV57" s="94"/>
      <c r="LQW57" s="94"/>
      <c r="LQX57" s="94"/>
      <c r="LQY57" s="94"/>
      <c r="LQZ57" s="94"/>
      <c r="LRA57" s="94"/>
      <c r="LRB57" s="94"/>
      <c r="LRC57" s="94"/>
      <c r="LRD57" s="94"/>
      <c r="LRE57" s="94"/>
      <c r="LRF57" s="94"/>
      <c r="LRG57" s="94"/>
      <c r="LRH57" s="94"/>
      <c r="LRI57" s="94"/>
      <c r="LRJ57" s="94"/>
      <c r="LRK57" s="94"/>
      <c r="LRL57" s="94"/>
      <c r="LRM57" s="94"/>
      <c r="LRN57" s="94"/>
      <c r="LRO57" s="94"/>
      <c r="LRP57" s="94"/>
      <c r="LRQ57" s="94"/>
      <c r="LRR57" s="94"/>
      <c r="LRS57" s="94"/>
      <c r="LRT57" s="94"/>
      <c r="LRU57" s="94"/>
      <c r="LRV57" s="94"/>
      <c r="LRW57" s="94"/>
      <c r="LRX57" s="94"/>
      <c r="LRY57" s="94"/>
      <c r="LRZ57" s="94"/>
      <c r="LSA57" s="94"/>
      <c r="LSB57" s="94"/>
      <c r="LSC57" s="94"/>
      <c r="LSD57" s="94"/>
      <c r="LSE57" s="94"/>
      <c r="LSF57" s="94"/>
      <c r="LSG57" s="94"/>
      <c r="LSH57" s="94"/>
      <c r="LSI57" s="94"/>
      <c r="LSJ57" s="94"/>
      <c r="LSK57" s="94"/>
      <c r="LSL57" s="94"/>
      <c r="LSM57" s="94"/>
      <c r="LSN57" s="94"/>
      <c r="LSO57" s="94"/>
      <c r="LSP57" s="94"/>
      <c r="LSQ57" s="94"/>
      <c r="LSR57" s="94"/>
      <c r="LSS57" s="94"/>
      <c r="LST57" s="94"/>
      <c r="LSU57" s="94"/>
      <c r="LSV57" s="94"/>
      <c r="LSW57" s="94"/>
      <c r="LSX57" s="94"/>
      <c r="LSY57" s="94"/>
      <c r="LSZ57" s="94"/>
      <c r="LTA57" s="94"/>
      <c r="LTB57" s="94"/>
      <c r="LTC57" s="94"/>
      <c r="LTD57" s="94"/>
      <c r="LTE57" s="94"/>
      <c r="LTF57" s="94"/>
      <c r="LTG57" s="94"/>
      <c r="LTH57" s="94"/>
      <c r="LTI57" s="94"/>
      <c r="LTJ57" s="94"/>
      <c r="LTK57" s="94"/>
      <c r="LTL57" s="94"/>
      <c r="LTM57" s="94"/>
      <c r="LTN57" s="94"/>
      <c r="LTO57" s="94"/>
      <c r="LTP57" s="94"/>
      <c r="LTQ57" s="94"/>
      <c r="LTR57" s="94"/>
      <c r="LTS57" s="94"/>
      <c r="LTT57" s="94"/>
      <c r="LTU57" s="94"/>
      <c r="LTV57" s="94"/>
      <c r="LTW57" s="94"/>
      <c r="LTX57" s="94"/>
      <c r="LTY57" s="94"/>
      <c r="LTZ57" s="94"/>
      <c r="LUA57" s="94"/>
      <c r="LUB57" s="94"/>
      <c r="LUC57" s="94"/>
      <c r="LUD57" s="94"/>
      <c r="LUE57" s="94"/>
      <c r="LUF57" s="94"/>
      <c r="LUG57" s="94"/>
      <c r="LUH57" s="94"/>
      <c r="LUI57" s="94"/>
      <c r="LUJ57" s="94"/>
      <c r="LUK57" s="94"/>
      <c r="LUL57" s="94"/>
      <c r="LUM57" s="94"/>
      <c r="LUN57" s="94"/>
      <c r="LUO57" s="94"/>
      <c r="LUP57" s="94"/>
      <c r="LUQ57" s="94"/>
      <c r="LUR57" s="94"/>
      <c r="LUS57" s="94"/>
      <c r="LUT57" s="94"/>
      <c r="LUU57" s="94"/>
      <c r="LUV57" s="94"/>
      <c r="LUW57" s="94"/>
      <c r="LUX57" s="94"/>
      <c r="LUY57" s="94"/>
      <c r="LUZ57" s="94"/>
      <c r="LVA57" s="94"/>
      <c r="LVB57" s="94"/>
      <c r="LVC57" s="94"/>
      <c r="LVD57" s="94"/>
      <c r="LVE57" s="94"/>
      <c r="LVF57" s="94"/>
      <c r="LVG57" s="94"/>
      <c r="LVH57" s="94"/>
      <c r="LVI57" s="94"/>
      <c r="LVJ57" s="94"/>
      <c r="LVK57" s="94"/>
      <c r="LVL57" s="94"/>
      <c r="LVM57" s="94"/>
      <c r="LVN57" s="94"/>
      <c r="LVO57" s="94"/>
      <c r="LVP57" s="94"/>
      <c r="LVQ57" s="94"/>
      <c r="LVR57" s="94"/>
      <c r="LVS57" s="94"/>
      <c r="LVT57" s="94"/>
      <c r="LVU57" s="94"/>
      <c r="LVV57" s="94"/>
      <c r="LVW57" s="94"/>
      <c r="LVX57" s="94"/>
      <c r="LVY57" s="94"/>
      <c r="LVZ57" s="94"/>
      <c r="LWA57" s="94"/>
      <c r="LWB57" s="94"/>
      <c r="LWC57" s="94"/>
      <c r="LWD57" s="94"/>
      <c r="LWE57" s="94"/>
      <c r="LWF57" s="94"/>
      <c r="LWG57" s="94"/>
      <c r="LWH57" s="94"/>
      <c r="LWI57" s="94"/>
      <c r="LWJ57" s="94"/>
      <c r="LWK57" s="94"/>
      <c r="LWL57" s="94"/>
      <c r="LWM57" s="94"/>
      <c r="LWN57" s="94"/>
      <c r="LWO57" s="94"/>
      <c r="LWP57" s="94"/>
      <c r="LWQ57" s="94"/>
      <c r="LWR57" s="94"/>
      <c r="LWS57" s="94"/>
      <c r="LWT57" s="94"/>
      <c r="LWU57" s="94"/>
      <c r="LWV57" s="94"/>
      <c r="LWW57" s="94"/>
      <c r="LWX57" s="94"/>
      <c r="LWY57" s="94"/>
      <c r="LWZ57" s="94"/>
      <c r="LXA57" s="94"/>
      <c r="LXB57" s="94"/>
      <c r="LXC57" s="94"/>
      <c r="LXD57" s="94"/>
      <c r="LXE57" s="94"/>
      <c r="LXF57" s="94"/>
      <c r="LXG57" s="94"/>
      <c r="LXH57" s="94"/>
      <c r="LXI57" s="94"/>
      <c r="LXJ57" s="94"/>
      <c r="LXK57" s="94"/>
      <c r="LXL57" s="94"/>
      <c r="LXM57" s="94"/>
      <c r="LXN57" s="94"/>
      <c r="LXO57" s="94"/>
      <c r="LXP57" s="94"/>
      <c r="LXQ57" s="94"/>
      <c r="LXR57" s="94"/>
      <c r="LXS57" s="94"/>
      <c r="LXT57" s="94"/>
      <c r="LXU57" s="94"/>
      <c r="LXV57" s="94"/>
      <c r="LXW57" s="94"/>
      <c r="LXX57" s="94"/>
      <c r="LXY57" s="94"/>
      <c r="LXZ57" s="94"/>
      <c r="LYA57" s="94"/>
      <c r="LYB57" s="94"/>
      <c r="LYC57" s="94"/>
      <c r="LYD57" s="94"/>
      <c r="LYE57" s="94"/>
      <c r="LYF57" s="94"/>
      <c r="LYG57" s="94"/>
      <c r="LYH57" s="94"/>
      <c r="LYI57" s="94"/>
      <c r="LYJ57" s="94"/>
      <c r="LYK57" s="94"/>
      <c r="LYL57" s="94"/>
      <c r="LYM57" s="94"/>
      <c r="LYN57" s="94"/>
      <c r="LYO57" s="94"/>
      <c r="LYP57" s="94"/>
      <c r="LYQ57" s="94"/>
      <c r="LYR57" s="94"/>
      <c r="LYS57" s="94"/>
      <c r="LYT57" s="94"/>
      <c r="LYU57" s="94"/>
      <c r="LYV57" s="94"/>
      <c r="LYW57" s="94"/>
      <c r="LYX57" s="94"/>
      <c r="LYY57" s="94"/>
      <c r="LYZ57" s="94"/>
      <c r="LZA57" s="94"/>
      <c r="LZB57" s="94"/>
      <c r="LZC57" s="94"/>
      <c r="LZD57" s="94"/>
      <c r="LZE57" s="94"/>
      <c r="LZF57" s="94"/>
      <c r="LZG57" s="94"/>
      <c r="LZH57" s="94"/>
      <c r="LZI57" s="94"/>
      <c r="LZJ57" s="94"/>
      <c r="LZK57" s="94"/>
      <c r="LZL57" s="94"/>
      <c r="LZM57" s="94"/>
      <c r="LZN57" s="94"/>
      <c r="LZO57" s="94"/>
      <c r="LZP57" s="94"/>
      <c r="LZQ57" s="94"/>
      <c r="LZR57" s="94"/>
      <c r="LZS57" s="94"/>
      <c r="LZT57" s="94"/>
      <c r="LZU57" s="94"/>
      <c r="LZV57" s="94"/>
      <c r="LZW57" s="94"/>
      <c r="LZX57" s="94"/>
      <c r="LZY57" s="94"/>
      <c r="LZZ57" s="94"/>
      <c r="MAA57" s="94"/>
      <c r="MAB57" s="94"/>
      <c r="MAC57" s="94"/>
      <c r="MAD57" s="94"/>
      <c r="MAE57" s="94"/>
      <c r="MAF57" s="94"/>
      <c r="MAG57" s="94"/>
      <c r="MAH57" s="94"/>
      <c r="MAI57" s="94"/>
      <c r="MAJ57" s="94"/>
      <c r="MAK57" s="94"/>
      <c r="MAL57" s="94"/>
      <c r="MAM57" s="94"/>
      <c r="MAN57" s="94"/>
      <c r="MAO57" s="94"/>
      <c r="MAP57" s="94"/>
      <c r="MAQ57" s="94"/>
      <c r="MAR57" s="94"/>
      <c r="MAS57" s="94"/>
      <c r="MAT57" s="94"/>
      <c r="MAU57" s="94"/>
      <c r="MAV57" s="94"/>
      <c r="MAW57" s="94"/>
      <c r="MAX57" s="94"/>
      <c r="MAY57" s="94"/>
      <c r="MAZ57" s="94"/>
      <c r="MBA57" s="94"/>
      <c r="MBB57" s="94"/>
      <c r="MBC57" s="94"/>
      <c r="MBD57" s="94"/>
      <c r="MBE57" s="94"/>
      <c r="MBF57" s="94"/>
      <c r="MBG57" s="94"/>
      <c r="MBH57" s="94"/>
      <c r="MBI57" s="94"/>
      <c r="MBJ57" s="94"/>
      <c r="MBK57" s="94"/>
      <c r="MBL57" s="94"/>
      <c r="MBM57" s="94"/>
      <c r="MBN57" s="94"/>
      <c r="MBO57" s="94"/>
      <c r="MBP57" s="94"/>
      <c r="MBQ57" s="94"/>
      <c r="MBR57" s="94"/>
      <c r="MBS57" s="94"/>
      <c r="MBT57" s="94"/>
      <c r="MBU57" s="94"/>
      <c r="MBV57" s="94"/>
      <c r="MBW57" s="94"/>
      <c r="MBX57" s="94"/>
      <c r="MBY57" s="94"/>
      <c r="MBZ57" s="94"/>
      <c r="MCA57" s="94"/>
      <c r="MCB57" s="94"/>
      <c r="MCC57" s="94"/>
      <c r="MCD57" s="94"/>
      <c r="MCE57" s="94"/>
      <c r="MCF57" s="94"/>
      <c r="MCG57" s="94"/>
      <c r="MCH57" s="94"/>
      <c r="MCI57" s="94"/>
      <c r="MCJ57" s="94"/>
      <c r="MCK57" s="94"/>
      <c r="MCL57" s="94"/>
      <c r="MCM57" s="94"/>
      <c r="MCN57" s="94"/>
      <c r="MCO57" s="94"/>
      <c r="MCP57" s="94"/>
      <c r="MCQ57" s="94"/>
      <c r="MCR57" s="94"/>
      <c r="MCS57" s="94"/>
      <c r="MCT57" s="94"/>
      <c r="MCU57" s="94"/>
      <c r="MCV57" s="94"/>
      <c r="MCW57" s="94"/>
      <c r="MCX57" s="94"/>
      <c r="MCY57" s="94"/>
      <c r="MCZ57" s="94"/>
      <c r="MDA57" s="94"/>
      <c r="MDB57" s="94"/>
      <c r="MDC57" s="94"/>
      <c r="MDD57" s="94"/>
      <c r="MDE57" s="94"/>
      <c r="MDF57" s="94"/>
      <c r="MDG57" s="94"/>
      <c r="MDH57" s="94"/>
      <c r="MDI57" s="94"/>
      <c r="MDJ57" s="94"/>
      <c r="MDK57" s="94"/>
      <c r="MDL57" s="94"/>
      <c r="MDM57" s="94"/>
      <c r="MDN57" s="94"/>
      <c r="MDO57" s="94"/>
      <c r="MDP57" s="94"/>
      <c r="MDQ57" s="94"/>
      <c r="MDR57" s="94"/>
      <c r="MDS57" s="94"/>
      <c r="MDT57" s="94"/>
      <c r="MDU57" s="94"/>
      <c r="MDV57" s="94"/>
      <c r="MDW57" s="94"/>
      <c r="MDX57" s="94"/>
      <c r="MDY57" s="94"/>
      <c r="MDZ57" s="94"/>
      <c r="MEA57" s="94"/>
      <c r="MEB57" s="94"/>
      <c r="MEC57" s="94"/>
      <c r="MED57" s="94"/>
      <c r="MEE57" s="94"/>
      <c r="MEF57" s="94"/>
      <c r="MEG57" s="94"/>
      <c r="MEH57" s="94"/>
      <c r="MEI57" s="94"/>
      <c r="MEJ57" s="94"/>
      <c r="MEK57" s="94"/>
      <c r="MEL57" s="94"/>
      <c r="MEM57" s="94"/>
      <c r="MEN57" s="94"/>
      <c r="MEO57" s="94"/>
      <c r="MEP57" s="94"/>
      <c r="MEQ57" s="94"/>
      <c r="MER57" s="94"/>
      <c r="MES57" s="94"/>
      <c r="MET57" s="94"/>
      <c r="MEU57" s="94"/>
      <c r="MEV57" s="94"/>
      <c r="MEW57" s="94"/>
      <c r="MEX57" s="94"/>
      <c r="MEY57" s="94"/>
      <c r="MEZ57" s="94"/>
      <c r="MFA57" s="94"/>
      <c r="MFB57" s="94"/>
      <c r="MFC57" s="94"/>
      <c r="MFD57" s="94"/>
      <c r="MFE57" s="94"/>
      <c r="MFF57" s="94"/>
      <c r="MFG57" s="94"/>
      <c r="MFH57" s="94"/>
      <c r="MFI57" s="94"/>
      <c r="MFJ57" s="94"/>
      <c r="MFK57" s="94"/>
      <c r="MFL57" s="94"/>
      <c r="MFM57" s="94"/>
      <c r="MFN57" s="94"/>
      <c r="MFO57" s="94"/>
      <c r="MFP57" s="94"/>
      <c r="MFQ57" s="94"/>
      <c r="MFR57" s="94"/>
      <c r="MFS57" s="94"/>
      <c r="MFT57" s="94"/>
      <c r="MFU57" s="94"/>
      <c r="MFV57" s="94"/>
      <c r="MFW57" s="94"/>
      <c r="MFX57" s="94"/>
      <c r="MFY57" s="94"/>
      <c r="MFZ57" s="94"/>
      <c r="MGA57" s="94"/>
      <c r="MGB57" s="94"/>
      <c r="MGC57" s="94"/>
      <c r="MGD57" s="94"/>
      <c r="MGE57" s="94"/>
      <c r="MGF57" s="94"/>
      <c r="MGG57" s="94"/>
      <c r="MGH57" s="94"/>
      <c r="MGI57" s="94"/>
      <c r="MGJ57" s="94"/>
      <c r="MGK57" s="94"/>
      <c r="MGL57" s="94"/>
      <c r="MGM57" s="94"/>
      <c r="MGN57" s="94"/>
      <c r="MGO57" s="94"/>
      <c r="MGP57" s="94"/>
      <c r="MGQ57" s="94"/>
      <c r="MGR57" s="94"/>
      <c r="MGS57" s="94"/>
      <c r="MGT57" s="94"/>
      <c r="MGU57" s="94"/>
      <c r="MGV57" s="94"/>
      <c r="MGW57" s="94"/>
      <c r="MGX57" s="94"/>
      <c r="MGY57" s="94"/>
      <c r="MGZ57" s="94"/>
      <c r="MHA57" s="94"/>
      <c r="MHB57" s="94"/>
      <c r="MHC57" s="94"/>
      <c r="MHD57" s="94"/>
      <c r="MHE57" s="94"/>
      <c r="MHF57" s="94"/>
      <c r="MHG57" s="94"/>
      <c r="MHH57" s="94"/>
      <c r="MHI57" s="94"/>
      <c r="MHJ57" s="94"/>
      <c r="MHK57" s="94"/>
      <c r="MHL57" s="94"/>
      <c r="MHM57" s="94"/>
      <c r="MHN57" s="94"/>
      <c r="MHO57" s="94"/>
      <c r="MHP57" s="94"/>
      <c r="MHQ57" s="94"/>
      <c r="MHR57" s="94"/>
      <c r="MHS57" s="94"/>
      <c r="MHT57" s="94"/>
      <c r="MHU57" s="94"/>
      <c r="MHV57" s="94"/>
      <c r="MHW57" s="94"/>
      <c r="MHX57" s="94"/>
      <c r="MHY57" s="94"/>
      <c r="MHZ57" s="94"/>
      <c r="MIA57" s="94"/>
      <c r="MIB57" s="94"/>
      <c r="MIC57" s="94"/>
      <c r="MID57" s="94"/>
      <c r="MIE57" s="94"/>
      <c r="MIF57" s="94"/>
      <c r="MIG57" s="94"/>
      <c r="MIH57" s="94"/>
      <c r="MII57" s="94"/>
      <c r="MIJ57" s="94"/>
      <c r="MIK57" s="94"/>
      <c r="MIL57" s="94"/>
      <c r="MIM57" s="94"/>
      <c r="MIN57" s="94"/>
      <c r="MIO57" s="94"/>
      <c r="MIP57" s="94"/>
      <c r="MIQ57" s="94"/>
      <c r="MIR57" s="94"/>
      <c r="MIS57" s="94"/>
      <c r="MIT57" s="94"/>
      <c r="MIU57" s="94"/>
      <c r="MIV57" s="94"/>
      <c r="MIW57" s="94"/>
      <c r="MIX57" s="94"/>
      <c r="MIY57" s="94"/>
      <c r="MIZ57" s="94"/>
      <c r="MJA57" s="94"/>
      <c r="MJB57" s="94"/>
      <c r="MJC57" s="94"/>
      <c r="MJD57" s="94"/>
      <c r="MJE57" s="94"/>
      <c r="MJF57" s="94"/>
      <c r="MJG57" s="94"/>
      <c r="MJH57" s="94"/>
      <c r="MJI57" s="94"/>
      <c r="MJJ57" s="94"/>
      <c r="MJK57" s="94"/>
      <c r="MJL57" s="94"/>
      <c r="MJM57" s="94"/>
      <c r="MJN57" s="94"/>
      <c r="MJO57" s="94"/>
      <c r="MJP57" s="94"/>
      <c r="MJQ57" s="94"/>
      <c r="MJR57" s="94"/>
      <c r="MJS57" s="94"/>
      <c r="MJT57" s="94"/>
      <c r="MJU57" s="94"/>
      <c r="MJV57" s="94"/>
      <c r="MJW57" s="94"/>
      <c r="MJX57" s="94"/>
      <c r="MJY57" s="94"/>
      <c r="MJZ57" s="94"/>
      <c r="MKA57" s="94"/>
      <c r="MKB57" s="94"/>
      <c r="MKC57" s="94"/>
      <c r="MKD57" s="94"/>
      <c r="MKE57" s="94"/>
      <c r="MKF57" s="94"/>
      <c r="MKG57" s="94"/>
      <c r="MKH57" s="94"/>
      <c r="MKI57" s="94"/>
      <c r="MKJ57" s="94"/>
      <c r="MKK57" s="94"/>
      <c r="MKL57" s="94"/>
      <c r="MKM57" s="94"/>
      <c r="MKN57" s="94"/>
      <c r="MKO57" s="94"/>
      <c r="MKP57" s="94"/>
      <c r="MKQ57" s="94"/>
      <c r="MKR57" s="94"/>
      <c r="MKS57" s="94"/>
      <c r="MKT57" s="94"/>
      <c r="MKU57" s="94"/>
      <c r="MKV57" s="94"/>
      <c r="MKW57" s="94"/>
      <c r="MKX57" s="94"/>
      <c r="MKY57" s="94"/>
      <c r="MKZ57" s="94"/>
      <c r="MLA57" s="94"/>
      <c r="MLB57" s="94"/>
      <c r="MLC57" s="94"/>
      <c r="MLD57" s="94"/>
      <c r="MLE57" s="94"/>
      <c r="MLF57" s="94"/>
      <c r="MLG57" s="94"/>
      <c r="MLH57" s="94"/>
      <c r="MLI57" s="94"/>
      <c r="MLJ57" s="94"/>
      <c r="MLK57" s="94"/>
      <c r="MLL57" s="94"/>
      <c r="MLM57" s="94"/>
      <c r="MLN57" s="94"/>
      <c r="MLO57" s="94"/>
      <c r="MLP57" s="94"/>
      <c r="MLQ57" s="94"/>
      <c r="MLR57" s="94"/>
      <c r="MLS57" s="94"/>
      <c r="MLT57" s="94"/>
      <c r="MLU57" s="94"/>
      <c r="MLV57" s="94"/>
      <c r="MLW57" s="94"/>
      <c r="MLX57" s="94"/>
      <c r="MLY57" s="94"/>
      <c r="MLZ57" s="94"/>
      <c r="MMA57" s="94"/>
      <c r="MMB57" s="94"/>
      <c r="MMC57" s="94"/>
      <c r="MMD57" s="94"/>
      <c r="MME57" s="94"/>
      <c r="MMF57" s="94"/>
      <c r="MMG57" s="94"/>
      <c r="MMH57" s="94"/>
      <c r="MMI57" s="94"/>
      <c r="MMJ57" s="94"/>
      <c r="MMK57" s="94"/>
      <c r="MML57" s="94"/>
      <c r="MMM57" s="94"/>
      <c r="MMN57" s="94"/>
      <c r="MMO57" s="94"/>
      <c r="MMP57" s="94"/>
      <c r="MMQ57" s="94"/>
      <c r="MMR57" s="94"/>
      <c r="MMS57" s="94"/>
      <c r="MMT57" s="94"/>
      <c r="MMU57" s="94"/>
      <c r="MMV57" s="94"/>
      <c r="MMW57" s="94"/>
      <c r="MMX57" s="94"/>
      <c r="MMY57" s="94"/>
      <c r="MMZ57" s="94"/>
      <c r="MNA57" s="94"/>
      <c r="MNB57" s="94"/>
      <c r="MNC57" s="94"/>
      <c r="MND57" s="94"/>
      <c r="MNE57" s="94"/>
      <c r="MNF57" s="94"/>
      <c r="MNG57" s="94"/>
      <c r="MNH57" s="94"/>
      <c r="MNI57" s="94"/>
      <c r="MNJ57" s="94"/>
      <c r="MNK57" s="94"/>
      <c r="MNL57" s="94"/>
      <c r="MNM57" s="94"/>
      <c r="MNN57" s="94"/>
      <c r="MNO57" s="94"/>
      <c r="MNP57" s="94"/>
      <c r="MNQ57" s="94"/>
      <c r="MNR57" s="94"/>
      <c r="MNS57" s="94"/>
      <c r="MNT57" s="94"/>
      <c r="MNU57" s="94"/>
      <c r="MNV57" s="94"/>
      <c r="MNW57" s="94"/>
      <c r="MNX57" s="94"/>
      <c r="MNY57" s="94"/>
      <c r="MNZ57" s="94"/>
      <c r="MOA57" s="94"/>
      <c r="MOB57" s="94"/>
      <c r="MOC57" s="94"/>
      <c r="MOD57" s="94"/>
      <c r="MOE57" s="94"/>
      <c r="MOF57" s="94"/>
      <c r="MOG57" s="94"/>
      <c r="MOH57" s="94"/>
      <c r="MOI57" s="94"/>
      <c r="MOJ57" s="94"/>
      <c r="MOK57" s="94"/>
      <c r="MOL57" s="94"/>
      <c r="MOM57" s="94"/>
      <c r="MON57" s="94"/>
      <c r="MOO57" s="94"/>
      <c r="MOP57" s="94"/>
      <c r="MOQ57" s="94"/>
      <c r="MOR57" s="94"/>
      <c r="MOS57" s="94"/>
      <c r="MOT57" s="94"/>
      <c r="MOU57" s="94"/>
      <c r="MOV57" s="94"/>
      <c r="MOW57" s="94"/>
      <c r="MOX57" s="94"/>
      <c r="MOY57" s="94"/>
      <c r="MOZ57" s="94"/>
      <c r="MPA57" s="94"/>
      <c r="MPB57" s="94"/>
      <c r="MPC57" s="94"/>
      <c r="MPD57" s="94"/>
      <c r="MPE57" s="94"/>
      <c r="MPF57" s="94"/>
      <c r="MPG57" s="94"/>
      <c r="MPH57" s="94"/>
      <c r="MPI57" s="94"/>
      <c r="MPJ57" s="94"/>
      <c r="MPK57" s="94"/>
      <c r="MPL57" s="94"/>
      <c r="MPM57" s="94"/>
      <c r="MPN57" s="94"/>
      <c r="MPO57" s="94"/>
      <c r="MPP57" s="94"/>
      <c r="MPQ57" s="94"/>
      <c r="MPR57" s="94"/>
      <c r="MPS57" s="94"/>
      <c r="MPT57" s="94"/>
      <c r="MPU57" s="94"/>
      <c r="MPV57" s="94"/>
      <c r="MPW57" s="94"/>
      <c r="MPX57" s="94"/>
      <c r="MPY57" s="94"/>
      <c r="MPZ57" s="94"/>
      <c r="MQA57" s="94"/>
      <c r="MQB57" s="94"/>
      <c r="MQC57" s="94"/>
      <c r="MQD57" s="94"/>
      <c r="MQE57" s="94"/>
      <c r="MQF57" s="94"/>
      <c r="MQG57" s="94"/>
      <c r="MQH57" s="94"/>
      <c r="MQI57" s="94"/>
      <c r="MQJ57" s="94"/>
      <c r="MQK57" s="94"/>
      <c r="MQL57" s="94"/>
      <c r="MQM57" s="94"/>
      <c r="MQN57" s="94"/>
      <c r="MQO57" s="94"/>
      <c r="MQP57" s="94"/>
      <c r="MQQ57" s="94"/>
      <c r="MQR57" s="94"/>
      <c r="MQS57" s="94"/>
      <c r="MQT57" s="94"/>
      <c r="MQU57" s="94"/>
      <c r="MQV57" s="94"/>
      <c r="MQW57" s="94"/>
      <c r="MQX57" s="94"/>
      <c r="MQY57" s="94"/>
      <c r="MQZ57" s="94"/>
      <c r="MRA57" s="94"/>
      <c r="MRB57" s="94"/>
      <c r="MRC57" s="94"/>
      <c r="MRD57" s="94"/>
      <c r="MRE57" s="94"/>
      <c r="MRF57" s="94"/>
      <c r="MRG57" s="94"/>
      <c r="MRH57" s="94"/>
      <c r="MRI57" s="94"/>
      <c r="MRJ57" s="94"/>
      <c r="MRK57" s="94"/>
      <c r="MRL57" s="94"/>
      <c r="MRM57" s="94"/>
      <c r="MRN57" s="94"/>
      <c r="MRO57" s="94"/>
      <c r="MRP57" s="94"/>
      <c r="MRQ57" s="94"/>
      <c r="MRR57" s="94"/>
      <c r="MRS57" s="94"/>
      <c r="MRT57" s="94"/>
      <c r="MRU57" s="94"/>
      <c r="MRV57" s="94"/>
      <c r="MRW57" s="94"/>
      <c r="MRX57" s="94"/>
      <c r="MRY57" s="94"/>
      <c r="MRZ57" s="94"/>
      <c r="MSA57" s="94"/>
      <c r="MSB57" s="94"/>
      <c r="MSC57" s="94"/>
      <c r="MSD57" s="94"/>
      <c r="MSE57" s="94"/>
      <c r="MSF57" s="94"/>
      <c r="MSG57" s="94"/>
      <c r="MSH57" s="94"/>
      <c r="MSI57" s="94"/>
      <c r="MSJ57" s="94"/>
      <c r="MSK57" s="94"/>
      <c r="MSL57" s="94"/>
      <c r="MSM57" s="94"/>
      <c r="MSN57" s="94"/>
      <c r="MSO57" s="94"/>
      <c r="MSP57" s="94"/>
      <c r="MSQ57" s="94"/>
      <c r="MSR57" s="94"/>
      <c r="MSS57" s="94"/>
      <c r="MST57" s="94"/>
      <c r="MSU57" s="94"/>
      <c r="MSV57" s="94"/>
      <c r="MSW57" s="94"/>
      <c r="MSX57" s="94"/>
      <c r="MSY57" s="94"/>
      <c r="MSZ57" s="94"/>
      <c r="MTA57" s="94"/>
      <c r="MTB57" s="94"/>
      <c r="MTC57" s="94"/>
      <c r="MTD57" s="94"/>
      <c r="MTE57" s="94"/>
      <c r="MTF57" s="94"/>
      <c r="MTG57" s="94"/>
      <c r="MTH57" s="94"/>
      <c r="MTI57" s="94"/>
      <c r="MTJ57" s="94"/>
      <c r="MTK57" s="94"/>
      <c r="MTL57" s="94"/>
      <c r="MTM57" s="94"/>
      <c r="MTN57" s="94"/>
      <c r="MTO57" s="94"/>
      <c r="MTP57" s="94"/>
      <c r="MTQ57" s="94"/>
      <c r="MTR57" s="94"/>
      <c r="MTS57" s="94"/>
      <c r="MTT57" s="94"/>
      <c r="MTU57" s="94"/>
      <c r="MTV57" s="94"/>
      <c r="MTW57" s="94"/>
      <c r="MTX57" s="94"/>
      <c r="MTY57" s="94"/>
      <c r="MTZ57" s="94"/>
      <c r="MUA57" s="94"/>
      <c r="MUB57" s="94"/>
      <c r="MUC57" s="94"/>
      <c r="MUD57" s="94"/>
      <c r="MUE57" s="94"/>
      <c r="MUF57" s="94"/>
      <c r="MUG57" s="94"/>
      <c r="MUH57" s="94"/>
      <c r="MUI57" s="94"/>
      <c r="MUJ57" s="94"/>
      <c r="MUK57" s="94"/>
      <c r="MUL57" s="94"/>
      <c r="MUM57" s="94"/>
      <c r="MUN57" s="94"/>
      <c r="MUO57" s="94"/>
      <c r="MUP57" s="94"/>
      <c r="MUQ57" s="94"/>
      <c r="MUR57" s="94"/>
      <c r="MUS57" s="94"/>
      <c r="MUT57" s="94"/>
      <c r="MUU57" s="94"/>
      <c r="MUV57" s="94"/>
      <c r="MUW57" s="94"/>
      <c r="MUX57" s="94"/>
      <c r="MUY57" s="94"/>
      <c r="MUZ57" s="94"/>
      <c r="MVA57" s="94"/>
      <c r="MVB57" s="94"/>
      <c r="MVC57" s="94"/>
      <c r="MVD57" s="94"/>
      <c r="MVE57" s="94"/>
      <c r="MVF57" s="94"/>
      <c r="MVG57" s="94"/>
      <c r="MVH57" s="94"/>
      <c r="MVI57" s="94"/>
      <c r="MVJ57" s="94"/>
      <c r="MVK57" s="94"/>
      <c r="MVL57" s="94"/>
      <c r="MVM57" s="94"/>
      <c r="MVN57" s="94"/>
      <c r="MVO57" s="94"/>
      <c r="MVP57" s="94"/>
      <c r="MVQ57" s="94"/>
      <c r="MVR57" s="94"/>
      <c r="MVS57" s="94"/>
      <c r="MVT57" s="94"/>
      <c r="MVU57" s="94"/>
      <c r="MVV57" s="94"/>
      <c r="MVW57" s="94"/>
      <c r="MVX57" s="94"/>
      <c r="MVY57" s="94"/>
      <c r="MVZ57" s="94"/>
      <c r="MWA57" s="94"/>
      <c r="MWB57" s="94"/>
      <c r="MWC57" s="94"/>
      <c r="MWD57" s="94"/>
      <c r="MWE57" s="94"/>
      <c r="MWF57" s="94"/>
      <c r="MWG57" s="94"/>
      <c r="MWH57" s="94"/>
      <c r="MWI57" s="94"/>
      <c r="MWJ57" s="94"/>
      <c r="MWK57" s="94"/>
      <c r="MWL57" s="94"/>
      <c r="MWM57" s="94"/>
      <c r="MWN57" s="94"/>
      <c r="MWO57" s="94"/>
      <c r="MWP57" s="94"/>
      <c r="MWQ57" s="94"/>
      <c r="MWR57" s="94"/>
      <c r="MWS57" s="94"/>
      <c r="MWT57" s="94"/>
      <c r="MWU57" s="94"/>
      <c r="MWV57" s="94"/>
      <c r="MWW57" s="94"/>
      <c r="MWX57" s="94"/>
      <c r="MWY57" s="94"/>
      <c r="MWZ57" s="94"/>
      <c r="MXA57" s="94"/>
      <c r="MXB57" s="94"/>
      <c r="MXC57" s="94"/>
      <c r="MXD57" s="94"/>
      <c r="MXE57" s="94"/>
      <c r="MXF57" s="94"/>
      <c r="MXG57" s="94"/>
      <c r="MXH57" s="94"/>
      <c r="MXI57" s="94"/>
      <c r="MXJ57" s="94"/>
      <c r="MXK57" s="94"/>
      <c r="MXL57" s="94"/>
      <c r="MXM57" s="94"/>
      <c r="MXN57" s="94"/>
      <c r="MXO57" s="94"/>
      <c r="MXP57" s="94"/>
      <c r="MXQ57" s="94"/>
      <c r="MXR57" s="94"/>
      <c r="MXS57" s="94"/>
      <c r="MXT57" s="94"/>
      <c r="MXU57" s="94"/>
      <c r="MXV57" s="94"/>
      <c r="MXW57" s="94"/>
      <c r="MXX57" s="94"/>
      <c r="MXY57" s="94"/>
      <c r="MXZ57" s="94"/>
      <c r="MYA57" s="94"/>
      <c r="MYB57" s="94"/>
      <c r="MYC57" s="94"/>
      <c r="MYD57" s="94"/>
      <c r="MYE57" s="94"/>
      <c r="MYF57" s="94"/>
      <c r="MYG57" s="94"/>
      <c r="MYH57" s="94"/>
      <c r="MYI57" s="94"/>
      <c r="MYJ57" s="94"/>
      <c r="MYK57" s="94"/>
      <c r="MYL57" s="94"/>
      <c r="MYM57" s="94"/>
      <c r="MYN57" s="94"/>
      <c r="MYO57" s="94"/>
      <c r="MYP57" s="94"/>
      <c r="MYQ57" s="94"/>
      <c r="MYR57" s="94"/>
      <c r="MYS57" s="94"/>
      <c r="MYT57" s="94"/>
      <c r="MYU57" s="94"/>
      <c r="MYV57" s="94"/>
      <c r="MYW57" s="94"/>
      <c r="MYX57" s="94"/>
      <c r="MYY57" s="94"/>
      <c r="MYZ57" s="94"/>
      <c r="MZA57" s="94"/>
      <c r="MZB57" s="94"/>
      <c r="MZC57" s="94"/>
      <c r="MZD57" s="94"/>
      <c r="MZE57" s="94"/>
      <c r="MZF57" s="94"/>
      <c r="MZG57" s="94"/>
      <c r="MZH57" s="94"/>
      <c r="MZI57" s="94"/>
      <c r="MZJ57" s="94"/>
      <c r="MZK57" s="94"/>
      <c r="MZL57" s="94"/>
      <c r="MZM57" s="94"/>
      <c r="MZN57" s="94"/>
      <c r="MZO57" s="94"/>
      <c r="MZP57" s="94"/>
      <c r="MZQ57" s="94"/>
      <c r="MZR57" s="94"/>
      <c r="MZS57" s="94"/>
      <c r="MZT57" s="94"/>
      <c r="MZU57" s="94"/>
      <c r="MZV57" s="94"/>
      <c r="MZW57" s="94"/>
      <c r="MZX57" s="94"/>
      <c r="MZY57" s="94"/>
      <c r="MZZ57" s="94"/>
      <c r="NAA57" s="94"/>
      <c r="NAB57" s="94"/>
      <c r="NAC57" s="94"/>
      <c r="NAD57" s="94"/>
      <c r="NAE57" s="94"/>
      <c r="NAF57" s="94"/>
      <c r="NAG57" s="94"/>
      <c r="NAH57" s="94"/>
      <c r="NAI57" s="94"/>
      <c r="NAJ57" s="94"/>
      <c r="NAK57" s="94"/>
      <c r="NAL57" s="94"/>
      <c r="NAM57" s="94"/>
      <c r="NAN57" s="94"/>
      <c r="NAO57" s="94"/>
      <c r="NAP57" s="94"/>
      <c r="NAQ57" s="94"/>
      <c r="NAR57" s="94"/>
      <c r="NAS57" s="94"/>
      <c r="NAT57" s="94"/>
      <c r="NAU57" s="94"/>
      <c r="NAV57" s="94"/>
      <c r="NAW57" s="94"/>
      <c r="NAX57" s="94"/>
      <c r="NAY57" s="94"/>
      <c r="NAZ57" s="94"/>
      <c r="NBA57" s="94"/>
      <c r="NBB57" s="94"/>
      <c r="NBC57" s="94"/>
      <c r="NBD57" s="94"/>
      <c r="NBE57" s="94"/>
      <c r="NBF57" s="94"/>
      <c r="NBG57" s="94"/>
      <c r="NBH57" s="94"/>
      <c r="NBI57" s="94"/>
      <c r="NBJ57" s="94"/>
      <c r="NBK57" s="94"/>
      <c r="NBL57" s="94"/>
      <c r="NBM57" s="94"/>
      <c r="NBN57" s="94"/>
      <c r="NBO57" s="94"/>
      <c r="NBP57" s="94"/>
      <c r="NBQ57" s="94"/>
      <c r="NBR57" s="94"/>
      <c r="NBS57" s="94"/>
      <c r="NBT57" s="94"/>
      <c r="NBU57" s="94"/>
      <c r="NBV57" s="94"/>
      <c r="NBW57" s="94"/>
      <c r="NBX57" s="94"/>
      <c r="NBY57" s="94"/>
      <c r="NBZ57" s="94"/>
      <c r="NCA57" s="94"/>
      <c r="NCB57" s="94"/>
      <c r="NCC57" s="94"/>
      <c r="NCD57" s="94"/>
      <c r="NCE57" s="94"/>
      <c r="NCF57" s="94"/>
      <c r="NCG57" s="94"/>
      <c r="NCH57" s="94"/>
      <c r="NCI57" s="94"/>
      <c r="NCJ57" s="94"/>
      <c r="NCK57" s="94"/>
      <c r="NCL57" s="94"/>
      <c r="NCM57" s="94"/>
      <c r="NCN57" s="94"/>
      <c r="NCO57" s="94"/>
      <c r="NCP57" s="94"/>
      <c r="NCQ57" s="94"/>
      <c r="NCR57" s="94"/>
      <c r="NCS57" s="94"/>
      <c r="NCT57" s="94"/>
      <c r="NCU57" s="94"/>
      <c r="NCV57" s="94"/>
      <c r="NCW57" s="94"/>
      <c r="NCX57" s="94"/>
      <c r="NCY57" s="94"/>
      <c r="NCZ57" s="94"/>
      <c r="NDA57" s="94"/>
      <c r="NDB57" s="94"/>
      <c r="NDC57" s="94"/>
      <c r="NDD57" s="94"/>
      <c r="NDE57" s="94"/>
      <c r="NDF57" s="94"/>
      <c r="NDG57" s="94"/>
      <c r="NDH57" s="94"/>
      <c r="NDI57" s="94"/>
      <c r="NDJ57" s="94"/>
      <c r="NDK57" s="94"/>
      <c r="NDL57" s="94"/>
      <c r="NDM57" s="94"/>
      <c r="NDN57" s="94"/>
      <c r="NDO57" s="94"/>
      <c r="NDP57" s="94"/>
      <c r="NDQ57" s="94"/>
      <c r="NDR57" s="94"/>
      <c r="NDS57" s="94"/>
      <c r="NDT57" s="94"/>
      <c r="NDU57" s="94"/>
      <c r="NDV57" s="94"/>
      <c r="NDW57" s="94"/>
      <c r="NDX57" s="94"/>
      <c r="NDY57" s="94"/>
      <c r="NDZ57" s="94"/>
      <c r="NEA57" s="94"/>
      <c r="NEB57" s="94"/>
      <c r="NEC57" s="94"/>
      <c r="NED57" s="94"/>
      <c r="NEE57" s="94"/>
      <c r="NEF57" s="94"/>
      <c r="NEG57" s="94"/>
      <c r="NEH57" s="94"/>
      <c r="NEI57" s="94"/>
      <c r="NEJ57" s="94"/>
      <c r="NEK57" s="94"/>
      <c r="NEL57" s="94"/>
      <c r="NEM57" s="94"/>
      <c r="NEN57" s="94"/>
      <c r="NEO57" s="94"/>
      <c r="NEP57" s="94"/>
      <c r="NEQ57" s="94"/>
      <c r="NER57" s="94"/>
      <c r="NES57" s="94"/>
      <c r="NET57" s="94"/>
      <c r="NEU57" s="94"/>
      <c r="NEV57" s="94"/>
      <c r="NEW57" s="94"/>
      <c r="NEX57" s="94"/>
      <c r="NEY57" s="94"/>
      <c r="NEZ57" s="94"/>
      <c r="NFA57" s="94"/>
      <c r="NFB57" s="94"/>
      <c r="NFC57" s="94"/>
      <c r="NFD57" s="94"/>
      <c r="NFE57" s="94"/>
      <c r="NFF57" s="94"/>
      <c r="NFG57" s="94"/>
      <c r="NFH57" s="94"/>
      <c r="NFI57" s="94"/>
      <c r="NFJ57" s="94"/>
      <c r="NFK57" s="94"/>
      <c r="NFL57" s="94"/>
      <c r="NFM57" s="94"/>
      <c r="NFN57" s="94"/>
      <c r="NFO57" s="94"/>
      <c r="NFP57" s="94"/>
      <c r="NFQ57" s="94"/>
      <c r="NFR57" s="94"/>
      <c r="NFS57" s="94"/>
      <c r="NFT57" s="94"/>
      <c r="NFU57" s="94"/>
      <c r="NFV57" s="94"/>
      <c r="NFW57" s="94"/>
      <c r="NFX57" s="94"/>
      <c r="NFY57" s="94"/>
      <c r="NFZ57" s="94"/>
      <c r="NGA57" s="94"/>
      <c r="NGB57" s="94"/>
      <c r="NGC57" s="94"/>
      <c r="NGD57" s="94"/>
      <c r="NGE57" s="94"/>
      <c r="NGF57" s="94"/>
      <c r="NGG57" s="94"/>
      <c r="NGH57" s="94"/>
      <c r="NGI57" s="94"/>
      <c r="NGJ57" s="94"/>
      <c r="NGK57" s="94"/>
      <c r="NGL57" s="94"/>
      <c r="NGM57" s="94"/>
      <c r="NGN57" s="94"/>
      <c r="NGO57" s="94"/>
      <c r="NGP57" s="94"/>
      <c r="NGQ57" s="94"/>
      <c r="NGR57" s="94"/>
      <c r="NGS57" s="94"/>
      <c r="NGT57" s="94"/>
      <c r="NGU57" s="94"/>
      <c r="NGV57" s="94"/>
      <c r="NGW57" s="94"/>
      <c r="NGX57" s="94"/>
      <c r="NGY57" s="94"/>
      <c r="NGZ57" s="94"/>
      <c r="NHA57" s="94"/>
      <c r="NHB57" s="94"/>
      <c r="NHC57" s="94"/>
      <c r="NHD57" s="94"/>
      <c r="NHE57" s="94"/>
      <c r="NHF57" s="94"/>
      <c r="NHG57" s="94"/>
      <c r="NHH57" s="94"/>
      <c r="NHI57" s="94"/>
      <c r="NHJ57" s="94"/>
      <c r="NHK57" s="94"/>
      <c r="NHL57" s="94"/>
      <c r="NHM57" s="94"/>
      <c r="NHN57" s="94"/>
      <c r="NHO57" s="94"/>
      <c r="NHP57" s="94"/>
      <c r="NHQ57" s="94"/>
      <c r="NHR57" s="94"/>
      <c r="NHS57" s="94"/>
      <c r="NHT57" s="94"/>
      <c r="NHU57" s="94"/>
      <c r="NHV57" s="94"/>
      <c r="NHW57" s="94"/>
      <c r="NHX57" s="94"/>
      <c r="NHY57" s="94"/>
      <c r="NHZ57" s="94"/>
      <c r="NIA57" s="94"/>
      <c r="NIB57" s="94"/>
      <c r="NIC57" s="94"/>
      <c r="NID57" s="94"/>
      <c r="NIE57" s="94"/>
      <c r="NIF57" s="94"/>
      <c r="NIG57" s="94"/>
      <c r="NIH57" s="94"/>
      <c r="NII57" s="94"/>
      <c r="NIJ57" s="94"/>
      <c r="NIK57" s="94"/>
      <c r="NIL57" s="94"/>
      <c r="NIM57" s="94"/>
      <c r="NIN57" s="94"/>
      <c r="NIO57" s="94"/>
      <c r="NIP57" s="94"/>
      <c r="NIQ57" s="94"/>
      <c r="NIR57" s="94"/>
      <c r="NIS57" s="94"/>
      <c r="NIT57" s="94"/>
      <c r="NIU57" s="94"/>
      <c r="NIV57" s="94"/>
      <c r="NIW57" s="94"/>
      <c r="NIX57" s="94"/>
      <c r="NIY57" s="94"/>
      <c r="NIZ57" s="94"/>
      <c r="NJA57" s="94"/>
      <c r="NJB57" s="94"/>
      <c r="NJC57" s="94"/>
      <c r="NJD57" s="94"/>
      <c r="NJE57" s="94"/>
      <c r="NJF57" s="94"/>
      <c r="NJG57" s="94"/>
      <c r="NJH57" s="94"/>
      <c r="NJI57" s="94"/>
      <c r="NJJ57" s="94"/>
      <c r="NJK57" s="94"/>
      <c r="NJL57" s="94"/>
      <c r="NJM57" s="94"/>
      <c r="NJN57" s="94"/>
      <c r="NJO57" s="94"/>
      <c r="NJP57" s="94"/>
      <c r="NJQ57" s="94"/>
      <c r="NJR57" s="94"/>
      <c r="NJS57" s="94"/>
      <c r="NJT57" s="94"/>
      <c r="NJU57" s="94"/>
      <c r="NJV57" s="94"/>
      <c r="NJW57" s="94"/>
      <c r="NJX57" s="94"/>
      <c r="NJY57" s="94"/>
      <c r="NJZ57" s="94"/>
      <c r="NKA57" s="94"/>
      <c r="NKB57" s="94"/>
      <c r="NKC57" s="94"/>
      <c r="NKD57" s="94"/>
      <c r="NKE57" s="94"/>
      <c r="NKF57" s="94"/>
      <c r="NKG57" s="94"/>
      <c r="NKH57" s="94"/>
      <c r="NKI57" s="94"/>
      <c r="NKJ57" s="94"/>
      <c r="NKK57" s="94"/>
      <c r="NKL57" s="94"/>
      <c r="NKM57" s="94"/>
      <c r="NKN57" s="94"/>
      <c r="NKO57" s="94"/>
      <c r="NKP57" s="94"/>
      <c r="NKQ57" s="94"/>
      <c r="NKR57" s="94"/>
      <c r="NKS57" s="94"/>
      <c r="NKT57" s="94"/>
      <c r="NKU57" s="94"/>
      <c r="NKV57" s="94"/>
      <c r="NKW57" s="94"/>
      <c r="NKX57" s="94"/>
      <c r="NKY57" s="94"/>
      <c r="NKZ57" s="94"/>
      <c r="NLA57" s="94"/>
      <c r="NLB57" s="94"/>
      <c r="NLC57" s="94"/>
      <c r="NLD57" s="94"/>
      <c r="NLE57" s="94"/>
      <c r="NLF57" s="94"/>
      <c r="NLG57" s="94"/>
      <c r="NLH57" s="94"/>
      <c r="NLI57" s="94"/>
      <c r="NLJ57" s="94"/>
      <c r="NLK57" s="94"/>
      <c r="NLL57" s="94"/>
      <c r="NLM57" s="94"/>
      <c r="NLN57" s="94"/>
      <c r="NLO57" s="94"/>
      <c r="NLP57" s="94"/>
      <c r="NLQ57" s="94"/>
      <c r="NLR57" s="94"/>
      <c r="NLS57" s="94"/>
      <c r="NLT57" s="94"/>
      <c r="NLU57" s="94"/>
      <c r="NLV57" s="94"/>
      <c r="NLW57" s="94"/>
      <c r="NLX57" s="94"/>
      <c r="NLY57" s="94"/>
      <c r="NLZ57" s="94"/>
      <c r="NMA57" s="94"/>
      <c r="NMB57" s="94"/>
      <c r="NMC57" s="94"/>
      <c r="NMD57" s="94"/>
      <c r="NME57" s="94"/>
      <c r="NMF57" s="94"/>
      <c r="NMG57" s="94"/>
      <c r="NMH57" s="94"/>
      <c r="NMI57" s="94"/>
      <c r="NMJ57" s="94"/>
      <c r="NMK57" s="94"/>
      <c r="NML57" s="94"/>
      <c r="NMM57" s="94"/>
      <c r="NMN57" s="94"/>
      <c r="NMO57" s="94"/>
      <c r="NMP57" s="94"/>
      <c r="NMQ57" s="94"/>
      <c r="NMR57" s="94"/>
      <c r="NMS57" s="94"/>
      <c r="NMT57" s="94"/>
      <c r="NMU57" s="94"/>
      <c r="NMV57" s="94"/>
      <c r="NMW57" s="94"/>
      <c r="NMX57" s="94"/>
      <c r="NMY57" s="94"/>
      <c r="NMZ57" s="94"/>
      <c r="NNA57" s="94"/>
      <c r="NNB57" s="94"/>
      <c r="NNC57" s="94"/>
      <c r="NND57" s="94"/>
      <c r="NNE57" s="94"/>
      <c r="NNF57" s="94"/>
      <c r="NNG57" s="94"/>
      <c r="NNH57" s="94"/>
      <c r="NNI57" s="94"/>
      <c r="NNJ57" s="94"/>
      <c r="NNK57" s="94"/>
      <c r="NNL57" s="94"/>
      <c r="NNM57" s="94"/>
      <c r="NNN57" s="94"/>
      <c r="NNO57" s="94"/>
      <c r="NNP57" s="94"/>
      <c r="NNQ57" s="94"/>
      <c r="NNR57" s="94"/>
      <c r="NNS57" s="94"/>
      <c r="NNT57" s="94"/>
      <c r="NNU57" s="94"/>
      <c r="NNV57" s="94"/>
      <c r="NNW57" s="94"/>
      <c r="NNX57" s="94"/>
      <c r="NNY57" s="94"/>
      <c r="NNZ57" s="94"/>
      <c r="NOA57" s="94"/>
      <c r="NOB57" s="94"/>
      <c r="NOC57" s="94"/>
      <c r="NOD57" s="94"/>
      <c r="NOE57" s="94"/>
      <c r="NOF57" s="94"/>
      <c r="NOG57" s="94"/>
      <c r="NOH57" s="94"/>
      <c r="NOI57" s="94"/>
      <c r="NOJ57" s="94"/>
      <c r="NOK57" s="94"/>
      <c r="NOL57" s="94"/>
      <c r="NOM57" s="94"/>
      <c r="NON57" s="94"/>
      <c r="NOO57" s="94"/>
      <c r="NOP57" s="94"/>
      <c r="NOQ57" s="94"/>
      <c r="NOR57" s="94"/>
      <c r="NOS57" s="94"/>
      <c r="NOT57" s="94"/>
      <c r="NOU57" s="94"/>
      <c r="NOV57" s="94"/>
      <c r="NOW57" s="94"/>
      <c r="NOX57" s="94"/>
      <c r="NOY57" s="94"/>
      <c r="NOZ57" s="94"/>
      <c r="NPA57" s="94"/>
      <c r="NPB57" s="94"/>
      <c r="NPC57" s="94"/>
      <c r="NPD57" s="94"/>
      <c r="NPE57" s="94"/>
      <c r="NPF57" s="94"/>
      <c r="NPG57" s="94"/>
      <c r="NPH57" s="94"/>
      <c r="NPI57" s="94"/>
      <c r="NPJ57" s="94"/>
      <c r="NPK57" s="94"/>
      <c r="NPL57" s="94"/>
      <c r="NPM57" s="94"/>
      <c r="NPN57" s="94"/>
      <c r="NPO57" s="94"/>
      <c r="NPP57" s="94"/>
      <c r="NPQ57" s="94"/>
      <c r="NPR57" s="94"/>
      <c r="NPS57" s="94"/>
      <c r="NPT57" s="94"/>
      <c r="NPU57" s="94"/>
      <c r="NPV57" s="94"/>
      <c r="NPW57" s="94"/>
      <c r="NPX57" s="94"/>
      <c r="NPY57" s="94"/>
      <c r="NPZ57" s="94"/>
      <c r="NQA57" s="94"/>
      <c r="NQB57" s="94"/>
      <c r="NQC57" s="94"/>
      <c r="NQD57" s="94"/>
      <c r="NQE57" s="94"/>
      <c r="NQF57" s="94"/>
      <c r="NQG57" s="94"/>
      <c r="NQH57" s="94"/>
      <c r="NQI57" s="94"/>
      <c r="NQJ57" s="94"/>
      <c r="NQK57" s="94"/>
      <c r="NQL57" s="94"/>
      <c r="NQM57" s="94"/>
      <c r="NQN57" s="94"/>
      <c r="NQO57" s="94"/>
      <c r="NQP57" s="94"/>
      <c r="NQQ57" s="94"/>
      <c r="NQR57" s="94"/>
      <c r="NQS57" s="94"/>
      <c r="NQT57" s="94"/>
      <c r="NQU57" s="94"/>
      <c r="NQV57" s="94"/>
      <c r="NQW57" s="94"/>
      <c r="NQX57" s="94"/>
      <c r="NQY57" s="94"/>
      <c r="NQZ57" s="94"/>
      <c r="NRA57" s="94"/>
      <c r="NRB57" s="94"/>
      <c r="NRC57" s="94"/>
      <c r="NRD57" s="94"/>
      <c r="NRE57" s="94"/>
      <c r="NRF57" s="94"/>
      <c r="NRG57" s="94"/>
      <c r="NRH57" s="94"/>
      <c r="NRI57" s="94"/>
      <c r="NRJ57" s="94"/>
      <c r="NRK57" s="94"/>
      <c r="NRL57" s="94"/>
      <c r="NRM57" s="94"/>
      <c r="NRN57" s="94"/>
      <c r="NRO57" s="94"/>
      <c r="NRP57" s="94"/>
      <c r="NRQ57" s="94"/>
      <c r="NRR57" s="94"/>
      <c r="NRS57" s="94"/>
      <c r="NRT57" s="94"/>
      <c r="NRU57" s="94"/>
      <c r="NRV57" s="94"/>
      <c r="NRW57" s="94"/>
      <c r="NRX57" s="94"/>
      <c r="NRY57" s="94"/>
      <c r="NRZ57" s="94"/>
      <c r="NSA57" s="94"/>
      <c r="NSB57" s="94"/>
      <c r="NSC57" s="94"/>
      <c r="NSD57" s="94"/>
      <c r="NSE57" s="94"/>
      <c r="NSF57" s="94"/>
      <c r="NSG57" s="94"/>
      <c r="NSH57" s="94"/>
      <c r="NSI57" s="94"/>
      <c r="NSJ57" s="94"/>
      <c r="NSK57" s="94"/>
      <c r="NSL57" s="94"/>
      <c r="NSM57" s="94"/>
      <c r="NSN57" s="94"/>
      <c r="NSO57" s="94"/>
      <c r="NSP57" s="94"/>
      <c r="NSQ57" s="94"/>
      <c r="NSR57" s="94"/>
      <c r="NSS57" s="94"/>
      <c r="NST57" s="94"/>
      <c r="NSU57" s="94"/>
      <c r="NSV57" s="94"/>
      <c r="NSW57" s="94"/>
      <c r="NSX57" s="94"/>
      <c r="NSY57" s="94"/>
      <c r="NSZ57" s="94"/>
      <c r="NTA57" s="94"/>
      <c r="NTB57" s="94"/>
      <c r="NTC57" s="94"/>
      <c r="NTD57" s="94"/>
      <c r="NTE57" s="94"/>
      <c r="NTF57" s="94"/>
      <c r="NTG57" s="94"/>
      <c r="NTH57" s="94"/>
      <c r="NTI57" s="94"/>
      <c r="NTJ57" s="94"/>
      <c r="NTK57" s="94"/>
      <c r="NTL57" s="94"/>
      <c r="NTM57" s="94"/>
      <c r="NTN57" s="94"/>
      <c r="NTO57" s="94"/>
      <c r="NTP57" s="94"/>
      <c r="NTQ57" s="94"/>
      <c r="NTR57" s="94"/>
      <c r="NTS57" s="94"/>
      <c r="NTT57" s="94"/>
      <c r="NTU57" s="94"/>
      <c r="NTV57" s="94"/>
      <c r="NTW57" s="94"/>
      <c r="NTX57" s="94"/>
      <c r="NTY57" s="94"/>
      <c r="NTZ57" s="94"/>
      <c r="NUA57" s="94"/>
      <c r="NUB57" s="94"/>
      <c r="NUC57" s="94"/>
      <c r="NUD57" s="94"/>
      <c r="NUE57" s="94"/>
      <c r="NUF57" s="94"/>
      <c r="NUG57" s="94"/>
      <c r="NUH57" s="94"/>
      <c r="NUI57" s="94"/>
      <c r="NUJ57" s="94"/>
      <c r="NUK57" s="94"/>
      <c r="NUL57" s="94"/>
      <c r="NUM57" s="94"/>
      <c r="NUN57" s="94"/>
      <c r="NUO57" s="94"/>
      <c r="NUP57" s="94"/>
      <c r="NUQ57" s="94"/>
      <c r="NUR57" s="94"/>
      <c r="NUS57" s="94"/>
      <c r="NUT57" s="94"/>
      <c r="NUU57" s="94"/>
      <c r="NUV57" s="94"/>
      <c r="NUW57" s="94"/>
      <c r="NUX57" s="94"/>
      <c r="NUY57" s="94"/>
      <c r="NUZ57" s="94"/>
      <c r="NVA57" s="94"/>
      <c r="NVB57" s="94"/>
      <c r="NVC57" s="94"/>
      <c r="NVD57" s="94"/>
      <c r="NVE57" s="94"/>
      <c r="NVF57" s="94"/>
      <c r="NVG57" s="94"/>
      <c r="NVH57" s="94"/>
      <c r="NVI57" s="94"/>
      <c r="NVJ57" s="94"/>
      <c r="NVK57" s="94"/>
      <c r="NVL57" s="94"/>
      <c r="NVM57" s="94"/>
      <c r="NVN57" s="94"/>
      <c r="NVO57" s="94"/>
      <c r="NVP57" s="94"/>
      <c r="NVQ57" s="94"/>
      <c r="NVR57" s="94"/>
      <c r="NVS57" s="94"/>
      <c r="NVT57" s="94"/>
      <c r="NVU57" s="94"/>
      <c r="NVV57" s="94"/>
      <c r="NVW57" s="94"/>
      <c r="NVX57" s="94"/>
      <c r="NVY57" s="94"/>
      <c r="NVZ57" s="94"/>
      <c r="NWA57" s="94"/>
      <c r="NWB57" s="94"/>
      <c r="NWC57" s="94"/>
      <c r="NWD57" s="94"/>
      <c r="NWE57" s="94"/>
      <c r="NWF57" s="94"/>
      <c r="NWG57" s="94"/>
      <c r="NWH57" s="94"/>
      <c r="NWI57" s="94"/>
      <c r="NWJ57" s="94"/>
      <c r="NWK57" s="94"/>
      <c r="NWL57" s="94"/>
      <c r="NWM57" s="94"/>
      <c r="NWN57" s="94"/>
      <c r="NWO57" s="94"/>
      <c r="NWP57" s="94"/>
      <c r="NWQ57" s="94"/>
      <c r="NWR57" s="94"/>
      <c r="NWS57" s="94"/>
      <c r="NWT57" s="94"/>
      <c r="NWU57" s="94"/>
      <c r="NWV57" s="94"/>
      <c r="NWW57" s="94"/>
      <c r="NWX57" s="94"/>
      <c r="NWY57" s="94"/>
      <c r="NWZ57" s="94"/>
      <c r="NXA57" s="94"/>
      <c r="NXB57" s="94"/>
      <c r="NXC57" s="94"/>
      <c r="NXD57" s="94"/>
      <c r="NXE57" s="94"/>
      <c r="NXF57" s="94"/>
      <c r="NXG57" s="94"/>
      <c r="NXH57" s="94"/>
      <c r="NXI57" s="94"/>
      <c r="NXJ57" s="94"/>
      <c r="NXK57" s="94"/>
      <c r="NXL57" s="94"/>
      <c r="NXM57" s="94"/>
      <c r="NXN57" s="94"/>
      <c r="NXO57" s="94"/>
      <c r="NXP57" s="94"/>
      <c r="NXQ57" s="94"/>
      <c r="NXR57" s="94"/>
      <c r="NXS57" s="94"/>
      <c r="NXT57" s="94"/>
      <c r="NXU57" s="94"/>
      <c r="NXV57" s="94"/>
      <c r="NXW57" s="94"/>
      <c r="NXX57" s="94"/>
      <c r="NXY57" s="94"/>
      <c r="NXZ57" s="94"/>
      <c r="NYA57" s="94"/>
      <c r="NYB57" s="94"/>
      <c r="NYC57" s="94"/>
      <c r="NYD57" s="94"/>
      <c r="NYE57" s="94"/>
      <c r="NYF57" s="94"/>
      <c r="NYG57" s="94"/>
      <c r="NYH57" s="94"/>
      <c r="NYI57" s="94"/>
      <c r="NYJ57" s="94"/>
      <c r="NYK57" s="94"/>
      <c r="NYL57" s="94"/>
      <c r="NYM57" s="94"/>
      <c r="NYN57" s="94"/>
      <c r="NYO57" s="94"/>
      <c r="NYP57" s="94"/>
      <c r="NYQ57" s="94"/>
      <c r="NYR57" s="94"/>
      <c r="NYS57" s="94"/>
      <c r="NYT57" s="94"/>
      <c r="NYU57" s="94"/>
      <c r="NYV57" s="94"/>
      <c r="NYW57" s="94"/>
      <c r="NYX57" s="94"/>
      <c r="NYY57" s="94"/>
      <c r="NYZ57" s="94"/>
      <c r="NZA57" s="94"/>
      <c r="NZB57" s="94"/>
      <c r="NZC57" s="94"/>
      <c r="NZD57" s="94"/>
      <c r="NZE57" s="94"/>
      <c r="NZF57" s="94"/>
      <c r="NZG57" s="94"/>
      <c r="NZH57" s="94"/>
      <c r="NZI57" s="94"/>
      <c r="NZJ57" s="94"/>
      <c r="NZK57" s="94"/>
      <c r="NZL57" s="94"/>
      <c r="NZM57" s="94"/>
      <c r="NZN57" s="94"/>
      <c r="NZO57" s="94"/>
      <c r="NZP57" s="94"/>
      <c r="NZQ57" s="94"/>
      <c r="NZR57" s="94"/>
      <c r="NZS57" s="94"/>
      <c r="NZT57" s="94"/>
      <c r="NZU57" s="94"/>
      <c r="NZV57" s="94"/>
      <c r="NZW57" s="94"/>
      <c r="NZX57" s="94"/>
      <c r="NZY57" s="94"/>
      <c r="NZZ57" s="94"/>
      <c r="OAA57" s="94"/>
      <c r="OAB57" s="94"/>
      <c r="OAC57" s="94"/>
      <c r="OAD57" s="94"/>
      <c r="OAE57" s="94"/>
      <c r="OAF57" s="94"/>
      <c r="OAG57" s="94"/>
      <c r="OAH57" s="94"/>
      <c r="OAI57" s="94"/>
      <c r="OAJ57" s="94"/>
      <c r="OAK57" s="94"/>
      <c r="OAL57" s="94"/>
      <c r="OAM57" s="94"/>
      <c r="OAN57" s="94"/>
      <c r="OAO57" s="94"/>
      <c r="OAP57" s="94"/>
      <c r="OAQ57" s="94"/>
      <c r="OAR57" s="94"/>
      <c r="OAS57" s="94"/>
      <c r="OAT57" s="94"/>
      <c r="OAU57" s="94"/>
      <c r="OAV57" s="94"/>
      <c r="OAW57" s="94"/>
      <c r="OAX57" s="94"/>
      <c r="OAY57" s="94"/>
      <c r="OAZ57" s="94"/>
      <c r="OBA57" s="94"/>
      <c r="OBB57" s="94"/>
      <c r="OBC57" s="94"/>
      <c r="OBD57" s="94"/>
      <c r="OBE57" s="94"/>
      <c r="OBF57" s="94"/>
      <c r="OBG57" s="94"/>
      <c r="OBH57" s="94"/>
      <c r="OBI57" s="94"/>
      <c r="OBJ57" s="94"/>
      <c r="OBK57" s="94"/>
      <c r="OBL57" s="94"/>
      <c r="OBM57" s="94"/>
      <c r="OBN57" s="94"/>
      <c r="OBO57" s="94"/>
      <c r="OBP57" s="94"/>
      <c r="OBQ57" s="94"/>
      <c r="OBR57" s="94"/>
      <c r="OBS57" s="94"/>
      <c r="OBT57" s="94"/>
      <c r="OBU57" s="94"/>
      <c r="OBV57" s="94"/>
      <c r="OBW57" s="94"/>
      <c r="OBX57" s="94"/>
      <c r="OBY57" s="94"/>
      <c r="OBZ57" s="94"/>
      <c r="OCA57" s="94"/>
      <c r="OCB57" s="94"/>
      <c r="OCC57" s="94"/>
      <c r="OCD57" s="94"/>
      <c r="OCE57" s="94"/>
      <c r="OCF57" s="94"/>
      <c r="OCG57" s="94"/>
      <c r="OCH57" s="94"/>
      <c r="OCI57" s="94"/>
      <c r="OCJ57" s="94"/>
      <c r="OCK57" s="94"/>
      <c r="OCL57" s="94"/>
      <c r="OCM57" s="94"/>
      <c r="OCN57" s="94"/>
      <c r="OCO57" s="94"/>
      <c r="OCP57" s="94"/>
      <c r="OCQ57" s="94"/>
      <c r="OCR57" s="94"/>
      <c r="OCS57" s="94"/>
      <c r="OCT57" s="94"/>
      <c r="OCU57" s="94"/>
      <c r="OCV57" s="94"/>
      <c r="OCW57" s="94"/>
      <c r="OCX57" s="94"/>
      <c r="OCY57" s="94"/>
      <c r="OCZ57" s="94"/>
      <c r="ODA57" s="94"/>
      <c r="ODB57" s="94"/>
      <c r="ODC57" s="94"/>
      <c r="ODD57" s="94"/>
      <c r="ODE57" s="94"/>
      <c r="ODF57" s="94"/>
      <c r="ODG57" s="94"/>
      <c r="ODH57" s="94"/>
      <c r="ODI57" s="94"/>
      <c r="ODJ57" s="94"/>
      <c r="ODK57" s="94"/>
      <c r="ODL57" s="94"/>
      <c r="ODM57" s="94"/>
      <c r="ODN57" s="94"/>
      <c r="ODO57" s="94"/>
      <c r="ODP57" s="94"/>
      <c r="ODQ57" s="94"/>
      <c r="ODR57" s="94"/>
      <c r="ODS57" s="94"/>
      <c r="ODT57" s="94"/>
      <c r="ODU57" s="94"/>
      <c r="ODV57" s="94"/>
      <c r="ODW57" s="94"/>
      <c r="ODX57" s="94"/>
      <c r="ODY57" s="94"/>
      <c r="ODZ57" s="94"/>
      <c r="OEA57" s="94"/>
      <c r="OEB57" s="94"/>
      <c r="OEC57" s="94"/>
      <c r="OED57" s="94"/>
      <c r="OEE57" s="94"/>
      <c r="OEF57" s="94"/>
      <c r="OEG57" s="94"/>
      <c r="OEH57" s="94"/>
      <c r="OEI57" s="94"/>
      <c r="OEJ57" s="94"/>
      <c r="OEK57" s="94"/>
      <c r="OEL57" s="94"/>
      <c r="OEM57" s="94"/>
      <c r="OEN57" s="94"/>
      <c r="OEO57" s="94"/>
      <c r="OEP57" s="94"/>
      <c r="OEQ57" s="94"/>
      <c r="OER57" s="94"/>
      <c r="OES57" s="94"/>
      <c r="OET57" s="94"/>
      <c r="OEU57" s="94"/>
      <c r="OEV57" s="94"/>
      <c r="OEW57" s="94"/>
      <c r="OEX57" s="94"/>
      <c r="OEY57" s="94"/>
      <c r="OEZ57" s="94"/>
      <c r="OFA57" s="94"/>
      <c r="OFB57" s="94"/>
      <c r="OFC57" s="94"/>
      <c r="OFD57" s="94"/>
      <c r="OFE57" s="94"/>
      <c r="OFF57" s="94"/>
      <c r="OFG57" s="94"/>
      <c r="OFH57" s="94"/>
      <c r="OFI57" s="94"/>
      <c r="OFJ57" s="94"/>
      <c r="OFK57" s="94"/>
      <c r="OFL57" s="94"/>
      <c r="OFM57" s="94"/>
      <c r="OFN57" s="94"/>
      <c r="OFO57" s="94"/>
      <c r="OFP57" s="94"/>
      <c r="OFQ57" s="94"/>
      <c r="OFR57" s="94"/>
      <c r="OFS57" s="94"/>
      <c r="OFT57" s="94"/>
      <c r="OFU57" s="94"/>
      <c r="OFV57" s="94"/>
      <c r="OFW57" s="94"/>
      <c r="OFX57" s="94"/>
      <c r="OFY57" s="94"/>
      <c r="OFZ57" s="94"/>
      <c r="OGA57" s="94"/>
      <c r="OGB57" s="94"/>
      <c r="OGC57" s="94"/>
      <c r="OGD57" s="94"/>
      <c r="OGE57" s="94"/>
      <c r="OGF57" s="94"/>
      <c r="OGG57" s="94"/>
      <c r="OGH57" s="94"/>
      <c r="OGI57" s="94"/>
      <c r="OGJ57" s="94"/>
      <c r="OGK57" s="94"/>
      <c r="OGL57" s="94"/>
      <c r="OGM57" s="94"/>
      <c r="OGN57" s="94"/>
      <c r="OGO57" s="94"/>
      <c r="OGP57" s="94"/>
      <c r="OGQ57" s="94"/>
      <c r="OGR57" s="94"/>
      <c r="OGS57" s="94"/>
      <c r="OGT57" s="94"/>
      <c r="OGU57" s="94"/>
      <c r="OGV57" s="94"/>
      <c r="OGW57" s="94"/>
      <c r="OGX57" s="94"/>
      <c r="OGY57" s="94"/>
      <c r="OGZ57" s="94"/>
      <c r="OHA57" s="94"/>
      <c r="OHB57" s="94"/>
      <c r="OHC57" s="94"/>
      <c r="OHD57" s="94"/>
      <c r="OHE57" s="94"/>
      <c r="OHF57" s="94"/>
      <c r="OHG57" s="94"/>
      <c r="OHH57" s="94"/>
      <c r="OHI57" s="94"/>
      <c r="OHJ57" s="94"/>
      <c r="OHK57" s="94"/>
      <c r="OHL57" s="94"/>
      <c r="OHM57" s="94"/>
      <c r="OHN57" s="94"/>
      <c r="OHO57" s="94"/>
      <c r="OHP57" s="94"/>
      <c r="OHQ57" s="94"/>
      <c r="OHR57" s="94"/>
      <c r="OHS57" s="94"/>
      <c r="OHT57" s="94"/>
      <c r="OHU57" s="94"/>
      <c r="OHV57" s="94"/>
      <c r="OHW57" s="94"/>
      <c r="OHX57" s="94"/>
      <c r="OHY57" s="94"/>
      <c r="OHZ57" s="94"/>
      <c r="OIA57" s="94"/>
      <c r="OIB57" s="94"/>
      <c r="OIC57" s="94"/>
      <c r="OID57" s="94"/>
      <c r="OIE57" s="94"/>
      <c r="OIF57" s="94"/>
      <c r="OIG57" s="94"/>
      <c r="OIH57" s="94"/>
      <c r="OII57" s="94"/>
      <c r="OIJ57" s="94"/>
      <c r="OIK57" s="94"/>
      <c r="OIL57" s="94"/>
      <c r="OIM57" s="94"/>
      <c r="OIN57" s="94"/>
      <c r="OIO57" s="94"/>
      <c r="OIP57" s="94"/>
      <c r="OIQ57" s="94"/>
      <c r="OIR57" s="94"/>
      <c r="OIS57" s="94"/>
      <c r="OIT57" s="94"/>
      <c r="OIU57" s="94"/>
      <c r="OIV57" s="94"/>
      <c r="OIW57" s="94"/>
      <c r="OIX57" s="94"/>
      <c r="OIY57" s="94"/>
      <c r="OIZ57" s="94"/>
      <c r="OJA57" s="94"/>
      <c r="OJB57" s="94"/>
      <c r="OJC57" s="94"/>
      <c r="OJD57" s="94"/>
      <c r="OJE57" s="94"/>
      <c r="OJF57" s="94"/>
      <c r="OJG57" s="94"/>
      <c r="OJH57" s="94"/>
      <c r="OJI57" s="94"/>
      <c r="OJJ57" s="94"/>
      <c r="OJK57" s="94"/>
      <c r="OJL57" s="94"/>
      <c r="OJM57" s="94"/>
      <c r="OJN57" s="94"/>
      <c r="OJO57" s="94"/>
      <c r="OJP57" s="94"/>
      <c r="OJQ57" s="94"/>
      <c r="OJR57" s="94"/>
      <c r="OJS57" s="94"/>
      <c r="OJT57" s="94"/>
      <c r="OJU57" s="94"/>
      <c r="OJV57" s="94"/>
      <c r="OJW57" s="94"/>
      <c r="OJX57" s="94"/>
      <c r="OJY57" s="94"/>
      <c r="OJZ57" s="94"/>
      <c r="OKA57" s="94"/>
      <c r="OKB57" s="94"/>
      <c r="OKC57" s="94"/>
      <c r="OKD57" s="94"/>
      <c r="OKE57" s="94"/>
      <c r="OKF57" s="94"/>
      <c r="OKG57" s="94"/>
      <c r="OKH57" s="94"/>
      <c r="OKI57" s="94"/>
      <c r="OKJ57" s="94"/>
      <c r="OKK57" s="94"/>
      <c r="OKL57" s="94"/>
      <c r="OKM57" s="94"/>
      <c r="OKN57" s="94"/>
      <c r="OKO57" s="94"/>
      <c r="OKP57" s="94"/>
      <c r="OKQ57" s="94"/>
      <c r="OKR57" s="94"/>
      <c r="OKS57" s="94"/>
      <c r="OKT57" s="94"/>
      <c r="OKU57" s="94"/>
      <c r="OKV57" s="94"/>
      <c r="OKW57" s="94"/>
      <c r="OKX57" s="94"/>
      <c r="OKY57" s="94"/>
      <c r="OKZ57" s="94"/>
      <c r="OLA57" s="94"/>
      <c r="OLB57" s="94"/>
      <c r="OLC57" s="94"/>
      <c r="OLD57" s="94"/>
      <c r="OLE57" s="94"/>
      <c r="OLF57" s="94"/>
      <c r="OLG57" s="94"/>
      <c r="OLH57" s="94"/>
      <c r="OLI57" s="94"/>
      <c r="OLJ57" s="94"/>
      <c r="OLK57" s="94"/>
      <c r="OLL57" s="94"/>
      <c r="OLM57" s="94"/>
      <c r="OLN57" s="94"/>
      <c r="OLO57" s="94"/>
      <c r="OLP57" s="94"/>
      <c r="OLQ57" s="94"/>
      <c r="OLR57" s="94"/>
      <c r="OLS57" s="94"/>
      <c r="OLT57" s="94"/>
      <c r="OLU57" s="94"/>
      <c r="OLV57" s="94"/>
      <c r="OLW57" s="94"/>
      <c r="OLX57" s="94"/>
      <c r="OLY57" s="94"/>
      <c r="OLZ57" s="94"/>
      <c r="OMA57" s="94"/>
      <c r="OMB57" s="94"/>
      <c r="OMC57" s="94"/>
      <c r="OMD57" s="94"/>
      <c r="OME57" s="94"/>
      <c r="OMF57" s="94"/>
      <c r="OMG57" s="94"/>
      <c r="OMH57" s="94"/>
      <c r="OMI57" s="94"/>
      <c r="OMJ57" s="94"/>
      <c r="OMK57" s="94"/>
      <c r="OML57" s="94"/>
      <c r="OMM57" s="94"/>
      <c r="OMN57" s="94"/>
      <c r="OMO57" s="94"/>
      <c r="OMP57" s="94"/>
      <c r="OMQ57" s="94"/>
      <c r="OMR57" s="94"/>
      <c r="OMS57" s="94"/>
      <c r="OMT57" s="94"/>
      <c r="OMU57" s="94"/>
      <c r="OMV57" s="94"/>
      <c r="OMW57" s="94"/>
      <c r="OMX57" s="94"/>
      <c r="OMY57" s="94"/>
      <c r="OMZ57" s="94"/>
      <c r="ONA57" s="94"/>
      <c r="ONB57" s="94"/>
      <c r="ONC57" s="94"/>
      <c r="OND57" s="94"/>
      <c r="ONE57" s="94"/>
      <c r="ONF57" s="94"/>
      <c r="ONG57" s="94"/>
      <c r="ONH57" s="94"/>
      <c r="ONI57" s="94"/>
      <c r="ONJ57" s="94"/>
      <c r="ONK57" s="94"/>
      <c r="ONL57" s="94"/>
      <c r="ONM57" s="94"/>
      <c r="ONN57" s="94"/>
      <c r="ONO57" s="94"/>
      <c r="ONP57" s="94"/>
      <c r="ONQ57" s="94"/>
      <c r="ONR57" s="94"/>
      <c r="ONS57" s="94"/>
      <c r="ONT57" s="94"/>
      <c r="ONU57" s="94"/>
      <c r="ONV57" s="94"/>
      <c r="ONW57" s="94"/>
      <c r="ONX57" s="94"/>
      <c r="ONY57" s="94"/>
      <c r="ONZ57" s="94"/>
      <c r="OOA57" s="94"/>
      <c r="OOB57" s="94"/>
      <c r="OOC57" s="94"/>
      <c r="OOD57" s="94"/>
      <c r="OOE57" s="94"/>
      <c r="OOF57" s="94"/>
      <c r="OOG57" s="94"/>
      <c r="OOH57" s="94"/>
      <c r="OOI57" s="94"/>
      <c r="OOJ57" s="94"/>
      <c r="OOK57" s="94"/>
      <c r="OOL57" s="94"/>
      <c r="OOM57" s="94"/>
      <c r="OON57" s="94"/>
      <c r="OOO57" s="94"/>
      <c r="OOP57" s="94"/>
      <c r="OOQ57" s="94"/>
      <c r="OOR57" s="94"/>
      <c r="OOS57" s="94"/>
      <c r="OOT57" s="94"/>
      <c r="OOU57" s="94"/>
      <c r="OOV57" s="94"/>
      <c r="OOW57" s="94"/>
      <c r="OOX57" s="94"/>
      <c r="OOY57" s="94"/>
      <c r="OOZ57" s="94"/>
      <c r="OPA57" s="94"/>
      <c r="OPB57" s="94"/>
      <c r="OPC57" s="94"/>
      <c r="OPD57" s="94"/>
      <c r="OPE57" s="94"/>
      <c r="OPF57" s="94"/>
      <c r="OPG57" s="94"/>
      <c r="OPH57" s="94"/>
      <c r="OPI57" s="94"/>
      <c r="OPJ57" s="94"/>
      <c r="OPK57" s="94"/>
      <c r="OPL57" s="94"/>
      <c r="OPM57" s="94"/>
      <c r="OPN57" s="94"/>
      <c r="OPO57" s="94"/>
      <c r="OPP57" s="94"/>
      <c r="OPQ57" s="94"/>
      <c r="OPR57" s="94"/>
      <c r="OPS57" s="94"/>
      <c r="OPT57" s="94"/>
      <c r="OPU57" s="94"/>
      <c r="OPV57" s="94"/>
      <c r="OPW57" s="94"/>
      <c r="OPX57" s="94"/>
      <c r="OPY57" s="94"/>
      <c r="OPZ57" s="94"/>
      <c r="OQA57" s="94"/>
      <c r="OQB57" s="94"/>
      <c r="OQC57" s="94"/>
      <c r="OQD57" s="94"/>
      <c r="OQE57" s="94"/>
      <c r="OQF57" s="94"/>
      <c r="OQG57" s="94"/>
      <c r="OQH57" s="94"/>
      <c r="OQI57" s="94"/>
      <c r="OQJ57" s="94"/>
      <c r="OQK57" s="94"/>
      <c r="OQL57" s="94"/>
      <c r="OQM57" s="94"/>
      <c r="OQN57" s="94"/>
      <c r="OQO57" s="94"/>
      <c r="OQP57" s="94"/>
      <c r="OQQ57" s="94"/>
      <c r="OQR57" s="94"/>
      <c r="OQS57" s="94"/>
      <c r="OQT57" s="94"/>
      <c r="OQU57" s="94"/>
      <c r="OQV57" s="94"/>
      <c r="OQW57" s="94"/>
      <c r="OQX57" s="94"/>
      <c r="OQY57" s="94"/>
      <c r="OQZ57" s="94"/>
      <c r="ORA57" s="94"/>
      <c r="ORB57" s="94"/>
      <c r="ORC57" s="94"/>
      <c r="ORD57" s="94"/>
      <c r="ORE57" s="94"/>
      <c r="ORF57" s="94"/>
      <c r="ORG57" s="94"/>
      <c r="ORH57" s="94"/>
      <c r="ORI57" s="94"/>
      <c r="ORJ57" s="94"/>
      <c r="ORK57" s="94"/>
      <c r="ORL57" s="94"/>
      <c r="ORM57" s="94"/>
      <c r="ORN57" s="94"/>
      <c r="ORO57" s="94"/>
      <c r="ORP57" s="94"/>
      <c r="ORQ57" s="94"/>
      <c r="ORR57" s="94"/>
      <c r="ORS57" s="94"/>
      <c r="ORT57" s="94"/>
      <c r="ORU57" s="94"/>
      <c r="ORV57" s="94"/>
      <c r="ORW57" s="94"/>
      <c r="ORX57" s="94"/>
      <c r="ORY57" s="94"/>
      <c r="ORZ57" s="94"/>
      <c r="OSA57" s="94"/>
      <c r="OSB57" s="94"/>
      <c r="OSC57" s="94"/>
      <c r="OSD57" s="94"/>
      <c r="OSE57" s="94"/>
      <c r="OSF57" s="94"/>
      <c r="OSG57" s="94"/>
      <c r="OSH57" s="94"/>
      <c r="OSI57" s="94"/>
      <c r="OSJ57" s="94"/>
      <c r="OSK57" s="94"/>
      <c r="OSL57" s="94"/>
      <c r="OSM57" s="94"/>
      <c r="OSN57" s="94"/>
      <c r="OSO57" s="94"/>
      <c r="OSP57" s="94"/>
      <c r="OSQ57" s="94"/>
      <c r="OSR57" s="94"/>
      <c r="OSS57" s="94"/>
      <c r="OST57" s="94"/>
      <c r="OSU57" s="94"/>
      <c r="OSV57" s="94"/>
      <c r="OSW57" s="94"/>
      <c r="OSX57" s="94"/>
      <c r="OSY57" s="94"/>
      <c r="OSZ57" s="94"/>
      <c r="OTA57" s="94"/>
      <c r="OTB57" s="94"/>
      <c r="OTC57" s="94"/>
      <c r="OTD57" s="94"/>
      <c r="OTE57" s="94"/>
      <c r="OTF57" s="94"/>
      <c r="OTG57" s="94"/>
      <c r="OTH57" s="94"/>
      <c r="OTI57" s="94"/>
      <c r="OTJ57" s="94"/>
      <c r="OTK57" s="94"/>
      <c r="OTL57" s="94"/>
      <c r="OTM57" s="94"/>
      <c r="OTN57" s="94"/>
      <c r="OTO57" s="94"/>
      <c r="OTP57" s="94"/>
      <c r="OTQ57" s="94"/>
      <c r="OTR57" s="94"/>
      <c r="OTS57" s="94"/>
      <c r="OTT57" s="94"/>
      <c r="OTU57" s="94"/>
      <c r="OTV57" s="94"/>
      <c r="OTW57" s="94"/>
      <c r="OTX57" s="94"/>
      <c r="OTY57" s="94"/>
      <c r="OTZ57" s="94"/>
      <c r="OUA57" s="94"/>
      <c r="OUB57" s="94"/>
      <c r="OUC57" s="94"/>
      <c r="OUD57" s="94"/>
      <c r="OUE57" s="94"/>
      <c r="OUF57" s="94"/>
      <c r="OUG57" s="94"/>
      <c r="OUH57" s="94"/>
      <c r="OUI57" s="94"/>
      <c r="OUJ57" s="94"/>
      <c r="OUK57" s="94"/>
      <c r="OUL57" s="94"/>
      <c r="OUM57" s="94"/>
      <c r="OUN57" s="94"/>
      <c r="OUO57" s="94"/>
      <c r="OUP57" s="94"/>
      <c r="OUQ57" s="94"/>
      <c r="OUR57" s="94"/>
      <c r="OUS57" s="94"/>
      <c r="OUT57" s="94"/>
      <c r="OUU57" s="94"/>
      <c r="OUV57" s="94"/>
      <c r="OUW57" s="94"/>
      <c r="OUX57" s="94"/>
      <c r="OUY57" s="94"/>
      <c r="OUZ57" s="94"/>
      <c r="OVA57" s="94"/>
      <c r="OVB57" s="94"/>
      <c r="OVC57" s="94"/>
      <c r="OVD57" s="94"/>
      <c r="OVE57" s="94"/>
      <c r="OVF57" s="94"/>
      <c r="OVG57" s="94"/>
      <c r="OVH57" s="94"/>
      <c r="OVI57" s="94"/>
      <c r="OVJ57" s="94"/>
      <c r="OVK57" s="94"/>
      <c r="OVL57" s="94"/>
      <c r="OVM57" s="94"/>
      <c r="OVN57" s="94"/>
      <c r="OVO57" s="94"/>
      <c r="OVP57" s="94"/>
      <c r="OVQ57" s="94"/>
      <c r="OVR57" s="94"/>
      <c r="OVS57" s="94"/>
      <c r="OVT57" s="94"/>
      <c r="OVU57" s="94"/>
      <c r="OVV57" s="94"/>
      <c r="OVW57" s="94"/>
      <c r="OVX57" s="94"/>
      <c r="OVY57" s="94"/>
      <c r="OVZ57" s="94"/>
      <c r="OWA57" s="94"/>
      <c r="OWB57" s="94"/>
      <c r="OWC57" s="94"/>
      <c r="OWD57" s="94"/>
      <c r="OWE57" s="94"/>
      <c r="OWF57" s="94"/>
      <c r="OWG57" s="94"/>
      <c r="OWH57" s="94"/>
      <c r="OWI57" s="94"/>
      <c r="OWJ57" s="94"/>
      <c r="OWK57" s="94"/>
      <c r="OWL57" s="94"/>
      <c r="OWM57" s="94"/>
      <c r="OWN57" s="94"/>
      <c r="OWO57" s="94"/>
      <c r="OWP57" s="94"/>
      <c r="OWQ57" s="94"/>
      <c r="OWR57" s="94"/>
      <c r="OWS57" s="94"/>
      <c r="OWT57" s="94"/>
      <c r="OWU57" s="94"/>
      <c r="OWV57" s="94"/>
      <c r="OWW57" s="94"/>
      <c r="OWX57" s="94"/>
      <c r="OWY57" s="94"/>
      <c r="OWZ57" s="94"/>
      <c r="OXA57" s="94"/>
      <c r="OXB57" s="94"/>
      <c r="OXC57" s="94"/>
      <c r="OXD57" s="94"/>
      <c r="OXE57" s="94"/>
      <c r="OXF57" s="94"/>
      <c r="OXG57" s="94"/>
      <c r="OXH57" s="94"/>
      <c r="OXI57" s="94"/>
      <c r="OXJ57" s="94"/>
      <c r="OXK57" s="94"/>
      <c r="OXL57" s="94"/>
      <c r="OXM57" s="94"/>
      <c r="OXN57" s="94"/>
      <c r="OXO57" s="94"/>
      <c r="OXP57" s="94"/>
      <c r="OXQ57" s="94"/>
      <c r="OXR57" s="94"/>
      <c r="OXS57" s="94"/>
      <c r="OXT57" s="94"/>
      <c r="OXU57" s="94"/>
      <c r="OXV57" s="94"/>
      <c r="OXW57" s="94"/>
      <c r="OXX57" s="94"/>
      <c r="OXY57" s="94"/>
      <c r="OXZ57" s="94"/>
      <c r="OYA57" s="94"/>
      <c r="OYB57" s="94"/>
      <c r="OYC57" s="94"/>
      <c r="OYD57" s="94"/>
      <c r="OYE57" s="94"/>
      <c r="OYF57" s="94"/>
      <c r="OYG57" s="94"/>
      <c r="OYH57" s="94"/>
      <c r="OYI57" s="94"/>
      <c r="OYJ57" s="94"/>
      <c r="OYK57" s="94"/>
      <c r="OYL57" s="94"/>
      <c r="OYM57" s="94"/>
      <c r="OYN57" s="94"/>
      <c r="OYO57" s="94"/>
      <c r="OYP57" s="94"/>
      <c r="OYQ57" s="94"/>
      <c r="OYR57" s="94"/>
      <c r="OYS57" s="94"/>
      <c r="OYT57" s="94"/>
      <c r="OYU57" s="94"/>
      <c r="OYV57" s="94"/>
      <c r="OYW57" s="94"/>
      <c r="OYX57" s="94"/>
      <c r="OYY57" s="94"/>
      <c r="OYZ57" s="94"/>
      <c r="OZA57" s="94"/>
      <c r="OZB57" s="94"/>
      <c r="OZC57" s="94"/>
      <c r="OZD57" s="94"/>
      <c r="OZE57" s="94"/>
      <c r="OZF57" s="94"/>
      <c r="OZG57" s="94"/>
      <c r="OZH57" s="94"/>
      <c r="OZI57" s="94"/>
      <c r="OZJ57" s="94"/>
      <c r="OZK57" s="94"/>
      <c r="OZL57" s="94"/>
      <c r="OZM57" s="94"/>
      <c r="OZN57" s="94"/>
      <c r="OZO57" s="94"/>
      <c r="OZP57" s="94"/>
      <c r="OZQ57" s="94"/>
      <c r="OZR57" s="94"/>
      <c r="OZS57" s="94"/>
      <c r="OZT57" s="94"/>
      <c r="OZU57" s="94"/>
      <c r="OZV57" s="94"/>
      <c r="OZW57" s="94"/>
      <c r="OZX57" s="94"/>
      <c r="OZY57" s="94"/>
      <c r="OZZ57" s="94"/>
      <c r="PAA57" s="94"/>
      <c r="PAB57" s="94"/>
      <c r="PAC57" s="94"/>
      <c r="PAD57" s="94"/>
      <c r="PAE57" s="94"/>
      <c r="PAF57" s="94"/>
      <c r="PAG57" s="94"/>
      <c r="PAH57" s="94"/>
      <c r="PAI57" s="94"/>
      <c r="PAJ57" s="94"/>
      <c r="PAK57" s="94"/>
      <c r="PAL57" s="94"/>
      <c r="PAM57" s="94"/>
      <c r="PAN57" s="94"/>
      <c r="PAO57" s="94"/>
      <c r="PAP57" s="94"/>
      <c r="PAQ57" s="94"/>
      <c r="PAR57" s="94"/>
      <c r="PAS57" s="94"/>
      <c r="PAT57" s="94"/>
      <c r="PAU57" s="94"/>
      <c r="PAV57" s="94"/>
      <c r="PAW57" s="94"/>
      <c r="PAX57" s="94"/>
      <c r="PAY57" s="94"/>
      <c r="PAZ57" s="94"/>
      <c r="PBA57" s="94"/>
      <c r="PBB57" s="94"/>
      <c r="PBC57" s="94"/>
      <c r="PBD57" s="94"/>
      <c r="PBE57" s="94"/>
      <c r="PBF57" s="94"/>
      <c r="PBG57" s="94"/>
      <c r="PBH57" s="94"/>
      <c r="PBI57" s="94"/>
      <c r="PBJ57" s="94"/>
      <c r="PBK57" s="94"/>
      <c r="PBL57" s="94"/>
      <c r="PBM57" s="94"/>
      <c r="PBN57" s="94"/>
      <c r="PBO57" s="94"/>
      <c r="PBP57" s="94"/>
      <c r="PBQ57" s="94"/>
      <c r="PBR57" s="94"/>
      <c r="PBS57" s="94"/>
      <c r="PBT57" s="94"/>
      <c r="PBU57" s="94"/>
      <c r="PBV57" s="94"/>
      <c r="PBW57" s="94"/>
      <c r="PBX57" s="94"/>
      <c r="PBY57" s="94"/>
      <c r="PBZ57" s="94"/>
      <c r="PCA57" s="94"/>
      <c r="PCB57" s="94"/>
      <c r="PCC57" s="94"/>
      <c r="PCD57" s="94"/>
      <c r="PCE57" s="94"/>
      <c r="PCF57" s="94"/>
      <c r="PCG57" s="94"/>
      <c r="PCH57" s="94"/>
      <c r="PCI57" s="94"/>
      <c r="PCJ57" s="94"/>
      <c r="PCK57" s="94"/>
      <c r="PCL57" s="94"/>
      <c r="PCM57" s="94"/>
      <c r="PCN57" s="94"/>
      <c r="PCO57" s="94"/>
      <c r="PCP57" s="94"/>
      <c r="PCQ57" s="94"/>
      <c r="PCR57" s="94"/>
      <c r="PCS57" s="94"/>
      <c r="PCT57" s="94"/>
      <c r="PCU57" s="94"/>
      <c r="PCV57" s="94"/>
      <c r="PCW57" s="94"/>
      <c r="PCX57" s="94"/>
      <c r="PCY57" s="94"/>
      <c r="PCZ57" s="94"/>
      <c r="PDA57" s="94"/>
      <c r="PDB57" s="94"/>
      <c r="PDC57" s="94"/>
      <c r="PDD57" s="94"/>
      <c r="PDE57" s="94"/>
      <c r="PDF57" s="94"/>
      <c r="PDG57" s="94"/>
      <c r="PDH57" s="94"/>
      <c r="PDI57" s="94"/>
      <c r="PDJ57" s="94"/>
      <c r="PDK57" s="94"/>
      <c r="PDL57" s="94"/>
      <c r="PDM57" s="94"/>
      <c r="PDN57" s="94"/>
      <c r="PDO57" s="94"/>
      <c r="PDP57" s="94"/>
      <c r="PDQ57" s="94"/>
      <c r="PDR57" s="94"/>
      <c r="PDS57" s="94"/>
      <c r="PDT57" s="94"/>
      <c r="PDU57" s="94"/>
      <c r="PDV57" s="94"/>
      <c r="PDW57" s="94"/>
      <c r="PDX57" s="94"/>
      <c r="PDY57" s="94"/>
      <c r="PDZ57" s="94"/>
      <c r="PEA57" s="94"/>
      <c r="PEB57" s="94"/>
      <c r="PEC57" s="94"/>
      <c r="PED57" s="94"/>
      <c r="PEE57" s="94"/>
      <c r="PEF57" s="94"/>
      <c r="PEG57" s="94"/>
      <c r="PEH57" s="94"/>
      <c r="PEI57" s="94"/>
      <c r="PEJ57" s="94"/>
      <c r="PEK57" s="94"/>
      <c r="PEL57" s="94"/>
      <c r="PEM57" s="94"/>
      <c r="PEN57" s="94"/>
      <c r="PEO57" s="94"/>
      <c r="PEP57" s="94"/>
      <c r="PEQ57" s="94"/>
      <c r="PER57" s="94"/>
      <c r="PES57" s="94"/>
      <c r="PET57" s="94"/>
      <c r="PEU57" s="94"/>
      <c r="PEV57" s="94"/>
      <c r="PEW57" s="94"/>
      <c r="PEX57" s="94"/>
      <c r="PEY57" s="94"/>
      <c r="PEZ57" s="94"/>
      <c r="PFA57" s="94"/>
      <c r="PFB57" s="94"/>
      <c r="PFC57" s="94"/>
      <c r="PFD57" s="94"/>
      <c r="PFE57" s="94"/>
      <c r="PFF57" s="94"/>
      <c r="PFG57" s="94"/>
      <c r="PFH57" s="94"/>
      <c r="PFI57" s="94"/>
      <c r="PFJ57" s="94"/>
      <c r="PFK57" s="94"/>
      <c r="PFL57" s="94"/>
      <c r="PFM57" s="94"/>
      <c r="PFN57" s="94"/>
      <c r="PFO57" s="94"/>
      <c r="PFP57" s="94"/>
      <c r="PFQ57" s="94"/>
      <c r="PFR57" s="94"/>
      <c r="PFS57" s="94"/>
      <c r="PFT57" s="94"/>
      <c r="PFU57" s="94"/>
      <c r="PFV57" s="94"/>
      <c r="PFW57" s="94"/>
      <c r="PFX57" s="94"/>
      <c r="PFY57" s="94"/>
      <c r="PFZ57" s="94"/>
      <c r="PGA57" s="94"/>
      <c r="PGB57" s="94"/>
      <c r="PGC57" s="94"/>
      <c r="PGD57" s="94"/>
      <c r="PGE57" s="94"/>
      <c r="PGF57" s="94"/>
      <c r="PGG57" s="94"/>
      <c r="PGH57" s="94"/>
      <c r="PGI57" s="94"/>
      <c r="PGJ57" s="94"/>
      <c r="PGK57" s="94"/>
      <c r="PGL57" s="94"/>
      <c r="PGM57" s="94"/>
      <c r="PGN57" s="94"/>
      <c r="PGO57" s="94"/>
      <c r="PGP57" s="94"/>
      <c r="PGQ57" s="94"/>
      <c r="PGR57" s="94"/>
      <c r="PGS57" s="94"/>
      <c r="PGT57" s="94"/>
      <c r="PGU57" s="94"/>
      <c r="PGV57" s="94"/>
      <c r="PGW57" s="94"/>
      <c r="PGX57" s="94"/>
      <c r="PGY57" s="94"/>
      <c r="PGZ57" s="94"/>
      <c r="PHA57" s="94"/>
      <c r="PHB57" s="94"/>
      <c r="PHC57" s="94"/>
      <c r="PHD57" s="94"/>
      <c r="PHE57" s="94"/>
      <c r="PHF57" s="94"/>
      <c r="PHG57" s="94"/>
      <c r="PHH57" s="94"/>
      <c r="PHI57" s="94"/>
      <c r="PHJ57" s="94"/>
      <c r="PHK57" s="94"/>
      <c r="PHL57" s="94"/>
      <c r="PHM57" s="94"/>
      <c r="PHN57" s="94"/>
      <c r="PHO57" s="94"/>
      <c r="PHP57" s="94"/>
      <c r="PHQ57" s="94"/>
      <c r="PHR57" s="94"/>
      <c r="PHS57" s="94"/>
      <c r="PHT57" s="94"/>
      <c r="PHU57" s="94"/>
      <c r="PHV57" s="94"/>
      <c r="PHW57" s="94"/>
      <c r="PHX57" s="94"/>
      <c r="PHY57" s="94"/>
      <c r="PHZ57" s="94"/>
      <c r="PIA57" s="94"/>
      <c r="PIB57" s="94"/>
      <c r="PIC57" s="94"/>
      <c r="PID57" s="94"/>
      <c r="PIE57" s="94"/>
      <c r="PIF57" s="94"/>
      <c r="PIG57" s="94"/>
      <c r="PIH57" s="94"/>
      <c r="PII57" s="94"/>
      <c r="PIJ57" s="94"/>
      <c r="PIK57" s="94"/>
      <c r="PIL57" s="94"/>
      <c r="PIM57" s="94"/>
      <c r="PIN57" s="94"/>
      <c r="PIO57" s="94"/>
      <c r="PIP57" s="94"/>
      <c r="PIQ57" s="94"/>
      <c r="PIR57" s="94"/>
      <c r="PIS57" s="94"/>
      <c r="PIT57" s="94"/>
      <c r="PIU57" s="94"/>
      <c r="PIV57" s="94"/>
      <c r="PIW57" s="94"/>
      <c r="PIX57" s="94"/>
      <c r="PIY57" s="94"/>
      <c r="PIZ57" s="94"/>
      <c r="PJA57" s="94"/>
      <c r="PJB57" s="94"/>
      <c r="PJC57" s="94"/>
      <c r="PJD57" s="94"/>
      <c r="PJE57" s="94"/>
      <c r="PJF57" s="94"/>
      <c r="PJG57" s="94"/>
      <c r="PJH57" s="94"/>
      <c r="PJI57" s="94"/>
      <c r="PJJ57" s="94"/>
      <c r="PJK57" s="94"/>
      <c r="PJL57" s="94"/>
      <c r="PJM57" s="94"/>
      <c r="PJN57" s="94"/>
      <c r="PJO57" s="94"/>
      <c r="PJP57" s="94"/>
      <c r="PJQ57" s="94"/>
      <c r="PJR57" s="94"/>
      <c r="PJS57" s="94"/>
      <c r="PJT57" s="94"/>
      <c r="PJU57" s="94"/>
      <c r="PJV57" s="94"/>
      <c r="PJW57" s="94"/>
      <c r="PJX57" s="94"/>
      <c r="PJY57" s="94"/>
      <c r="PJZ57" s="94"/>
      <c r="PKA57" s="94"/>
      <c r="PKB57" s="94"/>
      <c r="PKC57" s="94"/>
      <c r="PKD57" s="94"/>
      <c r="PKE57" s="94"/>
      <c r="PKF57" s="94"/>
      <c r="PKG57" s="94"/>
      <c r="PKH57" s="94"/>
      <c r="PKI57" s="94"/>
      <c r="PKJ57" s="94"/>
      <c r="PKK57" s="94"/>
      <c r="PKL57" s="94"/>
      <c r="PKM57" s="94"/>
      <c r="PKN57" s="94"/>
      <c r="PKO57" s="94"/>
      <c r="PKP57" s="94"/>
      <c r="PKQ57" s="94"/>
      <c r="PKR57" s="94"/>
      <c r="PKS57" s="94"/>
      <c r="PKT57" s="94"/>
      <c r="PKU57" s="94"/>
      <c r="PKV57" s="94"/>
      <c r="PKW57" s="94"/>
      <c r="PKX57" s="94"/>
      <c r="PKY57" s="94"/>
      <c r="PKZ57" s="94"/>
      <c r="PLA57" s="94"/>
      <c r="PLB57" s="94"/>
      <c r="PLC57" s="94"/>
      <c r="PLD57" s="94"/>
      <c r="PLE57" s="94"/>
      <c r="PLF57" s="94"/>
      <c r="PLG57" s="94"/>
      <c r="PLH57" s="94"/>
      <c r="PLI57" s="94"/>
      <c r="PLJ57" s="94"/>
      <c r="PLK57" s="94"/>
      <c r="PLL57" s="94"/>
      <c r="PLM57" s="94"/>
      <c r="PLN57" s="94"/>
      <c r="PLO57" s="94"/>
      <c r="PLP57" s="94"/>
      <c r="PLQ57" s="94"/>
      <c r="PLR57" s="94"/>
      <c r="PLS57" s="94"/>
      <c r="PLT57" s="94"/>
      <c r="PLU57" s="94"/>
      <c r="PLV57" s="94"/>
      <c r="PLW57" s="94"/>
      <c r="PLX57" s="94"/>
      <c r="PLY57" s="94"/>
      <c r="PLZ57" s="94"/>
      <c r="PMA57" s="94"/>
      <c r="PMB57" s="94"/>
      <c r="PMC57" s="94"/>
      <c r="PMD57" s="94"/>
      <c r="PME57" s="94"/>
      <c r="PMF57" s="94"/>
      <c r="PMG57" s="94"/>
      <c r="PMH57" s="94"/>
      <c r="PMI57" s="94"/>
      <c r="PMJ57" s="94"/>
      <c r="PMK57" s="94"/>
      <c r="PML57" s="94"/>
      <c r="PMM57" s="94"/>
      <c r="PMN57" s="94"/>
      <c r="PMO57" s="94"/>
      <c r="PMP57" s="94"/>
      <c r="PMQ57" s="94"/>
      <c r="PMR57" s="94"/>
      <c r="PMS57" s="94"/>
      <c r="PMT57" s="94"/>
      <c r="PMU57" s="94"/>
      <c r="PMV57" s="94"/>
      <c r="PMW57" s="94"/>
      <c r="PMX57" s="94"/>
      <c r="PMY57" s="94"/>
      <c r="PMZ57" s="94"/>
      <c r="PNA57" s="94"/>
      <c r="PNB57" s="94"/>
      <c r="PNC57" s="94"/>
      <c r="PND57" s="94"/>
      <c r="PNE57" s="94"/>
      <c r="PNF57" s="94"/>
      <c r="PNG57" s="94"/>
      <c r="PNH57" s="94"/>
      <c r="PNI57" s="94"/>
      <c r="PNJ57" s="94"/>
      <c r="PNK57" s="94"/>
      <c r="PNL57" s="94"/>
      <c r="PNM57" s="94"/>
      <c r="PNN57" s="94"/>
      <c r="PNO57" s="94"/>
      <c r="PNP57" s="94"/>
      <c r="PNQ57" s="94"/>
      <c r="PNR57" s="94"/>
      <c r="PNS57" s="94"/>
      <c r="PNT57" s="94"/>
      <c r="PNU57" s="94"/>
      <c r="PNV57" s="94"/>
      <c r="PNW57" s="94"/>
      <c r="PNX57" s="94"/>
      <c r="PNY57" s="94"/>
      <c r="PNZ57" s="94"/>
      <c r="POA57" s="94"/>
      <c r="POB57" s="94"/>
      <c r="POC57" s="94"/>
      <c r="POD57" s="94"/>
      <c r="POE57" s="94"/>
      <c r="POF57" s="94"/>
      <c r="POG57" s="94"/>
      <c r="POH57" s="94"/>
      <c r="POI57" s="94"/>
      <c r="POJ57" s="94"/>
      <c r="POK57" s="94"/>
      <c r="POL57" s="94"/>
      <c r="POM57" s="94"/>
      <c r="PON57" s="94"/>
      <c r="POO57" s="94"/>
      <c r="POP57" s="94"/>
      <c r="POQ57" s="94"/>
      <c r="POR57" s="94"/>
      <c r="POS57" s="94"/>
      <c r="POT57" s="94"/>
      <c r="POU57" s="94"/>
      <c r="POV57" s="94"/>
      <c r="POW57" s="94"/>
      <c r="POX57" s="94"/>
      <c r="POY57" s="94"/>
      <c r="POZ57" s="94"/>
      <c r="PPA57" s="94"/>
      <c r="PPB57" s="94"/>
      <c r="PPC57" s="94"/>
      <c r="PPD57" s="94"/>
      <c r="PPE57" s="94"/>
      <c r="PPF57" s="94"/>
      <c r="PPG57" s="94"/>
      <c r="PPH57" s="94"/>
      <c r="PPI57" s="94"/>
      <c r="PPJ57" s="94"/>
      <c r="PPK57" s="94"/>
      <c r="PPL57" s="94"/>
      <c r="PPM57" s="94"/>
      <c r="PPN57" s="94"/>
      <c r="PPO57" s="94"/>
      <c r="PPP57" s="94"/>
      <c r="PPQ57" s="94"/>
      <c r="PPR57" s="94"/>
      <c r="PPS57" s="94"/>
      <c r="PPT57" s="94"/>
      <c r="PPU57" s="94"/>
      <c r="PPV57" s="94"/>
      <c r="PPW57" s="94"/>
      <c r="PPX57" s="94"/>
      <c r="PPY57" s="94"/>
      <c r="PPZ57" s="94"/>
      <c r="PQA57" s="94"/>
      <c r="PQB57" s="94"/>
      <c r="PQC57" s="94"/>
      <c r="PQD57" s="94"/>
      <c r="PQE57" s="94"/>
      <c r="PQF57" s="94"/>
      <c r="PQG57" s="94"/>
      <c r="PQH57" s="94"/>
      <c r="PQI57" s="94"/>
      <c r="PQJ57" s="94"/>
      <c r="PQK57" s="94"/>
      <c r="PQL57" s="94"/>
      <c r="PQM57" s="94"/>
      <c r="PQN57" s="94"/>
      <c r="PQO57" s="94"/>
      <c r="PQP57" s="94"/>
      <c r="PQQ57" s="94"/>
      <c r="PQR57" s="94"/>
      <c r="PQS57" s="94"/>
      <c r="PQT57" s="94"/>
      <c r="PQU57" s="94"/>
      <c r="PQV57" s="94"/>
      <c r="PQW57" s="94"/>
      <c r="PQX57" s="94"/>
      <c r="PQY57" s="94"/>
      <c r="PQZ57" s="94"/>
      <c r="PRA57" s="94"/>
      <c r="PRB57" s="94"/>
      <c r="PRC57" s="94"/>
      <c r="PRD57" s="94"/>
      <c r="PRE57" s="94"/>
      <c r="PRF57" s="94"/>
      <c r="PRG57" s="94"/>
      <c r="PRH57" s="94"/>
      <c r="PRI57" s="94"/>
      <c r="PRJ57" s="94"/>
      <c r="PRK57" s="94"/>
      <c r="PRL57" s="94"/>
      <c r="PRM57" s="94"/>
      <c r="PRN57" s="94"/>
      <c r="PRO57" s="94"/>
      <c r="PRP57" s="94"/>
      <c r="PRQ57" s="94"/>
      <c r="PRR57" s="94"/>
      <c r="PRS57" s="94"/>
      <c r="PRT57" s="94"/>
      <c r="PRU57" s="94"/>
      <c r="PRV57" s="94"/>
      <c r="PRW57" s="94"/>
      <c r="PRX57" s="94"/>
      <c r="PRY57" s="94"/>
      <c r="PRZ57" s="94"/>
      <c r="PSA57" s="94"/>
      <c r="PSB57" s="94"/>
      <c r="PSC57" s="94"/>
      <c r="PSD57" s="94"/>
      <c r="PSE57" s="94"/>
      <c r="PSF57" s="94"/>
      <c r="PSG57" s="94"/>
      <c r="PSH57" s="94"/>
      <c r="PSI57" s="94"/>
      <c r="PSJ57" s="94"/>
      <c r="PSK57" s="94"/>
      <c r="PSL57" s="94"/>
      <c r="PSM57" s="94"/>
      <c r="PSN57" s="94"/>
      <c r="PSO57" s="94"/>
      <c r="PSP57" s="94"/>
      <c r="PSQ57" s="94"/>
      <c r="PSR57" s="94"/>
      <c r="PSS57" s="94"/>
      <c r="PST57" s="94"/>
      <c r="PSU57" s="94"/>
      <c r="PSV57" s="94"/>
      <c r="PSW57" s="94"/>
      <c r="PSX57" s="94"/>
      <c r="PSY57" s="94"/>
      <c r="PSZ57" s="94"/>
      <c r="PTA57" s="94"/>
      <c r="PTB57" s="94"/>
      <c r="PTC57" s="94"/>
      <c r="PTD57" s="94"/>
      <c r="PTE57" s="94"/>
      <c r="PTF57" s="94"/>
      <c r="PTG57" s="94"/>
      <c r="PTH57" s="94"/>
      <c r="PTI57" s="94"/>
      <c r="PTJ57" s="94"/>
      <c r="PTK57" s="94"/>
      <c r="PTL57" s="94"/>
      <c r="PTM57" s="94"/>
      <c r="PTN57" s="94"/>
      <c r="PTO57" s="94"/>
      <c r="PTP57" s="94"/>
      <c r="PTQ57" s="94"/>
      <c r="PTR57" s="94"/>
      <c r="PTS57" s="94"/>
      <c r="PTT57" s="94"/>
      <c r="PTU57" s="94"/>
      <c r="PTV57" s="94"/>
      <c r="PTW57" s="94"/>
      <c r="PTX57" s="94"/>
      <c r="PTY57" s="94"/>
      <c r="PTZ57" s="94"/>
      <c r="PUA57" s="94"/>
      <c r="PUB57" s="94"/>
      <c r="PUC57" s="94"/>
      <c r="PUD57" s="94"/>
      <c r="PUE57" s="94"/>
      <c r="PUF57" s="94"/>
      <c r="PUG57" s="94"/>
      <c r="PUH57" s="94"/>
      <c r="PUI57" s="94"/>
      <c r="PUJ57" s="94"/>
      <c r="PUK57" s="94"/>
      <c r="PUL57" s="94"/>
      <c r="PUM57" s="94"/>
      <c r="PUN57" s="94"/>
      <c r="PUO57" s="94"/>
      <c r="PUP57" s="94"/>
      <c r="PUQ57" s="94"/>
      <c r="PUR57" s="94"/>
      <c r="PUS57" s="94"/>
      <c r="PUT57" s="94"/>
      <c r="PUU57" s="94"/>
      <c r="PUV57" s="94"/>
      <c r="PUW57" s="94"/>
      <c r="PUX57" s="94"/>
      <c r="PUY57" s="94"/>
      <c r="PUZ57" s="94"/>
      <c r="PVA57" s="94"/>
      <c r="PVB57" s="94"/>
      <c r="PVC57" s="94"/>
      <c r="PVD57" s="94"/>
      <c r="PVE57" s="94"/>
      <c r="PVF57" s="94"/>
      <c r="PVG57" s="94"/>
      <c r="PVH57" s="94"/>
      <c r="PVI57" s="94"/>
      <c r="PVJ57" s="94"/>
      <c r="PVK57" s="94"/>
      <c r="PVL57" s="94"/>
      <c r="PVM57" s="94"/>
      <c r="PVN57" s="94"/>
      <c r="PVO57" s="94"/>
      <c r="PVP57" s="94"/>
      <c r="PVQ57" s="94"/>
      <c r="PVR57" s="94"/>
      <c r="PVS57" s="94"/>
      <c r="PVT57" s="94"/>
      <c r="PVU57" s="94"/>
      <c r="PVV57" s="94"/>
      <c r="PVW57" s="94"/>
      <c r="PVX57" s="94"/>
      <c r="PVY57" s="94"/>
      <c r="PVZ57" s="94"/>
      <c r="PWA57" s="94"/>
      <c r="PWB57" s="94"/>
      <c r="PWC57" s="94"/>
      <c r="PWD57" s="94"/>
      <c r="PWE57" s="94"/>
      <c r="PWF57" s="94"/>
      <c r="PWG57" s="94"/>
      <c r="PWH57" s="94"/>
      <c r="PWI57" s="94"/>
      <c r="PWJ57" s="94"/>
      <c r="PWK57" s="94"/>
      <c r="PWL57" s="94"/>
      <c r="PWM57" s="94"/>
      <c r="PWN57" s="94"/>
      <c r="PWO57" s="94"/>
      <c r="PWP57" s="94"/>
      <c r="PWQ57" s="94"/>
      <c r="PWR57" s="94"/>
      <c r="PWS57" s="94"/>
      <c r="PWT57" s="94"/>
      <c r="PWU57" s="94"/>
      <c r="PWV57" s="94"/>
      <c r="PWW57" s="94"/>
      <c r="PWX57" s="94"/>
      <c r="PWY57" s="94"/>
      <c r="PWZ57" s="94"/>
      <c r="PXA57" s="94"/>
      <c r="PXB57" s="94"/>
      <c r="PXC57" s="94"/>
      <c r="PXD57" s="94"/>
      <c r="PXE57" s="94"/>
      <c r="PXF57" s="94"/>
      <c r="PXG57" s="94"/>
      <c r="PXH57" s="94"/>
      <c r="PXI57" s="94"/>
      <c r="PXJ57" s="94"/>
      <c r="PXK57" s="94"/>
      <c r="PXL57" s="94"/>
      <c r="PXM57" s="94"/>
      <c r="PXN57" s="94"/>
      <c r="PXO57" s="94"/>
      <c r="PXP57" s="94"/>
      <c r="PXQ57" s="94"/>
      <c r="PXR57" s="94"/>
      <c r="PXS57" s="94"/>
      <c r="PXT57" s="94"/>
      <c r="PXU57" s="94"/>
      <c r="PXV57" s="94"/>
      <c r="PXW57" s="94"/>
      <c r="PXX57" s="94"/>
      <c r="PXY57" s="94"/>
      <c r="PXZ57" s="94"/>
      <c r="PYA57" s="94"/>
      <c r="PYB57" s="94"/>
      <c r="PYC57" s="94"/>
      <c r="PYD57" s="94"/>
      <c r="PYE57" s="94"/>
      <c r="PYF57" s="94"/>
      <c r="PYG57" s="94"/>
      <c r="PYH57" s="94"/>
      <c r="PYI57" s="94"/>
      <c r="PYJ57" s="94"/>
      <c r="PYK57" s="94"/>
      <c r="PYL57" s="94"/>
      <c r="PYM57" s="94"/>
      <c r="PYN57" s="94"/>
      <c r="PYO57" s="94"/>
      <c r="PYP57" s="94"/>
      <c r="PYQ57" s="94"/>
      <c r="PYR57" s="94"/>
      <c r="PYS57" s="94"/>
      <c r="PYT57" s="94"/>
      <c r="PYU57" s="94"/>
      <c r="PYV57" s="94"/>
      <c r="PYW57" s="94"/>
      <c r="PYX57" s="94"/>
      <c r="PYY57" s="94"/>
      <c r="PYZ57" s="94"/>
      <c r="PZA57" s="94"/>
      <c r="PZB57" s="94"/>
      <c r="PZC57" s="94"/>
      <c r="PZD57" s="94"/>
      <c r="PZE57" s="94"/>
      <c r="PZF57" s="94"/>
      <c r="PZG57" s="94"/>
      <c r="PZH57" s="94"/>
      <c r="PZI57" s="94"/>
      <c r="PZJ57" s="94"/>
      <c r="PZK57" s="94"/>
      <c r="PZL57" s="94"/>
      <c r="PZM57" s="94"/>
      <c r="PZN57" s="94"/>
      <c r="PZO57" s="94"/>
      <c r="PZP57" s="94"/>
      <c r="PZQ57" s="94"/>
      <c r="PZR57" s="94"/>
      <c r="PZS57" s="94"/>
      <c r="PZT57" s="94"/>
      <c r="PZU57" s="94"/>
      <c r="PZV57" s="94"/>
      <c r="PZW57" s="94"/>
      <c r="PZX57" s="94"/>
      <c r="PZY57" s="94"/>
      <c r="PZZ57" s="94"/>
      <c r="QAA57" s="94"/>
      <c r="QAB57" s="94"/>
      <c r="QAC57" s="94"/>
      <c r="QAD57" s="94"/>
      <c r="QAE57" s="94"/>
      <c r="QAF57" s="94"/>
      <c r="QAG57" s="94"/>
      <c r="QAH57" s="94"/>
      <c r="QAI57" s="94"/>
      <c r="QAJ57" s="94"/>
      <c r="QAK57" s="94"/>
      <c r="QAL57" s="94"/>
      <c r="QAM57" s="94"/>
      <c r="QAN57" s="94"/>
      <c r="QAO57" s="94"/>
      <c r="QAP57" s="94"/>
      <c r="QAQ57" s="94"/>
      <c r="QAR57" s="94"/>
      <c r="QAS57" s="94"/>
      <c r="QAT57" s="94"/>
      <c r="QAU57" s="94"/>
      <c r="QAV57" s="94"/>
      <c r="QAW57" s="94"/>
      <c r="QAX57" s="94"/>
      <c r="QAY57" s="94"/>
      <c r="QAZ57" s="94"/>
      <c r="QBA57" s="94"/>
      <c r="QBB57" s="94"/>
      <c r="QBC57" s="94"/>
      <c r="QBD57" s="94"/>
      <c r="QBE57" s="94"/>
      <c r="QBF57" s="94"/>
      <c r="QBG57" s="94"/>
      <c r="QBH57" s="94"/>
      <c r="QBI57" s="94"/>
      <c r="QBJ57" s="94"/>
      <c r="QBK57" s="94"/>
      <c r="QBL57" s="94"/>
      <c r="QBM57" s="94"/>
      <c r="QBN57" s="94"/>
      <c r="QBO57" s="94"/>
      <c r="QBP57" s="94"/>
      <c r="QBQ57" s="94"/>
      <c r="QBR57" s="94"/>
      <c r="QBS57" s="94"/>
      <c r="QBT57" s="94"/>
      <c r="QBU57" s="94"/>
      <c r="QBV57" s="94"/>
      <c r="QBW57" s="94"/>
      <c r="QBX57" s="94"/>
      <c r="QBY57" s="94"/>
      <c r="QBZ57" s="94"/>
      <c r="QCA57" s="94"/>
      <c r="QCB57" s="94"/>
      <c r="QCC57" s="94"/>
      <c r="QCD57" s="94"/>
      <c r="QCE57" s="94"/>
      <c r="QCF57" s="94"/>
      <c r="QCG57" s="94"/>
      <c r="QCH57" s="94"/>
      <c r="QCI57" s="94"/>
      <c r="QCJ57" s="94"/>
      <c r="QCK57" s="94"/>
      <c r="QCL57" s="94"/>
      <c r="QCM57" s="94"/>
      <c r="QCN57" s="94"/>
      <c r="QCO57" s="94"/>
      <c r="QCP57" s="94"/>
      <c r="QCQ57" s="94"/>
      <c r="QCR57" s="94"/>
      <c r="QCS57" s="94"/>
      <c r="QCT57" s="94"/>
      <c r="QCU57" s="94"/>
      <c r="QCV57" s="94"/>
      <c r="QCW57" s="94"/>
      <c r="QCX57" s="94"/>
      <c r="QCY57" s="94"/>
      <c r="QCZ57" s="94"/>
      <c r="QDA57" s="94"/>
      <c r="QDB57" s="94"/>
      <c r="QDC57" s="94"/>
      <c r="QDD57" s="94"/>
      <c r="QDE57" s="94"/>
      <c r="QDF57" s="94"/>
      <c r="QDG57" s="94"/>
      <c r="QDH57" s="94"/>
      <c r="QDI57" s="94"/>
      <c r="QDJ57" s="94"/>
      <c r="QDK57" s="94"/>
      <c r="QDL57" s="94"/>
      <c r="QDM57" s="94"/>
      <c r="QDN57" s="94"/>
      <c r="QDO57" s="94"/>
      <c r="QDP57" s="94"/>
      <c r="QDQ57" s="94"/>
      <c r="QDR57" s="94"/>
      <c r="QDS57" s="94"/>
      <c r="QDT57" s="94"/>
      <c r="QDU57" s="94"/>
      <c r="QDV57" s="94"/>
      <c r="QDW57" s="94"/>
      <c r="QDX57" s="94"/>
      <c r="QDY57" s="94"/>
      <c r="QDZ57" s="94"/>
      <c r="QEA57" s="94"/>
      <c r="QEB57" s="94"/>
      <c r="QEC57" s="94"/>
      <c r="QED57" s="94"/>
      <c r="QEE57" s="94"/>
      <c r="QEF57" s="94"/>
      <c r="QEG57" s="94"/>
      <c r="QEH57" s="94"/>
      <c r="QEI57" s="94"/>
      <c r="QEJ57" s="94"/>
      <c r="QEK57" s="94"/>
      <c r="QEL57" s="94"/>
      <c r="QEM57" s="94"/>
      <c r="QEN57" s="94"/>
      <c r="QEO57" s="94"/>
      <c r="QEP57" s="94"/>
      <c r="QEQ57" s="94"/>
      <c r="QER57" s="94"/>
      <c r="QES57" s="94"/>
      <c r="QET57" s="94"/>
      <c r="QEU57" s="94"/>
      <c r="QEV57" s="94"/>
      <c r="QEW57" s="94"/>
      <c r="QEX57" s="94"/>
      <c r="QEY57" s="94"/>
      <c r="QEZ57" s="94"/>
      <c r="QFA57" s="94"/>
      <c r="QFB57" s="94"/>
      <c r="QFC57" s="94"/>
      <c r="QFD57" s="94"/>
      <c r="QFE57" s="94"/>
      <c r="QFF57" s="94"/>
      <c r="QFG57" s="94"/>
      <c r="QFH57" s="94"/>
      <c r="QFI57" s="94"/>
      <c r="QFJ57" s="94"/>
      <c r="QFK57" s="94"/>
      <c r="QFL57" s="94"/>
      <c r="QFM57" s="94"/>
      <c r="QFN57" s="94"/>
      <c r="QFO57" s="94"/>
      <c r="QFP57" s="94"/>
      <c r="QFQ57" s="94"/>
      <c r="QFR57" s="94"/>
      <c r="QFS57" s="94"/>
      <c r="QFT57" s="94"/>
      <c r="QFU57" s="94"/>
      <c r="QFV57" s="94"/>
      <c r="QFW57" s="94"/>
      <c r="QFX57" s="94"/>
      <c r="QFY57" s="94"/>
      <c r="QFZ57" s="94"/>
      <c r="QGA57" s="94"/>
      <c r="QGB57" s="94"/>
      <c r="QGC57" s="94"/>
      <c r="QGD57" s="94"/>
      <c r="QGE57" s="94"/>
      <c r="QGF57" s="94"/>
      <c r="QGG57" s="94"/>
      <c r="QGH57" s="94"/>
      <c r="QGI57" s="94"/>
      <c r="QGJ57" s="94"/>
      <c r="QGK57" s="94"/>
      <c r="QGL57" s="94"/>
      <c r="QGM57" s="94"/>
      <c r="QGN57" s="94"/>
      <c r="QGO57" s="94"/>
      <c r="QGP57" s="94"/>
      <c r="QGQ57" s="94"/>
      <c r="QGR57" s="94"/>
      <c r="QGS57" s="94"/>
      <c r="QGT57" s="94"/>
      <c r="QGU57" s="94"/>
      <c r="QGV57" s="94"/>
      <c r="QGW57" s="94"/>
      <c r="QGX57" s="94"/>
      <c r="QGY57" s="94"/>
      <c r="QGZ57" s="94"/>
      <c r="QHA57" s="94"/>
      <c r="QHB57" s="94"/>
      <c r="QHC57" s="94"/>
      <c r="QHD57" s="94"/>
      <c r="QHE57" s="94"/>
      <c r="QHF57" s="94"/>
      <c r="QHG57" s="94"/>
      <c r="QHH57" s="94"/>
      <c r="QHI57" s="94"/>
      <c r="QHJ57" s="94"/>
      <c r="QHK57" s="94"/>
      <c r="QHL57" s="94"/>
      <c r="QHM57" s="94"/>
      <c r="QHN57" s="94"/>
      <c r="QHO57" s="94"/>
      <c r="QHP57" s="94"/>
      <c r="QHQ57" s="94"/>
      <c r="QHR57" s="94"/>
      <c r="QHS57" s="94"/>
      <c r="QHT57" s="94"/>
      <c r="QHU57" s="94"/>
      <c r="QHV57" s="94"/>
      <c r="QHW57" s="94"/>
      <c r="QHX57" s="94"/>
      <c r="QHY57" s="94"/>
      <c r="QHZ57" s="94"/>
      <c r="QIA57" s="94"/>
      <c r="QIB57" s="94"/>
      <c r="QIC57" s="94"/>
      <c r="QID57" s="94"/>
      <c r="QIE57" s="94"/>
      <c r="QIF57" s="94"/>
      <c r="QIG57" s="94"/>
      <c r="QIH57" s="94"/>
      <c r="QII57" s="94"/>
      <c r="QIJ57" s="94"/>
      <c r="QIK57" s="94"/>
      <c r="QIL57" s="94"/>
      <c r="QIM57" s="94"/>
      <c r="QIN57" s="94"/>
      <c r="QIO57" s="94"/>
      <c r="QIP57" s="94"/>
      <c r="QIQ57" s="94"/>
      <c r="QIR57" s="94"/>
      <c r="QIS57" s="94"/>
      <c r="QIT57" s="94"/>
      <c r="QIU57" s="94"/>
      <c r="QIV57" s="94"/>
      <c r="QIW57" s="94"/>
      <c r="QIX57" s="94"/>
      <c r="QIY57" s="94"/>
      <c r="QIZ57" s="94"/>
      <c r="QJA57" s="94"/>
      <c r="QJB57" s="94"/>
      <c r="QJC57" s="94"/>
      <c r="QJD57" s="94"/>
      <c r="QJE57" s="94"/>
      <c r="QJF57" s="94"/>
      <c r="QJG57" s="94"/>
      <c r="QJH57" s="94"/>
      <c r="QJI57" s="94"/>
      <c r="QJJ57" s="94"/>
      <c r="QJK57" s="94"/>
      <c r="QJL57" s="94"/>
      <c r="QJM57" s="94"/>
      <c r="QJN57" s="94"/>
      <c r="QJO57" s="94"/>
      <c r="QJP57" s="94"/>
      <c r="QJQ57" s="94"/>
      <c r="QJR57" s="94"/>
      <c r="QJS57" s="94"/>
      <c r="QJT57" s="94"/>
      <c r="QJU57" s="94"/>
      <c r="QJV57" s="94"/>
      <c r="QJW57" s="94"/>
      <c r="QJX57" s="94"/>
      <c r="QJY57" s="94"/>
      <c r="QJZ57" s="94"/>
      <c r="QKA57" s="94"/>
      <c r="QKB57" s="94"/>
      <c r="QKC57" s="94"/>
      <c r="QKD57" s="94"/>
      <c r="QKE57" s="94"/>
      <c r="QKF57" s="94"/>
      <c r="QKG57" s="94"/>
      <c r="QKH57" s="94"/>
      <c r="QKI57" s="94"/>
      <c r="QKJ57" s="94"/>
      <c r="QKK57" s="94"/>
      <c r="QKL57" s="94"/>
      <c r="QKM57" s="94"/>
      <c r="QKN57" s="94"/>
      <c r="QKO57" s="94"/>
      <c r="QKP57" s="94"/>
      <c r="QKQ57" s="94"/>
      <c r="QKR57" s="94"/>
      <c r="QKS57" s="94"/>
      <c r="QKT57" s="94"/>
      <c r="QKU57" s="94"/>
      <c r="QKV57" s="94"/>
      <c r="QKW57" s="94"/>
      <c r="QKX57" s="94"/>
      <c r="QKY57" s="94"/>
      <c r="QKZ57" s="94"/>
      <c r="QLA57" s="94"/>
      <c r="QLB57" s="94"/>
      <c r="QLC57" s="94"/>
      <c r="QLD57" s="94"/>
      <c r="QLE57" s="94"/>
      <c r="QLF57" s="94"/>
      <c r="QLG57" s="94"/>
      <c r="QLH57" s="94"/>
      <c r="QLI57" s="94"/>
      <c r="QLJ57" s="94"/>
      <c r="QLK57" s="94"/>
      <c r="QLL57" s="94"/>
      <c r="QLM57" s="94"/>
      <c r="QLN57" s="94"/>
      <c r="QLO57" s="94"/>
      <c r="QLP57" s="94"/>
      <c r="QLQ57" s="94"/>
      <c r="QLR57" s="94"/>
      <c r="QLS57" s="94"/>
      <c r="QLT57" s="94"/>
      <c r="QLU57" s="94"/>
      <c r="QLV57" s="94"/>
      <c r="QLW57" s="94"/>
      <c r="QLX57" s="94"/>
      <c r="QLY57" s="94"/>
      <c r="QLZ57" s="94"/>
      <c r="QMA57" s="94"/>
      <c r="QMB57" s="94"/>
      <c r="QMC57" s="94"/>
      <c r="QMD57" s="94"/>
      <c r="QME57" s="94"/>
      <c r="QMF57" s="94"/>
      <c r="QMG57" s="94"/>
      <c r="QMH57" s="94"/>
      <c r="QMI57" s="94"/>
      <c r="QMJ57" s="94"/>
      <c r="QMK57" s="94"/>
      <c r="QML57" s="94"/>
      <c r="QMM57" s="94"/>
      <c r="QMN57" s="94"/>
      <c r="QMO57" s="94"/>
      <c r="QMP57" s="94"/>
      <c r="QMQ57" s="94"/>
      <c r="QMR57" s="94"/>
      <c r="QMS57" s="94"/>
      <c r="QMT57" s="94"/>
      <c r="QMU57" s="94"/>
      <c r="QMV57" s="94"/>
      <c r="QMW57" s="94"/>
      <c r="QMX57" s="94"/>
      <c r="QMY57" s="94"/>
      <c r="QMZ57" s="94"/>
      <c r="QNA57" s="94"/>
      <c r="QNB57" s="94"/>
      <c r="QNC57" s="94"/>
      <c r="QND57" s="94"/>
      <c r="QNE57" s="94"/>
      <c r="QNF57" s="94"/>
      <c r="QNG57" s="94"/>
      <c r="QNH57" s="94"/>
      <c r="QNI57" s="94"/>
      <c r="QNJ57" s="94"/>
      <c r="QNK57" s="94"/>
      <c r="QNL57" s="94"/>
      <c r="QNM57" s="94"/>
      <c r="QNN57" s="94"/>
      <c r="QNO57" s="94"/>
      <c r="QNP57" s="94"/>
      <c r="QNQ57" s="94"/>
      <c r="QNR57" s="94"/>
      <c r="QNS57" s="94"/>
      <c r="QNT57" s="94"/>
      <c r="QNU57" s="94"/>
      <c r="QNV57" s="94"/>
      <c r="QNW57" s="94"/>
      <c r="QNX57" s="94"/>
      <c r="QNY57" s="94"/>
      <c r="QNZ57" s="94"/>
      <c r="QOA57" s="94"/>
      <c r="QOB57" s="94"/>
      <c r="QOC57" s="94"/>
      <c r="QOD57" s="94"/>
      <c r="QOE57" s="94"/>
      <c r="QOF57" s="94"/>
      <c r="QOG57" s="94"/>
      <c r="QOH57" s="94"/>
      <c r="QOI57" s="94"/>
      <c r="QOJ57" s="94"/>
      <c r="QOK57" s="94"/>
      <c r="QOL57" s="94"/>
      <c r="QOM57" s="94"/>
      <c r="QON57" s="94"/>
      <c r="QOO57" s="94"/>
      <c r="QOP57" s="94"/>
      <c r="QOQ57" s="94"/>
      <c r="QOR57" s="94"/>
      <c r="QOS57" s="94"/>
      <c r="QOT57" s="94"/>
      <c r="QOU57" s="94"/>
      <c r="QOV57" s="94"/>
      <c r="QOW57" s="94"/>
      <c r="QOX57" s="94"/>
      <c r="QOY57" s="94"/>
      <c r="QOZ57" s="94"/>
      <c r="QPA57" s="94"/>
      <c r="QPB57" s="94"/>
      <c r="QPC57" s="94"/>
      <c r="QPD57" s="94"/>
      <c r="QPE57" s="94"/>
      <c r="QPF57" s="94"/>
      <c r="QPG57" s="94"/>
      <c r="QPH57" s="94"/>
      <c r="QPI57" s="94"/>
      <c r="QPJ57" s="94"/>
      <c r="QPK57" s="94"/>
      <c r="QPL57" s="94"/>
      <c r="QPM57" s="94"/>
      <c r="QPN57" s="94"/>
      <c r="QPO57" s="94"/>
      <c r="QPP57" s="94"/>
      <c r="QPQ57" s="94"/>
      <c r="QPR57" s="94"/>
      <c r="QPS57" s="94"/>
      <c r="QPT57" s="94"/>
      <c r="QPU57" s="94"/>
      <c r="QPV57" s="94"/>
      <c r="QPW57" s="94"/>
      <c r="QPX57" s="94"/>
      <c r="QPY57" s="94"/>
      <c r="QPZ57" s="94"/>
      <c r="QQA57" s="94"/>
      <c r="QQB57" s="94"/>
      <c r="QQC57" s="94"/>
      <c r="QQD57" s="94"/>
      <c r="QQE57" s="94"/>
      <c r="QQF57" s="94"/>
      <c r="QQG57" s="94"/>
      <c r="QQH57" s="94"/>
      <c r="QQI57" s="94"/>
      <c r="QQJ57" s="94"/>
      <c r="QQK57" s="94"/>
      <c r="QQL57" s="94"/>
      <c r="QQM57" s="94"/>
      <c r="QQN57" s="94"/>
      <c r="QQO57" s="94"/>
      <c r="QQP57" s="94"/>
      <c r="QQQ57" s="94"/>
      <c r="QQR57" s="94"/>
      <c r="QQS57" s="94"/>
      <c r="QQT57" s="94"/>
      <c r="QQU57" s="94"/>
      <c r="QQV57" s="94"/>
      <c r="QQW57" s="94"/>
      <c r="QQX57" s="94"/>
      <c r="QQY57" s="94"/>
      <c r="QQZ57" s="94"/>
      <c r="QRA57" s="94"/>
      <c r="QRB57" s="94"/>
      <c r="QRC57" s="94"/>
      <c r="QRD57" s="94"/>
      <c r="QRE57" s="94"/>
      <c r="QRF57" s="94"/>
      <c r="QRG57" s="94"/>
      <c r="QRH57" s="94"/>
      <c r="QRI57" s="94"/>
      <c r="QRJ57" s="94"/>
      <c r="QRK57" s="94"/>
      <c r="QRL57" s="94"/>
      <c r="QRM57" s="94"/>
      <c r="QRN57" s="94"/>
      <c r="QRO57" s="94"/>
      <c r="QRP57" s="94"/>
      <c r="QRQ57" s="94"/>
      <c r="QRR57" s="94"/>
      <c r="QRS57" s="94"/>
      <c r="QRT57" s="94"/>
      <c r="QRU57" s="94"/>
      <c r="QRV57" s="94"/>
      <c r="QRW57" s="94"/>
      <c r="QRX57" s="94"/>
      <c r="QRY57" s="94"/>
      <c r="QRZ57" s="94"/>
      <c r="QSA57" s="94"/>
      <c r="QSB57" s="94"/>
      <c r="QSC57" s="94"/>
      <c r="QSD57" s="94"/>
      <c r="QSE57" s="94"/>
      <c r="QSF57" s="94"/>
      <c r="QSG57" s="94"/>
      <c r="QSH57" s="94"/>
      <c r="QSI57" s="94"/>
      <c r="QSJ57" s="94"/>
      <c r="QSK57" s="94"/>
      <c r="QSL57" s="94"/>
      <c r="QSM57" s="94"/>
      <c r="QSN57" s="94"/>
      <c r="QSO57" s="94"/>
      <c r="QSP57" s="94"/>
      <c r="QSQ57" s="94"/>
      <c r="QSR57" s="94"/>
      <c r="QSS57" s="94"/>
      <c r="QST57" s="94"/>
      <c r="QSU57" s="94"/>
      <c r="QSV57" s="94"/>
      <c r="QSW57" s="94"/>
      <c r="QSX57" s="94"/>
      <c r="QSY57" s="94"/>
      <c r="QSZ57" s="94"/>
      <c r="QTA57" s="94"/>
      <c r="QTB57" s="94"/>
      <c r="QTC57" s="94"/>
      <c r="QTD57" s="94"/>
      <c r="QTE57" s="94"/>
      <c r="QTF57" s="94"/>
      <c r="QTG57" s="94"/>
      <c r="QTH57" s="94"/>
      <c r="QTI57" s="94"/>
      <c r="QTJ57" s="94"/>
      <c r="QTK57" s="94"/>
      <c r="QTL57" s="94"/>
      <c r="QTM57" s="94"/>
      <c r="QTN57" s="94"/>
      <c r="QTO57" s="94"/>
      <c r="QTP57" s="94"/>
      <c r="QTQ57" s="94"/>
      <c r="QTR57" s="94"/>
      <c r="QTS57" s="94"/>
      <c r="QTT57" s="94"/>
      <c r="QTU57" s="94"/>
      <c r="QTV57" s="94"/>
      <c r="QTW57" s="94"/>
      <c r="QTX57" s="94"/>
      <c r="QTY57" s="94"/>
      <c r="QTZ57" s="94"/>
      <c r="QUA57" s="94"/>
      <c r="QUB57" s="94"/>
      <c r="QUC57" s="94"/>
      <c r="QUD57" s="94"/>
      <c r="QUE57" s="94"/>
      <c r="QUF57" s="94"/>
      <c r="QUG57" s="94"/>
      <c r="QUH57" s="94"/>
      <c r="QUI57" s="94"/>
      <c r="QUJ57" s="94"/>
      <c r="QUK57" s="94"/>
      <c r="QUL57" s="94"/>
      <c r="QUM57" s="94"/>
      <c r="QUN57" s="94"/>
      <c r="QUO57" s="94"/>
      <c r="QUP57" s="94"/>
      <c r="QUQ57" s="94"/>
      <c r="QUR57" s="94"/>
      <c r="QUS57" s="94"/>
      <c r="QUT57" s="94"/>
      <c r="QUU57" s="94"/>
      <c r="QUV57" s="94"/>
      <c r="QUW57" s="94"/>
      <c r="QUX57" s="94"/>
      <c r="QUY57" s="94"/>
      <c r="QUZ57" s="94"/>
      <c r="QVA57" s="94"/>
      <c r="QVB57" s="94"/>
      <c r="QVC57" s="94"/>
      <c r="QVD57" s="94"/>
      <c r="QVE57" s="94"/>
      <c r="QVF57" s="94"/>
      <c r="QVG57" s="94"/>
      <c r="QVH57" s="94"/>
      <c r="QVI57" s="94"/>
      <c r="QVJ57" s="94"/>
      <c r="QVK57" s="94"/>
      <c r="QVL57" s="94"/>
      <c r="QVM57" s="94"/>
      <c r="QVN57" s="94"/>
      <c r="QVO57" s="94"/>
      <c r="QVP57" s="94"/>
      <c r="QVQ57" s="94"/>
      <c r="QVR57" s="94"/>
      <c r="QVS57" s="94"/>
      <c r="QVT57" s="94"/>
      <c r="QVU57" s="94"/>
      <c r="QVV57" s="94"/>
      <c r="QVW57" s="94"/>
      <c r="QVX57" s="94"/>
      <c r="QVY57" s="94"/>
      <c r="QVZ57" s="94"/>
      <c r="QWA57" s="94"/>
      <c r="QWB57" s="94"/>
      <c r="QWC57" s="94"/>
      <c r="QWD57" s="94"/>
      <c r="QWE57" s="94"/>
      <c r="QWF57" s="94"/>
      <c r="QWG57" s="94"/>
      <c r="QWH57" s="94"/>
      <c r="QWI57" s="94"/>
      <c r="QWJ57" s="94"/>
      <c r="QWK57" s="94"/>
      <c r="QWL57" s="94"/>
      <c r="QWM57" s="94"/>
      <c r="QWN57" s="94"/>
      <c r="QWO57" s="94"/>
      <c r="QWP57" s="94"/>
      <c r="QWQ57" s="94"/>
      <c r="QWR57" s="94"/>
      <c r="QWS57" s="94"/>
      <c r="QWT57" s="94"/>
      <c r="QWU57" s="94"/>
      <c r="QWV57" s="94"/>
      <c r="QWW57" s="94"/>
      <c r="QWX57" s="94"/>
      <c r="QWY57" s="94"/>
      <c r="QWZ57" s="94"/>
      <c r="QXA57" s="94"/>
      <c r="QXB57" s="94"/>
      <c r="QXC57" s="94"/>
      <c r="QXD57" s="94"/>
      <c r="QXE57" s="94"/>
      <c r="QXF57" s="94"/>
      <c r="QXG57" s="94"/>
      <c r="QXH57" s="94"/>
      <c r="QXI57" s="94"/>
      <c r="QXJ57" s="94"/>
      <c r="QXK57" s="94"/>
      <c r="QXL57" s="94"/>
      <c r="QXM57" s="94"/>
      <c r="QXN57" s="94"/>
      <c r="QXO57" s="94"/>
      <c r="QXP57" s="94"/>
      <c r="QXQ57" s="94"/>
      <c r="QXR57" s="94"/>
      <c r="QXS57" s="94"/>
      <c r="QXT57" s="94"/>
      <c r="QXU57" s="94"/>
      <c r="QXV57" s="94"/>
      <c r="QXW57" s="94"/>
      <c r="QXX57" s="94"/>
      <c r="QXY57" s="94"/>
      <c r="QXZ57" s="94"/>
      <c r="QYA57" s="94"/>
      <c r="QYB57" s="94"/>
      <c r="QYC57" s="94"/>
      <c r="QYD57" s="94"/>
      <c r="QYE57" s="94"/>
      <c r="QYF57" s="94"/>
      <c r="QYG57" s="94"/>
      <c r="QYH57" s="94"/>
      <c r="QYI57" s="94"/>
      <c r="QYJ57" s="94"/>
      <c r="QYK57" s="94"/>
      <c r="QYL57" s="94"/>
      <c r="QYM57" s="94"/>
      <c r="QYN57" s="94"/>
      <c r="QYO57" s="94"/>
      <c r="QYP57" s="94"/>
      <c r="QYQ57" s="94"/>
      <c r="QYR57" s="94"/>
      <c r="QYS57" s="94"/>
      <c r="QYT57" s="94"/>
      <c r="QYU57" s="94"/>
      <c r="QYV57" s="94"/>
      <c r="QYW57" s="94"/>
      <c r="QYX57" s="94"/>
      <c r="QYY57" s="94"/>
      <c r="QYZ57" s="94"/>
      <c r="QZA57" s="94"/>
      <c r="QZB57" s="94"/>
      <c r="QZC57" s="94"/>
      <c r="QZD57" s="94"/>
      <c r="QZE57" s="94"/>
      <c r="QZF57" s="94"/>
      <c r="QZG57" s="94"/>
      <c r="QZH57" s="94"/>
      <c r="QZI57" s="94"/>
      <c r="QZJ57" s="94"/>
      <c r="QZK57" s="94"/>
      <c r="QZL57" s="94"/>
      <c r="QZM57" s="94"/>
      <c r="QZN57" s="94"/>
      <c r="QZO57" s="94"/>
      <c r="QZP57" s="94"/>
      <c r="QZQ57" s="94"/>
      <c r="QZR57" s="94"/>
      <c r="QZS57" s="94"/>
      <c r="QZT57" s="94"/>
      <c r="QZU57" s="94"/>
      <c r="QZV57" s="94"/>
      <c r="QZW57" s="94"/>
      <c r="QZX57" s="94"/>
      <c r="QZY57" s="94"/>
      <c r="QZZ57" s="94"/>
      <c r="RAA57" s="94"/>
      <c r="RAB57" s="94"/>
      <c r="RAC57" s="94"/>
      <c r="RAD57" s="94"/>
      <c r="RAE57" s="94"/>
      <c r="RAF57" s="94"/>
      <c r="RAG57" s="94"/>
      <c r="RAH57" s="94"/>
      <c r="RAI57" s="94"/>
      <c r="RAJ57" s="94"/>
      <c r="RAK57" s="94"/>
      <c r="RAL57" s="94"/>
      <c r="RAM57" s="94"/>
      <c r="RAN57" s="94"/>
      <c r="RAO57" s="94"/>
      <c r="RAP57" s="94"/>
      <c r="RAQ57" s="94"/>
      <c r="RAR57" s="94"/>
      <c r="RAS57" s="94"/>
      <c r="RAT57" s="94"/>
      <c r="RAU57" s="94"/>
      <c r="RAV57" s="94"/>
      <c r="RAW57" s="94"/>
      <c r="RAX57" s="94"/>
      <c r="RAY57" s="94"/>
      <c r="RAZ57" s="94"/>
      <c r="RBA57" s="94"/>
      <c r="RBB57" s="94"/>
      <c r="RBC57" s="94"/>
      <c r="RBD57" s="94"/>
      <c r="RBE57" s="94"/>
      <c r="RBF57" s="94"/>
      <c r="RBG57" s="94"/>
      <c r="RBH57" s="94"/>
      <c r="RBI57" s="94"/>
      <c r="RBJ57" s="94"/>
      <c r="RBK57" s="94"/>
      <c r="RBL57" s="94"/>
      <c r="RBM57" s="94"/>
      <c r="RBN57" s="94"/>
      <c r="RBO57" s="94"/>
      <c r="RBP57" s="94"/>
      <c r="RBQ57" s="94"/>
      <c r="RBR57" s="94"/>
      <c r="RBS57" s="94"/>
      <c r="RBT57" s="94"/>
      <c r="RBU57" s="94"/>
      <c r="RBV57" s="94"/>
      <c r="RBW57" s="94"/>
      <c r="RBX57" s="94"/>
      <c r="RBY57" s="94"/>
      <c r="RBZ57" s="94"/>
      <c r="RCA57" s="94"/>
      <c r="RCB57" s="94"/>
      <c r="RCC57" s="94"/>
      <c r="RCD57" s="94"/>
      <c r="RCE57" s="94"/>
      <c r="RCF57" s="94"/>
      <c r="RCG57" s="94"/>
      <c r="RCH57" s="94"/>
      <c r="RCI57" s="94"/>
      <c r="RCJ57" s="94"/>
      <c r="RCK57" s="94"/>
      <c r="RCL57" s="94"/>
      <c r="RCM57" s="94"/>
      <c r="RCN57" s="94"/>
      <c r="RCO57" s="94"/>
      <c r="RCP57" s="94"/>
      <c r="RCQ57" s="94"/>
      <c r="RCR57" s="94"/>
      <c r="RCS57" s="94"/>
      <c r="RCT57" s="94"/>
      <c r="RCU57" s="94"/>
      <c r="RCV57" s="94"/>
      <c r="RCW57" s="94"/>
      <c r="RCX57" s="94"/>
      <c r="RCY57" s="94"/>
      <c r="RCZ57" s="94"/>
      <c r="RDA57" s="94"/>
      <c r="RDB57" s="94"/>
      <c r="RDC57" s="94"/>
      <c r="RDD57" s="94"/>
      <c r="RDE57" s="94"/>
      <c r="RDF57" s="94"/>
      <c r="RDG57" s="94"/>
      <c r="RDH57" s="94"/>
      <c r="RDI57" s="94"/>
      <c r="RDJ57" s="94"/>
      <c r="RDK57" s="94"/>
      <c r="RDL57" s="94"/>
      <c r="RDM57" s="94"/>
      <c r="RDN57" s="94"/>
      <c r="RDO57" s="94"/>
      <c r="RDP57" s="94"/>
      <c r="RDQ57" s="94"/>
      <c r="RDR57" s="94"/>
      <c r="RDS57" s="94"/>
      <c r="RDT57" s="94"/>
      <c r="RDU57" s="94"/>
      <c r="RDV57" s="94"/>
      <c r="RDW57" s="94"/>
      <c r="RDX57" s="94"/>
      <c r="RDY57" s="94"/>
      <c r="RDZ57" s="94"/>
      <c r="REA57" s="94"/>
      <c r="REB57" s="94"/>
      <c r="REC57" s="94"/>
      <c r="RED57" s="94"/>
      <c r="REE57" s="94"/>
      <c r="REF57" s="94"/>
      <c r="REG57" s="94"/>
      <c r="REH57" s="94"/>
      <c r="REI57" s="94"/>
      <c r="REJ57" s="94"/>
      <c r="REK57" s="94"/>
      <c r="REL57" s="94"/>
      <c r="REM57" s="94"/>
      <c r="REN57" s="94"/>
      <c r="REO57" s="94"/>
      <c r="REP57" s="94"/>
      <c r="REQ57" s="94"/>
      <c r="RER57" s="94"/>
      <c r="RES57" s="94"/>
      <c r="RET57" s="94"/>
      <c r="REU57" s="94"/>
      <c r="REV57" s="94"/>
      <c r="REW57" s="94"/>
      <c r="REX57" s="94"/>
      <c r="REY57" s="94"/>
      <c r="REZ57" s="94"/>
      <c r="RFA57" s="94"/>
      <c r="RFB57" s="94"/>
      <c r="RFC57" s="94"/>
      <c r="RFD57" s="94"/>
      <c r="RFE57" s="94"/>
      <c r="RFF57" s="94"/>
      <c r="RFG57" s="94"/>
      <c r="RFH57" s="94"/>
      <c r="RFI57" s="94"/>
      <c r="RFJ57" s="94"/>
      <c r="RFK57" s="94"/>
      <c r="RFL57" s="94"/>
      <c r="RFM57" s="94"/>
      <c r="RFN57" s="94"/>
      <c r="RFO57" s="94"/>
      <c r="RFP57" s="94"/>
      <c r="RFQ57" s="94"/>
      <c r="RFR57" s="94"/>
      <c r="RFS57" s="94"/>
      <c r="RFT57" s="94"/>
      <c r="RFU57" s="94"/>
      <c r="RFV57" s="94"/>
      <c r="RFW57" s="94"/>
      <c r="RFX57" s="94"/>
      <c r="RFY57" s="94"/>
      <c r="RFZ57" s="94"/>
      <c r="RGA57" s="94"/>
      <c r="RGB57" s="94"/>
      <c r="RGC57" s="94"/>
      <c r="RGD57" s="94"/>
      <c r="RGE57" s="94"/>
      <c r="RGF57" s="94"/>
      <c r="RGG57" s="94"/>
      <c r="RGH57" s="94"/>
      <c r="RGI57" s="94"/>
      <c r="RGJ57" s="94"/>
      <c r="RGK57" s="94"/>
      <c r="RGL57" s="94"/>
      <c r="RGM57" s="94"/>
      <c r="RGN57" s="94"/>
      <c r="RGO57" s="94"/>
      <c r="RGP57" s="94"/>
      <c r="RGQ57" s="94"/>
      <c r="RGR57" s="94"/>
      <c r="RGS57" s="94"/>
      <c r="RGT57" s="94"/>
      <c r="RGU57" s="94"/>
      <c r="RGV57" s="94"/>
      <c r="RGW57" s="94"/>
      <c r="RGX57" s="94"/>
      <c r="RGY57" s="94"/>
      <c r="RGZ57" s="94"/>
      <c r="RHA57" s="94"/>
      <c r="RHB57" s="94"/>
      <c r="RHC57" s="94"/>
      <c r="RHD57" s="94"/>
      <c r="RHE57" s="94"/>
      <c r="RHF57" s="94"/>
      <c r="RHG57" s="94"/>
      <c r="RHH57" s="94"/>
      <c r="RHI57" s="94"/>
      <c r="RHJ57" s="94"/>
      <c r="RHK57" s="94"/>
      <c r="RHL57" s="94"/>
      <c r="RHM57" s="94"/>
      <c r="RHN57" s="94"/>
      <c r="RHO57" s="94"/>
      <c r="RHP57" s="94"/>
      <c r="RHQ57" s="94"/>
      <c r="RHR57" s="94"/>
      <c r="RHS57" s="94"/>
      <c r="RHT57" s="94"/>
      <c r="RHU57" s="94"/>
      <c r="RHV57" s="94"/>
      <c r="RHW57" s="94"/>
      <c r="RHX57" s="94"/>
      <c r="RHY57" s="94"/>
      <c r="RHZ57" s="94"/>
      <c r="RIA57" s="94"/>
      <c r="RIB57" s="94"/>
      <c r="RIC57" s="94"/>
      <c r="RID57" s="94"/>
      <c r="RIE57" s="94"/>
      <c r="RIF57" s="94"/>
      <c r="RIG57" s="94"/>
      <c r="RIH57" s="94"/>
      <c r="RII57" s="94"/>
      <c r="RIJ57" s="94"/>
      <c r="RIK57" s="94"/>
      <c r="RIL57" s="94"/>
      <c r="RIM57" s="94"/>
      <c r="RIN57" s="94"/>
      <c r="RIO57" s="94"/>
      <c r="RIP57" s="94"/>
      <c r="RIQ57" s="94"/>
      <c r="RIR57" s="94"/>
      <c r="RIS57" s="94"/>
      <c r="RIT57" s="94"/>
      <c r="RIU57" s="94"/>
      <c r="RIV57" s="94"/>
      <c r="RIW57" s="94"/>
      <c r="RIX57" s="94"/>
      <c r="RIY57" s="94"/>
      <c r="RIZ57" s="94"/>
      <c r="RJA57" s="94"/>
      <c r="RJB57" s="94"/>
      <c r="RJC57" s="94"/>
      <c r="RJD57" s="94"/>
      <c r="RJE57" s="94"/>
      <c r="RJF57" s="94"/>
      <c r="RJG57" s="94"/>
      <c r="RJH57" s="94"/>
      <c r="RJI57" s="94"/>
      <c r="RJJ57" s="94"/>
      <c r="RJK57" s="94"/>
      <c r="RJL57" s="94"/>
      <c r="RJM57" s="94"/>
      <c r="RJN57" s="94"/>
      <c r="RJO57" s="94"/>
      <c r="RJP57" s="94"/>
      <c r="RJQ57" s="94"/>
      <c r="RJR57" s="94"/>
      <c r="RJS57" s="94"/>
      <c r="RJT57" s="94"/>
      <c r="RJU57" s="94"/>
      <c r="RJV57" s="94"/>
      <c r="RJW57" s="94"/>
      <c r="RJX57" s="94"/>
      <c r="RJY57" s="94"/>
      <c r="RJZ57" s="94"/>
      <c r="RKA57" s="94"/>
      <c r="RKB57" s="94"/>
      <c r="RKC57" s="94"/>
      <c r="RKD57" s="94"/>
      <c r="RKE57" s="94"/>
      <c r="RKF57" s="94"/>
      <c r="RKG57" s="94"/>
      <c r="RKH57" s="94"/>
      <c r="RKI57" s="94"/>
      <c r="RKJ57" s="94"/>
      <c r="RKK57" s="94"/>
      <c r="RKL57" s="94"/>
      <c r="RKM57" s="94"/>
      <c r="RKN57" s="94"/>
      <c r="RKO57" s="94"/>
      <c r="RKP57" s="94"/>
      <c r="RKQ57" s="94"/>
      <c r="RKR57" s="94"/>
      <c r="RKS57" s="94"/>
      <c r="RKT57" s="94"/>
      <c r="RKU57" s="94"/>
      <c r="RKV57" s="94"/>
      <c r="RKW57" s="94"/>
      <c r="RKX57" s="94"/>
      <c r="RKY57" s="94"/>
      <c r="RKZ57" s="94"/>
      <c r="RLA57" s="94"/>
      <c r="RLB57" s="94"/>
      <c r="RLC57" s="94"/>
      <c r="RLD57" s="94"/>
      <c r="RLE57" s="94"/>
      <c r="RLF57" s="94"/>
      <c r="RLG57" s="94"/>
      <c r="RLH57" s="94"/>
      <c r="RLI57" s="94"/>
      <c r="RLJ57" s="94"/>
      <c r="RLK57" s="94"/>
      <c r="RLL57" s="94"/>
      <c r="RLM57" s="94"/>
      <c r="RLN57" s="94"/>
      <c r="RLO57" s="94"/>
      <c r="RLP57" s="94"/>
      <c r="RLQ57" s="94"/>
      <c r="RLR57" s="94"/>
      <c r="RLS57" s="94"/>
      <c r="RLT57" s="94"/>
      <c r="RLU57" s="94"/>
      <c r="RLV57" s="94"/>
      <c r="RLW57" s="94"/>
      <c r="RLX57" s="94"/>
      <c r="RLY57" s="94"/>
      <c r="RLZ57" s="94"/>
      <c r="RMA57" s="94"/>
      <c r="RMB57" s="94"/>
      <c r="RMC57" s="94"/>
      <c r="RMD57" s="94"/>
      <c r="RME57" s="94"/>
      <c r="RMF57" s="94"/>
      <c r="RMG57" s="94"/>
      <c r="RMH57" s="94"/>
      <c r="RMI57" s="94"/>
      <c r="RMJ57" s="94"/>
      <c r="RMK57" s="94"/>
      <c r="RML57" s="94"/>
      <c r="RMM57" s="94"/>
      <c r="RMN57" s="94"/>
      <c r="RMO57" s="94"/>
      <c r="RMP57" s="94"/>
      <c r="RMQ57" s="94"/>
      <c r="RMR57" s="94"/>
      <c r="RMS57" s="94"/>
      <c r="RMT57" s="94"/>
      <c r="RMU57" s="94"/>
      <c r="RMV57" s="94"/>
      <c r="RMW57" s="94"/>
      <c r="RMX57" s="94"/>
      <c r="RMY57" s="94"/>
      <c r="RMZ57" s="94"/>
      <c r="RNA57" s="94"/>
      <c r="RNB57" s="94"/>
      <c r="RNC57" s="94"/>
      <c r="RND57" s="94"/>
      <c r="RNE57" s="94"/>
      <c r="RNF57" s="94"/>
      <c r="RNG57" s="94"/>
      <c r="RNH57" s="94"/>
      <c r="RNI57" s="94"/>
      <c r="RNJ57" s="94"/>
      <c r="RNK57" s="94"/>
      <c r="RNL57" s="94"/>
      <c r="RNM57" s="94"/>
      <c r="RNN57" s="94"/>
      <c r="RNO57" s="94"/>
      <c r="RNP57" s="94"/>
      <c r="RNQ57" s="94"/>
      <c r="RNR57" s="94"/>
      <c r="RNS57" s="94"/>
      <c r="RNT57" s="94"/>
      <c r="RNU57" s="94"/>
      <c r="RNV57" s="94"/>
      <c r="RNW57" s="94"/>
      <c r="RNX57" s="94"/>
      <c r="RNY57" s="94"/>
      <c r="RNZ57" s="94"/>
      <c r="ROA57" s="94"/>
      <c r="ROB57" s="94"/>
      <c r="ROC57" s="94"/>
      <c r="ROD57" s="94"/>
      <c r="ROE57" s="94"/>
      <c r="ROF57" s="94"/>
      <c r="ROG57" s="94"/>
      <c r="ROH57" s="94"/>
      <c r="ROI57" s="94"/>
      <c r="ROJ57" s="94"/>
      <c r="ROK57" s="94"/>
      <c r="ROL57" s="94"/>
      <c r="ROM57" s="94"/>
      <c r="RON57" s="94"/>
      <c r="ROO57" s="94"/>
      <c r="ROP57" s="94"/>
      <c r="ROQ57" s="94"/>
      <c r="ROR57" s="94"/>
      <c r="ROS57" s="94"/>
      <c r="ROT57" s="94"/>
      <c r="ROU57" s="94"/>
      <c r="ROV57" s="94"/>
      <c r="ROW57" s="94"/>
      <c r="ROX57" s="94"/>
      <c r="ROY57" s="94"/>
      <c r="ROZ57" s="94"/>
      <c r="RPA57" s="94"/>
      <c r="RPB57" s="94"/>
      <c r="RPC57" s="94"/>
      <c r="RPD57" s="94"/>
      <c r="RPE57" s="94"/>
      <c r="RPF57" s="94"/>
      <c r="RPG57" s="94"/>
      <c r="RPH57" s="94"/>
      <c r="RPI57" s="94"/>
      <c r="RPJ57" s="94"/>
      <c r="RPK57" s="94"/>
      <c r="RPL57" s="94"/>
      <c r="RPM57" s="94"/>
      <c r="RPN57" s="94"/>
      <c r="RPO57" s="94"/>
      <c r="RPP57" s="94"/>
      <c r="RPQ57" s="94"/>
      <c r="RPR57" s="94"/>
      <c r="RPS57" s="94"/>
      <c r="RPT57" s="94"/>
      <c r="RPU57" s="94"/>
      <c r="RPV57" s="94"/>
      <c r="RPW57" s="94"/>
      <c r="RPX57" s="94"/>
      <c r="RPY57" s="94"/>
      <c r="RPZ57" s="94"/>
      <c r="RQA57" s="94"/>
      <c r="RQB57" s="94"/>
      <c r="RQC57" s="94"/>
      <c r="RQD57" s="94"/>
      <c r="RQE57" s="94"/>
      <c r="RQF57" s="94"/>
      <c r="RQG57" s="94"/>
      <c r="RQH57" s="94"/>
      <c r="RQI57" s="94"/>
      <c r="RQJ57" s="94"/>
      <c r="RQK57" s="94"/>
      <c r="RQL57" s="94"/>
      <c r="RQM57" s="94"/>
      <c r="RQN57" s="94"/>
      <c r="RQO57" s="94"/>
      <c r="RQP57" s="94"/>
      <c r="RQQ57" s="94"/>
      <c r="RQR57" s="94"/>
      <c r="RQS57" s="94"/>
      <c r="RQT57" s="94"/>
      <c r="RQU57" s="94"/>
      <c r="RQV57" s="94"/>
      <c r="RQW57" s="94"/>
      <c r="RQX57" s="94"/>
      <c r="RQY57" s="94"/>
      <c r="RQZ57" s="94"/>
      <c r="RRA57" s="94"/>
      <c r="RRB57" s="94"/>
      <c r="RRC57" s="94"/>
      <c r="RRD57" s="94"/>
      <c r="RRE57" s="94"/>
      <c r="RRF57" s="94"/>
      <c r="RRG57" s="94"/>
      <c r="RRH57" s="94"/>
      <c r="RRI57" s="94"/>
      <c r="RRJ57" s="94"/>
      <c r="RRK57" s="94"/>
      <c r="RRL57" s="94"/>
      <c r="RRM57" s="94"/>
      <c r="RRN57" s="94"/>
      <c r="RRO57" s="94"/>
      <c r="RRP57" s="94"/>
      <c r="RRQ57" s="94"/>
      <c r="RRR57" s="94"/>
      <c r="RRS57" s="94"/>
      <c r="RRT57" s="94"/>
      <c r="RRU57" s="94"/>
      <c r="RRV57" s="94"/>
      <c r="RRW57" s="94"/>
      <c r="RRX57" s="94"/>
      <c r="RRY57" s="94"/>
      <c r="RRZ57" s="94"/>
      <c r="RSA57" s="94"/>
      <c r="RSB57" s="94"/>
      <c r="RSC57" s="94"/>
      <c r="RSD57" s="94"/>
      <c r="RSE57" s="94"/>
      <c r="RSF57" s="94"/>
      <c r="RSG57" s="94"/>
      <c r="RSH57" s="94"/>
      <c r="RSI57" s="94"/>
      <c r="RSJ57" s="94"/>
      <c r="RSK57" s="94"/>
      <c r="RSL57" s="94"/>
      <c r="RSM57" s="94"/>
      <c r="RSN57" s="94"/>
      <c r="RSO57" s="94"/>
      <c r="RSP57" s="94"/>
      <c r="RSQ57" s="94"/>
      <c r="RSR57" s="94"/>
      <c r="RSS57" s="94"/>
      <c r="RST57" s="94"/>
      <c r="RSU57" s="94"/>
      <c r="RSV57" s="94"/>
      <c r="RSW57" s="94"/>
      <c r="RSX57" s="94"/>
      <c r="RSY57" s="94"/>
      <c r="RSZ57" s="94"/>
      <c r="RTA57" s="94"/>
      <c r="RTB57" s="94"/>
      <c r="RTC57" s="94"/>
      <c r="RTD57" s="94"/>
      <c r="RTE57" s="94"/>
      <c r="RTF57" s="94"/>
      <c r="RTG57" s="94"/>
      <c r="RTH57" s="94"/>
      <c r="RTI57" s="94"/>
      <c r="RTJ57" s="94"/>
      <c r="RTK57" s="94"/>
      <c r="RTL57" s="94"/>
      <c r="RTM57" s="94"/>
      <c r="RTN57" s="94"/>
      <c r="RTO57" s="94"/>
      <c r="RTP57" s="94"/>
      <c r="RTQ57" s="94"/>
      <c r="RTR57" s="94"/>
      <c r="RTS57" s="94"/>
      <c r="RTT57" s="94"/>
      <c r="RTU57" s="94"/>
      <c r="RTV57" s="94"/>
      <c r="RTW57" s="94"/>
      <c r="RTX57" s="94"/>
      <c r="RTY57" s="94"/>
      <c r="RTZ57" s="94"/>
      <c r="RUA57" s="94"/>
      <c r="RUB57" s="94"/>
      <c r="RUC57" s="94"/>
      <c r="RUD57" s="94"/>
      <c r="RUE57" s="94"/>
      <c r="RUF57" s="94"/>
      <c r="RUG57" s="94"/>
      <c r="RUH57" s="94"/>
      <c r="RUI57" s="94"/>
      <c r="RUJ57" s="94"/>
      <c r="RUK57" s="94"/>
      <c r="RUL57" s="94"/>
      <c r="RUM57" s="94"/>
      <c r="RUN57" s="94"/>
      <c r="RUO57" s="94"/>
      <c r="RUP57" s="94"/>
      <c r="RUQ57" s="94"/>
      <c r="RUR57" s="94"/>
      <c r="RUS57" s="94"/>
      <c r="RUT57" s="94"/>
      <c r="RUU57" s="94"/>
      <c r="RUV57" s="94"/>
      <c r="RUW57" s="94"/>
      <c r="RUX57" s="94"/>
      <c r="RUY57" s="94"/>
      <c r="RUZ57" s="94"/>
      <c r="RVA57" s="94"/>
      <c r="RVB57" s="94"/>
      <c r="RVC57" s="94"/>
      <c r="RVD57" s="94"/>
      <c r="RVE57" s="94"/>
      <c r="RVF57" s="94"/>
      <c r="RVG57" s="94"/>
      <c r="RVH57" s="94"/>
      <c r="RVI57" s="94"/>
      <c r="RVJ57" s="94"/>
      <c r="RVK57" s="94"/>
      <c r="RVL57" s="94"/>
      <c r="RVM57" s="94"/>
      <c r="RVN57" s="94"/>
      <c r="RVO57" s="94"/>
      <c r="RVP57" s="94"/>
      <c r="RVQ57" s="94"/>
      <c r="RVR57" s="94"/>
      <c r="RVS57" s="94"/>
      <c r="RVT57" s="94"/>
      <c r="RVU57" s="94"/>
      <c r="RVV57" s="94"/>
      <c r="RVW57" s="94"/>
      <c r="RVX57" s="94"/>
      <c r="RVY57" s="94"/>
      <c r="RVZ57" s="94"/>
      <c r="RWA57" s="94"/>
      <c r="RWB57" s="94"/>
      <c r="RWC57" s="94"/>
      <c r="RWD57" s="94"/>
      <c r="RWE57" s="94"/>
      <c r="RWF57" s="94"/>
      <c r="RWG57" s="94"/>
      <c r="RWH57" s="94"/>
      <c r="RWI57" s="94"/>
      <c r="RWJ57" s="94"/>
      <c r="RWK57" s="94"/>
      <c r="RWL57" s="94"/>
      <c r="RWM57" s="94"/>
      <c r="RWN57" s="94"/>
      <c r="RWO57" s="94"/>
      <c r="RWP57" s="94"/>
      <c r="RWQ57" s="94"/>
      <c r="RWR57" s="94"/>
      <c r="RWS57" s="94"/>
      <c r="RWT57" s="94"/>
      <c r="RWU57" s="94"/>
      <c r="RWV57" s="94"/>
      <c r="RWW57" s="94"/>
      <c r="RWX57" s="94"/>
      <c r="RWY57" s="94"/>
      <c r="RWZ57" s="94"/>
      <c r="RXA57" s="94"/>
      <c r="RXB57" s="94"/>
      <c r="RXC57" s="94"/>
      <c r="RXD57" s="94"/>
      <c r="RXE57" s="94"/>
      <c r="RXF57" s="94"/>
      <c r="RXG57" s="94"/>
      <c r="RXH57" s="94"/>
      <c r="RXI57" s="94"/>
      <c r="RXJ57" s="94"/>
      <c r="RXK57" s="94"/>
      <c r="RXL57" s="94"/>
      <c r="RXM57" s="94"/>
      <c r="RXN57" s="94"/>
      <c r="RXO57" s="94"/>
      <c r="RXP57" s="94"/>
      <c r="RXQ57" s="94"/>
      <c r="RXR57" s="94"/>
      <c r="RXS57" s="94"/>
      <c r="RXT57" s="94"/>
      <c r="RXU57" s="94"/>
      <c r="RXV57" s="94"/>
      <c r="RXW57" s="94"/>
      <c r="RXX57" s="94"/>
      <c r="RXY57" s="94"/>
      <c r="RXZ57" s="94"/>
      <c r="RYA57" s="94"/>
      <c r="RYB57" s="94"/>
      <c r="RYC57" s="94"/>
      <c r="RYD57" s="94"/>
      <c r="RYE57" s="94"/>
      <c r="RYF57" s="94"/>
      <c r="RYG57" s="94"/>
      <c r="RYH57" s="94"/>
      <c r="RYI57" s="94"/>
      <c r="RYJ57" s="94"/>
      <c r="RYK57" s="94"/>
      <c r="RYL57" s="94"/>
      <c r="RYM57" s="94"/>
      <c r="RYN57" s="94"/>
      <c r="RYO57" s="94"/>
      <c r="RYP57" s="94"/>
      <c r="RYQ57" s="94"/>
      <c r="RYR57" s="94"/>
      <c r="RYS57" s="94"/>
      <c r="RYT57" s="94"/>
      <c r="RYU57" s="94"/>
      <c r="RYV57" s="94"/>
      <c r="RYW57" s="94"/>
      <c r="RYX57" s="94"/>
      <c r="RYY57" s="94"/>
      <c r="RYZ57" s="94"/>
      <c r="RZA57" s="94"/>
      <c r="RZB57" s="94"/>
      <c r="RZC57" s="94"/>
      <c r="RZD57" s="94"/>
      <c r="RZE57" s="94"/>
      <c r="RZF57" s="94"/>
      <c r="RZG57" s="94"/>
      <c r="RZH57" s="94"/>
      <c r="RZI57" s="94"/>
      <c r="RZJ57" s="94"/>
      <c r="RZK57" s="94"/>
      <c r="RZL57" s="94"/>
      <c r="RZM57" s="94"/>
      <c r="RZN57" s="94"/>
      <c r="RZO57" s="94"/>
      <c r="RZP57" s="94"/>
      <c r="RZQ57" s="94"/>
      <c r="RZR57" s="94"/>
      <c r="RZS57" s="94"/>
      <c r="RZT57" s="94"/>
      <c r="RZU57" s="94"/>
      <c r="RZV57" s="94"/>
      <c r="RZW57" s="94"/>
      <c r="RZX57" s="94"/>
      <c r="RZY57" s="94"/>
      <c r="RZZ57" s="94"/>
      <c r="SAA57" s="94"/>
      <c r="SAB57" s="94"/>
      <c r="SAC57" s="94"/>
      <c r="SAD57" s="94"/>
      <c r="SAE57" s="94"/>
      <c r="SAF57" s="94"/>
      <c r="SAG57" s="94"/>
      <c r="SAH57" s="94"/>
      <c r="SAI57" s="94"/>
      <c r="SAJ57" s="94"/>
      <c r="SAK57" s="94"/>
      <c r="SAL57" s="94"/>
      <c r="SAM57" s="94"/>
      <c r="SAN57" s="94"/>
      <c r="SAO57" s="94"/>
      <c r="SAP57" s="94"/>
      <c r="SAQ57" s="94"/>
      <c r="SAR57" s="94"/>
      <c r="SAS57" s="94"/>
      <c r="SAT57" s="94"/>
      <c r="SAU57" s="94"/>
      <c r="SAV57" s="94"/>
      <c r="SAW57" s="94"/>
      <c r="SAX57" s="94"/>
      <c r="SAY57" s="94"/>
      <c r="SAZ57" s="94"/>
      <c r="SBA57" s="94"/>
      <c r="SBB57" s="94"/>
      <c r="SBC57" s="94"/>
      <c r="SBD57" s="94"/>
      <c r="SBE57" s="94"/>
      <c r="SBF57" s="94"/>
      <c r="SBG57" s="94"/>
      <c r="SBH57" s="94"/>
      <c r="SBI57" s="94"/>
      <c r="SBJ57" s="94"/>
      <c r="SBK57" s="94"/>
      <c r="SBL57" s="94"/>
      <c r="SBM57" s="94"/>
      <c r="SBN57" s="94"/>
      <c r="SBO57" s="94"/>
      <c r="SBP57" s="94"/>
      <c r="SBQ57" s="94"/>
      <c r="SBR57" s="94"/>
      <c r="SBS57" s="94"/>
      <c r="SBT57" s="94"/>
      <c r="SBU57" s="94"/>
      <c r="SBV57" s="94"/>
      <c r="SBW57" s="94"/>
      <c r="SBX57" s="94"/>
      <c r="SBY57" s="94"/>
      <c r="SBZ57" s="94"/>
      <c r="SCA57" s="94"/>
      <c r="SCB57" s="94"/>
      <c r="SCC57" s="94"/>
      <c r="SCD57" s="94"/>
      <c r="SCE57" s="94"/>
      <c r="SCF57" s="94"/>
      <c r="SCG57" s="94"/>
      <c r="SCH57" s="94"/>
      <c r="SCI57" s="94"/>
      <c r="SCJ57" s="94"/>
      <c r="SCK57" s="94"/>
      <c r="SCL57" s="94"/>
      <c r="SCM57" s="94"/>
      <c r="SCN57" s="94"/>
      <c r="SCO57" s="94"/>
      <c r="SCP57" s="94"/>
      <c r="SCQ57" s="94"/>
      <c r="SCR57" s="94"/>
      <c r="SCS57" s="94"/>
      <c r="SCT57" s="94"/>
      <c r="SCU57" s="94"/>
      <c r="SCV57" s="94"/>
      <c r="SCW57" s="94"/>
      <c r="SCX57" s="94"/>
      <c r="SCY57" s="94"/>
      <c r="SCZ57" s="94"/>
      <c r="SDA57" s="94"/>
      <c r="SDB57" s="94"/>
      <c r="SDC57" s="94"/>
      <c r="SDD57" s="94"/>
      <c r="SDE57" s="94"/>
      <c r="SDF57" s="94"/>
      <c r="SDG57" s="94"/>
      <c r="SDH57" s="94"/>
      <c r="SDI57" s="94"/>
      <c r="SDJ57" s="94"/>
      <c r="SDK57" s="94"/>
      <c r="SDL57" s="94"/>
      <c r="SDM57" s="94"/>
      <c r="SDN57" s="94"/>
      <c r="SDO57" s="94"/>
      <c r="SDP57" s="94"/>
      <c r="SDQ57" s="94"/>
      <c r="SDR57" s="94"/>
      <c r="SDS57" s="94"/>
      <c r="SDT57" s="94"/>
      <c r="SDU57" s="94"/>
      <c r="SDV57" s="94"/>
      <c r="SDW57" s="94"/>
      <c r="SDX57" s="94"/>
      <c r="SDY57" s="94"/>
      <c r="SDZ57" s="94"/>
      <c r="SEA57" s="94"/>
      <c r="SEB57" s="94"/>
      <c r="SEC57" s="94"/>
      <c r="SED57" s="94"/>
      <c r="SEE57" s="94"/>
      <c r="SEF57" s="94"/>
      <c r="SEG57" s="94"/>
      <c r="SEH57" s="94"/>
      <c r="SEI57" s="94"/>
      <c r="SEJ57" s="94"/>
      <c r="SEK57" s="94"/>
      <c r="SEL57" s="94"/>
      <c r="SEM57" s="94"/>
      <c r="SEN57" s="94"/>
      <c r="SEO57" s="94"/>
      <c r="SEP57" s="94"/>
      <c r="SEQ57" s="94"/>
      <c r="SER57" s="94"/>
      <c r="SES57" s="94"/>
      <c r="SET57" s="94"/>
      <c r="SEU57" s="94"/>
      <c r="SEV57" s="94"/>
      <c r="SEW57" s="94"/>
      <c r="SEX57" s="94"/>
      <c r="SEY57" s="94"/>
      <c r="SEZ57" s="94"/>
      <c r="SFA57" s="94"/>
      <c r="SFB57" s="94"/>
      <c r="SFC57" s="94"/>
      <c r="SFD57" s="94"/>
      <c r="SFE57" s="94"/>
      <c r="SFF57" s="94"/>
      <c r="SFG57" s="94"/>
      <c r="SFH57" s="94"/>
      <c r="SFI57" s="94"/>
      <c r="SFJ57" s="94"/>
      <c r="SFK57" s="94"/>
      <c r="SFL57" s="94"/>
      <c r="SFM57" s="94"/>
      <c r="SFN57" s="94"/>
      <c r="SFO57" s="94"/>
      <c r="SFP57" s="94"/>
      <c r="SFQ57" s="94"/>
      <c r="SFR57" s="94"/>
      <c r="SFS57" s="94"/>
      <c r="SFT57" s="94"/>
      <c r="SFU57" s="94"/>
      <c r="SFV57" s="94"/>
      <c r="SFW57" s="94"/>
      <c r="SFX57" s="94"/>
      <c r="SFY57" s="94"/>
      <c r="SFZ57" s="94"/>
      <c r="SGA57" s="94"/>
      <c r="SGB57" s="94"/>
      <c r="SGC57" s="94"/>
      <c r="SGD57" s="94"/>
      <c r="SGE57" s="94"/>
      <c r="SGF57" s="94"/>
      <c r="SGG57" s="94"/>
      <c r="SGH57" s="94"/>
      <c r="SGI57" s="94"/>
      <c r="SGJ57" s="94"/>
      <c r="SGK57" s="94"/>
      <c r="SGL57" s="94"/>
      <c r="SGM57" s="94"/>
      <c r="SGN57" s="94"/>
      <c r="SGO57" s="94"/>
      <c r="SGP57" s="94"/>
      <c r="SGQ57" s="94"/>
      <c r="SGR57" s="94"/>
      <c r="SGS57" s="94"/>
      <c r="SGT57" s="94"/>
      <c r="SGU57" s="94"/>
      <c r="SGV57" s="94"/>
      <c r="SGW57" s="94"/>
      <c r="SGX57" s="94"/>
      <c r="SGY57" s="94"/>
      <c r="SGZ57" s="94"/>
      <c r="SHA57" s="94"/>
      <c r="SHB57" s="94"/>
      <c r="SHC57" s="94"/>
      <c r="SHD57" s="94"/>
      <c r="SHE57" s="94"/>
      <c r="SHF57" s="94"/>
      <c r="SHG57" s="94"/>
      <c r="SHH57" s="94"/>
      <c r="SHI57" s="94"/>
      <c r="SHJ57" s="94"/>
      <c r="SHK57" s="94"/>
      <c r="SHL57" s="94"/>
      <c r="SHM57" s="94"/>
      <c r="SHN57" s="94"/>
      <c r="SHO57" s="94"/>
      <c r="SHP57" s="94"/>
      <c r="SHQ57" s="94"/>
      <c r="SHR57" s="94"/>
      <c r="SHS57" s="94"/>
      <c r="SHT57" s="94"/>
      <c r="SHU57" s="94"/>
      <c r="SHV57" s="94"/>
      <c r="SHW57" s="94"/>
      <c r="SHX57" s="94"/>
      <c r="SHY57" s="94"/>
      <c r="SHZ57" s="94"/>
      <c r="SIA57" s="94"/>
      <c r="SIB57" s="94"/>
      <c r="SIC57" s="94"/>
      <c r="SID57" s="94"/>
      <c r="SIE57" s="94"/>
      <c r="SIF57" s="94"/>
      <c r="SIG57" s="94"/>
      <c r="SIH57" s="94"/>
      <c r="SII57" s="94"/>
      <c r="SIJ57" s="94"/>
      <c r="SIK57" s="94"/>
      <c r="SIL57" s="94"/>
      <c r="SIM57" s="94"/>
      <c r="SIN57" s="94"/>
      <c r="SIO57" s="94"/>
      <c r="SIP57" s="94"/>
      <c r="SIQ57" s="94"/>
      <c r="SIR57" s="94"/>
      <c r="SIS57" s="94"/>
      <c r="SIT57" s="94"/>
      <c r="SIU57" s="94"/>
      <c r="SIV57" s="94"/>
      <c r="SIW57" s="94"/>
      <c r="SIX57" s="94"/>
      <c r="SIY57" s="94"/>
      <c r="SIZ57" s="94"/>
      <c r="SJA57" s="94"/>
      <c r="SJB57" s="94"/>
      <c r="SJC57" s="94"/>
      <c r="SJD57" s="94"/>
      <c r="SJE57" s="94"/>
      <c r="SJF57" s="94"/>
      <c r="SJG57" s="94"/>
      <c r="SJH57" s="94"/>
      <c r="SJI57" s="94"/>
      <c r="SJJ57" s="94"/>
      <c r="SJK57" s="94"/>
      <c r="SJL57" s="94"/>
      <c r="SJM57" s="94"/>
      <c r="SJN57" s="94"/>
      <c r="SJO57" s="94"/>
      <c r="SJP57" s="94"/>
      <c r="SJQ57" s="94"/>
      <c r="SJR57" s="94"/>
      <c r="SJS57" s="94"/>
      <c r="SJT57" s="94"/>
      <c r="SJU57" s="94"/>
      <c r="SJV57" s="94"/>
      <c r="SJW57" s="94"/>
      <c r="SJX57" s="94"/>
      <c r="SJY57" s="94"/>
      <c r="SJZ57" s="94"/>
      <c r="SKA57" s="94"/>
      <c r="SKB57" s="94"/>
      <c r="SKC57" s="94"/>
      <c r="SKD57" s="94"/>
      <c r="SKE57" s="94"/>
      <c r="SKF57" s="94"/>
      <c r="SKG57" s="94"/>
      <c r="SKH57" s="94"/>
      <c r="SKI57" s="94"/>
      <c r="SKJ57" s="94"/>
      <c r="SKK57" s="94"/>
      <c r="SKL57" s="94"/>
      <c r="SKM57" s="94"/>
      <c r="SKN57" s="94"/>
      <c r="SKO57" s="94"/>
      <c r="SKP57" s="94"/>
      <c r="SKQ57" s="94"/>
      <c r="SKR57" s="94"/>
      <c r="SKS57" s="94"/>
      <c r="SKT57" s="94"/>
      <c r="SKU57" s="94"/>
      <c r="SKV57" s="94"/>
      <c r="SKW57" s="94"/>
      <c r="SKX57" s="94"/>
      <c r="SKY57" s="94"/>
      <c r="SKZ57" s="94"/>
      <c r="SLA57" s="94"/>
      <c r="SLB57" s="94"/>
      <c r="SLC57" s="94"/>
      <c r="SLD57" s="94"/>
      <c r="SLE57" s="94"/>
      <c r="SLF57" s="94"/>
      <c r="SLG57" s="94"/>
      <c r="SLH57" s="94"/>
      <c r="SLI57" s="94"/>
      <c r="SLJ57" s="94"/>
      <c r="SLK57" s="94"/>
      <c r="SLL57" s="94"/>
      <c r="SLM57" s="94"/>
      <c r="SLN57" s="94"/>
      <c r="SLO57" s="94"/>
      <c r="SLP57" s="94"/>
      <c r="SLQ57" s="94"/>
      <c r="SLR57" s="94"/>
      <c r="SLS57" s="94"/>
      <c r="SLT57" s="94"/>
      <c r="SLU57" s="94"/>
      <c r="SLV57" s="94"/>
      <c r="SLW57" s="94"/>
      <c r="SLX57" s="94"/>
      <c r="SLY57" s="94"/>
      <c r="SLZ57" s="94"/>
      <c r="SMA57" s="94"/>
      <c r="SMB57" s="94"/>
      <c r="SMC57" s="94"/>
      <c r="SMD57" s="94"/>
      <c r="SME57" s="94"/>
      <c r="SMF57" s="94"/>
      <c r="SMG57" s="94"/>
      <c r="SMH57" s="94"/>
      <c r="SMI57" s="94"/>
      <c r="SMJ57" s="94"/>
      <c r="SMK57" s="94"/>
      <c r="SML57" s="94"/>
      <c r="SMM57" s="94"/>
      <c r="SMN57" s="94"/>
      <c r="SMO57" s="94"/>
      <c r="SMP57" s="94"/>
      <c r="SMQ57" s="94"/>
      <c r="SMR57" s="94"/>
      <c r="SMS57" s="94"/>
      <c r="SMT57" s="94"/>
      <c r="SMU57" s="94"/>
      <c r="SMV57" s="94"/>
      <c r="SMW57" s="94"/>
      <c r="SMX57" s="94"/>
      <c r="SMY57" s="94"/>
      <c r="SMZ57" s="94"/>
      <c r="SNA57" s="94"/>
      <c r="SNB57" s="94"/>
      <c r="SNC57" s="94"/>
      <c r="SND57" s="94"/>
      <c r="SNE57" s="94"/>
      <c r="SNF57" s="94"/>
      <c r="SNG57" s="94"/>
      <c r="SNH57" s="94"/>
      <c r="SNI57" s="94"/>
      <c r="SNJ57" s="94"/>
      <c r="SNK57" s="94"/>
      <c r="SNL57" s="94"/>
      <c r="SNM57" s="94"/>
      <c r="SNN57" s="94"/>
      <c r="SNO57" s="94"/>
      <c r="SNP57" s="94"/>
      <c r="SNQ57" s="94"/>
      <c r="SNR57" s="94"/>
      <c r="SNS57" s="94"/>
      <c r="SNT57" s="94"/>
      <c r="SNU57" s="94"/>
      <c r="SNV57" s="94"/>
      <c r="SNW57" s="94"/>
      <c r="SNX57" s="94"/>
      <c r="SNY57" s="94"/>
      <c r="SNZ57" s="94"/>
      <c r="SOA57" s="94"/>
      <c r="SOB57" s="94"/>
      <c r="SOC57" s="94"/>
      <c r="SOD57" s="94"/>
      <c r="SOE57" s="94"/>
      <c r="SOF57" s="94"/>
      <c r="SOG57" s="94"/>
      <c r="SOH57" s="94"/>
      <c r="SOI57" s="94"/>
      <c r="SOJ57" s="94"/>
      <c r="SOK57" s="94"/>
      <c r="SOL57" s="94"/>
      <c r="SOM57" s="94"/>
      <c r="SON57" s="94"/>
      <c r="SOO57" s="94"/>
      <c r="SOP57" s="94"/>
      <c r="SOQ57" s="94"/>
      <c r="SOR57" s="94"/>
      <c r="SOS57" s="94"/>
      <c r="SOT57" s="94"/>
      <c r="SOU57" s="94"/>
      <c r="SOV57" s="94"/>
      <c r="SOW57" s="94"/>
      <c r="SOX57" s="94"/>
      <c r="SOY57" s="94"/>
      <c r="SOZ57" s="94"/>
      <c r="SPA57" s="94"/>
      <c r="SPB57" s="94"/>
      <c r="SPC57" s="94"/>
      <c r="SPD57" s="94"/>
      <c r="SPE57" s="94"/>
      <c r="SPF57" s="94"/>
      <c r="SPG57" s="94"/>
      <c r="SPH57" s="94"/>
      <c r="SPI57" s="94"/>
      <c r="SPJ57" s="94"/>
      <c r="SPK57" s="94"/>
      <c r="SPL57" s="94"/>
      <c r="SPM57" s="94"/>
      <c r="SPN57" s="94"/>
      <c r="SPO57" s="94"/>
      <c r="SPP57" s="94"/>
      <c r="SPQ57" s="94"/>
      <c r="SPR57" s="94"/>
      <c r="SPS57" s="94"/>
      <c r="SPT57" s="94"/>
      <c r="SPU57" s="94"/>
      <c r="SPV57" s="94"/>
      <c r="SPW57" s="94"/>
      <c r="SPX57" s="94"/>
      <c r="SPY57" s="94"/>
      <c r="SPZ57" s="94"/>
      <c r="SQA57" s="94"/>
      <c r="SQB57" s="94"/>
      <c r="SQC57" s="94"/>
      <c r="SQD57" s="94"/>
      <c r="SQE57" s="94"/>
      <c r="SQF57" s="94"/>
      <c r="SQG57" s="94"/>
      <c r="SQH57" s="94"/>
      <c r="SQI57" s="94"/>
      <c r="SQJ57" s="94"/>
      <c r="SQK57" s="94"/>
      <c r="SQL57" s="94"/>
      <c r="SQM57" s="94"/>
      <c r="SQN57" s="94"/>
      <c r="SQO57" s="94"/>
      <c r="SQP57" s="94"/>
      <c r="SQQ57" s="94"/>
      <c r="SQR57" s="94"/>
      <c r="SQS57" s="94"/>
      <c r="SQT57" s="94"/>
      <c r="SQU57" s="94"/>
      <c r="SQV57" s="94"/>
      <c r="SQW57" s="94"/>
      <c r="SQX57" s="94"/>
      <c r="SQY57" s="94"/>
      <c r="SQZ57" s="94"/>
      <c r="SRA57" s="94"/>
      <c r="SRB57" s="94"/>
      <c r="SRC57" s="94"/>
      <c r="SRD57" s="94"/>
      <c r="SRE57" s="94"/>
      <c r="SRF57" s="94"/>
      <c r="SRG57" s="94"/>
      <c r="SRH57" s="94"/>
      <c r="SRI57" s="94"/>
      <c r="SRJ57" s="94"/>
      <c r="SRK57" s="94"/>
      <c r="SRL57" s="94"/>
      <c r="SRM57" s="94"/>
      <c r="SRN57" s="94"/>
      <c r="SRO57" s="94"/>
      <c r="SRP57" s="94"/>
      <c r="SRQ57" s="94"/>
      <c r="SRR57" s="94"/>
      <c r="SRS57" s="94"/>
      <c r="SRT57" s="94"/>
      <c r="SRU57" s="94"/>
      <c r="SRV57" s="94"/>
      <c r="SRW57" s="94"/>
      <c r="SRX57" s="94"/>
      <c r="SRY57" s="94"/>
      <c r="SRZ57" s="94"/>
      <c r="SSA57" s="94"/>
      <c r="SSB57" s="94"/>
      <c r="SSC57" s="94"/>
      <c r="SSD57" s="94"/>
      <c r="SSE57" s="94"/>
      <c r="SSF57" s="94"/>
      <c r="SSG57" s="94"/>
      <c r="SSH57" s="94"/>
      <c r="SSI57" s="94"/>
      <c r="SSJ57" s="94"/>
      <c r="SSK57" s="94"/>
      <c r="SSL57" s="94"/>
      <c r="SSM57" s="94"/>
      <c r="SSN57" s="94"/>
      <c r="SSO57" s="94"/>
      <c r="SSP57" s="94"/>
      <c r="SSQ57" s="94"/>
      <c r="SSR57" s="94"/>
      <c r="SSS57" s="94"/>
      <c r="SST57" s="94"/>
      <c r="SSU57" s="94"/>
      <c r="SSV57" s="94"/>
      <c r="SSW57" s="94"/>
      <c r="SSX57" s="94"/>
      <c r="SSY57" s="94"/>
      <c r="SSZ57" s="94"/>
      <c r="STA57" s="94"/>
      <c r="STB57" s="94"/>
      <c r="STC57" s="94"/>
      <c r="STD57" s="94"/>
      <c r="STE57" s="94"/>
      <c r="STF57" s="94"/>
      <c r="STG57" s="94"/>
      <c r="STH57" s="94"/>
      <c r="STI57" s="94"/>
      <c r="STJ57" s="94"/>
      <c r="STK57" s="94"/>
      <c r="STL57" s="94"/>
      <c r="STM57" s="94"/>
      <c r="STN57" s="94"/>
      <c r="STO57" s="94"/>
      <c r="STP57" s="94"/>
      <c r="STQ57" s="94"/>
      <c r="STR57" s="94"/>
      <c r="STS57" s="94"/>
      <c r="STT57" s="94"/>
      <c r="STU57" s="94"/>
      <c r="STV57" s="94"/>
      <c r="STW57" s="94"/>
      <c r="STX57" s="94"/>
      <c r="STY57" s="94"/>
      <c r="STZ57" s="94"/>
      <c r="SUA57" s="94"/>
      <c r="SUB57" s="94"/>
      <c r="SUC57" s="94"/>
      <c r="SUD57" s="94"/>
      <c r="SUE57" s="94"/>
      <c r="SUF57" s="94"/>
      <c r="SUG57" s="94"/>
      <c r="SUH57" s="94"/>
      <c r="SUI57" s="94"/>
      <c r="SUJ57" s="94"/>
      <c r="SUK57" s="94"/>
      <c r="SUL57" s="94"/>
      <c r="SUM57" s="94"/>
      <c r="SUN57" s="94"/>
      <c r="SUO57" s="94"/>
      <c r="SUP57" s="94"/>
      <c r="SUQ57" s="94"/>
      <c r="SUR57" s="94"/>
      <c r="SUS57" s="94"/>
      <c r="SUT57" s="94"/>
      <c r="SUU57" s="94"/>
      <c r="SUV57" s="94"/>
      <c r="SUW57" s="94"/>
      <c r="SUX57" s="94"/>
      <c r="SUY57" s="94"/>
      <c r="SUZ57" s="94"/>
      <c r="SVA57" s="94"/>
      <c r="SVB57" s="94"/>
      <c r="SVC57" s="94"/>
      <c r="SVD57" s="94"/>
      <c r="SVE57" s="94"/>
      <c r="SVF57" s="94"/>
      <c r="SVG57" s="94"/>
      <c r="SVH57" s="94"/>
      <c r="SVI57" s="94"/>
      <c r="SVJ57" s="94"/>
      <c r="SVK57" s="94"/>
      <c r="SVL57" s="94"/>
      <c r="SVM57" s="94"/>
      <c r="SVN57" s="94"/>
      <c r="SVO57" s="94"/>
      <c r="SVP57" s="94"/>
      <c r="SVQ57" s="94"/>
      <c r="SVR57" s="94"/>
      <c r="SVS57" s="94"/>
      <c r="SVT57" s="94"/>
      <c r="SVU57" s="94"/>
      <c r="SVV57" s="94"/>
      <c r="SVW57" s="94"/>
      <c r="SVX57" s="94"/>
      <c r="SVY57" s="94"/>
      <c r="SVZ57" s="94"/>
      <c r="SWA57" s="94"/>
      <c r="SWB57" s="94"/>
      <c r="SWC57" s="94"/>
      <c r="SWD57" s="94"/>
      <c r="SWE57" s="94"/>
      <c r="SWF57" s="94"/>
      <c r="SWG57" s="94"/>
      <c r="SWH57" s="94"/>
      <c r="SWI57" s="94"/>
      <c r="SWJ57" s="94"/>
      <c r="SWK57" s="94"/>
      <c r="SWL57" s="94"/>
      <c r="SWM57" s="94"/>
      <c r="SWN57" s="94"/>
      <c r="SWO57" s="94"/>
      <c r="SWP57" s="94"/>
      <c r="SWQ57" s="94"/>
      <c r="SWR57" s="94"/>
      <c r="SWS57" s="94"/>
      <c r="SWT57" s="94"/>
      <c r="SWU57" s="94"/>
      <c r="SWV57" s="94"/>
      <c r="SWW57" s="94"/>
      <c r="SWX57" s="94"/>
      <c r="SWY57" s="94"/>
      <c r="SWZ57" s="94"/>
      <c r="SXA57" s="94"/>
      <c r="SXB57" s="94"/>
      <c r="SXC57" s="94"/>
      <c r="SXD57" s="94"/>
      <c r="SXE57" s="94"/>
      <c r="SXF57" s="94"/>
      <c r="SXG57" s="94"/>
      <c r="SXH57" s="94"/>
      <c r="SXI57" s="94"/>
      <c r="SXJ57" s="94"/>
      <c r="SXK57" s="94"/>
      <c r="SXL57" s="94"/>
      <c r="SXM57" s="94"/>
      <c r="SXN57" s="94"/>
      <c r="SXO57" s="94"/>
      <c r="SXP57" s="94"/>
      <c r="SXQ57" s="94"/>
      <c r="SXR57" s="94"/>
      <c r="SXS57" s="94"/>
      <c r="SXT57" s="94"/>
      <c r="SXU57" s="94"/>
      <c r="SXV57" s="94"/>
      <c r="SXW57" s="94"/>
      <c r="SXX57" s="94"/>
      <c r="SXY57" s="94"/>
      <c r="SXZ57" s="94"/>
      <c r="SYA57" s="94"/>
      <c r="SYB57" s="94"/>
      <c r="SYC57" s="94"/>
      <c r="SYD57" s="94"/>
      <c r="SYE57" s="94"/>
      <c r="SYF57" s="94"/>
      <c r="SYG57" s="94"/>
      <c r="SYH57" s="94"/>
      <c r="SYI57" s="94"/>
      <c r="SYJ57" s="94"/>
      <c r="SYK57" s="94"/>
      <c r="SYL57" s="94"/>
      <c r="SYM57" s="94"/>
      <c r="SYN57" s="94"/>
      <c r="SYO57" s="94"/>
      <c r="SYP57" s="94"/>
      <c r="SYQ57" s="94"/>
      <c r="SYR57" s="94"/>
      <c r="SYS57" s="94"/>
      <c r="SYT57" s="94"/>
      <c r="SYU57" s="94"/>
      <c r="SYV57" s="94"/>
      <c r="SYW57" s="94"/>
      <c r="SYX57" s="94"/>
      <c r="SYY57" s="94"/>
      <c r="SYZ57" s="94"/>
      <c r="SZA57" s="94"/>
      <c r="SZB57" s="94"/>
      <c r="SZC57" s="94"/>
      <c r="SZD57" s="94"/>
      <c r="SZE57" s="94"/>
      <c r="SZF57" s="94"/>
      <c r="SZG57" s="94"/>
      <c r="SZH57" s="94"/>
      <c r="SZI57" s="94"/>
      <c r="SZJ57" s="94"/>
      <c r="SZK57" s="94"/>
      <c r="SZL57" s="94"/>
      <c r="SZM57" s="94"/>
      <c r="SZN57" s="94"/>
      <c r="SZO57" s="94"/>
      <c r="SZP57" s="94"/>
      <c r="SZQ57" s="94"/>
      <c r="SZR57" s="94"/>
      <c r="SZS57" s="94"/>
      <c r="SZT57" s="94"/>
      <c r="SZU57" s="94"/>
      <c r="SZV57" s="94"/>
      <c r="SZW57" s="94"/>
      <c r="SZX57" s="94"/>
      <c r="SZY57" s="94"/>
      <c r="SZZ57" s="94"/>
      <c r="TAA57" s="94"/>
      <c r="TAB57" s="94"/>
      <c r="TAC57" s="94"/>
      <c r="TAD57" s="94"/>
      <c r="TAE57" s="94"/>
      <c r="TAF57" s="94"/>
      <c r="TAG57" s="94"/>
      <c r="TAH57" s="94"/>
      <c r="TAI57" s="94"/>
      <c r="TAJ57" s="94"/>
      <c r="TAK57" s="94"/>
      <c r="TAL57" s="94"/>
      <c r="TAM57" s="94"/>
      <c r="TAN57" s="94"/>
      <c r="TAO57" s="94"/>
      <c r="TAP57" s="94"/>
      <c r="TAQ57" s="94"/>
      <c r="TAR57" s="94"/>
      <c r="TAS57" s="94"/>
      <c r="TAT57" s="94"/>
      <c r="TAU57" s="94"/>
      <c r="TAV57" s="94"/>
      <c r="TAW57" s="94"/>
      <c r="TAX57" s="94"/>
      <c r="TAY57" s="94"/>
      <c r="TAZ57" s="94"/>
      <c r="TBA57" s="94"/>
      <c r="TBB57" s="94"/>
      <c r="TBC57" s="94"/>
      <c r="TBD57" s="94"/>
      <c r="TBE57" s="94"/>
      <c r="TBF57" s="94"/>
      <c r="TBG57" s="94"/>
      <c r="TBH57" s="94"/>
      <c r="TBI57" s="94"/>
      <c r="TBJ57" s="94"/>
      <c r="TBK57" s="94"/>
      <c r="TBL57" s="94"/>
      <c r="TBM57" s="94"/>
      <c r="TBN57" s="94"/>
      <c r="TBO57" s="94"/>
      <c r="TBP57" s="94"/>
      <c r="TBQ57" s="94"/>
      <c r="TBR57" s="94"/>
      <c r="TBS57" s="94"/>
      <c r="TBT57" s="94"/>
      <c r="TBU57" s="94"/>
      <c r="TBV57" s="94"/>
      <c r="TBW57" s="94"/>
      <c r="TBX57" s="94"/>
      <c r="TBY57" s="94"/>
      <c r="TBZ57" s="94"/>
      <c r="TCA57" s="94"/>
      <c r="TCB57" s="94"/>
      <c r="TCC57" s="94"/>
      <c r="TCD57" s="94"/>
      <c r="TCE57" s="94"/>
      <c r="TCF57" s="94"/>
      <c r="TCG57" s="94"/>
      <c r="TCH57" s="94"/>
      <c r="TCI57" s="94"/>
      <c r="TCJ57" s="94"/>
      <c r="TCK57" s="94"/>
      <c r="TCL57" s="94"/>
      <c r="TCM57" s="94"/>
      <c r="TCN57" s="94"/>
      <c r="TCO57" s="94"/>
      <c r="TCP57" s="94"/>
      <c r="TCQ57" s="94"/>
      <c r="TCR57" s="94"/>
      <c r="TCS57" s="94"/>
      <c r="TCT57" s="94"/>
      <c r="TCU57" s="94"/>
      <c r="TCV57" s="94"/>
      <c r="TCW57" s="94"/>
      <c r="TCX57" s="94"/>
      <c r="TCY57" s="94"/>
      <c r="TCZ57" s="94"/>
      <c r="TDA57" s="94"/>
      <c r="TDB57" s="94"/>
      <c r="TDC57" s="94"/>
      <c r="TDD57" s="94"/>
      <c r="TDE57" s="94"/>
      <c r="TDF57" s="94"/>
      <c r="TDG57" s="94"/>
      <c r="TDH57" s="94"/>
      <c r="TDI57" s="94"/>
      <c r="TDJ57" s="94"/>
      <c r="TDK57" s="94"/>
      <c r="TDL57" s="94"/>
      <c r="TDM57" s="94"/>
      <c r="TDN57" s="94"/>
      <c r="TDO57" s="94"/>
      <c r="TDP57" s="94"/>
      <c r="TDQ57" s="94"/>
      <c r="TDR57" s="94"/>
      <c r="TDS57" s="94"/>
      <c r="TDT57" s="94"/>
      <c r="TDU57" s="94"/>
      <c r="TDV57" s="94"/>
      <c r="TDW57" s="94"/>
      <c r="TDX57" s="94"/>
      <c r="TDY57" s="94"/>
      <c r="TDZ57" s="94"/>
      <c r="TEA57" s="94"/>
      <c r="TEB57" s="94"/>
      <c r="TEC57" s="94"/>
      <c r="TED57" s="94"/>
      <c r="TEE57" s="94"/>
      <c r="TEF57" s="94"/>
      <c r="TEG57" s="94"/>
      <c r="TEH57" s="94"/>
      <c r="TEI57" s="94"/>
      <c r="TEJ57" s="94"/>
      <c r="TEK57" s="94"/>
      <c r="TEL57" s="94"/>
      <c r="TEM57" s="94"/>
      <c r="TEN57" s="94"/>
      <c r="TEO57" s="94"/>
      <c r="TEP57" s="94"/>
      <c r="TEQ57" s="94"/>
      <c r="TER57" s="94"/>
      <c r="TES57" s="94"/>
      <c r="TET57" s="94"/>
      <c r="TEU57" s="94"/>
      <c r="TEV57" s="94"/>
      <c r="TEW57" s="94"/>
      <c r="TEX57" s="94"/>
      <c r="TEY57" s="94"/>
      <c r="TEZ57" s="94"/>
      <c r="TFA57" s="94"/>
      <c r="TFB57" s="94"/>
      <c r="TFC57" s="94"/>
      <c r="TFD57" s="94"/>
      <c r="TFE57" s="94"/>
      <c r="TFF57" s="94"/>
      <c r="TFG57" s="94"/>
      <c r="TFH57" s="94"/>
      <c r="TFI57" s="94"/>
      <c r="TFJ57" s="94"/>
      <c r="TFK57" s="94"/>
      <c r="TFL57" s="94"/>
      <c r="TFM57" s="94"/>
      <c r="TFN57" s="94"/>
      <c r="TFO57" s="94"/>
      <c r="TFP57" s="94"/>
      <c r="TFQ57" s="94"/>
      <c r="TFR57" s="94"/>
      <c r="TFS57" s="94"/>
      <c r="TFT57" s="94"/>
      <c r="TFU57" s="94"/>
      <c r="TFV57" s="94"/>
      <c r="TFW57" s="94"/>
      <c r="TFX57" s="94"/>
      <c r="TFY57" s="94"/>
      <c r="TFZ57" s="94"/>
      <c r="TGA57" s="94"/>
      <c r="TGB57" s="94"/>
      <c r="TGC57" s="94"/>
      <c r="TGD57" s="94"/>
      <c r="TGE57" s="94"/>
      <c r="TGF57" s="94"/>
      <c r="TGG57" s="94"/>
      <c r="TGH57" s="94"/>
      <c r="TGI57" s="94"/>
      <c r="TGJ57" s="94"/>
      <c r="TGK57" s="94"/>
      <c r="TGL57" s="94"/>
      <c r="TGM57" s="94"/>
      <c r="TGN57" s="94"/>
      <c r="TGO57" s="94"/>
      <c r="TGP57" s="94"/>
      <c r="TGQ57" s="94"/>
      <c r="TGR57" s="94"/>
      <c r="TGS57" s="94"/>
      <c r="TGT57" s="94"/>
      <c r="TGU57" s="94"/>
      <c r="TGV57" s="94"/>
      <c r="TGW57" s="94"/>
      <c r="TGX57" s="94"/>
      <c r="TGY57" s="94"/>
      <c r="TGZ57" s="94"/>
      <c r="THA57" s="94"/>
      <c r="THB57" s="94"/>
      <c r="THC57" s="94"/>
      <c r="THD57" s="94"/>
      <c r="THE57" s="94"/>
      <c r="THF57" s="94"/>
      <c r="THG57" s="94"/>
      <c r="THH57" s="94"/>
      <c r="THI57" s="94"/>
      <c r="THJ57" s="94"/>
      <c r="THK57" s="94"/>
      <c r="THL57" s="94"/>
      <c r="THM57" s="94"/>
      <c r="THN57" s="94"/>
      <c r="THO57" s="94"/>
      <c r="THP57" s="94"/>
      <c r="THQ57" s="94"/>
      <c r="THR57" s="94"/>
      <c r="THS57" s="94"/>
      <c r="THT57" s="94"/>
      <c r="THU57" s="94"/>
      <c r="THV57" s="94"/>
      <c r="THW57" s="94"/>
      <c r="THX57" s="94"/>
      <c r="THY57" s="94"/>
      <c r="THZ57" s="94"/>
      <c r="TIA57" s="94"/>
      <c r="TIB57" s="94"/>
      <c r="TIC57" s="94"/>
      <c r="TID57" s="94"/>
      <c r="TIE57" s="94"/>
      <c r="TIF57" s="94"/>
      <c r="TIG57" s="94"/>
      <c r="TIH57" s="94"/>
      <c r="TII57" s="94"/>
      <c r="TIJ57" s="94"/>
      <c r="TIK57" s="94"/>
      <c r="TIL57" s="94"/>
      <c r="TIM57" s="94"/>
      <c r="TIN57" s="94"/>
      <c r="TIO57" s="94"/>
      <c r="TIP57" s="94"/>
      <c r="TIQ57" s="94"/>
      <c r="TIR57" s="94"/>
      <c r="TIS57" s="94"/>
      <c r="TIT57" s="94"/>
      <c r="TIU57" s="94"/>
      <c r="TIV57" s="94"/>
      <c r="TIW57" s="94"/>
      <c r="TIX57" s="94"/>
      <c r="TIY57" s="94"/>
      <c r="TIZ57" s="94"/>
      <c r="TJA57" s="94"/>
      <c r="TJB57" s="94"/>
      <c r="TJC57" s="94"/>
      <c r="TJD57" s="94"/>
      <c r="TJE57" s="94"/>
      <c r="TJF57" s="94"/>
      <c r="TJG57" s="94"/>
      <c r="TJH57" s="94"/>
      <c r="TJI57" s="94"/>
      <c r="TJJ57" s="94"/>
      <c r="TJK57" s="94"/>
      <c r="TJL57" s="94"/>
      <c r="TJM57" s="94"/>
      <c r="TJN57" s="94"/>
      <c r="TJO57" s="94"/>
      <c r="TJP57" s="94"/>
      <c r="TJQ57" s="94"/>
      <c r="TJR57" s="94"/>
      <c r="TJS57" s="94"/>
      <c r="TJT57" s="94"/>
      <c r="TJU57" s="94"/>
      <c r="TJV57" s="94"/>
      <c r="TJW57" s="94"/>
      <c r="TJX57" s="94"/>
      <c r="TJY57" s="94"/>
      <c r="TJZ57" s="94"/>
      <c r="TKA57" s="94"/>
      <c r="TKB57" s="94"/>
      <c r="TKC57" s="94"/>
      <c r="TKD57" s="94"/>
      <c r="TKE57" s="94"/>
      <c r="TKF57" s="94"/>
      <c r="TKG57" s="94"/>
      <c r="TKH57" s="94"/>
      <c r="TKI57" s="94"/>
      <c r="TKJ57" s="94"/>
      <c r="TKK57" s="94"/>
      <c r="TKL57" s="94"/>
      <c r="TKM57" s="94"/>
      <c r="TKN57" s="94"/>
      <c r="TKO57" s="94"/>
      <c r="TKP57" s="94"/>
      <c r="TKQ57" s="94"/>
      <c r="TKR57" s="94"/>
      <c r="TKS57" s="94"/>
      <c r="TKT57" s="94"/>
      <c r="TKU57" s="94"/>
      <c r="TKV57" s="94"/>
      <c r="TKW57" s="94"/>
      <c r="TKX57" s="94"/>
      <c r="TKY57" s="94"/>
      <c r="TKZ57" s="94"/>
      <c r="TLA57" s="94"/>
      <c r="TLB57" s="94"/>
      <c r="TLC57" s="94"/>
      <c r="TLD57" s="94"/>
      <c r="TLE57" s="94"/>
      <c r="TLF57" s="94"/>
      <c r="TLG57" s="94"/>
      <c r="TLH57" s="94"/>
      <c r="TLI57" s="94"/>
      <c r="TLJ57" s="94"/>
      <c r="TLK57" s="94"/>
      <c r="TLL57" s="94"/>
      <c r="TLM57" s="94"/>
      <c r="TLN57" s="94"/>
      <c r="TLO57" s="94"/>
      <c r="TLP57" s="94"/>
      <c r="TLQ57" s="94"/>
      <c r="TLR57" s="94"/>
      <c r="TLS57" s="94"/>
      <c r="TLT57" s="94"/>
      <c r="TLU57" s="94"/>
      <c r="TLV57" s="94"/>
      <c r="TLW57" s="94"/>
      <c r="TLX57" s="94"/>
      <c r="TLY57" s="94"/>
      <c r="TLZ57" s="94"/>
      <c r="TMA57" s="94"/>
      <c r="TMB57" s="94"/>
      <c r="TMC57" s="94"/>
      <c r="TMD57" s="94"/>
      <c r="TME57" s="94"/>
      <c r="TMF57" s="94"/>
      <c r="TMG57" s="94"/>
      <c r="TMH57" s="94"/>
      <c r="TMI57" s="94"/>
      <c r="TMJ57" s="94"/>
      <c r="TMK57" s="94"/>
      <c r="TML57" s="94"/>
      <c r="TMM57" s="94"/>
      <c r="TMN57" s="94"/>
      <c r="TMO57" s="94"/>
      <c r="TMP57" s="94"/>
      <c r="TMQ57" s="94"/>
      <c r="TMR57" s="94"/>
      <c r="TMS57" s="94"/>
      <c r="TMT57" s="94"/>
      <c r="TMU57" s="94"/>
      <c r="TMV57" s="94"/>
      <c r="TMW57" s="94"/>
      <c r="TMX57" s="94"/>
      <c r="TMY57" s="94"/>
      <c r="TMZ57" s="94"/>
      <c r="TNA57" s="94"/>
      <c r="TNB57" s="94"/>
      <c r="TNC57" s="94"/>
      <c r="TND57" s="94"/>
      <c r="TNE57" s="94"/>
      <c r="TNF57" s="94"/>
      <c r="TNG57" s="94"/>
      <c r="TNH57" s="94"/>
      <c r="TNI57" s="94"/>
      <c r="TNJ57" s="94"/>
      <c r="TNK57" s="94"/>
      <c r="TNL57" s="94"/>
      <c r="TNM57" s="94"/>
      <c r="TNN57" s="94"/>
      <c r="TNO57" s="94"/>
      <c r="TNP57" s="94"/>
      <c r="TNQ57" s="94"/>
      <c r="TNR57" s="94"/>
      <c r="TNS57" s="94"/>
      <c r="TNT57" s="94"/>
      <c r="TNU57" s="94"/>
      <c r="TNV57" s="94"/>
      <c r="TNW57" s="94"/>
      <c r="TNX57" s="94"/>
      <c r="TNY57" s="94"/>
      <c r="TNZ57" s="94"/>
      <c r="TOA57" s="94"/>
      <c r="TOB57" s="94"/>
      <c r="TOC57" s="94"/>
      <c r="TOD57" s="94"/>
      <c r="TOE57" s="94"/>
      <c r="TOF57" s="94"/>
      <c r="TOG57" s="94"/>
      <c r="TOH57" s="94"/>
      <c r="TOI57" s="94"/>
      <c r="TOJ57" s="94"/>
      <c r="TOK57" s="94"/>
      <c r="TOL57" s="94"/>
      <c r="TOM57" s="94"/>
      <c r="TON57" s="94"/>
      <c r="TOO57" s="94"/>
      <c r="TOP57" s="94"/>
      <c r="TOQ57" s="94"/>
      <c r="TOR57" s="94"/>
      <c r="TOS57" s="94"/>
      <c r="TOT57" s="94"/>
      <c r="TOU57" s="94"/>
      <c r="TOV57" s="94"/>
      <c r="TOW57" s="94"/>
      <c r="TOX57" s="94"/>
      <c r="TOY57" s="94"/>
      <c r="TOZ57" s="94"/>
      <c r="TPA57" s="94"/>
      <c r="TPB57" s="94"/>
      <c r="TPC57" s="94"/>
      <c r="TPD57" s="94"/>
      <c r="TPE57" s="94"/>
      <c r="TPF57" s="94"/>
      <c r="TPG57" s="94"/>
      <c r="TPH57" s="94"/>
      <c r="TPI57" s="94"/>
      <c r="TPJ57" s="94"/>
      <c r="TPK57" s="94"/>
      <c r="TPL57" s="94"/>
      <c r="TPM57" s="94"/>
      <c r="TPN57" s="94"/>
      <c r="TPO57" s="94"/>
      <c r="TPP57" s="94"/>
      <c r="TPQ57" s="94"/>
      <c r="TPR57" s="94"/>
      <c r="TPS57" s="94"/>
      <c r="TPT57" s="94"/>
      <c r="TPU57" s="94"/>
      <c r="TPV57" s="94"/>
      <c r="TPW57" s="94"/>
      <c r="TPX57" s="94"/>
      <c r="TPY57" s="94"/>
      <c r="TPZ57" s="94"/>
      <c r="TQA57" s="94"/>
      <c r="TQB57" s="94"/>
      <c r="TQC57" s="94"/>
      <c r="TQD57" s="94"/>
      <c r="TQE57" s="94"/>
      <c r="TQF57" s="94"/>
      <c r="TQG57" s="94"/>
      <c r="TQH57" s="94"/>
      <c r="TQI57" s="94"/>
      <c r="TQJ57" s="94"/>
      <c r="TQK57" s="94"/>
      <c r="TQL57" s="94"/>
      <c r="TQM57" s="94"/>
      <c r="TQN57" s="94"/>
      <c r="TQO57" s="94"/>
      <c r="TQP57" s="94"/>
      <c r="TQQ57" s="94"/>
      <c r="TQR57" s="94"/>
      <c r="TQS57" s="94"/>
      <c r="TQT57" s="94"/>
      <c r="TQU57" s="94"/>
      <c r="TQV57" s="94"/>
      <c r="TQW57" s="94"/>
      <c r="TQX57" s="94"/>
      <c r="TQY57" s="94"/>
      <c r="TQZ57" s="94"/>
      <c r="TRA57" s="94"/>
      <c r="TRB57" s="94"/>
      <c r="TRC57" s="94"/>
      <c r="TRD57" s="94"/>
      <c r="TRE57" s="94"/>
      <c r="TRF57" s="94"/>
      <c r="TRG57" s="94"/>
      <c r="TRH57" s="94"/>
      <c r="TRI57" s="94"/>
      <c r="TRJ57" s="94"/>
      <c r="TRK57" s="94"/>
      <c r="TRL57" s="94"/>
      <c r="TRM57" s="94"/>
      <c r="TRN57" s="94"/>
      <c r="TRO57" s="94"/>
      <c r="TRP57" s="94"/>
      <c r="TRQ57" s="94"/>
      <c r="TRR57" s="94"/>
      <c r="TRS57" s="94"/>
      <c r="TRT57" s="94"/>
      <c r="TRU57" s="94"/>
      <c r="TRV57" s="94"/>
      <c r="TRW57" s="94"/>
      <c r="TRX57" s="94"/>
      <c r="TRY57" s="94"/>
      <c r="TRZ57" s="94"/>
      <c r="TSA57" s="94"/>
      <c r="TSB57" s="94"/>
      <c r="TSC57" s="94"/>
      <c r="TSD57" s="94"/>
      <c r="TSE57" s="94"/>
      <c r="TSF57" s="94"/>
      <c r="TSG57" s="94"/>
      <c r="TSH57" s="94"/>
      <c r="TSI57" s="94"/>
      <c r="TSJ57" s="94"/>
      <c r="TSK57" s="94"/>
      <c r="TSL57" s="94"/>
      <c r="TSM57" s="94"/>
      <c r="TSN57" s="94"/>
      <c r="TSO57" s="94"/>
      <c r="TSP57" s="94"/>
      <c r="TSQ57" s="94"/>
      <c r="TSR57" s="94"/>
      <c r="TSS57" s="94"/>
      <c r="TST57" s="94"/>
      <c r="TSU57" s="94"/>
      <c r="TSV57" s="94"/>
      <c r="TSW57" s="94"/>
      <c r="TSX57" s="94"/>
      <c r="TSY57" s="94"/>
      <c r="TSZ57" s="94"/>
      <c r="TTA57" s="94"/>
      <c r="TTB57" s="94"/>
      <c r="TTC57" s="94"/>
      <c r="TTD57" s="94"/>
      <c r="TTE57" s="94"/>
      <c r="TTF57" s="94"/>
      <c r="TTG57" s="94"/>
      <c r="TTH57" s="94"/>
      <c r="TTI57" s="94"/>
      <c r="TTJ57" s="94"/>
      <c r="TTK57" s="94"/>
      <c r="TTL57" s="94"/>
      <c r="TTM57" s="94"/>
      <c r="TTN57" s="94"/>
      <c r="TTO57" s="94"/>
      <c r="TTP57" s="94"/>
      <c r="TTQ57" s="94"/>
      <c r="TTR57" s="94"/>
      <c r="TTS57" s="94"/>
      <c r="TTT57" s="94"/>
      <c r="TTU57" s="94"/>
      <c r="TTV57" s="94"/>
      <c r="TTW57" s="94"/>
      <c r="TTX57" s="94"/>
      <c r="TTY57" s="94"/>
      <c r="TTZ57" s="94"/>
      <c r="TUA57" s="94"/>
      <c r="TUB57" s="94"/>
      <c r="TUC57" s="94"/>
      <c r="TUD57" s="94"/>
      <c r="TUE57" s="94"/>
      <c r="TUF57" s="94"/>
      <c r="TUG57" s="94"/>
      <c r="TUH57" s="94"/>
      <c r="TUI57" s="94"/>
      <c r="TUJ57" s="94"/>
      <c r="TUK57" s="94"/>
      <c r="TUL57" s="94"/>
      <c r="TUM57" s="94"/>
      <c r="TUN57" s="94"/>
      <c r="TUO57" s="94"/>
      <c r="TUP57" s="94"/>
      <c r="TUQ57" s="94"/>
      <c r="TUR57" s="94"/>
      <c r="TUS57" s="94"/>
      <c r="TUT57" s="94"/>
      <c r="TUU57" s="94"/>
      <c r="TUV57" s="94"/>
      <c r="TUW57" s="94"/>
      <c r="TUX57" s="94"/>
      <c r="TUY57" s="94"/>
      <c r="TUZ57" s="94"/>
      <c r="TVA57" s="94"/>
      <c r="TVB57" s="94"/>
      <c r="TVC57" s="94"/>
      <c r="TVD57" s="94"/>
      <c r="TVE57" s="94"/>
      <c r="TVF57" s="94"/>
      <c r="TVG57" s="94"/>
      <c r="TVH57" s="94"/>
      <c r="TVI57" s="94"/>
      <c r="TVJ57" s="94"/>
      <c r="TVK57" s="94"/>
      <c r="TVL57" s="94"/>
      <c r="TVM57" s="94"/>
      <c r="TVN57" s="94"/>
      <c r="TVO57" s="94"/>
      <c r="TVP57" s="94"/>
      <c r="TVQ57" s="94"/>
      <c r="TVR57" s="94"/>
      <c r="TVS57" s="94"/>
      <c r="TVT57" s="94"/>
      <c r="TVU57" s="94"/>
      <c r="TVV57" s="94"/>
      <c r="TVW57" s="94"/>
      <c r="TVX57" s="94"/>
      <c r="TVY57" s="94"/>
      <c r="TVZ57" s="94"/>
      <c r="TWA57" s="94"/>
      <c r="TWB57" s="94"/>
      <c r="TWC57" s="94"/>
      <c r="TWD57" s="94"/>
      <c r="TWE57" s="94"/>
      <c r="TWF57" s="94"/>
      <c r="TWG57" s="94"/>
      <c r="TWH57" s="94"/>
      <c r="TWI57" s="94"/>
      <c r="TWJ57" s="94"/>
      <c r="TWK57" s="94"/>
      <c r="TWL57" s="94"/>
      <c r="TWM57" s="94"/>
      <c r="TWN57" s="94"/>
      <c r="TWO57" s="94"/>
      <c r="TWP57" s="94"/>
      <c r="TWQ57" s="94"/>
      <c r="TWR57" s="94"/>
      <c r="TWS57" s="94"/>
      <c r="TWT57" s="94"/>
      <c r="TWU57" s="94"/>
      <c r="TWV57" s="94"/>
      <c r="TWW57" s="94"/>
      <c r="TWX57" s="94"/>
      <c r="TWY57" s="94"/>
      <c r="TWZ57" s="94"/>
      <c r="TXA57" s="94"/>
      <c r="TXB57" s="94"/>
      <c r="TXC57" s="94"/>
      <c r="TXD57" s="94"/>
      <c r="TXE57" s="94"/>
      <c r="TXF57" s="94"/>
      <c r="TXG57" s="94"/>
      <c r="TXH57" s="94"/>
      <c r="TXI57" s="94"/>
      <c r="TXJ57" s="94"/>
      <c r="TXK57" s="94"/>
      <c r="TXL57" s="94"/>
      <c r="TXM57" s="94"/>
      <c r="TXN57" s="94"/>
      <c r="TXO57" s="94"/>
      <c r="TXP57" s="94"/>
      <c r="TXQ57" s="94"/>
      <c r="TXR57" s="94"/>
      <c r="TXS57" s="94"/>
      <c r="TXT57" s="94"/>
      <c r="TXU57" s="94"/>
      <c r="TXV57" s="94"/>
      <c r="TXW57" s="94"/>
      <c r="TXX57" s="94"/>
      <c r="TXY57" s="94"/>
      <c r="TXZ57" s="94"/>
      <c r="TYA57" s="94"/>
      <c r="TYB57" s="94"/>
      <c r="TYC57" s="94"/>
      <c r="TYD57" s="94"/>
      <c r="TYE57" s="94"/>
      <c r="TYF57" s="94"/>
      <c r="TYG57" s="94"/>
      <c r="TYH57" s="94"/>
      <c r="TYI57" s="94"/>
      <c r="TYJ57" s="94"/>
      <c r="TYK57" s="94"/>
      <c r="TYL57" s="94"/>
      <c r="TYM57" s="94"/>
      <c r="TYN57" s="94"/>
      <c r="TYO57" s="94"/>
      <c r="TYP57" s="94"/>
      <c r="TYQ57" s="94"/>
      <c r="TYR57" s="94"/>
      <c r="TYS57" s="94"/>
      <c r="TYT57" s="94"/>
      <c r="TYU57" s="94"/>
      <c r="TYV57" s="94"/>
      <c r="TYW57" s="94"/>
      <c r="TYX57" s="94"/>
      <c r="TYY57" s="94"/>
      <c r="TYZ57" s="94"/>
      <c r="TZA57" s="94"/>
      <c r="TZB57" s="94"/>
      <c r="TZC57" s="94"/>
      <c r="TZD57" s="94"/>
      <c r="TZE57" s="94"/>
      <c r="TZF57" s="94"/>
      <c r="TZG57" s="94"/>
      <c r="TZH57" s="94"/>
      <c r="TZI57" s="94"/>
      <c r="TZJ57" s="94"/>
      <c r="TZK57" s="94"/>
      <c r="TZL57" s="94"/>
      <c r="TZM57" s="94"/>
      <c r="TZN57" s="94"/>
      <c r="TZO57" s="94"/>
      <c r="TZP57" s="94"/>
      <c r="TZQ57" s="94"/>
      <c r="TZR57" s="94"/>
      <c r="TZS57" s="94"/>
      <c r="TZT57" s="94"/>
      <c r="TZU57" s="94"/>
      <c r="TZV57" s="94"/>
      <c r="TZW57" s="94"/>
      <c r="TZX57" s="94"/>
      <c r="TZY57" s="94"/>
      <c r="TZZ57" s="94"/>
      <c r="UAA57" s="94"/>
      <c r="UAB57" s="94"/>
      <c r="UAC57" s="94"/>
      <c r="UAD57" s="94"/>
      <c r="UAE57" s="94"/>
      <c r="UAF57" s="94"/>
      <c r="UAG57" s="94"/>
      <c r="UAH57" s="94"/>
      <c r="UAI57" s="94"/>
      <c r="UAJ57" s="94"/>
      <c r="UAK57" s="94"/>
      <c r="UAL57" s="94"/>
      <c r="UAM57" s="94"/>
      <c r="UAN57" s="94"/>
      <c r="UAO57" s="94"/>
      <c r="UAP57" s="94"/>
      <c r="UAQ57" s="94"/>
      <c r="UAR57" s="94"/>
      <c r="UAS57" s="94"/>
      <c r="UAT57" s="94"/>
      <c r="UAU57" s="94"/>
      <c r="UAV57" s="94"/>
      <c r="UAW57" s="94"/>
      <c r="UAX57" s="94"/>
      <c r="UAY57" s="94"/>
      <c r="UAZ57" s="94"/>
      <c r="UBA57" s="94"/>
      <c r="UBB57" s="94"/>
      <c r="UBC57" s="94"/>
      <c r="UBD57" s="94"/>
      <c r="UBE57" s="94"/>
      <c r="UBF57" s="94"/>
      <c r="UBG57" s="94"/>
      <c r="UBH57" s="94"/>
      <c r="UBI57" s="94"/>
      <c r="UBJ57" s="94"/>
      <c r="UBK57" s="94"/>
      <c r="UBL57" s="94"/>
      <c r="UBM57" s="94"/>
      <c r="UBN57" s="94"/>
      <c r="UBO57" s="94"/>
      <c r="UBP57" s="94"/>
      <c r="UBQ57" s="94"/>
      <c r="UBR57" s="94"/>
      <c r="UBS57" s="94"/>
      <c r="UBT57" s="94"/>
      <c r="UBU57" s="94"/>
      <c r="UBV57" s="94"/>
      <c r="UBW57" s="94"/>
      <c r="UBX57" s="94"/>
      <c r="UBY57" s="94"/>
      <c r="UBZ57" s="94"/>
      <c r="UCA57" s="94"/>
      <c r="UCB57" s="94"/>
      <c r="UCC57" s="94"/>
      <c r="UCD57" s="94"/>
      <c r="UCE57" s="94"/>
      <c r="UCF57" s="94"/>
      <c r="UCG57" s="94"/>
      <c r="UCH57" s="94"/>
      <c r="UCI57" s="94"/>
      <c r="UCJ57" s="94"/>
      <c r="UCK57" s="94"/>
      <c r="UCL57" s="94"/>
      <c r="UCM57" s="94"/>
      <c r="UCN57" s="94"/>
      <c r="UCO57" s="94"/>
      <c r="UCP57" s="94"/>
      <c r="UCQ57" s="94"/>
      <c r="UCR57" s="94"/>
      <c r="UCS57" s="94"/>
      <c r="UCT57" s="94"/>
      <c r="UCU57" s="94"/>
      <c r="UCV57" s="94"/>
      <c r="UCW57" s="94"/>
      <c r="UCX57" s="94"/>
      <c r="UCY57" s="94"/>
      <c r="UCZ57" s="94"/>
      <c r="UDA57" s="94"/>
      <c r="UDB57" s="94"/>
      <c r="UDC57" s="94"/>
      <c r="UDD57" s="94"/>
      <c r="UDE57" s="94"/>
      <c r="UDF57" s="94"/>
      <c r="UDG57" s="94"/>
      <c r="UDH57" s="94"/>
      <c r="UDI57" s="94"/>
      <c r="UDJ57" s="94"/>
      <c r="UDK57" s="94"/>
      <c r="UDL57" s="94"/>
      <c r="UDM57" s="94"/>
      <c r="UDN57" s="94"/>
      <c r="UDO57" s="94"/>
      <c r="UDP57" s="94"/>
      <c r="UDQ57" s="94"/>
      <c r="UDR57" s="94"/>
      <c r="UDS57" s="94"/>
      <c r="UDT57" s="94"/>
      <c r="UDU57" s="94"/>
      <c r="UDV57" s="94"/>
      <c r="UDW57" s="94"/>
      <c r="UDX57" s="94"/>
      <c r="UDY57" s="94"/>
      <c r="UDZ57" s="94"/>
      <c r="UEA57" s="94"/>
      <c r="UEB57" s="94"/>
      <c r="UEC57" s="94"/>
      <c r="UED57" s="94"/>
      <c r="UEE57" s="94"/>
      <c r="UEF57" s="94"/>
      <c r="UEG57" s="94"/>
      <c r="UEH57" s="94"/>
      <c r="UEI57" s="94"/>
      <c r="UEJ57" s="94"/>
      <c r="UEK57" s="94"/>
      <c r="UEL57" s="94"/>
      <c r="UEM57" s="94"/>
      <c r="UEN57" s="94"/>
      <c r="UEO57" s="94"/>
      <c r="UEP57" s="94"/>
      <c r="UEQ57" s="94"/>
      <c r="UER57" s="94"/>
      <c r="UES57" s="94"/>
      <c r="UET57" s="94"/>
      <c r="UEU57" s="94"/>
      <c r="UEV57" s="94"/>
      <c r="UEW57" s="94"/>
      <c r="UEX57" s="94"/>
      <c r="UEY57" s="94"/>
      <c r="UEZ57" s="94"/>
      <c r="UFA57" s="94"/>
      <c r="UFB57" s="94"/>
      <c r="UFC57" s="94"/>
      <c r="UFD57" s="94"/>
      <c r="UFE57" s="94"/>
      <c r="UFF57" s="94"/>
      <c r="UFG57" s="94"/>
      <c r="UFH57" s="94"/>
      <c r="UFI57" s="94"/>
      <c r="UFJ57" s="94"/>
      <c r="UFK57" s="94"/>
      <c r="UFL57" s="94"/>
      <c r="UFM57" s="94"/>
      <c r="UFN57" s="94"/>
      <c r="UFO57" s="94"/>
      <c r="UFP57" s="94"/>
      <c r="UFQ57" s="94"/>
      <c r="UFR57" s="94"/>
      <c r="UFS57" s="94"/>
      <c r="UFT57" s="94"/>
      <c r="UFU57" s="94"/>
      <c r="UFV57" s="94"/>
      <c r="UFW57" s="94"/>
      <c r="UFX57" s="94"/>
      <c r="UFY57" s="94"/>
      <c r="UFZ57" s="94"/>
      <c r="UGA57" s="94"/>
      <c r="UGB57" s="94"/>
      <c r="UGC57" s="94"/>
      <c r="UGD57" s="94"/>
      <c r="UGE57" s="94"/>
      <c r="UGF57" s="94"/>
      <c r="UGG57" s="94"/>
      <c r="UGH57" s="94"/>
      <c r="UGI57" s="94"/>
      <c r="UGJ57" s="94"/>
      <c r="UGK57" s="94"/>
      <c r="UGL57" s="94"/>
      <c r="UGM57" s="94"/>
      <c r="UGN57" s="94"/>
      <c r="UGO57" s="94"/>
      <c r="UGP57" s="94"/>
      <c r="UGQ57" s="94"/>
      <c r="UGR57" s="94"/>
      <c r="UGS57" s="94"/>
      <c r="UGT57" s="94"/>
      <c r="UGU57" s="94"/>
      <c r="UGV57" s="94"/>
      <c r="UGW57" s="94"/>
      <c r="UGX57" s="94"/>
      <c r="UGY57" s="94"/>
      <c r="UGZ57" s="94"/>
      <c r="UHA57" s="94"/>
      <c r="UHB57" s="94"/>
      <c r="UHC57" s="94"/>
      <c r="UHD57" s="94"/>
      <c r="UHE57" s="94"/>
      <c r="UHF57" s="94"/>
      <c r="UHG57" s="94"/>
      <c r="UHH57" s="94"/>
      <c r="UHI57" s="94"/>
      <c r="UHJ57" s="94"/>
      <c r="UHK57" s="94"/>
      <c r="UHL57" s="94"/>
      <c r="UHM57" s="94"/>
      <c r="UHN57" s="94"/>
      <c r="UHO57" s="94"/>
      <c r="UHP57" s="94"/>
      <c r="UHQ57" s="94"/>
      <c r="UHR57" s="94"/>
      <c r="UHS57" s="94"/>
      <c r="UHT57" s="94"/>
      <c r="UHU57" s="94"/>
      <c r="UHV57" s="94"/>
      <c r="UHW57" s="94"/>
      <c r="UHX57" s="94"/>
      <c r="UHY57" s="94"/>
      <c r="UHZ57" s="94"/>
      <c r="UIA57" s="94"/>
      <c r="UIB57" s="94"/>
      <c r="UIC57" s="94"/>
      <c r="UID57" s="94"/>
      <c r="UIE57" s="94"/>
      <c r="UIF57" s="94"/>
      <c r="UIG57" s="94"/>
      <c r="UIH57" s="94"/>
      <c r="UII57" s="94"/>
      <c r="UIJ57" s="94"/>
      <c r="UIK57" s="94"/>
      <c r="UIL57" s="94"/>
      <c r="UIM57" s="94"/>
      <c r="UIN57" s="94"/>
      <c r="UIO57" s="94"/>
      <c r="UIP57" s="94"/>
      <c r="UIQ57" s="94"/>
      <c r="UIR57" s="94"/>
      <c r="UIS57" s="94"/>
      <c r="UIT57" s="94"/>
      <c r="UIU57" s="94"/>
      <c r="UIV57" s="94"/>
      <c r="UIW57" s="94"/>
      <c r="UIX57" s="94"/>
      <c r="UIY57" s="94"/>
      <c r="UIZ57" s="94"/>
      <c r="UJA57" s="94"/>
      <c r="UJB57" s="94"/>
      <c r="UJC57" s="94"/>
      <c r="UJD57" s="94"/>
      <c r="UJE57" s="94"/>
      <c r="UJF57" s="94"/>
      <c r="UJG57" s="94"/>
      <c r="UJH57" s="94"/>
      <c r="UJI57" s="94"/>
      <c r="UJJ57" s="94"/>
      <c r="UJK57" s="94"/>
      <c r="UJL57" s="94"/>
      <c r="UJM57" s="94"/>
      <c r="UJN57" s="94"/>
      <c r="UJO57" s="94"/>
      <c r="UJP57" s="94"/>
      <c r="UJQ57" s="94"/>
      <c r="UJR57" s="94"/>
      <c r="UJS57" s="94"/>
      <c r="UJT57" s="94"/>
      <c r="UJU57" s="94"/>
      <c r="UJV57" s="94"/>
      <c r="UJW57" s="94"/>
      <c r="UJX57" s="94"/>
      <c r="UJY57" s="94"/>
      <c r="UJZ57" s="94"/>
      <c r="UKA57" s="94"/>
      <c r="UKB57" s="94"/>
      <c r="UKC57" s="94"/>
      <c r="UKD57" s="94"/>
      <c r="UKE57" s="94"/>
      <c r="UKF57" s="94"/>
      <c r="UKG57" s="94"/>
      <c r="UKH57" s="94"/>
      <c r="UKI57" s="94"/>
      <c r="UKJ57" s="94"/>
      <c r="UKK57" s="94"/>
      <c r="UKL57" s="94"/>
      <c r="UKM57" s="94"/>
      <c r="UKN57" s="94"/>
      <c r="UKO57" s="94"/>
      <c r="UKP57" s="94"/>
      <c r="UKQ57" s="94"/>
      <c r="UKR57" s="94"/>
      <c r="UKS57" s="94"/>
      <c r="UKT57" s="94"/>
      <c r="UKU57" s="94"/>
      <c r="UKV57" s="94"/>
      <c r="UKW57" s="94"/>
      <c r="UKX57" s="94"/>
      <c r="UKY57" s="94"/>
      <c r="UKZ57" s="94"/>
      <c r="ULA57" s="94"/>
      <c r="ULB57" s="94"/>
      <c r="ULC57" s="94"/>
      <c r="ULD57" s="94"/>
      <c r="ULE57" s="94"/>
      <c r="ULF57" s="94"/>
      <c r="ULG57" s="94"/>
      <c r="ULH57" s="94"/>
      <c r="ULI57" s="94"/>
      <c r="ULJ57" s="94"/>
      <c r="ULK57" s="94"/>
      <c r="ULL57" s="94"/>
      <c r="ULM57" s="94"/>
      <c r="ULN57" s="94"/>
      <c r="ULO57" s="94"/>
      <c r="ULP57" s="94"/>
      <c r="ULQ57" s="94"/>
      <c r="ULR57" s="94"/>
      <c r="ULS57" s="94"/>
      <c r="ULT57" s="94"/>
      <c r="ULU57" s="94"/>
      <c r="ULV57" s="94"/>
      <c r="ULW57" s="94"/>
      <c r="ULX57" s="94"/>
      <c r="ULY57" s="94"/>
      <c r="ULZ57" s="94"/>
      <c r="UMA57" s="94"/>
      <c r="UMB57" s="94"/>
      <c r="UMC57" s="94"/>
      <c r="UMD57" s="94"/>
      <c r="UME57" s="94"/>
      <c r="UMF57" s="94"/>
      <c r="UMG57" s="94"/>
      <c r="UMH57" s="94"/>
      <c r="UMI57" s="94"/>
      <c r="UMJ57" s="94"/>
      <c r="UMK57" s="94"/>
      <c r="UML57" s="94"/>
      <c r="UMM57" s="94"/>
      <c r="UMN57" s="94"/>
      <c r="UMO57" s="94"/>
      <c r="UMP57" s="94"/>
      <c r="UMQ57" s="94"/>
      <c r="UMR57" s="94"/>
      <c r="UMS57" s="94"/>
      <c r="UMT57" s="94"/>
      <c r="UMU57" s="94"/>
      <c r="UMV57" s="94"/>
      <c r="UMW57" s="94"/>
      <c r="UMX57" s="94"/>
      <c r="UMY57" s="94"/>
      <c r="UMZ57" s="94"/>
      <c r="UNA57" s="94"/>
      <c r="UNB57" s="94"/>
      <c r="UNC57" s="94"/>
      <c r="UND57" s="94"/>
      <c r="UNE57" s="94"/>
      <c r="UNF57" s="94"/>
      <c r="UNG57" s="94"/>
      <c r="UNH57" s="94"/>
      <c r="UNI57" s="94"/>
      <c r="UNJ57" s="94"/>
      <c r="UNK57" s="94"/>
      <c r="UNL57" s="94"/>
      <c r="UNM57" s="94"/>
      <c r="UNN57" s="94"/>
      <c r="UNO57" s="94"/>
      <c r="UNP57" s="94"/>
      <c r="UNQ57" s="94"/>
      <c r="UNR57" s="94"/>
      <c r="UNS57" s="94"/>
      <c r="UNT57" s="94"/>
      <c r="UNU57" s="94"/>
      <c r="UNV57" s="94"/>
      <c r="UNW57" s="94"/>
      <c r="UNX57" s="94"/>
      <c r="UNY57" s="94"/>
      <c r="UNZ57" s="94"/>
      <c r="UOA57" s="94"/>
      <c r="UOB57" s="94"/>
      <c r="UOC57" s="94"/>
      <c r="UOD57" s="94"/>
      <c r="UOE57" s="94"/>
      <c r="UOF57" s="94"/>
      <c r="UOG57" s="94"/>
      <c r="UOH57" s="94"/>
      <c r="UOI57" s="94"/>
      <c r="UOJ57" s="94"/>
      <c r="UOK57" s="94"/>
      <c r="UOL57" s="94"/>
      <c r="UOM57" s="94"/>
      <c r="UON57" s="94"/>
      <c r="UOO57" s="94"/>
      <c r="UOP57" s="94"/>
      <c r="UOQ57" s="94"/>
      <c r="UOR57" s="94"/>
      <c r="UOS57" s="94"/>
      <c r="UOT57" s="94"/>
      <c r="UOU57" s="94"/>
      <c r="UOV57" s="94"/>
      <c r="UOW57" s="94"/>
      <c r="UOX57" s="94"/>
      <c r="UOY57" s="94"/>
      <c r="UOZ57" s="94"/>
      <c r="UPA57" s="94"/>
      <c r="UPB57" s="94"/>
      <c r="UPC57" s="94"/>
      <c r="UPD57" s="94"/>
      <c r="UPE57" s="94"/>
      <c r="UPF57" s="94"/>
      <c r="UPG57" s="94"/>
      <c r="UPH57" s="94"/>
      <c r="UPI57" s="94"/>
      <c r="UPJ57" s="94"/>
      <c r="UPK57" s="94"/>
      <c r="UPL57" s="94"/>
      <c r="UPM57" s="94"/>
      <c r="UPN57" s="94"/>
      <c r="UPO57" s="94"/>
      <c r="UPP57" s="94"/>
      <c r="UPQ57" s="94"/>
      <c r="UPR57" s="94"/>
      <c r="UPS57" s="94"/>
      <c r="UPT57" s="94"/>
      <c r="UPU57" s="94"/>
      <c r="UPV57" s="94"/>
      <c r="UPW57" s="94"/>
      <c r="UPX57" s="94"/>
      <c r="UPY57" s="94"/>
      <c r="UPZ57" s="94"/>
      <c r="UQA57" s="94"/>
      <c r="UQB57" s="94"/>
      <c r="UQC57" s="94"/>
      <c r="UQD57" s="94"/>
      <c r="UQE57" s="94"/>
      <c r="UQF57" s="94"/>
      <c r="UQG57" s="94"/>
      <c r="UQH57" s="94"/>
      <c r="UQI57" s="94"/>
      <c r="UQJ57" s="94"/>
      <c r="UQK57" s="94"/>
      <c r="UQL57" s="94"/>
      <c r="UQM57" s="94"/>
      <c r="UQN57" s="94"/>
      <c r="UQO57" s="94"/>
      <c r="UQP57" s="94"/>
      <c r="UQQ57" s="94"/>
      <c r="UQR57" s="94"/>
      <c r="UQS57" s="94"/>
      <c r="UQT57" s="94"/>
      <c r="UQU57" s="94"/>
      <c r="UQV57" s="94"/>
      <c r="UQW57" s="94"/>
      <c r="UQX57" s="94"/>
      <c r="UQY57" s="94"/>
      <c r="UQZ57" s="94"/>
      <c r="URA57" s="94"/>
      <c r="URB57" s="94"/>
      <c r="URC57" s="94"/>
      <c r="URD57" s="94"/>
      <c r="URE57" s="94"/>
      <c r="URF57" s="94"/>
      <c r="URG57" s="94"/>
      <c r="URH57" s="94"/>
      <c r="URI57" s="94"/>
      <c r="URJ57" s="94"/>
      <c r="URK57" s="94"/>
      <c r="URL57" s="94"/>
      <c r="URM57" s="94"/>
      <c r="URN57" s="94"/>
      <c r="URO57" s="94"/>
      <c r="URP57" s="94"/>
      <c r="URQ57" s="94"/>
      <c r="URR57" s="94"/>
      <c r="URS57" s="94"/>
      <c r="URT57" s="94"/>
      <c r="URU57" s="94"/>
      <c r="URV57" s="94"/>
      <c r="URW57" s="94"/>
      <c r="URX57" s="94"/>
      <c r="URY57" s="94"/>
      <c r="URZ57" s="94"/>
      <c r="USA57" s="94"/>
      <c r="USB57" s="94"/>
      <c r="USC57" s="94"/>
      <c r="USD57" s="94"/>
      <c r="USE57" s="94"/>
      <c r="USF57" s="94"/>
      <c r="USG57" s="94"/>
      <c r="USH57" s="94"/>
      <c r="USI57" s="94"/>
      <c r="USJ57" s="94"/>
      <c r="USK57" s="94"/>
      <c r="USL57" s="94"/>
      <c r="USM57" s="94"/>
      <c r="USN57" s="94"/>
      <c r="USO57" s="94"/>
      <c r="USP57" s="94"/>
      <c r="USQ57" s="94"/>
      <c r="USR57" s="94"/>
      <c r="USS57" s="94"/>
      <c r="UST57" s="94"/>
      <c r="USU57" s="94"/>
      <c r="USV57" s="94"/>
      <c r="USW57" s="94"/>
      <c r="USX57" s="94"/>
      <c r="USY57" s="94"/>
      <c r="USZ57" s="94"/>
      <c r="UTA57" s="94"/>
      <c r="UTB57" s="94"/>
      <c r="UTC57" s="94"/>
      <c r="UTD57" s="94"/>
      <c r="UTE57" s="94"/>
      <c r="UTF57" s="94"/>
      <c r="UTG57" s="94"/>
      <c r="UTH57" s="94"/>
      <c r="UTI57" s="94"/>
      <c r="UTJ57" s="94"/>
      <c r="UTK57" s="94"/>
      <c r="UTL57" s="94"/>
      <c r="UTM57" s="94"/>
      <c r="UTN57" s="94"/>
      <c r="UTO57" s="94"/>
      <c r="UTP57" s="94"/>
      <c r="UTQ57" s="94"/>
      <c r="UTR57" s="94"/>
      <c r="UTS57" s="94"/>
      <c r="UTT57" s="94"/>
      <c r="UTU57" s="94"/>
      <c r="UTV57" s="94"/>
      <c r="UTW57" s="94"/>
      <c r="UTX57" s="94"/>
      <c r="UTY57" s="94"/>
      <c r="UTZ57" s="94"/>
      <c r="UUA57" s="94"/>
      <c r="UUB57" s="94"/>
      <c r="UUC57" s="94"/>
      <c r="UUD57" s="94"/>
      <c r="UUE57" s="94"/>
      <c r="UUF57" s="94"/>
      <c r="UUG57" s="94"/>
      <c r="UUH57" s="94"/>
      <c r="UUI57" s="94"/>
      <c r="UUJ57" s="94"/>
      <c r="UUK57" s="94"/>
      <c r="UUL57" s="94"/>
      <c r="UUM57" s="94"/>
      <c r="UUN57" s="94"/>
      <c r="UUO57" s="94"/>
      <c r="UUP57" s="94"/>
      <c r="UUQ57" s="94"/>
      <c r="UUR57" s="94"/>
      <c r="UUS57" s="94"/>
      <c r="UUT57" s="94"/>
      <c r="UUU57" s="94"/>
      <c r="UUV57" s="94"/>
      <c r="UUW57" s="94"/>
      <c r="UUX57" s="94"/>
      <c r="UUY57" s="94"/>
      <c r="UUZ57" s="94"/>
      <c r="UVA57" s="94"/>
      <c r="UVB57" s="94"/>
      <c r="UVC57" s="94"/>
      <c r="UVD57" s="94"/>
      <c r="UVE57" s="94"/>
      <c r="UVF57" s="94"/>
      <c r="UVG57" s="94"/>
      <c r="UVH57" s="94"/>
      <c r="UVI57" s="94"/>
      <c r="UVJ57" s="94"/>
      <c r="UVK57" s="94"/>
      <c r="UVL57" s="94"/>
      <c r="UVM57" s="94"/>
      <c r="UVN57" s="94"/>
      <c r="UVO57" s="94"/>
      <c r="UVP57" s="94"/>
      <c r="UVQ57" s="94"/>
      <c r="UVR57" s="94"/>
      <c r="UVS57" s="94"/>
      <c r="UVT57" s="94"/>
      <c r="UVU57" s="94"/>
      <c r="UVV57" s="94"/>
      <c r="UVW57" s="94"/>
      <c r="UVX57" s="94"/>
      <c r="UVY57" s="94"/>
      <c r="UVZ57" s="94"/>
      <c r="UWA57" s="94"/>
      <c r="UWB57" s="94"/>
      <c r="UWC57" s="94"/>
      <c r="UWD57" s="94"/>
      <c r="UWE57" s="94"/>
      <c r="UWF57" s="94"/>
      <c r="UWG57" s="94"/>
      <c r="UWH57" s="94"/>
      <c r="UWI57" s="94"/>
      <c r="UWJ57" s="94"/>
      <c r="UWK57" s="94"/>
      <c r="UWL57" s="94"/>
      <c r="UWM57" s="94"/>
      <c r="UWN57" s="94"/>
      <c r="UWO57" s="94"/>
      <c r="UWP57" s="94"/>
      <c r="UWQ57" s="94"/>
      <c r="UWR57" s="94"/>
      <c r="UWS57" s="94"/>
      <c r="UWT57" s="94"/>
      <c r="UWU57" s="94"/>
      <c r="UWV57" s="94"/>
      <c r="UWW57" s="94"/>
      <c r="UWX57" s="94"/>
      <c r="UWY57" s="94"/>
      <c r="UWZ57" s="94"/>
      <c r="UXA57" s="94"/>
      <c r="UXB57" s="94"/>
      <c r="UXC57" s="94"/>
      <c r="UXD57" s="94"/>
      <c r="UXE57" s="94"/>
      <c r="UXF57" s="94"/>
      <c r="UXG57" s="94"/>
      <c r="UXH57" s="94"/>
      <c r="UXI57" s="94"/>
      <c r="UXJ57" s="94"/>
      <c r="UXK57" s="94"/>
      <c r="UXL57" s="94"/>
      <c r="UXM57" s="94"/>
      <c r="UXN57" s="94"/>
      <c r="UXO57" s="94"/>
      <c r="UXP57" s="94"/>
      <c r="UXQ57" s="94"/>
      <c r="UXR57" s="94"/>
      <c r="UXS57" s="94"/>
      <c r="UXT57" s="94"/>
      <c r="UXU57" s="94"/>
      <c r="UXV57" s="94"/>
      <c r="UXW57" s="94"/>
      <c r="UXX57" s="94"/>
      <c r="UXY57" s="94"/>
      <c r="UXZ57" s="94"/>
      <c r="UYA57" s="94"/>
      <c r="UYB57" s="94"/>
      <c r="UYC57" s="94"/>
      <c r="UYD57" s="94"/>
      <c r="UYE57" s="94"/>
      <c r="UYF57" s="94"/>
      <c r="UYG57" s="94"/>
      <c r="UYH57" s="94"/>
      <c r="UYI57" s="94"/>
      <c r="UYJ57" s="94"/>
      <c r="UYK57" s="94"/>
      <c r="UYL57" s="94"/>
      <c r="UYM57" s="94"/>
      <c r="UYN57" s="94"/>
      <c r="UYO57" s="94"/>
      <c r="UYP57" s="94"/>
      <c r="UYQ57" s="94"/>
      <c r="UYR57" s="94"/>
      <c r="UYS57" s="94"/>
      <c r="UYT57" s="94"/>
      <c r="UYU57" s="94"/>
      <c r="UYV57" s="94"/>
      <c r="UYW57" s="94"/>
      <c r="UYX57" s="94"/>
      <c r="UYY57" s="94"/>
      <c r="UYZ57" s="94"/>
      <c r="UZA57" s="94"/>
      <c r="UZB57" s="94"/>
      <c r="UZC57" s="94"/>
      <c r="UZD57" s="94"/>
      <c r="UZE57" s="94"/>
      <c r="UZF57" s="94"/>
      <c r="UZG57" s="94"/>
      <c r="UZH57" s="94"/>
      <c r="UZI57" s="94"/>
      <c r="UZJ57" s="94"/>
      <c r="UZK57" s="94"/>
      <c r="UZL57" s="94"/>
      <c r="UZM57" s="94"/>
      <c r="UZN57" s="94"/>
      <c r="UZO57" s="94"/>
      <c r="UZP57" s="94"/>
      <c r="UZQ57" s="94"/>
      <c r="UZR57" s="94"/>
      <c r="UZS57" s="94"/>
      <c r="UZT57" s="94"/>
      <c r="UZU57" s="94"/>
      <c r="UZV57" s="94"/>
      <c r="UZW57" s="94"/>
      <c r="UZX57" s="94"/>
      <c r="UZY57" s="94"/>
      <c r="UZZ57" s="94"/>
      <c r="VAA57" s="94"/>
      <c r="VAB57" s="94"/>
      <c r="VAC57" s="94"/>
      <c r="VAD57" s="94"/>
      <c r="VAE57" s="94"/>
      <c r="VAF57" s="94"/>
      <c r="VAG57" s="94"/>
      <c r="VAH57" s="94"/>
      <c r="VAI57" s="94"/>
      <c r="VAJ57" s="94"/>
      <c r="VAK57" s="94"/>
      <c r="VAL57" s="94"/>
      <c r="VAM57" s="94"/>
      <c r="VAN57" s="94"/>
      <c r="VAO57" s="94"/>
      <c r="VAP57" s="94"/>
      <c r="VAQ57" s="94"/>
      <c r="VAR57" s="94"/>
      <c r="VAS57" s="94"/>
      <c r="VAT57" s="94"/>
      <c r="VAU57" s="94"/>
      <c r="VAV57" s="94"/>
      <c r="VAW57" s="94"/>
      <c r="VAX57" s="94"/>
      <c r="VAY57" s="94"/>
      <c r="VAZ57" s="94"/>
      <c r="VBA57" s="94"/>
      <c r="VBB57" s="94"/>
      <c r="VBC57" s="94"/>
      <c r="VBD57" s="94"/>
      <c r="VBE57" s="94"/>
      <c r="VBF57" s="94"/>
      <c r="VBG57" s="94"/>
      <c r="VBH57" s="94"/>
      <c r="VBI57" s="94"/>
      <c r="VBJ57" s="94"/>
      <c r="VBK57" s="94"/>
      <c r="VBL57" s="94"/>
      <c r="VBM57" s="94"/>
      <c r="VBN57" s="94"/>
      <c r="VBO57" s="94"/>
      <c r="VBP57" s="94"/>
      <c r="VBQ57" s="94"/>
      <c r="VBR57" s="94"/>
      <c r="VBS57" s="94"/>
      <c r="VBT57" s="94"/>
      <c r="VBU57" s="94"/>
      <c r="VBV57" s="94"/>
      <c r="VBW57" s="94"/>
      <c r="VBX57" s="94"/>
      <c r="VBY57" s="94"/>
      <c r="VBZ57" s="94"/>
      <c r="VCA57" s="94"/>
      <c r="VCB57" s="94"/>
      <c r="VCC57" s="94"/>
      <c r="VCD57" s="94"/>
      <c r="VCE57" s="94"/>
      <c r="VCF57" s="94"/>
      <c r="VCG57" s="94"/>
      <c r="VCH57" s="94"/>
      <c r="VCI57" s="94"/>
      <c r="VCJ57" s="94"/>
      <c r="VCK57" s="94"/>
      <c r="VCL57" s="94"/>
      <c r="VCM57" s="94"/>
      <c r="VCN57" s="94"/>
      <c r="VCO57" s="94"/>
      <c r="VCP57" s="94"/>
      <c r="VCQ57" s="94"/>
      <c r="VCR57" s="94"/>
      <c r="VCS57" s="94"/>
      <c r="VCT57" s="94"/>
      <c r="VCU57" s="94"/>
      <c r="VCV57" s="94"/>
      <c r="VCW57" s="94"/>
      <c r="VCX57" s="94"/>
      <c r="VCY57" s="94"/>
      <c r="VCZ57" s="94"/>
      <c r="VDA57" s="94"/>
      <c r="VDB57" s="94"/>
      <c r="VDC57" s="94"/>
      <c r="VDD57" s="94"/>
      <c r="VDE57" s="94"/>
      <c r="VDF57" s="94"/>
      <c r="VDG57" s="94"/>
      <c r="VDH57" s="94"/>
      <c r="VDI57" s="94"/>
      <c r="VDJ57" s="94"/>
      <c r="VDK57" s="94"/>
      <c r="VDL57" s="94"/>
      <c r="VDM57" s="94"/>
      <c r="VDN57" s="94"/>
      <c r="VDO57" s="94"/>
      <c r="VDP57" s="94"/>
      <c r="VDQ57" s="94"/>
      <c r="VDR57" s="94"/>
      <c r="VDS57" s="94"/>
      <c r="VDT57" s="94"/>
      <c r="VDU57" s="94"/>
      <c r="VDV57" s="94"/>
      <c r="VDW57" s="94"/>
      <c r="VDX57" s="94"/>
      <c r="VDY57" s="94"/>
      <c r="VDZ57" s="94"/>
      <c r="VEA57" s="94"/>
      <c r="VEB57" s="94"/>
      <c r="VEC57" s="94"/>
      <c r="VED57" s="94"/>
      <c r="VEE57" s="94"/>
      <c r="VEF57" s="94"/>
      <c r="VEG57" s="94"/>
      <c r="VEH57" s="94"/>
      <c r="VEI57" s="94"/>
      <c r="VEJ57" s="94"/>
      <c r="VEK57" s="94"/>
      <c r="VEL57" s="94"/>
      <c r="VEM57" s="94"/>
      <c r="VEN57" s="94"/>
      <c r="VEO57" s="94"/>
      <c r="VEP57" s="94"/>
      <c r="VEQ57" s="94"/>
      <c r="VER57" s="94"/>
      <c r="VES57" s="94"/>
      <c r="VET57" s="94"/>
      <c r="VEU57" s="94"/>
      <c r="VEV57" s="94"/>
      <c r="VEW57" s="94"/>
      <c r="VEX57" s="94"/>
      <c r="VEY57" s="94"/>
      <c r="VEZ57" s="94"/>
      <c r="VFA57" s="94"/>
      <c r="VFB57" s="94"/>
      <c r="VFC57" s="94"/>
      <c r="VFD57" s="94"/>
      <c r="VFE57" s="94"/>
      <c r="VFF57" s="94"/>
      <c r="VFG57" s="94"/>
      <c r="VFH57" s="94"/>
      <c r="VFI57" s="94"/>
      <c r="VFJ57" s="94"/>
      <c r="VFK57" s="94"/>
      <c r="VFL57" s="94"/>
      <c r="VFM57" s="94"/>
      <c r="VFN57" s="94"/>
      <c r="VFO57" s="94"/>
      <c r="VFP57" s="94"/>
      <c r="VFQ57" s="94"/>
      <c r="VFR57" s="94"/>
      <c r="VFS57" s="94"/>
      <c r="VFT57" s="94"/>
      <c r="VFU57" s="94"/>
      <c r="VFV57" s="94"/>
      <c r="VFW57" s="94"/>
      <c r="VFX57" s="94"/>
      <c r="VFY57" s="94"/>
      <c r="VFZ57" s="94"/>
      <c r="VGA57" s="94"/>
      <c r="VGB57" s="94"/>
      <c r="VGC57" s="94"/>
      <c r="VGD57" s="94"/>
      <c r="VGE57" s="94"/>
      <c r="VGF57" s="94"/>
      <c r="VGG57" s="94"/>
      <c r="VGH57" s="94"/>
      <c r="VGI57" s="94"/>
      <c r="VGJ57" s="94"/>
      <c r="VGK57" s="94"/>
      <c r="VGL57" s="94"/>
      <c r="VGM57" s="94"/>
      <c r="VGN57" s="94"/>
      <c r="VGO57" s="94"/>
      <c r="VGP57" s="94"/>
      <c r="VGQ57" s="94"/>
      <c r="VGR57" s="94"/>
      <c r="VGS57" s="94"/>
      <c r="VGT57" s="94"/>
      <c r="VGU57" s="94"/>
      <c r="VGV57" s="94"/>
      <c r="VGW57" s="94"/>
      <c r="VGX57" s="94"/>
      <c r="VGY57" s="94"/>
      <c r="VGZ57" s="94"/>
      <c r="VHA57" s="94"/>
      <c r="VHB57" s="94"/>
      <c r="VHC57" s="94"/>
      <c r="VHD57" s="94"/>
      <c r="VHE57" s="94"/>
      <c r="VHF57" s="94"/>
      <c r="VHG57" s="94"/>
      <c r="VHH57" s="94"/>
      <c r="VHI57" s="94"/>
      <c r="VHJ57" s="94"/>
      <c r="VHK57" s="94"/>
      <c r="VHL57" s="94"/>
      <c r="VHM57" s="94"/>
      <c r="VHN57" s="94"/>
      <c r="VHO57" s="94"/>
      <c r="VHP57" s="94"/>
      <c r="VHQ57" s="94"/>
      <c r="VHR57" s="94"/>
      <c r="VHS57" s="94"/>
      <c r="VHT57" s="94"/>
      <c r="VHU57" s="94"/>
      <c r="VHV57" s="94"/>
      <c r="VHW57" s="94"/>
      <c r="VHX57" s="94"/>
      <c r="VHY57" s="94"/>
      <c r="VHZ57" s="94"/>
      <c r="VIA57" s="94"/>
      <c r="VIB57" s="94"/>
      <c r="VIC57" s="94"/>
      <c r="VID57" s="94"/>
      <c r="VIE57" s="94"/>
      <c r="VIF57" s="94"/>
      <c r="VIG57" s="94"/>
      <c r="VIH57" s="94"/>
      <c r="VII57" s="94"/>
      <c r="VIJ57" s="94"/>
      <c r="VIK57" s="94"/>
      <c r="VIL57" s="94"/>
      <c r="VIM57" s="94"/>
      <c r="VIN57" s="94"/>
      <c r="VIO57" s="94"/>
      <c r="VIP57" s="94"/>
      <c r="VIQ57" s="94"/>
      <c r="VIR57" s="94"/>
      <c r="VIS57" s="94"/>
      <c r="VIT57" s="94"/>
      <c r="VIU57" s="94"/>
      <c r="VIV57" s="94"/>
      <c r="VIW57" s="94"/>
      <c r="VIX57" s="94"/>
      <c r="VIY57" s="94"/>
      <c r="VIZ57" s="94"/>
      <c r="VJA57" s="94"/>
      <c r="VJB57" s="94"/>
      <c r="VJC57" s="94"/>
      <c r="VJD57" s="94"/>
      <c r="VJE57" s="94"/>
      <c r="VJF57" s="94"/>
      <c r="VJG57" s="94"/>
      <c r="VJH57" s="94"/>
      <c r="VJI57" s="94"/>
      <c r="VJJ57" s="94"/>
      <c r="VJK57" s="94"/>
      <c r="VJL57" s="94"/>
      <c r="VJM57" s="94"/>
      <c r="VJN57" s="94"/>
      <c r="VJO57" s="94"/>
      <c r="VJP57" s="94"/>
      <c r="VJQ57" s="94"/>
      <c r="VJR57" s="94"/>
      <c r="VJS57" s="94"/>
      <c r="VJT57" s="94"/>
      <c r="VJU57" s="94"/>
      <c r="VJV57" s="94"/>
      <c r="VJW57" s="94"/>
      <c r="VJX57" s="94"/>
      <c r="VJY57" s="94"/>
      <c r="VJZ57" s="94"/>
      <c r="VKA57" s="94"/>
      <c r="VKB57" s="94"/>
      <c r="VKC57" s="94"/>
      <c r="VKD57" s="94"/>
      <c r="VKE57" s="94"/>
      <c r="VKF57" s="94"/>
      <c r="VKG57" s="94"/>
      <c r="VKH57" s="94"/>
      <c r="VKI57" s="94"/>
      <c r="VKJ57" s="94"/>
      <c r="VKK57" s="94"/>
      <c r="VKL57" s="94"/>
      <c r="VKM57" s="94"/>
      <c r="VKN57" s="94"/>
      <c r="VKO57" s="94"/>
      <c r="VKP57" s="94"/>
      <c r="VKQ57" s="94"/>
      <c r="VKR57" s="94"/>
      <c r="VKS57" s="94"/>
      <c r="VKT57" s="94"/>
      <c r="VKU57" s="94"/>
      <c r="VKV57" s="94"/>
      <c r="VKW57" s="94"/>
      <c r="VKX57" s="94"/>
      <c r="VKY57" s="94"/>
      <c r="VKZ57" s="94"/>
      <c r="VLA57" s="94"/>
      <c r="VLB57" s="94"/>
      <c r="VLC57" s="94"/>
      <c r="VLD57" s="94"/>
      <c r="VLE57" s="94"/>
      <c r="VLF57" s="94"/>
      <c r="VLG57" s="94"/>
      <c r="VLH57" s="94"/>
      <c r="VLI57" s="94"/>
      <c r="VLJ57" s="94"/>
      <c r="VLK57" s="94"/>
      <c r="VLL57" s="94"/>
      <c r="VLM57" s="94"/>
      <c r="VLN57" s="94"/>
      <c r="VLO57" s="94"/>
      <c r="VLP57" s="94"/>
      <c r="VLQ57" s="94"/>
      <c r="VLR57" s="94"/>
      <c r="VLS57" s="94"/>
      <c r="VLT57" s="94"/>
      <c r="VLU57" s="94"/>
      <c r="VLV57" s="94"/>
      <c r="VLW57" s="94"/>
      <c r="VLX57" s="94"/>
      <c r="VLY57" s="94"/>
      <c r="VLZ57" s="94"/>
      <c r="VMA57" s="94"/>
      <c r="VMB57" s="94"/>
      <c r="VMC57" s="94"/>
      <c r="VMD57" s="94"/>
      <c r="VME57" s="94"/>
      <c r="VMF57" s="94"/>
      <c r="VMG57" s="94"/>
      <c r="VMH57" s="94"/>
      <c r="VMI57" s="94"/>
      <c r="VMJ57" s="94"/>
      <c r="VMK57" s="94"/>
      <c r="VML57" s="94"/>
      <c r="VMM57" s="94"/>
      <c r="VMN57" s="94"/>
      <c r="VMO57" s="94"/>
      <c r="VMP57" s="94"/>
      <c r="VMQ57" s="94"/>
      <c r="VMR57" s="94"/>
      <c r="VMS57" s="94"/>
      <c r="VMT57" s="94"/>
      <c r="VMU57" s="94"/>
      <c r="VMV57" s="94"/>
      <c r="VMW57" s="94"/>
      <c r="VMX57" s="94"/>
      <c r="VMY57" s="94"/>
      <c r="VMZ57" s="94"/>
      <c r="VNA57" s="94"/>
      <c r="VNB57" s="94"/>
      <c r="VNC57" s="94"/>
      <c r="VND57" s="94"/>
      <c r="VNE57" s="94"/>
      <c r="VNF57" s="94"/>
      <c r="VNG57" s="94"/>
      <c r="VNH57" s="94"/>
      <c r="VNI57" s="94"/>
      <c r="VNJ57" s="94"/>
      <c r="VNK57" s="94"/>
      <c r="VNL57" s="94"/>
      <c r="VNM57" s="94"/>
      <c r="VNN57" s="94"/>
      <c r="VNO57" s="94"/>
      <c r="VNP57" s="94"/>
      <c r="VNQ57" s="94"/>
      <c r="VNR57" s="94"/>
      <c r="VNS57" s="94"/>
      <c r="VNT57" s="94"/>
      <c r="VNU57" s="94"/>
      <c r="VNV57" s="94"/>
      <c r="VNW57" s="94"/>
      <c r="VNX57" s="94"/>
      <c r="VNY57" s="94"/>
      <c r="VNZ57" s="94"/>
      <c r="VOA57" s="94"/>
      <c r="VOB57" s="94"/>
      <c r="VOC57" s="94"/>
      <c r="VOD57" s="94"/>
      <c r="VOE57" s="94"/>
      <c r="VOF57" s="94"/>
      <c r="VOG57" s="94"/>
      <c r="VOH57" s="94"/>
      <c r="VOI57" s="94"/>
      <c r="VOJ57" s="94"/>
      <c r="VOK57" s="94"/>
      <c r="VOL57" s="94"/>
      <c r="VOM57" s="94"/>
      <c r="VON57" s="94"/>
      <c r="VOO57" s="94"/>
      <c r="VOP57" s="94"/>
      <c r="VOQ57" s="94"/>
      <c r="VOR57" s="94"/>
      <c r="VOS57" s="94"/>
      <c r="VOT57" s="94"/>
      <c r="VOU57" s="94"/>
      <c r="VOV57" s="94"/>
      <c r="VOW57" s="94"/>
      <c r="VOX57" s="94"/>
      <c r="VOY57" s="94"/>
      <c r="VOZ57" s="94"/>
      <c r="VPA57" s="94"/>
      <c r="VPB57" s="94"/>
      <c r="VPC57" s="94"/>
      <c r="VPD57" s="94"/>
      <c r="VPE57" s="94"/>
      <c r="VPF57" s="94"/>
      <c r="VPG57" s="94"/>
      <c r="VPH57" s="94"/>
      <c r="VPI57" s="94"/>
      <c r="VPJ57" s="94"/>
      <c r="VPK57" s="94"/>
      <c r="VPL57" s="94"/>
      <c r="VPM57" s="94"/>
      <c r="VPN57" s="94"/>
      <c r="VPO57" s="94"/>
      <c r="VPP57" s="94"/>
      <c r="VPQ57" s="94"/>
      <c r="VPR57" s="94"/>
      <c r="VPS57" s="94"/>
      <c r="VPT57" s="94"/>
      <c r="VPU57" s="94"/>
      <c r="VPV57" s="94"/>
      <c r="VPW57" s="94"/>
      <c r="VPX57" s="94"/>
      <c r="VPY57" s="94"/>
      <c r="VPZ57" s="94"/>
      <c r="VQA57" s="94"/>
      <c r="VQB57" s="94"/>
      <c r="VQC57" s="94"/>
      <c r="VQD57" s="94"/>
      <c r="VQE57" s="94"/>
      <c r="VQF57" s="94"/>
      <c r="VQG57" s="94"/>
      <c r="VQH57" s="94"/>
      <c r="VQI57" s="94"/>
      <c r="VQJ57" s="94"/>
      <c r="VQK57" s="94"/>
      <c r="VQL57" s="94"/>
      <c r="VQM57" s="94"/>
      <c r="VQN57" s="94"/>
      <c r="VQO57" s="94"/>
      <c r="VQP57" s="94"/>
      <c r="VQQ57" s="94"/>
      <c r="VQR57" s="94"/>
      <c r="VQS57" s="94"/>
      <c r="VQT57" s="94"/>
      <c r="VQU57" s="94"/>
      <c r="VQV57" s="94"/>
      <c r="VQW57" s="94"/>
      <c r="VQX57" s="94"/>
      <c r="VQY57" s="94"/>
      <c r="VQZ57" s="94"/>
      <c r="VRA57" s="94"/>
      <c r="VRB57" s="94"/>
      <c r="VRC57" s="94"/>
      <c r="VRD57" s="94"/>
      <c r="VRE57" s="94"/>
      <c r="VRF57" s="94"/>
      <c r="VRG57" s="94"/>
      <c r="VRH57" s="94"/>
      <c r="VRI57" s="94"/>
      <c r="VRJ57" s="94"/>
      <c r="VRK57" s="94"/>
      <c r="VRL57" s="94"/>
      <c r="VRM57" s="94"/>
      <c r="VRN57" s="94"/>
      <c r="VRO57" s="94"/>
      <c r="VRP57" s="94"/>
      <c r="VRQ57" s="94"/>
      <c r="VRR57" s="94"/>
      <c r="VRS57" s="94"/>
      <c r="VRT57" s="94"/>
      <c r="VRU57" s="94"/>
      <c r="VRV57" s="94"/>
      <c r="VRW57" s="94"/>
      <c r="VRX57" s="94"/>
      <c r="VRY57" s="94"/>
      <c r="VRZ57" s="94"/>
      <c r="VSA57" s="94"/>
      <c r="VSB57" s="94"/>
      <c r="VSC57" s="94"/>
      <c r="VSD57" s="94"/>
      <c r="VSE57" s="94"/>
      <c r="VSF57" s="94"/>
      <c r="VSG57" s="94"/>
      <c r="VSH57" s="94"/>
      <c r="VSI57" s="94"/>
      <c r="VSJ57" s="94"/>
      <c r="VSK57" s="94"/>
      <c r="VSL57" s="94"/>
      <c r="VSM57" s="94"/>
      <c r="VSN57" s="94"/>
      <c r="VSO57" s="94"/>
      <c r="VSP57" s="94"/>
      <c r="VSQ57" s="94"/>
      <c r="VSR57" s="94"/>
      <c r="VSS57" s="94"/>
      <c r="VST57" s="94"/>
      <c r="VSU57" s="94"/>
      <c r="VSV57" s="94"/>
      <c r="VSW57" s="94"/>
      <c r="VSX57" s="94"/>
      <c r="VSY57" s="94"/>
      <c r="VSZ57" s="94"/>
      <c r="VTA57" s="94"/>
      <c r="VTB57" s="94"/>
      <c r="VTC57" s="94"/>
      <c r="VTD57" s="94"/>
      <c r="VTE57" s="94"/>
      <c r="VTF57" s="94"/>
      <c r="VTG57" s="94"/>
      <c r="VTH57" s="94"/>
      <c r="VTI57" s="94"/>
      <c r="VTJ57" s="94"/>
      <c r="VTK57" s="94"/>
      <c r="VTL57" s="94"/>
      <c r="VTM57" s="94"/>
      <c r="VTN57" s="94"/>
      <c r="VTO57" s="94"/>
      <c r="VTP57" s="94"/>
      <c r="VTQ57" s="94"/>
      <c r="VTR57" s="94"/>
      <c r="VTS57" s="94"/>
      <c r="VTT57" s="94"/>
      <c r="VTU57" s="94"/>
      <c r="VTV57" s="94"/>
      <c r="VTW57" s="94"/>
      <c r="VTX57" s="94"/>
      <c r="VTY57" s="94"/>
      <c r="VTZ57" s="94"/>
      <c r="VUA57" s="94"/>
      <c r="VUB57" s="94"/>
      <c r="VUC57" s="94"/>
      <c r="VUD57" s="94"/>
      <c r="VUE57" s="94"/>
      <c r="VUF57" s="94"/>
      <c r="VUG57" s="94"/>
      <c r="VUH57" s="94"/>
      <c r="VUI57" s="94"/>
      <c r="VUJ57" s="94"/>
      <c r="VUK57" s="94"/>
      <c r="VUL57" s="94"/>
      <c r="VUM57" s="94"/>
      <c r="VUN57" s="94"/>
      <c r="VUO57" s="94"/>
      <c r="VUP57" s="94"/>
      <c r="VUQ57" s="94"/>
      <c r="VUR57" s="94"/>
      <c r="VUS57" s="94"/>
      <c r="VUT57" s="94"/>
      <c r="VUU57" s="94"/>
      <c r="VUV57" s="94"/>
      <c r="VUW57" s="94"/>
      <c r="VUX57" s="94"/>
      <c r="VUY57" s="94"/>
      <c r="VUZ57" s="94"/>
      <c r="VVA57" s="94"/>
      <c r="VVB57" s="94"/>
      <c r="VVC57" s="94"/>
      <c r="VVD57" s="94"/>
      <c r="VVE57" s="94"/>
      <c r="VVF57" s="94"/>
      <c r="VVG57" s="94"/>
      <c r="VVH57" s="94"/>
      <c r="VVI57" s="94"/>
      <c r="VVJ57" s="94"/>
      <c r="VVK57" s="94"/>
      <c r="VVL57" s="94"/>
      <c r="VVM57" s="94"/>
      <c r="VVN57" s="94"/>
      <c r="VVO57" s="94"/>
      <c r="VVP57" s="94"/>
      <c r="VVQ57" s="94"/>
      <c r="VVR57" s="94"/>
      <c r="VVS57" s="94"/>
      <c r="VVT57" s="94"/>
      <c r="VVU57" s="94"/>
      <c r="VVV57" s="94"/>
      <c r="VVW57" s="94"/>
      <c r="VVX57" s="94"/>
      <c r="VVY57" s="94"/>
      <c r="VVZ57" s="94"/>
      <c r="VWA57" s="94"/>
      <c r="VWB57" s="94"/>
      <c r="VWC57" s="94"/>
      <c r="VWD57" s="94"/>
      <c r="VWE57" s="94"/>
      <c r="VWF57" s="94"/>
      <c r="VWG57" s="94"/>
      <c r="VWH57" s="94"/>
      <c r="VWI57" s="94"/>
      <c r="VWJ57" s="94"/>
      <c r="VWK57" s="94"/>
      <c r="VWL57" s="94"/>
      <c r="VWM57" s="94"/>
      <c r="VWN57" s="94"/>
      <c r="VWO57" s="94"/>
      <c r="VWP57" s="94"/>
      <c r="VWQ57" s="94"/>
      <c r="VWR57" s="94"/>
      <c r="VWS57" s="94"/>
      <c r="VWT57" s="94"/>
      <c r="VWU57" s="94"/>
      <c r="VWV57" s="94"/>
      <c r="VWW57" s="94"/>
      <c r="VWX57" s="94"/>
      <c r="VWY57" s="94"/>
      <c r="VWZ57" s="94"/>
      <c r="VXA57" s="94"/>
      <c r="VXB57" s="94"/>
      <c r="VXC57" s="94"/>
      <c r="VXD57" s="94"/>
      <c r="VXE57" s="94"/>
      <c r="VXF57" s="94"/>
      <c r="VXG57" s="94"/>
      <c r="VXH57" s="94"/>
      <c r="VXI57" s="94"/>
      <c r="VXJ57" s="94"/>
      <c r="VXK57" s="94"/>
      <c r="VXL57" s="94"/>
      <c r="VXM57" s="94"/>
      <c r="VXN57" s="94"/>
      <c r="VXO57" s="94"/>
      <c r="VXP57" s="94"/>
      <c r="VXQ57" s="94"/>
      <c r="VXR57" s="94"/>
      <c r="VXS57" s="94"/>
      <c r="VXT57" s="94"/>
      <c r="VXU57" s="94"/>
      <c r="VXV57" s="94"/>
      <c r="VXW57" s="94"/>
      <c r="VXX57" s="94"/>
      <c r="VXY57" s="94"/>
      <c r="VXZ57" s="94"/>
      <c r="VYA57" s="94"/>
      <c r="VYB57" s="94"/>
      <c r="VYC57" s="94"/>
      <c r="VYD57" s="94"/>
      <c r="VYE57" s="94"/>
      <c r="VYF57" s="94"/>
      <c r="VYG57" s="94"/>
      <c r="VYH57" s="94"/>
      <c r="VYI57" s="94"/>
      <c r="VYJ57" s="94"/>
      <c r="VYK57" s="94"/>
      <c r="VYL57" s="94"/>
      <c r="VYM57" s="94"/>
      <c r="VYN57" s="94"/>
      <c r="VYO57" s="94"/>
      <c r="VYP57" s="94"/>
      <c r="VYQ57" s="94"/>
      <c r="VYR57" s="94"/>
      <c r="VYS57" s="94"/>
      <c r="VYT57" s="94"/>
      <c r="VYU57" s="94"/>
      <c r="VYV57" s="94"/>
      <c r="VYW57" s="94"/>
      <c r="VYX57" s="94"/>
      <c r="VYY57" s="94"/>
      <c r="VYZ57" s="94"/>
      <c r="VZA57" s="94"/>
      <c r="VZB57" s="94"/>
      <c r="VZC57" s="94"/>
      <c r="VZD57" s="94"/>
      <c r="VZE57" s="94"/>
      <c r="VZF57" s="94"/>
      <c r="VZG57" s="94"/>
      <c r="VZH57" s="94"/>
      <c r="VZI57" s="94"/>
      <c r="VZJ57" s="94"/>
      <c r="VZK57" s="94"/>
      <c r="VZL57" s="94"/>
      <c r="VZM57" s="94"/>
      <c r="VZN57" s="94"/>
      <c r="VZO57" s="94"/>
      <c r="VZP57" s="94"/>
      <c r="VZQ57" s="94"/>
      <c r="VZR57" s="94"/>
      <c r="VZS57" s="94"/>
      <c r="VZT57" s="94"/>
      <c r="VZU57" s="94"/>
      <c r="VZV57" s="94"/>
      <c r="VZW57" s="94"/>
      <c r="VZX57" s="94"/>
      <c r="VZY57" s="94"/>
      <c r="VZZ57" s="94"/>
      <c r="WAA57" s="94"/>
      <c r="WAB57" s="94"/>
      <c r="WAC57" s="94"/>
      <c r="WAD57" s="94"/>
      <c r="WAE57" s="94"/>
      <c r="WAF57" s="94"/>
      <c r="WAG57" s="94"/>
      <c r="WAH57" s="94"/>
      <c r="WAI57" s="94"/>
      <c r="WAJ57" s="94"/>
      <c r="WAK57" s="94"/>
      <c r="WAL57" s="94"/>
      <c r="WAM57" s="94"/>
      <c r="WAN57" s="94"/>
      <c r="WAO57" s="94"/>
      <c r="WAP57" s="94"/>
      <c r="WAQ57" s="94"/>
      <c r="WAR57" s="94"/>
      <c r="WAS57" s="94"/>
      <c r="WAT57" s="94"/>
      <c r="WAU57" s="94"/>
      <c r="WAV57" s="94"/>
      <c r="WAW57" s="94"/>
      <c r="WAX57" s="94"/>
      <c r="WAY57" s="94"/>
      <c r="WAZ57" s="94"/>
      <c r="WBA57" s="94"/>
      <c r="WBB57" s="94"/>
      <c r="WBC57" s="94"/>
      <c r="WBD57" s="94"/>
      <c r="WBE57" s="94"/>
      <c r="WBF57" s="94"/>
      <c r="WBG57" s="94"/>
      <c r="WBH57" s="94"/>
      <c r="WBI57" s="94"/>
      <c r="WBJ57" s="94"/>
      <c r="WBK57" s="94"/>
      <c r="WBL57" s="94"/>
      <c r="WBM57" s="94"/>
      <c r="WBN57" s="94"/>
      <c r="WBO57" s="94"/>
      <c r="WBP57" s="94"/>
      <c r="WBQ57" s="94"/>
      <c r="WBR57" s="94"/>
      <c r="WBS57" s="94"/>
      <c r="WBT57" s="94"/>
      <c r="WBU57" s="94"/>
      <c r="WBV57" s="94"/>
      <c r="WBW57" s="94"/>
      <c r="WBX57" s="94"/>
      <c r="WBY57" s="94"/>
      <c r="WBZ57" s="94"/>
      <c r="WCA57" s="94"/>
      <c r="WCB57" s="94"/>
      <c r="WCC57" s="94"/>
      <c r="WCD57" s="94"/>
      <c r="WCE57" s="94"/>
      <c r="WCF57" s="94"/>
      <c r="WCG57" s="94"/>
      <c r="WCH57" s="94"/>
      <c r="WCI57" s="94"/>
      <c r="WCJ57" s="94"/>
      <c r="WCK57" s="94"/>
      <c r="WCL57" s="94"/>
      <c r="WCM57" s="94"/>
      <c r="WCN57" s="94"/>
      <c r="WCO57" s="94"/>
      <c r="WCP57" s="94"/>
      <c r="WCQ57" s="94"/>
      <c r="WCR57" s="94"/>
      <c r="WCS57" s="94"/>
      <c r="WCT57" s="94"/>
      <c r="WCU57" s="94"/>
      <c r="WCV57" s="94"/>
      <c r="WCW57" s="94"/>
      <c r="WCX57" s="94"/>
      <c r="WCY57" s="94"/>
      <c r="WCZ57" s="94"/>
      <c r="WDA57" s="94"/>
      <c r="WDB57" s="94"/>
      <c r="WDC57" s="94"/>
      <c r="WDD57" s="94"/>
      <c r="WDE57" s="94"/>
      <c r="WDF57" s="94"/>
      <c r="WDG57" s="94"/>
      <c r="WDH57" s="94"/>
      <c r="WDI57" s="94"/>
      <c r="WDJ57" s="94"/>
      <c r="WDK57" s="94"/>
      <c r="WDL57" s="94"/>
      <c r="WDM57" s="94"/>
      <c r="WDN57" s="94"/>
      <c r="WDO57" s="94"/>
      <c r="WDP57" s="94"/>
      <c r="WDQ57" s="94"/>
      <c r="WDR57" s="94"/>
      <c r="WDS57" s="94"/>
      <c r="WDT57" s="94"/>
      <c r="WDU57" s="94"/>
      <c r="WDV57" s="94"/>
      <c r="WDW57" s="94"/>
      <c r="WDX57" s="94"/>
      <c r="WDY57" s="94"/>
      <c r="WDZ57" s="94"/>
      <c r="WEA57" s="94"/>
      <c r="WEB57" s="94"/>
      <c r="WEC57" s="94"/>
      <c r="WED57" s="94"/>
      <c r="WEE57" s="94"/>
      <c r="WEF57" s="94"/>
      <c r="WEG57" s="94"/>
      <c r="WEH57" s="94"/>
      <c r="WEI57" s="94"/>
      <c r="WEJ57" s="94"/>
      <c r="WEK57" s="94"/>
      <c r="WEL57" s="94"/>
      <c r="WEM57" s="94"/>
      <c r="WEN57" s="94"/>
      <c r="WEO57" s="94"/>
      <c r="WEP57" s="94"/>
      <c r="WEQ57" s="94"/>
      <c r="WER57" s="94"/>
      <c r="WES57" s="94"/>
      <c r="WET57" s="94"/>
      <c r="WEU57" s="94"/>
      <c r="WEV57" s="94"/>
      <c r="WEW57" s="94"/>
      <c r="WEX57" s="94"/>
      <c r="WEY57" s="94"/>
      <c r="WEZ57" s="94"/>
      <c r="WFA57" s="94"/>
      <c r="WFB57" s="94"/>
      <c r="WFC57" s="94"/>
      <c r="WFD57" s="94"/>
      <c r="WFE57" s="94"/>
      <c r="WFF57" s="94"/>
      <c r="WFG57" s="94"/>
      <c r="WFH57" s="94"/>
      <c r="WFI57" s="94"/>
      <c r="WFJ57" s="94"/>
      <c r="WFK57" s="94"/>
      <c r="WFL57" s="94"/>
      <c r="WFM57" s="94"/>
      <c r="WFN57" s="94"/>
      <c r="WFO57" s="94"/>
      <c r="WFP57" s="94"/>
      <c r="WFQ57" s="94"/>
      <c r="WFR57" s="94"/>
      <c r="WFS57" s="94"/>
      <c r="WFT57" s="94"/>
      <c r="WFU57" s="94"/>
      <c r="WFV57" s="94"/>
      <c r="WFW57" s="94"/>
      <c r="WFX57" s="94"/>
      <c r="WFY57" s="94"/>
      <c r="WFZ57" s="94"/>
      <c r="WGA57" s="94"/>
      <c r="WGB57" s="94"/>
      <c r="WGC57" s="94"/>
      <c r="WGD57" s="94"/>
      <c r="WGE57" s="94"/>
      <c r="WGF57" s="94"/>
      <c r="WGG57" s="94"/>
      <c r="WGH57" s="94"/>
      <c r="WGI57" s="94"/>
      <c r="WGJ57" s="94"/>
      <c r="WGK57" s="94"/>
      <c r="WGL57" s="94"/>
      <c r="WGM57" s="94"/>
      <c r="WGN57" s="94"/>
      <c r="WGO57" s="94"/>
      <c r="WGP57" s="94"/>
      <c r="WGQ57" s="94"/>
      <c r="WGR57" s="94"/>
      <c r="WGS57" s="94"/>
      <c r="WGT57" s="94"/>
      <c r="WGU57" s="94"/>
      <c r="WGV57" s="94"/>
      <c r="WGW57" s="94"/>
      <c r="WGX57" s="94"/>
      <c r="WGY57" s="94"/>
      <c r="WGZ57" s="94"/>
      <c r="WHA57" s="94"/>
      <c r="WHB57" s="94"/>
      <c r="WHC57" s="94"/>
      <c r="WHD57" s="94"/>
      <c r="WHE57" s="94"/>
      <c r="WHF57" s="94"/>
      <c r="WHG57" s="94"/>
      <c r="WHH57" s="94"/>
      <c r="WHI57" s="94"/>
      <c r="WHJ57" s="94"/>
      <c r="WHK57" s="94"/>
      <c r="WHL57" s="94"/>
      <c r="WHM57" s="94"/>
      <c r="WHN57" s="94"/>
      <c r="WHO57" s="94"/>
      <c r="WHP57" s="94"/>
      <c r="WHQ57" s="94"/>
      <c r="WHR57" s="94"/>
      <c r="WHS57" s="94"/>
      <c r="WHT57" s="94"/>
      <c r="WHU57" s="94"/>
      <c r="WHV57" s="94"/>
      <c r="WHW57" s="94"/>
      <c r="WHX57" s="94"/>
      <c r="WHY57" s="94"/>
      <c r="WHZ57" s="94"/>
      <c r="WIA57" s="94"/>
      <c r="WIB57" s="94"/>
      <c r="WIC57" s="94"/>
      <c r="WID57" s="94"/>
      <c r="WIE57" s="94"/>
      <c r="WIF57" s="94"/>
      <c r="WIG57" s="94"/>
      <c r="WIH57" s="94"/>
      <c r="WII57" s="94"/>
      <c r="WIJ57" s="94"/>
      <c r="WIK57" s="94"/>
      <c r="WIL57" s="94"/>
      <c r="WIM57" s="94"/>
      <c r="WIN57" s="94"/>
      <c r="WIO57" s="94"/>
      <c r="WIP57" s="94"/>
      <c r="WIQ57" s="94"/>
      <c r="WIR57" s="94"/>
      <c r="WIS57" s="94"/>
      <c r="WIT57" s="94"/>
      <c r="WIU57" s="94"/>
      <c r="WIV57" s="94"/>
      <c r="WIW57" s="94"/>
      <c r="WIX57" s="94"/>
      <c r="WIY57" s="94"/>
      <c r="WIZ57" s="94"/>
      <c r="WJA57" s="94"/>
      <c r="WJB57" s="94"/>
      <c r="WJC57" s="94"/>
      <c r="WJD57" s="94"/>
      <c r="WJE57" s="94"/>
      <c r="WJF57" s="94"/>
      <c r="WJG57" s="94"/>
      <c r="WJH57" s="94"/>
      <c r="WJI57" s="94"/>
      <c r="WJJ57" s="94"/>
      <c r="WJK57" s="94"/>
      <c r="WJL57" s="94"/>
      <c r="WJM57" s="94"/>
      <c r="WJN57" s="94"/>
      <c r="WJO57" s="94"/>
      <c r="WJP57" s="94"/>
      <c r="WJQ57" s="94"/>
      <c r="WJR57" s="94"/>
      <c r="WJS57" s="94"/>
      <c r="WJT57" s="94"/>
      <c r="WJU57" s="94"/>
      <c r="WJV57" s="94"/>
      <c r="WJW57" s="94"/>
      <c r="WJX57" s="94"/>
      <c r="WJY57" s="94"/>
      <c r="WJZ57" s="94"/>
      <c r="WKA57" s="94"/>
      <c r="WKB57" s="94"/>
      <c r="WKC57" s="94"/>
      <c r="WKD57" s="94"/>
      <c r="WKE57" s="94"/>
      <c r="WKF57" s="94"/>
      <c r="WKG57" s="94"/>
      <c r="WKH57" s="94"/>
      <c r="WKI57" s="94"/>
      <c r="WKJ57" s="94"/>
      <c r="WKK57" s="94"/>
      <c r="WKL57" s="94"/>
      <c r="WKM57" s="94"/>
      <c r="WKN57" s="94"/>
      <c r="WKO57" s="94"/>
      <c r="WKP57" s="94"/>
      <c r="WKQ57" s="94"/>
      <c r="WKR57" s="94"/>
      <c r="WKS57" s="94"/>
      <c r="WKT57" s="94"/>
      <c r="WKU57" s="94"/>
      <c r="WKV57" s="94"/>
      <c r="WKW57" s="94"/>
      <c r="WKX57" s="94"/>
      <c r="WKY57" s="94"/>
      <c r="WKZ57" s="94"/>
      <c r="WLA57" s="94"/>
      <c r="WLB57" s="94"/>
      <c r="WLC57" s="94"/>
      <c r="WLD57" s="94"/>
      <c r="WLE57" s="94"/>
      <c r="WLF57" s="94"/>
      <c r="WLG57" s="94"/>
      <c r="WLH57" s="94"/>
      <c r="WLI57" s="94"/>
      <c r="WLJ57" s="94"/>
      <c r="WLK57" s="94"/>
      <c r="WLL57" s="94"/>
      <c r="WLM57" s="94"/>
      <c r="WLN57" s="94"/>
      <c r="WLO57" s="94"/>
      <c r="WLP57" s="94"/>
      <c r="WLQ57" s="94"/>
      <c r="WLR57" s="94"/>
      <c r="WLS57" s="94"/>
      <c r="WLT57" s="94"/>
      <c r="WLU57" s="94"/>
      <c r="WLV57" s="94"/>
      <c r="WLW57" s="94"/>
      <c r="WLX57" s="94"/>
      <c r="WLY57" s="94"/>
      <c r="WLZ57" s="94"/>
      <c r="WMA57" s="94"/>
      <c r="WMB57" s="94"/>
      <c r="WMC57" s="94"/>
      <c r="WMD57" s="94"/>
      <c r="WME57" s="94"/>
      <c r="WMF57" s="94"/>
      <c r="WMG57" s="94"/>
      <c r="WMH57" s="94"/>
      <c r="WMI57" s="94"/>
      <c r="WMJ57" s="94"/>
      <c r="WMK57" s="94"/>
      <c r="WML57" s="94"/>
      <c r="WMM57" s="94"/>
      <c r="WMN57" s="94"/>
      <c r="WMO57" s="94"/>
      <c r="WMP57" s="94"/>
      <c r="WMQ57" s="94"/>
      <c r="WMR57" s="94"/>
      <c r="WMS57" s="94"/>
      <c r="WMT57" s="94"/>
      <c r="WMU57" s="94"/>
      <c r="WMV57" s="94"/>
      <c r="WMW57" s="94"/>
      <c r="WMX57" s="94"/>
      <c r="WMY57" s="94"/>
      <c r="WMZ57" s="94"/>
      <c r="WNA57" s="94"/>
      <c r="WNB57" s="94"/>
      <c r="WNC57" s="94"/>
      <c r="WND57" s="94"/>
      <c r="WNE57" s="94"/>
      <c r="WNF57" s="94"/>
      <c r="WNG57" s="94"/>
      <c r="WNH57" s="94"/>
      <c r="WNI57" s="94"/>
      <c r="WNJ57" s="94"/>
      <c r="WNK57" s="94"/>
      <c r="WNL57" s="94"/>
      <c r="WNM57" s="94"/>
      <c r="WNN57" s="94"/>
      <c r="WNO57" s="94"/>
      <c r="WNP57" s="94"/>
      <c r="WNQ57" s="94"/>
      <c r="WNR57" s="94"/>
      <c r="WNS57" s="94"/>
      <c r="WNT57" s="94"/>
      <c r="WNU57" s="94"/>
      <c r="WNV57" s="94"/>
      <c r="WNW57" s="94"/>
      <c r="WNX57" s="94"/>
      <c r="WNY57" s="94"/>
      <c r="WNZ57" s="94"/>
      <c r="WOA57" s="94"/>
      <c r="WOB57" s="94"/>
      <c r="WOC57" s="94"/>
      <c r="WOD57" s="94"/>
      <c r="WOE57" s="94"/>
      <c r="WOF57" s="94"/>
      <c r="WOG57" s="94"/>
      <c r="WOH57" s="94"/>
      <c r="WOI57" s="94"/>
      <c r="WOJ57" s="94"/>
      <c r="WOK57" s="94"/>
      <c r="WOL57" s="94"/>
      <c r="WOM57" s="94"/>
      <c r="WON57" s="94"/>
      <c r="WOO57" s="94"/>
      <c r="WOP57" s="94"/>
      <c r="WOQ57" s="94"/>
      <c r="WOR57" s="94"/>
      <c r="WOS57" s="94"/>
      <c r="WOT57" s="94"/>
      <c r="WOU57" s="94"/>
      <c r="WOV57" s="94"/>
      <c r="WOW57" s="94"/>
      <c r="WOX57" s="94"/>
      <c r="WOY57" s="94"/>
      <c r="WOZ57" s="94"/>
      <c r="WPA57" s="94"/>
      <c r="WPB57" s="94"/>
      <c r="WPC57" s="94"/>
      <c r="WPD57" s="94"/>
      <c r="WPE57" s="94"/>
      <c r="WPF57" s="94"/>
      <c r="WPG57" s="94"/>
      <c r="WPH57" s="94"/>
      <c r="WPI57" s="94"/>
      <c r="WPJ57" s="94"/>
      <c r="WPK57" s="94"/>
      <c r="WPL57" s="94"/>
      <c r="WPM57" s="94"/>
      <c r="WPN57" s="94"/>
      <c r="WPO57" s="94"/>
      <c r="WPP57" s="94"/>
      <c r="WPQ57" s="94"/>
      <c r="WPR57" s="94"/>
      <c r="WPS57" s="94"/>
      <c r="WPT57" s="94"/>
      <c r="WPU57" s="94"/>
      <c r="WPV57" s="94"/>
      <c r="WPW57" s="94"/>
      <c r="WPX57" s="94"/>
      <c r="WPY57" s="94"/>
      <c r="WPZ57" s="94"/>
      <c r="WQA57" s="94"/>
      <c r="WQB57" s="94"/>
      <c r="WQC57" s="94"/>
      <c r="WQD57" s="94"/>
      <c r="WQE57" s="94"/>
      <c r="WQF57" s="94"/>
      <c r="WQG57" s="94"/>
      <c r="WQH57" s="94"/>
      <c r="WQI57" s="94"/>
      <c r="WQJ57" s="94"/>
      <c r="WQK57" s="94"/>
      <c r="WQL57" s="94"/>
      <c r="WQM57" s="94"/>
      <c r="WQN57" s="94"/>
      <c r="WQO57" s="94"/>
      <c r="WQP57" s="94"/>
      <c r="WQQ57" s="94"/>
      <c r="WQR57" s="94"/>
      <c r="WQS57" s="94"/>
      <c r="WQT57" s="94"/>
      <c r="WQU57" s="94"/>
      <c r="WQV57" s="94"/>
      <c r="WQW57" s="94"/>
      <c r="WQX57" s="94"/>
      <c r="WQY57" s="94"/>
      <c r="WQZ57" s="94"/>
      <c r="WRA57" s="94"/>
      <c r="WRB57" s="94"/>
      <c r="WRC57" s="94"/>
      <c r="WRD57" s="94"/>
      <c r="WRE57" s="94"/>
      <c r="WRF57" s="94"/>
      <c r="WRG57" s="94"/>
      <c r="WRH57" s="94"/>
      <c r="WRI57" s="94"/>
      <c r="WRJ57" s="94"/>
      <c r="WRK57" s="94"/>
      <c r="WRL57" s="94"/>
      <c r="WRM57" s="94"/>
      <c r="WRN57" s="94"/>
      <c r="WRO57" s="94"/>
      <c r="WRP57" s="94"/>
      <c r="WRQ57" s="94"/>
      <c r="WRR57" s="94"/>
      <c r="WRS57" s="94"/>
      <c r="WRT57" s="94"/>
      <c r="WRU57" s="94"/>
      <c r="WRV57" s="94"/>
      <c r="WRW57" s="94"/>
      <c r="WRX57" s="94"/>
      <c r="WRY57" s="94"/>
      <c r="WRZ57" s="94"/>
      <c r="WSA57" s="94"/>
      <c r="WSB57" s="94"/>
      <c r="WSC57" s="94"/>
      <c r="WSD57" s="94"/>
      <c r="WSE57" s="94"/>
      <c r="WSF57" s="94"/>
      <c r="WSG57" s="94"/>
      <c r="WSH57" s="94"/>
      <c r="WSI57" s="94"/>
      <c r="WSJ57" s="94"/>
      <c r="WSK57" s="94"/>
      <c r="WSL57" s="94"/>
      <c r="WSM57" s="94"/>
      <c r="WSN57" s="94"/>
      <c r="WSO57" s="94"/>
      <c r="WSP57" s="94"/>
      <c r="WSQ57" s="94"/>
      <c r="WSR57" s="94"/>
      <c r="WSS57" s="94"/>
      <c r="WST57" s="94"/>
      <c r="WSU57" s="94"/>
      <c r="WSV57" s="94"/>
      <c r="WSW57" s="94"/>
      <c r="WSX57" s="94"/>
      <c r="WSY57" s="94"/>
      <c r="WSZ57" s="94"/>
      <c r="WTA57" s="94"/>
      <c r="WTB57" s="94"/>
      <c r="WTC57" s="94"/>
      <c r="WTD57" s="94"/>
      <c r="WTE57" s="94"/>
      <c r="WTF57" s="94"/>
      <c r="WTG57" s="94"/>
      <c r="WTH57" s="94"/>
      <c r="WTI57" s="94"/>
      <c r="WTJ57" s="94"/>
      <c r="WTK57" s="94"/>
      <c r="WTL57" s="94"/>
      <c r="WTM57" s="94"/>
      <c r="WTN57" s="94"/>
      <c r="WTO57" s="94"/>
      <c r="WTP57" s="94"/>
      <c r="WTQ57" s="94"/>
      <c r="WTR57" s="94"/>
      <c r="WTS57" s="94"/>
      <c r="WTT57" s="94"/>
      <c r="WTU57" s="94"/>
      <c r="WTV57" s="94"/>
      <c r="WTW57" s="94"/>
      <c r="WTX57" s="94"/>
      <c r="WTY57" s="94"/>
      <c r="WTZ57" s="94"/>
      <c r="WUA57" s="94"/>
      <c r="WUB57" s="94"/>
      <c r="WUC57" s="94"/>
      <c r="WUD57" s="94"/>
      <c r="WUE57" s="94"/>
      <c r="WUF57" s="94"/>
      <c r="WUG57" s="94"/>
      <c r="WUH57" s="94"/>
      <c r="WUI57" s="94"/>
      <c r="WUJ57" s="94"/>
      <c r="WUK57" s="94"/>
      <c r="WUL57" s="94"/>
      <c r="WUM57" s="94"/>
      <c r="WUN57" s="94"/>
      <c r="WUO57" s="94"/>
      <c r="WUP57" s="94"/>
      <c r="WUQ57" s="94"/>
      <c r="WUR57" s="94"/>
      <c r="WUS57" s="94"/>
      <c r="WUT57" s="94"/>
      <c r="WUU57" s="94"/>
      <c r="WUV57" s="94"/>
      <c r="WUW57" s="94"/>
      <c r="WUX57" s="94"/>
      <c r="WUY57" s="94"/>
      <c r="WUZ57" s="94"/>
      <c r="WVA57" s="94"/>
      <c r="WVB57" s="94"/>
      <c r="WVC57" s="94"/>
      <c r="WVD57" s="94"/>
      <c r="WVE57" s="94"/>
      <c r="WVF57" s="94"/>
      <c r="WVG57" s="94"/>
      <c r="WVH57" s="94"/>
      <c r="WVI57" s="94"/>
      <c r="WVJ57" s="94"/>
      <c r="WVK57" s="94"/>
      <c r="WVL57" s="94"/>
      <c r="WVM57" s="94"/>
      <c r="WVN57" s="94"/>
      <c r="WVO57" s="94"/>
      <c r="WVP57" s="94"/>
      <c r="WVQ57" s="94"/>
      <c r="WVR57" s="94"/>
      <c r="WVS57" s="94"/>
      <c r="WVT57" s="94"/>
      <c r="WVU57" s="94"/>
      <c r="WVV57" s="94"/>
      <c r="WVW57" s="94"/>
      <c r="WVX57" s="94"/>
      <c r="WVY57" s="94"/>
      <c r="WVZ57" s="94"/>
      <c r="WWA57" s="94"/>
      <c r="WWB57" s="94"/>
      <c r="WWC57" s="94"/>
      <c r="WWD57" s="94"/>
      <c r="WWE57" s="94"/>
      <c r="WWF57" s="94"/>
      <c r="WWG57" s="94"/>
      <c r="WWH57" s="94"/>
      <c r="WWI57" s="94"/>
      <c r="WWJ57" s="94"/>
      <c r="WWK57" s="94"/>
      <c r="WWL57" s="94"/>
      <c r="WWM57" s="94"/>
      <c r="WWN57" s="94"/>
      <c r="WWO57" s="94"/>
      <c r="WWP57" s="94"/>
      <c r="WWQ57" s="94"/>
      <c r="WWR57" s="94"/>
      <c r="WWS57" s="94"/>
      <c r="WWT57" s="94"/>
      <c r="WWU57" s="94"/>
      <c r="WWV57" s="94"/>
      <c r="WWW57" s="94"/>
      <c r="WWX57" s="94"/>
      <c r="WWY57" s="94"/>
      <c r="WWZ57" s="94"/>
      <c r="WXA57" s="94"/>
      <c r="WXB57" s="94"/>
      <c r="WXC57" s="94"/>
      <c r="WXD57" s="94"/>
      <c r="WXE57" s="94"/>
      <c r="WXF57" s="94"/>
      <c r="WXG57" s="94"/>
      <c r="WXH57" s="94"/>
      <c r="WXI57" s="94"/>
      <c r="WXJ57" s="94"/>
      <c r="WXK57" s="94"/>
      <c r="WXL57" s="94"/>
      <c r="WXM57" s="94"/>
      <c r="WXN57" s="94"/>
      <c r="WXO57" s="94"/>
      <c r="WXP57" s="94"/>
      <c r="WXQ57" s="94"/>
      <c r="WXR57" s="94"/>
      <c r="WXS57" s="94"/>
      <c r="WXT57" s="94"/>
      <c r="WXU57" s="94"/>
      <c r="WXV57" s="94"/>
      <c r="WXW57" s="94"/>
      <c r="WXX57" s="94"/>
      <c r="WXY57" s="94"/>
      <c r="WXZ57" s="94"/>
      <c r="WYA57" s="94"/>
      <c r="WYB57" s="94"/>
      <c r="WYC57" s="94"/>
      <c r="WYD57" s="94"/>
      <c r="WYE57" s="94"/>
      <c r="WYF57" s="94"/>
      <c r="WYG57" s="94"/>
      <c r="WYH57" s="94"/>
      <c r="WYI57" s="94"/>
      <c r="WYJ57" s="94"/>
      <c r="WYK57" s="94"/>
      <c r="WYL57" s="94"/>
      <c r="WYM57" s="94"/>
      <c r="WYN57" s="94"/>
      <c r="WYO57" s="94"/>
      <c r="WYP57" s="94"/>
      <c r="WYQ57" s="94"/>
      <c r="WYR57" s="94"/>
      <c r="WYS57" s="94"/>
      <c r="WYT57" s="94"/>
      <c r="WYU57" s="94"/>
      <c r="WYV57" s="94"/>
      <c r="WYW57" s="94"/>
      <c r="WYX57" s="94"/>
      <c r="WYY57" s="94"/>
      <c r="WYZ57" s="94"/>
      <c r="WZA57" s="94"/>
      <c r="WZB57" s="94"/>
      <c r="WZC57" s="94"/>
      <c r="WZD57" s="94"/>
      <c r="WZE57" s="94"/>
      <c r="WZF57" s="94"/>
      <c r="WZG57" s="94"/>
      <c r="WZH57" s="94"/>
      <c r="WZI57" s="94"/>
      <c r="WZJ57" s="94"/>
      <c r="WZK57" s="94"/>
      <c r="WZL57" s="94"/>
      <c r="WZM57" s="94"/>
      <c r="WZN57" s="94"/>
      <c r="WZO57" s="94"/>
      <c r="WZP57" s="94"/>
      <c r="WZQ57" s="94"/>
      <c r="WZR57" s="94"/>
      <c r="WZS57" s="94"/>
      <c r="WZT57" s="94"/>
      <c r="WZU57" s="94"/>
      <c r="WZV57" s="94"/>
      <c r="WZW57" s="94"/>
      <c r="WZX57" s="94"/>
      <c r="WZY57" s="94"/>
      <c r="WZZ57" s="94"/>
      <c r="XAA57" s="94"/>
      <c r="XAB57" s="94"/>
      <c r="XAC57" s="94"/>
      <c r="XAD57" s="94"/>
      <c r="XAE57" s="94"/>
      <c r="XAF57" s="94"/>
      <c r="XAG57" s="94"/>
      <c r="XAH57" s="94"/>
      <c r="XAI57" s="94"/>
      <c r="XAJ57" s="94"/>
      <c r="XAK57" s="94"/>
      <c r="XAL57" s="94"/>
      <c r="XAM57" s="94"/>
      <c r="XAN57" s="94"/>
      <c r="XAO57" s="94"/>
      <c r="XAP57" s="94"/>
      <c r="XAQ57" s="94"/>
      <c r="XAR57" s="94"/>
      <c r="XAS57" s="94"/>
      <c r="XAT57" s="94"/>
      <c r="XAU57" s="94"/>
      <c r="XAV57" s="94"/>
      <c r="XAW57" s="94"/>
      <c r="XAX57" s="94"/>
      <c r="XAY57" s="94"/>
      <c r="XAZ57" s="94"/>
      <c r="XBA57" s="94"/>
      <c r="XBB57" s="94"/>
      <c r="XBC57" s="94"/>
      <c r="XBD57" s="94"/>
      <c r="XBE57" s="94"/>
      <c r="XBF57" s="94"/>
      <c r="XBG57" s="94"/>
      <c r="XBH57" s="94"/>
      <c r="XBI57" s="94"/>
      <c r="XBJ57" s="94"/>
      <c r="XBK57" s="94"/>
      <c r="XBL57" s="94"/>
      <c r="XBM57" s="94"/>
      <c r="XBN57" s="94"/>
      <c r="XBO57" s="94"/>
      <c r="XBP57" s="94"/>
      <c r="XBQ57" s="94"/>
      <c r="XBR57" s="94"/>
      <c r="XBS57" s="94"/>
      <c r="XBT57" s="94"/>
      <c r="XBU57" s="94"/>
      <c r="XBV57" s="94"/>
      <c r="XBW57" s="94"/>
      <c r="XBX57" s="94"/>
      <c r="XBY57" s="94"/>
      <c r="XBZ57" s="94"/>
      <c r="XCA57" s="94"/>
      <c r="XCB57" s="94"/>
      <c r="XCC57" s="94"/>
      <c r="XCD57" s="94"/>
      <c r="XCE57" s="94"/>
      <c r="XCF57" s="94"/>
      <c r="XCG57" s="94"/>
      <c r="XCH57" s="94"/>
      <c r="XCI57" s="94"/>
      <c r="XCJ57" s="94"/>
      <c r="XCK57" s="94"/>
      <c r="XCL57" s="94"/>
      <c r="XCM57" s="94"/>
      <c r="XCN57" s="94"/>
      <c r="XCO57" s="94"/>
      <c r="XCP57" s="94"/>
      <c r="XCQ57" s="94"/>
      <c r="XCR57" s="94"/>
      <c r="XCS57" s="94"/>
      <c r="XCT57" s="94"/>
      <c r="XCU57" s="94"/>
      <c r="XCV57" s="94"/>
      <c r="XCW57" s="94"/>
      <c r="XCX57" s="94"/>
      <c r="XCY57" s="94"/>
      <c r="XCZ57" s="94"/>
      <c r="XDA57" s="94"/>
      <c r="XDB57" s="94"/>
      <c r="XDC57" s="94"/>
      <c r="XDD57" s="94"/>
      <c r="XDE57" s="94"/>
      <c r="XDF57" s="94"/>
      <c r="XDG57" s="94"/>
      <c r="XDH57" s="94"/>
      <c r="XDI57" s="94"/>
      <c r="XDJ57" s="94"/>
      <c r="XDK57" s="94"/>
      <c r="XDL57" s="94"/>
      <c r="XDM57" s="94"/>
      <c r="XDN57" s="94"/>
      <c r="XDO57" s="94"/>
      <c r="XDP57" s="94"/>
      <c r="XDQ57" s="94"/>
      <c r="XDR57" s="94"/>
      <c r="XDS57" s="94"/>
      <c r="XDT57" s="94"/>
      <c r="XDU57" s="94"/>
      <c r="XDV57" s="94"/>
      <c r="XDW57" s="94"/>
      <c r="XDX57" s="94"/>
      <c r="XDY57" s="94"/>
      <c r="XDZ57" s="94"/>
      <c r="XEA57" s="94"/>
      <c r="XEB57" s="94"/>
      <c r="XEC57" s="94"/>
      <c r="XED57" s="94"/>
      <c r="XEE57" s="94"/>
      <c r="XEF57" s="94"/>
      <c r="XEG57" s="94"/>
      <c r="XEH57" s="94"/>
      <c r="XEI57" s="94"/>
      <c r="XEJ57" s="94"/>
      <c r="XEK57" s="94"/>
      <c r="XEL57" s="94"/>
      <c r="XEM57" s="94"/>
      <c r="XEN57" s="94"/>
      <c r="XEO57" s="94"/>
      <c r="XEP57" s="94"/>
      <c r="XEQ57" s="94"/>
      <c r="XER57" s="94"/>
      <c r="XES57" s="94"/>
      <c r="XET57" s="94"/>
      <c r="XEU57" s="94"/>
      <c r="XEV57" s="94"/>
      <c r="XEW57" s="94"/>
      <c r="XEX57" s="94"/>
      <c r="XEY57" s="94"/>
      <c r="XEZ57" s="94"/>
      <c r="XFA57" s="94"/>
      <c r="XFB57" s="94"/>
    </row>
    <row r="58" spans="1:16382" ht="50.1" customHeight="1" thickBot="1">
      <c r="A58" s="125">
        <v>54</v>
      </c>
      <c r="B58" s="125" t="s">
        <v>1015</v>
      </c>
      <c r="C58" s="125" t="s">
        <v>5196</v>
      </c>
      <c r="D58" s="472" t="s">
        <v>5213</v>
      </c>
      <c r="E58" s="472" t="s">
        <v>5212</v>
      </c>
      <c r="F58" s="480" t="s">
        <v>5211</v>
      </c>
      <c r="G58" s="472" t="s">
        <v>6068</v>
      </c>
      <c r="H58" s="472" t="s">
        <v>5210</v>
      </c>
      <c r="I58" s="472">
        <v>125</v>
      </c>
      <c r="J58" s="472"/>
      <c r="K58" s="472" t="s">
        <v>507</v>
      </c>
      <c r="L58" s="472"/>
      <c r="M58" s="472"/>
      <c r="N58" s="472"/>
      <c r="O58" s="472"/>
      <c r="P58" s="472" t="s">
        <v>50</v>
      </c>
      <c r="Q58" s="472" t="s">
        <v>5209</v>
      </c>
      <c r="R58" s="472" t="s">
        <v>36</v>
      </c>
      <c r="S58" s="472" t="s">
        <v>186</v>
      </c>
      <c r="T58" s="472"/>
      <c r="U58" s="472" t="s">
        <v>5202</v>
      </c>
      <c r="V58" s="135">
        <f t="shared" ref="V58:V71" si="2">SUM(W58:X58)</f>
        <v>30</v>
      </c>
      <c r="W58" s="135">
        <v>30</v>
      </c>
      <c r="X58" s="135"/>
      <c r="Y58" s="472" t="s">
        <v>5208</v>
      </c>
      <c r="Z58" s="141" t="s">
        <v>1148</v>
      </c>
    </row>
    <row r="59" spans="1:16382" ht="50.1" customHeight="1">
      <c r="A59" s="331">
        <v>55</v>
      </c>
      <c r="B59" s="125" t="s">
        <v>1015</v>
      </c>
      <c r="C59" s="125" t="s">
        <v>5196</v>
      </c>
      <c r="D59" s="472" t="s">
        <v>5207</v>
      </c>
      <c r="E59" s="472" t="s">
        <v>5206</v>
      </c>
      <c r="F59" s="476" t="s">
        <v>5205</v>
      </c>
      <c r="G59" s="472" t="s">
        <v>6068</v>
      </c>
      <c r="H59" s="472" t="s">
        <v>5204</v>
      </c>
      <c r="I59" s="472">
        <v>125</v>
      </c>
      <c r="J59" s="472"/>
      <c r="K59" s="472" t="s">
        <v>507</v>
      </c>
      <c r="L59" s="472"/>
      <c r="M59" s="472"/>
      <c r="N59" s="472"/>
      <c r="O59" s="472"/>
      <c r="P59" s="472" t="s">
        <v>52</v>
      </c>
      <c r="Q59" s="472" t="s">
        <v>5203</v>
      </c>
      <c r="R59" s="472" t="s">
        <v>36</v>
      </c>
      <c r="S59" s="472" t="s">
        <v>186</v>
      </c>
      <c r="T59" s="472"/>
      <c r="U59" s="472" t="s">
        <v>5202</v>
      </c>
      <c r="V59" s="135">
        <f t="shared" si="2"/>
        <v>5</v>
      </c>
      <c r="W59" s="135">
        <v>5</v>
      </c>
      <c r="X59" s="135"/>
      <c r="Y59" s="472" t="s">
        <v>1307</v>
      </c>
      <c r="Z59" s="141" t="s">
        <v>1148</v>
      </c>
      <c r="AA59"/>
      <c r="AB59"/>
      <c r="AC59"/>
      <c r="AD59"/>
      <c r="AE59"/>
      <c r="AF59"/>
      <c r="AG59"/>
      <c r="AH59"/>
      <c r="AI59"/>
    </row>
    <row r="60" spans="1:16382" ht="50.1" customHeight="1" thickBot="1">
      <c r="A60" s="125">
        <v>56</v>
      </c>
      <c r="B60" s="125" t="s">
        <v>1015</v>
      </c>
      <c r="C60" s="125" t="s">
        <v>5196</v>
      </c>
      <c r="D60" s="472" t="s">
        <v>5201</v>
      </c>
      <c r="E60" s="472" t="s">
        <v>942</v>
      </c>
      <c r="F60" s="476" t="s">
        <v>5200</v>
      </c>
      <c r="G60" s="472" t="s">
        <v>5199</v>
      </c>
      <c r="H60" s="472" t="s">
        <v>5198</v>
      </c>
      <c r="I60" s="472">
        <v>70</v>
      </c>
      <c r="J60" s="472"/>
      <c r="K60" s="472" t="s">
        <v>507</v>
      </c>
      <c r="L60" s="472"/>
      <c r="M60" s="472"/>
      <c r="N60" s="472"/>
      <c r="O60" s="472"/>
      <c r="P60" s="472" t="s">
        <v>48</v>
      </c>
      <c r="Q60" s="472" t="s">
        <v>130</v>
      </c>
      <c r="R60" s="472" t="s">
        <v>36</v>
      </c>
      <c r="S60" s="472" t="s">
        <v>186</v>
      </c>
      <c r="T60" s="472"/>
      <c r="U60" s="472" t="s">
        <v>38</v>
      </c>
      <c r="V60" s="135">
        <f t="shared" si="2"/>
        <v>20</v>
      </c>
      <c r="W60" s="135">
        <v>20</v>
      </c>
      <c r="X60" s="135"/>
      <c r="Y60" s="472" t="s">
        <v>5197</v>
      </c>
      <c r="Z60" s="141" t="s">
        <v>1148</v>
      </c>
      <c r="AA60"/>
      <c r="AB60"/>
      <c r="AC60"/>
      <c r="AD60"/>
      <c r="AE60"/>
      <c r="AF60"/>
      <c r="AG60"/>
      <c r="AH60"/>
      <c r="AI60"/>
    </row>
    <row r="61" spans="1:16382" s="1" customFormat="1" ht="50.1" customHeight="1">
      <c r="A61" s="209">
        <v>57</v>
      </c>
      <c r="B61" s="126" t="s">
        <v>1015</v>
      </c>
      <c r="C61" s="125" t="s">
        <v>5196</v>
      </c>
      <c r="D61" s="473" t="s">
        <v>5195</v>
      </c>
      <c r="E61" s="473" t="s">
        <v>54</v>
      </c>
      <c r="F61" s="476" t="s">
        <v>5194</v>
      </c>
      <c r="G61" s="473" t="s">
        <v>5193</v>
      </c>
      <c r="H61" s="473" t="s">
        <v>5192</v>
      </c>
      <c r="I61" s="473">
        <v>50</v>
      </c>
      <c r="J61" s="473"/>
      <c r="K61" s="473" t="s">
        <v>507</v>
      </c>
      <c r="L61" s="473"/>
      <c r="M61" s="473"/>
      <c r="N61" s="473"/>
      <c r="O61" s="473"/>
      <c r="P61" s="473" t="s">
        <v>52</v>
      </c>
      <c r="Q61" s="473" t="s">
        <v>5191</v>
      </c>
      <c r="R61" s="473" t="s">
        <v>36</v>
      </c>
      <c r="S61" s="473" t="s">
        <v>186</v>
      </c>
      <c r="T61" s="473"/>
      <c r="U61" s="473" t="s">
        <v>38</v>
      </c>
      <c r="V61" s="136">
        <f t="shared" si="2"/>
        <v>5</v>
      </c>
      <c r="W61" s="136">
        <v>5</v>
      </c>
      <c r="X61" s="136"/>
      <c r="Y61" s="473" t="s">
        <v>5190</v>
      </c>
      <c r="Z61" s="137" t="s">
        <v>6135</v>
      </c>
    </row>
    <row r="62" spans="1:16382" ht="50.1" customHeight="1" thickBot="1">
      <c r="A62" s="125">
        <v>58</v>
      </c>
      <c r="B62" s="125" t="s">
        <v>667</v>
      </c>
      <c r="C62" s="125" t="s">
        <v>5085</v>
      </c>
      <c r="D62" s="472" t="s">
        <v>5189</v>
      </c>
      <c r="E62" s="472" t="s">
        <v>5188</v>
      </c>
      <c r="F62" s="480" t="s">
        <v>5187</v>
      </c>
      <c r="G62" s="472" t="s">
        <v>5186</v>
      </c>
      <c r="H62" s="472" t="s">
        <v>798</v>
      </c>
      <c r="I62" s="472" t="s">
        <v>507</v>
      </c>
      <c r="J62" s="472">
        <v>0</v>
      </c>
      <c r="K62" s="472" t="s">
        <v>507</v>
      </c>
      <c r="L62" s="472">
        <v>101</v>
      </c>
      <c r="M62" s="472">
        <v>0</v>
      </c>
      <c r="N62" s="472"/>
      <c r="O62" s="472"/>
      <c r="P62" s="472" t="s">
        <v>52</v>
      </c>
      <c r="Q62" s="472" t="s">
        <v>5185</v>
      </c>
      <c r="R62" s="472" t="s">
        <v>36</v>
      </c>
      <c r="S62" s="472" t="s">
        <v>199</v>
      </c>
      <c r="T62" s="472" t="s">
        <v>5184</v>
      </c>
      <c r="U62" s="472" t="s">
        <v>38</v>
      </c>
      <c r="V62" s="135">
        <f t="shared" si="2"/>
        <v>37.5</v>
      </c>
      <c r="W62" s="135">
        <v>37</v>
      </c>
      <c r="X62" s="135">
        <v>0.5</v>
      </c>
      <c r="Y62" s="472" t="s">
        <v>5183</v>
      </c>
      <c r="Z62" s="448" t="s">
        <v>6092</v>
      </c>
      <c r="AA62" s="456"/>
      <c r="AB62"/>
      <c r="AC62"/>
      <c r="AD62"/>
      <c r="AE62"/>
      <c r="AF62"/>
      <c r="AG62"/>
      <c r="AH62"/>
      <c r="AI62"/>
    </row>
    <row r="63" spans="1:16382" ht="50.1" customHeight="1">
      <c r="A63" s="331">
        <v>59</v>
      </c>
      <c r="B63" s="125" t="s">
        <v>667</v>
      </c>
      <c r="C63" s="125" t="s">
        <v>5085</v>
      </c>
      <c r="D63" s="472" t="s">
        <v>5182</v>
      </c>
      <c r="E63" s="472" t="s">
        <v>152</v>
      </c>
      <c r="F63" s="480" t="s">
        <v>5181</v>
      </c>
      <c r="G63" s="472" t="s">
        <v>5180</v>
      </c>
      <c r="H63" s="472" t="s">
        <v>1357</v>
      </c>
      <c r="I63" s="472">
        <v>69</v>
      </c>
      <c r="J63" s="472">
        <v>0</v>
      </c>
      <c r="K63" s="472">
        <v>0</v>
      </c>
      <c r="L63" s="472">
        <v>69</v>
      </c>
      <c r="M63" s="472">
        <v>0</v>
      </c>
      <c r="N63" s="472"/>
      <c r="O63" s="472"/>
      <c r="P63" s="472" t="s">
        <v>46</v>
      </c>
      <c r="Q63" s="472" t="s">
        <v>5179</v>
      </c>
      <c r="R63" s="472" t="s">
        <v>36</v>
      </c>
      <c r="S63" s="472" t="s">
        <v>246</v>
      </c>
      <c r="T63" s="472" t="s">
        <v>5178</v>
      </c>
      <c r="U63" s="472" t="s">
        <v>38</v>
      </c>
      <c r="V63" s="135">
        <f t="shared" si="2"/>
        <v>5</v>
      </c>
      <c r="W63" s="135">
        <v>4</v>
      </c>
      <c r="X63" s="135">
        <v>1</v>
      </c>
      <c r="Y63" s="472" t="s">
        <v>5177</v>
      </c>
      <c r="Z63" s="137" t="s">
        <v>6023</v>
      </c>
    </row>
    <row r="64" spans="1:16382" s="1" customFormat="1" ht="50.1" customHeight="1" thickBot="1">
      <c r="A64" s="126">
        <v>60</v>
      </c>
      <c r="B64" s="126" t="s">
        <v>1015</v>
      </c>
      <c r="C64" s="126" t="s">
        <v>5085</v>
      </c>
      <c r="D64" s="473" t="s">
        <v>5176</v>
      </c>
      <c r="E64" s="473" t="s">
        <v>5175</v>
      </c>
      <c r="F64" s="476" t="s">
        <v>5174</v>
      </c>
      <c r="G64" s="473" t="s">
        <v>5173</v>
      </c>
      <c r="H64" s="473" t="s">
        <v>1358</v>
      </c>
      <c r="I64" s="473" t="s">
        <v>507</v>
      </c>
      <c r="J64" s="473">
        <v>0</v>
      </c>
      <c r="K64" s="473">
        <v>0</v>
      </c>
      <c r="L64" s="473">
        <v>0</v>
      </c>
      <c r="M64" s="473">
        <v>0</v>
      </c>
      <c r="N64" s="473"/>
      <c r="O64" s="473"/>
      <c r="P64" s="473" t="s">
        <v>46</v>
      </c>
      <c r="Q64" s="473" t="s">
        <v>5172</v>
      </c>
      <c r="R64" s="473" t="s">
        <v>36</v>
      </c>
      <c r="S64" s="473" t="s">
        <v>5171</v>
      </c>
      <c r="T64" s="473" t="s">
        <v>5170</v>
      </c>
      <c r="U64" s="473" t="s">
        <v>4086</v>
      </c>
      <c r="V64" s="136">
        <f t="shared" si="2"/>
        <v>13</v>
      </c>
      <c r="W64" s="136">
        <v>12</v>
      </c>
      <c r="X64" s="136">
        <v>1</v>
      </c>
      <c r="Y64" s="473" t="s">
        <v>5169</v>
      </c>
      <c r="Z64" s="137" t="s">
        <v>6067</v>
      </c>
      <c r="AA64"/>
      <c r="AB64"/>
      <c r="AC64"/>
      <c r="AD64"/>
      <c r="AE64"/>
      <c r="AF64"/>
      <c r="AG64"/>
      <c r="AH64"/>
      <c r="AI64"/>
    </row>
    <row r="65" spans="1:35" ht="50.1" customHeight="1">
      <c r="A65" s="331">
        <v>61</v>
      </c>
      <c r="B65" s="125" t="s">
        <v>667</v>
      </c>
      <c r="C65" s="125" t="s">
        <v>5085</v>
      </c>
      <c r="D65" s="472" t="s">
        <v>5168</v>
      </c>
      <c r="E65" s="472" t="s">
        <v>5167</v>
      </c>
      <c r="F65" s="476" t="s">
        <v>5166</v>
      </c>
      <c r="G65" s="472" t="s">
        <v>5165</v>
      </c>
      <c r="H65" s="472" t="s">
        <v>100</v>
      </c>
      <c r="I65" s="472" t="s">
        <v>507</v>
      </c>
      <c r="J65" s="472">
        <v>0</v>
      </c>
      <c r="K65" s="472">
        <v>0</v>
      </c>
      <c r="L65" s="472">
        <v>0</v>
      </c>
      <c r="M65" s="472">
        <v>0</v>
      </c>
      <c r="N65" s="472"/>
      <c r="O65" s="472"/>
      <c r="P65" s="472" t="s">
        <v>46</v>
      </c>
      <c r="Q65" s="472" t="s">
        <v>1359</v>
      </c>
      <c r="R65" s="472" t="s">
        <v>36</v>
      </c>
      <c r="S65" s="472" t="s">
        <v>5158</v>
      </c>
      <c r="T65" s="472" t="s">
        <v>5157</v>
      </c>
      <c r="U65" s="472" t="s">
        <v>37</v>
      </c>
      <c r="V65" s="135">
        <f t="shared" si="2"/>
        <v>40</v>
      </c>
      <c r="W65" s="135">
        <v>40</v>
      </c>
      <c r="X65" s="135">
        <v>0</v>
      </c>
      <c r="Y65" s="472" t="s">
        <v>5156</v>
      </c>
      <c r="Z65" s="137" t="s">
        <v>5164</v>
      </c>
      <c r="AA65"/>
      <c r="AB65"/>
      <c r="AC65"/>
      <c r="AD65"/>
      <c r="AE65"/>
      <c r="AF65"/>
      <c r="AG65"/>
      <c r="AH65"/>
      <c r="AI65"/>
    </row>
    <row r="66" spans="1:35" s="1" customFormat="1" ht="50.1" customHeight="1" thickBot="1">
      <c r="A66" s="126">
        <v>62</v>
      </c>
      <c r="B66" s="126" t="s">
        <v>667</v>
      </c>
      <c r="C66" s="126" t="s">
        <v>5085</v>
      </c>
      <c r="D66" s="473" t="s">
        <v>5163</v>
      </c>
      <c r="E66" s="473" t="s">
        <v>5162</v>
      </c>
      <c r="F66" s="476" t="s">
        <v>5161</v>
      </c>
      <c r="G66" s="473" t="s">
        <v>5160</v>
      </c>
      <c r="H66" s="473" t="s">
        <v>1285</v>
      </c>
      <c r="I66" s="473" t="s">
        <v>507</v>
      </c>
      <c r="J66" s="473">
        <v>0</v>
      </c>
      <c r="K66" s="473">
        <v>0</v>
      </c>
      <c r="L66" s="473">
        <v>0</v>
      </c>
      <c r="M66" s="473">
        <v>0</v>
      </c>
      <c r="N66" s="473"/>
      <c r="O66" s="473"/>
      <c r="P66" s="473" t="s">
        <v>7</v>
      </c>
      <c r="Q66" s="473" t="s">
        <v>5159</v>
      </c>
      <c r="R66" s="473" t="s">
        <v>36</v>
      </c>
      <c r="S66" s="473" t="s">
        <v>5158</v>
      </c>
      <c r="T66" s="473" t="s">
        <v>5157</v>
      </c>
      <c r="U66" s="473" t="s">
        <v>37</v>
      </c>
      <c r="V66" s="136">
        <f t="shared" si="2"/>
        <v>10</v>
      </c>
      <c r="W66" s="136">
        <v>10</v>
      </c>
      <c r="X66" s="136">
        <v>0</v>
      </c>
      <c r="Y66" s="473" t="s">
        <v>5156</v>
      </c>
      <c r="Z66" s="141" t="s">
        <v>1148</v>
      </c>
      <c r="AA66"/>
      <c r="AB66"/>
      <c r="AC66"/>
      <c r="AD66"/>
      <c r="AE66"/>
      <c r="AF66"/>
      <c r="AG66"/>
      <c r="AH66"/>
      <c r="AI66"/>
    </row>
    <row r="67" spans="1:35" ht="50.1" customHeight="1">
      <c r="A67" s="331">
        <v>63</v>
      </c>
      <c r="B67" s="125" t="s">
        <v>1015</v>
      </c>
      <c r="C67" s="125" t="s">
        <v>5147</v>
      </c>
      <c r="D67" s="472" t="s">
        <v>5155</v>
      </c>
      <c r="E67" s="472" t="s">
        <v>5154</v>
      </c>
      <c r="F67" s="476" t="s">
        <v>5153</v>
      </c>
      <c r="G67" s="459" t="s">
        <v>5149</v>
      </c>
      <c r="H67" s="472" t="s">
        <v>1358</v>
      </c>
      <c r="I67" s="472">
        <f>SUM(J67:L67)</f>
        <v>145</v>
      </c>
      <c r="J67" s="472"/>
      <c r="K67" s="472"/>
      <c r="L67" s="472">
        <v>145</v>
      </c>
      <c r="M67" s="472"/>
      <c r="N67" s="472"/>
      <c r="O67" s="472"/>
      <c r="P67" s="472" t="s">
        <v>50</v>
      </c>
      <c r="Q67" s="472" t="s">
        <v>1122</v>
      </c>
      <c r="R67" s="472" t="s">
        <v>36</v>
      </c>
      <c r="S67" s="472" t="s">
        <v>199</v>
      </c>
      <c r="T67" s="472"/>
      <c r="U67" s="472" t="s">
        <v>37</v>
      </c>
      <c r="V67" s="135">
        <f t="shared" si="2"/>
        <v>297</v>
      </c>
      <c r="W67" s="135">
        <v>297</v>
      </c>
      <c r="X67" s="135"/>
      <c r="Y67" s="472" t="s">
        <v>812</v>
      </c>
      <c r="Z67" s="137" t="s">
        <v>5998</v>
      </c>
      <c r="AA67"/>
      <c r="AB67"/>
      <c r="AC67"/>
      <c r="AD67"/>
      <c r="AE67"/>
      <c r="AF67"/>
      <c r="AG67"/>
      <c r="AH67"/>
      <c r="AI67"/>
    </row>
    <row r="68" spans="1:35" ht="50.1" customHeight="1" thickBot="1">
      <c r="A68" s="125">
        <v>64</v>
      </c>
      <c r="B68" s="125" t="s">
        <v>1015</v>
      </c>
      <c r="C68" s="125" t="s">
        <v>5147</v>
      </c>
      <c r="D68" s="472" t="s">
        <v>5152</v>
      </c>
      <c r="E68" s="472" t="s">
        <v>5151</v>
      </c>
      <c r="F68" s="480" t="s">
        <v>5150</v>
      </c>
      <c r="G68" s="459" t="s">
        <v>5149</v>
      </c>
      <c r="H68" s="472" t="s">
        <v>1227</v>
      </c>
      <c r="I68" s="472">
        <f>SUM(J68:L68)</f>
        <v>140</v>
      </c>
      <c r="J68" s="472"/>
      <c r="K68" s="472"/>
      <c r="L68" s="472">
        <v>140</v>
      </c>
      <c r="M68" s="472"/>
      <c r="N68" s="472"/>
      <c r="O68" s="472"/>
      <c r="P68" s="472" t="s">
        <v>50</v>
      </c>
      <c r="Q68" s="472" t="s">
        <v>5148</v>
      </c>
      <c r="R68" s="472" t="s">
        <v>36</v>
      </c>
      <c r="S68" s="472" t="s">
        <v>199</v>
      </c>
      <c r="T68" s="472"/>
      <c r="U68" s="472" t="s">
        <v>37</v>
      </c>
      <c r="V68" s="135">
        <f t="shared" si="2"/>
        <v>0</v>
      </c>
      <c r="W68" s="135"/>
      <c r="X68" s="135"/>
      <c r="Y68" s="472" t="s">
        <v>64</v>
      </c>
      <c r="Z68" s="141" t="s">
        <v>1148</v>
      </c>
      <c r="AA68"/>
      <c r="AB68"/>
      <c r="AC68"/>
      <c r="AD68"/>
      <c r="AE68"/>
      <c r="AF68"/>
      <c r="AG68"/>
      <c r="AH68"/>
      <c r="AI68"/>
    </row>
    <row r="69" spans="1:35" s="1" customFormat="1" ht="50.1" customHeight="1">
      <c r="A69" s="209">
        <v>65</v>
      </c>
      <c r="B69" s="126" t="s">
        <v>1015</v>
      </c>
      <c r="C69" s="126" t="s">
        <v>5147</v>
      </c>
      <c r="D69" s="473" t="s">
        <v>5146</v>
      </c>
      <c r="E69" s="473" t="s">
        <v>5145</v>
      </c>
      <c r="F69" s="480" t="s">
        <v>5144</v>
      </c>
      <c r="G69" s="134" t="s">
        <v>5143</v>
      </c>
      <c r="H69" s="472" t="s">
        <v>1357</v>
      </c>
      <c r="I69" s="473">
        <f>SUM(J69:L69)</f>
        <v>391</v>
      </c>
      <c r="J69" s="473"/>
      <c r="K69" s="473">
        <v>100</v>
      </c>
      <c r="L69" s="473">
        <v>291</v>
      </c>
      <c r="M69" s="473"/>
      <c r="N69" s="473"/>
      <c r="O69" s="473"/>
      <c r="P69" s="473" t="s">
        <v>50</v>
      </c>
      <c r="Q69" s="473" t="s">
        <v>5142</v>
      </c>
      <c r="R69" s="473" t="s">
        <v>36</v>
      </c>
      <c r="S69" s="473" t="s">
        <v>199</v>
      </c>
      <c r="T69" s="473"/>
      <c r="U69" s="473" t="s">
        <v>37</v>
      </c>
      <c r="V69" s="136">
        <f t="shared" si="2"/>
        <v>232</v>
      </c>
      <c r="W69" s="136">
        <v>231</v>
      </c>
      <c r="X69" s="136">
        <v>1</v>
      </c>
      <c r="Y69" s="473" t="s">
        <v>445</v>
      </c>
      <c r="Z69" s="141" t="s">
        <v>1148</v>
      </c>
    </row>
    <row r="70" spans="1:35" ht="50.1" customHeight="1" thickBot="1">
      <c r="A70" s="125">
        <v>66</v>
      </c>
      <c r="B70" s="125" t="s">
        <v>1015</v>
      </c>
      <c r="C70" s="125" t="s">
        <v>5141</v>
      </c>
      <c r="D70" s="472" t="s">
        <v>5140</v>
      </c>
      <c r="E70" s="472" t="s">
        <v>5139</v>
      </c>
      <c r="F70" s="476" t="s">
        <v>5138</v>
      </c>
      <c r="G70" s="472" t="s">
        <v>5137</v>
      </c>
      <c r="H70" s="472" t="s">
        <v>367</v>
      </c>
      <c r="I70" s="472">
        <v>773</v>
      </c>
      <c r="J70" s="472">
        <v>275</v>
      </c>
      <c r="K70" s="472">
        <v>300</v>
      </c>
      <c r="L70" s="472">
        <v>198</v>
      </c>
      <c r="M70" s="472"/>
      <c r="N70" s="472" t="s">
        <v>5136</v>
      </c>
      <c r="O70" s="472" t="s">
        <v>5135</v>
      </c>
      <c r="P70" s="472" t="s">
        <v>52</v>
      </c>
      <c r="Q70" s="472" t="s">
        <v>5134</v>
      </c>
      <c r="R70" s="472" t="s">
        <v>36</v>
      </c>
      <c r="S70" s="472" t="s">
        <v>1356</v>
      </c>
      <c r="T70" s="472" t="s">
        <v>1355</v>
      </c>
      <c r="U70" s="472" t="s">
        <v>53</v>
      </c>
      <c r="V70" s="135">
        <f t="shared" si="2"/>
        <v>71</v>
      </c>
      <c r="W70" s="135">
        <v>70</v>
      </c>
      <c r="X70" s="135">
        <v>1</v>
      </c>
      <c r="Y70" s="472" t="s">
        <v>5133</v>
      </c>
      <c r="Z70" s="137" t="s">
        <v>6050</v>
      </c>
      <c r="AA70"/>
      <c r="AB70"/>
      <c r="AC70"/>
      <c r="AD70"/>
      <c r="AE70"/>
      <c r="AF70"/>
      <c r="AG70"/>
      <c r="AH70"/>
      <c r="AI70"/>
    </row>
    <row r="71" spans="1:35" s="1" customFormat="1" ht="50.1" customHeight="1">
      <c r="A71" s="209">
        <v>67</v>
      </c>
      <c r="B71" s="126" t="s">
        <v>667</v>
      </c>
      <c r="C71" s="126" t="s">
        <v>668</v>
      </c>
      <c r="D71" s="473" t="s">
        <v>5132</v>
      </c>
      <c r="E71" s="473" t="s">
        <v>5131</v>
      </c>
      <c r="F71" s="476" t="s">
        <v>5130</v>
      </c>
      <c r="G71" s="473" t="s">
        <v>5129</v>
      </c>
      <c r="H71" s="473" t="s">
        <v>5128</v>
      </c>
      <c r="I71" s="473">
        <v>930</v>
      </c>
      <c r="J71" s="126"/>
      <c r="K71" s="126"/>
      <c r="L71" s="126">
        <v>930</v>
      </c>
      <c r="M71" s="126"/>
      <c r="N71" s="126"/>
      <c r="O71" s="126"/>
      <c r="P71" s="126" t="s">
        <v>7</v>
      </c>
      <c r="Q71" s="126" t="s">
        <v>5127</v>
      </c>
      <c r="R71" s="473" t="s">
        <v>36</v>
      </c>
      <c r="S71" s="473" t="s">
        <v>55</v>
      </c>
      <c r="T71" s="126" t="s">
        <v>49</v>
      </c>
      <c r="U71" s="473" t="s">
        <v>38</v>
      </c>
      <c r="V71" s="136">
        <f t="shared" si="2"/>
        <v>135</v>
      </c>
      <c r="W71" s="136">
        <v>118</v>
      </c>
      <c r="X71" s="136">
        <v>17</v>
      </c>
      <c r="Y71" s="473" t="s">
        <v>5126</v>
      </c>
      <c r="Z71" s="151" t="s">
        <v>1148</v>
      </c>
    </row>
    <row r="72" spans="1:35" s="1" customFormat="1" ht="50.1" customHeight="1" thickBot="1">
      <c r="A72" s="126">
        <v>68</v>
      </c>
      <c r="B72" s="126" t="s">
        <v>1015</v>
      </c>
      <c r="C72" s="126" t="s">
        <v>668</v>
      </c>
      <c r="D72" s="473" t="s">
        <v>5125</v>
      </c>
      <c r="E72" s="473" t="s">
        <v>5124</v>
      </c>
      <c r="F72" s="476" t="s">
        <v>5123</v>
      </c>
      <c r="G72" s="473" t="s">
        <v>5122</v>
      </c>
      <c r="H72" s="473" t="s">
        <v>2930</v>
      </c>
      <c r="I72" s="150">
        <v>1800</v>
      </c>
      <c r="J72" s="473">
        <v>0</v>
      </c>
      <c r="K72" s="150">
        <v>1800</v>
      </c>
      <c r="L72" s="473">
        <v>0</v>
      </c>
      <c r="M72" s="473">
        <v>0</v>
      </c>
      <c r="N72" s="126"/>
      <c r="O72" s="126"/>
      <c r="P72" s="126" t="s">
        <v>46</v>
      </c>
      <c r="Q72" s="126" t="s">
        <v>5121</v>
      </c>
      <c r="R72" s="473" t="s">
        <v>36</v>
      </c>
      <c r="S72" s="473" t="s">
        <v>199</v>
      </c>
      <c r="T72" s="473" t="s">
        <v>5120</v>
      </c>
      <c r="U72" s="473" t="s">
        <v>5119</v>
      </c>
      <c r="V72" s="136">
        <v>920</v>
      </c>
      <c r="W72" s="136">
        <v>10</v>
      </c>
      <c r="X72" s="136">
        <v>910</v>
      </c>
      <c r="Y72" s="473" t="s">
        <v>5118</v>
      </c>
      <c r="Z72" s="141" t="s">
        <v>1148</v>
      </c>
    </row>
    <row r="73" spans="1:35" ht="81">
      <c r="A73" s="331">
        <v>69</v>
      </c>
      <c r="B73" s="125" t="s">
        <v>667</v>
      </c>
      <c r="C73" s="125" t="s">
        <v>5117</v>
      </c>
      <c r="D73" s="472" t="s">
        <v>5116</v>
      </c>
      <c r="E73" s="472" t="s">
        <v>5115</v>
      </c>
      <c r="F73" s="476" t="s">
        <v>5114</v>
      </c>
      <c r="G73" s="472" t="s">
        <v>5113</v>
      </c>
      <c r="H73" s="472" t="s">
        <v>312</v>
      </c>
      <c r="I73" s="472"/>
      <c r="J73" s="472"/>
      <c r="K73" s="472">
        <v>35</v>
      </c>
      <c r="L73" s="472">
        <v>15</v>
      </c>
      <c r="M73" s="472"/>
      <c r="N73" s="472"/>
      <c r="O73" s="472"/>
      <c r="P73" s="472" t="s">
        <v>5</v>
      </c>
      <c r="Q73" s="472" t="s">
        <v>5112</v>
      </c>
      <c r="R73" s="472" t="s">
        <v>36</v>
      </c>
      <c r="S73" s="472" t="s">
        <v>199</v>
      </c>
      <c r="T73" s="472" t="s">
        <v>49</v>
      </c>
      <c r="U73" s="472" t="s">
        <v>37</v>
      </c>
      <c r="V73" s="135">
        <f>SUM(W73:X73)</f>
        <v>50</v>
      </c>
      <c r="W73" s="135">
        <v>49</v>
      </c>
      <c r="X73" s="135">
        <v>1</v>
      </c>
      <c r="Y73" s="472" t="s">
        <v>4195</v>
      </c>
      <c r="Z73" s="141" t="s">
        <v>1148</v>
      </c>
      <c r="AA73"/>
      <c r="AB73"/>
      <c r="AC73"/>
      <c r="AD73"/>
      <c r="AE73"/>
      <c r="AF73"/>
      <c r="AG73"/>
      <c r="AH73"/>
      <c r="AI73"/>
    </row>
    <row r="74" spans="1:35" ht="135.75" thickBot="1">
      <c r="A74" s="125">
        <v>70</v>
      </c>
      <c r="B74" s="472" t="s">
        <v>1015</v>
      </c>
      <c r="C74" s="472" t="s">
        <v>5111</v>
      </c>
      <c r="D74" s="472" t="s">
        <v>5110</v>
      </c>
      <c r="E74" s="472" t="s">
        <v>5109</v>
      </c>
      <c r="F74" s="476" t="s">
        <v>5108</v>
      </c>
      <c r="G74" s="472" t="s">
        <v>5107</v>
      </c>
      <c r="H74" s="472" t="s">
        <v>1354</v>
      </c>
      <c r="I74" s="472" t="s">
        <v>5106</v>
      </c>
      <c r="J74" s="472"/>
      <c r="K74" s="472" t="s">
        <v>5105</v>
      </c>
      <c r="L74" s="472">
        <v>223</v>
      </c>
      <c r="M74" s="472">
        <v>273</v>
      </c>
      <c r="N74" s="472"/>
      <c r="O74" s="472"/>
      <c r="P74" s="472" t="s">
        <v>7</v>
      </c>
      <c r="Q74" s="472" t="s">
        <v>5104</v>
      </c>
      <c r="R74" s="472" t="s">
        <v>36</v>
      </c>
      <c r="S74" s="303" t="s">
        <v>186</v>
      </c>
      <c r="T74" s="472" t="s">
        <v>469</v>
      </c>
      <c r="U74" s="472" t="s">
        <v>53</v>
      </c>
      <c r="V74" s="135">
        <v>5230</v>
      </c>
      <c r="W74" s="135"/>
      <c r="X74" s="135"/>
      <c r="Y74" s="472" t="s">
        <v>5103</v>
      </c>
      <c r="Z74" s="141" t="s">
        <v>1148</v>
      </c>
      <c r="AA74"/>
      <c r="AB74"/>
      <c r="AC74"/>
      <c r="AD74"/>
      <c r="AE74"/>
      <c r="AF74"/>
      <c r="AG74"/>
      <c r="AH74"/>
      <c r="AI74"/>
    </row>
    <row r="75" spans="1:35" ht="50.1" customHeight="1">
      <c r="A75" s="331">
        <v>71</v>
      </c>
      <c r="B75" s="125" t="s">
        <v>667</v>
      </c>
      <c r="C75" s="125" t="s">
        <v>668</v>
      </c>
      <c r="D75" s="472" t="s">
        <v>5102</v>
      </c>
      <c r="E75" s="472" t="s">
        <v>5101</v>
      </c>
      <c r="F75" s="523" t="s">
        <v>5100</v>
      </c>
      <c r="G75" s="472" t="s">
        <v>5088</v>
      </c>
      <c r="H75" s="472" t="s">
        <v>5099</v>
      </c>
      <c r="I75" s="521">
        <v>5061</v>
      </c>
      <c r="J75" s="521"/>
      <c r="K75" s="521">
        <v>4129</v>
      </c>
      <c r="L75" s="521"/>
      <c r="M75" s="521">
        <v>931</v>
      </c>
      <c r="N75" s="472" t="s">
        <v>5087</v>
      </c>
      <c r="O75" s="472" t="s">
        <v>5087</v>
      </c>
      <c r="P75" s="510" t="s">
        <v>46</v>
      </c>
      <c r="Q75" s="510" t="s">
        <v>5098</v>
      </c>
      <c r="R75" s="510" t="s">
        <v>5097</v>
      </c>
      <c r="S75" s="510" t="s">
        <v>199</v>
      </c>
      <c r="T75" s="510" t="s">
        <v>49</v>
      </c>
      <c r="U75" s="510" t="s">
        <v>53</v>
      </c>
      <c r="V75" s="135">
        <v>580</v>
      </c>
      <c r="W75" s="135">
        <v>580</v>
      </c>
      <c r="X75" s="135"/>
      <c r="Y75" s="472" t="s">
        <v>5077</v>
      </c>
      <c r="Z75" s="141" t="s">
        <v>1148</v>
      </c>
      <c r="AA75"/>
      <c r="AB75"/>
      <c r="AC75"/>
      <c r="AD75"/>
      <c r="AE75"/>
      <c r="AF75"/>
      <c r="AG75"/>
      <c r="AH75"/>
      <c r="AI75"/>
    </row>
    <row r="76" spans="1:35" s="1" customFormat="1" ht="50.1" customHeight="1">
      <c r="A76" s="126">
        <v>72</v>
      </c>
      <c r="B76" s="125" t="s">
        <v>667</v>
      </c>
      <c r="C76" s="125" t="s">
        <v>668</v>
      </c>
      <c r="D76" s="472" t="s">
        <v>5096</v>
      </c>
      <c r="E76" s="472" t="s">
        <v>5095</v>
      </c>
      <c r="F76" s="523"/>
      <c r="G76" s="472" t="s">
        <v>5094</v>
      </c>
      <c r="H76" s="472" t="s">
        <v>5093</v>
      </c>
      <c r="I76" s="522"/>
      <c r="J76" s="522"/>
      <c r="K76" s="522"/>
      <c r="L76" s="522"/>
      <c r="M76" s="522"/>
      <c r="N76" s="472" t="s">
        <v>5087</v>
      </c>
      <c r="O76" s="472" t="s">
        <v>5087</v>
      </c>
      <c r="P76" s="511"/>
      <c r="Q76" s="511"/>
      <c r="R76" s="511"/>
      <c r="S76" s="511"/>
      <c r="T76" s="511"/>
      <c r="U76" s="511"/>
      <c r="V76" s="135">
        <v>301</v>
      </c>
      <c r="W76" s="135">
        <v>301</v>
      </c>
      <c r="X76" s="135"/>
      <c r="Y76" s="472" t="s">
        <v>5077</v>
      </c>
      <c r="Z76" s="152" t="s">
        <v>5092</v>
      </c>
    </row>
    <row r="77" spans="1:35" ht="50.1" hidden="1" customHeight="1">
      <c r="A77" s="209">
        <v>73</v>
      </c>
      <c r="B77" s="125" t="s">
        <v>667</v>
      </c>
      <c r="C77" s="125" t="s">
        <v>668</v>
      </c>
      <c r="D77" s="472" t="s">
        <v>5091</v>
      </c>
      <c r="E77" s="257" t="s">
        <v>5090</v>
      </c>
      <c r="F77" s="480" t="s">
        <v>5089</v>
      </c>
      <c r="G77" s="472" t="s">
        <v>5088</v>
      </c>
      <c r="H77" s="472" t="s">
        <v>420</v>
      </c>
      <c r="I77" s="474">
        <v>3000</v>
      </c>
      <c r="J77" s="474"/>
      <c r="K77" s="474">
        <v>3000</v>
      </c>
      <c r="L77" s="474"/>
      <c r="M77" s="474"/>
      <c r="N77" s="472" t="s">
        <v>5087</v>
      </c>
      <c r="O77" s="472" t="s">
        <v>5087</v>
      </c>
      <c r="P77" s="472" t="s">
        <v>7</v>
      </c>
      <c r="Q77" s="472" t="s">
        <v>4357</v>
      </c>
      <c r="R77" s="472" t="s">
        <v>5086</v>
      </c>
      <c r="S77" s="472" t="s">
        <v>199</v>
      </c>
      <c r="T77" s="472" t="s">
        <v>49</v>
      </c>
      <c r="U77" s="472" t="s">
        <v>38</v>
      </c>
      <c r="V77" s="300">
        <v>1067</v>
      </c>
      <c r="W77" s="300">
        <v>1067</v>
      </c>
      <c r="X77" s="135"/>
      <c r="Y77" s="472" t="s">
        <v>5077</v>
      </c>
      <c r="Z77" s="137" t="s">
        <v>1145</v>
      </c>
    </row>
    <row r="78" spans="1:35" ht="50.1" customHeight="1" thickBot="1">
      <c r="A78" s="125">
        <v>74</v>
      </c>
      <c r="B78" s="125" t="s">
        <v>1015</v>
      </c>
      <c r="C78" s="125" t="s">
        <v>5085</v>
      </c>
      <c r="D78" s="472" t="s">
        <v>5084</v>
      </c>
      <c r="E78" s="472" t="s">
        <v>5083</v>
      </c>
      <c r="F78" s="480" t="s">
        <v>5082</v>
      </c>
      <c r="G78" s="472" t="s">
        <v>5081</v>
      </c>
      <c r="H78" s="472" t="s">
        <v>826</v>
      </c>
      <c r="I78" s="474">
        <v>1377</v>
      </c>
      <c r="J78" s="474"/>
      <c r="K78" s="474">
        <v>1377</v>
      </c>
      <c r="L78" s="474"/>
      <c r="M78" s="474"/>
      <c r="N78" s="472" t="s">
        <v>5080</v>
      </c>
      <c r="O78" s="472" t="s">
        <v>5079</v>
      </c>
      <c r="P78" s="472" t="s">
        <v>7</v>
      </c>
      <c r="Q78" s="472" t="s">
        <v>5078</v>
      </c>
      <c r="R78" s="472" t="s">
        <v>36</v>
      </c>
      <c r="S78" s="472" t="s">
        <v>199</v>
      </c>
      <c r="T78" s="472" t="s">
        <v>49</v>
      </c>
      <c r="U78" s="472" t="s">
        <v>38</v>
      </c>
      <c r="V78" s="135">
        <v>86</v>
      </c>
      <c r="W78" s="135">
        <v>86</v>
      </c>
      <c r="X78" s="135"/>
      <c r="Y78" s="472" t="s">
        <v>5077</v>
      </c>
      <c r="Z78" s="137" t="s">
        <v>6066</v>
      </c>
      <c r="AA78"/>
      <c r="AB78"/>
      <c r="AC78"/>
      <c r="AD78"/>
      <c r="AE78"/>
      <c r="AF78"/>
      <c r="AG78"/>
      <c r="AH78"/>
      <c r="AI78"/>
    </row>
    <row r="79" spans="1:35" s="1" customFormat="1" ht="50.1" customHeight="1">
      <c r="A79" s="209">
        <v>75</v>
      </c>
      <c r="B79" s="125" t="s">
        <v>1015</v>
      </c>
      <c r="C79" s="125" t="s">
        <v>727</v>
      </c>
      <c r="D79" s="472" t="s">
        <v>5076</v>
      </c>
      <c r="E79" s="472" t="s">
        <v>5075</v>
      </c>
      <c r="F79" s="480" t="s">
        <v>5074</v>
      </c>
      <c r="G79" s="472" t="s">
        <v>5073</v>
      </c>
      <c r="H79" s="472" t="s">
        <v>1123</v>
      </c>
      <c r="I79" s="474">
        <v>233</v>
      </c>
      <c r="J79" s="474"/>
      <c r="K79" s="474">
        <v>233</v>
      </c>
      <c r="L79" s="474"/>
      <c r="M79" s="474"/>
      <c r="N79" s="472" t="s">
        <v>1124</v>
      </c>
      <c r="O79" s="472" t="s">
        <v>1124</v>
      </c>
      <c r="P79" s="472" t="s">
        <v>7</v>
      </c>
      <c r="Q79" s="472" t="s">
        <v>5072</v>
      </c>
      <c r="R79" s="472" t="s">
        <v>5071</v>
      </c>
      <c r="S79" s="472" t="s">
        <v>5070</v>
      </c>
      <c r="T79" s="472" t="s">
        <v>49</v>
      </c>
      <c r="U79" s="472" t="s">
        <v>37</v>
      </c>
      <c r="V79" s="135">
        <f>SUM(W79:X79)</f>
        <v>47</v>
      </c>
      <c r="W79" s="135">
        <v>47</v>
      </c>
      <c r="X79" s="135"/>
      <c r="Y79" s="472" t="s">
        <v>5069</v>
      </c>
      <c r="Z79" s="152" t="s">
        <v>5999</v>
      </c>
      <c r="AA79"/>
      <c r="AB79"/>
      <c r="AC79"/>
      <c r="AD79"/>
      <c r="AE79"/>
      <c r="AF79"/>
      <c r="AG79"/>
      <c r="AH79"/>
      <c r="AI79"/>
    </row>
    <row r="80" spans="1:35" ht="50.1" customHeight="1" thickBot="1">
      <c r="A80" s="125">
        <v>76</v>
      </c>
      <c r="B80" s="125" t="s">
        <v>1015</v>
      </c>
      <c r="C80" s="472" t="s">
        <v>5061</v>
      </c>
      <c r="D80" s="153" t="s">
        <v>5068</v>
      </c>
      <c r="E80" s="472" t="s">
        <v>5067</v>
      </c>
      <c r="F80" s="480" t="s">
        <v>5066</v>
      </c>
      <c r="G80" s="472" t="s">
        <v>5065</v>
      </c>
      <c r="H80" s="472" t="s">
        <v>3902</v>
      </c>
      <c r="I80" s="472">
        <v>92</v>
      </c>
      <c r="J80" s="472"/>
      <c r="K80" s="472" t="s">
        <v>5064</v>
      </c>
      <c r="L80" s="472">
        <v>92</v>
      </c>
      <c r="M80" s="472"/>
      <c r="N80" s="472"/>
      <c r="O80" s="472"/>
      <c r="P80" s="472" t="s">
        <v>7</v>
      </c>
      <c r="Q80" s="472" t="s">
        <v>5063</v>
      </c>
      <c r="R80" s="472" t="s">
        <v>36</v>
      </c>
      <c r="S80" s="472" t="s">
        <v>42</v>
      </c>
      <c r="T80" s="472" t="s">
        <v>49</v>
      </c>
      <c r="U80" s="472" t="s">
        <v>38</v>
      </c>
      <c r="V80" s="135">
        <v>20</v>
      </c>
      <c r="W80" s="135">
        <v>20</v>
      </c>
      <c r="X80" s="135"/>
      <c r="Y80" s="472" t="s">
        <v>5062</v>
      </c>
      <c r="Z80" s="137" t="s">
        <v>1148</v>
      </c>
      <c r="AA80"/>
      <c r="AB80"/>
      <c r="AC80"/>
      <c r="AD80"/>
      <c r="AE80"/>
      <c r="AF80"/>
      <c r="AG80"/>
      <c r="AH80"/>
      <c r="AI80"/>
    </row>
    <row r="81" spans="1:35" s="1" customFormat="1" ht="94.5">
      <c r="A81" s="209">
        <v>77</v>
      </c>
      <c r="B81" s="154" t="s">
        <v>1015</v>
      </c>
      <c r="C81" s="125" t="s">
        <v>5061</v>
      </c>
      <c r="D81" s="154" t="s">
        <v>5060</v>
      </c>
      <c r="E81" s="472" t="s">
        <v>1018</v>
      </c>
      <c r="F81" s="480" t="s">
        <v>5059</v>
      </c>
      <c r="G81" s="472" t="s">
        <v>5058</v>
      </c>
      <c r="H81" s="135" t="s">
        <v>420</v>
      </c>
      <c r="I81" s="135">
        <v>280</v>
      </c>
      <c r="J81" s="135"/>
      <c r="K81" s="135"/>
      <c r="L81" s="135">
        <v>280</v>
      </c>
      <c r="M81" s="135"/>
      <c r="N81" s="135"/>
      <c r="O81" s="135"/>
      <c r="P81" s="135" t="s">
        <v>5057</v>
      </c>
      <c r="Q81" s="135" t="s">
        <v>5056</v>
      </c>
      <c r="R81" s="135" t="s">
        <v>5055</v>
      </c>
      <c r="S81" s="135" t="s">
        <v>5054</v>
      </c>
      <c r="T81" s="135" t="s">
        <v>5053</v>
      </c>
      <c r="U81" s="135" t="s">
        <v>5052</v>
      </c>
      <c r="V81" s="135">
        <v>6</v>
      </c>
      <c r="W81" s="135">
        <v>6</v>
      </c>
      <c r="X81" s="135">
        <v>0</v>
      </c>
      <c r="Y81" s="135" t="s">
        <v>5051</v>
      </c>
      <c r="Z81" s="152"/>
    </row>
    <row r="82" spans="1:35" s="1" customFormat="1" ht="50.1" customHeight="1" thickBot="1">
      <c r="A82" s="126">
        <v>78</v>
      </c>
      <c r="B82" s="125" t="s">
        <v>667</v>
      </c>
      <c r="C82" s="472" t="s">
        <v>668</v>
      </c>
      <c r="D82" s="472" t="s">
        <v>5050</v>
      </c>
      <c r="E82" s="472" t="s">
        <v>5049</v>
      </c>
      <c r="F82" s="480" t="s">
        <v>5048</v>
      </c>
      <c r="G82" s="472" t="s">
        <v>5047</v>
      </c>
      <c r="H82" s="472" t="s">
        <v>40</v>
      </c>
      <c r="I82" s="155">
        <f>SUM(J82:M82)</f>
        <v>1290</v>
      </c>
      <c r="J82" s="472">
        <v>0</v>
      </c>
      <c r="K82" s="155">
        <v>1290</v>
      </c>
      <c r="L82" s="472">
        <v>0</v>
      </c>
      <c r="M82" s="472">
        <v>0</v>
      </c>
      <c r="N82" s="472"/>
      <c r="O82" s="472"/>
      <c r="P82" s="472" t="s">
        <v>7</v>
      </c>
      <c r="Q82" s="472" t="s">
        <v>5046</v>
      </c>
      <c r="R82" s="472" t="s">
        <v>36</v>
      </c>
      <c r="S82" s="472" t="s">
        <v>186</v>
      </c>
      <c r="T82" s="472" t="s">
        <v>49</v>
      </c>
      <c r="U82" s="472" t="s">
        <v>38</v>
      </c>
      <c r="V82" s="135">
        <v>300</v>
      </c>
      <c r="W82" s="135">
        <v>250</v>
      </c>
      <c r="X82" s="135">
        <v>50</v>
      </c>
      <c r="Y82" s="472" t="s">
        <v>5045</v>
      </c>
      <c r="Z82" s="137" t="s">
        <v>1148</v>
      </c>
    </row>
    <row r="83" spans="1:35" ht="50.1" customHeight="1">
      <c r="A83" s="331">
        <v>79</v>
      </c>
      <c r="B83" s="125" t="s">
        <v>1015</v>
      </c>
      <c r="C83" s="472" t="s">
        <v>727</v>
      </c>
      <c r="D83" s="472" t="s">
        <v>1125</v>
      </c>
      <c r="E83" s="472" t="s">
        <v>5044</v>
      </c>
      <c r="F83" s="157" t="s">
        <v>1126</v>
      </c>
      <c r="G83" s="472" t="s">
        <v>1127</v>
      </c>
      <c r="H83" s="156" t="s">
        <v>1128</v>
      </c>
      <c r="I83" s="156">
        <v>330</v>
      </c>
      <c r="J83" s="156"/>
      <c r="K83" s="156">
        <v>330</v>
      </c>
      <c r="L83" s="156"/>
      <c r="M83" s="156"/>
      <c r="N83" s="156"/>
      <c r="O83" s="156"/>
      <c r="P83" s="156" t="s">
        <v>46</v>
      </c>
      <c r="Q83" s="156" t="s">
        <v>1077</v>
      </c>
      <c r="R83" s="156" t="s">
        <v>56</v>
      </c>
      <c r="S83" s="156" t="s">
        <v>1129</v>
      </c>
      <c r="T83" s="156" t="s">
        <v>61</v>
      </c>
      <c r="U83" s="156" t="s">
        <v>47</v>
      </c>
      <c r="V83" s="158">
        <v>60</v>
      </c>
      <c r="W83" s="158">
        <v>50</v>
      </c>
      <c r="X83" s="158">
        <v>10</v>
      </c>
      <c r="Y83" s="156" t="s">
        <v>1130</v>
      </c>
      <c r="Z83" s="137" t="s">
        <v>5043</v>
      </c>
      <c r="AA83"/>
      <c r="AB83"/>
      <c r="AC83"/>
      <c r="AD83"/>
      <c r="AE83"/>
      <c r="AF83"/>
      <c r="AG83"/>
      <c r="AH83"/>
      <c r="AI83"/>
    </row>
    <row r="84" spans="1:35" s="3" customFormat="1" ht="50.1" customHeight="1" thickBot="1">
      <c r="A84" s="126">
        <v>80</v>
      </c>
      <c r="B84" s="126" t="s">
        <v>1015</v>
      </c>
      <c r="C84" s="473" t="s">
        <v>1131</v>
      </c>
      <c r="D84" s="473" t="s">
        <v>1132</v>
      </c>
      <c r="E84" s="473" t="s">
        <v>968</v>
      </c>
      <c r="F84" s="476" t="s">
        <v>1133</v>
      </c>
      <c r="G84" s="473" t="s">
        <v>1134</v>
      </c>
      <c r="H84" s="473" t="s">
        <v>1033</v>
      </c>
      <c r="I84" s="473">
        <v>500</v>
      </c>
      <c r="J84" s="473">
        <v>0</v>
      </c>
      <c r="K84" s="473">
        <v>0</v>
      </c>
      <c r="L84" s="473">
        <v>500</v>
      </c>
      <c r="M84" s="473">
        <v>0</v>
      </c>
      <c r="N84" s="473"/>
      <c r="O84" s="473"/>
      <c r="P84" s="473" t="s">
        <v>46</v>
      </c>
      <c r="Q84" s="473" t="s">
        <v>70</v>
      </c>
      <c r="R84" s="473" t="s">
        <v>56</v>
      </c>
      <c r="S84" s="473" t="s">
        <v>681</v>
      </c>
      <c r="T84" s="103" t="s">
        <v>61</v>
      </c>
      <c r="U84" s="473" t="s">
        <v>103</v>
      </c>
      <c r="V84" s="473">
        <v>270</v>
      </c>
      <c r="W84" s="473">
        <v>270</v>
      </c>
      <c r="X84" s="473"/>
      <c r="Y84" s="473" t="s">
        <v>1135</v>
      </c>
      <c r="Z84" s="151" t="s">
        <v>1148</v>
      </c>
      <c r="AA84"/>
      <c r="AB84"/>
      <c r="AC84"/>
      <c r="AD84"/>
      <c r="AE84"/>
      <c r="AF84"/>
      <c r="AG84"/>
      <c r="AH84"/>
      <c r="AI84"/>
    </row>
    <row r="85" spans="1:35" ht="50.1" customHeight="1" thickBot="1">
      <c r="A85" s="331">
        <v>81</v>
      </c>
      <c r="B85" s="193" t="s">
        <v>1015</v>
      </c>
      <c r="C85" s="193" t="s">
        <v>1131</v>
      </c>
      <c r="D85" s="194" t="s">
        <v>1136</v>
      </c>
      <c r="E85" s="194" t="s">
        <v>964</v>
      </c>
      <c r="F85" s="133" t="s">
        <v>1137</v>
      </c>
      <c r="G85" s="194" t="s">
        <v>1138</v>
      </c>
      <c r="H85" s="194" t="s">
        <v>104</v>
      </c>
      <c r="I85" s="194">
        <v>80</v>
      </c>
      <c r="J85" s="194"/>
      <c r="K85" s="194"/>
      <c r="L85" s="194">
        <v>80</v>
      </c>
      <c r="M85" s="194"/>
      <c r="N85" s="194"/>
      <c r="O85" s="194"/>
      <c r="P85" s="194" t="s">
        <v>46</v>
      </c>
      <c r="Q85" s="194" t="s">
        <v>700</v>
      </c>
      <c r="R85" s="194" t="s">
        <v>56</v>
      </c>
      <c r="S85" s="194" t="s">
        <v>1139</v>
      </c>
      <c r="T85" s="131" t="s">
        <v>61</v>
      </c>
      <c r="U85" s="194" t="s">
        <v>103</v>
      </c>
      <c r="V85" s="194">
        <v>10</v>
      </c>
      <c r="W85" s="194">
        <v>10</v>
      </c>
      <c r="X85" s="194"/>
      <c r="Y85" s="194" t="s">
        <v>1140</v>
      </c>
      <c r="Z85" s="159" t="s">
        <v>1148</v>
      </c>
      <c r="AA85"/>
      <c r="AB85"/>
      <c r="AC85"/>
      <c r="AD85"/>
      <c r="AE85"/>
      <c r="AF85"/>
      <c r="AG85"/>
      <c r="AH85"/>
      <c r="AI85"/>
    </row>
    <row r="86" spans="1:35">
      <c r="AA86"/>
      <c r="AB86"/>
      <c r="AC86"/>
      <c r="AD86"/>
    </row>
    <row r="87" spans="1:35">
      <c r="AA87"/>
      <c r="AB87"/>
      <c r="AC87"/>
      <c r="AD87"/>
    </row>
    <row r="88" spans="1:35">
      <c r="F88" s="301"/>
    </row>
    <row r="94" spans="1:35">
      <c r="F94" s="301"/>
    </row>
    <row r="95" spans="1:35">
      <c r="F95" s="301"/>
    </row>
  </sheetData>
  <autoFilter ref="A4:Z85">
    <filterColumn colId="4">
      <filters>
        <filter val="_x000a_9.18~9.19_x000a_(2일간)_x000a_"/>
        <filter val="10.1~10.4_x000a_(4일간)"/>
        <filter val="10.11~10.20_x000a_(10일간)"/>
        <filter val="10.13-10.18_x000a_(6일간)"/>
        <filter val="10.16.~10.18._x000a_(3일간)"/>
        <filter val="10.16~10.18_x000a_(3일간)"/>
        <filter val="10.16~10.22_x000a_(7일간)"/>
        <filter val="10.23~10.24_x000a_(2일간)"/>
        <filter val="10.24~10.25_x000a_(2일간)"/>
        <filter val="10.30.~10.31._x000a_(2일간)"/>
        <filter val="10.9.~10.10_x000a_(2일간)"/>
        <filter val="10.9.~10.11._x000a_(3일간)"/>
        <filter val="10.9.~10.14._x000a_(6일간)"/>
        <filter val="10.9.~10.18._x000a_(10일간)"/>
        <filter val="10.9~10.10_x000a_(2일간)"/>
        <filter val="10.9~10.11   _x000a_(3일간)"/>
        <filter val="10.9~10.11_x000a_(3일간)"/>
        <filter val="10월 중"/>
        <filter val="10월 중 _x000a_(3일간)"/>
        <filter val="10월 중_x000a_(2일간)"/>
        <filter val="10월중"/>
        <filter val="10월중_x000a_(2일간)"/>
        <filter val="10월중_x000a_(2주간)"/>
        <filter val="10월중_x000a_(4일간)"/>
        <filter val="11.1~11.17_x000a_(17일간)"/>
        <filter val="11.6.~11.8_x000a_(3일간)."/>
        <filter val="11월중_x000a_(25일간)"/>
        <filter val="12.24~12.27_x000a_(4일간)"/>
        <filter val="3.27~29_x000a_(3일간)"/>
        <filter val="3월중"/>
        <filter val="4. 4~4.5_x000a_(2일간)"/>
        <filter val="4.27~5.6_x000a_(10일간)"/>
        <filter val="4.3~4.10_x000a_(8일간)"/>
        <filter val="4.7.~4.19._x000a_(13일간)"/>
        <filter val="4.7~ 4.12_x000a_(6일간)"/>
        <filter val="4월 중"/>
        <filter val="4월 중_x000a_(2일간)"/>
        <filter val="4월 중_x000a_(벚꽃개화기간)"/>
        <filter val="4월 초"/>
        <filter val="5.1.~5.6._x000a_(6일간)"/>
        <filter val="5.15.~5.31._x000a_(17일간)"/>
        <filter val="5.15~5.16_x000a_(2일간)"/>
        <filter val="5.29.~5.30._x000a_(2일간)"/>
        <filter val="5.29~30_x000a_(2일간)"/>
        <filter val="5.30.~6.9._x000a_(11일간)"/>
        <filter val="5.4~5.6._x000a_(3일간)"/>
        <filter val="5.9~5.10_x000a_(2일간)"/>
        <filter val="5월 중순~5월 말"/>
        <filter val="5월 초"/>
        <filter val="5월중"/>
        <filter val="6.12~6.20_x000a_(9일간)"/>
        <filter val="6.15~6.16_x000a_(2일간)"/>
        <filter val="6.20.~6.21._x000a_(2일간)"/>
        <filter val="7.24.~7.26_x000a_(3일간)"/>
        <filter val="7.4~7.5_x000a_(2일간)"/>
        <filter val="7~8월 중_x000a_(6일간)"/>
        <filter val="8.14.~8.15._x000a_(2일간)"/>
        <filter val="8월 중_x000a_(2일간)"/>
        <filter val="8월중"/>
        <filter val="8월중_x000a_(10일간)"/>
        <filter val="8월중_x000a_(2일간)"/>
        <filter val="9. 22~9.28_x000a_(7일간)"/>
        <filter val="9.11.~9.13._x000a_(3일간)"/>
        <filter val="9.18~9.20_x000a_(3일간)"/>
        <filter val="9.23~9.27_x000a_(5일간)"/>
        <filter val="9.25~9.27_x000a_(3일간)"/>
        <filter val="9.26.~9.27._x000a_(2일간)"/>
        <filter val="9.4~9.6._x000a_(3일간)"/>
        <filter val="9.5~9.8_x000a_(4일간)"/>
        <filter val="9월 말~10월 초"/>
        <filter val="9월 중"/>
        <filter val="9월 중 예정_x000a_(2일간)"/>
        <filter val="9월 중_x000a_(2일간)"/>
        <filter val="9월중"/>
        <filter val="9월중_x000a_(2일간)"/>
      </filters>
    </filterColumn>
  </autoFilter>
  <mergeCells count="16">
    <mergeCell ref="Q75:Q76"/>
    <mergeCell ref="A1:X2"/>
    <mergeCell ref="I3:M3"/>
    <mergeCell ref="N3:O3"/>
    <mergeCell ref="V3:X3"/>
    <mergeCell ref="R75:R76"/>
    <mergeCell ref="S75:S76"/>
    <mergeCell ref="T75:T76"/>
    <mergeCell ref="U75:U76"/>
    <mergeCell ref="L75:L76"/>
    <mergeCell ref="M75:M76"/>
    <mergeCell ref="P75:P76"/>
    <mergeCell ref="F75:F76"/>
    <mergeCell ref="I75:I76"/>
    <mergeCell ref="J75:J76"/>
    <mergeCell ref="K75:K76"/>
  </mergeCells>
  <phoneticPr fontId="23" type="noConversion"/>
  <dataValidations disablePrompts="1" count="6">
    <dataValidation type="list" allowBlank="1" showInputMessage="1" showErrorMessage="1" sqref="B6:B7">
      <formula1>$B$8:$B$24</formula1>
    </dataValidation>
    <dataValidation type="list" allowBlank="1" showInputMessage="1" showErrorMessage="1" sqref="P6:P7">
      <formula1>$P$8:$P$13</formula1>
    </dataValidation>
    <dataValidation type="list" allowBlank="1" showInputMessage="1" showErrorMessage="1" sqref="B8">
      <formula1>$B$10:$B$26</formula1>
    </dataValidation>
    <dataValidation type="list" allowBlank="1" showInputMessage="1" showErrorMessage="1" sqref="P8">
      <formula1>$P$10:$P$15</formula1>
    </dataValidation>
    <dataValidation type="list" allowBlank="1" showInputMessage="1" showErrorMessage="1" sqref="B5 P5 P77:P79 B83 P83 B9:B79 P9:P75 AA57:XFD57">
      <formula1>#REF!</formula1>
    </dataValidation>
    <dataValidation type="list" showInputMessage="1" showErrorMessage="1" sqref="B80:B81">
      <formula1>$B$10:$B$26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95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17.6640625" style="89" customWidth="1"/>
    <col min="5" max="5" width="12.109375" style="89" customWidth="1"/>
    <col min="6" max="6" width="44" style="1" customWidth="1"/>
    <col min="7" max="7" width="25.109375" style="89" customWidth="1"/>
    <col min="8" max="8" width="12.21875" style="89" customWidth="1"/>
    <col min="9" max="9" width="12.5546875" style="89" customWidth="1"/>
    <col min="10" max="13" width="7.6640625" style="89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5" width="12.21875" style="89" customWidth="1"/>
    <col min="26" max="26" width="15.33203125" style="105" customWidth="1"/>
    <col min="27" max="27" width="10.6640625" style="89" customWidth="1"/>
    <col min="28" max="28" width="8.88671875" style="89"/>
    <col min="29" max="29" width="8.88671875" style="89" customWidth="1"/>
    <col min="30" max="16384" width="8.88671875" style="89"/>
  </cols>
  <sheetData>
    <row r="1" spans="1:31" s="1" customFormat="1" ht="29.25" customHeight="1">
      <c r="A1" s="512" t="s">
        <v>34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Z1" s="107"/>
      <c r="AA1"/>
      <c r="AB1"/>
      <c r="AC1"/>
      <c r="AD1"/>
    </row>
    <row r="2" spans="1:31" s="3" customFormat="1" ht="17.25" customHeight="1" thickBo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Z2" s="107"/>
      <c r="AA2"/>
      <c r="AB2"/>
      <c r="AC2"/>
      <c r="AD2"/>
    </row>
    <row r="3" spans="1:31" s="3" customFormat="1" ht="22.5" customHeight="1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  <c r="Z3" s="107"/>
      <c r="AA3"/>
      <c r="AB3"/>
      <c r="AC3"/>
      <c r="AD3"/>
    </row>
    <row r="4" spans="1:31" s="1" customFormat="1" ht="87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124" t="s">
        <v>1152</v>
      </c>
      <c r="AA4"/>
      <c r="AB4"/>
      <c r="AC4"/>
      <c r="AD4"/>
      <c r="AE4"/>
    </row>
    <row r="5" spans="1:31" ht="54">
      <c r="A5" s="125">
        <v>1</v>
      </c>
      <c r="B5" s="125" t="s">
        <v>876</v>
      </c>
      <c r="C5" s="125" t="s">
        <v>676</v>
      </c>
      <c r="D5" s="472" t="s">
        <v>877</v>
      </c>
      <c r="E5" s="472" t="s">
        <v>5590</v>
      </c>
      <c r="F5" s="135" t="s">
        <v>5589</v>
      </c>
      <c r="G5" s="472" t="s">
        <v>878</v>
      </c>
      <c r="H5" s="472" t="s">
        <v>304</v>
      </c>
      <c r="I5" s="472">
        <v>200</v>
      </c>
      <c r="J5" s="472"/>
      <c r="K5" s="472"/>
      <c r="L5" s="472">
        <v>200</v>
      </c>
      <c r="M5" s="472"/>
      <c r="N5" s="472"/>
      <c r="O5" s="472"/>
      <c r="P5" s="472" t="s">
        <v>50</v>
      </c>
      <c r="Q5" s="472" t="s">
        <v>879</v>
      </c>
      <c r="R5" s="472" t="s">
        <v>56</v>
      </c>
      <c r="S5" s="472" t="s">
        <v>55</v>
      </c>
      <c r="T5" s="472" t="s">
        <v>49</v>
      </c>
      <c r="U5" s="472" t="s">
        <v>38</v>
      </c>
      <c r="V5" s="472">
        <v>50</v>
      </c>
      <c r="W5" s="472">
        <v>49.99</v>
      </c>
      <c r="X5" s="472">
        <v>0.01</v>
      </c>
      <c r="Y5" s="472" t="s">
        <v>64</v>
      </c>
      <c r="Z5" s="141" t="s">
        <v>5588</v>
      </c>
    </row>
    <row r="6" spans="1:31" s="87" customFormat="1" ht="67.5">
      <c r="A6" s="160">
        <v>2</v>
      </c>
      <c r="B6" s="160" t="s">
        <v>4378</v>
      </c>
      <c r="C6" s="160" t="s">
        <v>1234</v>
      </c>
      <c r="D6" s="103" t="s">
        <v>5587</v>
      </c>
      <c r="E6" s="103" t="s">
        <v>152</v>
      </c>
      <c r="F6" s="161" t="s">
        <v>5586</v>
      </c>
      <c r="G6" s="103" t="s">
        <v>5585</v>
      </c>
      <c r="H6" s="103" t="s">
        <v>5584</v>
      </c>
      <c r="I6" s="162">
        <f>J6+K6+L6+M6</f>
        <v>555</v>
      </c>
      <c r="J6" s="162">
        <v>0</v>
      </c>
      <c r="K6" s="162">
        <v>45</v>
      </c>
      <c r="L6" s="162">
        <v>440</v>
      </c>
      <c r="M6" s="162">
        <v>70</v>
      </c>
      <c r="N6" s="160"/>
      <c r="O6" s="103" t="s">
        <v>43</v>
      </c>
      <c r="P6" s="103" t="s">
        <v>98</v>
      </c>
      <c r="Q6" s="103" t="s">
        <v>5583</v>
      </c>
      <c r="R6" s="103" t="s">
        <v>36</v>
      </c>
      <c r="S6" s="103" t="s">
        <v>246</v>
      </c>
      <c r="T6" s="103" t="s">
        <v>1279</v>
      </c>
      <c r="U6" s="103" t="s">
        <v>37</v>
      </c>
      <c r="V6" s="472">
        <f>SUM(W6:X6)</f>
        <v>163</v>
      </c>
      <c r="W6" s="472">
        <v>162</v>
      </c>
      <c r="X6" s="472">
        <v>1</v>
      </c>
      <c r="Y6" s="472" t="s">
        <v>5582</v>
      </c>
      <c r="Z6" s="141" t="s">
        <v>1148</v>
      </c>
      <c r="AA6" s="1"/>
      <c r="AB6" s="1"/>
    </row>
    <row r="7" spans="1:31" s="88" customFormat="1" ht="50.1" customHeight="1">
      <c r="A7" s="126">
        <v>3</v>
      </c>
      <c r="B7" s="125" t="s">
        <v>4378</v>
      </c>
      <c r="C7" s="125" t="s">
        <v>1234</v>
      </c>
      <c r="D7" s="125" t="s">
        <v>5581</v>
      </c>
      <c r="E7" s="472" t="s">
        <v>1427</v>
      </c>
      <c r="F7" s="480" t="s">
        <v>5580</v>
      </c>
      <c r="G7" s="472" t="s">
        <v>5579</v>
      </c>
      <c r="H7" s="472" t="s">
        <v>1426</v>
      </c>
      <c r="I7" s="162">
        <f>J7+K7+L7+M7</f>
        <v>250</v>
      </c>
      <c r="J7" s="162">
        <v>0</v>
      </c>
      <c r="K7" s="162">
        <v>0</v>
      </c>
      <c r="L7" s="125">
        <v>250</v>
      </c>
      <c r="M7" s="162">
        <v>0</v>
      </c>
      <c r="N7" s="125"/>
      <c r="O7" s="125" t="s">
        <v>43</v>
      </c>
      <c r="P7" s="125" t="s">
        <v>52</v>
      </c>
      <c r="Q7" s="125" t="s">
        <v>880</v>
      </c>
      <c r="R7" s="125" t="s">
        <v>2</v>
      </c>
      <c r="S7" s="125" t="s">
        <v>5574</v>
      </c>
      <c r="T7" s="125" t="s">
        <v>43</v>
      </c>
      <c r="U7" s="125" t="s">
        <v>38</v>
      </c>
      <c r="V7" s="125">
        <v>0</v>
      </c>
      <c r="W7" s="472"/>
      <c r="X7" s="125"/>
      <c r="Y7" s="125"/>
      <c r="Z7" s="137" t="s">
        <v>1148</v>
      </c>
      <c r="AA7" s="1"/>
      <c r="AB7" s="1"/>
    </row>
    <row r="8" spans="1:31" ht="50.1" customHeight="1">
      <c r="A8" s="160">
        <v>4</v>
      </c>
      <c r="B8" s="125" t="s">
        <v>4378</v>
      </c>
      <c r="C8" s="125" t="s">
        <v>1234</v>
      </c>
      <c r="D8" s="472" t="s">
        <v>5578</v>
      </c>
      <c r="E8" s="472" t="s">
        <v>5577</v>
      </c>
      <c r="F8" s="135" t="s">
        <v>5576</v>
      </c>
      <c r="G8" s="472" t="s">
        <v>5575</v>
      </c>
      <c r="H8" s="472" t="s">
        <v>1426</v>
      </c>
      <c r="I8" s="162">
        <f>J8+K8+L8+M8</f>
        <v>85</v>
      </c>
      <c r="J8" s="162">
        <v>0</v>
      </c>
      <c r="K8" s="162">
        <v>0</v>
      </c>
      <c r="L8" s="472">
        <v>85</v>
      </c>
      <c r="M8" s="162">
        <v>0</v>
      </c>
      <c r="N8" s="125"/>
      <c r="O8" s="472" t="s">
        <v>43</v>
      </c>
      <c r="P8" s="472"/>
      <c r="Q8" s="472"/>
      <c r="R8" s="472" t="s">
        <v>2</v>
      </c>
      <c r="S8" s="125" t="s">
        <v>5574</v>
      </c>
      <c r="T8" s="125" t="s">
        <v>43</v>
      </c>
      <c r="U8" s="125" t="s">
        <v>38</v>
      </c>
      <c r="V8" s="472">
        <f>SUM(W8:X8)</f>
        <v>0</v>
      </c>
      <c r="W8" s="472"/>
      <c r="X8" s="472"/>
      <c r="Y8" s="472"/>
      <c r="Z8" s="164"/>
    </row>
    <row r="9" spans="1:31" ht="50.1" customHeight="1">
      <c r="A9" s="125">
        <v>5</v>
      </c>
      <c r="B9" s="125" t="s">
        <v>4378</v>
      </c>
      <c r="C9" s="125" t="s">
        <v>5560</v>
      </c>
      <c r="D9" s="472" t="s">
        <v>5573</v>
      </c>
      <c r="E9" s="472" t="s">
        <v>5572</v>
      </c>
      <c r="F9" s="480" t="s">
        <v>5571</v>
      </c>
      <c r="G9" s="103" t="s">
        <v>1233</v>
      </c>
      <c r="H9" s="103" t="s">
        <v>131</v>
      </c>
      <c r="I9" s="472">
        <v>594</v>
      </c>
      <c r="J9" s="472"/>
      <c r="K9" s="472">
        <v>100</v>
      </c>
      <c r="L9" s="472">
        <v>494</v>
      </c>
      <c r="M9" s="472"/>
      <c r="N9" s="472"/>
      <c r="O9" s="472"/>
      <c r="P9" s="472" t="s">
        <v>48</v>
      </c>
      <c r="Q9" s="472" t="s">
        <v>5570</v>
      </c>
      <c r="R9" s="472" t="s">
        <v>36</v>
      </c>
      <c r="S9" s="472" t="s">
        <v>55</v>
      </c>
      <c r="T9" s="472" t="s">
        <v>49</v>
      </c>
      <c r="U9" s="472" t="s">
        <v>38</v>
      </c>
      <c r="V9" s="472">
        <v>753</v>
      </c>
      <c r="W9" s="472">
        <v>753</v>
      </c>
      <c r="X9" s="472"/>
      <c r="Y9" s="472" t="s">
        <v>59</v>
      </c>
      <c r="Z9" s="137" t="s">
        <v>1148</v>
      </c>
      <c r="AA9"/>
      <c r="AB9"/>
      <c r="AC9"/>
      <c r="AD9"/>
      <c r="AE9"/>
    </row>
    <row r="10" spans="1:31" ht="50.1" customHeight="1">
      <c r="A10" s="160">
        <v>6</v>
      </c>
      <c r="B10" s="125" t="s">
        <v>4378</v>
      </c>
      <c r="C10" s="125" t="s">
        <v>5560</v>
      </c>
      <c r="D10" s="472" t="s">
        <v>5569</v>
      </c>
      <c r="E10" s="103" t="s">
        <v>5568</v>
      </c>
      <c r="F10" s="161" t="s">
        <v>5567</v>
      </c>
      <c r="G10" s="103" t="s">
        <v>5566</v>
      </c>
      <c r="H10" s="103" t="s">
        <v>117</v>
      </c>
      <c r="I10" s="472">
        <v>60</v>
      </c>
      <c r="J10" s="472"/>
      <c r="K10" s="472"/>
      <c r="L10" s="472">
        <v>12</v>
      </c>
      <c r="M10" s="472">
        <v>48</v>
      </c>
      <c r="N10" s="472"/>
      <c r="O10" s="472"/>
      <c r="P10" s="472" t="s">
        <v>7</v>
      </c>
      <c r="Q10" s="472" t="s">
        <v>5565</v>
      </c>
      <c r="R10" s="472" t="s">
        <v>36</v>
      </c>
      <c r="S10" s="472" t="s">
        <v>1425</v>
      </c>
      <c r="T10" s="472" t="s">
        <v>49</v>
      </c>
      <c r="U10" s="472" t="s">
        <v>53</v>
      </c>
      <c r="V10" s="472">
        <v>50</v>
      </c>
      <c r="W10" s="472">
        <v>50</v>
      </c>
      <c r="X10" s="472"/>
      <c r="Y10" s="472" t="s">
        <v>59</v>
      </c>
      <c r="Z10" s="141" t="s">
        <v>1148</v>
      </c>
      <c r="AA10"/>
      <c r="AB10"/>
      <c r="AC10"/>
      <c r="AD10"/>
      <c r="AE10"/>
    </row>
    <row r="11" spans="1:31" ht="50.1" customHeight="1">
      <c r="A11" s="125">
        <v>7</v>
      </c>
      <c r="B11" s="125" t="s">
        <v>4378</v>
      </c>
      <c r="C11" s="125" t="s">
        <v>5560</v>
      </c>
      <c r="D11" s="472" t="s">
        <v>5564</v>
      </c>
      <c r="E11" s="257" t="s">
        <v>4847</v>
      </c>
      <c r="F11" s="135" t="s">
        <v>5563</v>
      </c>
      <c r="G11" s="103" t="s">
        <v>5562</v>
      </c>
      <c r="H11" s="472" t="s">
        <v>564</v>
      </c>
      <c r="I11" s="472">
        <v>90</v>
      </c>
      <c r="J11" s="472"/>
      <c r="K11" s="472"/>
      <c r="L11" s="472">
        <v>90</v>
      </c>
      <c r="M11" s="472"/>
      <c r="N11" s="472"/>
      <c r="O11" s="472"/>
      <c r="P11" s="472" t="s">
        <v>48</v>
      </c>
      <c r="Q11" s="472" t="s">
        <v>5561</v>
      </c>
      <c r="R11" s="472" t="s">
        <v>36</v>
      </c>
      <c r="S11" s="472" t="s">
        <v>55</v>
      </c>
      <c r="T11" s="472" t="s">
        <v>49</v>
      </c>
      <c r="U11" s="472" t="s">
        <v>38</v>
      </c>
      <c r="V11" s="472">
        <v>5</v>
      </c>
      <c r="W11" s="472">
        <v>5</v>
      </c>
      <c r="X11" s="472"/>
      <c r="Y11" s="472" t="s">
        <v>59</v>
      </c>
      <c r="Z11" s="137" t="s">
        <v>1148</v>
      </c>
      <c r="AA11"/>
      <c r="AB11"/>
      <c r="AC11"/>
      <c r="AD11"/>
      <c r="AE11"/>
    </row>
    <row r="12" spans="1:31" ht="50.1" customHeight="1">
      <c r="A12" s="160">
        <v>8</v>
      </c>
      <c r="B12" s="125" t="s">
        <v>4378</v>
      </c>
      <c r="C12" s="125" t="s">
        <v>5560</v>
      </c>
      <c r="D12" s="472" t="s">
        <v>5559</v>
      </c>
      <c r="E12" s="257" t="s">
        <v>5510</v>
      </c>
      <c r="F12" s="135" t="s">
        <v>5558</v>
      </c>
      <c r="G12" s="103" t="s">
        <v>1233</v>
      </c>
      <c r="H12" s="472" t="s">
        <v>826</v>
      </c>
      <c r="I12" s="472" t="s">
        <v>5557</v>
      </c>
      <c r="J12" s="472"/>
      <c r="K12" s="472"/>
      <c r="L12" s="472" t="s">
        <v>5557</v>
      </c>
      <c r="M12" s="472"/>
      <c r="N12" s="472"/>
      <c r="O12" s="472"/>
      <c r="P12" s="472" t="s">
        <v>7</v>
      </c>
      <c r="Q12" s="472" t="s">
        <v>274</v>
      </c>
      <c r="R12" s="472" t="s">
        <v>36</v>
      </c>
      <c r="S12" s="472" t="s">
        <v>55</v>
      </c>
      <c r="T12" s="472" t="s">
        <v>49</v>
      </c>
      <c r="U12" s="472" t="s">
        <v>38</v>
      </c>
      <c r="V12" s="472">
        <v>6000</v>
      </c>
      <c r="W12" s="472">
        <v>6000</v>
      </c>
      <c r="X12" s="472"/>
      <c r="Y12" s="472" t="s">
        <v>5556</v>
      </c>
      <c r="Z12" s="164"/>
    </row>
    <row r="13" spans="1:31" ht="81">
      <c r="A13" s="125">
        <v>9</v>
      </c>
      <c r="B13" s="125" t="s">
        <v>4378</v>
      </c>
      <c r="C13" s="125" t="s">
        <v>1424</v>
      </c>
      <c r="D13" s="472" t="s">
        <v>5555</v>
      </c>
      <c r="E13" s="472" t="s">
        <v>4273</v>
      </c>
      <c r="F13" s="135" t="s">
        <v>5554</v>
      </c>
      <c r="G13" s="472" t="s">
        <v>5553</v>
      </c>
      <c r="H13" s="472" t="s">
        <v>210</v>
      </c>
      <c r="I13" s="472">
        <v>919</v>
      </c>
      <c r="J13" s="472">
        <v>58</v>
      </c>
      <c r="K13" s="472">
        <v>45</v>
      </c>
      <c r="L13" s="472">
        <v>700</v>
      </c>
      <c r="M13" s="472">
        <v>116</v>
      </c>
      <c r="N13" s="472" t="s">
        <v>35</v>
      </c>
      <c r="O13" s="472" t="s">
        <v>156</v>
      </c>
      <c r="P13" s="472" t="s">
        <v>98</v>
      </c>
      <c r="Q13" s="472" t="s">
        <v>5552</v>
      </c>
      <c r="R13" s="472" t="s">
        <v>36</v>
      </c>
      <c r="S13" s="472" t="s">
        <v>42</v>
      </c>
      <c r="T13" s="472" t="s">
        <v>43</v>
      </c>
      <c r="U13" s="472" t="s">
        <v>37</v>
      </c>
      <c r="V13" s="472">
        <f>SUM(W13:X13)</f>
        <v>150</v>
      </c>
      <c r="W13" s="472">
        <v>150</v>
      </c>
      <c r="X13" s="472"/>
      <c r="Y13" s="472" t="s">
        <v>5551</v>
      </c>
      <c r="Z13" s="137" t="s">
        <v>1148</v>
      </c>
      <c r="AA13"/>
      <c r="AB13"/>
      <c r="AC13"/>
      <c r="AD13"/>
      <c r="AE13"/>
    </row>
    <row r="14" spans="1:31" ht="67.5">
      <c r="A14" s="160">
        <v>10</v>
      </c>
      <c r="B14" s="125" t="s">
        <v>4378</v>
      </c>
      <c r="C14" s="125" t="s">
        <v>5550</v>
      </c>
      <c r="D14" s="472" t="s">
        <v>5549</v>
      </c>
      <c r="E14" s="472" t="s">
        <v>1423</v>
      </c>
      <c r="F14" s="135" t="s">
        <v>5548</v>
      </c>
      <c r="G14" s="472" t="s">
        <v>5547</v>
      </c>
      <c r="H14" s="472" t="s">
        <v>2969</v>
      </c>
      <c r="I14" s="472">
        <v>290</v>
      </c>
      <c r="J14" s="472"/>
      <c r="K14" s="472"/>
      <c r="L14" s="472">
        <v>280</v>
      </c>
      <c r="M14" s="472">
        <v>10</v>
      </c>
      <c r="N14" s="472"/>
      <c r="O14" s="472"/>
      <c r="P14" s="472" t="s">
        <v>48</v>
      </c>
      <c r="Q14" s="472" t="s">
        <v>5546</v>
      </c>
      <c r="R14" s="472" t="s">
        <v>36</v>
      </c>
      <c r="S14" s="472" t="s">
        <v>246</v>
      </c>
      <c r="T14" s="472" t="s">
        <v>5545</v>
      </c>
      <c r="U14" s="472" t="s">
        <v>53</v>
      </c>
      <c r="V14" s="472">
        <f>SUM(W14:X14)</f>
        <v>80</v>
      </c>
      <c r="W14" s="472">
        <v>70</v>
      </c>
      <c r="X14" s="472">
        <v>10</v>
      </c>
      <c r="Y14" s="472" t="s">
        <v>5544</v>
      </c>
      <c r="Z14" s="141" t="s">
        <v>1148</v>
      </c>
      <c r="AA14"/>
      <c r="AB14"/>
      <c r="AC14"/>
      <c r="AD14"/>
      <c r="AE14"/>
    </row>
    <row r="15" spans="1:31" ht="50.1" customHeight="1">
      <c r="A15" s="125">
        <v>11</v>
      </c>
      <c r="B15" s="125" t="s">
        <v>876</v>
      </c>
      <c r="C15" s="125" t="s">
        <v>5537</v>
      </c>
      <c r="D15" s="472" t="s">
        <v>5543</v>
      </c>
      <c r="E15" s="472" t="s">
        <v>5542</v>
      </c>
      <c r="F15" s="135" t="s">
        <v>5541</v>
      </c>
      <c r="G15" s="472" t="s">
        <v>5540</v>
      </c>
      <c r="H15" s="472" t="s">
        <v>169</v>
      </c>
      <c r="I15" s="472">
        <v>225</v>
      </c>
      <c r="J15" s="472"/>
      <c r="K15" s="472"/>
      <c r="L15" s="472">
        <v>225</v>
      </c>
      <c r="M15" s="472"/>
      <c r="N15" s="472"/>
      <c r="O15" s="472"/>
      <c r="P15" s="472" t="s">
        <v>98</v>
      </c>
      <c r="Q15" s="472" t="s">
        <v>5539</v>
      </c>
      <c r="R15" s="472" t="s">
        <v>36</v>
      </c>
      <c r="S15" s="472" t="s">
        <v>5531</v>
      </c>
      <c r="T15" s="472" t="s">
        <v>469</v>
      </c>
      <c r="U15" s="472" t="s">
        <v>469</v>
      </c>
      <c r="V15" s="303">
        <v>60</v>
      </c>
      <c r="W15" s="303">
        <v>60</v>
      </c>
      <c r="X15" s="472"/>
      <c r="Y15" s="472" t="s">
        <v>5538</v>
      </c>
      <c r="Z15" s="141" t="s">
        <v>1148</v>
      </c>
      <c r="AA15"/>
      <c r="AB15"/>
      <c r="AC15"/>
      <c r="AD15"/>
      <c r="AE15"/>
    </row>
    <row r="16" spans="1:31" ht="50.1" customHeight="1">
      <c r="A16" s="160">
        <v>12</v>
      </c>
      <c r="B16" s="125" t="s">
        <v>876</v>
      </c>
      <c r="C16" s="125" t="s">
        <v>5537</v>
      </c>
      <c r="D16" s="472" t="s">
        <v>5536</v>
      </c>
      <c r="E16" s="472" t="s">
        <v>1422</v>
      </c>
      <c r="F16" s="135" t="s">
        <v>5535</v>
      </c>
      <c r="G16" s="472" t="s">
        <v>5534</v>
      </c>
      <c r="H16" s="472" t="s">
        <v>798</v>
      </c>
      <c r="I16" s="472">
        <v>50</v>
      </c>
      <c r="J16" s="472"/>
      <c r="K16" s="472" t="s">
        <v>621</v>
      </c>
      <c r="L16" s="472"/>
      <c r="M16" s="472">
        <v>50</v>
      </c>
      <c r="N16" s="472"/>
      <c r="O16" s="472"/>
      <c r="P16" s="472" t="s">
        <v>7</v>
      </c>
      <c r="Q16" s="472" t="s">
        <v>5121</v>
      </c>
      <c r="R16" s="472" t="s">
        <v>36</v>
      </c>
      <c r="S16" s="472" t="s">
        <v>5531</v>
      </c>
      <c r="T16" s="472" t="s">
        <v>469</v>
      </c>
      <c r="U16" s="472" t="s">
        <v>469</v>
      </c>
      <c r="V16" s="474">
        <v>60</v>
      </c>
      <c r="W16" s="303">
        <v>60</v>
      </c>
      <c r="X16" s="164"/>
      <c r="Y16" s="472" t="s">
        <v>5533</v>
      </c>
      <c r="Z16" s="141" t="s">
        <v>1148</v>
      </c>
    </row>
    <row r="17" spans="1:31" ht="50.1" customHeight="1">
      <c r="A17" s="125">
        <v>13</v>
      </c>
      <c r="B17" s="125" t="s">
        <v>876</v>
      </c>
      <c r="C17" s="125" t="s">
        <v>881</v>
      </c>
      <c r="D17" s="472" t="s">
        <v>2741</v>
      </c>
      <c r="E17" s="472" t="s">
        <v>1422</v>
      </c>
      <c r="F17" s="135" t="s">
        <v>5532</v>
      </c>
      <c r="G17" s="472" t="s">
        <v>882</v>
      </c>
      <c r="H17" s="472" t="s">
        <v>798</v>
      </c>
      <c r="I17" s="472">
        <v>90</v>
      </c>
      <c r="J17" s="472"/>
      <c r="K17" s="472"/>
      <c r="L17" s="472">
        <v>90</v>
      </c>
      <c r="M17" s="472"/>
      <c r="N17" s="472"/>
      <c r="O17" s="472"/>
      <c r="P17" s="472" t="s">
        <v>41</v>
      </c>
      <c r="Q17" s="472" t="s">
        <v>883</v>
      </c>
      <c r="R17" s="472" t="s">
        <v>56</v>
      </c>
      <c r="S17" s="472" t="s">
        <v>5531</v>
      </c>
      <c r="T17" s="472" t="s">
        <v>469</v>
      </c>
      <c r="U17" s="472" t="s">
        <v>469</v>
      </c>
      <c r="V17" s="472">
        <v>100</v>
      </c>
      <c r="W17" s="472">
        <v>100</v>
      </c>
      <c r="X17" s="472"/>
      <c r="Y17" s="472" t="s">
        <v>884</v>
      </c>
      <c r="Z17" s="141" t="s">
        <v>1148</v>
      </c>
    </row>
    <row r="18" spans="1:31" ht="54">
      <c r="A18" s="160">
        <v>14</v>
      </c>
      <c r="B18" s="125" t="s">
        <v>4378</v>
      </c>
      <c r="C18" s="125" t="s">
        <v>5512</v>
      </c>
      <c r="D18" s="472" t="s">
        <v>5530</v>
      </c>
      <c r="E18" s="472" t="s">
        <v>5529</v>
      </c>
      <c r="F18" s="135" t="s">
        <v>5528</v>
      </c>
      <c r="G18" s="472" t="s">
        <v>5527</v>
      </c>
      <c r="H18" s="472" t="s">
        <v>2819</v>
      </c>
      <c r="I18" s="472">
        <v>230</v>
      </c>
      <c r="J18" s="472"/>
      <c r="K18" s="472"/>
      <c r="L18" s="472">
        <v>230</v>
      </c>
      <c r="M18" s="472"/>
      <c r="N18" s="349"/>
      <c r="O18" s="349"/>
      <c r="P18" s="472" t="s">
        <v>67</v>
      </c>
      <c r="Q18" s="472" t="s">
        <v>5526</v>
      </c>
      <c r="R18" s="472" t="s">
        <v>36</v>
      </c>
      <c r="S18" s="480" t="s">
        <v>361</v>
      </c>
      <c r="T18" s="472" t="s">
        <v>49</v>
      </c>
      <c r="U18" s="472" t="s">
        <v>38</v>
      </c>
      <c r="V18" s="425"/>
      <c r="W18" s="349"/>
      <c r="X18" s="349"/>
      <c r="Y18" s="472" t="s">
        <v>445</v>
      </c>
      <c r="Z18" s="137" t="s">
        <v>1148</v>
      </c>
      <c r="AA18"/>
      <c r="AB18"/>
      <c r="AC18"/>
      <c r="AD18"/>
      <c r="AE18"/>
    </row>
    <row r="19" spans="1:31" s="1" customFormat="1" ht="48.75" customHeight="1">
      <c r="A19" s="126">
        <v>15</v>
      </c>
      <c r="B19" s="126" t="s">
        <v>4378</v>
      </c>
      <c r="C19" s="126" t="s">
        <v>5512</v>
      </c>
      <c r="D19" s="473" t="s">
        <v>5525</v>
      </c>
      <c r="E19" s="473" t="s">
        <v>54</v>
      </c>
      <c r="F19" s="136" t="s">
        <v>5524</v>
      </c>
      <c r="G19" s="473" t="s">
        <v>5523</v>
      </c>
      <c r="H19" s="473" t="s">
        <v>5522</v>
      </c>
      <c r="I19" s="473">
        <v>56.5</v>
      </c>
      <c r="J19" s="473"/>
      <c r="K19" s="473"/>
      <c r="L19" s="473">
        <v>56.5</v>
      </c>
      <c r="M19" s="473"/>
      <c r="N19" s="473"/>
      <c r="O19" s="473"/>
      <c r="P19" s="473" t="s">
        <v>98</v>
      </c>
      <c r="Q19" s="473" t="s">
        <v>5521</v>
      </c>
      <c r="R19" s="473" t="s">
        <v>885</v>
      </c>
      <c r="S19" s="476" t="s">
        <v>60</v>
      </c>
      <c r="T19" s="473" t="s">
        <v>49</v>
      </c>
      <c r="U19" s="473" t="s">
        <v>38</v>
      </c>
      <c r="V19" s="150">
        <v>10</v>
      </c>
      <c r="W19" s="473">
        <v>10</v>
      </c>
      <c r="X19" s="473"/>
      <c r="Y19" s="473" t="s">
        <v>64</v>
      </c>
      <c r="Z19" s="141"/>
    </row>
    <row r="20" spans="1:31" ht="81">
      <c r="A20" s="160">
        <v>16</v>
      </c>
      <c r="B20" s="125" t="s">
        <v>876</v>
      </c>
      <c r="C20" s="125" t="s">
        <v>5512</v>
      </c>
      <c r="D20" s="473" t="s">
        <v>5520</v>
      </c>
      <c r="E20" s="472" t="s">
        <v>54</v>
      </c>
      <c r="F20" s="135" t="s">
        <v>5519</v>
      </c>
      <c r="G20" s="472" t="s">
        <v>5518</v>
      </c>
      <c r="H20" s="472" t="s">
        <v>564</v>
      </c>
      <c r="I20" s="472">
        <v>30</v>
      </c>
      <c r="J20" s="472"/>
      <c r="K20" s="472"/>
      <c r="L20" s="472">
        <v>30</v>
      </c>
      <c r="M20" s="472"/>
      <c r="N20" s="472"/>
      <c r="O20" s="472"/>
      <c r="P20" s="472" t="s">
        <v>50</v>
      </c>
      <c r="Q20" s="472" t="s">
        <v>5517</v>
      </c>
      <c r="R20" s="472" t="s">
        <v>36</v>
      </c>
      <c r="S20" s="472" t="s">
        <v>55</v>
      </c>
      <c r="T20" s="472" t="s">
        <v>49</v>
      </c>
      <c r="U20" s="472" t="s">
        <v>38</v>
      </c>
      <c r="V20" s="472">
        <f>SUM(W20:X20)</f>
        <v>50</v>
      </c>
      <c r="W20" s="472">
        <v>50</v>
      </c>
      <c r="X20" s="472"/>
      <c r="Y20" s="472" t="s">
        <v>445</v>
      </c>
      <c r="Z20" s="137" t="s">
        <v>6140</v>
      </c>
    </row>
    <row r="21" spans="1:31" ht="50.1" customHeight="1">
      <c r="A21" s="125">
        <v>17</v>
      </c>
      <c r="B21" s="125" t="s">
        <v>876</v>
      </c>
      <c r="C21" s="125" t="s">
        <v>5512</v>
      </c>
      <c r="D21" s="472" t="s">
        <v>5516</v>
      </c>
      <c r="E21" s="472" t="s">
        <v>54</v>
      </c>
      <c r="F21" s="135" t="s">
        <v>5515</v>
      </c>
      <c r="G21" s="472" t="s">
        <v>5514</v>
      </c>
      <c r="H21" s="472" t="s">
        <v>397</v>
      </c>
      <c r="I21" s="472">
        <v>100</v>
      </c>
      <c r="J21" s="472"/>
      <c r="K21" s="472">
        <v>50</v>
      </c>
      <c r="L21" s="472">
        <v>20</v>
      </c>
      <c r="M21" s="472">
        <v>30</v>
      </c>
      <c r="N21" s="472"/>
      <c r="O21" s="472"/>
      <c r="P21" s="472" t="s">
        <v>67</v>
      </c>
      <c r="Q21" s="472" t="s">
        <v>5513</v>
      </c>
      <c r="R21" s="472" t="s">
        <v>36</v>
      </c>
      <c r="S21" s="472" t="s">
        <v>246</v>
      </c>
      <c r="T21" s="472" t="s">
        <v>49</v>
      </c>
      <c r="U21" s="472" t="s">
        <v>53</v>
      </c>
      <c r="V21" s="472">
        <v>10</v>
      </c>
      <c r="W21" s="472">
        <v>10</v>
      </c>
      <c r="X21" s="472"/>
      <c r="Y21" s="472" t="s">
        <v>240</v>
      </c>
      <c r="Z21" s="141" t="s">
        <v>1148</v>
      </c>
    </row>
    <row r="22" spans="1:31" ht="50.1" customHeight="1">
      <c r="A22" s="160">
        <v>18</v>
      </c>
      <c r="B22" s="125" t="s">
        <v>876</v>
      </c>
      <c r="C22" s="125" t="s">
        <v>5512</v>
      </c>
      <c r="D22" s="472" t="s">
        <v>5511</v>
      </c>
      <c r="E22" s="257" t="s">
        <v>5510</v>
      </c>
      <c r="F22" s="135" t="s">
        <v>5509</v>
      </c>
      <c r="G22" s="472" t="s">
        <v>5508</v>
      </c>
      <c r="H22" s="472" t="s">
        <v>179</v>
      </c>
      <c r="I22" s="472">
        <v>290</v>
      </c>
      <c r="J22" s="472"/>
      <c r="K22" s="472"/>
      <c r="L22" s="472">
        <v>290</v>
      </c>
      <c r="M22" s="472"/>
      <c r="N22" s="472"/>
      <c r="O22" s="472"/>
      <c r="P22" s="472" t="s">
        <v>50</v>
      </c>
      <c r="Q22" s="472" t="s">
        <v>5507</v>
      </c>
      <c r="R22" s="472" t="s">
        <v>36</v>
      </c>
      <c r="S22" s="472" t="s">
        <v>55</v>
      </c>
      <c r="T22" s="472" t="s">
        <v>49</v>
      </c>
      <c r="U22" s="472" t="s">
        <v>38</v>
      </c>
      <c r="V22" s="472">
        <f>SUM(W22:X22)</f>
        <v>0</v>
      </c>
      <c r="W22" s="472"/>
      <c r="X22" s="472"/>
      <c r="Y22" s="472" t="s">
        <v>445</v>
      </c>
      <c r="Z22" s="164"/>
    </row>
    <row r="23" spans="1:31" s="1" customFormat="1" ht="67.5">
      <c r="A23" s="126">
        <v>19</v>
      </c>
      <c r="B23" s="126" t="s">
        <v>4378</v>
      </c>
      <c r="C23" s="126" t="s">
        <v>5506</v>
      </c>
      <c r="D23" s="473" t="s">
        <v>5505</v>
      </c>
      <c r="E23" s="473" t="s">
        <v>5212</v>
      </c>
      <c r="F23" s="136" t="s">
        <v>5504</v>
      </c>
      <c r="G23" s="473" t="s">
        <v>5503</v>
      </c>
      <c r="H23" s="473" t="s">
        <v>1232</v>
      </c>
      <c r="I23" s="473">
        <v>280</v>
      </c>
      <c r="J23" s="473"/>
      <c r="K23" s="473"/>
      <c r="L23" s="473">
        <v>280</v>
      </c>
      <c r="M23" s="473"/>
      <c r="N23" s="473"/>
      <c r="O23" s="473"/>
      <c r="P23" s="473" t="s">
        <v>52</v>
      </c>
      <c r="Q23" s="147" t="s">
        <v>1421</v>
      </c>
      <c r="R23" s="473" t="s">
        <v>36</v>
      </c>
      <c r="S23" s="473" t="s">
        <v>55</v>
      </c>
      <c r="T23" s="473" t="s">
        <v>49</v>
      </c>
      <c r="U23" s="473" t="s">
        <v>37</v>
      </c>
      <c r="V23" s="473">
        <v>54</v>
      </c>
      <c r="W23" s="473">
        <v>54</v>
      </c>
      <c r="X23" s="473"/>
      <c r="Y23" s="473" t="s">
        <v>5502</v>
      </c>
      <c r="Z23" s="151" t="s">
        <v>1148</v>
      </c>
    </row>
    <row r="24" spans="1:31" ht="67.5">
      <c r="A24" s="160">
        <v>20</v>
      </c>
      <c r="B24" s="125" t="s">
        <v>4378</v>
      </c>
      <c r="C24" s="125" t="s">
        <v>5501</v>
      </c>
      <c r="D24" s="472" t="s">
        <v>5500</v>
      </c>
      <c r="E24" s="472" t="s">
        <v>4935</v>
      </c>
      <c r="F24" s="135" t="s">
        <v>5499</v>
      </c>
      <c r="G24" s="472" t="s">
        <v>5498</v>
      </c>
      <c r="H24" s="472" t="s">
        <v>5497</v>
      </c>
      <c r="I24" s="472">
        <v>430</v>
      </c>
      <c r="J24" s="472"/>
      <c r="K24" s="472"/>
      <c r="L24" s="472">
        <v>330</v>
      </c>
      <c r="M24" s="472">
        <v>100</v>
      </c>
      <c r="N24" s="472"/>
      <c r="O24" s="472"/>
      <c r="P24" s="472" t="s">
        <v>48</v>
      </c>
      <c r="Q24" s="472" t="s">
        <v>5496</v>
      </c>
      <c r="R24" s="472" t="s">
        <v>36</v>
      </c>
      <c r="S24" s="472" t="s">
        <v>246</v>
      </c>
      <c r="T24" s="472" t="s">
        <v>5495</v>
      </c>
      <c r="U24" s="472" t="s">
        <v>37</v>
      </c>
      <c r="V24" s="472">
        <f>SUM(W24:X24)</f>
        <v>174</v>
      </c>
      <c r="W24" s="472">
        <v>174</v>
      </c>
      <c r="X24" s="472"/>
      <c r="Y24" s="472" t="s">
        <v>5494</v>
      </c>
      <c r="Z24" s="137" t="s">
        <v>1148</v>
      </c>
      <c r="AA24"/>
      <c r="AB24"/>
      <c r="AC24"/>
      <c r="AD24"/>
      <c r="AE24"/>
    </row>
    <row r="25" spans="1:31" ht="50.1" customHeight="1">
      <c r="A25" s="125">
        <v>21</v>
      </c>
      <c r="B25" s="125" t="s">
        <v>4378</v>
      </c>
      <c r="C25" s="125" t="s">
        <v>5461</v>
      </c>
      <c r="D25" s="472" t="s">
        <v>5493</v>
      </c>
      <c r="E25" s="472" t="s">
        <v>1420</v>
      </c>
      <c r="F25" s="135" t="s">
        <v>5492</v>
      </c>
      <c r="G25" s="472" t="s">
        <v>5491</v>
      </c>
      <c r="H25" s="472" t="s">
        <v>5490</v>
      </c>
      <c r="I25" s="472">
        <f>J25+K25+L25+M25</f>
        <v>60</v>
      </c>
      <c r="J25" s="472">
        <v>0</v>
      </c>
      <c r="K25" s="472">
        <v>0</v>
      </c>
      <c r="L25" s="472">
        <v>60</v>
      </c>
      <c r="M25" s="472">
        <v>0</v>
      </c>
      <c r="N25" s="472"/>
      <c r="O25" s="472"/>
      <c r="P25" s="472" t="s">
        <v>41</v>
      </c>
      <c r="Q25" s="472" t="s">
        <v>5489</v>
      </c>
      <c r="R25" s="472" t="s">
        <v>36</v>
      </c>
      <c r="S25" s="472" t="s">
        <v>42</v>
      </c>
      <c r="T25" s="472" t="s">
        <v>543</v>
      </c>
      <c r="U25" s="472" t="s">
        <v>37</v>
      </c>
      <c r="V25" s="472">
        <f>SUM(W25:X25)</f>
        <v>80</v>
      </c>
      <c r="W25" s="472">
        <v>80</v>
      </c>
      <c r="X25" s="472">
        <v>0</v>
      </c>
      <c r="Y25" s="472" t="s">
        <v>5396</v>
      </c>
      <c r="Z25" s="137" t="s">
        <v>1148</v>
      </c>
      <c r="AA25"/>
      <c r="AB25"/>
      <c r="AC25"/>
      <c r="AD25"/>
      <c r="AE25"/>
    </row>
    <row r="26" spans="1:31" ht="50.1" customHeight="1">
      <c r="A26" s="160">
        <v>22</v>
      </c>
      <c r="B26" s="125" t="s">
        <v>4378</v>
      </c>
      <c r="C26" s="125" t="s">
        <v>5461</v>
      </c>
      <c r="D26" s="472" t="s">
        <v>5488</v>
      </c>
      <c r="E26" s="472" t="s">
        <v>2942</v>
      </c>
      <c r="F26" s="135" t="s">
        <v>5487</v>
      </c>
      <c r="G26" s="472" t="s">
        <v>5486</v>
      </c>
      <c r="H26" s="472" t="s">
        <v>498</v>
      </c>
      <c r="I26" s="472">
        <f>J26+K26+L26+M26</f>
        <v>100</v>
      </c>
      <c r="J26" s="472">
        <v>0</v>
      </c>
      <c r="K26" s="472">
        <v>0</v>
      </c>
      <c r="L26" s="472">
        <v>100</v>
      </c>
      <c r="M26" s="472">
        <v>0</v>
      </c>
      <c r="N26" s="472"/>
      <c r="O26" s="472"/>
      <c r="P26" s="472" t="s">
        <v>41</v>
      </c>
      <c r="Q26" s="472" t="s">
        <v>1419</v>
      </c>
      <c r="R26" s="472" t="s">
        <v>36</v>
      </c>
      <c r="S26" s="472" t="s">
        <v>42</v>
      </c>
      <c r="T26" s="472" t="s">
        <v>543</v>
      </c>
      <c r="U26" s="472" t="s">
        <v>37</v>
      </c>
      <c r="V26" s="472">
        <f>SUM(W26:X26)</f>
        <v>350</v>
      </c>
      <c r="W26" s="472">
        <v>350</v>
      </c>
      <c r="X26" s="472">
        <v>0</v>
      </c>
      <c r="Y26" s="472" t="s">
        <v>5396</v>
      </c>
      <c r="Z26" s="137" t="s">
        <v>1148</v>
      </c>
      <c r="AA26"/>
      <c r="AB26"/>
      <c r="AC26"/>
      <c r="AD26"/>
      <c r="AE26"/>
    </row>
    <row r="27" spans="1:31" ht="50.1" customHeight="1">
      <c r="A27" s="125">
        <v>23</v>
      </c>
      <c r="B27" s="125" t="s">
        <v>876</v>
      </c>
      <c r="C27" s="125" t="s">
        <v>5461</v>
      </c>
      <c r="D27" s="125" t="s">
        <v>5485</v>
      </c>
      <c r="E27" s="472" t="s">
        <v>5484</v>
      </c>
      <c r="F27" s="135" t="s">
        <v>5483</v>
      </c>
      <c r="G27" s="472" t="s">
        <v>5482</v>
      </c>
      <c r="H27" s="472" t="s">
        <v>5481</v>
      </c>
      <c r="I27" s="125">
        <v>70</v>
      </c>
      <c r="J27" s="472">
        <v>0</v>
      </c>
      <c r="K27" s="472">
        <v>0</v>
      </c>
      <c r="L27" s="125">
        <v>70</v>
      </c>
      <c r="M27" s="472">
        <v>0</v>
      </c>
      <c r="N27" s="164"/>
      <c r="O27" s="164"/>
      <c r="P27" s="472" t="s">
        <v>50</v>
      </c>
      <c r="Q27" s="125" t="s">
        <v>59</v>
      </c>
      <c r="R27" s="472" t="s">
        <v>36</v>
      </c>
      <c r="S27" s="472" t="s">
        <v>464</v>
      </c>
      <c r="T27" s="472" t="s">
        <v>543</v>
      </c>
      <c r="U27" s="472" t="s">
        <v>37</v>
      </c>
      <c r="V27" s="125">
        <v>50</v>
      </c>
      <c r="W27" s="125">
        <v>50</v>
      </c>
      <c r="X27" s="472">
        <v>0</v>
      </c>
      <c r="Y27" s="472" t="s">
        <v>59</v>
      </c>
      <c r="Z27" s="141" t="s">
        <v>1148</v>
      </c>
      <c r="AA27"/>
      <c r="AB27"/>
      <c r="AC27"/>
      <c r="AD27"/>
      <c r="AE27"/>
    </row>
    <row r="28" spans="1:31" ht="50.1" customHeight="1">
      <c r="A28" s="160">
        <v>24</v>
      </c>
      <c r="B28" s="125" t="s">
        <v>4378</v>
      </c>
      <c r="C28" s="125" t="s">
        <v>5461</v>
      </c>
      <c r="D28" s="472" t="s">
        <v>5480</v>
      </c>
      <c r="E28" s="472" t="s">
        <v>1009</v>
      </c>
      <c r="F28" s="135" t="s">
        <v>5479</v>
      </c>
      <c r="G28" s="472" t="s">
        <v>5478</v>
      </c>
      <c r="H28" s="472" t="s">
        <v>4958</v>
      </c>
      <c r="I28" s="472">
        <f>J28+K28+L28+M28</f>
        <v>50</v>
      </c>
      <c r="J28" s="472">
        <v>0</v>
      </c>
      <c r="K28" s="472">
        <v>0</v>
      </c>
      <c r="L28" s="472">
        <v>50</v>
      </c>
      <c r="M28" s="472">
        <v>0</v>
      </c>
      <c r="N28" s="472"/>
      <c r="O28" s="472"/>
      <c r="P28" s="472" t="s">
        <v>41</v>
      </c>
      <c r="Q28" s="472" t="s">
        <v>5477</v>
      </c>
      <c r="R28" s="472" t="s">
        <v>36</v>
      </c>
      <c r="S28" s="472" t="s">
        <v>42</v>
      </c>
      <c r="T28" s="472" t="s">
        <v>543</v>
      </c>
      <c r="U28" s="472" t="s">
        <v>37</v>
      </c>
      <c r="V28" s="472">
        <f>SUM(W28:X28)</f>
        <v>40</v>
      </c>
      <c r="W28" s="472">
        <v>40</v>
      </c>
      <c r="X28" s="472">
        <v>0</v>
      </c>
      <c r="Y28" s="472" t="s">
        <v>5396</v>
      </c>
      <c r="Z28" s="141" t="s">
        <v>1148</v>
      </c>
      <c r="AA28"/>
      <c r="AB28"/>
      <c r="AC28"/>
      <c r="AD28"/>
      <c r="AE28"/>
    </row>
    <row r="29" spans="1:31" ht="50.1" customHeight="1">
      <c r="A29" s="125">
        <v>25</v>
      </c>
      <c r="B29" s="125" t="s">
        <v>4378</v>
      </c>
      <c r="C29" s="125" t="s">
        <v>5461</v>
      </c>
      <c r="D29" s="472" t="s">
        <v>5476</v>
      </c>
      <c r="E29" s="472" t="s">
        <v>1418</v>
      </c>
      <c r="F29" s="135" t="s">
        <v>5475</v>
      </c>
      <c r="G29" s="472" t="s">
        <v>5474</v>
      </c>
      <c r="H29" s="472" t="s">
        <v>3756</v>
      </c>
      <c r="I29" s="472">
        <v>50.5</v>
      </c>
      <c r="J29" s="472"/>
      <c r="K29" s="472"/>
      <c r="L29" s="472">
        <v>48</v>
      </c>
      <c r="M29" s="472">
        <v>20.5</v>
      </c>
      <c r="N29" s="472"/>
      <c r="O29" s="472"/>
      <c r="P29" s="472" t="s">
        <v>31</v>
      </c>
      <c r="Q29" s="472" t="s">
        <v>5473</v>
      </c>
      <c r="R29" s="472" t="s">
        <v>36</v>
      </c>
      <c r="S29" s="472" t="s">
        <v>246</v>
      </c>
      <c r="T29" s="472" t="s">
        <v>49</v>
      </c>
      <c r="U29" s="472" t="s">
        <v>356</v>
      </c>
      <c r="V29" s="472">
        <f>SUM(W29:X29)</f>
        <v>2</v>
      </c>
      <c r="W29" s="472">
        <v>2</v>
      </c>
      <c r="X29" s="472"/>
      <c r="Y29" s="472" t="s">
        <v>1417</v>
      </c>
      <c r="Z29" s="141" t="s">
        <v>1148</v>
      </c>
      <c r="AA29"/>
      <c r="AB29"/>
      <c r="AC29"/>
      <c r="AD29"/>
      <c r="AE29"/>
    </row>
    <row r="30" spans="1:31" ht="50.1" customHeight="1">
      <c r="A30" s="160">
        <v>26</v>
      </c>
      <c r="B30" s="125" t="s">
        <v>4378</v>
      </c>
      <c r="C30" s="125" t="s">
        <v>5461</v>
      </c>
      <c r="D30" s="472" t="s">
        <v>5472</v>
      </c>
      <c r="E30" s="472" t="s">
        <v>886</v>
      </c>
      <c r="F30" s="135" t="s">
        <v>5471</v>
      </c>
      <c r="G30" s="472" t="s">
        <v>5470</v>
      </c>
      <c r="H30" s="472" t="s">
        <v>5469</v>
      </c>
      <c r="I30" s="472">
        <v>80</v>
      </c>
      <c r="J30" s="472" t="s">
        <v>43</v>
      </c>
      <c r="K30" s="472" t="s">
        <v>43</v>
      </c>
      <c r="L30" s="472">
        <v>80</v>
      </c>
      <c r="M30" s="472" t="s">
        <v>43</v>
      </c>
      <c r="N30" s="472" t="s">
        <v>43</v>
      </c>
      <c r="O30" s="472" t="s">
        <v>43</v>
      </c>
      <c r="P30" s="472" t="s">
        <v>41</v>
      </c>
      <c r="Q30" s="472" t="s">
        <v>5468</v>
      </c>
      <c r="R30" s="472" t="s">
        <v>36</v>
      </c>
      <c r="S30" s="472" t="s">
        <v>68</v>
      </c>
      <c r="T30" s="472" t="s">
        <v>49</v>
      </c>
      <c r="U30" s="472" t="s">
        <v>53</v>
      </c>
      <c r="V30" s="472" t="s">
        <v>486</v>
      </c>
      <c r="W30" s="472" t="s">
        <v>43</v>
      </c>
      <c r="X30" s="472" t="s">
        <v>43</v>
      </c>
      <c r="Y30" s="472" t="s">
        <v>5467</v>
      </c>
      <c r="Z30" s="137" t="s">
        <v>1148</v>
      </c>
    </row>
    <row r="31" spans="1:31" ht="50.1" customHeight="1">
      <c r="A31" s="125">
        <v>27</v>
      </c>
      <c r="B31" s="125" t="s">
        <v>4378</v>
      </c>
      <c r="C31" s="125" t="s">
        <v>5461</v>
      </c>
      <c r="D31" s="472" t="s">
        <v>5466</v>
      </c>
      <c r="E31" s="472" t="s">
        <v>886</v>
      </c>
      <c r="F31" s="135" t="s">
        <v>5465</v>
      </c>
      <c r="G31" s="472" t="s">
        <v>5464</v>
      </c>
      <c r="H31" s="472" t="s">
        <v>5463</v>
      </c>
      <c r="I31" s="472">
        <v>290</v>
      </c>
      <c r="J31" s="472">
        <v>0</v>
      </c>
      <c r="K31" s="472">
        <v>0</v>
      </c>
      <c r="L31" s="472">
        <v>290</v>
      </c>
      <c r="M31" s="472">
        <v>0</v>
      </c>
      <c r="N31" s="472"/>
      <c r="O31" s="472"/>
      <c r="P31" s="472" t="s">
        <v>46</v>
      </c>
      <c r="Q31" s="472" t="s">
        <v>5462</v>
      </c>
      <c r="R31" s="472" t="s">
        <v>36</v>
      </c>
      <c r="S31" s="472" t="s">
        <v>464</v>
      </c>
      <c r="T31" s="472" t="s">
        <v>543</v>
      </c>
      <c r="U31" s="472" t="s">
        <v>37</v>
      </c>
      <c r="V31" s="472">
        <v>50</v>
      </c>
      <c r="W31" s="472">
        <v>50</v>
      </c>
      <c r="X31" s="472">
        <v>0</v>
      </c>
      <c r="Y31" s="472" t="s">
        <v>99</v>
      </c>
      <c r="Z31" s="141" t="s">
        <v>1148</v>
      </c>
    </row>
    <row r="32" spans="1:31" ht="81">
      <c r="A32" s="160">
        <v>28</v>
      </c>
      <c r="B32" s="125" t="s">
        <v>4378</v>
      </c>
      <c r="C32" s="125" t="s">
        <v>5461</v>
      </c>
      <c r="D32" s="472" t="s">
        <v>5460</v>
      </c>
      <c r="E32" s="472" t="s">
        <v>5459</v>
      </c>
      <c r="F32" s="135" t="s">
        <v>5458</v>
      </c>
      <c r="G32" s="472" t="s">
        <v>5457</v>
      </c>
      <c r="H32" s="472" t="s">
        <v>887</v>
      </c>
      <c r="I32" s="472">
        <v>150</v>
      </c>
      <c r="J32" s="472"/>
      <c r="K32" s="472"/>
      <c r="L32" s="472">
        <v>150</v>
      </c>
      <c r="M32" s="472"/>
      <c r="N32" s="472"/>
      <c r="O32" s="472"/>
      <c r="P32" s="472" t="s">
        <v>31</v>
      </c>
      <c r="Q32" s="472" t="s">
        <v>5456</v>
      </c>
      <c r="R32" s="472" t="s">
        <v>36</v>
      </c>
      <c r="S32" s="472" t="s">
        <v>42</v>
      </c>
      <c r="T32" s="472" t="s">
        <v>49</v>
      </c>
      <c r="U32" s="472" t="s">
        <v>37</v>
      </c>
      <c r="V32" s="472">
        <f t="shared" ref="V32:V40" si="0">SUM(W32:X32)</f>
        <v>30</v>
      </c>
      <c r="W32" s="472">
        <v>30</v>
      </c>
      <c r="X32" s="472"/>
      <c r="Y32" s="472" t="s">
        <v>1416</v>
      </c>
      <c r="Z32" s="141" t="s">
        <v>1148</v>
      </c>
    </row>
    <row r="33" spans="1:31" ht="50.1" customHeight="1">
      <c r="A33" s="125">
        <v>29</v>
      </c>
      <c r="B33" s="160" t="s">
        <v>4378</v>
      </c>
      <c r="C33" s="160" t="s">
        <v>825</v>
      </c>
      <c r="D33" s="103" t="s">
        <v>5455</v>
      </c>
      <c r="E33" s="103" t="s">
        <v>5454</v>
      </c>
      <c r="F33" s="161" t="s">
        <v>5453</v>
      </c>
      <c r="G33" s="103" t="s">
        <v>5452</v>
      </c>
      <c r="H33" s="472" t="s">
        <v>826</v>
      </c>
      <c r="I33" s="472">
        <v>60</v>
      </c>
      <c r="J33" s="472"/>
      <c r="K33" s="472"/>
      <c r="L33" s="472">
        <v>50</v>
      </c>
      <c r="M33" s="472">
        <v>10</v>
      </c>
      <c r="N33" s="472"/>
      <c r="O33" s="472"/>
      <c r="P33" s="472" t="s">
        <v>46</v>
      </c>
      <c r="Q33" s="472" t="s">
        <v>5451</v>
      </c>
      <c r="R33" s="472" t="s">
        <v>36</v>
      </c>
      <c r="S33" s="472" t="s">
        <v>68</v>
      </c>
      <c r="T33" s="472" t="s">
        <v>49</v>
      </c>
      <c r="U33" s="472" t="s">
        <v>38</v>
      </c>
      <c r="V33" s="472">
        <f t="shared" si="0"/>
        <v>10</v>
      </c>
      <c r="W33" s="472">
        <v>5</v>
      </c>
      <c r="X33" s="472">
        <v>5</v>
      </c>
      <c r="Y33" s="472" t="s">
        <v>5450</v>
      </c>
      <c r="Z33" s="137" t="s">
        <v>6074</v>
      </c>
      <c r="AA33"/>
      <c r="AB33"/>
      <c r="AC33"/>
      <c r="AD33"/>
      <c r="AE33"/>
    </row>
    <row r="34" spans="1:31" ht="50.1" customHeight="1">
      <c r="A34" s="160">
        <v>30</v>
      </c>
      <c r="B34" s="125" t="s">
        <v>4378</v>
      </c>
      <c r="C34" s="125" t="s">
        <v>825</v>
      </c>
      <c r="D34" s="472" t="s">
        <v>5449</v>
      </c>
      <c r="E34" s="103" t="s">
        <v>1309</v>
      </c>
      <c r="F34" s="135" t="s">
        <v>5448</v>
      </c>
      <c r="G34" s="472" t="s">
        <v>5447</v>
      </c>
      <c r="H34" s="472" t="s">
        <v>3902</v>
      </c>
      <c r="I34" s="472">
        <v>530</v>
      </c>
      <c r="J34" s="472"/>
      <c r="K34" s="472">
        <v>520</v>
      </c>
      <c r="L34" s="472">
        <v>10</v>
      </c>
      <c r="M34" s="472"/>
      <c r="N34" s="472"/>
      <c r="O34" s="472"/>
      <c r="P34" s="472" t="s">
        <v>98</v>
      </c>
      <c r="Q34" s="472" t="s">
        <v>5446</v>
      </c>
      <c r="R34" s="472" t="s">
        <v>36</v>
      </c>
      <c r="S34" s="472" t="s">
        <v>199</v>
      </c>
      <c r="T34" s="472" t="s">
        <v>5445</v>
      </c>
      <c r="U34" s="472" t="s">
        <v>38</v>
      </c>
      <c r="V34" s="472">
        <f t="shared" si="0"/>
        <v>240</v>
      </c>
      <c r="W34" s="472">
        <v>220</v>
      </c>
      <c r="X34" s="472">
        <v>20</v>
      </c>
      <c r="Y34" s="472" t="s">
        <v>5444</v>
      </c>
      <c r="Z34" s="137" t="s">
        <v>1148</v>
      </c>
    </row>
    <row r="35" spans="1:31" s="1" customFormat="1" ht="50.1" customHeight="1">
      <c r="A35" s="126">
        <v>31</v>
      </c>
      <c r="B35" s="126" t="s">
        <v>4378</v>
      </c>
      <c r="C35" s="126" t="s">
        <v>825</v>
      </c>
      <c r="D35" s="473" t="s">
        <v>5443</v>
      </c>
      <c r="E35" s="473" t="s">
        <v>5442</v>
      </c>
      <c r="F35" s="136" t="s">
        <v>1415</v>
      </c>
      <c r="G35" s="473" t="s">
        <v>5441</v>
      </c>
      <c r="H35" s="473" t="s">
        <v>5440</v>
      </c>
      <c r="I35" s="473">
        <v>340</v>
      </c>
      <c r="J35" s="473"/>
      <c r="K35" s="473">
        <v>180</v>
      </c>
      <c r="L35" s="473">
        <v>130</v>
      </c>
      <c r="M35" s="473">
        <v>30</v>
      </c>
      <c r="N35" s="473"/>
      <c r="O35" s="473"/>
      <c r="P35" s="473" t="s">
        <v>6</v>
      </c>
      <c r="Q35" s="473" t="s">
        <v>5439</v>
      </c>
      <c r="R35" s="473" t="s">
        <v>36</v>
      </c>
      <c r="S35" s="473" t="s">
        <v>42</v>
      </c>
      <c r="T35" s="473" t="s">
        <v>5438</v>
      </c>
      <c r="U35" s="103" t="s">
        <v>38</v>
      </c>
      <c r="V35" s="473">
        <f t="shared" si="0"/>
        <v>709</v>
      </c>
      <c r="W35" s="150">
        <v>708</v>
      </c>
      <c r="X35" s="473">
        <v>1</v>
      </c>
      <c r="Y35" s="473" t="s">
        <v>5437</v>
      </c>
      <c r="Z35" s="151" t="s">
        <v>1148</v>
      </c>
    </row>
    <row r="36" spans="1:31" ht="27">
      <c r="A36" s="160">
        <v>32</v>
      </c>
      <c r="B36" s="160" t="s">
        <v>4378</v>
      </c>
      <c r="C36" s="160" t="s">
        <v>825</v>
      </c>
      <c r="D36" s="103" t="s">
        <v>5436</v>
      </c>
      <c r="E36" s="103" t="s">
        <v>207</v>
      </c>
      <c r="F36" s="161" t="s">
        <v>1414</v>
      </c>
      <c r="G36" s="103" t="s">
        <v>5435</v>
      </c>
      <c r="H36" s="472" t="s">
        <v>174</v>
      </c>
      <c r="I36" s="472">
        <v>11</v>
      </c>
      <c r="J36" s="472"/>
      <c r="K36" s="472"/>
      <c r="L36" s="472">
        <v>10</v>
      </c>
      <c r="M36" s="472">
        <v>1</v>
      </c>
      <c r="N36" s="472"/>
      <c r="O36" s="472"/>
      <c r="P36" s="472" t="s">
        <v>46</v>
      </c>
      <c r="Q36" s="472" t="s">
        <v>5434</v>
      </c>
      <c r="R36" s="472" t="s">
        <v>36</v>
      </c>
      <c r="S36" s="472" t="s">
        <v>68</v>
      </c>
      <c r="T36" s="472" t="s">
        <v>49</v>
      </c>
      <c r="U36" s="472" t="s">
        <v>38</v>
      </c>
      <c r="V36" s="472">
        <f t="shared" si="0"/>
        <v>20</v>
      </c>
      <c r="W36" s="472">
        <v>15</v>
      </c>
      <c r="X36" s="472">
        <v>5</v>
      </c>
      <c r="Y36" s="472" t="s">
        <v>5433</v>
      </c>
      <c r="Z36" s="151" t="s">
        <v>1148</v>
      </c>
    </row>
    <row r="37" spans="1:31" s="1" customFormat="1" ht="54">
      <c r="A37" s="126">
        <v>33</v>
      </c>
      <c r="B37" s="128" t="s">
        <v>4378</v>
      </c>
      <c r="C37" s="128" t="s">
        <v>825</v>
      </c>
      <c r="D37" s="127" t="s">
        <v>5432</v>
      </c>
      <c r="E37" s="127" t="s">
        <v>5431</v>
      </c>
      <c r="F37" s="166" t="s">
        <v>5430</v>
      </c>
      <c r="G37" s="127" t="s">
        <v>5429</v>
      </c>
      <c r="H37" s="127" t="s">
        <v>488</v>
      </c>
      <c r="I37" s="127">
        <v>620</v>
      </c>
      <c r="J37" s="127"/>
      <c r="K37" s="127">
        <v>350</v>
      </c>
      <c r="L37" s="127">
        <v>200</v>
      </c>
      <c r="M37" s="127">
        <v>70</v>
      </c>
      <c r="N37" s="473"/>
      <c r="O37" s="473"/>
      <c r="P37" s="127" t="s">
        <v>7</v>
      </c>
      <c r="Q37" s="127" t="s">
        <v>5428</v>
      </c>
      <c r="R37" s="127" t="s">
        <v>36</v>
      </c>
      <c r="S37" s="127" t="s">
        <v>5427</v>
      </c>
      <c r="T37" s="127" t="s">
        <v>49</v>
      </c>
      <c r="U37" s="103" t="s">
        <v>38</v>
      </c>
      <c r="V37" s="473">
        <f t="shared" si="0"/>
        <v>7200</v>
      </c>
      <c r="W37" s="167">
        <v>7200</v>
      </c>
      <c r="X37" s="127"/>
      <c r="Y37" s="127" t="s">
        <v>5426</v>
      </c>
      <c r="Z37" s="139"/>
    </row>
    <row r="38" spans="1:31" s="1" customFormat="1" ht="81">
      <c r="A38" s="160">
        <v>34</v>
      </c>
      <c r="B38" s="126" t="s">
        <v>876</v>
      </c>
      <c r="C38" s="126" t="s">
        <v>5425</v>
      </c>
      <c r="D38" s="473" t="s">
        <v>5424</v>
      </c>
      <c r="E38" s="473" t="s">
        <v>5423</v>
      </c>
      <c r="F38" s="136" t="s">
        <v>5422</v>
      </c>
      <c r="G38" s="473" t="s">
        <v>5421</v>
      </c>
      <c r="H38" s="473" t="s">
        <v>2945</v>
      </c>
      <c r="I38" s="473">
        <f>SUM(J38:M38)</f>
        <v>219</v>
      </c>
      <c r="J38" s="473">
        <v>0</v>
      </c>
      <c r="K38" s="473">
        <v>10</v>
      </c>
      <c r="L38" s="473">
        <v>80</v>
      </c>
      <c r="M38" s="473">
        <v>129</v>
      </c>
      <c r="N38" s="473"/>
      <c r="O38" s="473"/>
      <c r="P38" s="473" t="s">
        <v>41</v>
      </c>
      <c r="Q38" s="473" t="s">
        <v>5420</v>
      </c>
      <c r="R38" s="473" t="s">
        <v>36</v>
      </c>
      <c r="S38" s="473" t="s">
        <v>246</v>
      </c>
      <c r="T38" s="473" t="s">
        <v>5419</v>
      </c>
      <c r="U38" s="473" t="s">
        <v>37</v>
      </c>
      <c r="V38" s="473">
        <f t="shared" si="0"/>
        <v>580</v>
      </c>
      <c r="W38" s="473">
        <v>580</v>
      </c>
      <c r="X38" s="473"/>
      <c r="Y38" s="473" t="s">
        <v>5418</v>
      </c>
      <c r="Z38" s="151" t="s">
        <v>1148</v>
      </c>
    </row>
    <row r="39" spans="1:31" s="1" customFormat="1" ht="67.5">
      <c r="A39" s="126">
        <v>35</v>
      </c>
      <c r="B39" s="126" t="s">
        <v>876</v>
      </c>
      <c r="C39" s="126" t="s">
        <v>5413</v>
      </c>
      <c r="D39" s="473" t="s">
        <v>5417</v>
      </c>
      <c r="E39" s="473" t="s">
        <v>886</v>
      </c>
      <c r="F39" s="136" t="s">
        <v>5416</v>
      </c>
      <c r="G39" s="473" t="s">
        <v>5415</v>
      </c>
      <c r="H39" s="473" t="s">
        <v>5414</v>
      </c>
      <c r="I39" s="473">
        <v>405</v>
      </c>
      <c r="J39" s="473"/>
      <c r="K39" s="473">
        <v>45</v>
      </c>
      <c r="L39" s="473">
        <v>360</v>
      </c>
      <c r="M39" s="473"/>
      <c r="N39" s="473"/>
      <c r="O39" s="473"/>
      <c r="P39" s="473" t="s">
        <v>46</v>
      </c>
      <c r="Q39" s="473" t="s">
        <v>1413</v>
      </c>
      <c r="R39" s="473" t="s">
        <v>36</v>
      </c>
      <c r="S39" s="473" t="s">
        <v>55</v>
      </c>
      <c r="T39" s="473" t="s">
        <v>469</v>
      </c>
      <c r="U39" s="473" t="s">
        <v>38</v>
      </c>
      <c r="V39" s="473">
        <f t="shared" si="0"/>
        <v>118</v>
      </c>
      <c r="W39" s="473">
        <v>118</v>
      </c>
      <c r="X39" s="473"/>
      <c r="Y39" s="473" t="s">
        <v>3691</v>
      </c>
      <c r="Z39" s="151" t="s">
        <v>1148</v>
      </c>
    </row>
    <row r="40" spans="1:31" ht="50.1" customHeight="1">
      <c r="A40" s="160">
        <v>36</v>
      </c>
      <c r="B40" s="125" t="s">
        <v>876</v>
      </c>
      <c r="C40" s="125" t="s">
        <v>5413</v>
      </c>
      <c r="D40" s="472" t="s">
        <v>5412</v>
      </c>
      <c r="E40" s="472" t="s">
        <v>5411</v>
      </c>
      <c r="F40" s="135" t="s">
        <v>5410</v>
      </c>
      <c r="G40" s="472" t="s">
        <v>5409</v>
      </c>
      <c r="H40" s="472" t="s">
        <v>3321</v>
      </c>
      <c r="I40" s="472">
        <v>40</v>
      </c>
      <c r="J40" s="472"/>
      <c r="K40" s="472"/>
      <c r="L40" s="472"/>
      <c r="M40" s="472">
        <v>40</v>
      </c>
      <c r="N40" s="472"/>
      <c r="O40" s="472"/>
      <c r="P40" s="472" t="s">
        <v>48</v>
      </c>
      <c r="Q40" s="472" t="s">
        <v>3616</v>
      </c>
      <c r="R40" s="472" t="s">
        <v>36</v>
      </c>
      <c r="S40" s="472" t="s">
        <v>68</v>
      </c>
      <c r="T40" s="472" t="s">
        <v>469</v>
      </c>
      <c r="U40" s="472" t="s">
        <v>38</v>
      </c>
      <c r="V40" s="472">
        <f t="shared" si="0"/>
        <v>109</v>
      </c>
      <c r="W40" s="472">
        <v>107</v>
      </c>
      <c r="X40" s="472">
        <v>2</v>
      </c>
      <c r="Y40" s="472" t="s">
        <v>64</v>
      </c>
      <c r="Z40" s="141" t="s">
        <v>1148</v>
      </c>
      <c r="AA40"/>
      <c r="AB40"/>
      <c r="AC40"/>
      <c r="AD40"/>
      <c r="AE40"/>
    </row>
    <row r="41" spans="1:31" ht="50.1" customHeight="1">
      <c r="A41" s="125">
        <v>37</v>
      </c>
      <c r="B41" s="125" t="s">
        <v>4378</v>
      </c>
      <c r="C41" s="125" t="s">
        <v>5356</v>
      </c>
      <c r="D41" s="472" t="s">
        <v>5408</v>
      </c>
      <c r="E41" s="472" t="s">
        <v>5407</v>
      </c>
      <c r="F41" s="135" t="s">
        <v>888</v>
      </c>
      <c r="G41" s="472" t="s">
        <v>889</v>
      </c>
      <c r="H41" s="472" t="s">
        <v>811</v>
      </c>
      <c r="I41" s="472">
        <v>285</v>
      </c>
      <c r="J41" s="472"/>
      <c r="K41" s="472"/>
      <c r="L41" s="472">
        <v>280</v>
      </c>
      <c r="M41" s="472">
        <v>5</v>
      </c>
      <c r="N41" s="472"/>
      <c r="O41" s="472"/>
      <c r="P41" s="472" t="s">
        <v>48</v>
      </c>
      <c r="Q41" s="472" t="s">
        <v>48</v>
      </c>
      <c r="R41" s="472" t="s">
        <v>36</v>
      </c>
      <c r="S41" s="472" t="s">
        <v>464</v>
      </c>
      <c r="T41" s="472" t="s">
        <v>464</v>
      </c>
      <c r="U41" s="472" t="s">
        <v>37</v>
      </c>
      <c r="V41" s="472">
        <v>210</v>
      </c>
      <c r="W41" s="472">
        <v>200</v>
      </c>
      <c r="X41" s="472"/>
      <c r="Y41" s="472" t="s">
        <v>5406</v>
      </c>
      <c r="Z41" s="141" t="s">
        <v>1148</v>
      </c>
      <c r="AA41"/>
      <c r="AB41"/>
      <c r="AC41"/>
      <c r="AD41"/>
      <c r="AE41"/>
    </row>
    <row r="42" spans="1:31" ht="50.1" customHeight="1">
      <c r="A42" s="160">
        <v>38</v>
      </c>
      <c r="B42" s="125" t="s">
        <v>876</v>
      </c>
      <c r="C42" s="125" t="s">
        <v>5356</v>
      </c>
      <c r="D42" s="472" t="s">
        <v>5405</v>
      </c>
      <c r="E42" s="472" t="s">
        <v>5404</v>
      </c>
      <c r="F42" s="135" t="s">
        <v>5403</v>
      </c>
      <c r="G42" s="472" t="s">
        <v>5402</v>
      </c>
      <c r="H42" s="472" t="s">
        <v>210</v>
      </c>
      <c r="I42" s="472">
        <v>40</v>
      </c>
      <c r="J42" s="472"/>
      <c r="K42" s="472"/>
      <c r="L42" s="472">
        <v>40</v>
      </c>
      <c r="M42" s="472"/>
      <c r="N42" s="257" t="s">
        <v>43</v>
      </c>
      <c r="O42" s="257" t="s">
        <v>43</v>
      </c>
      <c r="P42" s="472" t="s">
        <v>6</v>
      </c>
      <c r="Q42" s="472" t="s">
        <v>1412</v>
      </c>
      <c r="R42" s="472" t="s">
        <v>36</v>
      </c>
      <c r="S42" s="472" t="s">
        <v>464</v>
      </c>
      <c r="T42" s="472" t="s">
        <v>1279</v>
      </c>
      <c r="U42" s="472" t="s">
        <v>5401</v>
      </c>
      <c r="V42" s="472">
        <f>SUM(W42:X42)</f>
        <v>30</v>
      </c>
      <c r="W42" s="472">
        <v>30</v>
      </c>
      <c r="X42" s="472"/>
      <c r="Y42" s="472" t="s">
        <v>1411</v>
      </c>
      <c r="Z42" s="141" t="s">
        <v>1148</v>
      </c>
      <c r="AA42"/>
      <c r="AB42"/>
      <c r="AC42"/>
      <c r="AD42"/>
      <c r="AE42"/>
    </row>
    <row r="43" spans="1:31" ht="81">
      <c r="A43" s="125">
        <v>39</v>
      </c>
      <c r="B43" s="125" t="s">
        <v>876</v>
      </c>
      <c r="C43" s="125" t="s">
        <v>5356</v>
      </c>
      <c r="D43" s="472" t="s">
        <v>5400</v>
      </c>
      <c r="E43" s="472" t="s">
        <v>1410</v>
      </c>
      <c r="F43" s="135" t="s">
        <v>5399</v>
      </c>
      <c r="G43" s="472" t="s">
        <v>5398</v>
      </c>
      <c r="H43" s="472" t="s">
        <v>811</v>
      </c>
      <c r="I43" s="472">
        <v>75</v>
      </c>
      <c r="J43" s="472">
        <v>0</v>
      </c>
      <c r="K43" s="472">
        <v>20</v>
      </c>
      <c r="L43" s="472">
        <v>40</v>
      </c>
      <c r="M43" s="472">
        <v>15</v>
      </c>
      <c r="N43" s="257" t="s">
        <v>43</v>
      </c>
      <c r="O43" s="257" t="s">
        <v>43</v>
      </c>
      <c r="P43" s="472" t="s">
        <v>41</v>
      </c>
      <c r="Q43" s="472" t="s">
        <v>5397</v>
      </c>
      <c r="R43" s="472" t="s">
        <v>36</v>
      </c>
      <c r="S43" s="472" t="s">
        <v>68</v>
      </c>
      <c r="T43" s="472" t="s">
        <v>49</v>
      </c>
      <c r="U43" s="472" t="s">
        <v>37</v>
      </c>
      <c r="V43" s="472">
        <v>13</v>
      </c>
      <c r="W43" s="472">
        <v>13</v>
      </c>
      <c r="X43" s="472">
        <v>0</v>
      </c>
      <c r="Y43" s="472" t="s">
        <v>5396</v>
      </c>
      <c r="Z43" s="164"/>
    </row>
    <row r="44" spans="1:31" ht="50.1" customHeight="1">
      <c r="A44" s="160">
        <v>40</v>
      </c>
      <c r="B44" s="160" t="s">
        <v>876</v>
      </c>
      <c r="C44" s="160" t="s">
        <v>5356</v>
      </c>
      <c r="D44" s="472" t="s">
        <v>5395</v>
      </c>
      <c r="E44" s="472" t="s">
        <v>5394</v>
      </c>
      <c r="F44" s="132" t="s">
        <v>5393</v>
      </c>
      <c r="G44" s="472" t="s">
        <v>5392</v>
      </c>
      <c r="H44" s="472" t="s">
        <v>210</v>
      </c>
      <c r="I44" s="472">
        <v>290</v>
      </c>
      <c r="J44" s="472"/>
      <c r="K44" s="472"/>
      <c r="L44" s="472">
        <v>40</v>
      </c>
      <c r="M44" s="472">
        <v>250</v>
      </c>
      <c r="N44" s="257" t="s">
        <v>43</v>
      </c>
      <c r="O44" s="257" t="s">
        <v>43</v>
      </c>
      <c r="P44" s="125" t="s">
        <v>6</v>
      </c>
      <c r="Q44" s="125" t="s">
        <v>5391</v>
      </c>
      <c r="R44" s="125" t="s">
        <v>36</v>
      </c>
      <c r="S44" s="125" t="s">
        <v>1277</v>
      </c>
      <c r="T44" s="103" t="s">
        <v>1279</v>
      </c>
      <c r="U44" s="125" t="s">
        <v>37</v>
      </c>
      <c r="V44" s="472">
        <f>SUM(W44:X44)</f>
        <v>100</v>
      </c>
      <c r="W44" s="125">
        <v>100</v>
      </c>
      <c r="X44" s="472"/>
      <c r="Y44" s="125" t="s">
        <v>5390</v>
      </c>
      <c r="Z44" s="141" t="s">
        <v>1148</v>
      </c>
      <c r="AA44"/>
      <c r="AB44"/>
      <c r="AC44"/>
      <c r="AD44"/>
      <c r="AE44"/>
    </row>
    <row r="45" spans="1:31" s="301" customFormat="1" ht="189">
      <c r="A45" s="125">
        <v>41</v>
      </c>
      <c r="B45" s="125" t="s">
        <v>876</v>
      </c>
      <c r="C45" s="472" t="s">
        <v>702</v>
      </c>
      <c r="D45" s="472" t="s">
        <v>890</v>
      </c>
      <c r="E45" s="472" t="s">
        <v>886</v>
      </c>
      <c r="F45" s="135" t="s">
        <v>891</v>
      </c>
      <c r="G45" s="472" t="s">
        <v>892</v>
      </c>
      <c r="H45" s="472" t="s">
        <v>893</v>
      </c>
      <c r="I45" s="472">
        <v>125</v>
      </c>
      <c r="J45" s="103">
        <v>0</v>
      </c>
      <c r="K45" s="103">
        <v>45</v>
      </c>
      <c r="L45" s="103">
        <v>80</v>
      </c>
      <c r="M45" s="103">
        <v>0</v>
      </c>
      <c r="N45" s="103"/>
      <c r="O45" s="103"/>
      <c r="P45" s="472" t="s">
        <v>52</v>
      </c>
      <c r="Q45" s="472" t="s">
        <v>894</v>
      </c>
      <c r="R45" s="472" t="s">
        <v>56</v>
      </c>
      <c r="S45" s="472" t="s">
        <v>83</v>
      </c>
      <c r="T45" s="472" t="s">
        <v>895</v>
      </c>
      <c r="U45" s="472" t="s">
        <v>103</v>
      </c>
      <c r="V45" s="472">
        <v>402</v>
      </c>
      <c r="W45" s="472">
        <v>402</v>
      </c>
      <c r="X45" s="472"/>
      <c r="Y45" s="472" t="s">
        <v>896</v>
      </c>
      <c r="Z45" s="141" t="s">
        <v>1148</v>
      </c>
    </row>
    <row r="46" spans="1:31" s="301" customFormat="1" ht="50.1" customHeight="1">
      <c r="A46" s="160">
        <v>42</v>
      </c>
      <c r="B46" s="125" t="s">
        <v>4378</v>
      </c>
      <c r="C46" s="125" t="s">
        <v>5376</v>
      </c>
      <c r="D46" s="472" t="s">
        <v>5389</v>
      </c>
      <c r="E46" s="472" t="s">
        <v>1409</v>
      </c>
      <c r="F46" s="135" t="s">
        <v>5388</v>
      </c>
      <c r="G46" s="472" t="s">
        <v>5387</v>
      </c>
      <c r="H46" s="472" t="s">
        <v>5386</v>
      </c>
      <c r="I46" s="472">
        <v>30</v>
      </c>
      <c r="J46" s="472"/>
      <c r="K46" s="472"/>
      <c r="L46" s="472">
        <v>10</v>
      </c>
      <c r="M46" s="472">
        <v>20</v>
      </c>
      <c r="N46" s="472"/>
      <c r="O46" s="472"/>
      <c r="P46" s="472" t="s">
        <v>41</v>
      </c>
      <c r="Q46" s="472" t="s">
        <v>5385</v>
      </c>
      <c r="R46" s="472" t="s">
        <v>36</v>
      </c>
      <c r="S46" s="472" t="s">
        <v>42</v>
      </c>
      <c r="T46" s="472" t="s">
        <v>5370</v>
      </c>
      <c r="U46" s="472" t="s">
        <v>53</v>
      </c>
      <c r="V46" s="472">
        <v>5</v>
      </c>
      <c r="W46" s="472">
        <v>5</v>
      </c>
      <c r="X46" s="472"/>
      <c r="Y46" s="472" t="s">
        <v>5384</v>
      </c>
      <c r="Z46" s="141" t="s">
        <v>1148</v>
      </c>
      <c r="AA46"/>
      <c r="AB46"/>
      <c r="AC46"/>
      <c r="AD46"/>
      <c r="AE46"/>
    </row>
    <row r="47" spans="1:31" s="5" customFormat="1" ht="50.1" customHeight="1">
      <c r="A47" s="126">
        <v>43</v>
      </c>
      <c r="B47" s="126" t="s">
        <v>876</v>
      </c>
      <c r="C47" s="126" t="s">
        <v>5376</v>
      </c>
      <c r="D47" s="473" t="s">
        <v>5383</v>
      </c>
      <c r="E47" s="473" t="s">
        <v>5382</v>
      </c>
      <c r="F47" s="136" t="s">
        <v>5381</v>
      </c>
      <c r="G47" s="473" t="s">
        <v>5380</v>
      </c>
      <c r="H47" s="473" t="s">
        <v>5379</v>
      </c>
      <c r="I47" s="473">
        <v>80</v>
      </c>
      <c r="J47" s="473"/>
      <c r="K47" s="473">
        <v>20</v>
      </c>
      <c r="L47" s="473">
        <v>20</v>
      </c>
      <c r="M47" s="473">
        <v>40</v>
      </c>
      <c r="N47" s="473"/>
      <c r="O47" s="473"/>
      <c r="P47" s="473" t="s">
        <v>52</v>
      </c>
      <c r="Q47" s="473" t="s">
        <v>5378</v>
      </c>
      <c r="R47" s="473" t="s">
        <v>36</v>
      </c>
      <c r="S47" s="473" t="s">
        <v>42</v>
      </c>
      <c r="T47" s="473" t="s">
        <v>5370</v>
      </c>
      <c r="U47" s="473" t="s">
        <v>53</v>
      </c>
      <c r="V47" s="473">
        <v>16</v>
      </c>
      <c r="W47" s="473">
        <v>16</v>
      </c>
      <c r="X47" s="473"/>
      <c r="Y47" s="473" t="s">
        <v>5377</v>
      </c>
      <c r="Z47" s="141" t="s">
        <v>1148</v>
      </c>
    </row>
    <row r="48" spans="1:31" s="5" customFormat="1" ht="50.1" customHeight="1">
      <c r="A48" s="160">
        <v>44</v>
      </c>
      <c r="B48" s="126" t="s">
        <v>876</v>
      </c>
      <c r="C48" s="126" t="s">
        <v>5376</v>
      </c>
      <c r="D48" s="473" t="s">
        <v>5375</v>
      </c>
      <c r="E48" s="473" t="s">
        <v>5374</v>
      </c>
      <c r="F48" s="136" t="s">
        <v>5373</v>
      </c>
      <c r="G48" s="473" t="s">
        <v>5372</v>
      </c>
      <c r="H48" s="473" t="s">
        <v>811</v>
      </c>
      <c r="I48" s="473">
        <v>120</v>
      </c>
      <c r="J48" s="473"/>
      <c r="K48" s="473">
        <v>30</v>
      </c>
      <c r="L48" s="473">
        <v>30</v>
      </c>
      <c r="M48" s="473">
        <v>60</v>
      </c>
      <c r="N48" s="473"/>
      <c r="O48" s="473"/>
      <c r="P48" s="473" t="s">
        <v>41</v>
      </c>
      <c r="Q48" s="473" t="s">
        <v>5371</v>
      </c>
      <c r="R48" s="473" t="s">
        <v>36</v>
      </c>
      <c r="S48" s="473" t="s">
        <v>42</v>
      </c>
      <c r="T48" s="473" t="s">
        <v>5370</v>
      </c>
      <c r="U48" s="473" t="s">
        <v>53</v>
      </c>
      <c r="V48" s="473">
        <v>7.5</v>
      </c>
      <c r="W48" s="473">
        <v>7.5</v>
      </c>
      <c r="X48" s="473"/>
      <c r="Y48" s="473" t="s">
        <v>5369</v>
      </c>
      <c r="Z48" s="141" t="s">
        <v>1148</v>
      </c>
    </row>
    <row r="49" spans="1:31" s="5" customFormat="1" ht="54.75" thickBot="1">
      <c r="A49" s="126">
        <v>45</v>
      </c>
      <c r="B49" s="129" t="s">
        <v>876</v>
      </c>
      <c r="C49" s="129" t="s">
        <v>897</v>
      </c>
      <c r="D49" s="130" t="s">
        <v>5368</v>
      </c>
      <c r="E49" s="130" t="s">
        <v>1018</v>
      </c>
      <c r="F49" s="168" t="s">
        <v>5367</v>
      </c>
      <c r="G49" s="130" t="s">
        <v>6073</v>
      </c>
      <c r="H49" s="130" t="s">
        <v>397</v>
      </c>
      <c r="I49" s="130">
        <v>140</v>
      </c>
      <c r="J49" s="130"/>
      <c r="K49" s="130"/>
      <c r="L49" s="130">
        <v>110</v>
      </c>
      <c r="M49" s="130">
        <v>30</v>
      </c>
      <c r="N49" s="130"/>
      <c r="O49" s="130"/>
      <c r="P49" s="130" t="s">
        <v>52</v>
      </c>
      <c r="Q49" s="130" t="s">
        <v>5366</v>
      </c>
      <c r="R49" s="130" t="s">
        <v>36</v>
      </c>
      <c r="S49" s="169" t="s">
        <v>55</v>
      </c>
      <c r="T49" s="169" t="s">
        <v>49</v>
      </c>
      <c r="U49" s="169" t="s">
        <v>37</v>
      </c>
      <c r="V49" s="130">
        <v>65</v>
      </c>
      <c r="W49" s="130">
        <v>45</v>
      </c>
      <c r="X49" s="130">
        <v>20</v>
      </c>
      <c r="Y49" s="130" t="s">
        <v>898</v>
      </c>
      <c r="Z49" s="458" t="s">
        <v>6139</v>
      </c>
    </row>
    <row r="50" spans="1:31" s="28" customFormat="1">
      <c r="A50" s="29"/>
      <c r="B50" s="30" t="s">
        <v>667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29" t="s">
        <v>98</v>
      </c>
      <c r="Q50" s="29"/>
      <c r="R50" s="31"/>
      <c r="S50" s="31"/>
      <c r="T50" s="29"/>
      <c r="U50" s="31"/>
      <c r="V50" s="31"/>
      <c r="W50" s="31"/>
      <c r="X50" s="31"/>
      <c r="Y50" s="31"/>
      <c r="AA50"/>
      <c r="AB50"/>
      <c r="AC50"/>
      <c r="AD50"/>
      <c r="AE50"/>
    </row>
    <row r="51" spans="1:31" s="28" customFormat="1">
      <c r="A51" s="29"/>
      <c r="B51" s="30" t="s">
        <v>4378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29" t="s">
        <v>7</v>
      </c>
      <c r="Q51" s="29"/>
      <c r="R51" s="31"/>
      <c r="S51" s="31"/>
      <c r="T51" s="29"/>
      <c r="U51" s="31"/>
      <c r="V51" s="31"/>
      <c r="W51" s="31"/>
      <c r="X51" s="31"/>
      <c r="Y51" s="31"/>
    </row>
    <row r="52" spans="1:31" s="252" customFormat="1">
      <c r="A52" s="334"/>
      <c r="B52" s="334"/>
      <c r="C52" s="334"/>
      <c r="Z52" s="105"/>
    </row>
    <row r="53" spans="1:31" s="252" customFormat="1">
      <c r="A53" s="334"/>
      <c r="B53" s="334"/>
      <c r="C53" s="334"/>
      <c r="Z53" s="105"/>
    </row>
    <row r="54" spans="1:31" s="252" customFormat="1">
      <c r="A54" s="334"/>
      <c r="B54" s="334"/>
      <c r="C54" s="334"/>
      <c r="Z54" s="105"/>
    </row>
    <row r="56" spans="1:31" s="1" customFormat="1">
      <c r="A56" s="8"/>
      <c r="B56" s="8"/>
      <c r="C56" s="8"/>
      <c r="Z56" s="107"/>
    </row>
    <row r="57" spans="1:31" s="1" customFormat="1">
      <c r="A57" s="8"/>
      <c r="B57" s="8"/>
      <c r="C57" s="8"/>
      <c r="Z57" s="107"/>
    </row>
    <row r="58" spans="1:31">
      <c r="F58" s="89"/>
    </row>
    <row r="61" spans="1:31" s="1" customFormat="1">
      <c r="A61" s="8"/>
      <c r="B61" s="8"/>
      <c r="C61" s="8"/>
      <c r="Z61" s="107"/>
    </row>
    <row r="62" spans="1:31">
      <c r="F62" s="89"/>
    </row>
    <row r="63" spans="1:31">
      <c r="F63" s="89"/>
    </row>
    <row r="64" spans="1:31" s="1" customFormat="1">
      <c r="A64" s="8"/>
      <c r="B64" s="8"/>
      <c r="C64" s="8"/>
      <c r="Z64" s="107"/>
    </row>
    <row r="66" spans="1:26" s="1" customFormat="1">
      <c r="A66" s="8"/>
      <c r="B66" s="8"/>
      <c r="C66" s="8"/>
      <c r="Z66" s="107"/>
    </row>
    <row r="68" spans="1:26">
      <c r="F68" s="89"/>
    </row>
    <row r="69" spans="1:26" s="1" customFormat="1">
      <c r="A69" s="8"/>
      <c r="B69" s="8"/>
      <c r="C69" s="8"/>
      <c r="Z69" s="107"/>
    </row>
    <row r="71" spans="1:26" s="1" customFormat="1">
      <c r="A71" s="8"/>
      <c r="B71" s="8"/>
      <c r="C71" s="8"/>
      <c r="Z71" s="107"/>
    </row>
    <row r="72" spans="1:26" s="1" customFormat="1">
      <c r="A72" s="8"/>
      <c r="B72" s="8"/>
      <c r="C72" s="8"/>
      <c r="Z72" s="107"/>
    </row>
    <row r="76" spans="1:26" s="1" customFormat="1">
      <c r="A76" s="8"/>
      <c r="B76" s="8"/>
      <c r="C76" s="8"/>
      <c r="Z76" s="107"/>
    </row>
    <row r="77" spans="1:26" s="1" customFormat="1">
      <c r="A77" s="8"/>
      <c r="B77" s="8"/>
      <c r="C77" s="8"/>
      <c r="Z77" s="107"/>
    </row>
    <row r="78" spans="1:26">
      <c r="F78" s="89"/>
    </row>
    <row r="79" spans="1:26" s="1" customFormat="1">
      <c r="A79" s="8"/>
      <c r="B79" s="8"/>
      <c r="C79" s="8"/>
      <c r="Z79" s="107"/>
    </row>
    <row r="81" spans="1:26" s="1" customFormat="1">
      <c r="A81" s="8"/>
      <c r="B81" s="8"/>
      <c r="C81" s="8"/>
      <c r="Z81" s="107"/>
    </row>
    <row r="82" spans="1:26" s="1" customFormat="1">
      <c r="A82" s="8"/>
      <c r="B82" s="8"/>
      <c r="C82" s="8"/>
      <c r="Z82" s="107"/>
    </row>
    <row r="83" spans="1:26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6" s="1" customFormat="1">
      <c r="A84" s="8"/>
      <c r="B84" s="8"/>
      <c r="C84" s="8"/>
      <c r="Z84" s="107"/>
    </row>
    <row r="85" spans="1:26">
      <c r="F85" s="89"/>
    </row>
    <row r="88" spans="1:26">
      <c r="F88" s="89"/>
    </row>
    <row r="94" spans="1:26">
      <c r="F94" s="89"/>
    </row>
    <row r="95" spans="1:26">
      <c r="F95" s="89"/>
    </row>
  </sheetData>
  <autoFilter ref="A4:Z51"/>
  <mergeCells count="4">
    <mergeCell ref="A1:X2"/>
    <mergeCell ref="I3:M3"/>
    <mergeCell ref="N3:O3"/>
    <mergeCell ref="V3:X3"/>
  </mergeCells>
  <phoneticPr fontId="23" type="noConversion"/>
  <dataValidations count="14">
    <dataValidation type="list" allowBlank="1" showInputMessage="1" showErrorMessage="1" sqref="P45 P15:P22 P5 P9:P13 P24 P38:P40">
      <formula1>$P$50:$P$51</formula1>
    </dataValidation>
    <dataValidation type="list" allowBlank="1" showInputMessage="1" showErrorMessage="1" sqref="B49 P25:P28 B25:B28 B31 B33:B37 P37 B44 P49 B14 P14 P30:P31 B6:B8 P7:P8">
      <formula1>#REF!</formula1>
    </dataValidation>
    <dataValidation type="list" allowBlank="1" showInputMessage="1" showErrorMessage="1" sqref="P42:P43 P41:Q41">
      <formula1>$P$8:$P$13</formula1>
    </dataValidation>
    <dataValidation type="list" allowBlank="1" showInputMessage="1" showErrorMessage="1" sqref="B41:B43">
      <formula1>$B$8:$B$24</formula1>
    </dataValidation>
    <dataValidation type="list" allowBlank="1" showInputMessage="1" showErrorMessage="1" sqref="P35">
      <formula1>$O$8:$O$12</formula1>
    </dataValidation>
    <dataValidation type="list" allowBlank="1" showInputMessage="1" showErrorMessage="1" sqref="P36 P33:P34">
      <formula1>$P$10:$P$14</formula1>
    </dataValidation>
    <dataValidation type="list" allowBlank="1" showInputMessage="1" showErrorMessage="1" sqref="P29 P32">
      <formula1>$P$12:$P$17</formula1>
    </dataValidation>
    <dataValidation type="list" allowBlank="1" showInputMessage="1" showErrorMessage="1" sqref="B29 B32">
      <formula1>$B$12:$B$28</formula1>
    </dataValidation>
    <dataValidation type="list" allowBlank="1" showInputMessage="1" showErrorMessage="1" sqref="B30">
      <formula1>$B$5:$B$7</formula1>
    </dataValidation>
    <dataValidation type="list" allowBlank="1" showInputMessage="1" showErrorMessage="1" sqref="B23">
      <formula1>$B$5:$B$19</formula1>
    </dataValidation>
    <dataValidation type="list" allowBlank="1" showInputMessage="1" showErrorMessage="1" sqref="P23">
      <formula1>$P$5:$P$8</formula1>
    </dataValidation>
    <dataValidation type="list" allowBlank="1" showInputMessage="1" showErrorMessage="1" sqref="B45 B15:B22 B9:B13 B38:B40 B5 B24">
      <formula1>$B$50:$B$51</formula1>
    </dataValidation>
    <dataValidation type="list" allowBlank="1" showInputMessage="1" showErrorMessage="1" sqref="P46:P48">
      <formula1>$P$51:$P$51</formula1>
    </dataValidation>
    <dataValidation type="list" allowBlank="1" showInputMessage="1" showErrorMessage="1" sqref="B46:B48">
      <formula1>$B$51:$B$51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95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254" customWidth="1"/>
    <col min="2" max="2" width="12.33203125" style="254" customWidth="1"/>
    <col min="3" max="3" width="9.109375" style="254" customWidth="1"/>
    <col min="4" max="4" width="17.6640625" style="255" customWidth="1"/>
    <col min="5" max="5" width="12.109375" style="255" customWidth="1"/>
    <col min="6" max="6" width="42" style="177" customWidth="1"/>
    <col min="7" max="7" width="25.109375" style="255" customWidth="1"/>
    <col min="8" max="8" width="12.21875" style="255" customWidth="1"/>
    <col min="9" max="9" width="14.21875" style="255" customWidth="1"/>
    <col min="10" max="13" width="7.6640625" style="255" customWidth="1"/>
    <col min="14" max="14" width="10.21875" style="255" customWidth="1"/>
    <col min="15" max="15" width="30.21875" style="255" customWidth="1"/>
    <col min="16" max="17" width="12.77734375" style="255" customWidth="1"/>
    <col min="18" max="18" width="12.21875" style="255" customWidth="1"/>
    <col min="19" max="19" width="13.33203125" style="255" customWidth="1"/>
    <col min="20" max="20" width="12.77734375" style="255" customWidth="1"/>
    <col min="21" max="24" width="12.21875" style="255" customWidth="1"/>
    <col min="25" max="25" width="11.88671875" style="255" customWidth="1"/>
    <col min="26" max="26" width="14.109375" style="106" customWidth="1"/>
    <col min="27" max="27" width="13.77734375" style="255" bestFit="1" customWidth="1"/>
    <col min="28" max="16384" width="8.88671875" style="255"/>
  </cols>
  <sheetData>
    <row r="1" spans="1:34" s="171" customFormat="1" ht="29.25" customHeight="1">
      <c r="A1" s="524" t="s">
        <v>5798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79"/>
      <c r="Z1" s="170"/>
    </row>
    <row r="2" spans="1:34" s="79" customFormat="1" ht="17.25" customHeight="1">
      <c r="A2" s="524"/>
      <c r="B2" s="524"/>
      <c r="C2" s="524"/>
      <c r="D2" s="524"/>
      <c r="E2" s="524"/>
      <c r="F2" s="524"/>
      <c r="G2" s="524"/>
      <c r="H2" s="524"/>
      <c r="I2" s="524"/>
      <c r="J2" s="524"/>
      <c r="K2" s="524"/>
      <c r="L2" s="524"/>
      <c r="M2" s="524"/>
      <c r="N2" s="524"/>
      <c r="O2" s="524"/>
      <c r="P2" s="524"/>
      <c r="Q2" s="524"/>
      <c r="R2" s="524"/>
      <c r="S2" s="524"/>
      <c r="T2" s="524"/>
      <c r="U2" s="524"/>
      <c r="V2" s="524"/>
      <c r="W2" s="524"/>
      <c r="X2" s="524"/>
      <c r="Z2" s="170"/>
    </row>
    <row r="3" spans="1:34" s="79" customFormat="1" ht="22.5" customHeight="1" thickBot="1">
      <c r="A3" s="477"/>
      <c r="B3" s="477"/>
      <c r="C3" s="477"/>
      <c r="D3" s="172"/>
      <c r="E3" s="172"/>
      <c r="F3" s="176"/>
      <c r="G3" s="172"/>
      <c r="H3" s="172"/>
      <c r="I3" s="525" t="s">
        <v>1012</v>
      </c>
      <c r="J3" s="526"/>
      <c r="K3" s="526"/>
      <c r="L3" s="526"/>
      <c r="M3" s="526"/>
      <c r="N3" s="527" t="s">
        <v>1013</v>
      </c>
      <c r="O3" s="527"/>
      <c r="P3" s="82"/>
      <c r="Q3" s="83"/>
      <c r="R3" s="84"/>
      <c r="S3" s="84"/>
      <c r="T3" s="84"/>
      <c r="U3" s="84"/>
      <c r="V3" s="528" t="s">
        <v>133</v>
      </c>
      <c r="W3" s="528"/>
      <c r="X3" s="528"/>
      <c r="Y3" s="84"/>
      <c r="Z3" s="170"/>
    </row>
    <row r="4" spans="1:34" s="171" customFormat="1" ht="66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124" t="s">
        <v>1152</v>
      </c>
      <c r="AA4"/>
      <c r="AB4"/>
      <c r="AC4"/>
      <c r="AD4"/>
      <c r="AE4"/>
      <c r="AF4"/>
      <c r="AG4"/>
      <c r="AH4"/>
    </row>
    <row r="5" spans="1:34" ht="54">
      <c r="A5" s="125">
        <v>1</v>
      </c>
      <c r="B5" s="125" t="s">
        <v>847</v>
      </c>
      <c r="C5" s="125" t="s">
        <v>668</v>
      </c>
      <c r="D5" s="472" t="s">
        <v>5797</v>
      </c>
      <c r="E5" s="472" t="s">
        <v>3849</v>
      </c>
      <c r="F5" s="480" t="s">
        <v>5796</v>
      </c>
      <c r="G5" s="472" t="s">
        <v>5795</v>
      </c>
      <c r="H5" s="472" t="s">
        <v>5794</v>
      </c>
      <c r="I5" s="308">
        <f t="shared" ref="I5:I31" si="0">SUM(J5:M5)</f>
        <v>2050</v>
      </c>
      <c r="J5" s="308">
        <v>0</v>
      </c>
      <c r="K5" s="308">
        <v>2050</v>
      </c>
      <c r="L5" s="308">
        <v>0</v>
      </c>
      <c r="M5" s="308">
        <v>0</v>
      </c>
      <c r="N5" s="472"/>
      <c r="O5" s="472"/>
      <c r="P5" s="472" t="s">
        <v>46</v>
      </c>
      <c r="Q5" s="472" t="s">
        <v>848</v>
      </c>
      <c r="R5" s="472" t="s">
        <v>36</v>
      </c>
      <c r="S5" s="472" t="s">
        <v>681</v>
      </c>
      <c r="T5" s="472" t="s">
        <v>5793</v>
      </c>
      <c r="U5" s="472" t="s">
        <v>76</v>
      </c>
      <c r="V5" s="474">
        <f t="shared" ref="V5:V42" si="1">SUM(W5:X5)</f>
        <v>1036</v>
      </c>
      <c r="W5" s="472">
        <v>1022</v>
      </c>
      <c r="X5" s="472">
        <v>14</v>
      </c>
      <c r="Y5" s="472" t="s">
        <v>5792</v>
      </c>
      <c r="Z5" s="137" t="s">
        <v>1148</v>
      </c>
      <c r="AA5"/>
      <c r="AB5"/>
      <c r="AC5"/>
      <c r="AD5"/>
      <c r="AE5"/>
      <c r="AF5"/>
      <c r="AG5"/>
      <c r="AH5"/>
    </row>
    <row r="6" spans="1:34" s="85" customFormat="1" ht="50.1" customHeight="1">
      <c r="A6" s="126">
        <v>2</v>
      </c>
      <c r="B6" s="126" t="s">
        <v>847</v>
      </c>
      <c r="C6" s="473" t="s">
        <v>668</v>
      </c>
      <c r="D6" s="473" t="s">
        <v>5791</v>
      </c>
      <c r="E6" s="473" t="s">
        <v>5790</v>
      </c>
      <c r="F6" s="476" t="s">
        <v>5789</v>
      </c>
      <c r="G6" s="473" t="s">
        <v>5788</v>
      </c>
      <c r="H6" s="473" t="s">
        <v>3000</v>
      </c>
      <c r="I6" s="199">
        <f t="shared" si="0"/>
        <v>346</v>
      </c>
      <c r="J6" s="473">
        <v>146</v>
      </c>
      <c r="K6" s="473">
        <v>200</v>
      </c>
      <c r="L6" s="473">
        <v>0</v>
      </c>
      <c r="M6" s="473">
        <v>0</v>
      </c>
      <c r="N6" s="473" t="s">
        <v>35</v>
      </c>
      <c r="O6" s="473" t="s">
        <v>5787</v>
      </c>
      <c r="P6" s="473" t="s">
        <v>7</v>
      </c>
      <c r="Q6" s="473" t="s">
        <v>5786</v>
      </c>
      <c r="R6" s="473" t="s">
        <v>36</v>
      </c>
      <c r="S6" s="473" t="s">
        <v>199</v>
      </c>
      <c r="T6" s="473" t="s">
        <v>49</v>
      </c>
      <c r="U6" s="473" t="s">
        <v>37</v>
      </c>
      <c r="V6" s="475">
        <f t="shared" si="1"/>
        <v>51</v>
      </c>
      <c r="W6" s="473">
        <v>51</v>
      </c>
      <c r="X6" s="473"/>
      <c r="Y6" s="473" t="s">
        <v>2</v>
      </c>
      <c r="Z6" s="433" t="s">
        <v>1148</v>
      </c>
      <c r="AA6"/>
      <c r="AB6"/>
      <c r="AC6"/>
      <c r="AD6"/>
      <c r="AE6"/>
      <c r="AF6"/>
      <c r="AG6"/>
      <c r="AH6"/>
    </row>
    <row r="7" spans="1:34" s="85" customFormat="1" ht="67.5">
      <c r="A7" s="126">
        <v>3</v>
      </c>
      <c r="B7" s="126" t="s">
        <v>849</v>
      </c>
      <c r="C7" s="126" t="s">
        <v>727</v>
      </c>
      <c r="D7" s="473" t="s">
        <v>5785</v>
      </c>
      <c r="E7" s="473" t="s">
        <v>5784</v>
      </c>
      <c r="F7" s="476" t="s">
        <v>5783</v>
      </c>
      <c r="G7" s="473" t="s">
        <v>5782</v>
      </c>
      <c r="H7" s="473" t="s">
        <v>2930</v>
      </c>
      <c r="I7" s="199">
        <f t="shared" si="0"/>
        <v>2050</v>
      </c>
      <c r="J7" s="473">
        <v>0</v>
      </c>
      <c r="K7" s="473">
        <v>2050</v>
      </c>
      <c r="L7" s="473">
        <v>0</v>
      </c>
      <c r="M7" s="473">
        <v>0</v>
      </c>
      <c r="N7" s="473"/>
      <c r="O7" s="473"/>
      <c r="P7" s="473" t="s">
        <v>46</v>
      </c>
      <c r="Q7" s="473" t="s">
        <v>5781</v>
      </c>
      <c r="R7" s="473" t="s">
        <v>36</v>
      </c>
      <c r="S7" s="473" t="s">
        <v>199</v>
      </c>
      <c r="T7" s="473" t="s">
        <v>5780</v>
      </c>
      <c r="U7" s="473" t="s">
        <v>38</v>
      </c>
      <c r="V7" s="475">
        <f t="shared" si="1"/>
        <v>48</v>
      </c>
      <c r="W7" s="473">
        <v>44</v>
      </c>
      <c r="X7" s="473">
        <v>4</v>
      </c>
      <c r="Y7" s="473" t="s">
        <v>5779</v>
      </c>
      <c r="Z7" s="202" t="s">
        <v>6075</v>
      </c>
      <c r="AA7"/>
      <c r="AB7"/>
      <c r="AC7"/>
      <c r="AD7"/>
      <c r="AE7"/>
      <c r="AF7"/>
      <c r="AG7"/>
      <c r="AH7"/>
    </row>
    <row r="8" spans="1:34" ht="50.1" customHeight="1">
      <c r="A8" s="125">
        <v>4</v>
      </c>
      <c r="B8" s="160" t="s">
        <v>849</v>
      </c>
      <c r="C8" s="160" t="s">
        <v>727</v>
      </c>
      <c r="D8" s="103" t="s">
        <v>5778</v>
      </c>
      <c r="E8" s="103" t="s">
        <v>5777</v>
      </c>
      <c r="F8" s="132" t="s">
        <v>5776</v>
      </c>
      <c r="G8" s="103" t="s">
        <v>5775</v>
      </c>
      <c r="H8" s="103" t="s">
        <v>664</v>
      </c>
      <c r="I8" s="304">
        <f t="shared" si="0"/>
        <v>3000</v>
      </c>
      <c r="J8" s="103">
        <v>650</v>
      </c>
      <c r="K8" s="103">
        <v>2350</v>
      </c>
      <c r="L8" s="103">
        <v>0</v>
      </c>
      <c r="M8" s="103">
        <v>0</v>
      </c>
      <c r="N8" s="103" t="s">
        <v>44</v>
      </c>
      <c r="O8" s="103" t="s">
        <v>5774</v>
      </c>
      <c r="P8" s="103" t="s">
        <v>46</v>
      </c>
      <c r="Q8" s="103" t="s">
        <v>850</v>
      </c>
      <c r="R8" s="103" t="s">
        <v>56</v>
      </c>
      <c r="S8" s="103" t="s">
        <v>246</v>
      </c>
      <c r="T8" s="103" t="s">
        <v>5773</v>
      </c>
      <c r="U8" s="103" t="s">
        <v>38</v>
      </c>
      <c r="V8" s="306">
        <f t="shared" si="1"/>
        <v>261</v>
      </c>
      <c r="W8" s="103">
        <v>220</v>
      </c>
      <c r="X8" s="472">
        <v>41</v>
      </c>
      <c r="Y8" s="472" t="s">
        <v>5772</v>
      </c>
      <c r="Z8" s="137" t="s">
        <v>5771</v>
      </c>
      <c r="AA8"/>
      <c r="AB8"/>
      <c r="AC8"/>
      <c r="AD8"/>
      <c r="AE8"/>
      <c r="AF8"/>
      <c r="AG8"/>
      <c r="AH8"/>
    </row>
    <row r="9" spans="1:34" ht="54">
      <c r="A9" s="125">
        <v>5</v>
      </c>
      <c r="B9" s="160" t="s">
        <v>849</v>
      </c>
      <c r="C9" s="160" t="s">
        <v>668</v>
      </c>
      <c r="D9" s="103" t="s">
        <v>5770</v>
      </c>
      <c r="E9" s="103" t="s">
        <v>5769</v>
      </c>
      <c r="F9" s="132" t="s">
        <v>5768</v>
      </c>
      <c r="G9" s="103" t="s">
        <v>6169</v>
      </c>
      <c r="H9" s="103" t="s">
        <v>1428</v>
      </c>
      <c r="I9" s="304">
        <f t="shared" si="0"/>
        <v>800</v>
      </c>
      <c r="J9" s="103">
        <v>0</v>
      </c>
      <c r="K9" s="103">
        <v>700</v>
      </c>
      <c r="L9" s="103">
        <v>0</v>
      </c>
      <c r="M9" s="103">
        <v>100</v>
      </c>
      <c r="N9" s="103"/>
      <c r="O9" s="103"/>
      <c r="P9" s="103" t="s">
        <v>46</v>
      </c>
      <c r="Q9" s="103" t="s">
        <v>5451</v>
      </c>
      <c r="R9" s="103" t="s">
        <v>36</v>
      </c>
      <c r="S9" s="103" t="s">
        <v>5767</v>
      </c>
      <c r="T9" s="103" t="s">
        <v>49</v>
      </c>
      <c r="U9" s="103" t="s">
        <v>37</v>
      </c>
      <c r="V9" s="306">
        <f t="shared" si="1"/>
        <v>506</v>
      </c>
      <c r="W9" s="103">
        <v>504</v>
      </c>
      <c r="X9" s="472">
        <v>2</v>
      </c>
      <c r="Y9" s="472" t="s">
        <v>5766</v>
      </c>
      <c r="Z9" s="137" t="s">
        <v>1148</v>
      </c>
      <c r="AA9"/>
      <c r="AB9"/>
      <c r="AC9"/>
      <c r="AD9"/>
      <c r="AE9"/>
      <c r="AF9"/>
      <c r="AG9"/>
      <c r="AH9"/>
    </row>
    <row r="10" spans="1:34" ht="81">
      <c r="A10" s="125">
        <v>6</v>
      </c>
      <c r="B10" s="160" t="s">
        <v>847</v>
      </c>
      <c r="C10" s="160" t="s">
        <v>668</v>
      </c>
      <c r="D10" s="103" t="s">
        <v>5765</v>
      </c>
      <c r="E10" s="103" t="s">
        <v>1219</v>
      </c>
      <c r="F10" s="132" t="s">
        <v>5764</v>
      </c>
      <c r="G10" s="103" t="s">
        <v>5763</v>
      </c>
      <c r="H10" s="103" t="s">
        <v>1289</v>
      </c>
      <c r="I10" s="304">
        <f t="shared" si="0"/>
        <v>523</v>
      </c>
      <c r="J10" s="103">
        <v>0</v>
      </c>
      <c r="K10" s="103">
        <v>523</v>
      </c>
      <c r="L10" s="103">
        <v>0</v>
      </c>
      <c r="M10" s="103">
        <v>0</v>
      </c>
      <c r="N10" s="103"/>
      <c r="O10" s="103"/>
      <c r="P10" s="103" t="s">
        <v>46</v>
      </c>
      <c r="Q10" s="103" t="s">
        <v>5031</v>
      </c>
      <c r="R10" s="103" t="s">
        <v>36</v>
      </c>
      <c r="S10" s="103" t="s">
        <v>42</v>
      </c>
      <c r="T10" s="103" t="s">
        <v>5762</v>
      </c>
      <c r="U10" s="103" t="s">
        <v>37</v>
      </c>
      <c r="V10" s="306">
        <f t="shared" si="1"/>
        <v>25</v>
      </c>
      <c r="W10" s="103">
        <v>24</v>
      </c>
      <c r="X10" s="472">
        <v>1</v>
      </c>
      <c r="Y10" s="472" t="s">
        <v>64</v>
      </c>
      <c r="Z10" s="202" t="s">
        <v>6051</v>
      </c>
      <c r="AA10"/>
      <c r="AB10"/>
      <c r="AC10"/>
      <c r="AD10"/>
      <c r="AE10"/>
      <c r="AF10"/>
      <c r="AG10"/>
      <c r="AH10"/>
    </row>
    <row r="11" spans="1:34" ht="50.1" customHeight="1">
      <c r="A11" s="125">
        <v>7</v>
      </c>
      <c r="B11" s="160" t="s">
        <v>849</v>
      </c>
      <c r="C11" s="160" t="s">
        <v>668</v>
      </c>
      <c r="D11" s="103" t="s">
        <v>5761</v>
      </c>
      <c r="E11" s="103" t="s">
        <v>5760</v>
      </c>
      <c r="F11" s="132" t="s">
        <v>5759</v>
      </c>
      <c r="G11" s="103" t="s">
        <v>5758</v>
      </c>
      <c r="H11" s="103" t="s">
        <v>804</v>
      </c>
      <c r="I11" s="304">
        <f t="shared" si="0"/>
        <v>600</v>
      </c>
      <c r="J11" s="103">
        <v>0</v>
      </c>
      <c r="K11" s="103">
        <v>600</v>
      </c>
      <c r="L11" s="103">
        <v>0</v>
      </c>
      <c r="M11" s="103">
        <v>0</v>
      </c>
      <c r="N11" s="103"/>
      <c r="O11" s="103"/>
      <c r="P11" s="103" t="s">
        <v>7</v>
      </c>
      <c r="Q11" s="103" t="s">
        <v>5757</v>
      </c>
      <c r="R11" s="103" t="s">
        <v>36</v>
      </c>
      <c r="S11" s="103" t="s">
        <v>246</v>
      </c>
      <c r="T11" s="103" t="s">
        <v>5756</v>
      </c>
      <c r="U11" s="103" t="s">
        <v>37</v>
      </c>
      <c r="V11" s="306">
        <f t="shared" si="1"/>
        <v>152</v>
      </c>
      <c r="W11" s="103">
        <v>150</v>
      </c>
      <c r="X11" s="472">
        <v>2</v>
      </c>
      <c r="Y11" s="472" t="s">
        <v>64</v>
      </c>
      <c r="Z11" s="137" t="s">
        <v>5755</v>
      </c>
      <c r="AA11"/>
      <c r="AB11"/>
      <c r="AC11"/>
      <c r="AD11"/>
      <c r="AE11"/>
      <c r="AF11"/>
      <c r="AG11"/>
      <c r="AH11"/>
    </row>
    <row r="12" spans="1:34" ht="54">
      <c r="A12" s="125">
        <v>8</v>
      </c>
      <c r="B12" s="160" t="s">
        <v>849</v>
      </c>
      <c r="C12" s="160" t="s">
        <v>727</v>
      </c>
      <c r="D12" s="103" t="s">
        <v>851</v>
      </c>
      <c r="E12" s="103" t="s">
        <v>1018</v>
      </c>
      <c r="F12" s="132" t="s">
        <v>852</v>
      </c>
      <c r="G12" s="103" t="s">
        <v>5754</v>
      </c>
      <c r="H12" s="103" t="s">
        <v>1358</v>
      </c>
      <c r="I12" s="304">
        <f t="shared" si="0"/>
        <v>190</v>
      </c>
      <c r="J12" s="103">
        <v>0</v>
      </c>
      <c r="K12" s="103">
        <v>190</v>
      </c>
      <c r="L12" s="103">
        <v>0</v>
      </c>
      <c r="M12" s="103">
        <v>0</v>
      </c>
      <c r="N12" s="103"/>
      <c r="O12" s="103"/>
      <c r="P12" s="103" t="s">
        <v>46</v>
      </c>
      <c r="Q12" s="103" t="s">
        <v>853</v>
      </c>
      <c r="R12" s="103" t="s">
        <v>56</v>
      </c>
      <c r="S12" s="103" t="s">
        <v>681</v>
      </c>
      <c r="T12" s="103" t="s">
        <v>49</v>
      </c>
      <c r="U12" s="103" t="s">
        <v>76</v>
      </c>
      <c r="V12" s="306">
        <f t="shared" si="1"/>
        <v>104</v>
      </c>
      <c r="W12" s="103">
        <v>104</v>
      </c>
      <c r="X12" s="472"/>
      <c r="Y12" s="472" t="s">
        <v>854</v>
      </c>
      <c r="Z12" s="202" t="s">
        <v>6093</v>
      </c>
    </row>
    <row r="13" spans="1:34" ht="67.5">
      <c r="A13" s="125">
        <v>9</v>
      </c>
      <c r="B13" s="160" t="s">
        <v>847</v>
      </c>
      <c r="C13" s="160" t="s">
        <v>668</v>
      </c>
      <c r="D13" s="103" t="s">
        <v>5753</v>
      </c>
      <c r="E13" s="103" t="s">
        <v>5752</v>
      </c>
      <c r="F13" s="132" t="s">
        <v>5751</v>
      </c>
      <c r="G13" s="103" t="s">
        <v>5750</v>
      </c>
      <c r="H13" s="103" t="s">
        <v>1431</v>
      </c>
      <c r="I13" s="304">
        <f t="shared" si="0"/>
        <v>800</v>
      </c>
      <c r="J13" s="103">
        <v>0</v>
      </c>
      <c r="K13" s="103">
        <v>600</v>
      </c>
      <c r="L13" s="103">
        <v>0</v>
      </c>
      <c r="M13" s="103">
        <v>200</v>
      </c>
      <c r="N13" s="103"/>
      <c r="O13" s="103"/>
      <c r="P13" s="103" t="s">
        <v>98</v>
      </c>
      <c r="Q13" s="103" t="s">
        <v>5749</v>
      </c>
      <c r="R13" s="103" t="s">
        <v>36</v>
      </c>
      <c r="S13" s="103" t="s">
        <v>42</v>
      </c>
      <c r="T13" s="103" t="s">
        <v>49</v>
      </c>
      <c r="U13" s="103" t="s">
        <v>38</v>
      </c>
      <c r="V13" s="306">
        <f t="shared" si="1"/>
        <v>31</v>
      </c>
      <c r="W13" s="103">
        <v>31</v>
      </c>
      <c r="X13" s="472"/>
      <c r="Y13" s="472" t="s">
        <v>5748</v>
      </c>
      <c r="Z13" s="137" t="s">
        <v>6146</v>
      </c>
      <c r="AA13" s="484"/>
    </row>
    <row r="14" spans="1:34" s="309" customFormat="1" ht="50.1" customHeight="1">
      <c r="A14" s="125">
        <v>10</v>
      </c>
      <c r="B14" s="160" t="s">
        <v>847</v>
      </c>
      <c r="C14" s="160" t="s">
        <v>668</v>
      </c>
      <c r="D14" s="103" t="s">
        <v>5747</v>
      </c>
      <c r="E14" s="103" t="s">
        <v>5746</v>
      </c>
      <c r="F14" s="132" t="s">
        <v>5745</v>
      </c>
      <c r="G14" s="103" t="s">
        <v>5744</v>
      </c>
      <c r="H14" s="103" t="s">
        <v>1289</v>
      </c>
      <c r="I14" s="304">
        <f t="shared" si="0"/>
        <v>450</v>
      </c>
      <c r="J14" s="103">
        <v>0</v>
      </c>
      <c r="K14" s="103">
        <v>285</v>
      </c>
      <c r="L14" s="103">
        <v>0</v>
      </c>
      <c r="M14" s="103">
        <v>165</v>
      </c>
      <c r="N14" s="103"/>
      <c r="O14" s="103"/>
      <c r="P14" s="103" t="s">
        <v>7</v>
      </c>
      <c r="Q14" s="103" t="s">
        <v>5743</v>
      </c>
      <c r="R14" s="103" t="s">
        <v>36</v>
      </c>
      <c r="S14" s="103" t="s">
        <v>42</v>
      </c>
      <c r="T14" s="103" t="s">
        <v>49</v>
      </c>
      <c r="U14" s="103" t="s">
        <v>1435</v>
      </c>
      <c r="V14" s="306">
        <f t="shared" si="1"/>
        <v>27</v>
      </c>
      <c r="W14" s="103">
        <v>27</v>
      </c>
      <c r="X14" s="472"/>
      <c r="Y14" s="472" t="s">
        <v>64</v>
      </c>
      <c r="Z14" s="141" t="s">
        <v>1148</v>
      </c>
      <c r="AA14"/>
      <c r="AB14"/>
      <c r="AC14"/>
      <c r="AD14"/>
      <c r="AE14"/>
      <c r="AF14"/>
      <c r="AG14"/>
      <c r="AH14"/>
    </row>
    <row r="15" spans="1:34" ht="50.1" customHeight="1">
      <c r="A15" s="125">
        <v>11</v>
      </c>
      <c r="B15" s="160" t="s">
        <v>847</v>
      </c>
      <c r="C15" s="103" t="s">
        <v>668</v>
      </c>
      <c r="D15" s="103" t="s">
        <v>5742</v>
      </c>
      <c r="E15" s="103" t="s">
        <v>4814</v>
      </c>
      <c r="F15" s="132" t="s">
        <v>5741</v>
      </c>
      <c r="G15" s="103" t="s">
        <v>5740</v>
      </c>
      <c r="H15" s="103" t="s">
        <v>5739</v>
      </c>
      <c r="I15" s="304">
        <f t="shared" si="0"/>
        <v>500</v>
      </c>
      <c r="J15" s="103">
        <v>60</v>
      </c>
      <c r="K15" s="103">
        <v>400</v>
      </c>
      <c r="L15" s="103">
        <v>20</v>
      </c>
      <c r="M15" s="103">
        <v>20</v>
      </c>
      <c r="N15" s="103" t="s">
        <v>35</v>
      </c>
      <c r="O15" s="103" t="s">
        <v>156</v>
      </c>
      <c r="P15" s="103" t="s">
        <v>98</v>
      </c>
      <c r="Q15" s="103" t="s">
        <v>5738</v>
      </c>
      <c r="R15" s="103" t="s">
        <v>36</v>
      </c>
      <c r="S15" s="103" t="s">
        <v>246</v>
      </c>
      <c r="T15" s="103" t="s">
        <v>5737</v>
      </c>
      <c r="U15" s="103" t="s">
        <v>37</v>
      </c>
      <c r="V15" s="306">
        <f t="shared" si="1"/>
        <v>100</v>
      </c>
      <c r="W15" s="103">
        <v>50</v>
      </c>
      <c r="X15" s="472">
        <v>50</v>
      </c>
      <c r="Y15" s="472" t="s">
        <v>5736</v>
      </c>
      <c r="Z15" s="137" t="s">
        <v>1148</v>
      </c>
      <c r="AA15"/>
      <c r="AB15"/>
      <c r="AC15"/>
      <c r="AD15"/>
      <c r="AE15"/>
      <c r="AF15"/>
      <c r="AG15"/>
      <c r="AH15"/>
    </row>
    <row r="16" spans="1:34" ht="50.1" customHeight="1">
      <c r="A16" s="125">
        <v>12</v>
      </c>
      <c r="B16" s="160" t="s">
        <v>847</v>
      </c>
      <c r="C16" s="103" t="s">
        <v>668</v>
      </c>
      <c r="D16" s="103" t="s">
        <v>5735</v>
      </c>
      <c r="E16" s="103" t="s">
        <v>5723</v>
      </c>
      <c r="F16" s="132" t="s">
        <v>5734</v>
      </c>
      <c r="G16" s="103" t="s">
        <v>855</v>
      </c>
      <c r="H16" s="103" t="s">
        <v>1357</v>
      </c>
      <c r="I16" s="304">
        <f t="shared" si="0"/>
        <v>2000</v>
      </c>
      <c r="J16" s="103">
        <v>60</v>
      </c>
      <c r="K16" s="162">
        <v>1040</v>
      </c>
      <c r="L16" s="103">
        <v>0</v>
      </c>
      <c r="M16" s="103">
        <v>900</v>
      </c>
      <c r="N16" s="103" t="s">
        <v>35</v>
      </c>
      <c r="O16" s="103" t="s">
        <v>156</v>
      </c>
      <c r="P16" s="103" t="s">
        <v>31</v>
      </c>
      <c r="Q16" s="103" t="s">
        <v>856</v>
      </c>
      <c r="R16" s="103" t="s">
        <v>36</v>
      </c>
      <c r="S16" s="103" t="s">
        <v>5733</v>
      </c>
      <c r="T16" s="103" t="s">
        <v>1434</v>
      </c>
      <c r="U16" s="103" t="s">
        <v>37</v>
      </c>
      <c r="V16" s="306">
        <f t="shared" si="1"/>
        <v>146.30000000000001</v>
      </c>
      <c r="W16" s="103">
        <v>146</v>
      </c>
      <c r="X16" s="472">
        <v>0.3</v>
      </c>
      <c r="Y16" s="472" t="s">
        <v>5732</v>
      </c>
      <c r="Z16" s="137" t="s">
        <v>1148</v>
      </c>
      <c r="AA16"/>
      <c r="AB16"/>
      <c r="AC16"/>
      <c r="AD16"/>
      <c r="AE16"/>
      <c r="AF16"/>
      <c r="AG16"/>
      <c r="AH16"/>
    </row>
    <row r="17" spans="1:34" ht="50.1" customHeight="1">
      <c r="A17" s="125">
        <v>13</v>
      </c>
      <c r="B17" s="160" t="s">
        <v>847</v>
      </c>
      <c r="C17" s="160" t="s">
        <v>668</v>
      </c>
      <c r="D17" s="103" t="s">
        <v>5731</v>
      </c>
      <c r="E17" s="103" t="s">
        <v>1247</v>
      </c>
      <c r="F17" s="132" t="s">
        <v>5730</v>
      </c>
      <c r="G17" s="103" t="s">
        <v>5729</v>
      </c>
      <c r="H17" s="103" t="s">
        <v>5728</v>
      </c>
      <c r="I17" s="304">
        <f t="shared" si="0"/>
        <v>194</v>
      </c>
      <c r="J17" s="103">
        <v>0</v>
      </c>
      <c r="K17" s="103">
        <v>194</v>
      </c>
      <c r="L17" s="103">
        <v>0</v>
      </c>
      <c r="M17" s="103">
        <v>0</v>
      </c>
      <c r="N17" s="103"/>
      <c r="O17" s="103"/>
      <c r="P17" s="103" t="s">
        <v>7</v>
      </c>
      <c r="Q17" s="103" t="s">
        <v>5727</v>
      </c>
      <c r="R17" s="103" t="s">
        <v>36</v>
      </c>
      <c r="S17" s="103" t="s">
        <v>42</v>
      </c>
      <c r="T17" s="103" t="s">
        <v>5726</v>
      </c>
      <c r="U17" s="307" t="s">
        <v>37</v>
      </c>
      <c r="V17" s="306">
        <f t="shared" si="1"/>
        <v>63</v>
      </c>
      <c r="W17" s="103">
        <v>63</v>
      </c>
      <c r="X17" s="472"/>
      <c r="Y17" s="472" t="s">
        <v>5725</v>
      </c>
      <c r="Z17" s="137" t="s">
        <v>6016</v>
      </c>
      <c r="AA17"/>
      <c r="AB17"/>
      <c r="AC17"/>
      <c r="AD17"/>
      <c r="AE17"/>
      <c r="AF17"/>
      <c r="AG17"/>
      <c r="AH17"/>
    </row>
    <row r="18" spans="1:34" ht="50.1" customHeight="1">
      <c r="A18" s="125">
        <v>14</v>
      </c>
      <c r="B18" s="160" t="s">
        <v>847</v>
      </c>
      <c r="C18" s="160" t="s">
        <v>668</v>
      </c>
      <c r="D18" s="103" t="s">
        <v>5724</v>
      </c>
      <c r="E18" s="103" t="s">
        <v>5723</v>
      </c>
      <c r="F18" s="132" t="s">
        <v>5722</v>
      </c>
      <c r="G18" s="103" t="s">
        <v>5721</v>
      </c>
      <c r="H18" s="103" t="s">
        <v>1358</v>
      </c>
      <c r="I18" s="304">
        <f t="shared" si="0"/>
        <v>522.5</v>
      </c>
      <c r="J18" s="103">
        <v>0</v>
      </c>
      <c r="K18" s="103">
        <v>522.5</v>
      </c>
      <c r="L18" s="103">
        <v>0</v>
      </c>
      <c r="M18" s="103">
        <v>0</v>
      </c>
      <c r="N18" s="103"/>
      <c r="O18" s="103"/>
      <c r="P18" s="103" t="s">
        <v>7</v>
      </c>
      <c r="Q18" s="103" t="s">
        <v>5720</v>
      </c>
      <c r="R18" s="103" t="s">
        <v>36</v>
      </c>
      <c r="S18" s="103" t="s">
        <v>199</v>
      </c>
      <c r="T18" s="103" t="s">
        <v>49</v>
      </c>
      <c r="U18" s="103" t="s">
        <v>5719</v>
      </c>
      <c r="V18" s="306">
        <f t="shared" si="1"/>
        <v>58</v>
      </c>
      <c r="W18" s="103">
        <v>58</v>
      </c>
      <c r="X18" s="257">
        <v>0</v>
      </c>
      <c r="Y18" s="472" t="s">
        <v>64</v>
      </c>
      <c r="Z18" s="137" t="s">
        <v>6046</v>
      </c>
      <c r="AA18"/>
      <c r="AB18"/>
      <c r="AC18"/>
      <c r="AD18"/>
      <c r="AE18"/>
      <c r="AF18"/>
      <c r="AG18"/>
      <c r="AH18"/>
    </row>
    <row r="19" spans="1:34" s="85" customFormat="1" ht="50.1" customHeight="1">
      <c r="A19" s="126">
        <v>15</v>
      </c>
      <c r="B19" s="128" t="s">
        <v>847</v>
      </c>
      <c r="C19" s="128" t="s">
        <v>668</v>
      </c>
      <c r="D19" s="127" t="s">
        <v>5718</v>
      </c>
      <c r="E19" s="127" t="s">
        <v>5717</v>
      </c>
      <c r="F19" s="163" t="s">
        <v>5716</v>
      </c>
      <c r="G19" s="127" t="s">
        <v>5715</v>
      </c>
      <c r="H19" s="127" t="s">
        <v>1358</v>
      </c>
      <c r="I19" s="200">
        <f t="shared" si="0"/>
        <v>35</v>
      </c>
      <c r="J19" s="127">
        <v>0</v>
      </c>
      <c r="K19" s="127">
        <v>30</v>
      </c>
      <c r="L19" s="127">
        <v>0</v>
      </c>
      <c r="M19" s="127">
        <v>5</v>
      </c>
      <c r="N19" s="127"/>
      <c r="O19" s="127"/>
      <c r="P19" s="127" t="s">
        <v>48</v>
      </c>
      <c r="Q19" s="127" t="s">
        <v>5714</v>
      </c>
      <c r="R19" s="127" t="s">
        <v>36</v>
      </c>
      <c r="S19" s="127" t="s">
        <v>246</v>
      </c>
      <c r="T19" s="127" t="s">
        <v>49</v>
      </c>
      <c r="U19" s="127" t="s">
        <v>37</v>
      </c>
      <c r="V19" s="201">
        <f t="shared" si="1"/>
        <v>18</v>
      </c>
      <c r="W19" s="127">
        <v>18</v>
      </c>
      <c r="X19" s="473">
        <v>0</v>
      </c>
      <c r="Y19" s="473" t="s">
        <v>5713</v>
      </c>
      <c r="Z19" s="433" t="s">
        <v>1148</v>
      </c>
      <c r="AA19"/>
      <c r="AB19"/>
      <c r="AC19"/>
      <c r="AD19"/>
      <c r="AE19"/>
      <c r="AF19"/>
      <c r="AG19"/>
      <c r="AH19"/>
    </row>
    <row r="20" spans="1:34" ht="67.5">
      <c r="A20" s="125">
        <v>16</v>
      </c>
      <c r="B20" s="160" t="s">
        <v>849</v>
      </c>
      <c r="C20" s="103" t="s">
        <v>670</v>
      </c>
      <c r="D20" s="103" t="s">
        <v>857</v>
      </c>
      <c r="E20" s="103" t="s">
        <v>5712</v>
      </c>
      <c r="F20" s="132" t="s">
        <v>5711</v>
      </c>
      <c r="G20" s="103" t="s">
        <v>858</v>
      </c>
      <c r="H20" s="103" t="s">
        <v>5710</v>
      </c>
      <c r="I20" s="304">
        <f t="shared" si="0"/>
        <v>115</v>
      </c>
      <c r="J20" s="103">
        <v>0</v>
      </c>
      <c r="K20" s="103">
        <v>30</v>
      </c>
      <c r="L20" s="103">
        <v>20</v>
      </c>
      <c r="M20" s="103">
        <v>65</v>
      </c>
      <c r="N20" s="103"/>
      <c r="O20" s="103"/>
      <c r="P20" s="103" t="s">
        <v>46</v>
      </c>
      <c r="Q20" s="103" t="s">
        <v>5709</v>
      </c>
      <c r="R20" s="103" t="s">
        <v>36</v>
      </c>
      <c r="S20" s="103" t="s">
        <v>246</v>
      </c>
      <c r="T20" s="103" t="s">
        <v>49</v>
      </c>
      <c r="U20" s="103" t="s">
        <v>37</v>
      </c>
      <c r="V20" s="306">
        <f t="shared" si="1"/>
        <v>905</v>
      </c>
      <c r="W20" s="103">
        <v>905</v>
      </c>
      <c r="X20" s="472" t="s">
        <v>43</v>
      </c>
      <c r="Y20" s="472" t="s">
        <v>5708</v>
      </c>
      <c r="Z20" s="137" t="s">
        <v>6000</v>
      </c>
      <c r="AA20"/>
      <c r="AB20"/>
      <c r="AC20"/>
      <c r="AD20"/>
      <c r="AE20"/>
      <c r="AF20"/>
      <c r="AG20"/>
      <c r="AH20"/>
    </row>
    <row r="21" spans="1:34" ht="50.1" customHeight="1">
      <c r="A21" s="125">
        <v>17</v>
      </c>
      <c r="B21" s="160" t="s">
        <v>847</v>
      </c>
      <c r="C21" s="160" t="s">
        <v>825</v>
      </c>
      <c r="D21" s="103" t="s">
        <v>1433</v>
      </c>
      <c r="E21" s="103" t="s">
        <v>1432</v>
      </c>
      <c r="F21" s="132" t="s">
        <v>5707</v>
      </c>
      <c r="G21" s="103" t="s">
        <v>5706</v>
      </c>
      <c r="H21" s="103" t="s">
        <v>3321</v>
      </c>
      <c r="I21" s="304">
        <f t="shared" si="0"/>
        <v>45</v>
      </c>
      <c r="J21" s="103">
        <v>0</v>
      </c>
      <c r="K21" s="103">
        <v>20</v>
      </c>
      <c r="L21" s="103">
        <v>10</v>
      </c>
      <c r="M21" s="103">
        <v>15</v>
      </c>
      <c r="N21" s="103"/>
      <c r="O21" s="103"/>
      <c r="P21" s="103" t="s">
        <v>6</v>
      </c>
      <c r="Q21" s="103" t="s">
        <v>5705</v>
      </c>
      <c r="R21" s="103" t="s">
        <v>36</v>
      </c>
      <c r="S21" s="103" t="s">
        <v>68</v>
      </c>
      <c r="T21" s="103" t="s">
        <v>49</v>
      </c>
      <c r="U21" s="103" t="s">
        <v>38</v>
      </c>
      <c r="V21" s="306">
        <f t="shared" si="1"/>
        <v>30</v>
      </c>
      <c r="W21" s="103">
        <v>30</v>
      </c>
      <c r="X21" s="472" t="s">
        <v>43</v>
      </c>
      <c r="Y21" s="472" t="s">
        <v>5704</v>
      </c>
      <c r="Z21" s="137" t="s">
        <v>6145</v>
      </c>
      <c r="AA21"/>
      <c r="AB21"/>
      <c r="AC21"/>
      <c r="AD21"/>
      <c r="AE21"/>
      <c r="AF21"/>
      <c r="AG21"/>
      <c r="AH21"/>
    </row>
    <row r="22" spans="1:34" ht="67.5">
      <c r="A22" s="125">
        <v>18</v>
      </c>
      <c r="B22" s="160" t="s">
        <v>847</v>
      </c>
      <c r="C22" s="103" t="s">
        <v>825</v>
      </c>
      <c r="D22" s="103" t="s">
        <v>5703</v>
      </c>
      <c r="E22" s="103" t="s">
        <v>5702</v>
      </c>
      <c r="F22" s="132" t="s">
        <v>859</v>
      </c>
      <c r="G22" s="103" t="s">
        <v>5701</v>
      </c>
      <c r="H22" s="103" t="s">
        <v>1431</v>
      </c>
      <c r="I22" s="304">
        <f t="shared" si="0"/>
        <v>82.5</v>
      </c>
      <c r="J22" s="103">
        <v>0</v>
      </c>
      <c r="K22" s="103">
        <v>47.5</v>
      </c>
      <c r="L22" s="103">
        <v>10</v>
      </c>
      <c r="M22" s="103">
        <v>25</v>
      </c>
      <c r="N22" s="103"/>
      <c r="O22" s="103"/>
      <c r="P22" s="103" t="s">
        <v>7</v>
      </c>
      <c r="Q22" s="103" t="s">
        <v>3126</v>
      </c>
      <c r="R22" s="103" t="s">
        <v>5700</v>
      </c>
      <c r="S22" s="103" t="s">
        <v>5699</v>
      </c>
      <c r="T22" s="103" t="s">
        <v>49</v>
      </c>
      <c r="U22" s="103" t="s">
        <v>37</v>
      </c>
      <c r="V22" s="306">
        <f t="shared" si="1"/>
        <v>5</v>
      </c>
      <c r="W22" s="103">
        <v>5</v>
      </c>
      <c r="X22" s="472" t="s">
        <v>43</v>
      </c>
      <c r="Y22" s="472" t="s">
        <v>5698</v>
      </c>
      <c r="Z22" s="433" t="s">
        <v>1148</v>
      </c>
      <c r="AA22"/>
      <c r="AB22"/>
      <c r="AC22"/>
      <c r="AD22"/>
      <c r="AE22"/>
      <c r="AF22"/>
      <c r="AG22"/>
      <c r="AH22"/>
    </row>
    <row r="23" spans="1:34" s="85" customFormat="1" ht="67.5">
      <c r="A23" s="126">
        <v>19</v>
      </c>
      <c r="B23" s="128" t="s">
        <v>847</v>
      </c>
      <c r="C23" s="128" t="s">
        <v>825</v>
      </c>
      <c r="D23" s="127" t="s">
        <v>5697</v>
      </c>
      <c r="E23" s="127" t="s">
        <v>5696</v>
      </c>
      <c r="F23" s="163" t="s">
        <v>5695</v>
      </c>
      <c r="G23" s="127" t="s">
        <v>5694</v>
      </c>
      <c r="H23" s="127" t="s">
        <v>3756</v>
      </c>
      <c r="I23" s="200">
        <f t="shared" si="0"/>
        <v>290</v>
      </c>
      <c r="J23" s="127">
        <v>100</v>
      </c>
      <c r="K23" s="127">
        <v>75</v>
      </c>
      <c r="L23" s="127">
        <v>115</v>
      </c>
      <c r="M23" s="127">
        <v>0</v>
      </c>
      <c r="N23" s="127" t="s">
        <v>1430</v>
      </c>
      <c r="O23" s="127"/>
      <c r="P23" s="127" t="s">
        <v>7</v>
      </c>
      <c r="Q23" s="127" t="s">
        <v>5693</v>
      </c>
      <c r="R23" s="127" t="s">
        <v>36</v>
      </c>
      <c r="S23" s="127" t="s">
        <v>55</v>
      </c>
      <c r="T23" s="127" t="s">
        <v>49</v>
      </c>
      <c r="U23" s="127" t="s">
        <v>38</v>
      </c>
      <c r="V23" s="201">
        <f t="shared" si="1"/>
        <v>40</v>
      </c>
      <c r="W23" s="127">
        <v>40</v>
      </c>
      <c r="X23" s="473" t="s">
        <v>43</v>
      </c>
      <c r="Y23" s="473" t="s">
        <v>5692</v>
      </c>
      <c r="Z23" s="137" t="s">
        <v>6052</v>
      </c>
      <c r="AA23"/>
      <c r="AB23"/>
      <c r="AC23"/>
      <c r="AD23"/>
      <c r="AE23"/>
      <c r="AF23"/>
      <c r="AG23"/>
      <c r="AH23"/>
    </row>
    <row r="24" spans="1:34" ht="50.1" customHeight="1">
      <c r="A24" s="125">
        <v>20</v>
      </c>
      <c r="B24" s="160" t="s">
        <v>849</v>
      </c>
      <c r="C24" s="103" t="s">
        <v>670</v>
      </c>
      <c r="D24" s="103" t="s">
        <v>5691</v>
      </c>
      <c r="E24" s="103" t="s">
        <v>1224</v>
      </c>
      <c r="F24" s="132" t="s">
        <v>5690</v>
      </c>
      <c r="G24" s="103" t="s">
        <v>5689</v>
      </c>
      <c r="H24" s="103" t="s">
        <v>5688</v>
      </c>
      <c r="I24" s="304">
        <f t="shared" si="0"/>
        <v>200</v>
      </c>
      <c r="J24" s="160">
        <v>0</v>
      </c>
      <c r="K24" s="160">
        <v>150</v>
      </c>
      <c r="L24" s="160">
        <v>50</v>
      </c>
      <c r="M24" s="160" t="s">
        <v>860</v>
      </c>
      <c r="N24" s="160"/>
      <c r="O24" s="160"/>
      <c r="P24" s="103" t="s">
        <v>46</v>
      </c>
      <c r="Q24" s="103" t="s">
        <v>861</v>
      </c>
      <c r="R24" s="103" t="s">
        <v>56</v>
      </c>
      <c r="S24" s="103" t="s">
        <v>862</v>
      </c>
      <c r="T24" s="103" t="s">
        <v>61</v>
      </c>
      <c r="U24" s="103" t="s">
        <v>76</v>
      </c>
      <c r="V24" s="306">
        <f t="shared" si="1"/>
        <v>4</v>
      </c>
      <c r="W24" s="103">
        <v>4</v>
      </c>
      <c r="X24" s="472" t="s">
        <v>43</v>
      </c>
      <c r="Y24" s="472" t="s">
        <v>5687</v>
      </c>
      <c r="Z24" s="137" t="s">
        <v>6144</v>
      </c>
      <c r="AA24"/>
      <c r="AB24"/>
      <c r="AC24"/>
      <c r="AD24"/>
      <c r="AE24"/>
      <c r="AF24"/>
      <c r="AG24"/>
      <c r="AH24"/>
    </row>
    <row r="25" spans="1:34" ht="50.1" customHeight="1">
      <c r="A25" s="125">
        <v>21</v>
      </c>
      <c r="B25" s="160" t="s">
        <v>847</v>
      </c>
      <c r="C25" s="160" t="s">
        <v>825</v>
      </c>
      <c r="D25" s="103" t="s">
        <v>5686</v>
      </c>
      <c r="E25" s="103" t="s">
        <v>5685</v>
      </c>
      <c r="F25" s="132" t="s">
        <v>5684</v>
      </c>
      <c r="G25" s="103" t="s">
        <v>6143</v>
      </c>
      <c r="H25" s="103" t="s">
        <v>5683</v>
      </c>
      <c r="I25" s="304">
        <f t="shared" si="0"/>
        <v>330</v>
      </c>
      <c r="J25" s="103">
        <v>180</v>
      </c>
      <c r="K25" s="103">
        <v>100</v>
      </c>
      <c r="L25" s="103">
        <v>30</v>
      </c>
      <c r="M25" s="103">
        <v>20</v>
      </c>
      <c r="N25" s="103" t="s">
        <v>5679</v>
      </c>
      <c r="O25" s="103" t="s">
        <v>5678</v>
      </c>
      <c r="P25" s="103" t="s">
        <v>98</v>
      </c>
      <c r="Q25" s="103" t="s">
        <v>5677</v>
      </c>
      <c r="R25" s="103" t="s">
        <v>5676</v>
      </c>
      <c r="S25" s="103" t="s">
        <v>5670</v>
      </c>
      <c r="T25" s="103" t="s">
        <v>49</v>
      </c>
      <c r="U25" s="103" t="s">
        <v>37</v>
      </c>
      <c r="V25" s="306">
        <f t="shared" si="1"/>
        <v>6</v>
      </c>
      <c r="W25" s="103">
        <v>6</v>
      </c>
      <c r="X25" s="472" t="s">
        <v>43</v>
      </c>
      <c r="Y25" s="472" t="s">
        <v>5682</v>
      </c>
      <c r="Z25" s="137"/>
    </row>
    <row r="26" spans="1:34" ht="50.1" customHeight="1">
      <c r="A26" s="125">
        <v>22</v>
      </c>
      <c r="B26" s="160" t="s">
        <v>847</v>
      </c>
      <c r="C26" s="160" t="s">
        <v>825</v>
      </c>
      <c r="D26" s="103" t="s">
        <v>5681</v>
      </c>
      <c r="E26" s="103" t="s">
        <v>5673</v>
      </c>
      <c r="F26" s="132" t="s">
        <v>5680</v>
      </c>
      <c r="G26" s="103" t="s">
        <v>6142</v>
      </c>
      <c r="H26" s="103" t="s">
        <v>5497</v>
      </c>
      <c r="I26" s="304">
        <f t="shared" si="0"/>
        <v>70</v>
      </c>
      <c r="J26" s="103">
        <v>40</v>
      </c>
      <c r="K26" s="103">
        <v>10</v>
      </c>
      <c r="L26" s="103">
        <v>10</v>
      </c>
      <c r="M26" s="103">
        <v>10</v>
      </c>
      <c r="N26" s="103" t="s">
        <v>5679</v>
      </c>
      <c r="O26" s="103" t="s">
        <v>5678</v>
      </c>
      <c r="P26" s="103" t="s">
        <v>98</v>
      </c>
      <c r="Q26" s="103" t="s">
        <v>5677</v>
      </c>
      <c r="R26" s="103" t="s">
        <v>5676</v>
      </c>
      <c r="S26" s="103" t="s">
        <v>5670</v>
      </c>
      <c r="T26" s="103" t="s">
        <v>49</v>
      </c>
      <c r="U26" s="103" t="s">
        <v>37</v>
      </c>
      <c r="V26" s="306">
        <f t="shared" si="1"/>
        <v>1</v>
      </c>
      <c r="W26" s="103">
        <v>1</v>
      </c>
      <c r="X26" s="472" t="s">
        <v>43</v>
      </c>
      <c r="Y26" s="472" t="s">
        <v>5675</v>
      </c>
      <c r="Z26" s="433"/>
    </row>
    <row r="27" spans="1:34" ht="50.1" customHeight="1">
      <c r="A27" s="125">
        <v>23</v>
      </c>
      <c r="B27" s="160" t="s">
        <v>847</v>
      </c>
      <c r="C27" s="160" t="s">
        <v>825</v>
      </c>
      <c r="D27" s="103" t="s">
        <v>5674</v>
      </c>
      <c r="E27" s="103" t="s">
        <v>5673</v>
      </c>
      <c r="F27" s="132" t="s">
        <v>5672</v>
      </c>
      <c r="G27" s="103" t="s">
        <v>6141</v>
      </c>
      <c r="H27" s="103" t="s">
        <v>1358</v>
      </c>
      <c r="I27" s="304">
        <f t="shared" si="0"/>
        <v>43</v>
      </c>
      <c r="J27" s="103">
        <v>0</v>
      </c>
      <c r="K27" s="103">
        <v>30</v>
      </c>
      <c r="L27" s="103">
        <v>10</v>
      </c>
      <c r="M27" s="103">
        <v>3</v>
      </c>
      <c r="N27" s="103"/>
      <c r="O27" s="103"/>
      <c r="P27" s="103" t="s">
        <v>50</v>
      </c>
      <c r="Q27" s="103" t="s">
        <v>5671</v>
      </c>
      <c r="R27" s="103" t="s">
        <v>36</v>
      </c>
      <c r="S27" s="103" t="s">
        <v>5670</v>
      </c>
      <c r="T27" s="103" t="s">
        <v>49</v>
      </c>
      <c r="U27" s="103" t="s">
        <v>37</v>
      </c>
      <c r="V27" s="306">
        <f t="shared" si="1"/>
        <v>4</v>
      </c>
      <c r="W27" s="103">
        <v>4</v>
      </c>
      <c r="X27" s="472" t="s">
        <v>43</v>
      </c>
      <c r="Y27" s="472" t="s">
        <v>5669</v>
      </c>
      <c r="Z27" s="433"/>
    </row>
    <row r="28" spans="1:34" ht="50.1" customHeight="1">
      <c r="A28" s="125">
        <v>24</v>
      </c>
      <c r="B28" s="160" t="s">
        <v>849</v>
      </c>
      <c r="C28" s="103" t="s">
        <v>670</v>
      </c>
      <c r="D28" s="103" t="s">
        <v>863</v>
      </c>
      <c r="E28" s="103" t="s">
        <v>3232</v>
      </c>
      <c r="F28" s="132" t="s">
        <v>5668</v>
      </c>
      <c r="G28" s="103" t="s">
        <v>864</v>
      </c>
      <c r="H28" s="103" t="s">
        <v>1429</v>
      </c>
      <c r="I28" s="304">
        <f t="shared" si="0"/>
        <v>50</v>
      </c>
      <c r="J28" s="103">
        <v>0</v>
      </c>
      <c r="K28" s="103">
        <v>30</v>
      </c>
      <c r="L28" s="103">
        <v>20</v>
      </c>
      <c r="M28" s="103" t="s">
        <v>860</v>
      </c>
      <c r="N28" s="103"/>
      <c r="O28" s="103"/>
      <c r="P28" s="103" t="s">
        <v>52</v>
      </c>
      <c r="Q28" s="103" t="s">
        <v>865</v>
      </c>
      <c r="R28" s="103" t="s">
        <v>56</v>
      </c>
      <c r="S28" s="103" t="s">
        <v>83</v>
      </c>
      <c r="T28" s="103" t="s">
        <v>61</v>
      </c>
      <c r="U28" s="103" t="s">
        <v>76</v>
      </c>
      <c r="V28" s="306">
        <f t="shared" si="1"/>
        <v>20</v>
      </c>
      <c r="W28" s="103">
        <v>18</v>
      </c>
      <c r="X28" s="472">
        <v>2</v>
      </c>
      <c r="Y28" s="472" t="s">
        <v>866</v>
      </c>
      <c r="Z28" s="141" t="s">
        <v>1148</v>
      </c>
    </row>
    <row r="29" spans="1:34" s="309" customFormat="1" ht="50.1" customHeight="1">
      <c r="A29" s="125">
        <v>25</v>
      </c>
      <c r="B29" s="160" t="s">
        <v>849</v>
      </c>
      <c r="C29" s="160" t="s">
        <v>670</v>
      </c>
      <c r="D29" s="103" t="s">
        <v>867</v>
      </c>
      <c r="E29" s="103" t="s">
        <v>5667</v>
      </c>
      <c r="F29" s="132" t="s">
        <v>5666</v>
      </c>
      <c r="G29" s="103" t="s">
        <v>868</v>
      </c>
      <c r="H29" s="103" t="s">
        <v>5414</v>
      </c>
      <c r="I29" s="304">
        <f t="shared" si="0"/>
        <v>20</v>
      </c>
      <c r="J29" s="160">
        <v>0</v>
      </c>
      <c r="K29" s="160">
        <v>10</v>
      </c>
      <c r="L29" s="160">
        <v>10</v>
      </c>
      <c r="M29" s="160" t="s">
        <v>860</v>
      </c>
      <c r="N29" s="160"/>
      <c r="O29" s="160"/>
      <c r="P29" s="160" t="s">
        <v>46</v>
      </c>
      <c r="Q29" s="160" t="s">
        <v>869</v>
      </c>
      <c r="R29" s="103" t="s">
        <v>56</v>
      </c>
      <c r="S29" s="103" t="s">
        <v>265</v>
      </c>
      <c r="T29" s="160" t="s">
        <v>61</v>
      </c>
      <c r="U29" s="103" t="s">
        <v>76</v>
      </c>
      <c r="V29" s="306">
        <f t="shared" si="1"/>
        <v>2</v>
      </c>
      <c r="W29" s="103">
        <v>2</v>
      </c>
      <c r="X29" s="472" t="s">
        <v>692</v>
      </c>
      <c r="Y29" s="472" t="s">
        <v>870</v>
      </c>
      <c r="Z29" s="202" t="s">
        <v>6094</v>
      </c>
    </row>
    <row r="30" spans="1:34" s="309" customFormat="1" ht="50.1" customHeight="1">
      <c r="A30" s="125">
        <v>26</v>
      </c>
      <c r="B30" s="125" t="s">
        <v>849</v>
      </c>
      <c r="C30" s="125" t="s">
        <v>5656</v>
      </c>
      <c r="D30" s="472" t="s">
        <v>5665</v>
      </c>
      <c r="E30" s="472" t="s">
        <v>5664</v>
      </c>
      <c r="F30" s="480" t="s">
        <v>5663</v>
      </c>
      <c r="G30" s="472" t="s">
        <v>5653</v>
      </c>
      <c r="H30" s="472" t="s">
        <v>3198</v>
      </c>
      <c r="I30" s="472">
        <f t="shared" si="0"/>
        <v>20</v>
      </c>
      <c r="J30" s="472">
        <v>0</v>
      </c>
      <c r="K30" s="472">
        <v>10</v>
      </c>
      <c r="L30" s="472">
        <v>10</v>
      </c>
      <c r="M30" s="472">
        <v>0</v>
      </c>
      <c r="N30" s="472"/>
      <c r="O30" s="472"/>
      <c r="P30" s="472" t="s">
        <v>48</v>
      </c>
      <c r="Q30" s="472" t="s">
        <v>5652</v>
      </c>
      <c r="R30" s="472" t="s">
        <v>36</v>
      </c>
      <c r="S30" s="472" t="s">
        <v>5651</v>
      </c>
      <c r="T30" s="472" t="s">
        <v>1293</v>
      </c>
      <c r="U30" s="472" t="s">
        <v>37</v>
      </c>
      <c r="V30" s="472">
        <f t="shared" si="1"/>
        <v>20</v>
      </c>
      <c r="W30" s="472">
        <v>20</v>
      </c>
      <c r="X30" s="472"/>
      <c r="Y30" s="472" t="s">
        <v>5650</v>
      </c>
      <c r="Z30" s="141" t="s">
        <v>1148</v>
      </c>
      <c r="AA30"/>
      <c r="AB30"/>
      <c r="AC30"/>
      <c r="AD30"/>
      <c r="AE30"/>
      <c r="AF30"/>
      <c r="AG30"/>
      <c r="AH30"/>
    </row>
    <row r="31" spans="1:34" s="404" customFormat="1" ht="50.1" customHeight="1">
      <c r="A31" s="125">
        <v>27</v>
      </c>
      <c r="B31" s="125" t="s">
        <v>847</v>
      </c>
      <c r="C31" s="125" t="s">
        <v>5656</v>
      </c>
      <c r="D31" s="472" t="s">
        <v>5662</v>
      </c>
      <c r="E31" s="472" t="s">
        <v>207</v>
      </c>
      <c r="F31" s="480" t="s">
        <v>5661</v>
      </c>
      <c r="G31" s="472" t="s">
        <v>5660</v>
      </c>
      <c r="H31" s="472" t="s">
        <v>3321</v>
      </c>
      <c r="I31" s="472">
        <f t="shared" si="0"/>
        <v>25</v>
      </c>
      <c r="J31" s="472">
        <v>0</v>
      </c>
      <c r="K31" s="472">
        <v>20</v>
      </c>
      <c r="L31" s="472">
        <v>5</v>
      </c>
      <c r="M31" s="472">
        <v>0</v>
      </c>
      <c r="N31" s="472"/>
      <c r="O31" s="472"/>
      <c r="P31" s="472" t="s">
        <v>52</v>
      </c>
      <c r="Q31" s="472" t="s">
        <v>5659</v>
      </c>
      <c r="R31" s="472" t="s">
        <v>36</v>
      </c>
      <c r="S31" s="472" t="s">
        <v>5658</v>
      </c>
      <c r="T31" s="472" t="s">
        <v>1293</v>
      </c>
      <c r="U31" s="472" t="s">
        <v>37</v>
      </c>
      <c r="V31" s="472">
        <f t="shared" si="1"/>
        <v>2</v>
      </c>
      <c r="W31" s="472">
        <v>2</v>
      </c>
      <c r="X31" s="472"/>
      <c r="Y31" s="472" t="s">
        <v>5657</v>
      </c>
      <c r="Z31" s="141" t="s">
        <v>1148</v>
      </c>
    </row>
    <row r="32" spans="1:34" s="404" customFormat="1" ht="50.1" customHeight="1">
      <c r="A32" s="125">
        <v>28</v>
      </c>
      <c r="B32" s="125" t="s">
        <v>847</v>
      </c>
      <c r="C32" s="125" t="s">
        <v>5656</v>
      </c>
      <c r="D32" s="472" t="s">
        <v>5655</v>
      </c>
      <c r="E32" s="472" t="s">
        <v>3028</v>
      </c>
      <c r="F32" s="480" t="s">
        <v>5654</v>
      </c>
      <c r="G32" s="472" t="s">
        <v>5653</v>
      </c>
      <c r="H32" s="472" t="s">
        <v>2899</v>
      </c>
      <c r="I32" s="472" t="s">
        <v>507</v>
      </c>
      <c r="J32" s="472" t="s">
        <v>507</v>
      </c>
      <c r="K32" s="472" t="s">
        <v>507</v>
      </c>
      <c r="L32" s="472" t="s">
        <v>507</v>
      </c>
      <c r="M32" s="472" t="s">
        <v>507</v>
      </c>
      <c r="N32" s="472"/>
      <c r="O32" s="472"/>
      <c r="P32" s="472" t="s">
        <v>5</v>
      </c>
      <c r="Q32" s="472" t="s">
        <v>5652</v>
      </c>
      <c r="R32" s="472" t="s">
        <v>36</v>
      </c>
      <c r="S32" s="472" t="s">
        <v>5651</v>
      </c>
      <c r="T32" s="472" t="s">
        <v>1293</v>
      </c>
      <c r="U32" s="472" t="s">
        <v>37</v>
      </c>
      <c r="V32" s="472">
        <f t="shared" si="1"/>
        <v>20</v>
      </c>
      <c r="W32" s="472">
        <v>20</v>
      </c>
      <c r="X32" s="472"/>
      <c r="Y32" s="472" t="s">
        <v>5650</v>
      </c>
      <c r="Z32" s="141" t="s">
        <v>1148</v>
      </c>
    </row>
    <row r="33" spans="1:34" ht="50.1" customHeight="1">
      <c r="A33" s="125">
        <v>29</v>
      </c>
      <c r="B33" s="160" t="s">
        <v>849</v>
      </c>
      <c r="C33" s="160" t="s">
        <v>5425</v>
      </c>
      <c r="D33" s="103" t="s">
        <v>5649</v>
      </c>
      <c r="E33" s="103" t="s">
        <v>54</v>
      </c>
      <c r="F33" s="132" t="s">
        <v>5648</v>
      </c>
      <c r="G33" s="103" t="s">
        <v>5647</v>
      </c>
      <c r="H33" s="103" t="s">
        <v>804</v>
      </c>
      <c r="I33" s="304">
        <f t="shared" ref="I33:I42" si="2">SUM(J33:M33)</f>
        <v>70</v>
      </c>
      <c r="J33" s="103">
        <v>0</v>
      </c>
      <c r="K33" s="103">
        <v>25</v>
      </c>
      <c r="L33" s="103">
        <v>45</v>
      </c>
      <c r="M33" s="103">
        <v>0</v>
      </c>
      <c r="N33" s="103"/>
      <c r="O33" s="103"/>
      <c r="P33" s="103" t="s">
        <v>98</v>
      </c>
      <c r="Q33" s="103" t="s">
        <v>5646</v>
      </c>
      <c r="R33" s="103" t="s">
        <v>36</v>
      </c>
      <c r="S33" s="103" t="s">
        <v>55</v>
      </c>
      <c r="T33" s="103" t="s">
        <v>49</v>
      </c>
      <c r="U33" s="103" t="s">
        <v>53</v>
      </c>
      <c r="V33" s="400">
        <f t="shared" si="1"/>
        <v>5.5</v>
      </c>
      <c r="W33" s="400">
        <v>4.5999999999999996</v>
      </c>
      <c r="X33" s="401">
        <v>0.9</v>
      </c>
      <c r="Y33" s="472" t="s">
        <v>5645</v>
      </c>
      <c r="Z33" s="141" t="s">
        <v>1148</v>
      </c>
    </row>
    <row r="34" spans="1:34" ht="81">
      <c r="A34" s="125">
        <v>30</v>
      </c>
      <c r="B34" s="160" t="s">
        <v>849</v>
      </c>
      <c r="C34" s="160" t="s">
        <v>5632</v>
      </c>
      <c r="D34" s="103" t="s">
        <v>5644</v>
      </c>
      <c r="E34" s="103" t="s">
        <v>5643</v>
      </c>
      <c r="F34" s="132" t="s">
        <v>5642</v>
      </c>
      <c r="G34" s="103" t="s">
        <v>5641</v>
      </c>
      <c r="H34" s="103" t="s">
        <v>5640</v>
      </c>
      <c r="I34" s="304">
        <f t="shared" si="2"/>
        <v>270</v>
      </c>
      <c r="J34" s="103">
        <v>0</v>
      </c>
      <c r="K34" s="103">
        <v>10</v>
      </c>
      <c r="L34" s="103">
        <v>260</v>
      </c>
      <c r="M34" s="103">
        <v>0</v>
      </c>
      <c r="N34" s="103"/>
      <c r="O34" s="103"/>
      <c r="P34" s="103" t="s">
        <v>98</v>
      </c>
      <c r="Q34" s="103" t="s">
        <v>52</v>
      </c>
      <c r="R34" s="103" t="s">
        <v>36</v>
      </c>
      <c r="S34" s="305" t="s">
        <v>5634</v>
      </c>
      <c r="T34" s="305" t="s">
        <v>49</v>
      </c>
      <c r="U34" s="305" t="s">
        <v>53</v>
      </c>
      <c r="V34" s="306">
        <f t="shared" si="1"/>
        <v>60</v>
      </c>
      <c r="W34" s="307">
        <v>58.5</v>
      </c>
      <c r="X34" s="303">
        <v>1.5</v>
      </c>
      <c r="Y34" s="472" t="s">
        <v>5639</v>
      </c>
      <c r="Z34" s="137" t="s">
        <v>2723</v>
      </c>
      <c r="AA34"/>
      <c r="AB34"/>
      <c r="AC34"/>
      <c r="AD34"/>
      <c r="AE34"/>
      <c r="AF34"/>
      <c r="AG34"/>
      <c r="AH34"/>
    </row>
    <row r="35" spans="1:34" s="85" customFormat="1" ht="50.1" customHeight="1">
      <c r="A35" s="126">
        <v>31</v>
      </c>
      <c r="B35" s="128" t="s">
        <v>849</v>
      </c>
      <c r="C35" s="128" t="s">
        <v>5632</v>
      </c>
      <c r="D35" s="127" t="s">
        <v>5638</v>
      </c>
      <c r="E35" s="127" t="s">
        <v>5637</v>
      </c>
      <c r="F35" s="163" t="s">
        <v>5636</v>
      </c>
      <c r="G35" s="127" t="s">
        <v>5635</v>
      </c>
      <c r="H35" s="127" t="s">
        <v>664</v>
      </c>
      <c r="I35" s="200">
        <f t="shared" si="2"/>
        <v>135</v>
      </c>
      <c r="J35" s="127">
        <v>0</v>
      </c>
      <c r="K35" s="127">
        <v>25</v>
      </c>
      <c r="L35" s="127">
        <v>110</v>
      </c>
      <c r="M35" s="127">
        <v>0</v>
      </c>
      <c r="N35" s="127"/>
      <c r="O35" s="127"/>
      <c r="P35" s="127" t="s">
        <v>7</v>
      </c>
      <c r="Q35" s="127" t="s">
        <v>7</v>
      </c>
      <c r="R35" s="127" t="s">
        <v>36</v>
      </c>
      <c r="S35" s="203" t="s">
        <v>5634</v>
      </c>
      <c r="T35" s="203" t="s">
        <v>49</v>
      </c>
      <c r="U35" s="203" t="s">
        <v>53</v>
      </c>
      <c r="V35" s="201">
        <f t="shared" si="1"/>
        <v>23</v>
      </c>
      <c r="W35" s="127">
        <v>22.5</v>
      </c>
      <c r="X35" s="473">
        <v>0.5</v>
      </c>
      <c r="Y35" s="473" t="s">
        <v>5633</v>
      </c>
      <c r="Z35" s="433" t="s">
        <v>1148</v>
      </c>
      <c r="AA35"/>
      <c r="AB35"/>
      <c r="AC35"/>
      <c r="AD35"/>
      <c r="AE35"/>
      <c r="AF35"/>
      <c r="AG35"/>
      <c r="AH35"/>
    </row>
    <row r="36" spans="1:34" ht="50.1" customHeight="1">
      <c r="A36" s="125">
        <v>32</v>
      </c>
      <c r="B36" s="160" t="s">
        <v>849</v>
      </c>
      <c r="C36" s="160" t="s">
        <v>5632</v>
      </c>
      <c r="D36" s="103" t="s">
        <v>5631</v>
      </c>
      <c r="E36" s="103" t="s">
        <v>54</v>
      </c>
      <c r="F36" s="132" t="s">
        <v>5630</v>
      </c>
      <c r="G36" s="103" t="s">
        <v>5629</v>
      </c>
      <c r="H36" s="103" t="s">
        <v>1232</v>
      </c>
      <c r="I36" s="304">
        <f t="shared" si="2"/>
        <v>100</v>
      </c>
      <c r="J36" s="103">
        <v>6.5</v>
      </c>
      <c r="K36" s="103">
        <v>3.5</v>
      </c>
      <c r="L36" s="103">
        <v>90</v>
      </c>
      <c r="M36" s="103">
        <v>0</v>
      </c>
      <c r="N36" s="103" t="s">
        <v>35</v>
      </c>
      <c r="O36" s="103" t="s">
        <v>5628</v>
      </c>
      <c r="P36" s="103" t="s">
        <v>7</v>
      </c>
      <c r="Q36" s="103" t="s">
        <v>5627</v>
      </c>
      <c r="R36" s="103" t="s">
        <v>36</v>
      </c>
      <c r="S36" s="103" t="s">
        <v>246</v>
      </c>
      <c r="T36" s="103" t="s">
        <v>49</v>
      </c>
      <c r="U36" s="103" t="s">
        <v>53</v>
      </c>
      <c r="V36" s="306">
        <f t="shared" si="1"/>
        <v>25</v>
      </c>
      <c r="W36" s="103">
        <v>24</v>
      </c>
      <c r="X36" s="472">
        <v>1</v>
      </c>
      <c r="Y36" s="472" t="s">
        <v>5626</v>
      </c>
      <c r="Z36" s="433" t="s">
        <v>1148</v>
      </c>
    </row>
    <row r="37" spans="1:34" s="85" customFormat="1" ht="50.1" customHeight="1">
      <c r="A37" s="126">
        <v>33</v>
      </c>
      <c r="B37" s="128" t="s">
        <v>847</v>
      </c>
      <c r="C37" s="128" t="s">
        <v>5501</v>
      </c>
      <c r="D37" s="127" t="s">
        <v>5625</v>
      </c>
      <c r="E37" s="127" t="s">
        <v>1009</v>
      </c>
      <c r="F37" s="163" t="s">
        <v>5624</v>
      </c>
      <c r="G37" s="127" t="s">
        <v>5623</v>
      </c>
      <c r="H37" s="127" t="s">
        <v>804</v>
      </c>
      <c r="I37" s="200">
        <f t="shared" si="2"/>
        <v>370</v>
      </c>
      <c r="J37" s="127">
        <v>0</v>
      </c>
      <c r="K37" s="127">
        <v>40</v>
      </c>
      <c r="L37" s="127">
        <v>290</v>
      </c>
      <c r="M37" s="127">
        <v>40</v>
      </c>
      <c r="N37" s="127"/>
      <c r="O37" s="127"/>
      <c r="P37" s="127" t="s">
        <v>7</v>
      </c>
      <c r="Q37" s="127" t="s">
        <v>5622</v>
      </c>
      <c r="R37" s="127" t="s">
        <v>36</v>
      </c>
      <c r="S37" s="127" t="s">
        <v>361</v>
      </c>
      <c r="T37" s="127" t="s">
        <v>49</v>
      </c>
      <c r="U37" s="127" t="s">
        <v>37</v>
      </c>
      <c r="V37" s="201">
        <f t="shared" si="1"/>
        <v>50</v>
      </c>
      <c r="W37" s="127">
        <v>50</v>
      </c>
      <c r="X37" s="473">
        <v>0</v>
      </c>
      <c r="Y37" s="473" t="s">
        <v>5621</v>
      </c>
      <c r="Z37" s="433" t="s">
        <v>1148</v>
      </c>
      <c r="AA37"/>
      <c r="AB37"/>
      <c r="AC37"/>
      <c r="AD37"/>
      <c r="AE37"/>
      <c r="AF37"/>
      <c r="AG37"/>
      <c r="AH37"/>
    </row>
    <row r="38" spans="1:34" s="86" customFormat="1" ht="50.1" customHeight="1">
      <c r="A38" s="126">
        <v>34</v>
      </c>
      <c r="B38" s="128" t="s">
        <v>847</v>
      </c>
      <c r="C38" s="128" t="s">
        <v>5501</v>
      </c>
      <c r="D38" s="128" t="s">
        <v>5620</v>
      </c>
      <c r="E38" s="127" t="s">
        <v>5619</v>
      </c>
      <c r="F38" s="163" t="s">
        <v>5618</v>
      </c>
      <c r="G38" s="127" t="s">
        <v>5617</v>
      </c>
      <c r="H38" s="127" t="s">
        <v>1357</v>
      </c>
      <c r="I38" s="200">
        <f t="shared" si="2"/>
        <v>25</v>
      </c>
      <c r="J38" s="128">
        <v>0</v>
      </c>
      <c r="K38" s="128">
        <v>20</v>
      </c>
      <c r="L38" s="128">
        <v>0</v>
      </c>
      <c r="M38" s="128">
        <v>5</v>
      </c>
      <c r="N38" s="128"/>
      <c r="O38" s="128"/>
      <c r="P38" s="127" t="s">
        <v>48</v>
      </c>
      <c r="Q38" s="127" t="s">
        <v>5616</v>
      </c>
      <c r="R38" s="127" t="s">
        <v>36</v>
      </c>
      <c r="S38" s="127" t="s">
        <v>2</v>
      </c>
      <c r="T38" s="127" t="s">
        <v>49</v>
      </c>
      <c r="U38" s="127" t="s">
        <v>38</v>
      </c>
      <c r="V38" s="127">
        <f t="shared" si="1"/>
        <v>5</v>
      </c>
      <c r="W38" s="127">
        <v>5</v>
      </c>
      <c r="X38" s="473">
        <v>0</v>
      </c>
      <c r="Y38" s="473" t="s">
        <v>5615</v>
      </c>
      <c r="Z38" s="202" t="s">
        <v>1148</v>
      </c>
    </row>
    <row r="39" spans="1:34" s="85" customFormat="1" ht="108">
      <c r="A39" s="126">
        <v>35</v>
      </c>
      <c r="B39" s="128" t="s">
        <v>847</v>
      </c>
      <c r="C39" s="128" t="s">
        <v>5614</v>
      </c>
      <c r="D39" s="127" t="s">
        <v>5613</v>
      </c>
      <c r="E39" s="127" t="s">
        <v>461</v>
      </c>
      <c r="F39" s="163" t="s">
        <v>5612</v>
      </c>
      <c r="G39" s="127" t="s">
        <v>5611</v>
      </c>
      <c r="H39" s="127" t="s">
        <v>5610</v>
      </c>
      <c r="I39" s="200">
        <f t="shared" si="2"/>
        <v>465</v>
      </c>
      <c r="J39" s="127">
        <v>0</v>
      </c>
      <c r="K39" s="127">
        <v>45</v>
      </c>
      <c r="L39" s="127">
        <v>320</v>
      </c>
      <c r="M39" s="127">
        <v>100</v>
      </c>
      <c r="N39" s="127"/>
      <c r="O39" s="127"/>
      <c r="P39" s="127" t="s">
        <v>46</v>
      </c>
      <c r="Q39" s="127" t="s">
        <v>5609</v>
      </c>
      <c r="R39" s="127" t="s">
        <v>36</v>
      </c>
      <c r="S39" s="127" t="s">
        <v>199</v>
      </c>
      <c r="T39" s="127" t="s">
        <v>5608</v>
      </c>
      <c r="U39" s="127" t="s">
        <v>5607</v>
      </c>
      <c r="V39" s="201">
        <f t="shared" si="1"/>
        <v>176</v>
      </c>
      <c r="W39" s="127">
        <v>176</v>
      </c>
      <c r="X39" s="473">
        <v>0</v>
      </c>
      <c r="Y39" s="473" t="s">
        <v>3332</v>
      </c>
      <c r="Z39" s="137" t="s">
        <v>6022</v>
      </c>
      <c r="AA39"/>
      <c r="AB39"/>
      <c r="AC39"/>
      <c r="AD39"/>
      <c r="AE39"/>
      <c r="AF39"/>
      <c r="AG39"/>
      <c r="AH39"/>
    </row>
    <row r="40" spans="1:34" ht="50.1" customHeight="1">
      <c r="A40" s="125">
        <v>36</v>
      </c>
      <c r="B40" s="125" t="s">
        <v>849</v>
      </c>
      <c r="C40" s="125" t="s">
        <v>5606</v>
      </c>
      <c r="D40" s="472" t="s">
        <v>5605</v>
      </c>
      <c r="E40" s="472" t="s">
        <v>5604</v>
      </c>
      <c r="F40" s="480" t="s">
        <v>5603</v>
      </c>
      <c r="G40" s="472" t="s">
        <v>5602</v>
      </c>
      <c r="H40" s="472" t="s">
        <v>5497</v>
      </c>
      <c r="I40" s="308">
        <f t="shared" si="2"/>
        <v>70</v>
      </c>
      <c r="J40" s="472">
        <v>0</v>
      </c>
      <c r="K40" s="472">
        <v>20</v>
      </c>
      <c r="L40" s="472">
        <v>50</v>
      </c>
      <c r="M40" s="472">
        <v>0</v>
      </c>
      <c r="N40" s="472"/>
      <c r="O40" s="472"/>
      <c r="P40" s="472" t="s">
        <v>48</v>
      </c>
      <c r="Q40" s="472" t="s">
        <v>4036</v>
      </c>
      <c r="R40" s="472" t="s">
        <v>36</v>
      </c>
      <c r="S40" s="472" t="s">
        <v>199</v>
      </c>
      <c r="T40" s="472" t="s">
        <v>49</v>
      </c>
      <c r="U40" s="472" t="s">
        <v>38</v>
      </c>
      <c r="V40" s="474">
        <f t="shared" si="1"/>
        <v>5.5</v>
      </c>
      <c r="W40" s="472">
        <v>5</v>
      </c>
      <c r="X40" s="472">
        <v>0.5</v>
      </c>
      <c r="Y40" s="472" t="s">
        <v>64</v>
      </c>
      <c r="Z40" s="137" t="s">
        <v>5601</v>
      </c>
      <c r="AA40"/>
      <c r="AB40"/>
      <c r="AC40"/>
      <c r="AD40"/>
      <c r="AE40"/>
      <c r="AF40"/>
      <c r="AG40"/>
      <c r="AH40"/>
    </row>
    <row r="41" spans="1:34" s="310" customFormat="1" ht="50.1" customHeight="1">
      <c r="A41" s="125">
        <v>37</v>
      </c>
      <c r="B41" s="125" t="s">
        <v>847</v>
      </c>
      <c r="C41" s="125" t="s">
        <v>5600</v>
      </c>
      <c r="D41" s="472" t="s">
        <v>5599</v>
      </c>
      <c r="E41" s="472" t="s">
        <v>942</v>
      </c>
      <c r="F41" s="480" t="s">
        <v>5598</v>
      </c>
      <c r="G41" s="472" t="s">
        <v>5597</v>
      </c>
      <c r="H41" s="472" t="s">
        <v>5596</v>
      </c>
      <c r="I41" s="308">
        <f t="shared" si="2"/>
        <v>280</v>
      </c>
      <c r="J41" s="472">
        <v>0</v>
      </c>
      <c r="K41" s="472">
        <v>30</v>
      </c>
      <c r="L41" s="472">
        <v>250</v>
      </c>
      <c r="M41" s="472">
        <v>0</v>
      </c>
      <c r="N41" s="472"/>
      <c r="O41" s="472"/>
      <c r="P41" s="472" t="s">
        <v>5</v>
      </c>
      <c r="Q41" s="472" t="s">
        <v>5595</v>
      </c>
      <c r="R41" s="472" t="s">
        <v>36</v>
      </c>
      <c r="S41" s="472" t="s">
        <v>199</v>
      </c>
      <c r="T41" s="472" t="s">
        <v>49</v>
      </c>
      <c r="U41" s="472" t="s">
        <v>37</v>
      </c>
      <c r="V41" s="474">
        <f t="shared" si="1"/>
        <v>180</v>
      </c>
      <c r="W41" s="472">
        <v>180</v>
      </c>
      <c r="X41" s="472"/>
      <c r="Y41" s="472" t="s">
        <v>5594</v>
      </c>
      <c r="Z41" s="137" t="s">
        <v>1148</v>
      </c>
      <c r="AA41"/>
      <c r="AB41"/>
      <c r="AC41"/>
      <c r="AD41"/>
      <c r="AE41"/>
      <c r="AF41"/>
      <c r="AG41"/>
      <c r="AH41"/>
    </row>
    <row r="42" spans="1:34" s="407" customFormat="1" ht="50.1" customHeight="1" thickBot="1">
      <c r="A42" s="193">
        <v>38</v>
      </c>
      <c r="B42" s="193" t="s">
        <v>849</v>
      </c>
      <c r="C42" s="193" t="s">
        <v>871</v>
      </c>
      <c r="D42" s="194" t="s">
        <v>872</v>
      </c>
      <c r="E42" s="194" t="s">
        <v>1224</v>
      </c>
      <c r="F42" s="238" t="s">
        <v>5593</v>
      </c>
      <c r="G42" s="194" t="s">
        <v>873</v>
      </c>
      <c r="H42" s="194" t="s">
        <v>1428</v>
      </c>
      <c r="I42" s="405">
        <f t="shared" si="2"/>
        <v>550</v>
      </c>
      <c r="J42" s="194">
        <v>0</v>
      </c>
      <c r="K42" s="194">
        <v>100</v>
      </c>
      <c r="L42" s="194">
        <v>450</v>
      </c>
      <c r="M42" s="194">
        <v>0</v>
      </c>
      <c r="N42" s="194"/>
      <c r="O42" s="194"/>
      <c r="P42" s="194" t="s">
        <v>46</v>
      </c>
      <c r="Q42" s="194" t="s">
        <v>5592</v>
      </c>
      <c r="R42" s="194" t="s">
        <v>36</v>
      </c>
      <c r="S42" s="194" t="s">
        <v>199</v>
      </c>
      <c r="T42" s="194" t="s">
        <v>49</v>
      </c>
      <c r="U42" s="194" t="s">
        <v>37</v>
      </c>
      <c r="V42" s="406">
        <f t="shared" si="1"/>
        <v>60</v>
      </c>
      <c r="W42" s="194">
        <v>60</v>
      </c>
      <c r="X42" s="194"/>
      <c r="Y42" s="194" t="s">
        <v>5591</v>
      </c>
      <c r="Z42" s="159" t="s">
        <v>1148</v>
      </c>
      <c r="AA42"/>
      <c r="AB42"/>
      <c r="AC42"/>
      <c r="AD42"/>
      <c r="AE42"/>
      <c r="AF42"/>
      <c r="AG42"/>
      <c r="AH42"/>
    </row>
    <row r="43" spans="1:34" ht="36.75" customHeight="1">
      <c r="F43" s="310"/>
      <c r="AA43"/>
      <c r="AB43"/>
      <c r="AC43"/>
      <c r="AD43"/>
      <c r="AE43"/>
      <c r="AF43"/>
      <c r="AG43"/>
      <c r="AH43"/>
    </row>
    <row r="44" spans="1:34" ht="36.75" customHeight="1">
      <c r="F44" s="310"/>
    </row>
    <row r="45" spans="1:34" ht="36.75" customHeight="1">
      <c r="F45" s="310"/>
    </row>
    <row r="46" spans="1:34" ht="36.75" customHeight="1">
      <c r="F46" s="310"/>
    </row>
    <row r="47" spans="1:34" s="31" customFormat="1" ht="36.75" customHeight="1">
      <c r="A47" s="29"/>
      <c r="B47" s="30" t="s">
        <v>667</v>
      </c>
      <c r="F47" s="178"/>
      <c r="P47" s="29" t="s">
        <v>98</v>
      </c>
      <c r="Q47" s="29"/>
      <c r="T47" s="29"/>
      <c r="Z47" s="170"/>
    </row>
    <row r="48" spans="1:34" s="31" customFormat="1" ht="36.75" customHeight="1">
      <c r="A48" s="29"/>
      <c r="B48" s="30" t="s">
        <v>4378</v>
      </c>
      <c r="F48" s="178"/>
      <c r="P48" s="29" t="s">
        <v>7</v>
      </c>
      <c r="Q48" s="29"/>
      <c r="T48" s="29"/>
      <c r="Z48" s="170"/>
    </row>
    <row r="49" spans="1:26" s="31" customFormat="1">
      <c r="A49" s="29"/>
      <c r="B49" s="30" t="s">
        <v>847</v>
      </c>
      <c r="F49" s="178"/>
      <c r="P49" s="29" t="s">
        <v>5</v>
      </c>
      <c r="Q49" s="29"/>
      <c r="T49" s="29"/>
      <c r="Z49" s="170"/>
    </row>
    <row r="50" spans="1:26" s="31" customFormat="1">
      <c r="A50" s="29"/>
      <c r="B50" s="30" t="s">
        <v>4377</v>
      </c>
      <c r="F50" s="178"/>
      <c r="P50" s="29" t="s">
        <v>6</v>
      </c>
      <c r="Q50" s="29"/>
      <c r="T50" s="29"/>
      <c r="Z50" s="170"/>
    </row>
    <row r="51" spans="1:26" s="31" customFormat="1">
      <c r="A51" s="29"/>
      <c r="B51" s="30" t="s">
        <v>4376</v>
      </c>
      <c r="F51" s="178"/>
      <c r="P51" s="29" t="s">
        <v>31</v>
      </c>
      <c r="Q51" s="29"/>
      <c r="T51" s="29"/>
      <c r="Z51" s="170"/>
    </row>
    <row r="52" spans="1:26" s="355" customFormat="1">
      <c r="A52" s="369"/>
      <c r="B52" s="370" t="s">
        <v>4375</v>
      </c>
      <c r="F52" s="422"/>
      <c r="P52" s="369" t="s">
        <v>2</v>
      </c>
      <c r="Q52" s="369"/>
      <c r="T52" s="369"/>
      <c r="Z52" s="106"/>
    </row>
    <row r="53" spans="1:26" s="355" customFormat="1">
      <c r="A53" s="369"/>
      <c r="B53" s="370" t="s">
        <v>4374</v>
      </c>
      <c r="F53" s="422"/>
      <c r="P53" s="369"/>
      <c r="Q53" s="369"/>
      <c r="T53" s="369"/>
      <c r="Z53" s="106"/>
    </row>
    <row r="54" spans="1:26" s="355" customFormat="1">
      <c r="A54" s="369"/>
      <c r="B54" s="370" t="s">
        <v>160</v>
      </c>
      <c r="F54" s="422"/>
      <c r="P54" s="369"/>
      <c r="Q54" s="369"/>
      <c r="T54" s="369"/>
      <c r="Z54" s="106"/>
    </row>
    <row r="55" spans="1:26" s="355" customFormat="1">
      <c r="A55" s="369"/>
      <c r="B55" s="370" t="s">
        <v>4373</v>
      </c>
      <c r="F55" s="178"/>
      <c r="P55" s="369"/>
      <c r="Q55" s="369"/>
      <c r="T55" s="369"/>
      <c r="Z55" s="106"/>
    </row>
    <row r="56" spans="1:26" s="31" customFormat="1">
      <c r="A56" s="29"/>
      <c r="B56" s="30" t="s">
        <v>32</v>
      </c>
      <c r="F56" s="178"/>
      <c r="P56" s="29"/>
      <c r="Q56" s="29"/>
      <c r="T56" s="29"/>
      <c r="Z56" s="170"/>
    </row>
    <row r="57" spans="1:26" s="31" customFormat="1">
      <c r="A57" s="29"/>
      <c r="B57" s="30" t="s">
        <v>874</v>
      </c>
      <c r="F57" s="178"/>
      <c r="Z57" s="170"/>
    </row>
    <row r="58" spans="1:26" s="355" customFormat="1">
      <c r="A58" s="369"/>
      <c r="B58" s="370" t="s">
        <v>3316</v>
      </c>
      <c r="F58" s="422"/>
      <c r="Z58" s="106"/>
    </row>
    <row r="59" spans="1:26" s="355" customFormat="1">
      <c r="A59" s="369"/>
      <c r="B59" s="370" t="s">
        <v>3566</v>
      </c>
      <c r="F59" s="178"/>
      <c r="Z59" s="106"/>
    </row>
    <row r="60" spans="1:26" s="355" customFormat="1">
      <c r="A60" s="369"/>
      <c r="B60" s="370" t="s">
        <v>875</v>
      </c>
      <c r="F60" s="178"/>
      <c r="Z60" s="106"/>
    </row>
    <row r="61" spans="1:26" s="79" customFormat="1">
      <c r="A61" s="174"/>
      <c r="B61" s="175"/>
      <c r="F61" s="179"/>
      <c r="Z61" s="170"/>
    </row>
    <row r="62" spans="1:26" s="309" customFormat="1">
      <c r="A62" s="371"/>
      <c r="B62" s="423"/>
      <c r="F62" s="424"/>
      <c r="Z62" s="106"/>
    </row>
    <row r="63" spans="1:26" s="309" customFormat="1">
      <c r="A63" s="371"/>
      <c r="B63" s="423"/>
      <c r="F63" s="424"/>
      <c r="Z63" s="106"/>
    </row>
    <row r="64" spans="1:26" s="79" customFormat="1">
      <c r="A64" s="174"/>
      <c r="B64" s="174"/>
      <c r="C64" s="174"/>
      <c r="F64" s="179"/>
      <c r="Z64" s="170"/>
    </row>
    <row r="65" spans="1:26" s="309" customFormat="1">
      <c r="A65" s="371"/>
      <c r="B65" s="371"/>
      <c r="C65" s="371"/>
      <c r="F65" s="179"/>
      <c r="Z65" s="106"/>
    </row>
    <row r="66" spans="1:26" s="79" customFormat="1">
      <c r="A66" s="174"/>
      <c r="B66" s="174"/>
      <c r="C66" s="174"/>
      <c r="F66" s="179"/>
      <c r="Z66" s="170"/>
    </row>
    <row r="67" spans="1:26" s="309" customFormat="1">
      <c r="A67" s="371"/>
      <c r="B67" s="371"/>
      <c r="C67" s="371"/>
      <c r="F67" s="179"/>
      <c r="Z67" s="106"/>
    </row>
    <row r="68" spans="1:26" s="309" customFormat="1">
      <c r="A68" s="371"/>
      <c r="B68" s="371"/>
      <c r="C68" s="371"/>
      <c r="F68" s="424"/>
      <c r="Z68" s="106"/>
    </row>
    <row r="69" spans="1:26" s="79" customFormat="1">
      <c r="A69" s="174"/>
      <c r="B69" s="174"/>
      <c r="C69" s="174"/>
      <c r="F69" s="179"/>
      <c r="Z69" s="170"/>
    </row>
    <row r="70" spans="1:26" s="309" customFormat="1">
      <c r="A70" s="371"/>
      <c r="B70" s="371"/>
      <c r="C70" s="371"/>
      <c r="F70" s="179"/>
      <c r="Z70" s="106"/>
    </row>
    <row r="71" spans="1:26" s="79" customFormat="1">
      <c r="A71" s="174"/>
      <c r="B71" s="174"/>
      <c r="C71" s="174"/>
      <c r="F71" s="179"/>
      <c r="Z71" s="170"/>
    </row>
    <row r="72" spans="1:26" s="79" customFormat="1">
      <c r="A72" s="174"/>
      <c r="B72" s="174"/>
      <c r="C72" s="174"/>
      <c r="F72" s="179"/>
      <c r="Z72" s="170"/>
    </row>
    <row r="73" spans="1:26" s="309" customFormat="1">
      <c r="A73" s="371"/>
      <c r="B73" s="371"/>
      <c r="C73" s="371"/>
      <c r="F73" s="179"/>
      <c r="Z73" s="106"/>
    </row>
    <row r="74" spans="1:26" s="309" customFormat="1">
      <c r="A74" s="371"/>
      <c r="B74" s="371"/>
      <c r="C74" s="371"/>
      <c r="F74" s="179"/>
      <c r="Z74" s="106"/>
    </row>
    <row r="75" spans="1:26" s="309" customFormat="1">
      <c r="A75" s="371"/>
      <c r="B75" s="371"/>
      <c r="C75" s="371"/>
      <c r="F75" s="179"/>
      <c r="Z75" s="106"/>
    </row>
    <row r="76" spans="1:26" s="79" customFormat="1">
      <c r="A76" s="174"/>
      <c r="B76" s="174"/>
      <c r="C76" s="174"/>
      <c r="F76" s="179"/>
      <c r="Z76" s="170"/>
    </row>
    <row r="77" spans="1:26" s="79" customFormat="1">
      <c r="A77" s="174"/>
      <c r="B77" s="174"/>
      <c r="C77" s="174"/>
      <c r="F77" s="179"/>
      <c r="Z77" s="170"/>
    </row>
    <row r="78" spans="1:26" s="309" customFormat="1">
      <c r="A78" s="371"/>
      <c r="B78" s="371"/>
      <c r="C78" s="371"/>
      <c r="F78" s="424"/>
      <c r="Z78" s="106"/>
    </row>
    <row r="79" spans="1:26" s="79" customFormat="1">
      <c r="A79" s="174"/>
      <c r="B79" s="174"/>
      <c r="C79" s="174"/>
      <c r="F79" s="179"/>
      <c r="Z79" s="170"/>
    </row>
    <row r="80" spans="1:26" s="309" customFormat="1">
      <c r="A80" s="371"/>
      <c r="B80" s="371"/>
      <c r="C80" s="371"/>
      <c r="F80" s="179"/>
      <c r="Z80" s="106"/>
    </row>
    <row r="81" spans="1:26" s="79" customFormat="1">
      <c r="A81" s="174"/>
      <c r="B81" s="174"/>
      <c r="C81" s="174"/>
      <c r="F81" s="179"/>
      <c r="Z81" s="170"/>
    </row>
    <row r="82" spans="1:26" s="79" customFormat="1">
      <c r="A82" s="174"/>
      <c r="B82" s="174"/>
      <c r="C82" s="174"/>
      <c r="F82" s="179"/>
      <c r="Z82" s="170"/>
    </row>
    <row r="83" spans="1:26"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</row>
    <row r="84" spans="1:26" s="171" customFormat="1">
      <c r="A84" s="173"/>
      <c r="B84" s="173"/>
      <c r="C84" s="173"/>
      <c r="F84" s="177"/>
      <c r="Z84" s="170"/>
    </row>
    <row r="85" spans="1:26">
      <c r="F85" s="310"/>
    </row>
    <row r="88" spans="1:26">
      <c r="F88" s="310"/>
    </row>
    <row r="94" spans="1:26">
      <c r="F94" s="310"/>
    </row>
    <row r="95" spans="1:26">
      <c r="F95" s="310"/>
    </row>
  </sheetData>
  <autoFilter ref="C4:Z42"/>
  <mergeCells count="4">
    <mergeCell ref="A1:X2"/>
    <mergeCell ref="I3:M3"/>
    <mergeCell ref="N3:O3"/>
    <mergeCell ref="V3:X3"/>
  </mergeCells>
  <phoneticPr fontId="23" type="noConversion"/>
  <dataValidations count="23">
    <dataValidation type="list" allowBlank="1" showInputMessage="1" showErrorMessage="1" sqref="B11">
      <formula1>$B$13:$B$26</formula1>
    </dataValidation>
    <dataValidation type="list" allowBlank="1" showInputMessage="1" showErrorMessage="1" sqref="B30:B32">
      <formula1>$B$190:$B$206</formula1>
    </dataValidation>
    <dataValidation type="list" allowBlank="1" showInputMessage="1" showErrorMessage="1" sqref="P30">
      <formula1>$P$190:$P$195</formula1>
    </dataValidation>
    <dataValidation type="list" allowBlank="1" showInputMessage="1" showErrorMessage="1" sqref="P31:P32">
      <formula1>$P$191:$P$196</formula1>
    </dataValidation>
    <dataValidation type="list" allowBlank="1" showInputMessage="1" showErrorMessage="1" sqref="P38">
      <formula1>$P$73:$P$78</formula1>
    </dataValidation>
    <dataValidation type="list" allowBlank="1" showInputMessage="1" showErrorMessage="1" sqref="P42">
      <formula1>$N$45:$N$50</formula1>
    </dataValidation>
    <dataValidation type="list" allowBlank="1" showInputMessage="1" showErrorMessage="1" sqref="B37">
      <formula1>$B$6:$B$19</formula1>
    </dataValidation>
    <dataValidation type="list" allowBlank="1" showInputMessage="1" showErrorMessage="1" sqref="P37">
      <formula1>$P$6:$P$11</formula1>
    </dataValidation>
    <dataValidation type="list" allowBlank="1" showInputMessage="1" showErrorMessage="1" sqref="P34:Q35">
      <formula1>$P$8:$P$12</formula1>
    </dataValidation>
    <dataValidation type="list" allowBlank="1" showInputMessage="1" showErrorMessage="1" sqref="B34:B35">
      <formula1>$B$8:$B$12</formula1>
    </dataValidation>
    <dataValidation type="list" allowBlank="1" showInputMessage="1" showErrorMessage="1" sqref="P36">
      <formula1>$P$11:$P$14</formula1>
    </dataValidation>
    <dataValidation type="list" allowBlank="1" showInputMessage="1" showErrorMessage="1" sqref="B36">
      <formula1>$B$11:$B$22</formula1>
    </dataValidation>
    <dataValidation type="list" showInputMessage="1" showErrorMessage="1" sqref="B22">
      <formula1>#REF!</formula1>
    </dataValidation>
    <dataValidation type="list" allowBlank="1" showInputMessage="1" showErrorMessage="1" sqref="P40">
      <formula1>$P$51:$P$56</formula1>
    </dataValidation>
    <dataValidation type="list" allowBlank="1" showInputMessage="1" showErrorMessage="1" sqref="B40">
      <formula1>$B$51:$B$67</formula1>
    </dataValidation>
    <dataValidation type="list" allowBlank="1" showInputMessage="1" showErrorMessage="1" sqref="P19 P41">
      <formula1>$P$48:$P$53</formula1>
    </dataValidation>
    <dataValidation type="list" showInputMessage="1" showErrorMessage="1" sqref="B41 B19 B38">
      <formula1>$B$48:$B$64</formula1>
    </dataValidation>
    <dataValidation type="list" showInputMessage="1" showErrorMessage="1" sqref="B15:B18">
      <formula1>$B$47:$B$63</formula1>
    </dataValidation>
    <dataValidation type="list" allowBlank="1" showInputMessage="1" showErrorMessage="1" sqref="P10">
      <formula1>$P$49:$P$54</formula1>
    </dataValidation>
    <dataValidation type="list" allowBlank="1" showInputMessage="1" showErrorMessage="1" sqref="P6:P9 P39 P11:P12 P14">
      <formula1>$P$50:$P$55</formula1>
    </dataValidation>
    <dataValidation type="list" allowBlank="1" showInputMessage="1" showErrorMessage="1" sqref="B6:B10 B39 B12 B14">
      <formula1>$B$50:$B$66</formula1>
    </dataValidation>
    <dataValidation type="list" allowBlank="1" showInputMessage="1" showErrorMessage="1" sqref="B5">
      <formula1>$B$73:$B$89</formula1>
    </dataValidation>
    <dataValidation type="list" allowBlank="1" showInputMessage="1" showErrorMessage="1" sqref="P5 B42 B23:B29 P20:P21 B20:B21 P23:P29 P13 P17:P18 B13 N33 B33 P33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5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15.44140625" style="332" bestFit="1" customWidth="1"/>
    <col min="4" max="4" width="17.6640625" style="89" customWidth="1"/>
    <col min="5" max="5" width="12.109375" style="89" customWidth="1"/>
    <col min="6" max="6" width="44.44140625" style="1" customWidth="1"/>
    <col min="7" max="7" width="26.21875" style="89" customWidth="1"/>
    <col min="8" max="8" width="12.21875" style="89" customWidth="1"/>
    <col min="9" max="9" width="14.21875" style="89" customWidth="1"/>
    <col min="10" max="13" width="7.6640625" style="89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5" width="12.21875" style="89" customWidth="1"/>
    <col min="26" max="26" width="15.109375" style="105" customWidth="1"/>
    <col min="27" max="16384" width="8.88671875" style="89"/>
  </cols>
  <sheetData>
    <row r="1" spans="1:30" s="1" customFormat="1">
      <c r="A1" s="512" t="s">
        <v>34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Z1" s="107"/>
      <c r="AA1"/>
      <c r="AB1"/>
      <c r="AC1"/>
      <c r="AD1"/>
    </row>
    <row r="2" spans="1:30" s="3" customFormat="1" ht="14.25" thickBo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Z2" s="107"/>
      <c r="AA2"/>
      <c r="AB2"/>
      <c r="AC2"/>
      <c r="AD2"/>
    </row>
    <row r="3" spans="1:30" s="3" customFormat="1" ht="17.25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  <c r="Z3" s="107"/>
      <c r="AA3"/>
      <c r="AB3"/>
      <c r="AC3"/>
      <c r="AD3"/>
    </row>
    <row r="4" spans="1:30" s="1" customFormat="1" ht="64.5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124" t="s">
        <v>1152</v>
      </c>
      <c r="AA4"/>
      <c r="AB4"/>
      <c r="AC4"/>
      <c r="AD4"/>
    </row>
    <row r="5" spans="1:30" ht="108">
      <c r="A5" s="125">
        <v>1</v>
      </c>
      <c r="B5" s="125" t="s">
        <v>4377</v>
      </c>
      <c r="C5" s="125" t="s">
        <v>668</v>
      </c>
      <c r="D5" s="472" t="s">
        <v>5887</v>
      </c>
      <c r="E5" s="472" t="s">
        <v>5886</v>
      </c>
      <c r="F5" s="135" t="s">
        <v>5885</v>
      </c>
      <c r="G5" s="472" t="s">
        <v>5884</v>
      </c>
      <c r="H5" s="472" t="s">
        <v>3516</v>
      </c>
      <c r="I5" s="155">
        <v>2658</v>
      </c>
      <c r="J5" s="155">
        <v>58</v>
      </c>
      <c r="K5" s="155">
        <v>1100</v>
      </c>
      <c r="L5" s="155"/>
      <c r="M5" s="155">
        <v>1500</v>
      </c>
      <c r="N5" s="472" t="s">
        <v>35</v>
      </c>
      <c r="O5" s="472" t="s">
        <v>5883</v>
      </c>
      <c r="P5" s="472" t="s">
        <v>7</v>
      </c>
      <c r="Q5" s="472" t="s">
        <v>5882</v>
      </c>
      <c r="R5" s="472" t="s">
        <v>36</v>
      </c>
      <c r="S5" s="472" t="s">
        <v>5881</v>
      </c>
      <c r="T5" s="472"/>
      <c r="U5" s="472" t="s">
        <v>37</v>
      </c>
      <c r="V5" s="180">
        <v>155</v>
      </c>
      <c r="W5" s="180">
        <v>104</v>
      </c>
      <c r="X5" s="180">
        <v>51</v>
      </c>
      <c r="Y5" s="472" t="s">
        <v>823</v>
      </c>
      <c r="Z5" s="137" t="s">
        <v>6095</v>
      </c>
      <c r="AA5"/>
      <c r="AB5"/>
      <c r="AC5"/>
      <c r="AD5"/>
    </row>
    <row r="6" spans="1:30" s="1" customFormat="1" ht="67.5">
      <c r="A6" s="125">
        <v>2</v>
      </c>
      <c r="B6" s="125" t="s">
        <v>4377</v>
      </c>
      <c r="C6" s="472" t="s">
        <v>668</v>
      </c>
      <c r="D6" s="472" t="s">
        <v>5880</v>
      </c>
      <c r="E6" s="472" t="s">
        <v>1018</v>
      </c>
      <c r="F6" s="480" t="s">
        <v>5879</v>
      </c>
      <c r="G6" s="472" t="s">
        <v>5874</v>
      </c>
      <c r="H6" s="472" t="s">
        <v>1443</v>
      </c>
      <c r="I6" s="155">
        <v>500</v>
      </c>
      <c r="J6" s="155"/>
      <c r="K6" s="155">
        <v>500</v>
      </c>
      <c r="L6" s="155"/>
      <c r="M6" s="155"/>
      <c r="N6" s="472"/>
      <c r="O6" s="472"/>
      <c r="P6" s="472" t="s">
        <v>31</v>
      </c>
      <c r="Q6" s="472" t="s">
        <v>5873</v>
      </c>
      <c r="R6" s="472" t="s">
        <v>36</v>
      </c>
      <c r="S6" s="472" t="s">
        <v>5872</v>
      </c>
      <c r="T6" s="472" t="s">
        <v>49</v>
      </c>
      <c r="U6" s="472" t="s">
        <v>37</v>
      </c>
      <c r="V6" s="472">
        <v>60</v>
      </c>
      <c r="W6" s="472">
        <v>59</v>
      </c>
      <c r="X6" s="472">
        <v>1</v>
      </c>
      <c r="Y6" s="472" t="s">
        <v>5873</v>
      </c>
      <c r="Z6" s="137" t="s">
        <v>6001</v>
      </c>
    </row>
    <row r="7" spans="1:30" s="1" customFormat="1" ht="54">
      <c r="A7" s="125">
        <v>3</v>
      </c>
      <c r="B7" s="125" t="s">
        <v>4377</v>
      </c>
      <c r="C7" s="125" t="s">
        <v>668</v>
      </c>
      <c r="D7" s="472" t="s">
        <v>5878</v>
      </c>
      <c r="E7" s="472" t="s">
        <v>1439</v>
      </c>
      <c r="F7" s="480" t="s">
        <v>5877</v>
      </c>
      <c r="G7" s="472" t="s">
        <v>5874</v>
      </c>
      <c r="H7" s="472" t="s">
        <v>420</v>
      </c>
      <c r="I7" s="155">
        <v>300</v>
      </c>
      <c r="J7" s="155"/>
      <c r="K7" s="155">
        <v>300</v>
      </c>
      <c r="L7" s="155"/>
      <c r="M7" s="155"/>
      <c r="N7" s="472"/>
      <c r="O7" s="472"/>
      <c r="P7" s="472" t="s">
        <v>31</v>
      </c>
      <c r="Q7" s="472" t="s">
        <v>1307</v>
      </c>
      <c r="R7" s="472" t="s">
        <v>36</v>
      </c>
      <c r="S7" s="472" t="s">
        <v>5872</v>
      </c>
      <c r="T7" s="472" t="s">
        <v>49</v>
      </c>
      <c r="U7" s="472" t="s">
        <v>37</v>
      </c>
      <c r="V7" s="472">
        <v>30</v>
      </c>
      <c r="W7" s="472">
        <v>30</v>
      </c>
      <c r="X7" s="472"/>
      <c r="Y7" s="472" t="s">
        <v>1307</v>
      </c>
      <c r="Z7" s="164"/>
    </row>
    <row r="8" spans="1:30" ht="50.1" customHeight="1">
      <c r="A8" s="125">
        <v>4</v>
      </c>
      <c r="B8" s="125" t="s">
        <v>4377</v>
      </c>
      <c r="C8" s="125" t="s">
        <v>668</v>
      </c>
      <c r="D8" s="472" t="s">
        <v>5876</v>
      </c>
      <c r="E8" s="472" t="s">
        <v>1439</v>
      </c>
      <c r="F8" s="135" t="s">
        <v>5875</v>
      </c>
      <c r="G8" s="472" t="s">
        <v>5874</v>
      </c>
      <c r="H8" s="472" t="s">
        <v>1443</v>
      </c>
      <c r="I8" s="155">
        <v>200</v>
      </c>
      <c r="J8" s="155"/>
      <c r="K8" s="155">
        <v>200</v>
      </c>
      <c r="L8" s="155"/>
      <c r="M8" s="155"/>
      <c r="N8" s="472"/>
      <c r="O8" s="472"/>
      <c r="P8" s="472" t="s">
        <v>31</v>
      </c>
      <c r="Q8" s="472" t="s">
        <v>5873</v>
      </c>
      <c r="R8" s="472" t="s">
        <v>36</v>
      </c>
      <c r="S8" s="472" t="s">
        <v>5872</v>
      </c>
      <c r="T8" s="472" t="s">
        <v>49</v>
      </c>
      <c r="U8" s="472" t="s">
        <v>37</v>
      </c>
      <c r="V8" s="472">
        <v>10</v>
      </c>
      <c r="W8" s="472">
        <v>10</v>
      </c>
      <c r="X8" s="472"/>
      <c r="Y8" s="472" t="s">
        <v>240</v>
      </c>
      <c r="Z8" s="164"/>
    </row>
    <row r="9" spans="1:30" ht="50.1" customHeight="1">
      <c r="A9" s="125">
        <v>5</v>
      </c>
      <c r="B9" s="125" t="s">
        <v>824</v>
      </c>
      <c r="C9" s="125" t="s">
        <v>5865</v>
      </c>
      <c r="D9" s="472" t="s">
        <v>5871</v>
      </c>
      <c r="E9" s="472" t="s">
        <v>886</v>
      </c>
      <c r="F9" s="135" t="s">
        <v>5870</v>
      </c>
      <c r="G9" s="472" t="s">
        <v>5869</v>
      </c>
      <c r="H9" s="472" t="s">
        <v>5868</v>
      </c>
      <c r="I9" s="155">
        <v>200</v>
      </c>
      <c r="J9" s="155">
        <v>0</v>
      </c>
      <c r="K9" s="155">
        <v>200</v>
      </c>
      <c r="L9" s="155">
        <v>0</v>
      </c>
      <c r="M9" s="155" t="s">
        <v>507</v>
      </c>
      <c r="N9" s="472" t="s">
        <v>43</v>
      </c>
      <c r="O9" s="472" t="s">
        <v>43</v>
      </c>
      <c r="P9" s="472" t="s">
        <v>46</v>
      </c>
      <c r="Q9" s="472" t="s">
        <v>46</v>
      </c>
      <c r="R9" s="472" t="s">
        <v>1442</v>
      </c>
      <c r="S9" s="472" t="s">
        <v>36</v>
      </c>
      <c r="T9" s="472" t="s">
        <v>5867</v>
      </c>
      <c r="U9" s="472" t="s">
        <v>49</v>
      </c>
      <c r="V9" s="472" t="s">
        <v>37</v>
      </c>
      <c r="W9" s="472">
        <f>SUM(X9:Y9)</f>
        <v>140</v>
      </c>
      <c r="X9" s="472">
        <v>140</v>
      </c>
      <c r="Y9" s="472" t="s">
        <v>5866</v>
      </c>
      <c r="Z9" s="137" t="s">
        <v>1148</v>
      </c>
    </row>
    <row r="10" spans="1:30" ht="40.5">
      <c r="A10" s="125">
        <v>6</v>
      </c>
      <c r="B10" s="125" t="s">
        <v>824</v>
      </c>
      <c r="C10" s="125" t="s">
        <v>5865</v>
      </c>
      <c r="D10" s="472" t="s">
        <v>5864</v>
      </c>
      <c r="E10" s="472" t="s">
        <v>5863</v>
      </c>
      <c r="F10" s="135" t="s">
        <v>1441</v>
      </c>
      <c r="G10" s="472" t="s">
        <v>5862</v>
      </c>
      <c r="H10" s="472" t="s">
        <v>5861</v>
      </c>
      <c r="I10" s="155">
        <v>400</v>
      </c>
      <c r="J10" s="155">
        <v>0</v>
      </c>
      <c r="K10" s="155">
        <v>400</v>
      </c>
      <c r="L10" s="155">
        <v>0</v>
      </c>
      <c r="M10" s="155">
        <v>0</v>
      </c>
      <c r="N10" s="472" t="s">
        <v>43</v>
      </c>
      <c r="O10" s="472" t="s">
        <v>43</v>
      </c>
      <c r="P10" s="472" t="s">
        <v>46</v>
      </c>
      <c r="Q10" s="472" t="s">
        <v>46</v>
      </c>
      <c r="R10" s="472" t="s">
        <v>5860</v>
      </c>
      <c r="S10" s="472" t="s">
        <v>36</v>
      </c>
      <c r="T10" s="472" t="s">
        <v>5859</v>
      </c>
      <c r="U10" s="472" t="s">
        <v>49</v>
      </c>
      <c r="V10" s="472" t="s">
        <v>37</v>
      </c>
      <c r="W10" s="472">
        <f>SUM(X10:Y10)</f>
        <v>330</v>
      </c>
      <c r="X10" s="472">
        <v>330</v>
      </c>
      <c r="Y10" s="472" t="s">
        <v>1440</v>
      </c>
      <c r="Z10" s="137" t="s">
        <v>1148</v>
      </c>
    </row>
    <row r="11" spans="1:30" ht="50.1" customHeight="1">
      <c r="A11" s="125">
        <v>7</v>
      </c>
      <c r="B11" s="125" t="s">
        <v>824</v>
      </c>
      <c r="C11" s="125" t="s">
        <v>825</v>
      </c>
      <c r="D11" s="472" t="s">
        <v>5858</v>
      </c>
      <c r="E11" s="472" t="s">
        <v>5857</v>
      </c>
      <c r="F11" s="135" t="s">
        <v>5856</v>
      </c>
      <c r="G11" s="472" t="s">
        <v>5855</v>
      </c>
      <c r="H11" s="472" t="s">
        <v>5854</v>
      </c>
      <c r="I11" s="155">
        <v>850</v>
      </c>
      <c r="J11" s="155">
        <v>340</v>
      </c>
      <c r="K11" s="155">
        <v>255</v>
      </c>
      <c r="L11" s="155">
        <v>255</v>
      </c>
      <c r="M11" s="155">
        <v>0</v>
      </c>
      <c r="N11" s="472" t="s">
        <v>1430</v>
      </c>
      <c r="O11" s="472" t="s">
        <v>5853</v>
      </c>
      <c r="P11" s="472" t="s">
        <v>52</v>
      </c>
      <c r="Q11" s="472" t="s">
        <v>5852</v>
      </c>
      <c r="R11" s="472" t="s">
        <v>36</v>
      </c>
      <c r="S11" s="472" t="s">
        <v>55</v>
      </c>
      <c r="T11" s="472" t="s">
        <v>49</v>
      </c>
      <c r="U11" s="472" t="s">
        <v>469</v>
      </c>
      <c r="V11" s="472">
        <f>SUM(W11:X11)</f>
        <v>154</v>
      </c>
      <c r="W11" s="472">
        <v>154</v>
      </c>
      <c r="X11" s="472"/>
      <c r="Y11" s="472" t="s">
        <v>5851</v>
      </c>
      <c r="Z11" s="137" t="s">
        <v>6000</v>
      </c>
      <c r="AA11"/>
      <c r="AB11"/>
      <c r="AC11"/>
      <c r="AD11"/>
    </row>
    <row r="12" spans="1:30" ht="54">
      <c r="A12" s="125">
        <v>8</v>
      </c>
      <c r="B12" s="125" t="s">
        <v>4377</v>
      </c>
      <c r="C12" s="125" t="s">
        <v>825</v>
      </c>
      <c r="D12" s="472" t="s">
        <v>5850</v>
      </c>
      <c r="E12" s="472" t="s">
        <v>5849</v>
      </c>
      <c r="F12" s="135" t="s">
        <v>5848</v>
      </c>
      <c r="G12" s="472" t="s">
        <v>5847</v>
      </c>
      <c r="H12" s="472" t="s">
        <v>312</v>
      </c>
      <c r="I12" s="155">
        <v>95</v>
      </c>
      <c r="J12" s="155"/>
      <c r="K12" s="155"/>
      <c r="L12" s="155">
        <v>95</v>
      </c>
      <c r="M12" s="155"/>
      <c r="N12" s="472"/>
      <c r="O12" s="472"/>
      <c r="P12" s="472" t="s">
        <v>7</v>
      </c>
      <c r="Q12" s="472" t="s">
        <v>5846</v>
      </c>
      <c r="R12" s="472" t="s">
        <v>36</v>
      </c>
      <c r="S12" s="472" t="s">
        <v>55</v>
      </c>
      <c r="T12" s="472" t="s">
        <v>49</v>
      </c>
      <c r="U12" s="472" t="s">
        <v>38</v>
      </c>
      <c r="V12" s="472">
        <f>SUM(W12:X12)</f>
        <v>20</v>
      </c>
      <c r="W12" s="472">
        <v>20</v>
      </c>
      <c r="X12" s="472"/>
      <c r="Y12" s="472" t="s">
        <v>64</v>
      </c>
      <c r="Z12" s="137" t="s">
        <v>1148</v>
      </c>
      <c r="AA12"/>
      <c r="AB12"/>
      <c r="AC12"/>
      <c r="AD12"/>
    </row>
    <row r="13" spans="1:30" ht="50.1" customHeight="1">
      <c r="A13" s="125">
        <v>9</v>
      </c>
      <c r="B13" s="125" t="s">
        <v>4377</v>
      </c>
      <c r="C13" s="125" t="s">
        <v>825</v>
      </c>
      <c r="D13" s="472" t="s">
        <v>5845</v>
      </c>
      <c r="E13" s="472" t="s">
        <v>1439</v>
      </c>
      <c r="F13" s="135" t="s">
        <v>5844</v>
      </c>
      <c r="G13" s="472" t="s">
        <v>5843</v>
      </c>
      <c r="H13" s="472" t="s">
        <v>826</v>
      </c>
      <c r="I13" s="155">
        <v>60</v>
      </c>
      <c r="J13" s="155"/>
      <c r="K13" s="155">
        <v>30</v>
      </c>
      <c r="L13" s="155" t="s">
        <v>5842</v>
      </c>
      <c r="M13" s="155"/>
      <c r="N13" s="472"/>
      <c r="O13" s="472"/>
      <c r="P13" s="472" t="s">
        <v>7</v>
      </c>
      <c r="Q13" s="472" t="s">
        <v>5841</v>
      </c>
      <c r="R13" s="472" t="s">
        <v>36</v>
      </c>
      <c r="S13" s="472" t="s">
        <v>55</v>
      </c>
      <c r="T13" s="472" t="s">
        <v>49</v>
      </c>
      <c r="U13" s="472" t="s">
        <v>38</v>
      </c>
      <c r="V13" s="472">
        <f>SUM(W13:X13)</f>
        <v>2</v>
      </c>
      <c r="W13" s="472">
        <v>2</v>
      </c>
      <c r="X13" s="472"/>
      <c r="Y13" s="472" t="s">
        <v>1307</v>
      </c>
      <c r="Z13" s="164"/>
    </row>
    <row r="14" spans="1:30" ht="67.5">
      <c r="A14" s="125">
        <v>10</v>
      </c>
      <c r="B14" s="125" t="s">
        <v>824</v>
      </c>
      <c r="C14" s="125" t="s">
        <v>5656</v>
      </c>
      <c r="D14" s="472" t="s">
        <v>5840</v>
      </c>
      <c r="E14" s="472" t="s">
        <v>5296</v>
      </c>
      <c r="F14" s="135" t="s">
        <v>5839</v>
      </c>
      <c r="G14" s="472" t="s">
        <v>5838</v>
      </c>
      <c r="H14" s="472" t="s">
        <v>1438</v>
      </c>
      <c r="I14" s="155">
        <v>300</v>
      </c>
      <c r="J14" s="155"/>
      <c r="K14" s="155"/>
      <c r="L14" s="155">
        <v>300</v>
      </c>
      <c r="M14" s="155"/>
      <c r="N14" s="472"/>
      <c r="O14" s="472"/>
      <c r="P14" s="472" t="s">
        <v>52</v>
      </c>
      <c r="Q14" s="472" t="s">
        <v>5837</v>
      </c>
      <c r="R14" s="472" t="s">
        <v>36</v>
      </c>
      <c r="S14" s="472" t="s">
        <v>55</v>
      </c>
      <c r="T14" s="472" t="s">
        <v>49</v>
      </c>
      <c r="U14" s="472" t="s">
        <v>38</v>
      </c>
      <c r="V14" s="472">
        <v>140</v>
      </c>
      <c r="W14" s="472">
        <v>140</v>
      </c>
      <c r="X14" s="472"/>
      <c r="Y14" s="472" t="s">
        <v>5444</v>
      </c>
      <c r="Z14" s="137" t="s">
        <v>1148</v>
      </c>
      <c r="AA14"/>
      <c r="AB14"/>
      <c r="AC14"/>
      <c r="AD14"/>
    </row>
    <row r="15" spans="1:30" ht="54">
      <c r="A15" s="125">
        <v>11</v>
      </c>
      <c r="B15" s="125" t="s">
        <v>824</v>
      </c>
      <c r="C15" s="125" t="s">
        <v>5836</v>
      </c>
      <c r="D15" s="472" t="s">
        <v>1437</v>
      </c>
      <c r="E15" s="472" t="s">
        <v>5835</v>
      </c>
      <c r="F15" s="135" t="s">
        <v>5834</v>
      </c>
      <c r="G15" s="472" t="s">
        <v>5833</v>
      </c>
      <c r="H15" s="472" t="s">
        <v>3203</v>
      </c>
      <c r="I15" s="155">
        <v>230</v>
      </c>
      <c r="J15" s="155"/>
      <c r="K15" s="155"/>
      <c r="L15" s="155">
        <v>230</v>
      </c>
      <c r="M15" s="155"/>
      <c r="N15" s="472"/>
      <c r="O15" s="472"/>
      <c r="P15" s="472" t="s">
        <v>50</v>
      </c>
      <c r="Q15" s="472" t="s">
        <v>5832</v>
      </c>
      <c r="R15" s="472" t="s">
        <v>36</v>
      </c>
      <c r="S15" s="472" t="s">
        <v>1373</v>
      </c>
      <c r="T15" s="472" t="s">
        <v>49</v>
      </c>
      <c r="U15" s="472" t="s">
        <v>38</v>
      </c>
      <c r="V15" s="472">
        <v>10</v>
      </c>
      <c r="W15" s="472">
        <v>10</v>
      </c>
      <c r="X15" s="472"/>
      <c r="Y15" s="472" t="s">
        <v>5831</v>
      </c>
      <c r="Z15" s="137" t="s">
        <v>6147</v>
      </c>
      <c r="AA15"/>
      <c r="AB15"/>
      <c r="AC15"/>
      <c r="AD15"/>
    </row>
    <row r="16" spans="1:30" ht="50.1" customHeight="1">
      <c r="A16" s="125">
        <v>12</v>
      </c>
      <c r="B16" s="186" t="s">
        <v>824</v>
      </c>
      <c r="C16" s="181" t="s">
        <v>827</v>
      </c>
      <c r="D16" s="182" t="s">
        <v>830</v>
      </c>
      <c r="E16" s="182" t="s">
        <v>886</v>
      </c>
      <c r="F16" s="183" t="s">
        <v>831</v>
      </c>
      <c r="G16" s="182" t="s">
        <v>832</v>
      </c>
      <c r="H16" s="182" t="s">
        <v>833</v>
      </c>
      <c r="I16" s="184">
        <v>500</v>
      </c>
      <c r="J16" s="184">
        <v>0</v>
      </c>
      <c r="K16" s="184">
        <v>0</v>
      </c>
      <c r="L16" s="184">
        <v>500</v>
      </c>
      <c r="M16" s="184">
        <v>0</v>
      </c>
      <c r="N16" s="182"/>
      <c r="O16" s="182"/>
      <c r="P16" s="185" t="s">
        <v>46</v>
      </c>
      <c r="Q16" s="182" t="s">
        <v>834</v>
      </c>
      <c r="R16" s="182" t="s">
        <v>56</v>
      </c>
      <c r="S16" s="182" t="s">
        <v>681</v>
      </c>
      <c r="T16" s="182" t="s">
        <v>828</v>
      </c>
      <c r="U16" s="182" t="s">
        <v>829</v>
      </c>
      <c r="V16" s="182">
        <f>SUM(W16:X16)</f>
        <v>0</v>
      </c>
      <c r="W16" s="182" t="s">
        <v>835</v>
      </c>
      <c r="X16" s="182" t="s">
        <v>835</v>
      </c>
      <c r="Y16" s="182" t="s">
        <v>204</v>
      </c>
      <c r="Z16" s="141" t="s">
        <v>1148</v>
      </c>
    </row>
    <row r="17" spans="1:30" ht="67.5">
      <c r="A17" s="125">
        <v>13</v>
      </c>
      <c r="B17" s="187" t="s">
        <v>824</v>
      </c>
      <c r="C17" s="188" t="s">
        <v>836</v>
      </c>
      <c r="D17" s="189" t="s">
        <v>837</v>
      </c>
      <c r="E17" s="189" t="s">
        <v>1219</v>
      </c>
      <c r="F17" s="190" t="s">
        <v>5830</v>
      </c>
      <c r="G17" s="189" t="s">
        <v>838</v>
      </c>
      <c r="H17" s="189" t="s">
        <v>839</v>
      </c>
      <c r="I17" s="191">
        <f>SUM(J17:M17)</f>
        <v>700</v>
      </c>
      <c r="J17" s="191"/>
      <c r="K17" s="191"/>
      <c r="L17" s="191">
        <v>700</v>
      </c>
      <c r="M17" s="191"/>
      <c r="N17" s="189"/>
      <c r="O17" s="189"/>
      <c r="P17" s="192" t="s">
        <v>41</v>
      </c>
      <c r="Q17" s="189" t="s">
        <v>840</v>
      </c>
      <c r="R17" s="189" t="s">
        <v>56</v>
      </c>
      <c r="S17" s="189" t="s">
        <v>841</v>
      </c>
      <c r="T17" s="189" t="s">
        <v>692</v>
      </c>
      <c r="U17" s="189" t="s">
        <v>47</v>
      </c>
      <c r="V17" s="529" t="s">
        <v>842</v>
      </c>
      <c r="W17" s="529"/>
      <c r="X17" s="529"/>
      <c r="Y17" s="189" t="s">
        <v>843</v>
      </c>
      <c r="Z17" s="141" t="s">
        <v>1148</v>
      </c>
      <c r="AA17"/>
      <c r="AB17"/>
      <c r="AC17"/>
      <c r="AD17"/>
    </row>
    <row r="18" spans="1:30" s="252" customFormat="1" ht="50.1" customHeight="1">
      <c r="A18" s="125">
        <v>14</v>
      </c>
      <c r="B18" s="125" t="s">
        <v>4377</v>
      </c>
      <c r="C18" s="125" t="s">
        <v>5829</v>
      </c>
      <c r="D18" s="472" t="s">
        <v>5828</v>
      </c>
      <c r="E18" s="472" t="s">
        <v>549</v>
      </c>
      <c r="F18" s="135" t="s">
        <v>5827</v>
      </c>
      <c r="G18" s="472" t="s">
        <v>5826</v>
      </c>
      <c r="H18" s="472" t="s">
        <v>5596</v>
      </c>
      <c r="I18" s="155">
        <v>600</v>
      </c>
      <c r="J18" s="155">
        <v>0</v>
      </c>
      <c r="K18" s="155">
        <v>200</v>
      </c>
      <c r="L18" s="155">
        <v>400</v>
      </c>
      <c r="M18" s="155">
        <v>0</v>
      </c>
      <c r="N18" s="472"/>
      <c r="O18" s="472" t="s">
        <v>469</v>
      </c>
      <c r="P18" s="472" t="s">
        <v>7</v>
      </c>
      <c r="Q18" s="472" t="s">
        <v>5825</v>
      </c>
      <c r="R18" s="472" t="s">
        <v>36</v>
      </c>
      <c r="S18" s="472" t="s">
        <v>665</v>
      </c>
      <c r="T18" s="472" t="s">
        <v>5824</v>
      </c>
      <c r="U18" s="472" t="s">
        <v>37</v>
      </c>
      <c r="V18" s="472">
        <f t="shared" ref="V18:V23" si="0">SUM(W18:X18)</f>
        <v>0</v>
      </c>
      <c r="W18" s="472" t="s">
        <v>4065</v>
      </c>
      <c r="X18" s="472" t="s">
        <v>4065</v>
      </c>
      <c r="Y18" s="472" t="s">
        <v>5823</v>
      </c>
      <c r="Z18" s="137" t="s">
        <v>6096</v>
      </c>
    </row>
    <row r="19" spans="1:30" s="3" customFormat="1" ht="50.1" customHeight="1">
      <c r="A19" s="125">
        <v>15</v>
      </c>
      <c r="B19" s="125" t="s">
        <v>824</v>
      </c>
      <c r="C19" s="125" t="s">
        <v>5804</v>
      </c>
      <c r="D19" s="472" t="s">
        <v>5822</v>
      </c>
      <c r="E19" s="472" t="s">
        <v>5821</v>
      </c>
      <c r="F19" s="135" t="s">
        <v>5820</v>
      </c>
      <c r="G19" s="472" t="s">
        <v>5819</v>
      </c>
      <c r="H19" s="472" t="s">
        <v>40</v>
      </c>
      <c r="I19" s="155">
        <v>110</v>
      </c>
      <c r="J19" s="155">
        <v>0</v>
      </c>
      <c r="K19" s="155">
        <v>0</v>
      </c>
      <c r="L19" s="155">
        <v>110</v>
      </c>
      <c r="M19" s="155">
        <v>0</v>
      </c>
      <c r="N19" s="472"/>
      <c r="O19" s="472"/>
      <c r="P19" s="472" t="s">
        <v>41</v>
      </c>
      <c r="Q19" s="472" t="s">
        <v>368</v>
      </c>
      <c r="R19" s="472" t="s">
        <v>36</v>
      </c>
      <c r="S19" s="472" t="s">
        <v>4972</v>
      </c>
      <c r="T19" s="472" t="s">
        <v>49</v>
      </c>
      <c r="U19" s="472" t="s">
        <v>1351</v>
      </c>
      <c r="V19" s="472">
        <f t="shared" si="0"/>
        <v>30</v>
      </c>
      <c r="W19" s="472">
        <v>30</v>
      </c>
      <c r="X19" s="472"/>
      <c r="Y19" s="472" t="s">
        <v>240</v>
      </c>
      <c r="Z19" s="141" t="s">
        <v>1148</v>
      </c>
      <c r="AA19"/>
      <c r="AB19"/>
      <c r="AC19"/>
      <c r="AD19"/>
    </row>
    <row r="20" spans="1:30" s="252" customFormat="1" ht="50.1" customHeight="1">
      <c r="A20" s="125">
        <v>16</v>
      </c>
      <c r="B20" s="125" t="s">
        <v>824</v>
      </c>
      <c r="C20" s="125" t="s">
        <v>5804</v>
      </c>
      <c r="D20" s="472" t="s">
        <v>5818</v>
      </c>
      <c r="E20" s="472" t="s">
        <v>207</v>
      </c>
      <c r="F20" s="135" t="s">
        <v>5817</v>
      </c>
      <c r="G20" s="472" t="s">
        <v>5816</v>
      </c>
      <c r="H20" s="472" t="s">
        <v>510</v>
      </c>
      <c r="I20" s="155">
        <v>250</v>
      </c>
      <c r="J20" s="155">
        <v>0</v>
      </c>
      <c r="K20" s="155">
        <v>100</v>
      </c>
      <c r="L20" s="155">
        <v>100</v>
      </c>
      <c r="M20" s="155">
        <v>50</v>
      </c>
      <c r="N20" s="472"/>
      <c r="O20" s="472"/>
      <c r="P20" s="472" t="s">
        <v>41</v>
      </c>
      <c r="Q20" s="472" t="s">
        <v>582</v>
      </c>
      <c r="R20" s="472" t="s">
        <v>36</v>
      </c>
      <c r="S20" s="472" t="s">
        <v>42</v>
      </c>
      <c r="T20" s="472" t="s">
        <v>49</v>
      </c>
      <c r="U20" s="472" t="s">
        <v>1351</v>
      </c>
      <c r="V20" s="472">
        <f t="shared" si="0"/>
        <v>0</v>
      </c>
      <c r="W20" s="472" t="s">
        <v>486</v>
      </c>
      <c r="X20" s="472"/>
      <c r="Y20" s="472" t="s">
        <v>844</v>
      </c>
      <c r="Z20" s="137" t="s">
        <v>1148</v>
      </c>
    </row>
    <row r="21" spans="1:30" s="252" customFormat="1" ht="54">
      <c r="A21" s="125">
        <v>17</v>
      </c>
      <c r="B21" s="125" t="s">
        <v>824</v>
      </c>
      <c r="C21" s="125" t="s">
        <v>5804</v>
      </c>
      <c r="D21" s="472" t="s">
        <v>5815</v>
      </c>
      <c r="E21" s="472" t="s">
        <v>54</v>
      </c>
      <c r="F21" s="135" t="s">
        <v>5814</v>
      </c>
      <c r="G21" s="472" t="s">
        <v>5813</v>
      </c>
      <c r="H21" s="472" t="s">
        <v>174</v>
      </c>
      <c r="I21" s="155">
        <v>225</v>
      </c>
      <c r="J21" s="155">
        <v>0</v>
      </c>
      <c r="K21" s="155">
        <v>90</v>
      </c>
      <c r="L21" s="155">
        <v>90</v>
      </c>
      <c r="M21" s="155">
        <v>45</v>
      </c>
      <c r="N21" s="472"/>
      <c r="O21" s="472"/>
      <c r="P21" s="472" t="s">
        <v>41</v>
      </c>
      <c r="Q21" s="472" t="s">
        <v>5812</v>
      </c>
      <c r="R21" s="472" t="s">
        <v>36</v>
      </c>
      <c r="S21" s="472" t="s">
        <v>507</v>
      </c>
      <c r="T21" s="472" t="s">
        <v>1292</v>
      </c>
      <c r="U21" s="472" t="s">
        <v>5811</v>
      </c>
      <c r="V21" s="472">
        <f t="shared" si="0"/>
        <v>0</v>
      </c>
      <c r="W21" s="472"/>
      <c r="X21" s="472"/>
      <c r="Y21" s="472" t="s">
        <v>5810</v>
      </c>
      <c r="Z21" s="137" t="s">
        <v>1148</v>
      </c>
    </row>
    <row r="22" spans="1:30" s="252" customFormat="1" ht="54">
      <c r="A22" s="125">
        <v>18</v>
      </c>
      <c r="B22" s="125" t="s">
        <v>824</v>
      </c>
      <c r="C22" s="472" t="s">
        <v>5804</v>
      </c>
      <c r="D22" s="472" t="s">
        <v>845</v>
      </c>
      <c r="E22" s="472" t="s">
        <v>5809</v>
      </c>
      <c r="F22" s="135" t="s">
        <v>5808</v>
      </c>
      <c r="G22" s="472" t="s">
        <v>5807</v>
      </c>
      <c r="H22" s="472" t="s">
        <v>5806</v>
      </c>
      <c r="I22" s="155">
        <v>250</v>
      </c>
      <c r="J22" s="155">
        <v>0</v>
      </c>
      <c r="K22" s="155">
        <v>0</v>
      </c>
      <c r="L22" s="155">
        <v>250</v>
      </c>
      <c r="M22" s="155">
        <v>0</v>
      </c>
      <c r="N22" s="472" t="s">
        <v>43</v>
      </c>
      <c r="O22" s="472" t="s">
        <v>43</v>
      </c>
      <c r="P22" s="472" t="s">
        <v>48</v>
      </c>
      <c r="Q22" s="472" t="s">
        <v>2999</v>
      </c>
      <c r="R22" s="472" t="s">
        <v>5676</v>
      </c>
      <c r="S22" s="472" t="s">
        <v>42</v>
      </c>
      <c r="T22" s="472" t="s">
        <v>1292</v>
      </c>
      <c r="U22" s="472" t="s">
        <v>37</v>
      </c>
      <c r="V22" s="472">
        <f t="shared" si="0"/>
        <v>400</v>
      </c>
      <c r="W22" s="472">
        <v>400</v>
      </c>
      <c r="X22" s="472">
        <v>0</v>
      </c>
      <c r="Y22" s="472" t="s">
        <v>5805</v>
      </c>
      <c r="Z22" s="137" t="s">
        <v>1148</v>
      </c>
      <c r="AA22"/>
      <c r="AB22"/>
      <c r="AC22"/>
      <c r="AD22"/>
    </row>
    <row r="23" spans="1:30" s="3" customFormat="1" ht="81.75" thickBot="1">
      <c r="A23" s="125">
        <v>19</v>
      </c>
      <c r="B23" s="193" t="s">
        <v>824</v>
      </c>
      <c r="C23" s="194" t="s">
        <v>5804</v>
      </c>
      <c r="D23" s="194" t="s">
        <v>846</v>
      </c>
      <c r="E23" s="194" t="s">
        <v>1436</v>
      </c>
      <c r="F23" s="195" t="s">
        <v>5803</v>
      </c>
      <c r="G23" s="194" t="s">
        <v>5802</v>
      </c>
      <c r="H23" s="194" t="s">
        <v>210</v>
      </c>
      <c r="I23" s="196">
        <f>SUM(J23:M23)</f>
        <v>230</v>
      </c>
      <c r="J23" s="197">
        <v>15</v>
      </c>
      <c r="K23" s="197">
        <v>100</v>
      </c>
      <c r="L23" s="197">
        <v>50</v>
      </c>
      <c r="M23" s="197">
        <v>65</v>
      </c>
      <c r="N23" s="131" t="s">
        <v>35</v>
      </c>
      <c r="O23" s="131" t="s">
        <v>5801</v>
      </c>
      <c r="P23" s="194" t="s">
        <v>98</v>
      </c>
      <c r="Q23" s="194" t="s">
        <v>5800</v>
      </c>
      <c r="R23" s="194" t="s">
        <v>36</v>
      </c>
      <c r="S23" s="194" t="s">
        <v>42</v>
      </c>
      <c r="T23" s="194" t="s">
        <v>5799</v>
      </c>
      <c r="U23" s="194" t="s">
        <v>38</v>
      </c>
      <c r="V23" s="194">
        <f t="shared" si="0"/>
        <v>30</v>
      </c>
      <c r="W23" s="194">
        <v>30</v>
      </c>
      <c r="X23" s="194">
        <v>0</v>
      </c>
      <c r="Y23" s="194" t="s">
        <v>1291</v>
      </c>
      <c r="Z23" s="137" t="s">
        <v>6097</v>
      </c>
    </row>
    <row r="24" spans="1:30" s="252" customFormat="1">
      <c r="A24" s="334"/>
      <c r="B24" s="334"/>
      <c r="C24" s="334"/>
      <c r="Z24" s="105"/>
    </row>
    <row r="25" spans="1:30" s="252" customFormat="1">
      <c r="A25" s="334"/>
      <c r="B25" s="334"/>
      <c r="C25" s="334"/>
      <c r="Z25" s="105"/>
    </row>
    <row r="26" spans="1:30" s="252" customFormat="1">
      <c r="A26" s="334"/>
      <c r="B26" s="334"/>
      <c r="C26" s="334"/>
      <c r="Z26" s="105"/>
    </row>
    <row r="27" spans="1:30" s="252" customFormat="1">
      <c r="A27" s="334"/>
      <c r="B27" s="334"/>
      <c r="C27" s="334"/>
      <c r="Z27" s="105"/>
    </row>
    <row r="28" spans="1:30" s="252" customFormat="1">
      <c r="A28" s="334"/>
      <c r="B28" s="334"/>
      <c r="C28" s="334"/>
      <c r="Z28" s="105"/>
    </row>
    <row r="29" spans="1:30" s="252" customFormat="1">
      <c r="A29" s="334"/>
      <c r="B29" s="334"/>
      <c r="C29" s="334"/>
      <c r="Z29" s="105"/>
      <c r="AB29" s="447"/>
    </row>
    <row r="30" spans="1:30" s="252" customFormat="1">
      <c r="A30" s="334"/>
      <c r="B30" s="334"/>
      <c r="C30" s="334"/>
      <c r="Z30" s="105"/>
    </row>
    <row r="31" spans="1:30" s="252" customFormat="1">
      <c r="A31" s="334"/>
      <c r="B31" s="334"/>
      <c r="C31" s="334"/>
      <c r="Z31" s="105"/>
    </row>
    <row r="32" spans="1:30" s="252" customFormat="1">
      <c r="A32" s="334"/>
      <c r="B32" s="334"/>
      <c r="C32" s="334"/>
      <c r="Z32" s="105"/>
    </row>
    <row r="33" spans="1:26" s="252" customFormat="1">
      <c r="A33" s="334"/>
      <c r="B33" s="334"/>
      <c r="C33" s="334"/>
      <c r="Z33" s="105"/>
    </row>
    <row r="34" spans="1:26" s="252" customFormat="1">
      <c r="A34" s="334"/>
      <c r="B34" s="334"/>
      <c r="C34" s="334"/>
      <c r="Z34" s="105"/>
    </row>
    <row r="35" spans="1:26" s="3" customFormat="1">
      <c r="A35" s="16"/>
      <c r="B35" s="16"/>
      <c r="C35" s="16"/>
      <c r="Z35" s="107"/>
    </row>
    <row r="36" spans="1:26" s="252" customFormat="1">
      <c r="A36" s="334"/>
      <c r="B36" s="334"/>
      <c r="C36" s="334"/>
      <c r="Z36" s="105"/>
    </row>
    <row r="37" spans="1:26" s="1" customFormat="1">
      <c r="A37" s="8"/>
      <c r="B37" s="8"/>
      <c r="C37" s="8"/>
      <c r="Z37" s="107"/>
    </row>
    <row r="38" spans="1:26" s="1" customFormat="1">
      <c r="A38" s="8"/>
      <c r="B38" s="8"/>
      <c r="C38" s="8"/>
      <c r="Z38" s="107"/>
    </row>
    <row r="39" spans="1:26" s="1" customFormat="1">
      <c r="A39" s="8"/>
      <c r="B39" s="8"/>
      <c r="C39" s="8"/>
      <c r="Z39" s="107"/>
    </row>
    <row r="40" spans="1:26">
      <c r="F40" s="89"/>
    </row>
    <row r="41" spans="1:26">
      <c r="F41" s="89"/>
    </row>
    <row r="42" spans="1:26">
      <c r="F42" s="89"/>
    </row>
    <row r="43" spans="1:26">
      <c r="F43" s="89"/>
    </row>
    <row r="44" spans="1:26">
      <c r="F44" s="89"/>
    </row>
    <row r="45" spans="1:26">
      <c r="F45" s="89"/>
    </row>
    <row r="46" spans="1:26">
      <c r="F46" s="89"/>
    </row>
    <row r="47" spans="1:26" s="1" customFormat="1">
      <c r="A47" s="8"/>
      <c r="B47" s="8"/>
      <c r="C47" s="8"/>
      <c r="Z47" s="107"/>
    </row>
    <row r="48" spans="1:26" s="1" customFormat="1">
      <c r="A48" s="8"/>
      <c r="B48" s="8"/>
      <c r="C48" s="8"/>
      <c r="Z48" s="107"/>
    </row>
    <row r="49" spans="1:26" s="1" customFormat="1">
      <c r="A49" s="8"/>
      <c r="B49" s="8"/>
      <c r="C49" s="8"/>
      <c r="Z49" s="107"/>
    </row>
    <row r="50" spans="1:26" s="1" customFormat="1">
      <c r="A50" s="8"/>
      <c r="B50" s="8"/>
      <c r="C50" s="8"/>
      <c r="Z50" s="107"/>
    </row>
    <row r="51" spans="1:26" s="1" customFormat="1">
      <c r="A51" s="8"/>
      <c r="B51" s="8"/>
      <c r="C51" s="8"/>
      <c r="Z51" s="107"/>
    </row>
    <row r="52" spans="1:26">
      <c r="F52" s="89"/>
    </row>
    <row r="53" spans="1:26">
      <c r="F53" s="89"/>
    </row>
    <row r="54" spans="1:26">
      <c r="F54" s="89"/>
    </row>
    <row r="56" spans="1:26" s="1" customFormat="1">
      <c r="A56" s="8"/>
      <c r="B56" s="8"/>
      <c r="C56" s="8"/>
      <c r="Z56" s="107"/>
    </row>
    <row r="57" spans="1:26" s="1" customFormat="1">
      <c r="A57" s="8"/>
      <c r="B57" s="8"/>
      <c r="C57" s="8"/>
      <c r="Z57" s="107"/>
    </row>
    <row r="58" spans="1:26">
      <c r="F58" s="89"/>
    </row>
    <row r="61" spans="1:26" s="1" customFormat="1">
      <c r="A61" s="8"/>
      <c r="B61" s="8"/>
      <c r="C61" s="8"/>
      <c r="Z61" s="107"/>
    </row>
    <row r="62" spans="1:26">
      <c r="F62" s="89"/>
    </row>
    <row r="63" spans="1:26">
      <c r="F63" s="89"/>
    </row>
    <row r="64" spans="1:26" s="1" customFormat="1">
      <c r="A64" s="8"/>
      <c r="B64" s="8"/>
      <c r="C64" s="8"/>
      <c r="Z64" s="107"/>
    </row>
    <row r="66" spans="1:26" s="1" customFormat="1">
      <c r="A66" s="8"/>
      <c r="B66" s="8"/>
      <c r="C66" s="8"/>
      <c r="Z66" s="107"/>
    </row>
    <row r="68" spans="1:26">
      <c r="F68" s="89"/>
    </row>
    <row r="69" spans="1:26" s="1" customFormat="1">
      <c r="A69" s="8"/>
      <c r="B69" s="8"/>
      <c r="C69" s="8"/>
      <c r="Z69" s="107"/>
    </row>
    <row r="71" spans="1:26" s="1" customFormat="1">
      <c r="A71" s="8"/>
      <c r="B71" s="8"/>
      <c r="C71" s="8"/>
      <c r="Z71" s="107"/>
    </row>
    <row r="72" spans="1:26" s="1" customFormat="1">
      <c r="A72" s="8"/>
      <c r="B72" s="8"/>
      <c r="C72" s="8"/>
      <c r="Z72" s="107"/>
    </row>
    <row r="76" spans="1:26" s="1" customFormat="1">
      <c r="A76" s="8"/>
      <c r="B76" s="8"/>
      <c r="C76" s="8"/>
      <c r="Z76" s="107"/>
    </row>
    <row r="77" spans="1:26" s="1" customFormat="1">
      <c r="A77" s="8"/>
      <c r="B77" s="8"/>
      <c r="C77" s="8"/>
      <c r="Z77" s="107"/>
    </row>
    <row r="78" spans="1:26">
      <c r="F78" s="89"/>
    </row>
    <row r="79" spans="1:26" s="1" customFormat="1">
      <c r="A79" s="8"/>
      <c r="B79" s="8"/>
      <c r="C79" s="8"/>
      <c r="Z79" s="107"/>
    </row>
    <row r="81" spans="1:26" s="1" customFormat="1">
      <c r="A81" s="8"/>
      <c r="B81" s="8"/>
      <c r="C81" s="8"/>
      <c r="Z81" s="107"/>
    </row>
    <row r="82" spans="1:26" s="1" customFormat="1">
      <c r="A82" s="8"/>
      <c r="B82" s="8"/>
      <c r="C82" s="8"/>
      <c r="Z82" s="107"/>
    </row>
    <row r="83" spans="1:26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6" s="1" customFormat="1">
      <c r="A84" s="8"/>
      <c r="B84" s="8"/>
      <c r="C84" s="8"/>
      <c r="Z84" s="107"/>
    </row>
    <row r="85" spans="1:26">
      <c r="F85" s="89"/>
    </row>
    <row r="88" spans="1:26">
      <c r="F88" s="89"/>
    </row>
    <row r="94" spans="1:26">
      <c r="F94" s="89"/>
    </row>
    <row r="95" spans="1:26">
      <c r="F95" s="89"/>
    </row>
  </sheetData>
  <autoFilter ref="A4:Y23"/>
  <mergeCells count="5">
    <mergeCell ref="V17:X17"/>
    <mergeCell ref="A1:X2"/>
    <mergeCell ref="I3:M3"/>
    <mergeCell ref="N3:O3"/>
    <mergeCell ref="V3:X3"/>
  </mergeCells>
  <phoneticPr fontId="23" type="noConversion"/>
  <dataValidations count="11">
    <dataValidation type="list" allowBlank="1" showInputMessage="1" showErrorMessage="1" sqref="P7:P8 P11 P14">
      <formula1>$P$10:$P$17</formula1>
    </dataValidation>
    <dataValidation type="list" allowBlank="1" showInputMessage="1" showErrorMessage="1" sqref="B7:B8 B11 B14">
      <formula1>$B$10:$B$17</formula1>
    </dataValidation>
    <dataValidation type="list" showInputMessage="1" showErrorMessage="1" sqref="B6">
      <formula1>$B$10:$B$17</formula1>
    </dataValidation>
    <dataValidation type="list" allowBlank="1" showInputMessage="1" showErrorMessage="1" sqref="P12:P13">
      <formula1>$P$8:$P$10</formula1>
    </dataValidation>
    <dataValidation type="list" allowBlank="1" showInputMessage="1" showErrorMessage="1" sqref="B15">
      <formula1>$B$203:$B$219</formula1>
    </dataValidation>
    <dataValidation type="list" allowBlank="1" showInputMessage="1" showErrorMessage="1" sqref="P15">
      <formula1>$P$203:$P$208</formula1>
    </dataValidation>
    <dataValidation type="list" allowBlank="1" showInputMessage="1" showErrorMessage="1" sqref="B18">
      <formula1>$B$201:$B$217</formula1>
    </dataValidation>
    <dataValidation type="list" allowBlank="1" showInputMessage="1" showErrorMessage="1" sqref="P18">
      <formula1>$P$201:$P$206</formula1>
    </dataValidation>
    <dataValidation type="list" allowBlank="1" showInputMessage="1" showErrorMessage="1" sqref="B21:B23 P22:P23 P5 B9:B10 P9:Q10 B5 B12:B13 B16:B17 P16:P17">
      <formula1>#REF!</formula1>
    </dataValidation>
    <dataValidation type="list" allowBlank="1" showInputMessage="1" showErrorMessage="1" sqref="B19:B20">
      <formula1>$B$200:$B$216</formula1>
    </dataValidation>
    <dataValidation type="list" allowBlank="1" showInputMessage="1" showErrorMessage="1" sqref="P19:P21">
      <formula1>$P$200:$P$205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95"/>
  <sheetViews>
    <sheetView zoomScale="85" zoomScaleNormal="85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17.6640625" style="89" customWidth="1"/>
    <col min="5" max="5" width="12.109375" style="89" customWidth="1"/>
    <col min="6" max="6" width="42" style="1" customWidth="1"/>
    <col min="7" max="7" width="25.109375" style="89" customWidth="1"/>
    <col min="8" max="8" width="12.21875" style="89" customWidth="1"/>
    <col min="9" max="9" width="12.109375" style="89" customWidth="1"/>
    <col min="10" max="13" width="7.6640625" style="89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5" width="12.21875" style="89" customWidth="1"/>
    <col min="26" max="26" width="15.6640625" style="334" customWidth="1"/>
    <col min="27" max="27" width="8.88671875" style="89"/>
    <col min="28" max="28" width="8.109375" style="89" customWidth="1"/>
    <col min="29" max="16384" width="8.88671875" style="89"/>
  </cols>
  <sheetData>
    <row r="1" spans="1:30" s="1" customFormat="1" ht="29.25" customHeight="1">
      <c r="A1" s="512" t="s">
        <v>34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  <c r="Z1" s="16"/>
    </row>
    <row r="2" spans="1:30" s="3" customFormat="1" ht="17.25" customHeight="1" thickBo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Z2" s="16"/>
    </row>
    <row r="3" spans="1:30" s="3" customFormat="1" ht="22.5" customHeight="1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  <c r="Z3" s="16"/>
    </row>
    <row r="4" spans="1:30" s="1" customFormat="1" ht="58.9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124" t="s">
        <v>1152</v>
      </c>
      <c r="AA4"/>
      <c r="AB4"/>
      <c r="AC4"/>
      <c r="AD4"/>
    </row>
    <row r="5" spans="1:30" ht="54">
      <c r="A5" s="125">
        <v>1</v>
      </c>
      <c r="B5" s="125" t="s">
        <v>803</v>
      </c>
      <c r="C5" s="125" t="s">
        <v>668</v>
      </c>
      <c r="D5" s="472" t="s">
        <v>5911</v>
      </c>
      <c r="E5" s="472" t="s">
        <v>1018</v>
      </c>
      <c r="F5" s="135" t="s">
        <v>5910</v>
      </c>
      <c r="G5" s="472" t="s">
        <v>5909</v>
      </c>
      <c r="H5" s="472" t="s">
        <v>4170</v>
      </c>
      <c r="I5" s="180">
        <v>1000</v>
      </c>
      <c r="J5" s="472">
        <v>0</v>
      </c>
      <c r="K5" s="180">
        <v>1000</v>
      </c>
      <c r="L5" s="472">
        <v>0</v>
      </c>
      <c r="M5" s="472">
        <v>0</v>
      </c>
      <c r="N5" s="472"/>
      <c r="O5" s="472"/>
      <c r="P5" s="472" t="s">
        <v>41</v>
      </c>
      <c r="Q5" s="472" t="s">
        <v>5908</v>
      </c>
      <c r="R5" s="472" t="s">
        <v>36</v>
      </c>
      <c r="S5" s="472" t="s">
        <v>186</v>
      </c>
      <c r="T5" s="472" t="s">
        <v>49</v>
      </c>
      <c r="U5" s="472" t="s">
        <v>38</v>
      </c>
      <c r="V5" s="472">
        <f>SUM(W5:X5)</f>
        <v>82</v>
      </c>
      <c r="W5" s="472">
        <v>80</v>
      </c>
      <c r="X5" s="472">
        <v>2</v>
      </c>
      <c r="Y5" s="472" t="s">
        <v>5907</v>
      </c>
      <c r="Z5" s="137" t="s">
        <v>6149</v>
      </c>
    </row>
    <row r="6" spans="1:30" s="1" customFormat="1" ht="38.25" customHeight="1">
      <c r="A6" s="126">
        <v>2</v>
      </c>
      <c r="B6" s="126" t="s">
        <v>4376</v>
      </c>
      <c r="C6" s="126" t="s">
        <v>668</v>
      </c>
      <c r="D6" s="473" t="s">
        <v>5906</v>
      </c>
      <c r="E6" s="473" t="s">
        <v>1444</v>
      </c>
      <c r="F6" s="136" t="s">
        <v>5902</v>
      </c>
      <c r="G6" s="473" t="s">
        <v>5905</v>
      </c>
      <c r="H6" s="473" t="s">
        <v>804</v>
      </c>
      <c r="I6" s="136">
        <v>200</v>
      </c>
      <c r="J6" s="473">
        <v>0</v>
      </c>
      <c r="K6" s="136">
        <v>200</v>
      </c>
      <c r="L6" s="473">
        <v>0</v>
      </c>
      <c r="M6" s="473">
        <v>0</v>
      </c>
      <c r="N6" s="473"/>
      <c r="O6" s="473"/>
      <c r="P6" s="473" t="s">
        <v>2</v>
      </c>
      <c r="Q6" s="473" t="s">
        <v>3782</v>
      </c>
      <c r="R6" s="473" t="s">
        <v>36</v>
      </c>
      <c r="S6" s="473" t="s">
        <v>186</v>
      </c>
      <c r="T6" s="473" t="s">
        <v>49</v>
      </c>
      <c r="U6" s="473" t="s">
        <v>38</v>
      </c>
      <c r="V6" s="473">
        <f>SUM(W6:X6)</f>
        <v>49</v>
      </c>
      <c r="W6" s="473">
        <v>39</v>
      </c>
      <c r="X6" s="473">
        <v>10</v>
      </c>
      <c r="Y6" s="473" t="s">
        <v>5904</v>
      </c>
      <c r="Z6" s="137" t="s">
        <v>6148</v>
      </c>
      <c r="AA6"/>
      <c r="AB6"/>
      <c r="AC6"/>
      <c r="AD6"/>
    </row>
    <row r="7" spans="1:30" s="1" customFormat="1" ht="46.9" customHeight="1">
      <c r="A7" s="126">
        <v>3</v>
      </c>
      <c r="B7" s="126" t="s">
        <v>4376</v>
      </c>
      <c r="C7" s="126" t="s">
        <v>668</v>
      </c>
      <c r="D7" s="473" t="s">
        <v>5903</v>
      </c>
      <c r="E7" s="473" t="s">
        <v>5899</v>
      </c>
      <c r="F7" s="136" t="s">
        <v>5902</v>
      </c>
      <c r="G7" s="473" t="s">
        <v>5901</v>
      </c>
      <c r="H7" s="473" t="s">
        <v>652</v>
      </c>
      <c r="I7" s="138">
        <v>1200</v>
      </c>
      <c r="J7" s="473">
        <v>0</v>
      </c>
      <c r="K7" s="138">
        <v>1200</v>
      </c>
      <c r="L7" s="473">
        <v>0</v>
      </c>
      <c r="M7" s="473">
        <v>0</v>
      </c>
      <c r="N7" s="473"/>
      <c r="O7" s="473"/>
      <c r="P7" s="473" t="s">
        <v>46</v>
      </c>
      <c r="Q7" s="473" t="s">
        <v>203</v>
      </c>
      <c r="R7" s="473" t="s">
        <v>56</v>
      </c>
      <c r="S7" s="473" t="s">
        <v>681</v>
      </c>
      <c r="T7" s="204" t="s">
        <v>805</v>
      </c>
      <c r="U7" s="473" t="s">
        <v>76</v>
      </c>
      <c r="V7" s="473">
        <v>387</v>
      </c>
      <c r="W7" s="473">
        <v>349</v>
      </c>
      <c r="X7" s="473">
        <v>38</v>
      </c>
      <c r="Y7" s="204" t="s">
        <v>806</v>
      </c>
      <c r="Z7" s="137" t="s">
        <v>6039</v>
      </c>
      <c r="AA7"/>
      <c r="AB7"/>
      <c r="AC7"/>
      <c r="AD7"/>
    </row>
    <row r="8" spans="1:30" ht="40.5">
      <c r="A8" s="125">
        <v>4</v>
      </c>
      <c r="B8" s="125" t="s">
        <v>4376</v>
      </c>
      <c r="C8" s="125" t="s">
        <v>668</v>
      </c>
      <c r="D8" s="472" t="s">
        <v>5900</v>
      </c>
      <c r="E8" s="472" t="s">
        <v>5899</v>
      </c>
      <c r="F8" s="135" t="s">
        <v>807</v>
      </c>
      <c r="G8" s="472" t="s">
        <v>808</v>
      </c>
      <c r="H8" s="472" t="s">
        <v>652</v>
      </c>
      <c r="I8" s="135">
        <v>700</v>
      </c>
      <c r="J8" s="472">
        <v>0</v>
      </c>
      <c r="K8" s="135">
        <v>700</v>
      </c>
      <c r="L8" s="472">
        <v>0</v>
      </c>
      <c r="M8" s="472">
        <v>0</v>
      </c>
      <c r="N8" s="472"/>
      <c r="O8" s="472"/>
      <c r="P8" s="472" t="s">
        <v>46</v>
      </c>
      <c r="Q8" s="472" t="s">
        <v>809</v>
      </c>
      <c r="R8" s="153" t="s">
        <v>56</v>
      </c>
      <c r="S8" s="472" t="s">
        <v>810</v>
      </c>
      <c r="T8" s="153" t="s">
        <v>61</v>
      </c>
      <c r="U8" s="472" t="s">
        <v>76</v>
      </c>
      <c r="V8" s="472">
        <v>55</v>
      </c>
      <c r="W8" s="472">
        <v>55</v>
      </c>
      <c r="X8" s="472">
        <v>0</v>
      </c>
      <c r="Y8" s="472" t="s">
        <v>5898</v>
      </c>
      <c r="Z8" s="137" t="s">
        <v>6038</v>
      </c>
      <c r="AA8"/>
      <c r="AB8"/>
      <c r="AC8"/>
      <c r="AD8"/>
    </row>
    <row r="9" spans="1:30" ht="67.5">
      <c r="A9" s="125">
        <v>5</v>
      </c>
      <c r="B9" s="125" t="s">
        <v>803</v>
      </c>
      <c r="C9" s="125" t="s">
        <v>5656</v>
      </c>
      <c r="D9" s="472" t="s">
        <v>5897</v>
      </c>
      <c r="E9" s="472" t="s">
        <v>5896</v>
      </c>
      <c r="F9" s="135" t="s">
        <v>5895</v>
      </c>
      <c r="G9" s="472" t="s">
        <v>5894</v>
      </c>
      <c r="H9" s="472" t="s">
        <v>174</v>
      </c>
      <c r="I9" s="300">
        <v>1349</v>
      </c>
      <c r="J9" s="472">
        <v>59</v>
      </c>
      <c r="K9" s="300">
        <v>1000</v>
      </c>
      <c r="L9" s="472">
        <v>290</v>
      </c>
      <c r="M9" s="472">
        <v>0</v>
      </c>
      <c r="N9" s="472" t="s">
        <v>35</v>
      </c>
      <c r="O9" s="472" t="s">
        <v>156</v>
      </c>
      <c r="P9" s="472" t="s">
        <v>46</v>
      </c>
      <c r="Q9" s="472" t="s">
        <v>4831</v>
      </c>
      <c r="R9" s="472" t="s">
        <v>36</v>
      </c>
      <c r="S9" s="472" t="s">
        <v>55</v>
      </c>
      <c r="T9" s="472" t="s">
        <v>49</v>
      </c>
      <c r="U9" s="472" t="s">
        <v>38</v>
      </c>
      <c r="V9" s="472">
        <f>SUM(W9:X9)</f>
        <v>397.3</v>
      </c>
      <c r="W9" s="472">
        <v>396.8</v>
      </c>
      <c r="X9" s="472">
        <v>0.5</v>
      </c>
      <c r="Y9" s="472" t="s">
        <v>445</v>
      </c>
      <c r="Z9" s="137" t="s">
        <v>1148</v>
      </c>
    </row>
    <row r="10" spans="1:30" ht="67.5">
      <c r="A10" s="125">
        <v>6</v>
      </c>
      <c r="B10" s="125" t="s">
        <v>803</v>
      </c>
      <c r="C10" s="125" t="s">
        <v>5425</v>
      </c>
      <c r="D10" s="472" t="s">
        <v>5893</v>
      </c>
      <c r="E10" s="472" t="s">
        <v>5442</v>
      </c>
      <c r="F10" s="399" t="s">
        <v>5892</v>
      </c>
      <c r="G10" s="472" t="s">
        <v>5891</v>
      </c>
      <c r="H10" s="472" t="s">
        <v>811</v>
      </c>
      <c r="I10" s="135">
        <v>250</v>
      </c>
      <c r="J10" s="472">
        <v>0</v>
      </c>
      <c r="K10" s="135">
        <v>150</v>
      </c>
      <c r="L10" s="472">
        <v>100</v>
      </c>
      <c r="M10" s="472">
        <v>0</v>
      </c>
      <c r="N10" s="472"/>
      <c r="O10" s="472"/>
      <c r="P10" s="472" t="s">
        <v>48</v>
      </c>
      <c r="Q10" s="472" t="s">
        <v>5890</v>
      </c>
      <c r="R10" s="472" t="s">
        <v>36</v>
      </c>
      <c r="S10" s="472" t="s">
        <v>186</v>
      </c>
      <c r="T10" s="472" t="s">
        <v>49</v>
      </c>
      <c r="U10" s="472" t="s">
        <v>37</v>
      </c>
      <c r="V10" s="472">
        <v>67</v>
      </c>
      <c r="W10" s="472">
        <v>67</v>
      </c>
      <c r="X10" s="472">
        <v>0</v>
      </c>
      <c r="Y10" s="472" t="s">
        <v>812</v>
      </c>
      <c r="Z10" s="137" t="s">
        <v>1148</v>
      </c>
    </row>
    <row r="11" spans="1:30" ht="54">
      <c r="A11" s="125">
        <v>7</v>
      </c>
      <c r="B11" s="125" t="s">
        <v>803</v>
      </c>
      <c r="C11" s="125" t="s">
        <v>676</v>
      </c>
      <c r="D11" s="472" t="s">
        <v>813</v>
      </c>
      <c r="E11" s="472" t="s">
        <v>5889</v>
      </c>
      <c r="F11" s="135" t="s">
        <v>814</v>
      </c>
      <c r="G11" s="472" t="s">
        <v>815</v>
      </c>
      <c r="H11" s="472" t="s">
        <v>816</v>
      </c>
      <c r="I11" s="135">
        <v>200</v>
      </c>
      <c r="J11" s="472">
        <v>0</v>
      </c>
      <c r="K11" s="135">
        <v>140</v>
      </c>
      <c r="L11" s="472">
        <v>30</v>
      </c>
      <c r="M11" s="472">
        <v>30</v>
      </c>
      <c r="N11" s="472"/>
      <c r="O11" s="472"/>
      <c r="P11" s="472" t="s">
        <v>52</v>
      </c>
      <c r="Q11" s="472" t="s">
        <v>817</v>
      </c>
      <c r="R11" s="472" t="s">
        <v>56</v>
      </c>
      <c r="S11" s="472" t="s">
        <v>802</v>
      </c>
      <c r="T11" s="472" t="s">
        <v>818</v>
      </c>
      <c r="U11" s="472" t="s">
        <v>76</v>
      </c>
      <c r="V11" s="472">
        <v>25</v>
      </c>
      <c r="W11" s="472">
        <v>24</v>
      </c>
      <c r="X11" s="472">
        <v>1</v>
      </c>
      <c r="Y11" s="472" t="s">
        <v>204</v>
      </c>
      <c r="Z11" s="137"/>
      <c r="AA11"/>
      <c r="AB11"/>
      <c r="AC11"/>
      <c r="AD11"/>
    </row>
    <row r="12" spans="1:30" ht="81.75" thickBot="1">
      <c r="A12" s="193">
        <v>8</v>
      </c>
      <c r="B12" s="193" t="s">
        <v>803</v>
      </c>
      <c r="C12" s="193" t="s">
        <v>676</v>
      </c>
      <c r="D12" s="194" t="s">
        <v>819</v>
      </c>
      <c r="E12" s="194" t="s">
        <v>1018</v>
      </c>
      <c r="F12" s="195" t="s">
        <v>820</v>
      </c>
      <c r="G12" s="194" t="s">
        <v>5888</v>
      </c>
      <c r="H12" s="194" t="s">
        <v>795</v>
      </c>
      <c r="I12" s="195">
        <v>160</v>
      </c>
      <c r="J12" s="194">
        <v>0</v>
      </c>
      <c r="K12" s="195">
        <v>100</v>
      </c>
      <c r="L12" s="194">
        <v>60</v>
      </c>
      <c r="M12" s="194">
        <v>0</v>
      </c>
      <c r="N12" s="194"/>
      <c r="O12" s="194"/>
      <c r="P12" s="194" t="s">
        <v>46</v>
      </c>
      <c r="Q12" s="194" t="s">
        <v>821</v>
      </c>
      <c r="R12" s="194" t="s">
        <v>56</v>
      </c>
      <c r="S12" s="194" t="s">
        <v>83</v>
      </c>
      <c r="T12" s="194" t="s">
        <v>61</v>
      </c>
      <c r="U12" s="194" t="s">
        <v>76</v>
      </c>
      <c r="V12" s="194">
        <v>65</v>
      </c>
      <c r="W12" s="194">
        <v>64</v>
      </c>
      <c r="X12" s="194">
        <v>1</v>
      </c>
      <c r="Y12" s="194" t="s">
        <v>822</v>
      </c>
      <c r="Z12" s="137"/>
    </row>
    <row r="13" spans="1:30">
      <c r="F13" s="89"/>
      <c r="AA13"/>
      <c r="AB13"/>
      <c r="AC13"/>
      <c r="AD13"/>
    </row>
    <row r="14" spans="1:30">
      <c r="F14" s="89"/>
      <c r="AA14"/>
      <c r="AB14"/>
      <c r="AC14"/>
      <c r="AD14"/>
    </row>
    <row r="15" spans="1:30">
      <c r="F15" s="89"/>
      <c r="AA15"/>
      <c r="AB15"/>
      <c r="AC15"/>
      <c r="AD15"/>
    </row>
    <row r="16" spans="1:30">
      <c r="F16" s="89"/>
      <c r="AA16"/>
      <c r="AB16"/>
      <c r="AC16"/>
      <c r="AD16"/>
    </row>
    <row r="17" spans="1:30">
      <c r="F17" s="89"/>
      <c r="AA17"/>
      <c r="AB17"/>
      <c r="AC17"/>
      <c r="AD17"/>
    </row>
    <row r="18" spans="1:30">
      <c r="F18" s="89"/>
      <c r="AA18"/>
      <c r="AB18"/>
      <c r="AC18"/>
      <c r="AD18"/>
    </row>
    <row r="19" spans="1:30" s="1" customFormat="1">
      <c r="A19" s="8"/>
      <c r="B19" s="8"/>
      <c r="C19" s="8"/>
      <c r="Z19" s="16"/>
    </row>
    <row r="20" spans="1:30">
      <c r="F20" s="89"/>
    </row>
    <row r="21" spans="1:30">
      <c r="F21" s="89"/>
    </row>
    <row r="22" spans="1:30">
      <c r="F22" s="89"/>
    </row>
    <row r="23" spans="1:30" s="1" customFormat="1">
      <c r="A23" s="8"/>
      <c r="B23" s="8"/>
      <c r="C23" s="8"/>
      <c r="Z23" s="16"/>
    </row>
    <row r="24" spans="1:30">
      <c r="F24" s="89"/>
    </row>
    <row r="25" spans="1:30">
      <c r="F25" s="89"/>
    </row>
    <row r="26" spans="1:30">
      <c r="F26" s="89"/>
    </row>
    <row r="27" spans="1:30">
      <c r="F27" s="89"/>
    </row>
    <row r="28" spans="1:30">
      <c r="F28" s="89"/>
    </row>
    <row r="29" spans="1:30">
      <c r="F29" s="89"/>
    </row>
    <row r="30" spans="1:30">
      <c r="F30" s="89"/>
    </row>
    <row r="31" spans="1:30">
      <c r="F31" s="89"/>
    </row>
    <row r="32" spans="1:30">
      <c r="F32" s="89"/>
    </row>
    <row r="33" spans="1:26">
      <c r="F33" s="89"/>
    </row>
    <row r="34" spans="1:26">
      <c r="F34" s="89"/>
    </row>
    <row r="35" spans="1:26" s="1" customFormat="1">
      <c r="A35" s="8"/>
      <c r="B35" s="8"/>
      <c r="C35" s="8"/>
      <c r="Z35" s="16"/>
    </row>
    <row r="36" spans="1:26">
      <c r="F36" s="89"/>
    </row>
    <row r="37" spans="1:26" s="1" customFormat="1">
      <c r="A37" s="8"/>
      <c r="B37" s="8"/>
      <c r="C37" s="8"/>
      <c r="Z37" s="16"/>
    </row>
    <row r="38" spans="1:26" s="1" customFormat="1">
      <c r="A38" s="8"/>
      <c r="B38" s="8"/>
      <c r="C38" s="8"/>
      <c r="Z38" s="16"/>
    </row>
    <row r="39" spans="1:26" s="1" customFormat="1">
      <c r="A39" s="8"/>
      <c r="B39" s="8"/>
      <c r="C39" s="8"/>
      <c r="Z39" s="16"/>
    </row>
    <row r="40" spans="1:26">
      <c r="F40" s="89"/>
    </row>
    <row r="41" spans="1:26">
      <c r="F41" s="89"/>
    </row>
    <row r="42" spans="1:26">
      <c r="F42" s="89"/>
    </row>
    <row r="43" spans="1:26">
      <c r="F43" s="89"/>
    </row>
    <row r="44" spans="1:26">
      <c r="F44" s="89"/>
    </row>
    <row r="45" spans="1:26">
      <c r="F45" s="89"/>
    </row>
    <row r="46" spans="1:26">
      <c r="F46" s="89"/>
    </row>
    <row r="47" spans="1:26" s="1" customFormat="1">
      <c r="A47" s="8"/>
      <c r="B47" s="8"/>
      <c r="C47" s="8"/>
      <c r="Z47" s="16"/>
    </row>
    <row r="48" spans="1:26" s="1" customFormat="1">
      <c r="A48" s="8"/>
      <c r="B48" s="8"/>
      <c r="C48" s="8"/>
      <c r="Z48" s="16"/>
    </row>
    <row r="49" spans="1:26" s="1" customFormat="1">
      <c r="A49" s="8"/>
      <c r="B49" s="8"/>
      <c r="C49" s="8"/>
      <c r="Z49" s="16"/>
    </row>
    <row r="50" spans="1:26" s="1" customFormat="1">
      <c r="A50" s="8"/>
      <c r="B50" s="8"/>
      <c r="C50" s="8"/>
      <c r="Z50" s="16"/>
    </row>
    <row r="51" spans="1:26" s="1" customFormat="1">
      <c r="A51" s="8"/>
      <c r="B51" s="8"/>
      <c r="C51" s="8"/>
      <c r="Z51" s="16"/>
    </row>
    <row r="52" spans="1:26">
      <c r="F52" s="89"/>
    </row>
    <row r="53" spans="1:26">
      <c r="F53" s="89"/>
    </row>
    <row r="54" spans="1:26">
      <c r="F54" s="89"/>
    </row>
    <row r="56" spans="1:26" s="1" customFormat="1">
      <c r="A56" s="8"/>
      <c r="B56" s="8"/>
      <c r="C56" s="8"/>
      <c r="Z56" s="16"/>
    </row>
    <row r="57" spans="1:26" s="1" customFormat="1">
      <c r="A57" s="8"/>
      <c r="B57" s="8"/>
      <c r="C57" s="8"/>
      <c r="Z57" s="16"/>
    </row>
    <row r="58" spans="1:26">
      <c r="F58" s="89"/>
    </row>
    <row r="61" spans="1:26" s="1" customFormat="1">
      <c r="A61" s="8"/>
      <c r="B61" s="8"/>
      <c r="C61" s="8"/>
      <c r="Z61" s="16"/>
    </row>
    <row r="62" spans="1:26">
      <c r="F62" s="89"/>
    </row>
    <row r="63" spans="1:26">
      <c r="F63" s="89"/>
    </row>
    <row r="64" spans="1:26" s="1" customFormat="1">
      <c r="A64" s="8"/>
      <c r="B64" s="8"/>
      <c r="C64" s="8"/>
      <c r="Z64" s="16"/>
    </row>
    <row r="66" spans="1:26" s="1" customFormat="1">
      <c r="A66" s="8"/>
      <c r="B66" s="8"/>
      <c r="C66" s="8"/>
      <c r="Z66" s="16"/>
    </row>
    <row r="68" spans="1:26">
      <c r="F68" s="89"/>
    </row>
    <row r="69" spans="1:26" s="1" customFormat="1">
      <c r="A69" s="8"/>
      <c r="B69" s="8"/>
      <c r="C69" s="8"/>
      <c r="Z69" s="16"/>
    </row>
    <row r="71" spans="1:26" s="1" customFormat="1">
      <c r="A71" s="8"/>
      <c r="B71" s="8"/>
      <c r="C71" s="8"/>
      <c r="Z71" s="16"/>
    </row>
    <row r="72" spans="1:26" s="1" customFormat="1">
      <c r="A72" s="8"/>
      <c r="B72" s="8"/>
      <c r="C72" s="8"/>
      <c r="Z72" s="16"/>
    </row>
    <row r="76" spans="1:26" s="1" customFormat="1">
      <c r="A76" s="8"/>
      <c r="B76" s="8"/>
      <c r="C76" s="8"/>
      <c r="Z76" s="16"/>
    </row>
    <row r="77" spans="1:26" s="1" customFormat="1">
      <c r="A77" s="8"/>
      <c r="B77" s="8"/>
      <c r="C77" s="8"/>
      <c r="Z77" s="16"/>
    </row>
    <row r="78" spans="1:26">
      <c r="F78" s="89"/>
    </row>
    <row r="79" spans="1:26" s="1" customFormat="1">
      <c r="A79" s="8"/>
      <c r="B79" s="8"/>
      <c r="C79" s="8"/>
      <c r="Z79" s="16"/>
    </row>
    <row r="81" spans="1:26" s="1" customFormat="1">
      <c r="A81" s="8"/>
      <c r="B81" s="8"/>
      <c r="C81" s="8"/>
      <c r="Z81" s="16"/>
    </row>
    <row r="82" spans="1:26" s="1" customFormat="1">
      <c r="A82" s="8"/>
      <c r="B82" s="8"/>
      <c r="C82" s="8"/>
      <c r="Z82" s="16"/>
    </row>
    <row r="83" spans="1:26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6" s="1" customFormat="1">
      <c r="A84" s="8"/>
      <c r="B84" s="8"/>
      <c r="C84" s="8"/>
      <c r="Z84" s="16"/>
    </row>
    <row r="85" spans="1:26">
      <c r="F85" s="89"/>
    </row>
    <row r="88" spans="1:26">
      <c r="F88" s="89"/>
    </row>
    <row r="94" spans="1:26">
      <c r="F94" s="89"/>
    </row>
    <row r="95" spans="1:26">
      <c r="F95" s="89"/>
    </row>
  </sheetData>
  <autoFilter ref="Z4:Z12"/>
  <mergeCells count="4">
    <mergeCell ref="A1:X2"/>
    <mergeCell ref="I3:M3"/>
    <mergeCell ref="N3:O3"/>
    <mergeCell ref="V3:X3"/>
  </mergeCells>
  <phoneticPr fontId="23" type="noConversion"/>
  <dataValidations count="3">
    <dataValidation type="list" allowBlank="1" showInputMessage="1" showErrorMessage="1" sqref="B5">
      <formula1>$B$5:$B$12</formula1>
    </dataValidation>
    <dataValidation type="list" allowBlank="1" showInputMessage="1" showErrorMessage="1" sqref="P6:P12 B6:B12">
      <formula1>#REF!</formula1>
    </dataValidation>
    <dataValidation type="list" allowBlank="1" showInputMessage="1" showErrorMessage="1" sqref="P5">
      <formula1>$P$5:$P$8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5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17.6640625" style="89" customWidth="1"/>
    <col min="5" max="5" width="12.109375" style="89" customWidth="1"/>
    <col min="6" max="6" width="42" style="1" customWidth="1"/>
    <col min="7" max="7" width="25.21875" style="89" bestFit="1" customWidth="1"/>
    <col min="8" max="8" width="12.21875" style="89" customWidth="1"/>
    <col min="9" max="9" width="14.21875" style="89" customWidth="1"/>
    <col min="10" max="13" width="7.6640625" style="89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4" width="12.21875" style="89" customWidth="1"/>
    <col min="25" max="25" width="12.6640625" style="89" customWidth="1"/>
    <col min="26" max="26" width="12.6640625" style="89" bestFit="1" customWidth="1"/>
    <col min="27" max="16384" width="8.88671875" style="89"/>
  </cols>
  <sheetData>
    <row r="1" spans="1:31" s="1" customFormat="1" ht="29.25" customHeigh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</row>
    <row r="2" spans="1:31" s="3" customFormat="1" ht="17.2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</row>
    <row r="3" spans="1:31" s="3" customFormat="1" ht="22.5" customHeight="1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  <c r="AA3"/>
      <c r="AB3"/>
      <c r="AC3"/>
      <c r="AD3"/>
      <c r="AE3"/>
    </row>
    <row r="4" spans="1:31" s="1" customFormat="1" ht="39.75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269" t="s">
        <v>1152</v>
      </c>
      <c r="AA4"/>
      <c r="AB4"/>
      <c r="AC4"/>
      <c r="AD4"/>
      <c r="AE4"/>
    </row>
    <row r="5" spans="1:31" ht="40.5">
      <c r="A5" s="125">
        <v>1</v>
      </c>
      <c r="B5" s="125" t="s">
        <v>790</v>
      </c>
      <c r="C5" s="125" t="s">
        <v>791</v>
      </c>
      <c r="D5" s="472" t="s">
        <v>792</v>
      </c>
      <c r="E5" s="472" t="s">
        <v>793</v>
      </c>
      <c r="F5" s="480" t="s">
        <v>1209</v>
      </c>
      <c r="G5" s="472" t="s">
        <v>794</v>
      </c>
      <c r="H5" s="472" t="s">
        <v>795</v>
      </c>
      <c r="I5" s="472">
        <v>290</v>
      </c>
      <c r="J5" s="472"/>
      <c r="K5" s="472"/>
      <c r="L5" s="472">
        <v>290</v>
      </c>
      <c r="M5" s="472"/>
      <c r="N5" s="472"/>
      <c r="O5" s="472"/>
      <c r="P5" s="472" t="s">
        <v>46</v>
      </c>
      <c r="Q5" s="472" t="s">
        <v>796</v>
      </c>
      <c r="R5" s="472" t="s">
        <v>56</v>
      </c>
      <c r="S5" s="472" t="s">
        <v>252</v>
      </c>
      <c r="T5" s="472" t="s">
        <v>797</v>
      </c>
      <c r="U5" s="472" t="s">
        <v>103</v>
      </c>
      <c r="V5" s="472">
        <v>150</v>
      </c>
      <c r="W5" s="472">
        <v>150</v>
      </c>
      <c r="X5" s="472"/>
      <c r="Y5" s="472" t="s">
        <v>204</v>
      </c>
      <c r="Z5" s="137" t="s">
        <v>1148</v>
      </c>
      <c r="AA5"/>
      <c r="AB5"/>
      <c r="AC5"/>
      <c r="AD5"/>
      <c r="AE5"/>
    </row>
    <row r="6" spans="1:31" s="1" customFormat="1" ht="94.5">
      <c r="A6" s="126">
        <v>2</v>
      </c>
      <c r="B6" s="126" t="s">
        <v>4375</v>
      </c>
      <c r="C6" s="126" t="s">
        <v>5425</v>
      </c>
      <c r="D6" s="473" t="s">
        <v>5953</v>
      </c>
      <c r="E6" s="473" t="s">
        <v>4935</v>
      </c>
      <c r="F6" s="476" t="s">
        <v>1210</v>
      </c>
      <c r="G6" s="473" t="s">
        <v>5952</v>
      </c>
      <c r="H6" s="473" t="s">
        <v>798</v>
      </c>
      <c r="I6" s="473">
        <v>826</v>
      </c>
      <c r="J6" s="473"/>
      <c r="K6" s="473"/>
      <c r="L6" s="473">
        <v>826</v>
      </c>
      <c r="M6" s="473"/>
      <c r="N6" s="473"/>
      <c r="O6" s="473"/>
      <c r="P6" s="473" t="s">
        <v>7</v>
      </c>
      <c r="Q6" s="473" t="s">
        <v>5951</v>
      </c>
      <c r="R6" s="473" t="s">
        <v>36</v>
      </c>
      <c r="S6" s="473" t="s">
        <v>55</v>
      </c>
      <c r="T6" s="473" t="s">
        <v>49</v>
      </c>
      <c r="U6" s="473" t="s">
        <v>38</v>
      </c>
      <c r="V6" s="473">
        <f>SUM(W6:X6)</f>
        <v>0</v>
      </c>
      <c r="W6" s="473" t="s">
        <v>43</v>
      </c>
      <c r="X6" s="473" t="s">
        <v>43</v>
      </c>
      <c r="Y6" s="473" t="s">
        <v>64</v>
      </c>
      <c r="Z6" s="152" t="s">
        <v>1148</v>
      </c>
      <c r="AA6"/>
      <c r="AB6"/>
      <c r="AC6"/>
      <c r="AD6"/>
      <c r="AE6"/>
    </row>
    <row r="7" spans="1:31" s="1" customFormat="1" ht="135">
      <c r="A7" s="126">
        <v>3</v>
      </c>
      <c r="B7" s="126" t="s">
        <v>4375</v>
      </c>
      <c r="C7" s="126" t="s">
        <v>825</v>
      </c>
      <c r="D7" s="473" t="s">
        <v>5950</v>
      </c>
      <c r="E7" s="473" t="s">
        <v>4871</v>
      </c>
      <c r="F7" s="476" t="s">
        <v>1211</v>
      </c>
      <c r="G7" s="473" t="s">
        <v>5949</v>
      </c>
      <c r="H7" s="473" t="s">
        <v>108</v>
      </c>
      <c r="I7" s="473">
        <v>800</v>
      </c>
      <c r="J7" s="473">
        <v>0</v>
      </c>
      <c r="K7" s="473">
        <v>100</v>
      </c>
      <c r="L7" s="473">
        <v>700</v>
      </c>
      <c r="M7" s="473">
        <v>0</v>
      </c>
      <c r="N7" s="473"/>
      <c r="O7" s="473"/>
      <c r="P7" s="473" t="s">
        <v>52</v>
      </c>
      <c r="Q7" s="473" t="s">
        <v>5948</v>
      </c>
      <c r="R7" s="473" t="s">
        <v>36</v>
      </c>
      <c r="S7" s="473" t="s">
        <v>411</v>
      </c>
      <c r="T7" s="473" t="s">
        <v>5947</v>
      </c>
      <c r="U7" s="473" t="s">
        <v>53</v>
      </c>
      <c r="V7" s="473">
        <v>360</v>
      </c>
      <c r="W7" s="473">
        <v>359</v>
      </c>
      <c r="X7" s="150">
        <v>1</v>
      </c>
      <c r="Y7" s="473" t="s">
        <v>64</v>
      </c>
      <c r="Z7" s="151" t="s">
        <v>1148</v>
      </c>
      <c r="AA7"/>
      <c r="AB7"/>
      <c r="AC7"/>
      <c r="AD7"/>
      <c r="AE7"/>
    </row>
    <row r="8" spans="1:31" ht="67.5">
      <c r="A8" s="125">
        <v>4</v>
      </c>
      <c r="B8" s="125" t="s">
        <v>790</v>
      </c>
      <c r="C8" s="125" t="s">
        <v>5946</v>
      </c>
      <c r="D8" s="472" t="s">
        <v>5945</v>
      </c>
      <c r="E8" s="472" t="s">
        <v>4455</v>
      </c>
      <c r="F8" s="480" t="s">
        <v>1212</v>
      </c>
      <c r="G8" s="472" t="s">
        <v>5944</v>
      </c>
      <c r="H8" s="472" t="s">
        <v>5943</v>
      </c>
      <c r="I8" s="472">
        <v>880</v>
      </c>
      <c r="J8" s="472">
        <v>0</v>
      </c>
      <c r="K8" s="472">
        <v>0</v>
      </c>
      <c r="L8" s="472">
        <v>880</v>
      </c>
      <c r="M8" s="472">
        <v>0</v>
      </c>
      <c r="N8" s="472"/>
      <c r="O8" s="472"/>
      <c r="P8" s="472" t="s">
        <v>7</v>
      </c>
      <c r="Q8" s="472" t="s">
        <v>5942</v>
      </c>
      <c r="R8" s="472" t="s">
        <v>36</v>
      </c>
      <c r="S8" s="472" t="s">
        <v>55</v>
      </c>
      <c r="T8" s="472" t="s">
        <v>49</v>
      </c>
      <c r="U8" s="472" t="s">
        <v>5941</v>
      </c>
      <c r="V8" s="472">
        <v>860</v>
      </c>
      <c r="W8" s="472">
        <v>860</v>
      </c>
      <c r="X8" s="472"/>
      <c r="Y8" s="472" t="s">
        <v>5940</v>
      </c>
      <c r="Z8" s="137" t="s">
        <v>1148</v>
      </c>
      <c r="AA8"/>
      <c r="AB8"/>
      <c r="AC8"/>
      <c r="AD8"/>
      <c r="AE8"/>
    </row>
    <row r="9" spans="1:31" ht="40.5">
      <c r="A9" s="125">
        <v>5</v>
      </c>
      <c r="B9" s="125" t="s">
        <v>790</v>
      </c>
      <c r="C9" s="125" t="s">
        <v>5920</v>
      </c>
      <c r="D9" s="472" t="s">
        <v>799</v>
      </c>
      <c r="E9" s="472" t="s">
        <v>1151</v>
      </c>
      <c r="F9" s="480" t="s">
        <v>5939</v>
      </c>
      <c r="G9" s="472" t="s">
        <v>5938</v>
      </c>
      <c r="H9" s="472" t="s">
        <v>800</v>
      </c>
      <c r="I9" s="472">
        <v>80</v>
      </c>
      <c r="J9" s="472"/>
      <c r="K9" s="472">
        <v>80</v>
      </c>
      <c r="L9" s="472"/>
      <c r="M9" s="472"/>
      <c r="N9" s="472"/>
      <c r="O9" s="472"/>
      <c r="P9" s="472" t="s">
        <v>46</v>
      </c>
      <c r="Q9" s="472" t="s">
        <v>801</v>
      </c>
      <c r="R9" s="472" t="s">
        <v>56</v>
      </c>
      <c r="S9" s="472" t="s">
        <v>802</v>
      </c>
      <c r="T9" s="472" t="s">
        <v>692</v>
      </c>
      <c r="U9" s="472" t="s">
        <v>47</v>
      </c>
      <c r="V9" s="472">
        <v>15</v>
      </c>
      <c r="W9" s="472">
        <v>15</v>
      </c>
      <c r="X9" s="472"/>
      <c r="Y9" s="472" t="s">
        <v>67</v>
      </c>
      <c r="Z9" s="141" t="s">
        <v>1148</v>
      </c>
      <c r="AA9"/>
      <c r="AB9"/>
      <c r="AC9"/>
      <c r="AD9"/>
      <c r="AE9"/>
    </row>
    <row r="10" spans="1:31" ht="81">
      <c r="A10" s="125">
        <v>6</v>
      </c>
      <c r="B10" s="125" t="s">
        <v>790</v>
      </c>
      <c r="C10" s="125" t="s">
        <v>668</v>
      </c>
      <c r="D10" s="472" t="s">
        <v>5937</v>
      </c>
      <c r="E10" s="472" t="s">
        <v>5936</v>
      </c>
      <c r="F10" s="480" t="s">
        <v>1213</v>
      </c>
      <c r="G10" s="472" t="s">
        <v>5935</v>
      </c>
      <c r="H10" s="472" t="s">
        <v>5934</v>
      </c>
      <c r="I10" s="472">
        <v>800</v>
      </c>
      <c r="J10" s="472"/>
      <c r="K10" s="472">
        <v>800</v>
      </c>
      <c r="L10" s="472"/>
      <c r="M10" s="472"/>
      <c r="N10" s="472"/>
      <c r="O10" s="472"/>
      <c r="P10" s="472" t="s">
        <v>46</v>
      </c>
      <c r="Q10" s="472" t="s">
        <v>5933</v>
      </c>
      <c r="R10" s="472" t="s">
        <v>36</v>
      </c>
      <c r="S10" s="472" t="s">
        <v>5932</v>
      </c>
      <c r="T10" s="472" t="s">
        <v>49</v>
      </c>
      <c r="U10" s="472" t="s">
        <v>53</v>
      </c>
      <c r="V10" s="472">
        <f>SUM(W10:X10)</f>
        <v>240</v>
      </c>
      <c r="W10" s="472">
        <v>240</v>
      </c>
      <c r="X10" s="472"/>
      <c r="Y10" s="472" t="s">
        <v>5931</v>
      </c>
      <c r="Z10" s="137" t="s">
        <v>1148</v>
      </c>
      <c r="AA10"/>
      <c r="AB10"/>
      <c r="AC10"/>
      <c r="AD10"/>
      <c r="AE10"/>
    </row>
    <row r="11" spans="1:31" ht="41.25" thickBot="1">
      <c r="A11" s="125">
        <v>7</v>
      </c>
      <c r="B11" s="125" t="s">
        <v>4375</v>
      </c>
      <c r="C11" s="125" t="s">
        <v>668</v>
      </c>
      <c r="D11" s="472" t="s">
        <v>5930</v>
      </c>
      <c r="E11" s="472" t="s">
        <v>5929</v>
      </c>
      <c r="F11" s="480" t="s">
        <v>5928</v>
      </c>
      <c r="G11" s="472" t="s">
        <v>5927</v>
      </c>
      <c r="H11" s="472" t="s">
        <v>5926</v>
      </c>
      <c r="I11" s="472">
        <v>1175</v>
      </c>
      <c r="J11" s="472">
        <v>15</v>
      </c>
      <c r="K11" s="472">
        <v>1160</v>
      </c>
      <c r="L11" s="472"/>
      <c r="M11" s="472"/>
      <c r="N11" s="472" t="s">
        <v>5925</v>
      </c>
      <c r="O11" s="472" t="s">
        <v>5924</v>
      </c>
      <c r="P11" s="472" t="s">
        <v>7</v>
      </c>
      <c r="Q11" s="472" t="s">
        <v>5923</v>
      </c>
      <c r="R11" s="472" t="s">
        <v>36</v>
      </c>
      <c r="S11" s="472" t="s">
        <v>186</v>
      </c>
      <c r="T11" s="472"/>
      <c r="U11" s="472" t="s">
        <v>5922</v>
      </c>
      <c r="V11" s="472">
        <v>240</v>
      </c>
      <c r="W11" s="472">
        <v>240</v>
      </c>
      <c r="X11" s="472"/>
      <c r="Y11" s="472" t="s">
        <v>5921</v>
      </c>
      <c r="Z11" s="256" t="s">
        <v>6098</v>
      </c>
    </row>
    <row r="12" spans="1:31" ht="68.25" thickBot="1">
      <c r="A12" s="193">
        <v>8</v>
      </c>
      <c r="B12" s="193" t="s">
        <v>790</v>
      </c>
      <c r="C12" s="193" t="s">
        <v>5920</v>
      </c>
      <c r="D12" s="194" t="s">
        <v>5919</v>
      </c>
      <c r="E12" s="194" t="s">
        <v>1400</v>
      </c>
      <c r="F12" s="238" t="s">
        <v>5918</v>
      </c>
      <c r="G12" s="194" t="s">
        <v>5917</v>
      </c>
      <c r="H12" s="194" t="s">
        <v>480</v>
      </c>
      <c r="I12" s="194">
        <v>200</v>
      </c>
      <c r="J12" s="194"/>
      <c r="K12" s="194"/>
      <c r="L12" s="194"/>
      <c r="M12" s="194"/>
      <c r="N12" s="194"/>
      <c r="O12" s="194"/>
      <c r="P12" s="194" t="s">
        <v>46</v>
      </c>
      <c r="Q12" s="194" t="s">
        <v>5916</v>
      </c>
      <c r="R12" s="194" t="s">
        <v>36</v>
      </c>
      <c r="S12" s="194" t="s">
        <v>5915</v>
      </c>
      <c r="T12" s="194" t="s">
        <v>5914</v>
      </c>
      <c r="U12" s="194" t="s">
        <v>5913</v>
      </c>
      <c r="V12" s="194">
        <f>SUM(W12:X12)</f>
        <v>60</v>
      </c>
      <c r="W12" s="194">
        <v>58</v>
      </c>
      <c r="X12" s="194">
        <v>2</v>
      </c>
      <c r="Y12" s="194" t="s">
        <v>5912</v>
      </c>
      <c r="Z12" s="159" t="s">
        <v>1148</v>
      </c>
      <c r="AA12"/>
      <c r="AB12"/>
      <c r="AC12"/>
      <c r="AD12"/>
      <c r="AE12"/>
    </row>
    <row r="13" spans="1:31" s="252" customFormat="1">
      <c r="A13" s="334"/>
      <c r="B13" s="334"/>
      <c r="C13" s="334"/>
      <c r="AA13"/>
      <c r="AB13"/>
      <c r="AC13"/>
      <c r="AD13"/>
      <c r="AE13"/>
    </row>
    <row r="14" spans="1:31" s="252" customFormat="1">
      <c r="A14" s="334"/>
      <c r="B14" s="334"/>
      <c r="C14" s="334"/>
      <c r="AA14"/>
      <c r="AB14"/>
      <c r="AC14"/>
      <c r="AD14"/>
      <c r="AE14"/>
    </row>
    <row r="15" spans="1:31" s="252" customFormat="1">
      <c r="A15" s="334"/>
      <c r="B15" s="334"/>
      <c r="C15" s="334"/>
      <c r="AA15"/>
      <c r="AB15"/>
      <c r="AC15"/>
      <c r="AD15"/>
      <c r="AE15"/>
    </row>
    <row r="16" spans="1:31" s="252" customFormat="1">
      <c r="A16" s="334"/>
      <c r="B16" s="334"/>
      <c r="C16" s="334"/>
      <c r="AA16"/>
      <c r="AB16"/>
      <c r="AC16"/>
      <c r="AD16"/>
      <c r="AE16"/>
    </row>
    <row r="17" spans="1:31" s="252" customFormat="1">
      <c r="A17" s="334"/>
      <c r="B17" s="334"/>
      <c r="C17" s="334"/>
      <c r="AA17"/>
      <c r="AB17"/>
      <c r="AC17"/>
      <c r="AD17"/>
      <c r="AE17"/>
    </row>
    <row r="18" spans="1:31" s="252" customFormat="1">
      <c r="A18" s="334"/>
      <c r="B18" s="334"/>
      <c r="C18" s="334"/>
      <c r="AA18"/>
      <c r="AB18"/>
      <c r="AC18"/>
      <c r="AD18"/>
      <c r="AE18"/>
    </row>
    <row r="19" spans="1:31" s="3" customFormat="1">
      <c r="A19" s="16"/>
      <c r="B19" s="16"/>
      <c r="C19" s="16"/>
      <c r="AA19"/>
      <c r="AB19"/>
      <c r="AC19"/>
      <c r="AD19"/>
      <c r="AE19"/>
    </row>
    <row r="20" spans="1:31" s="252" customFormat="1">
      <c r="A20" s="334"/>
      <c r="B20" s="334"/>
      <c r="C20" s="334"/>
      <c r="AA20"/>
      <c r="AB20"/>
      <c r="AC20"/>
      <c r="AD20"/>
      <c r="AE20"/>
    </row>
    <row r="21" spans="1:31" s="252" customFormat="1">
      <c r="A21" s="334"/>
      <c r="B21" s="334"/>
      <c r="C21" s="334"/>
      <c r="AA21"/>
      <c r="AB21"/>
      <c r="AC21"/>
      <c r="AD21"/>
      <c r="AE21"/>
    </row>
    <row r="22" spans="1:31" s="252" customFormat="1">
      <c r="A22" s="334"/>
      <c r="B22" s="334"/>
      <c r="C22" s="334"/>
      <c r="AA22"/>
      <c r="AB22"/>
      <c r="AC22"/>
      <c r="AD22"/>
      <c r="AE22"/>
    </row>
    <row r="23" spans="1:31" s="3" customFormat="1">
      <c r="A23" s="16"/>
      <c r="B23" s="16"/>
      <c r="C23" s="16"/>
    </row>
    <row r="24" spans="1:31" s="252" customFormat="1">
      <c r="A24" s="334"/>
      <c r="B24" s="334"/>
      <c r="C24" s="334"/>
    </row>
    <row r="25" spans="1:31" s="252" customFormat="1">
      <c r="A25" s="334"/>
      <c r="B25" s="334"/>
      <c r="C25" s="334"/>
    </row>
    <row r="26" spans="1:31" s="252" customFormat="1">
      <c r="A26" s="334"/>
      <c r="B26" s="334"/>
      <c r="C26" s="334"/>
    </row>
    <row r="27" spans="1:31">
      <c r="F27" s="89"/>
    </row>
    <row r="28" spans="1:31">
      <c r="F28" s="89"/>
    </row>
    <row r="29" spans="1:31">
      <c r="F29" s="89"/>
    </row>
    <row r="30" spans="1:31">
      <c r="F30" s="89"/>
    </row>
    <row r="31" spans="1:31">
      <c r="F31" s="89"/>
    </row>
    <row r="32" spans="1:31">
      <c r="F32" s="89"/>
    </row>
    <row r="33" spans="1:6">
      <c r="F33" s="89"/>
    </row>
    <row r="34" spans="1:6">
      <c r="F34" s="89"/>
    </row>
    <row r="35" spans="1:6" s="1" customFormat="1">
      <c r="A35" s="8"/>
      <c r="B35" s="8"/>
      <c r="C35" s="8"/>
    </row>
    <row r="36" spans="1:6">
      <c r="F36" s="89"/>
    </row>
    <row r="37" spans="1:6" s="1" customFormat="1">
      <c r="A37" s="8"/>
      <c r="B37" s="8"/>
      <c r="C37" s="8"/>
    </row>
    <row r="38" spans="1:6" s="1" customFormat="1">
      <c r="A38" s="8"/>
      <c r="B38" s="8"/>
      <c r="C38" s="8"/>
    </row>
    <row r="39" spans="1:6" s="1" customFormat="1">
      <c r="A39" s="8"/>
      <c r="B39" s="8"/>
      <c r="C39" s="8"/>
    </row>
    <row r="40" spans="1:6">
      <c r="F40" s="89"/>
    </row>
    <row r="41" spans="1:6">
      <c r="F41" s="89"/>
    </row>
    <row r="42" spans="1:6">
      <c r="F42" s="89"/>
    </row>
    <row r="43" spans="1:6">
      <c r="F43" s="89"/>
    </row>
    <row r="44" spans="1:6">
      <c r="F44" s="89"/>
    </row>
    <row r="45" spans="1:6">
      <c r="F45" s="89"/>
    </row>
    <row r="46" spans="1:6">
      <c r="F46" s="89"/>
    </row>
    <row r="47" spans="1:6" s="1" customFormat="1">
      <c r="A47" s="8"/>
      <c r="B47" s="8"/>
      <c r="C47" s="8"/>
    </row>
    <row r="48" spans="1:6" s="1" customFormat="1">
      <c r="A48" s="8"/>
      <c r="B48" s="8"/>
      <c r="C48" s="8"/>
    </row>
    <row r="49" spans="1:6" s="1" customFormat="1">
      <c r="A49" s="8"/>
      <c r="B49" s="8"/>
      <c r="C49" s="8"/>
    </row>
    <row r="50" spans="1:6" s="1" customFormat="1">
      <c r="A50" s="8"/>
      <c r="B50" s="8"/>
      <c r="C50" s="8"/>
    </row>
    <row r="51" spans="1:6" s="1" customFormat="1">
      <c r="A51" s="8"/>
      <c r="B51" s="8"/>
      <c r="C51" s="8"/>
    </row>
    <row r="52" spans="1:6">
      <c r="F52" s="89"/>
    </row>
    <row r="53" spans="1:6">
      <c r="F53" s="89"/>
    </row>
    <row r="54" spans="1:6">
      <c r="F54" s="89"/>
    </row>
    <row r="56" spans="1:6" s="1" customFormat="1">
      <c r="A56" s="8"/>
      <c r="B56" s="8"/>
      <c r="C56" s="8"/>
    </row>
    <row r="57" spans="1:6" s="1" customFormat="1">
      <c r="A57" s="8"/>
      <c r="B57" s="8"/>
      <c r="C57" s="8"/>
    </row>
    <row r="58" spans="1:6">
      <c r="F58" s="89"/>
    </row>
    <row r="61" spans="1:6" s="1" customFormat="1">
      <c r="A61" s="8"/>
      <c r="B61" s="8"/>
      <c r="C61" s="8"/>
    </row>
    <row r="62" spans="1:6">
      <c r="F62" s="89"/>
    </row>
    <row r="63" spans="1:6">
      <c r="F63" s="89"/>
    </row>
    <row r="64" spans="1:6" s="1" customFormat="1">
      <c r="A64" s="8"/>
      <c r="B64" s="8"/>
      <c r="C64" s="8"/>
    </row>
    <row r="66" spans="1:6" s="1" customFormat="1">
      <c r="A66" s="8"/>
      <c r="B66" s="8"/>
      <c r="C66" s="8"/>
    </row>
    <row r="68" spans="1:6">
      <c r="F68" s="89"/>
    </row>
    <row r="69" spans="1:6" s="1" customFormat="1">
      <c r="A69" s="8"/>
      <c r="B69" s="8"/>
      <c r="C69" s="8"/>
    </row>
    <row r="71" spans="1:6" s="1" customFormat="1">
      <c r="A71" s="8"/>
      <c r="B71" s="8"/>
      <c r="C71" s="8"/>
    </row>
    <row r="72" spans="1:6" s="1" customFormat="1">
      <c r="A72" s="8"/>
      <c r="B72" s="8"/>
      <c r="C72" s="8"/>
    </row>
    <row r="76" spans="1:6" s="1" customFormat="1">
      <c r="A76" s="8"/>
      <c r="B76" s="8"/>
      <c r="C76" s="8"/>
    </row>
    <row r="77" spans="1:6" s="1" customFormat="1">
      <c r="A77" s="8"/>
      <c r="B77" s="8"/>
      <c r="C77" s="8"/>
    </row>
    <row r="78" spans="1:6">
      <c r="F78" s="89"/>
    </row>
    <row r="79" spans="1:6" s="1" customFormat="1">
      <c r="A79" s="8"/>
      <c r="B79" s="8"/>
      <c r="C79" s="8"/>
    </row>
    <row r="81" spans="1:25" s="1" customFormat="1">
      <c r="A81" s="8"/>
      <c r="B81" s="8"/>
      <c r="C81" s="8"/>
    </row>
    <row r="82" spans="1:25" s="1" customFormat="1">
      <c r="A82" s="8"/>
      <c r="B82" s="8"/>
      <c r="C82" s="8"/>
    </row>
    <row r="83" spans="1:25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s="1" customFormat="1">
      <c r="A84" s="8"/>
      <c r="B84" s="8"/>
      <c r="C84" s="8"/>
    </row>
    <row r="85" spans="1:25">
      <c r="F85" s="89"/>
    </row>
    <row r="88" spans="1:25">
      <c r="F88" s="89"/>
    </row>
    <row r="94" spans="1:25">
      <c r="F94" s="89"/>
    </row>
    <row r="95" spans="1:25">
      <c r="F95" s="89"/>
    </row>
  </sheetData>
  <autoFilter ref="A4:Z12"/>
  <mergeCells count="4">
    <mergeCell ref="A1:X2"/>
    <mergeCell ref="I3:M3"/>
    <mergeCell ref="N3:O3"/>
    <mergeCell ref="V3:X3"/>
  </mergeCells>
  <phoneticPr fontId="23" type="noConversion"/>
  <dataValidations count="1">
    <dataValidation type="list" allowBlank="1" showInputMessage="1" showErrorMessage="1" sqref="P5:P12 B5:B12">
      <formula1>#REF!</formula1>
    </dataValidation>
  </dataValidations>
  <pageMargins left="0.7" right="0.7" top="0.75" bottom="0.75" header="0.3" footer="0.3"/>
  <pageSetup paperSize="9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95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24.33203125" style="332" customWidth="1"/>
    <col min="5" max="5" width="14.6640625" style="332" customWidth="1"/>
    <col min="6" max="6" width="47.21875" style="1" customWidth="1"/>
    <col min="7" max="7" width="25.109375" style="332" customWidth="1"/>
    <col min="8" max="8" width="18.44140625" style="89" customWidth="1"/>
    <col min="9" max="9" width="14.21875" style="368" customWidth="1"/>
    <col min="10" max="13" width="7.6640625" style="368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4" width="12.21875" style="89" customWidth="1"/>
    <col min="25" max="25" width="12.21875" style="332" customWidth="1"/>
    <col min="26" max="26" width="21.44140625" style="332" customWidth="1"/>
    <col min="27" max="16384" width="8.88671875" style="89"/>
  </cols>
  <sheetData>
    <row r="1" spans="1:31" s="1" customFormat="1" ht="29.25" customHeigh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8"/>
      <c r="Z1" s="8"/>
      <c r="AA1"/>
      <c r="AB1"/>
      <c r="AC1"/>
    </row>
    <row r="2" spans="1:31" s="3" customFormat="1" ht="17.2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16"/>
      <c r="Z2" s="16"/>
      <c r="AA2"/>
      <c r="AB2"/>
      <c r="AC2"/>
    </row>
    <row r="3" spans="1:31" s="3" customFormat="1" ht="22.5" customHeight="1" thickBot="1">
      <c r="A3" s="4"/>
      <c r="B3" s="4"/>
      <c r="C3" s="4"/>
      <c r="D3" s="4"/>
      <c r="E3" s="4"/>
      <c r="G3" s="4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2"/>
      <c r="Z3" s="16"/>
      <c r="AA3"/>
      <c r="AB3"/>
      <c r="AC3"/>
    </row>
    <row r="4" spans="1:31" s="1" customFormat="1" ht="63.6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277" t="s">
        <v>139</v>
      </c>
      <c r="J4" s="277" t="s">
        <v>140</v>
      </c>
      <c r="K4" s="277" t="s">
        <v>4</v>
      </c>
      <c r="L4" s="277" t="s">
        <v>141</v>
      </c>
      <c r="M4" s="277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124" t="s">
        <v>1152</v>
      </c>
      <c r="AA4"/>
      <c r="AB4"/>
      <c r="AC4"/>
      <c r="AD4"/>
      <c r="AE4"/>
    </row>
    <row r="5" spans="1:31" ht="67.5">
      <c r="A5" s="296">
        <v>1</v>
      </c>
      <c r="B5" s="296" t="s">
        <v>669</v>
      </c>
      <c r="C5" s="296" t="s">
        <v>670</v>
      </c>
      <c r="D5" s="282" t="s">
        <v>5980</v>
      </c>
      <c r="E5" s="282" t="s">
        <v>5979</v>
      </c>
      <c r="F5" s="297" t="s">
        <v>1185</v>
      </c>
      <c r="G5" s="282" t="s">
        <v>5978</v>
      </c>
      <c r="H5" s="282" t="s">
        <v>671</v>
      </c>
      <c r="I5" s="298">
        <v>500</v>
      </c>
      <c r="J5" s="298">
        <v>0</v>
      </c>
      <c r="K5" s="298">
        <v>200</v>
      </c>
      <c r="L5" s="298">
        <v>300</v>
      </c>
      <c r="M5" s="298">
        <v>0</v>
      </c>
      <c r="N5" s="282"/>
      <c r="O5" s="282"/>
      <c r="P5" s="282" t="s">
        <v>52</v>
      </c>
      <c r="Q5" s="282" t="s">
        <v>672</v>
      </c>
      <c r="R5" s="282" t="s">
        <v>56</v>
      </c>
      <c r="S5" s="282" t="s">
        <v>83</v>
      </c>
      <c r="T5" s="282" t="s">
        <v>673</v>
      </c>
      <c r="U5" s="282" t="s">
        <v>674</v>
      </c>
      <c r="V5" s="282">
        <v>265</v>
      </c>
      <c r="W5" s="282">
        <v>265</v>
      </c>
      <c r="X5" s="282"/>
      <c r="Y5" s="282" t="s">
        <v>675</v>
      </c>
      <c r="Z5" s="299" t="s">
        <v>1148</v>
      </c>
      <c r="AA5"/>
      <c r="AB5"/>
      <c r="AC5"/>
      <c r="AD5"/>
      <c r="AE5"/>
    </row>
    <row r="6" spans="1:31" s="1" customFormat="1" ht="67.5">
      <c r="A6" s="278">
        <v>2</v>
      </c>
      <c r="B6" s="278" t="s">
        <v>669</v>
      </c>
      <c r="C6" s="278" t="s">
        <v>676</v>
      </c>
      <c r="D6" s="279" t="s">
        <v>1447</v>
      </c>
      <c r="E6" s="279" t="s">
        <v>677</v>
      </c>
      <c r="F6" s="280" t="s">
        <v>1186</v>
      </c>
      <c r="G6" s="279" t="s">
        <v>678</v>
      </c>
      <c r="H6" s="279" t="s">
        <v>679</v>
      </c>
      <c r="I6" s="281">
        <v>1300</v>
      </c>
      <c r="J6" s="281"/>
      <c r="K6" s="281">
        <v>300</v>
      </c>
      <c r="L6" s="281">
        <v>1000</v>
      </c>
      <c r="M6" s="281"/>
      <c r="N6" s="279"/>
      <c r="O6" s="279"/>
      <c r="P6" s="279" t="s">
        <v>48</v>
      </c>
      <c r="Q6" s="279" t="s">
        <v>680</v>
      </c>
      <c r="R6" s="279" t="s">
        <v>56</v>
      </c>
      <c r="S6" s="279" t="s">
        <v>681</v>
      </c>
      <c r="T6" s="279" t="s">
        <v>682</v>
      </c>
      <c r="U6" s="279" t="s">
        <v>47</v>
      </c>
      <c r="V6" s="279">
        <v>320</v>
      </c>
      <c r="W6" s="279">
        <v>320</v>
      </c>
      <c r="X6" s="279"/>
      <c r="Y6" s="279" t="s">
        <v>683</v>
      </c>
      <c r="Z6" s="299" t="s">
        <v>1148</v>
      </c>
      <c r="AA6"/>
      <c r="AB6"/>
      <c r="AC6"/>
      <c r="AD6"/>
      <c r="AE6"/>
    </row>
    <row r="7" spans="1:31" s="1" customFormat="1" ht="40.5">
      <c r="A7" s="278">
        <v>3</v>
      </c>
      <c r="B7" s="278" t="s">
        <v>669</v>
      </c>
      <c r="C7" s="278" t="s">
        <v>676</v>
      </c>
      <c r="D7" s="279" t="s">
        <v>684</v>
      </c>
      <c r="E7" s="279" t="s">
        <v>650</v>
      </c>
      <c r="F7" s="280" t="s">
        <v>1187</v>
      </c>
      <c r="G7" s="279" t="s">
        <v>5977</v>
      </c>
      <c r="H7" s="279" t="s">
        <v>646</v>
      </c>
      <c r="I7" s="281">
        <v>129.5</v>
      </c>
      <c r="J7" s="281"/>
      <c r="K7" s="281"/>
      <c r="L7" s="281">
        <v>129.5</v>
      </c>
      <c r="M7" s="281"/>
      <c r="N7" s="279"/>
      <c r="O7" s="279"/>
      <c r="P7" s="279" t="s">
        <v>46</v>
      </c>
      <c r="Q7" s="279" t="s">
        <v>685</v>
      </c>
      <c r="R7" s="279" t="s">
        <v>56</v>
      </c>
      <c r="S7" s="279" t="s">
        <v>686</v>
      </c>
      <c r="T7" s="279" t="s">
        <v>61</v>
      </c>
      <c r="U7" s="279" t="s">
        <v>687</v>
      </c>
      <c r="V7" s="279">
        <v>5</v>
      </c>
      <c r="W7" s="279">
        <v>5</v>
      </c>
      <c r="X7" s="279"/>
      <c r="Y7" s="279" t="s">
        <v>688</v>
      </c>
      <c r="Z7" s="137"/>
      <c r="AA7"/>
      <c r="AB7"/>
      <c r="AC7"/>
      <c r="AD7"/>
      <c r="AE7"/>
    </row>
    <row r="8" spans="1:31" ht="54">
      <c r="A8" s="296">
        <v>4</v>
      </c>
      <c r="B8" s="296" t="s">
        <v>669</v>
      </c>
      <c r="C8" s="296" t="s">
        <v>676</v>
      </c>
      <c r="D8" s="282" t="s">
        <v>689</v>
      </c>
      <c r="E8" s="282" t="s">
        <v>690</v>
      </c>
      <c r="F8" s="297" t="s">
        <v>1188</v>
      </c>
      <c r="G8" s="282" t="s">
        <v>5976</v>
      </c>
      <c r="H8" s="282" t="s">
        <v>691</v>
      </c>
      <c r="I8" s="298">
        <v>130</v>
      </c>
      <c r="J8" s="298" t="s">
        <v>692</v>
      </c>
      <c r="K8" s="298" t="s">
        <v>692</v>
      </c>
      <c r="L8" s="298">
        <v>130</v>
      </c>
      <c r="M8" s="298" t="s">
        <v>692</v>
      </c>
      <c r="N8" s="282" t="s">
        <v>692</v>
      </c>
      <c r="O8" s="282" t="s">
        <v>692</v>
      </c>
      <c r="P8" s="282" t="s">
        <v>50</v>
      </c>
      <c r="Q8" s="282" t="s">
        <v>693</v>
      </c>
      <c r="R8" s="282" t="s">
        <v>56</v>
      </c>
      <c r="S8" s="282" t="s">
        <v>694</v>
      </c>
      <c r="T8" s="282" t="s">
        <v>61</v>
      </c>
      <c r="U8" s="282" t="s">
        <v>76</v>
      </c>
      <c r="V8" s="282">
        <v>28500</v>
      </c>
      <c r="W8" s="282">
        <v>28500</v>
      </c>
      <c r="X8" s="282" t="s">
        <v>692</v>
      </c>
      <c r="Y8" s="282" t="s">
        <v>695</v>
      </c>
      <c r="Z8" s="299" t="s">
        <v>1148</v>
      </c>
      <c r="AA8"/>
      <c r="AB8"/>
      <c r="AC8"/>
      <c r="AD8"/>
      <c r="AE8"/>
    </row>
    <row r="9" spans="1:31" ht="40.5">
      <c r="A9" s="296">
        <v>5</v>
      </c>
      <c r="B9" s="296" t="s">
        <v>669</v>
      </c>
      <c r="C9" s="296" t="s">
        <v>676</v>
      </c>
      <c r="D9" s="282" t="s">
        <v>696</v>
      </c>
      <c r="E9" s="282" t="s">
        <v>697</v>
      </c>
      <c r="F9" s="297" t="s">
        <v>1189</v>
      </c>
      <c r="G9" s="282" t="s">
        <v>698</v>
      </c>
      <c r="H9" s="282" t="s">
        <v>699</v>
      </c>
      <c r="I9" s="298">
        <v>170</v>
      </c>
      <c r="J9" s="298"/>
      <c r="K9" s="298"/>
      <c r="L9" s="298">
        <v>170</v>
      </c>
      <c r="M9" s="298"/>
      <c r="N9" s="282"/>
      <c r="O9" s="282"/>
      <c r="P9" s="282" t="s">
        <v>46</v>
      </c>
      <c r="Q9" s="282" t="s">
        <v>700</v>
      </c>
      <c r="R9" s="282" t="s">
        <v>56</v>
      </c>
      <c r="S9" s="282" t="s">
        <v>694</v>
      </c>
      <c r="T9" s="282" t="s">
        <v>61</v>
      </c>
      <c r="U9" s="282" t="s">
        <v>76</v>
      </c>
      <c r="V9" s="282">
        <v>200</v>
      </c>
      <c r="W9" s="282">
        <v>200</v>
      </c>
      <c r="X9" s="282"/>
      <c r="Y9" s="282" t="s">
        <v>701</v>
      </c>
      <c r="Z9" s="378" t="s">
        <v>1148</v>
      </c>
      <c r="AA9"/>
      <c r="AB9"/>
      <c r="AC9"/>
      <c r="AD9"/>
      <c r="AE9"/>
    </row>
    <row r="10" spans="1:31" ht="81">
      <c r="A10" s="296">
        <v>6</v>
      </c>
      <c r="B10" s="296" t="s">
        <v>669</v>
      </c>
      <c r="C10" s="296" t="s">
        <v>702</v>
      </c>
      <c r="D10" s="282" t="s">
        <v>703</v>
      </c>
      <c r="E10" s="282" t="s">
        <v>5975</v>
      </c>
      <c r="F10" s="297" t="s">
        <v>1190</v>
      </c>
      <c r="G10" s="282" t="s">
        <v>5974</v>
      </c>
      <c r="H10" s="282" t="s">
        <v>705</v>
      </c>
      <c r="I10" s="298">
        <v>500</v>
      </c>
      <c r="J10" s="298">
        <v>0</v>
      </c>
      <c r="K10" s="298">
        <v>200</v>
      </c>
      <c r="L10" s="298">
        <v>300</v>
      </c>
      <c r="M10" s="298"/>
      <c r="N10" s="282"/>
      <c r="O10" s="282"/>
      <c r="P10" s="282" t="s">
        <v>46</v>
      </c>
      <c r="Q10" s="282" t="s">
        <v>94</v>
      </c>
      <c r="R10" s="282" t="s">
        <v>56</v>
      </c>
      <c r="S10" s="282" t="s">
        <v>83</v>
      </c>
      <c r="T10" s="282"/>
      <c r="U10" s="282" t="s">
        <v>76</v>
      </c>
      <c r="V10" s="282">
        <v>151</v>
      </c>
      <c r="W10" s="282">
        <v>150</v>
      </c>
      <c r="X10" s="282">
        <v>150</v>
      </c>
      <c r="Y10" s="282" t="s">
        <v>94</v>
      </c>
      <c r="Z10" s="299" t="s">
        <v>1148</v>
      </c>
      <c r="AA10"/>
      <c r="AB10"/>
      <c r="AC10"/>
      <c r="AD10"/>
      <c r="AE10"/>
    </row>
    <row r="11" spans="1:31" ht="54">
      <c r="A11" s="296">
        <v>7</v>
      </c>
      <c r="B11" s="296" t="s">
        <v>669</v>
      </c>
      <c r="C11" s="296" t="s">
        <v>702</v>
      </c>
      <c r="D11" s="282" t="s">
        <v>706</v>
      </c>
      <c r="E11" s="282" t="s">
        <v>1446</v>
      </c>
      <c r="F11" s="297" t="s">
        <v>1191</v>
      </c>
      <c r="G11" s="282" t="s">
        <v>707</v>
      </c>
      <c r="H11" s="282" t="s">
        <v>708</v>
      </c>
      <c r="I11" s="298">
        <v>210</v>
      </c>
      <c r="J11" s="298">
        <v>210</v>
      </c>
      <c r="K11" s="298"/>
      <c r="L11" s="298"/>
      <c r="M11" s="298"/>
      <c r="N11" s="282" t="s">
        <v>709</v>
      </c>
      <c r="O11" s="282" t="s">
        <v>710</v>
      </c>
      <c r="P11" s="282" t="s">
        <v>50</v>
      </c>
      <c r="Q11" s="282" t="s">
        <v>711</v>
      </c>
      <c r="R11" s="282" t="s">
        <v>712</v>
      </c>
      <c r="S11" s="282" t="s">
        <v>83</v>
      </c>
      <c r="T11" s="282" t="s">
        <v>61</v>
      </c>
      <c r="U11" s="282" t="s">
        <v>76</v>
      </c>
      <c r="V11" s="282">
        <v>0</v>
      </c>
      <c r="W11" s="282"/>
      <c r="X11" s="282"/>
      <c r="Y11" s="282" t="s">
        <v>713</v>
      </c>
      <c r="Z11" s="299" t="s">
        <v>1148</v>
      </c>
      <c r="AA11"/>
      <c r="AB11"/>
      <c r="AC11"/>
      <c r="AD11"/>
      <c r="AE11"/>
    </row>
    <row r="12" spans="1:31" ht="81">
      <c r="A12" s="296">
        <v>8</v>
      </c>
      <c r="B12" s="296" t="s">
        <v>669</v>
      </c>
      <c r="C12" s="296" t="s">
        <v>714</v>
      </c>
      <c r="D12" s="282" t="s">
        <v>715</v>
      </c>
      <c r="E12" s="282" t="s">
        <v>5973</v>
      </c>
      <c r="F12" s="297" t="s">
        <v>1192</v>
      </c>
      <c r="G12" s="282" t="s">
        <v>5972</v>
      </c>
      <c r="H12" s="282" t="s">
        <v>716</v>
      </c>
      <c r="I12" s="298">
        <v>600</v>
      </c>
      <c r="J12" s="298">
        <v>0</v>
      </c>
      <c r="K12" s="298">
        <v>200</v>
      </c>
      <c r="L12" s="298">
        <v>400</v>
      </c>
      <c r="M12" s="298">
        <v>0</v>
      </c>
      <c r="N12" s="282"/>
      <c r="O12" s="282"/>
      <c r="P12" s="282" t="s">
        <v>52</v>
      </c>
      <c r="Q12" s="282" t="s">
        <v>717</v>
      </c>
      <c r="R12" s="282" t="s">
        <v>56</v>
      </c>
      <c r="S12" s="282" t="s">
        <v>83</v>
      </c>
      <c r="T12" s="282" t="s">
        <v>718</v>
      </c>
      <c r="U12" s="282" t="s">
        <v>76</v>
      </c>
      <c r="V12" s="282">
        <v>170</v>
      </c>
      <c r="W12" s="282">
        <v>170</v>
      </c>
      <c r="X12" s="282" t="s">
        <v>692</v>
      </c>
      <c r="Y12" s="282" t="s">
        <v>719</v>
      </c>
      <c r="Z12" s="299" t="s">
        <v>6099</v>
      </c>
      <c r="AA12"/>
      <c r="AB12"/>
      <c r="AC12"/>
      <c r="AD12"/>
      <c r="AE12"/>
    </row>
    <row r="13" spans="1:31" ht="40.5">
      <c r="A13" s="296">
        <v>9</v>
      </c>
      <c r="B13" s="296" t="s">
        <v>669</v>
      </c>
      <c r="C13" s="296" t="s">
        <v>720</v>
      </c>
      <c r="D13" s="282" t="s">
        <v>721</v>
      </c>
      <c r="E13" s="282" t="s">
        <v>4663</v>
      </c>
      <c r="F13" s="297" t="s">
        <v>1193</v>
      </c>
      <c r="G13" s="282" t="s">
        <v>5971</v>
      </c>
      <c r="H13" s="282" t="s">
        <v>291</v>
      </c>
      <c r="I13" s="298">
        <v>460</v>
      </c>
      <c r="J13" s="298">
        <v>0</v>
      </c>
      <c r="K13" s="298">
        <v>200</v>
      </c>
      <c r="L13" s="298">
        <v>250</v>
      </c>
      <c r="M13" s="298">
        <v>10</v>
      </c>
      <c r="N13" s="282"/>
      <c r="O13" s="282"/>
      <c r="P13" s="282" t="s">
        <v>46</v>
      </c>
      <c r="Q13" s="282" t="s">
        <v>722</v>
      </c>
      <c r="R13" s="282" t="s">
        <v>56</v>
      </c>
      <c r="S13" s="282" t="s">
        <v>265</v>
      </c>
      <c r="T13" s="282" t="s">
        <v>61</v>
      </c>
      <c r="U13" s="282" t="s">
        <v>76</v>
      </c>
      <c r="V13" s="282">
        <v>170</v>
      </c>
      <c r="W13" s="282">
        <v>170</v>
      </c>
      <c r="X13" s="282">
        <v>0</v>
      </c>
      <c r="Y13" s="282" t="s">
        <v>204</v>
      </c>
      <c r="Z13" s="366"/>
    </row>
    <row r="14" spans="1:31" ht="67.5">
      <c r="A14" s="296">
        <v>10</v>
      </c>
      <c r="B14" s="296" t="s">
        <v>669</v>
      </c>
      <c r="C14" s="379" t="s">
        <v>720</v>
      </c>
      <c r="D14" s="296" t="s">
        <v>723</v>
      </c>
      <c r="E14" s="282" t="s">
        <v>294</v>
      </c>
      <c r="F14" s="297" t="s">
        <v>1194</v>
      </c>
      <c r="G14" s="282" t="s">
        <v>6088</v>
      </c>
      <c r="H14" s="282" t="s">
        <v>5970</v>
      </c>
      <c r="I14" s="298">
        <v>908</v>
      </c>
      <c r="J14" s="380">
        <v>58</v>
      </c>
      <c r="K14" s="380">
        <v>200</v>
      </c>
      <c r="L14" s="380">
        <v>650</v>
      </c>
      <c r="M14" s="380"/>
      <c r="N14" s="296" t="s">
        <v>44</v>
      </c>
      <c r="O14" s="296" t="s">
        <v>45</v>
      </c>
      <c r="P14" s="282" t="s">
        <v>52</v>
      </c>
      <c r="Q14" s="282" t="s">
        <v>724</v>
      </c>
      <c r="R14" s="282" t="s">
        <v>56</v>
      </c>
      <c r="S14" s="282" t="s">
        <v>83</v>
      </c>
      <c r="T14" s="282" t="s">
        <v>725</v>
      </c>
      <c r="U14" s="282" t="s">
        <v>76</v>
      </c>
      <c r="V14" s="282">
        <v>153</v>
      </c>
      <c r="W14" s="282">
        <v>153</v>
      </c>
      <c r="X14" s="282"/>
      <c r="Y14" s="282" t="s">
        <v>726</v>
      </c>
      <c r="Z14" s="299" t="s">
        <v>6047</v>
      </c>
      <c r="AA14"/>
      <c r="AB14"/>
      <c r="AC14"/>
      <c r="AD14"/>
      <c r="AE14"/>
    </row>
    <row r="15" spans="1:31" ht="54">
      <c r="A15" s="296">
        <v>11</v>
      </c>
      <c r="B15" s="296" t="s">
        <v>669</v>
      </c>
      <c r="C15" s="379" t="s">
        <v>727</v>
      </c>
      <c r="D15" s="282" t="s">
        <v>5969</v>
      </c>
      <c r="E15" s="282" t="s">
        <v>1195</v>
      </c>
      <c r="F15" s="297" t="s">
        <v>1196</v>
      </c>
      <c r="G15" s="282" t="s">
        <v>728</v>
      </c>
      <c r="H15" s="282" t="s">
        <v>729</v>
      </c>
      <c r="I15" s="298">
        <v>1000</v>
      </c>
      <c r="J15" s="380"/>
      <c r="K15" s="380">
        <v>500</v>
      </c>
      <c r="L15" s="380"/>
      <c r="M15" s="380">
        <v>500</v>
      </c>
      <c r="N15" s="296"/>
      <c r="O15" s="296"/>
      <c r="P15" s="282" t="s">
        <v>48</v>
      </c>
      <c r="Q15" s="282" t="s">
        <v>90</v>
      </c>
      <c r="R15" s="282" t="s">
        <v>56</v>
      </c>
      <c r="S15" s="282" t="s">
        <v>91</v>
      </c>
      <c r="T15" s="282" t="s">
        <v>61</v>
      </c>
      <c r="U15" s="282" t="s">
        <v>76</v>
      </c>
      <c r="V15" s="282">
        <v>139</v>
      </c>
      <c r="W15" s="282">
        <v>139</v>
      </c>
      <c r="X15" s="282"/>
      <c r="Y15" s="282" t="s">
        <v>204</v>
      </c>
      <c r="Z15" s="378" t="s">
        <v>1148</v>
      </c>
      <c r="AA15"/>
      <c r="AB15"/>
      <c r="AC15"/>
      <c r="AD15"/>
      <c r="AE15"/>
    </row>
    <row r="16" spans="1:31" ht="67.5">
      <c r="A16" s="296">
        <v>12</v>
      </c>
      <c r="B16" s="296" t="s">
        <v>669</v>
      </c>
      <c r="C16" s="379" t="s">
        <v>727</v>
      </c>
      <c r="D16" s="282" t="s">
        <v>1445</v>
      </c>
      <c r="E16" s="282" t="s">
        <v>730</v>
      </c>
      <c r="F16" s="297" t="s">
        <v>1197</v>
      </c>
      <c r="G16" s="282" t="s">
        <v>5968</v>
      </c>
      <c r="H16" s="282" t="s">
        <v>646</v>
      </c>
      <c r="I16" s="298">
        <v>150</v>
      </c>
      <c r="J16" s="380"/>
      <c r="K16" s="380">
        <v>150</v>
      </c>
      <c r="L16" s="380"/>
      <c r="M16" s="380"/>
      <c r="N16" s="296"/>
      <c r="O16" s="296"/>
      <c r="P16" s="282" t="s">
        <v>67</v>
      </c>
      <c r="Q16" s="282" t="s">
        <v>731</v>
      </c>
      <c r="R16" s="282" t="s">
        <v>56</v>
      </c>
      <c r="S16" s="282"/>
      <c r="T16" s="282" t="s">
        <v>61</v>
      </c>
      <c r="U16" s="282" t="s">
        <v>47</v>
      </c>
      <c r="V16" s="282">
        <v>305</v>
      </c>
      <c r="W16" s="282">
        <v>305</v>
      </c>
      <c r="X16" s="282"/>
      <c r="Y16" s="282" t="s">
        <v>732</v>
      </c>
      <c r="Z16" s="378" t="s">
        <v>1148</v>
      </c>
      <c r="AA16"/>
      <c r="AB16"/>
      <c r="AC16"/>
      <c r="AD16"/>
      <c r="AE16"/>
    </row>
    <row r="17" spans="1:31" ht="40.5">
      <c r="A17" s="296">
        <v>13</v>
      </c>
      <c r="B17" s="296" t="s">
        <v>669</v>
      </c>
      <c r="C17" s="379" t="s">
        <v>727</v>
      </c>
      <c r="D17" s="282" t="s">
        <v>5967</v>
      </c>
      <c r="E17" s="282" t="s">
        <v>1439</v>
      </c>
      <c r="F17" s="297" t="s">
        <v>1198</v>
      </c>
      <c r="G17" s="282" t="s">
        <v>5966</v>
      </c>
      <c r="H17" s="282" t="s">
        <v>581</v>
      </c>
      <c r="I17" s="298">
        <v>470</v>
      </c>
      <c r="J17" s="380"/>
      <c r="K17" s="380">
        <v>470</v>
      </c>
      <c r="L17" s="380"/>
      <c r="M17" s="380"/>
      <c r="N17" s="296"/>
      <c r="O17" s="296"/>
      <c r="P17" s="282" t="s">
        <v>7</v>
      </c>
      <c r="Q17" s="282" t="s">
        <v>132</v>
      </c>
      <c r="R17" s="282" t="s">
        <v>56</v>
      </c>
      <c r="S17" s="282" t="s">
        <v>91</v>
      </c>
      <c r="T17" s="282" t="s">
        <v>49</v>
      </c>
      <c r="U17" s="282" t="s">
        <v>47</v>
      </c>
      <c r="V17" s="282">
        <v>96</v>
      </c>
      <c r="W17" s="282">
        <v>96</v>
      </c>
      <c r="X17" s="282"/>
      <c r="Y17" s="282" t="s">
        <v>5965</v>
      </c>
      <c r="Z17" s="366"/>
    </row>
    <row r="18" spans="1:31" ht="27">
      <c r="A18" s="296">
        <v>14</v>
      </c>
      <c r="B18" s="296" t="s">
        <v>669</v>
      </c>
      <c r="C18" s="379" t="s">
        <v>727</v>
      </c>
      <c r="D18" s="282" t="s">
        <v>733</v>
      </c>
      <c r="E18" s="282" t="s">
        <v>734</v>
      </c>
      <c r="F18" s="297" t="s">
        <v>1199</v>
      </c>
      <c r="G18" s="282" t="s">
        <v>735</v>
      </c>
      <c r="H18" s="282" t="s">
        <v>736</v>
      </c>
      <c r="I18" s="298">
        <v>250</v>
      </c>
      <c r="J18" s="298"/>
      <c r="K18" s="298">
        <v>250</v>
      </c>
      <c r="L18" s="298"/>
      <c r="M18" s="298"/>
      <c r="N18" s="282"/>
      <c r="O18" s="282"/>
      <c r="P18" s="282" t="s">
        <v>50</v>
      </c>
      <c r="Q18" s="282" t="s">
        <v>737</v>
      </c>
      <c r="R18" s="282" t="s">
        <v>56</v>
      </c>
      <c r="S18" s="282" t="s">
        <v>738</v>
      </c>
      <c r="T18" s="282" t="s">
        <v>61</v>
      </c>
      <c r="U18" s="282" t="s">
        <v>76</v>
      </c>
      <c r="V18" s="282">
        <v>20</v>
      </c>
      <c r="W18" s="282">
        <v>20</v>
      </c>
      <c r="X18" s="282"/>
      <c r="Y18" s="282" t="s">
        <v>739</v>
      </c>
      <c r="Z18" s="366"/>
    </row>
    <row r="19" spans="1:31" s="1" customFormat="1" ht="40.5">
      <c r="A19" s="278">
        <v>15</v>
      </c>
      <c r="B19" s="278" t="s">
        <v>669</v>
      </c>
      <c r="C19" s="283" t="s">
        <v>727</v>
      </c>
      <c r="D19" s="278" t="s">
        <v>740</v>
      </c>
      <c r="E19" s="279" t="s">
        <v>741</v>
      </c>
      <c r="F19" s="280" t="s">
        <v>1200</v>
      </c>
      <c r="G19" s="279" t="s">
        <v>742</v>
      </c>
      <c r="H19" s="279" t="s">
        <v>646</v>
      </c>
      <c r="I19" s="281">
        <v>570</v>
      </c>
      <c r="J19" s="284"/>
      <c r="K19" s="284">
        <v>570</v>
      </c>
      <c r="L19" s="284"/>
      <c r="M19" s="284"/>
      <c r="N19" s="278"/>
      <c r="O19" s="278"/>
      <c r="P19" s="279" t="s">
        <v>52</v>
      </c>
      <c r="Q19" s="279" t="s">
        <v>743</v>
      </c>
      <c r="R19" s="279" t="s">
        <v>56</v>
      </c>
      <c r="S19" s="279" t="s">
        <v>744</v>
      </c>
      <c r="T19" s="279" t="s">
        <v>61</v>
      </c>
      <c r="U19" s="279" t="s">
        <v>76</v>
      </c>
      <c r="V19" s="279">
        <v>130</v>
      </c>
      <c r="W19" s="279">
        <v>120</v>
      </c>
      <c r="X19" s="279">
        <v>10</v>
      </c>
      <c r="Y19" s="279" t="s">
        <v>745</v>
      </c>
      <c r="Z19" s="299" t="s">
        <v>6100</v>
      </c>
    </row>
    <row r="20" spans="1:31" ht="27">
      <c r="A20" s="296">
        <v>16</v>
      </c>
      <c r="B20" s="296" t="s">
        <v>669</v>
      </c>
      <c r="C20" s="282" t="s">
        <v>727</v>
      </c>
      <c r="D20" s="282" t="s">
        <v>746</v>
      </c>
      <c r="E20" s="282" t="s">
        <v>747</v>
      </c>
      <c r="F20" s="297" t="s">
        <v>1201</v>
      </c>
      <c r="G20" s="282" t="s">
        <v>5964</v>
      </c>
      <c r="H20" s="282" t="s">
        <v>748</v>
      </c>
      <c r="I20" s="298">
        <v>1155</v>
      </c>
      <c r="J20" s="381"/>
      <c r="K20" s="381">
        <v>700</v>
      </c>
      <c r="L20" s="381">
        <v>350</v>
      </c>
      <c r="M20" s="381">
        <v>105</v>
      </c>
      <c r="N20" s="379"/>
      <c r="O20" s="379"/>
      <c r="P20" s="282" t="s">
        <v>46</v>
      </c>
      <c r="Q20" s="282" t="s">
        <v>749</v>
      </c>
      <c r="R20" s="282" t="s">
        <v>56</v>
      </c>
      <c r="S20" s="282" t="s">
        <v>750</v>
      </c>
      <c r="T20" s="282" t="s">
        <v>61</v>
      </c>
      <c r="U20" s="282" t="s">
        <v>76</v>
      </c>
      <c r="V20" s="282">
        <v>63</v>
      </c>
      <c r="W20" s="282">
        <v>63</v>
      </c>
      <c r="X20" s="282"/>
      <c r="Y20" s="282" t="s">
        <v>751</v>
      </c>
      <c r="Z20" s="434" t="s">
        <v>5963</v>
      </c>
      <c r="AA20"/>
      <c r="AB20"/>
      <c r="AC20"/>
      <c r="AD20"/>
      <c r="AE20"/>
    </row>
    <row r="21" spans="1:31" ht="27">
      <c r="A21" s="296">
        <v>17</v>
      </c>
      <c r="B21" s="296" t="s">
        <v>669</v>
      </c>
      <c r="C21" s="296" t="s">
        <v>727</v>
      </c>
      <c r="D21" s="282" t="s">
        <v>752</v>
      </c>
      <c r="E21" s="282" t="s">
        <v>753</v>
      </c>
      <c r="F21" s="297" t="s">
        <v>1202</v>
      </c>
      <c r="G21" s="282" t="s">
        <v>754</v>
      </c>
      <c r="H21" s="282" t="s">
        <v>755</v>
      </c>
      <c r="I21" s="298">
        <v>340</v>
      </c>
      <c r="J21" s="364"/>
      <c r="K21" s="364">
        <v>340</v>
      </c>
      <c r="L21" s="364"/>
      <c r="M21" s="364"/>
      <c r="N21" s="365"/>
      <c r="O21" s="365"/>
      <c r="P21" s="296" t="s">
        <v>46</v>
      </c>
      <c r="Q21" s="296" t="s">
        <v>70</v>
      </c>
      <c r="R21" s="282" t="s">
        <v>56</v>
      </c>
      <c r="S21" s="282" t="s">
        <v>681</v>
      </c>
      <c r="T21" s="296" t="s">
        <v>61</v>
      </c>
      <c r="U21" s="282" t="s">
        <v>76</v>
      </c>
      <c r="V21" s="282">
        <v>2</v>
      </c>
      <c r="W21" s="282">
        <v>2</v>
      </c>
      <c r="X21" s="282"/>
      <c r="Y21" s="282" t="s">
        <v>756</v>
      </c>
      <c r="Z21" s="299" t="s">
        <v>1148</v>
      </c>
      <c r="AA21"/>
      <c r="AB21"/>
      <c r="AC21"/>
      <c r="AD21"/>
      <c r="AE21"/>
    </row>
    <row r="22" spans="1:31" ht="54">
      <c r="A22" s="296">
        <v>18</v>
      </c>
      <c r="B22" s="296" t="s">
        <v>669</v>
      </c>
      <c r="C22" s="282" t="s">
        <v>727</v>
      </c>
      <c r="D22" s="282" t="s">
        <v>757</v>
      </c>
      <c r="E22" s="282" t="s">
        <v>758</v>
      </c>
      <c r="F22" s="403" t="s">
        <v>1203</v>
      </c>
      <c r="G22" s="282" t="s">
        <v>759</v>
      </c>
      <c r="H22" s="282" t="s">
        <v>760</v>
      </c>
      <c r="I22" s="298">
        <v>600</v>
      </c>
      <c r="J22" s="298">
        <v>0</v>
      </c>
      <c r="K22" s="298">
        <v>600</v>
      </c>
      <c r="L22" s="298">
        <v>0</v>
      </c>
      <c r="M22" s="298">
        <v>0</v>
      </c>
      <c r="N22" s="282"/>
      <c r="O22" s="282"/>
      <c r="P22" s="282" t="s">
        <v>46</v>
      </c>
      <c r="Q22" s="282" t="s">
        <v>761</v>
      </c>
      <c r="R22" s="282" t="s">
        <v>762</v>
      </c>
      <c r="S22" s="282" t="s">
        <v>763</v>
      </c>
      <c r="T22" s="282" t="s">
        <v>764</v>
      </c>
      <c r="U22" s="282" t="s">
        <v>765</v>
      </c>
      <c r="V22" s="282">
        <v>35</v>
      </c>
      <c r="W22" s="282">
        <v>35</v>
      </c>
      <c r="X22" s="282">
        <v>0</v>
      </c>
      <c r="Y22" s="282" t="s">
        <v>732</v>
      </c>
      <c r="Z22" s="299" t="s">
        <v>6076</v>
      </c>
    </row>
    <row r="23" spans="1:31" s="1" customFormat="1" ht="40.5">
      <c r="A23" s="278">
        <v>19</v>
      </c>
      <c r="B23" s="278" t="s">
        <v>669</v>
      </c>
      <c r="C23" s="279" t="s">
        <v>727</v>
      </c>
      <c r="D23" s="278" t="s">
        <v>766</v>
      </c>
      <c r="E23" s="279" t="s">
        <v>767</v>
      </c>
      <c r="F23" s="280" t="s">
        <v>1204</v>
      </c>
      <c r="G23" s="279" t="s">
        <v>5962</v>
      </c>
      <c r="H23" s="279" t="s">
        <v>768</v>
      </c>
      <c r="I23" s="281">
        <v>280</v>
      </c>
      <c r="J23" s="281"/>
      <c r="K23" s="281">
        <v>280</v>
      </c>
      <c r="L23" s="281"/>
      <c r="M23" s="281"/>
      <c r="N23" s="279"/>
      <c r="O23" s="279"/>
      <c r="P23" s="279" t="s">
        <v>46</v>
      </c>
      <c r="Q23" s="279" t="s">
        <v>769</v>
      </c>
      <c r="R23" s="279" t="s">
        <v>56</v>
      </c>
      <c r="S23" s="279" t="s">
        <v>750</v>
      </c>
      <c r="T23" s="279" t="s">
        <v>61</v>
      </c>
      <c r="U23" s="279" t="s">
        <v>76</v>
      </c>
      <c r="V23" s="279">
        <v>10</v>
      </c>
      <c r="W23" s="279">
        <v>10</v>
      </c>
      <c r="X23" s="279"/>
      <c r="Y23" s="279" t="s">
        <v>770</v>
      </c>
      <c r="Z23" s="461" t="s">
        <v>6009</v>
      </c>
    </row>
    <row r="24" spans="1:31" ht="40.5">
      <c r="A24" s="296">
        <v>20</v>
      </c>
      <c r="B24" s="296" t="s">
        <v>669</v>
      </c>
      <c r="C24" s="282" t="s">
        <v>727</v>
      </c>
      <c r="D24" s="282" t="s">
        <v>771</v>
      </c>
      <c r="E24" s="282" t="s">
        <v>5961</v>
      </c>
      <c r="F24" s="297" t="s">
        <v>1205</v>
      </c>
      <c r="G24" s="282" t="s">
        <v>5960</v>
      </c>
      <c r="H24" s="282" t="s">
        <v>772</v>
      </c>
      <c r="I24" s="298">
        <v>150</v>
      </c>
      <c r="J24" s="298"/>
      <c r="K24" s="298">
        <v>150</v>
      </c>
      <c r="L24" s="298"/>
      <c r="M24" s="298"/>
      <c r="N24" s="282"/>
      <c r="O24" s="282"/>
      <c r="P24" s="282" t="s">
        <v>46</v>
      </c>
      <c r="Q24" s="282" t="s">
        <v>773</v>
      </c>
      <c r="R24" s="282" t="s">
        <v>56</v>
      </c>
      <c r="S24" s="282" t="s">
        <v>750</v>
      </c>
      <c r="T24" s="282" t="s">
        <v>61</v>
      </c>
      <c r="U24" s="282" t="s">
        <v>76</v>
      </c>
      <c r="V24" s="282">
        <v>7</v>
      </c>
      <c r="W24" s="282">
        <v>7</v>
      </c>
      <c r="X24" s="282"/>
      <c r="Y24" s="282" t="s">
        <v>756</v>
      </c>
      <c r="Z24" s="299" t="s">
        <v>5959</v>
      </c>
      <c r="AA24"/>
      <c r="AB24"/>
      <c r="AC24"/>
      <c r="AD24"/>
      <c r="AE24"/>
    </row>
    <row r="25" spans="1:31" ht="40.5">
      <c r="A25" s="296">
        <v>21</v>
      </c>
      <c r="B25" s="296" t="s">
        <v>669</v>
      </c>
      <c r="C25" s="296" t="s">
        <v>727</v>
      </c>
      <c r="D25" s="282" t="s">
        <v>5958</v>
      </c>
      <c r="E25" s="282" t="s">
        <v>774</v>
      </c>
      <c r="F25" s="395" t="s">
        <v>1206</v>
      </c>
      <c r="G25" s="282" t="s">
        <v>5957</v>
      </c>
      <c r="H25" s="282" t="s">
        <v>775</v>
      </c>
      <c r="I25" s="298">
        <v>250</v>
      </c>
      <c r="J25" s="380"/>
      <c r="K25" s="380">
        <v>250</v>
      </c>
      <c r="L25" s="380"/>
      <c r="M25" s="380"/>
      <c r="N25" s="296"/>
      <c r="O25" s="296"/>
      <c r="P25" s="296" t="s">
        <v>46</v>
      </c>
      <c r="Q25" s="296" t="s">
        <v>776</v>
      </c>
      <c r="R25" s="282" t="s">
        <v>56</v>
      </c>
      <c r="S25" s="282" t="s">
        <v>750</v>
      </c>
      <c r="T25" s="296" t="s">
        <v>61</v>
      </c>
      <c r="U25" s="282" t="s">
        <v>76</v>
      </c>
      <c r="V25" s="282">
        <v>140</v>
      </c>
      <c r="W25" s="282">
        <v>140</v>
      </c>
      <c r="X25" s="282"/>
      <c r="Y25" s="282" t="s">
        <v>756</v>
      </c>
      <c r="Z25" s="299" t="s">
        <v>5956</v>
      </c>
      <c r="AA25"/>
      <c r="AB25"/>
      <c r="AC25"/>
      <c r="AD25"/>
      <c r="AE25"/>
    </row>
    <row r="26" spans="1:31" ht="40.5">
      <c r="A26" s="296">
        <v>22</v>
      </c>
      <c r="B26" s="296" t="s">
        <v>669</v>
      </c>
      <c r="C26" s="282" t="s">
        <v>727</v>
      </c>
      <c r="D26" s="282" t="s">
        <v>777</v>
      </c>
      <c r="E26" s="282" t="s">
        <v>5955</v>
      </c>
      <c r="F26" s="297" t="s">
        <v>1207</v>
      </c>
      <c r="G26" s="282" t="s">
        <v>5954</v>
      </c>
      <c r="H26" s="282" t="s">
        <v>778</v>
      </c>
      <c r="I26" s="298">
        <v>300</v>
      </c>
      <c r="J26" s="396"/>
      <c r="K26" s="381">
        <v>300</v>
      </c>
      <c r="L26" s="381"/>
      <c r="M26" s="396"/>
      <c r="N26" s="397"/>
      <c r="O26" s="397"/>
      <c r="P26" s="282" t="s">
        <v>67</v>
      </c>
      <c r="Q26" s="282" t="s">
        <v>779</v>
      </c>
      <c r="R26" s="282" t="s">
        <v>56</v>
      </c>
      <c r="S26" s="282" t="s">
        <v>780</v>
      </c>
      <c r="T26" s="282" t="s">
        <v>781</v>
      </c>
      <c r="U26" s="282" t="s">
        <v>47</v>
      </c>
      <c r="V26" s="282">
        <v>72</v>
      </c>
      <c r="W26" s="282">
        <v>72</v>
      </c>
      <c r="X26" s="282"/>
      <c r="Y26" s="282" t="s">
        <v>782</v>
      </c>
      <c r="Z26" s="378" t="s">
        <v>1148</v>
      </c>
    </row>
    <row r="27" spans="1:31" ht="54.75" thickBot="1">
      <c r="A27" s="417">
        <v>23</v>
      </c>
      <c r="B27" s="417" t="s">
        <v>669</v>
      </c>
      <c r="C27" s="417" t="s">
        <v>727</v>
      </c>
      <c r="D27" s="418" t="s">
        <v>783</v>
      </c>
      <c r="E27" s="418" t="s">
        <v>886</v>
      </c>
      <c r="F27" s="419" t="s">
        <v>1208</v>
      </c>
      <c r="G27" s="418" t="s">
        <v>784</v>
      </c>
      <c r="H27" s="418" t="s">
        <v>785</v>
      </c>
      <c r="I27" s="420">
        <v>350</v>
      </c>
      <c r="J27" s="421">
        <v>0</v>
      </c>
      <c r="K27" s="421">
        <v>350</v>
      </c>
      <c r="L27" s="421">
        <v>0</v>
      </c>
      <c r="M27" s="421">
        <v>0</v>
      </c>
      <c r="N27" s="417"/>
      <c r="O27" s="417"/>
      <c r="P27" s="417" t="s">
        <v>786</v>
      </c>
      <c r="Q27" s="417" t="s">
        <v>787</v>
      </c>
      <c r="R27" s="418" t="s">
        <v>762</v>
      </c>
      <c r="S27" s="418" t="s">
        <v>763</v>
      </c>
      <c r="T27" s="417" t="s">
        <v>764</v>
      </c>
      <c r="U27" s="418" t="s">
        <v>788</v>
      </c>
      <c r="V27" s="418">
        <v>30</v>
      </c>
      <c r="W27" s="418">
        <v>30</v>
      </c>
      <c r="X27" s="418">
        <v>0</v>
      </c>
      <c r="Y27" s="418" t="s">
        <v>789</v>
      </c>
      <c r="Z27" s="299" t="s">
        <v>6008</v>
      </c>
    </row>
    <row r="28" spans="1:31">
      <c r="C28" s="89"/>
      <c r="F28" s="89"/>
      <c r="H28" s="368"/>
      <c r="M28" s="89"/>
      <c r="Z28" s="105"/>
    </row>
    <row r="29" spans="1:31" s="245" customFormat="1">
      <c r="A29" s="352"/>
      <c r="D29" s="352"/>
      <c r="E29" s="352"/>
      <c r="G29" s="352"/>
      <c r="H29" s="367"/>
      <c r="I29" s="367"/>
      <c r="J29" s="367"/>
      <c r="K29" s="367"/>
      <c r="L29" s="367"/>
      <c r="O29" s="352" t="s">
        <v>6</v>
      </c>
      <c r="P29" s="352"/>
      <c r="S29" s="352"/>
      <c r="Y29" s="352"/>
      <c r="Z29" s="352"/>
    </row>
    <row r="30" spans="1:31" s="245" customFormat="1">
      <c r="A30" s="352"/>
      <c r="D30" s="352"/>
      <c r="E30" s="352"/>
      <c r="G30" s="352"/>
      <c r="H30" s="367"/>
      <c r="I30" s="367"/>
      <c r="J30" s="367"/>
      <c r="K30" s="367"/>
      <c r="L30" s="367"/>
      <c r="O30" s="352" t="s">
        <v>31</v>
      </c>
      <c r="P30" s="352"/>
      <c r="S30" s="352"/>
      <c r="Y30" s="352"/>
      <c r="Z30" s="352"/>
    </row>
    <row r="31" spans="1:31" s="245" customFormat="1">
      <c r="A31" s="352"/>
      <c r="D31" s="352"/>
      <c r="E31" s="352"/>
      <c r="G31" s="352"/>
      <c r="H31" s="367"/>
      <c r="I31" s="367"/>
      <c r="J31" s="367"/>
      <c r="K31" s="367"/>
      <c r="L31" s="367"/>
      <c r="O31" s="352" t="s">
        <v>2</v>
      </c>
      <c r="P31" s="352"/>
      <c r="S31" s="352"/>
      <c r="Y31" s="352"/>
      <c r="Z31" s="352"/>
    </row>
    <row r="32" spans="1:31" s="245" customFormat="1">
      <c r="A32" s="352"/>
      <c r="D32" s="352"/>
      <c r="E32" s="352"/>
      <c r="G32" s="352"/>
      <c r="H32" s="367"/>
      <c r="I32" s="367"/>
      <c r="J32" s="367"/>
      <c r="K32" s="367"/>
      <c r="L32" s="367"/>
      <c r="O32" s="352"/>
      <c r="P32" s="352"/>
      <c r="S32" s="352"/>
      <c r="Y32" s="352"/>
      <c r="Z32" s="352"/>
    </row>
    <row r="33" spans="1:26" s="245" customFormat="1">
      <c r="A33" s="352"/>
      <c r="D33" s="352"/>
      <c r="E33" s="352"/>
      <c r="G33" s="352"/>
      <c r="H33" s="367"/>
      <c r="I33" s="367"/>
      <c r="J33" s="367"/>
      <c r="K33" s="367"/>
      <c r="L33" s="367"/>
      <c r="O33" s="352"/>
      <c r="P33" s="352"/>
      <c r="S33" s="352"/>
      <c r="Y33" s="352"/>
      <c r="Z33" s="352"/>
    </row>
    <row r="34" spans="1:26" s="252" customFormat="1">
      <c r="A34" s="334"/>
      <c r="B34" s="334"/>
      <c r="D34" s="334"/>
      <c r="E34" s="334"/>
      <c r="G34" s="334"/>
      <c r="H34" s="398"/>
      <c r="I34" s="398"/>
      <c r="J34" s="398"/>
      <c r="K34" s="398"/>
      <c r="L34" s="398"/>
      <c r="Y34" s="334"/>
      <c r="Z34" s="334"/>
    </row>
    <row r="35" spans="1:26" s="3" customFormat="1">
      <c r="A35" s="16"/>
      <c r="B35" s="16"/>
      <c r="D35" s="16"/>
      <c r="E35" s="16"/>
      <c r="G35" s="16"/>
      <c r="H35" s="81"/>
      <c r="I35" s="81"/>
      <c r="J35" s="81"/>
      <c r="K35" s="81"/>
      <c r="L35" s="81"/>
      <c r="Y35" s="16"/>
      <c r="Z35" s="16"/>
    </row>
    <row r="36" spans="1:26" s="252" customFormat="1">
      <c r="A36" s="334"/>
      <c r="B36" s="334"/>
      <c r="D36" s="334"/>
      <c r="E36" s="334"/>
      <c r="G36" s="334"/>
      <c r="H36" s="398"/>
      <c r="I36" s="398"/>
      <c r="J36" s="398"/>
      <c r="K36" s="398"/>
      <c r="L36" s="398"/>
      <c r="Y36" s="334"/>
      <c r="Z36" s="334"/>
    </row>
    <row r="37" spans="1:26" s="3" customFormat="1">
      <c r="A37" s="16"/>
      <c r="B37" s="16"/>
      <c r="D37" s="16"/>
      <c r="E37" s="16"/>
      <c r="G37" s="16"/>
      <c r="H37" s="81"/>
      <c r="I37" s="81"/>
      <c r="J37" s="81"/>
      <c r="K37" s="81"/>
      <c r="L37" s="81"/>
      <c r="Y37" s="16"/>
      <c r="Z37" s="16"/>
    </row>
    <row r="38" spans="1:26" s="3" customFormat="1">
      <c r="A38" s="16"/>
      <c r="B38" s="16"/>
      <c r="D38" s="16"/>
      <c r="E38" s="16"/>
      <c r="G38" s="16"/>
      <c r="H38" s="81"/>
      <c r="I38" s="81"/>
      <c r="J38" s="81"/>
      <c r="K38" s="81"/>
      <c r="L38" s="81"/>
      <c r="Y38" s="16"/>
      <c r="Z38" s="16"/>
    </row>
    <row r="39" spans="1:26" s="3" customFormat="1">
      <c r="A39" s="16"/>
      <c r="B39" s="16"/>
      <c r="D39" s="16"/>
      <c r="E39" s="16"/>
      <c r="G39" s="16"/>
      <c r="H39" s="81"/>
      <c r="I39" s="81"/>
      <c r="J39" s="81"/>
      <c r="K39" s="81"/>
      <c r="L39" s="81"/>
      <c r="Y39" s="16"/>
      <c r="Z39" s="16"/>
    </row>
    <row r="40" spans="1:26" s="252" customFormat="1">
      <c r="A40" s="334"/>
      <c r="B40" s="334"/>
      <c r="D40" s="334"/>
      <c r="E40" s="334"/>
      <c r="G40" s="334"/>
      <c r="H40" s="398"/>
      <c r="I40" s="398"/>
      <c r="J40" s="398"/>
      <c r="K40" s="398"/>
      <c r="L40" s="398"/>
      <c r="Y40" s="334"/>
      <c r="Z40" s="334"/>
    </row>
    <row r="41" spans="1:26" s="252" customFormat="1">
      <c r="A41" s="334"/>
      <c r="B41" s="334"/>
      <c r="D41" s="334"/>
      <c r="E41" s="334"/>
      <c r="G41" s="334"/>
      <c r="H41" s="398"/>
      <c r="I41" s="398"/>
      <c r="J41" s="398"/>
      <c r="K41" s="398"/>
      <c r="L41" s="398"/>
      <c r="Y41" s="334"/>
      <c r="Z41" s="334"/>
    </row>
    <row r="42" spans="1:26" s="252" customFormat="1">
      <c r="A42" s="334"/>
      <c r="B42" s="334"/>
      <c r="D42" s="334"/>
      <c r="E42" s="334"/>
      <c r="G42" s="334"/>
      <c r="H42" s="398"/>
      <c r="I42" s="398"/>
      <c r="J42" s="398"/>
      <c r="K42" s="398"/>
      <c r="L42" s="398"/>
      <c r="Y42" s="334"/>
      <c r="Z42" s="334"/>
    </row>
    <row r="43" spans="1:26" s="252" customFormat="1">
      <c r="A43" s="334"/>
      <c r="B43" s="334"/>
      <c r="C43" s="334"/>
      <c r="D43" s="334"/>
      <c r="E43" s="334"/>
      <c r="G43" s="334"/>
      <c r="I43" s="398"/>
      <c r="J43" s="398"/>
      <c r="K43" s="398"/>
      <c r="L43" s="398"/>
      <c r="M43" s="398"/>
      <c r="Y43" s="334"/>
      <c r="Z43" s="334"/>
    </row>
    <row r="44" spans="1:26" s="252" customFormat="1">
      <c r="A44" s="334"/>
      <c r="B44" s="334"/>
      <c r="C44" s="334"/>
      <c r="D44" s="334"/>
      <c r="E44" s="334"/>
      <c r="G44" s="334"/>
      <c r="I44" s="398"/>
      <c r="J44" s="398"/>
      <c r="K44" s="398"/>
      <c r="L44" s="398"/>
      <c r="M44" s="398"/>
      <c r="Y44" s="334"/>
      <c r="Z44" s="334"/>
    </row>
    <row r="45" spans="1:26" s="252" customFormat="1">
      <c r="A45" s="334"/>
      <c r="B45" s="334"/>
      <c r="C45" s="334"/>
      <c r="D45" s="334"/>
      <c r="E45" s="334"/>
      <c r="G45" s="334"/>
      <c r="I45" s="398"/>
      <c r="J45" s="398"/>
      <c r="K45" s="398"/>
      <c r="L45" s="398"/>
      <c r="M45" s="398"/>
      <c r="Y45" s="334"/>
      <c r="Z45" s="334"/>
    </row>
    <row r="46" spans="1:26" s="252" customFormat="1">
      <c r="A46" s="334"/>
      <c r="B46" s="334"/>
      <c r="C46" s="334"/>
      <c r="D46" s="334"/>
      <c r="E46" s="334"/>
      <c r="G46" s="334"/>
      <c r="I46" s="398"/>
      <c r="J46" s="398"/>
      <c r="K46" s="398"/>
      <c r="L46" s="398"/>
      <c r="M46" s="398"/>
      <c r="Y46" s="334"/>
      <c r="Z46" s="334"/>
    </row>
    <row r="47" spans="1:26" s="3" customFormat="1">
      <c r="A47" s="16"/>
      <c r="B47" s="16"/>
      <c r="C47" s="16"/>
      <c r="D47" s="16"/>
      <c r="E47" s="16"/>
      <c r="G47" s="16"/>
      <c r="I47" s="81"/>
      <c r="J47" s="81"/>
      <c r="K47" s="81"/>
      <c r="L47" s="81"/>
      <c r="M47" s="81"/>
      <c r="Y47" s="16"/>
      <c r="Z47" s="16"/>
    </row>
    <row r="48" spans="1:26" s="3" customFormat="1">
      <c r="A48" s="16"/>
      <c r="B48" s="16"/>
      <c r="C48" s="16"/>
      <c r="D48" s="16"/>
      <c r="E48" s="16"/>
      <c r="G48" s="16"/>
      <c r="I48" s="81"/>
      <c r="J48" s="81"/>
      <c r="K48" s="81"/>
      <c r="L48" s="81"/>
      <c r="M48" s="81"/>
      <c r="Y48" s="16"/>
      <c r="Z48" s="16"/>
    </row>
    <row r="49" spans="1:26" s="3" customFormat="1">
      <c r="A49" s="16"/>
      <c r="B49" s="16"/>
      <c r="C49" s="16"/>
      <c r="D49" s="16"/>
      <c r="E49" s="16"/>
      <c r="G49" s="16"/>
      <c r="I49" s="81"/>
      <c r="J49" s="81"/>
      <c r="K49" s="81"/>
      <c r="L49" s="81"/>
      <c r="M49" s="81"/>
      <c r="Y49" s="16"/>
      <c r="Z49" s="16"/>
    </row>
    <row r="50" spans="1:26" s="3" customFormat="1">
      <c r="A50" s="16"/>
      <c r="B50" s="16"/>
      <c r="C50" s="16"/>
      <c r="D50" s="16"/>
      <c r="E50" s="16"/>
      <c r="G50" s="16"/>
      <c r="I50" s="81"/>
      <c r="J50" s="81"/>
      <c r="K50" s="81"/>
      <c r="L50" s="81"/>
      <c r="M50" s="81"/>
      <c r="Y50" s="16"/>
      <c r="Z50" s="16"/>
    </row>
    <row r="51" spans="1:26" s="3" customFormat="1">
      <c r="A51" s="16"/>
      <c r="B51" s="16"/>
      <c r="C51" s="16"/>
      <c r="D51" s="16"/>
      <c r="E51" s="16"/>
      <c r="G51" s="16"/>
      <c r="I51" s="81"/>
      <c r="J51" s="81"/>
      <c r="K51" s="81"/>
      <c r="L51" s="81"/>
      <c r="M51" s="81"/>
      <c r="Y51" s="16"/>
      <c r="Z51" s="16"/>
    </row>
    <row r="52" spans="1:26">
      <c r="F52" s="89"/>
    </row>
    <row r="53" spans="1:26">
      <c r="F53" s="89"/>
    </row>
    <row r="54" spans="1:26">
      <c r="F54" s="89"/>
    </row>
    <row r="56" spans="1:26" s="1" customFormat="1">
      <c r="A56" s="8"/>
      <c r="B56" s="8"/>
      <c r="C56" s="8"/>
      <c r="D56" s="8"/>
      <c r="E56" s="8"/>
      <c r="G56" s="8"/>
      <c r="I56" s="80"/>
      <c r="J56" s="80"/>
      <c r="K56" s="80"/>
      <c r="L56" s="80"/>
      <c r="M56" s="80"/>
      <c r="Y56" s="8"/>
      <c r="Z56" s="8"/>
    </row>
    <row r="57" spans="1:26" s="1" customFormat="1">
      <c r="A57" s="8"/>
      <c r="B57" s="8"/>
      <c r="C57" s="8"/>
      <c r="D57" s="8"/>
      <c r="E57" s="8"/>
      <c r="G57" s="8"/>
      <c r="I57" s="80"/>
      <c r="J57" s="80"/>
      <c r="K57" s="80"/>
      <c r="L57" s="80"/>
      <c r="M57" s="80"/>
      <c r="Y57" s="8"/>
      <c r="Z57" s="8"/>
    </row>
    <row r="58" spans="1:26">
      <c r="F58" s="89"/>
    </row>
    <row r="61" spans="1:26" s="1" customFormat="1">
      <c r="A61" s="8"/>
      <c r="B61" s="8"/>
      <c r="C61" s="8"/>
      <c r="D61" s="8"/>
      <c r="E61" s="8"/>
      <c r="G61" s="8"/>
      <c r="I61" s="80"/>
      <c r="J61" s="80"/>
      <c r="K61" s="80"/>
      <c r="L61" s="80"/>
      <c r="M61" s="80"/>
      <c r="Y61" s="8"/>
      <c r="Z61" s="8"/>
    </row>
    <row r="62" spans="1:26">
      <c r="F62" s="89"/>
    </row>
    <row r="63" spans="1:26">
      <c r="F63" s="89"/>
    </row>
    <row r="64" spans="1:26" s="1" customFormat="1">
      <c r="A64" s="8"/>
      <c r="B64" s="8"/>
      <c r="C64" s="8"/>
      <c r="D64" s="8"/>
      <c r="E64" s="8"/>
      <c r="G64" s="8"/>
      <c r="I64" s="80"/>
      <c r="J64" s="80"/>
      <c r="K64" s="80"/>
      <c r="L64" s="80"/>
      <c r="M64" s="80"/>
      <c r="Y64" s="8"/>
      <c r="Z64" s="8"/>
    </row>
    <row r="66" spans="1:26" s="1" customFormat="1">
      <c r="A66" s="8"/>
      <c r="B66" s="8"/>
      <c r="C66" s="8"/>
      <c r="D66" s="8"/>
      <c r="E66" s="8"/>
      <c r="G66" s="8"/>
      <c r="I66" s="80"/>
      <c r="J66" s="80"/>
      <c r="K66" s="80"/>
      <c r="L66" s="80"/>
      <c r="M66" s="80"/>
      <c r="Y66" s="8"/>
      <c r="Z66" s="8"/>
    </row>
    <row r="68" spans="1:26">
      <c r="F68" s="89"/>
    </row>
    <row r="69" spans="1:26" s="1" customFormat="1">
      <c r="A69" s="8"/>
      <c r="B69" s="8"/>
      <c r="C69" s="8"/>
      <c r="D69" s="8"/>
      <c r="E69" s="8"/>
      <c r="G69" s="8"/>
      <c r="I69" s="80"/>
      <c r="J69" s="80"/>
      <c r="K69" s="80"/>
      <c r="L69" s="80"/>
      <c r="M69" s="80"/>
      <c r="Y69" s="8"/>
      <c r="Z69" s="8"/>
    </row>
    <row r="71" spans="1:26" s="1" customFormat="1">
      <c r="A71" s="8"/>
      <c r="B71" s="8"/>
      <c r="C71" s="8"/>
      <c r="D71" s="8"/>
      <c r="E71" s="8"/>
      <c r="G71" s="8"/>
      <c r="I71" s="80"/>
      <c r="J71" s="80"/>
      <c r="K71" s="80"/>
      <c r="L71" s="80"/>
      <c r="M71" s="80"/>
      <c r="Y71" s="8"/>
      <c r="Z71" s="8"/>
    </row>
    <row r="72" spans="1:26" s="1" customFormat="1">
      <c r="A72" s="8"/>
      <c r="B72" s="8"/>
      <c r="C72" s="8"/>
      <c r="D72" s="8"/>
      <c r="E72" s="8"/>
      <c r="G72" s="8"/>
      <c r="I72" s="80"/>
      <c r="J72" s="80"/>
      <c r="K72" s="80"/>
      <c r="L72" s="80"/>
      <c r="M72" s="80"/>
      <c r="Y72" s="8"/>
      <c r="Z72" s="8"/>
    </row>
    <row r="76" spans="1:26" s="1" customFormat="1">
      <c r="A76" s="8"/>
      <c r="B76" s="8"/>
      <c r="C76" s="8"/>
      <c r="D76" s="8"/>
      <c r="E76" s="8"/>
      <c r="G76" s="8"/>
      <c r="I76" s="80"/>
      <c r="J76" s="80"/>
      <c r="K76" s="80"/>
      <c r="L76" s="80"/>
      <c r="M76" s="80"/>
      <c r="Y76" s="8"/>
      <c r="Z76" s="8"/>
    </row>
    <row r="77" spans="1:26" s="1" customFormat="1">
      <c r="A77" s="8"/>
      <c r="B77" s="8"/>
      <c r="C77" s="8"/>
      <c r="D77" s="8"/>
      <c r="E77" s="8"/>
      <c r="G77" s="8"/>
      <c r="I77" s="80"/>
      <c r="J77" s="80"/>
      <c r="K77" s="80"/>
      <c r="L77" s="80"/>
      <c r="M77" s="80"/>
      <c r="Y77" s="8"/>
      <c r="Z77" s="8"/>
    </row>
    <row r="78" spans="1:26">
      <c r="F78" s="89"/>
    </row>
    <row r="79" spans="1:26" s="1" customFormat="1">
      <c r="A79" s="8"/>
      <c r="B79" s="8"/>
      <c r="C79" s="8"/>
      <c r="D79" s="8"/>
      <c r="E79" s="8"/>
      <c r="G79" s="8"/>
      <c r="I79" s="80"/>
      <c r="J79" s="80"/>
      <c r="K79" s="80"/>
      <c r="L79" s="80"/>
      <c r="M79" s="80"/>
      <c r="Y79" s="8"/>
      <c r="Z79" s="8"/>
    </row>
    <row r="81" spans="1:26" s="1" customFormat="1">
      <c r="A81" s="8"/>
      <c r="B81" s="8"/>
      <c r="C81" s="8"/>
      <c r="D81" s="8"/>
      <c r="E81" s="8"/>
      <c r="G81" s="8"/>
      <c r="I81" s="80"/>
      <c r="J81" s="80"/>
      <c r="K81" s="80"/>
      <c r="L81" s="80"/>
      <c r="M81" s="80"/>
      <c r="Y81" s="8"/>
      <c r="Z81" s="8"/>
    </row>
    <row r="82" spans="1:26" s="1" customFormat="1">
      <c r="A82" s="8"/>
      <c r="B82" s="8"/>
      <c r="C82" s="8"/>
      <c r="D82" s="8"/>
      <c r="E82" s="8"/>
      <c r="G82" s="8"/>
      <c r="I82" s="80"/>
      <c r="J82" s="80"/>
      <c r="K82" s="80"/>
      <c r="L82" s="80"/>
      <c r="M82" s="80"/>
      <c r="Y82" s="8"/>
      <c r="Z82" s="8"/>
    </row>
    <row r="83" spans="1:26">
      <c r="H83" s="1"/>
      <c r="I83" s="80"/>
      <c r="J83" s="80"/>
      <c r="K83" s="80"/>
      <c r="L83" s="80"/>
      <c r="M83" s="80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8"/>
    </row>
    <row r="84" spans="1:26" s="1" customFormat="1">
      <c r="A84" s="8"/>
      <c r="B84" s="8"/>
      <c r="C84" s="8"/>
      <c r="D84" s="8"/>
      <c r="E84" s="8"/>
      <c r="G84" s="8"/>
      <c r="I84" s="80"/>
      <c r="J84" s="80"/>
      <c r="K84" s="80"/>
      <c r="L84" s="80"/>
      <c r="M84" s="80"/>
      <c r="Y84" s="8"/>
      <c r="Z84" s="8"/>
    </row>
    <row r="85" spans="1:26">
      <c r="F85" s="89"/>
    </row>
    <row r="88" spans="1:26">
      <c r="F88" s="89"/>
    </row>
    <row r="94" spans="1:26">
      <c r="F94" s="89"/>
    </row>
    <row r="95" spans="1:26">
      <c r="F95" s="89"/>
    </row>
  </sheetData>
  <autoFilter ref="A4:Z27"/>
  <mergeCells count="4">
    <mergeCell ref="A1:X2"/>
    <mergeCell ref="I3:M3"/>
    <mergeCell ref="N3:O3"/>
    <mergeCell ref="V3:X3"/>
  </mergeCells>
  <phoneticPr fontId="23" type="noConversion"/>
  <dataValidations count="2">
    <dataValidation type="list" allowBlank="1" showInputMessage="1" showErrorMessage="1" sqref="P5:P27">
      <formula1>$O$29:$O$31</formula1>
    </dataValidation>
    <dataValidation type="list" allowBlank="1" showInputMessage="1" showErrorMessage="1" sqref="B5:B27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"/>
  <sheetViews>
    <sheetView zoomScale="85" zoomScaleNormal="85" workbookViewId="0">
      <selection sqref="A1:X2"/>
    </sheetView>
  </sheetViews>
  <sheetFormatPr defaultColWidth="8.88671875" defaultRowHeight="13.5"/>
  <cols>
    <col min="1" max="1" width="5.109375" style="332" customWidth="1"/>
    <col min="2" max="2" width="15.33203125" style="332" bestFit="1" customWidth="1"/>
    <col min="3" max="3" width="9.109375" style="332" customWidth="1"/>
    <col min="4" max="4" width="17.6640625" style="89" customWidth="1"/>
    <col min="5" max="5" width="12.109375" style="89" customWidth="1"/>
    <col min="6" max="6" width="42" style="1" customWidth="1"/>
    <col min="7" max="7" width="25.109375" style="89" customWidth="1"/>
    <col min="8" max="8" width="12.21875" style="89" customWidth="1"/>
    <col min="9" max="9" width="14.21875" style="89" customWidth="1"/>
    <col min="10" max="13" width="7.6640625" style="89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5" width="12.21875" style="89" customWidth="1"/>
    <col min="26" max="16384" width="8.88671875" style="89"/>
  </cols>
  <sheetData>
    <row r="1" spans="1:26" s="1" customFormat="1" ht="29.25" customHeight="1">
      <c r="A1" s="512" t="s">
        <v>34</v>
      </c>
      <c r="B1" s="512"/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512"/>
      <c r="Q1" s="512"/>
      <c r="R1" s="512"/>
      <c r="S1" s="512"/>
      <c r="T1" s="512"/>
      <c r="U1" s="512"/>
      <c r="V1" s="512"/>
      <c r="W1" s="512"/>
      <c r="X1" s="512"/>
    </row>
    <row r="2" spans="1:26" s="3" customFormat="1" ht="17.25" customHeight="1" thickBot="1">
      <c r="A2" s="512"/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</row>
    <row r="3" spans="1:26" s="3" customFormat="1" ht="22.5" customHeight="1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  <c r="Z3" s="79"/>
    </row>
    <row r="4" spans="1:26" s="1" customFormat="1" ht="39.75" customHeight="1" thickBot="1">
      <c r="A4" s="27" t="s">
        <v>0</v>
      </c>
      <c r="B4" s="12" t="s">
        <v>134</v>
      </c>
      <c r="C4" s="25" t="s">
        <v>1</v>
      </c>
      <c r="D4" s="26" t="s">
        <v>135</v>
      </c>
      <c r="E4" s="23" t="s">
        <v>136</v>
      </c>
      <c r="F4" s="26" t="s">
        <v>137</v>
      </c>
      <c r="G4" s="23" t="s">
        <v>138</v>
      </c>
      <c r="H4" s="23" t="s">
        <v>3</v>
      </c>
      <c r="I4" s="24" t="s">
        <v>139</v>
      </c>
      <c r="J4" s="33" t="s">
        <v>140</v>
      </c>
      <c r="K4" s="34" t="s">
        <v>4</v>
      </c>
      <c r="L4" s="34" t="s">
        <v>141</v>
      </c>
      <c r="M4" s="35" t="s">
        <v>2</v>
      </c>
      <c r="N4" s="39" t="s">
        <v>142</v>
      </c>
      <c r="O4" s="35" t="s">
        <v>143</v>
      </c>
      <c r="P4" s="23" t="s">
        <v>29</v>
      </c>
      <c r="Q4" s="22" t="s">
        <v>27</v>
      </c>
      <c r="R4" s="21" t="s">
        <v>144</v>
      </c>
      <c r="S4" s="18" t="s">
        <v>145</v>
      </c>
      <c r="T4" s="19" t="s">
        <v>146</v>
      </c>
      <c r="U4" s="20" t="s">
        <v>28</v>
      </c>
      <c r="V4" s="22" t="s">
        <v>33</v>
      </c>
      <c r="W4" s="21" t="s">
        <v>147</v>
      </c>
      <c r="X4" s="22" t="s">
        <v>148</v>
      </c>
      <c r="Y4" s="22" t="s">
        <v>30</v>
      </c>
      <c r="Z4" s="124" t="s">
        <v>1152</v>
      </c>
    </row>
    <row r="5" spans="1:26" ht="100.5" customHeight="1">
      <c r="A5" s="56">
        <v>1</v>
      </c>
      <c r="B5" s="49" t="s">
        <v>666</v>
      </c>
      <c r="C5" s="57" t="s">
        <v>5988</v>
      </c>
      <c r="D5" s="40" t="s">
        <v>5993</v>
      </c>
      <c r="E5" s="41" t="s">
        <v>5992</v>
      </c>
      <c r="F5" s="43" t="s">
        <v>5991</v>
      </c>
      <c r="G5" s="41" t="s">
        <v>1448</v>
      </c>
      <c r="H5" s="44" t="s">
        <v>367</v>
      </c>
      <c r="I5" s="46">
        <v>900</v>
      </c>
      <c r="J5" s="60"/>
      <c r="K5" s="58">
        <v>900</v>
      </c>
      <c r="L5" s="58"/>
      <c r="M5" s="44"/>
      <c r="N5" s="45"/>
      <c r="O5" s="40"/>
      <c r="P5" s="46" t="s">
        <v>46</v>
      </c>
      <c r="Q5" s="47" t="s">
        <v>5990</v>
      </c>
      <c r="R5" s="44" t="s">
        <v>36</v>
      </c>
      <c r="S5" s="46" t="s">
        <v>55</v>
      </c>
      <c r="T5" s="48" t="s">
        <v>49</v>
      </c>
      <c r="U5" s="47" t="s">
        <v>53</v>
      </c>
      <c r="V5" s="44">
        <v>160</v>
      </c>
      <c r="W5" s="44">
        <v>160</v>
      </c>
      <c r="X5" s="41"/>
      <c r="Y5" s="64" t="s">
        <v>5989</v>
      </c>
      <c r="Z5" s="432" t="s">
        <v>1148</v>
      </c>
    </row>
    <row r="6" spans="1:26" s="1" customFormat="1" ht="100.5" customHeight="1">
      <c r="A6" s="10">
        <v>2</v>
      </c>
      <c r="B6" s="94" t="s">
        <v>666</v>
      </c>
      <c r="C6" s="9" t="s">
        <v>5988</v>
      </c>
      <c r="D6" s="97" t="s">
        <v>5987</v>
      </c>
      <c r="E6" s="98" t="s">
        <v>5986</v>
      </c>
      <c r="F6" s="17" t="s">
        <v>5985</v>
      </c>
      <c r="G6" s="98" t="s">
        <v>5984</v>
      </c>
      <c r="H6" s="99" t="s">
        <v>5983</v>
      </c>
      <c r="I6" s="100">
        <v>300</v>
      </c>
      <c r="J6" s="32"/>
      <c r="K6" s="101">
        <v>300</v>
      </c>
      <c r="L6" s="101"/>
      <c r="M6" s="99"/>
      <c r="N6" s="102"/>
      <c r="O6" s="97"/>
      <c r="P6" s="100" t="s">
        <v>50</v>
      </c>
      <c r="Q6" s="96" t="s">
        <v>5982</v>
      </c>
      <c r="R6" s="99" t="s">
        <v>36</v>
      </c>
      <c r="S6" s="100" t="s">
        <v>42</v>
      </c>
      <c r="T6" s="120" t="s">
        <v>49</v>
      </c>
      <c r="U6" s="96" t="s">
        <v>53</v>
      </c>
      <c r="V6" s="99">
        <f>SUM(W6:X6)</f>
        <v>21</v>
      </c>
      <c r="W6" s="99">
        <v>21</v>
      </c>
      <c r="X6" s="98"/>
      <c r="Y6" s="431" t="s">
        <v>5981</v>
      </c>
      <c r="Z6" s="432" t="s">
        <v>1148</v>
      </c>
    </row>
    <row r="7" spans="1:26" s="3" customFormat="1">
      <c r="A7" s="16"/>
      <c r="B7" s="16"/>
      <c r="C7" s="16"/>
    </row>
    <row r="8" spans="1:26" s="252" customFormat="1">
      <c r="A8" s="334"/>
      <c r="B8" s="334"/>
      <c r="C8" s="334"/>
    </row>
    <row r="9" spans="1:26" s="252" customFormat="1">
      <c r="A9" s="334"/>
      <c r="B9" s="334"/>
      <c r="C9" s="334"/>
    </row>
    <row r="10" spans="1:26" s="252" customFormat="1">
      <c r="A10" s="334"/>
      <c r="B10" s="334"/>
      <c r="C10" s="334"/>
    </row>
    <row r="11" spans="1:26" s="252" customFormat="1">
      <c r="A11" s="334"/>
      <c r="B11" s="334"/>
      <c r="C11" s="334"/>
    </row>
    <row r="12" spans="1:26" s="252" customFormat="1">
      <c r="A12" s="334"/>
      <c r="B12" s="334"/>
      <c r="C12" s="334"/>
    </row>
    <row r="13" spans="1:26" s="252" customFormat="1">
      <c r="A13" s="334"/>
      <c r="B13" s="334"/>
      <c r="C13" s="334"/>
    </row>
    <row r="14" spans="1:26" s="252" customFormat="1">
      <c r="A14" s="334"/>
      <c r="B14" s="334"/>
      <c r="C14" s="334"/>
    </row>
    <row r="15" spans="1:26" s="252" customFormat="1">
      <c r="A15" s="334"/>
      <c r="B15" s="334"/>
      <c r="C15" s="334"/>
    </row>
    <row r="16" spans="1:26" s="252" customFormat="1">
      <c r="A16" s="334"/>
      <c r="B16" s="334"/>
      <c r="C16" s="334"/>
    </row>
    <row r="17" spans="1:6">
      <c r="F17" s="89"/>
    </row>
    <row r="18" spans="1:6">
      <c r="F18" s="89"/>
    </row>
    <row r="19" spans="1:6" s="1" customFormat="1">
      <c r="A19" s="8"/>
      <c r="B19" s="8"/>
      <c r="C19" s="8"/>
    </row>
    <row r="20" spans="1:6">
      <c r="F20" s="89"/>
    </row>
    <row r="21" spans="1:6">
      <c r="F21" s="89"/>
    </row>
    <row r="22" spans="1:6">
      <c r="F22" s="89"/>
    </row>
    <row r="23" spans="1:6" s="1" customFormat="1">
      <c r="A23" s="8"/>
      <c r="B23" s="8"/>
      <c r="C23" s="8"/>
    </row>
    <row r="24" spans="1:6">
      <c r="F24" s="89"/>
    </row>
    <row r="25" spans="1:6">
      <c r="F25" s="89"/>
    </row>
    <row r="26" spans="1:6">
      <c r="F26" s="89"/>
    </row>
    <row r="27" spans="1:6">
      <c r="F27" s="89"/>
    </row>
    <row r="28" spans="1:6">
      <c r="F28" s="89"/>
    </row>
    <row r="29" spans="1:6">
      <c r="F29" s="89"/>
    </row>
    <row r="30" spans="1:6">
      <c r="F30" s="89"/>
    </row>
    <row r="31" spans="1:6">
      <c r="F31" s="89"/>
    </row>
    <row r="32" spans="1:6">
      <c r="F32" s="89"/>
    </row>
    <row r="33" spans="1:6">
      <c r="F33" s="89"/>
    </row>
    <row r="34" spans="1:6">
      <c r="F34" s="89"/>
    </row>
    <row r="35" spans="1:6" s="1" customFormat="1">
      <c r="A35" s="8"/>
      <c r="B35" s="8"/>
      <c r="C35" s="8"/>
    </row>
    <row r="36" spans="1:6">
      <c r="F36" s="89"/>
    </row>
    <row r="37" spans="1:6" s="1" customFormat="1">
      <c r="A37" s="8"/>
      <c r="B37" s="8"/>
      <c r="C37" s="8"/>
    </row>
    <row r="38" spans="1:6" s="1" customFormat="1">
      <c r="A38" s="8"/>
      <c r="B38" s="8"/>
      <c r="C38" s="8"/>
    </row>
    <row r="39" spans="1:6" s="1" customFormat="1">
      <c r="A39" s="8"/>
      <c r="B39" s="8"/>
      <c r="C39" s="8"/>
    </row>
    <row r="40" spans="1:6">
      <c r="F40" s="89"/>
    </row>
    <row r="41" spans="1:6">
      <c r="F41" s="89"/>
    </row>
    <row r="42" spans="1:6">
      <c r="F42" s="89"/>
    </row>
    <row r="43" spans="1:6">
      <c r="F43" s="89"/>
    </row>
    <row r="44" spans="1:6">
      <c r="F44" s="89"/>
    </row>
    <row r="45" spans="1:6">
      <c r="F45" s="89"/>
    </row>
    <row r="46" spans="1:6">
      <c r="F46" s="89"/>
    </row>
    <row r="47" spans="1:6" s="1" customFormat="1">
      <c r="A47" s="8"/>
      <c r="B47" s="8"/>
      <c r="C47" s="8"/>
    </row>
    <row r="48" spans="1:6" s="1" customFormat="1">
      <c r="A48" s="8"/>
      <c r="B48" s="8"/>
      <c r="C48" s="8"/>
    </row>
    <row r="49" spans="1:6" s="1" customFormat="1">
      <c r="A49" s="8"/>
      <c r="B49" s="8"/>
      <c r="C49" s="8"/>
    </row>
    <row r="50" spans="1:6" s="1" customFormat="1">
      <c r="A50" s="8"/>
      <c r="B50" s="8"/>
      <c r="C50" s="8"/>
    </row>
    <row r="51" spans="1:6" s="1" customFormat="1">
      <c r="A51" s="8"/>
      <c r="B51" s="8"/>
      <c r="C51" s="8"/>
    </row>
    <row r="52" spans="1:6">
      <c r="F52" s="89"/>
    </row>
    <row r="53" spans="1:6">
      <c r="F53" s="89"/>
    </row>
    <row r="54" spans="1:6">
      <c r="F54" s="89"/>
    </row>
    <row r="56" spans="1:6" s="1" customFormat="1">
      <c r="A56" s="8"/>
      <c r="B56" s="8"/>
      <c r="C56" s="8"/>
    </row>
    <row r="57" spans="1:6" s="1" customFormat="1">
      <c r="A57" s="8"/>
      <c r="B57" s="8"/>
      <c r="C57" s="8"/>
    </row>
    <row r="58" spans="1:6">
      <c r="F58" s="89"/>
    </row>
    <row r="61" spans="1:6" s="1" customFormat="1">
      <c r="A61" s="8"/>
      <c r="B61" s="8"/>
      <c r="C61" s="8"/>
    </row>
    <row r="62" spans="1:6">
      <c r="F62" s="89"/>
    </row>
    <row r="63" spans="1:6">
      <c r="F63" s="89"/>
    </row>
    <row r="64" spans="1:6" s="1" customFormat="1">
      <c r="A64" s="8"/>
      <c r="B64" s="8"/>
      <c r="C64" s="8"/>
    </row>
    <row r="66" spans="1:6" s="1" customFormat="1">
      <c r="A66" s="8"/>
      <c r="B66" s="8"/>
      <c r="C66" s="8"/>
    </row>
    <row r="68" spans="1:6">
      <c r="F68" s="89"/>
    </row>
    <row r="69" spans="1:6" s="1" customFormat="1">
      <c r="A69" s="8"/>
      <c r="B69" s="8"/>
      <c r="C69" s="8"/>
    </row>
    <row r="71" spans="1:6" s="1" customFormat="1">
      <c r="A71" s="8"/>
      <c r="B71" s="8"/>
      <c r="C71" s="8"/>
    </row>
    <row r="72" spans="1:6" s="1" customFormat="1">
      <c r="A72" s="8"/>
      <c r="B72" s="8"/>
      <c r="C72" s="8"/>
    </row>
    <row r="76" spans="1:6" s="1" customFormat="1">
      <c r="A76" s="8"/>
      <c r="B76" s="8"/>
      <c r="C76" s="8"/>
    </row>
    <row r="77" spans="1:6" s="1" customFormat="1">
      <c r="A77" s="8"/>
      <c r="B77" s="8"/>
      <c r="C77" s="8"/>
    </row>
    <row r="78" spans="1:6">
      <c r="F78" s="89"/>
    </row>
    <row r="79" spans="1:6" s="1" customFormat="1">
      <c r="A79" s="8"/>
      <c r="B79" s="8"/>
      <c r="C79" s="8"/>
    </row>
    <row r="81" spans="1:25" s="1" customFormat="1">
      <c r="A81" s="8"/>
      <c r="B81" s="8"/>
      <c r="C81" s="8"/>
    </row>
    <row r="82" spans="1:25" s="1" customFormat="1">
      <c r="A82" s="8"/>
      <c r="B82" s="8"/>
      <c r="C82" s="8"/>
    </row>
    <row r="83" spans="1:25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s="1" customFormat="1">
      <c r="A84" s="8"/>
      <c r="B84" s="8"/>
      <c r="C84" s="8"/>
    </row>
    <row r="85" spans="1:25">
      <c r="F85" s="89"/>
    </row>
    <row r="88" spans="1:25">
      <c r="F88" s="89"/>
    </row>
    <row r="94" spans="1:25">
      <c r="F94" s="89"/>
    </row>
    <row r="95" spans="1:25">
      <c r="F95" s="89"/>
    </row>
  </sheetData>
  <mergeCells count="4">
    <mergeCell ref="A1:X2"/>
    <mergeCell ref="I3:M3"/>
    <mergeCell ref="N3:O3"/>
    <mergeCell ref="V3:X3"/>
  </mergeCells>
  <phoneticPr fontId="23" type="noConversion"/>
  <dataValidations count="1">
    <dataValidation type="list" allowBlank="1" showInputMessage="1" showErrorMessage="1" sqref="P5:P6 B5:B6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123"/>
  <sheetViews>
    <sheetView zoomScale="89" zoomScaleNormal="89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24.5546875" style="332" bestFit="1" customWidth="1"/>
    <col min="5" max="5" width="12.109375" style="332" customWidth="1"/>
    <col min="6" max="6" width="42" style="1" customWidth="1"/>
    <col min="7" max="7" width="25.109375" style="332" customWidth="1"/>
    <col min="8" max="8" width="18.44140625" style="89" customWidth="1"/>
    <col min="9" max="9" width="13.77734375" style="89" customWidth="1"/>
    <col min="10" max="10" width="9.5546875" style="89" customWidth="1"/>
    <col min="11" max="12" width="10.44140625" style="89" customWidth="1"/>
    <col min="13" max="13" width="9.5546875" style="89" customWidth="1"/>
    <col min="14" max="14" width="13.77734375" style="89" customWidth="1"/>
    <col min="15" max="15" width="28.109375" style="89" customWidth="1"/>
    <col min="16" max="17" width="12.77734375" style="89" customWidth="1"/>
    <col min="18" max="18" width="12.109375" style="89" customWidth="1"/>
    <col min="19" max="19" width="13.33203125" style="89" customWidth="1"/>
    <col min="20" max="20" width="12.77734375" style="89" customWidth="1"/>
    <col min="21" max="24" width="12.109375" style="89" customWidth="1"/>
    <col min="25" max="25" width="12.109375" style="332" customWidth="1"/>
    <col min="26" max="26" width="21.44140625" style="377" customWidth="1"/>
    <col min="27" max="16384" width="8.88671875" style="89"/>
  </cols>
  <sheetData>
    <row r="1" spans="1:31" s="1" customForma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8"/>
      <c r="Z1" s="115"/>
    </row>
    <row r="2" spans="1:31" s="3" customFormat="1" ht="14.25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16"/>
      <c r="Z2" s="116"/>
    </row>
    <row r="3" spans="1:31" s="3" customFormat="1" ht="17.25" thickBot="1">
      <c r="A3" s="4"/>
      <c r="B3" s="4"/>
      <c r="C3" s="4"/>
      <c r="D3" s="4"/>
      <c r="E3" s="4"/>
      <c r="F3" s="2"/>
      <c r="G3" s="4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2"/>
      <c r="Z3" s="116"/>
      <c r="AA3"/>
      <c r="AB3"/>
      <c r="AC3"/>
      <c r="AD3"/>
      <c r="AE3"/>
    </row>
    <row r="4" spans="1:31" s="1" customFormat="1" ht="28.5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269" t="s">
        <v>1152</v>
      </c>
      <c r="AA4"/>
      <c r="AB4"/>
      <c r="AC4"/>
      <c r="AD4"/>
      <c r="AE4"/>
    </row>
    <row r="5" spans="1:31" ht="27">
      <c r="A5" s="125">
        <v>1</v>
      </c>
      <c r="B5" s="125" t="s">
        <v>149</v>
      </c>
      <c r="C5" s="125" t="s">
        <v>150</v>
      </c>
      <c r="D5" s="472" t="s">
        <v>151</v>
      </c>
      <c r="E5" s="472" t="s">
        <v>152</v>
      </c>
      <c r="F5" s="297" t="s">
        <v>153</v>
      </c>
      <c r="G5" s="472" t="s">
        <v>154</v>
      </c>
      <c r="H5" s="472" t="s">
        <v>155</v>
      </c>
      <c r="I5" s="472">
        <f t="shared" ref="I5:I36" si="0">SUM(J5:M5)</f>
        <v>1500</v>
      </c>
      <c r="J5" s="472"/>
      <c r="K5" s="472"/>
      <c r="L5" s="472">
        <v>1500</v>
      </c>
      <c r="M5" s="472"/>
      <c r="N5" s="472" t="s">
        <v>35</v>
      </c>
      <c r="O5" s="472" t="s">
        <v>156</v>
      </c>
      <c r="P5" s="472" t="s">
        <v>46</v>
      </c>
      <c r="Q5" s="472" t="s">
        <v>157</v>
      </c>
      <c r="R5" s="472" t="s">
        <v>36</v>
      </c>
      <c r="S5" s="472" t="s">
        <v>158</v>
      </c>
      <c r="T5" s="472" t="s">
        <v>49</v>
      </c>
      <c r="U5" s="472" t="s">
        <v>53</v>
      </c>
      <c r="V5" s="472">
        <v>739</v>
      </c>
      <c r="W5" s="472">
        <v>739</v>
      </c>
      <c r="X5" s="472"/>
      <c r="Y5" s="472" t="s">
        <v>159</v>
      </c>
      <c r="Z5" s="202" t="s">
        <v>1148</v>
      </c>
    </row>
    <row r="6" spans="1:31" s="1" customFormat="1" ht="67.5">
      <c r="A6" s="147">
        <v>2</v>
      </c>
      <c r="B6" s="147" t="s">
        <v>160</v>
      </c>
      <c r="C6" s="147" t="s">
        <v>150</v>
      </c>
      <c r="D6" s="114" t="s">
        <v>161</v>
      </c>
      <c r="E6" s="114" t="s">
        <v>162</v>
      </c>
      <c r="F6" s="270" t="s">
        <v>163</v>
      </c>
      <c r="G6" s="114" t="s">
        <v>1171</v>
      </c>
      <c r="H6" s="114" t="s">
        <v>164</v>
      </c>
      <c r="I6" s="114">
        <f t="shared" si="0"/>
        <v>180</v>
      </c>
      <c r="J6" s="114"/>
      <c r="K6" s="114">
        <v>180</v>
      </c>
      <c r="L6" s="114"/>
      <c r="M6" s="114"/>
      <c r="N6" s="114"/>
      <c r="O6" s="114"/>
      <c r="P6" s="114" t="s">
        <v>31</v>
      </c>
      <c r="Q6" s="114" t="s">
        <v>165</v>
      </c>
      <c r="R6" s="114" t="s">
        <v>36</v>
      </c>
      <c r="S6" s="114" t="s">
        <v>55</v>
      </c>
      <c r="T6" s="114" t="s">
        <v>49</v>
      </c>
      <c r="U6" s="114" t="s">
        <v>53</v>
      </c>
      <c r="V6" s="114">
        <v>20</v>
      </c>
      <c r="W6" s="114">
        <v>20</v>
      </c>
      <c r="X6" s="114"/>
      <c r="Y6" s="114" t="s">
        <v>166</v>
      </c>
      <c r="Z6" s="202" t="s">
        <v>1148</v>
      </c>
    </row>
    <row r="7" spans="1:31" s="1" customFormat="1" ht="40.5">
      <c r="A7" s="147">
        <v>3</v>
      </c>
      <c r="B7" s="147" t="s">
        <v>160</v>
      </c>
      <c r="C7" s="147" t="s">
        <v>150</v>
      </c>
      <c r="D7" s="114" t="s">
        <v>167</v>
      </c>
      <c r="E7" s="114" t="s">
        <v>886</v>
      </c>
      <c r="F7" s="270" t="s">
        <v>168</v>
      </c>
      <c r="G7" s="114" t="s">
        <v>6170</v>
      </c>
      <c r="H7" s="114" t="s">
        <v>169</v>
      </c>
      <c r="I7" s="114">
        <f t="shared" si="0"/>
        <v>0</v>
      </c>
      <c r="J7" s="114"/>
      <c r="K7" s="114"/>
      <c r="L7" s="114"/>
      <c r="M7" s="114"/>
      <c r="N7" s="114"/>
      <c r="O7" s="114"/>
      <c r="P7" s="114" t="s">
        <v>7</v>
      </c>
      <c r="Q7" s="114" t="s">
        <v>132</v>
      </c>
      <c r="R7" s="114" t="s">
        <v>36</v>
      </c>
      <c r="S7" s="114" t="s">
        <v>68</v>
      </c>
      <c r="T7" s="114" t="s">
        <v>49</v>
      </c>
      <c r="U7" s="114" t="s">
        <v>38</v>
      </c>
      <c r="V7" s="114">
        <v>1</v>
      </c>
      <c r="W7" s="114">
        <v>0.8</v>
      </c>
      <c r="X7" s="114">
        <v>0.2</v>
      </c>
      <c r="Y7" s="114" t="s">
        <v>170</v>
      </c>
      <c r="Z7" s="202" t="s">
        <v>1148</v>
      </c>
    </row>
    <row r="8" spans="1:31" ht="40.5">
      <c r="A8" s="125">
        <v>4</v>
      </c>
      <c r="B8" s="125" t="s">
        <v>149</v>
      </c>
      <c r="C8" s="125" t="s">
        <v>150</v>
      </c>
      <c r="D8" s="472" t="s">
        <v>171</v>
      </c>
      <c r="E8" s="472" t="s">
        <v>1273</v>
      </c>
      <c r="F8" s="297" t="s">
        <v>172</v>
      </c>
      <c r="G8" s="472" t="s">
        <v>173</v>
      </c>
      <c r="H8" s="472" t="s">
        <v>174</v>
      </c>
      <c r="I8" s="472">
        <f t="shared" si="0"/>
        <v>280</v>
      </c>
      <c r="J8" s="472"/>
      <c r="K8" s="472"/>
      <c r="L8" s="472">
        <v>280</v>
      </c>
      <c r="M8" s="472"/>
      <c r="N8" s="472"/>
      <c r="O8" s="472"/>
      <c r="P8" s="472" t="s">
        <v>67</v>
      </c>
      <c r="Q8" s="472" t="s">
        <v>175</v>
      </c>
      <c r="R8" s="472" t="s">
        <v>36</v>
      </c>
      <c r="S8" s="472" t="s">
        <v>4372</v>
      </c>
      <c r="T8" s="472" t="s">
        <v>49</v>
      </c>
      <c r="U8" s="472" t="s">
        <v>37</v>
      </c>
      <c r="V8" s="472">
        <v>50</v>
      </c>
      <c r="W8" s="472">
        <v>50</v>
      </c>
      <c r="X8" s="472"/>
      <c r="Y8" s="472" t="s">
        <v>176</v>
      </c>
      <c r="Z8" s="202" t="s">
        <v>1148</v>
      </c>
    </row>
    <row r="9" spans="1:31" ht="67.5">
      <c r="A9" s="125">
        <v>5</v>
      </c>
      <c r="B9" s="125" t="s">
        <v>149</v>
      </c>
      <c r="C9" s="125" t="s">
        <v>150</v>
      </c>
      <c r="D9" s="472" t="s">
        <v>177</v>
      </c>
      <c r="E9" s="472" t="s">
        <v>1172</v>
      </c>
      <c r="F9" s="297" t="s">
        <v>178</v>
      </c>
      <c r="G9" s="472" t="s">
        <v>5994</v>
      </c>
      <c r="H9" s="472" t="s">
        <v>179</v>
      </c>
      <c r="I9" s="472">
        <f t="shared" si="0"/>
        <v>230</v>
      </c>
      <c r="J9" s="472"/>
      <c r="K9" s="472">
        <v>230</v>
      </c>
      <c r="L9" s="472"/>
      <c r="M9" s="472"/>
      <c r="N9" s="472"/>
      <c r="O9" s="472"/>
      <c r="P9" s="472" t="s">
        <v>67</v>
      </c>
      <c r="Q9" s="472" t="s">
        <v>180</v>
      </c>
      <c r="R9" s="472" t="s">
        <v>181</v>
      </c>
      <c r="S9" s="472" t="s">
        <v>55</v>
      </c>
      <c r="T9" s="472" t="s">
        <v>49</v>
      </c>
      <c r="U9" s="472" t="s">
        <v>38</v>
      </c>
      <c r="V9" s="472">
        <f t="shared" ref="V9:V16" si="1">SUM(W9:X9)</f>
        <v>2</v>
      </c>
      <c r="W9" s="472">
        <v>1.5</v>
      </c>
      <c r="X9" s="472">
        <v>0.5</v>
      </c>
      <c r="Y9" s="472" t="s">
        <v>176</v>
      </c>
      <c r="Z9" s="202" t="s">
        <v>1148</v>
      </c>
      <c r="AA9"/>
      <c r="AB9"/>
      <c r="AC9"/>
      <c r="AD9"/>
      <c r="AE9"/>
    </row>
    <row r="10" spans="1:31" ht="27">
      <c r="A10" s="125">
        <v>6</v>
      </c>
      <c r="B10" s="125" t="s">
        <v>149</v>
      </c>
      <c r="C10" s="472" t="s">
        <v>4371</v>
      </c>
      <c r="D10" s="472" t="s">
        <v>182</v>
      </c>
      <c r="E10" s="472" t="s">
        <v>1272</v>
      </c>
      <c r="F10" s="297" t="s">
        <v>183</v>
      </c>
      <c r="G10" s="472" t="s">
        <v>4370</v>
      </c>
      <c r="H10" s="472" t="s">
        <v>184</v>
      </c>
      <c r="I10" s="472">
        <f t="shared" si="0"/>
        <v>30</v>
      </c>
      <c r="J10" s="472"/>
      <c r="K10" s="472">
        <v>30</v>
      </c>
      <c r="L10" s="472"/>
      <c r="M10" s="472"/>
      <c r="N10" s="472"/>
      <c r="O10" s="472"/>
      <c r="P10" s="472" t="s">
        <v>50</v>
      </c>
      <c r="Q10" s="472" t="s">
        <v>185</v>
      </c>
      <c r="R10" s="472" t="s">
        <v>36</v>
      </c>
      <c r="S10" s="472" t="s">
        <v>186</v>
      </c>
      <c r="T10" s="472" t="s">
        <v>49</v>
      </c>
      <c r="U10" s="472" t="s">
        <v>38</v>
      </c>
      <c r="V10" s="472">
        <f t="shared" si="1"/>
        <v>3</v>
      </c>
      <c r="W10" s="472">
        <v>3</v>
      </c>
      <c r="X10" s="472"/>
      <c r="Y10" s="472" t="s">
        <v>64</v>
      </c>
      <c r="Z10" s="202" t="s">
        <v>1148</v>
      </c>
      <c r="AA10"/>
      <c r="AB10"/>
      <c r="AC10"/>
      <c r="AD10"/>
      <c r="AE10"/>
    </row>
    <row r="11" spans="1:31" ht="67.5">
      <c r="A11" s="125">
        <v>7</v>
      </c>
      <c r="B11" s="125" t="s">
        <v>149</v>
      </c>
      <c r="C11" s="125" t="s">
        <v>187</v>
      </c>
      <c r="D11" s="472" t="s">
        <v>188</v>
      </c>
      <c r="E11" s="472" t="s">
        <v>189</v>
      </c>
      <c r="F11" s="297" t="s">
        <v>190</v>
      </c>
      <c r="G11" s="472" t="s">
        <v>1472</v>
      </c>
      <c r="H11" s="472" t="s">
        <v>191</v>
      </c>
      <c r="I11" s="472">
        <f t="shared" si="0"/>
        <v>6000</v>
      </c>
      <c r="J11" s="472"/>
      <c r="K11" s="472"/>
      <c r="L11" s="472">
        <v>1340</v>
      </c>
      <c r="M11" s="472">
        <v>4660</v>
      </c>
      <c r="N11" s="472"/>
      <c r="O11" s="472"/>
      <c r="P11" s="472" t="s">
        <v>41</v>
      </c>
      <c r="Q11" s="472" t="s">
        <v>192</v>
      </c>
      <c r="R11" s="472" t="s">
        <v>36</v>
      </c>
      <c r="S11" s="472" t="s">
        <v>42</v>
      </c>
      <c r="T11" s="472" t="s">
        <v>193</v>
      </c>
      <c r="U11" s="472" t="s">
        <v>38</v>
      </c>
      <c r="V11" s="472">
        <f t="shared" si="1"/>
        <v>467</v>
      </c>
      <c r="W11" s="472">
        <v>426</v>
      </c>
      <c r="X11" s="472">
        <v>41</v>
      </c>
      <c r="Y11" s="472" t="s">
        <v>194</v>
      </c>
      <c r="Z11" s="202" t="s">
        <v>1148</v>
      </c>
      <c r="AA11"/>
      <c r="AB11"/>
      <c r="AC11"/>
      <c r="AD11"/>
      <c r="AE11"/>
    </row>
    <row r="12" spans="1:31" ht="54">
      <c r="A12" s="125">
        <v>8</v>
      </c>
      <c r="B12" s="125" t="s">
        <v>149</v>
      </c>
      <c r="C12" s="125" t="s">
        <v>187</v>
      </c>
      <c r="D12" s="472" t="s">
        <v>195</v>
      </c>
      <c r="E12" s="472" t="s">
        <v>1271</v>
      </c>
      <c r="F12" s="297" t="s">
        <v>196</v>
      </c>
      <c r="G12" s="472" t="s">
        <v>1270</v>
      </c>
      <c r="H12" s="472" t="s">
        <v>197</v>
      </c>
      <c r="I12" s="472">
        <f t="shared" si="0"/>
        <v>300</v>
      </c>
      <c r="J12" s="472"/>
      <c r="K12" s="472"/>
      <c r="L12" s="472">
        <v>300</v>
      </c>
      <c r="M12" s="472"/>
      <c r="N12" s="472"/>
      <c r="O12" s="472"/>
      <c r="P12" s="472" t="s">
        <v>52</v>
      </c>
      <c r="Q12" s="472" t="s">
        <v>198</v>
      </c>
      <c r="R12" s="472" t="s">
        <v>56</v>
      </c>
      <c r="S12" s="472" t="s">
        <v>199</v>
      </c>
      <c r="T12" s="472" t="s">
        <v>49</v>
      </c>
      <c r="U12" s="472" t="s">
        <v>38</v>
      </c>
      <c r="V12" s="472">
        <f t="shared" si="1"/>
        <v>215</v>
      </c>
      <c r="W12" s="472">
        <v>215</v>
      </c>
      <c r="X12" s="472"/>
      <c r="Y12" s="472" t="s">
        <v>200</v>
      </c>
      <c r="Z12" s="202" t="s">
        <v>1148</v>
      </c>
      <c r="AA12"/>
      <c r="AB12"/>
      <c r="AC12"/>
      <c r="AD12"/>
      <c r="AE12"/>
    </row>
    <row r="13" spans="1:31" ht="54">
      <c r="A13" s="125">
        <v>9</v>
      </c>
      <c r="B13" s="125" t="s">
        <v>149</v>
      </c>
      <c r="C13" s="125" t="s">
        <v>187</v>
      </c>
      <c r="D13" s="472" t="s">
        <v>201</v>
      </c>
      <c r="E13" s="472" t="s">
        <v>202</v>
      </c>
      <c r="F13" s="297" t="s">
        <v>1269</v>
      </c>
      <c r="G13" s="472" t="s">
        <v>1268</v>
      </c>
      <c r="H13" s="472" t="s">
        <v>108</v>
      </c>
      <c r="I13" s="472">
        <f t="shared" si="0"/>
        <v>560</v>
      </c>
      <c r="J13" s="472"/>
      <c r="K13" s="472"/>
      <c r="L13" s="472">
        <v>200</v>
      </c>
      <c r="M13" s="472">
        <v>360</v>
      </c>
      <c r="N13" s="472"/>
      <c r="O13" s="472"/>
      <c r="P13" s="472" t="s">
        <v>46</v>
      </c>
      <c r="Q13" s="472" t="s">
        <v>203</v>
      </c>
      <c r="R13" s="472" t="s">
        <v>56</v>
      </c>
      <c r="S13" s="472" t="s">
        <v>199</v>
      </c>
      <c r="T13" s="472" t="s">
        <v>49</v>
      </c>
      <c r="U13" s="472" t="s">
        <v>38</v>
      </c>
      <c r="V13" s="472">
        <f t="shared" si="1"/>
        <v>470</v>
      </c>
      <c r="W13" s="472">
        <v>470</v>
      </c>
      <c r="X13" s="472"/>
      <c r="Y13" s="472" t="s">
        <v>204</v>
      </c>
      <c r="Z13" s="202" t="s">
        <v>1148</v>
      </c>
    </row>
    <row r="14" spans="1:31" ht="40.5">
      <c r="A14" s="125">
        <v>10</v>
      </c>
      <c r="B14" s="125" t="s">
        <v>149</v>
      </c>
      <c r="C14" s="125" t="s">
        <v>205</v>
      </c>
      <c r="D14" s="472" t="s">
        <v>206</v>
      </c>
      <c r="E14" s="472" t="s">
        <v>207</v>
      </c>
      <c r="F14" s="297" t="s">
        <v>208</v>
      </c>
      <c r="G14" s="472" t="s">
        <v>209</v>
      </c>
      <c r="H14" s="472" t="s">
        <v>210</v>
      </c>
      <c r="I14" s="472">
        <f t="shared" si="0"/>
        <v>200</v>
      </c>
      <c r="J14" s="472"/>
      <c r="K14" s="472"/>
      <c r="L14" s="472">
        <v>200</v>
      </c>
      <c r="M14" s="472"/>
      <c r="N14" s="472"/>
      <c r="O14" s="472"/>
      <c r="P14" s="472" t="s">
        <v>46</v>
      </c>
      <c r="Q14" s="472" t="s">
        <v>211</v>
      </c>
      <c r="R14" s="472" t="s">
        <v>36</v>
      </c>
      <c r="S14" s="472" t="s">
        <v>55</v>
      </c>
      <c r="T14" s="472" t="s">
        <v>49</v>
      </c>
      <c r="U14" s="472" t="s">
        <v>37</v>
      </c>
      <c r="V14" s="472">
        <f t="shared" si="1"/>
        <v>3</v>
      </c>
      <c r="W14" s="472">
        <v>3</v>
      </c>
      <c r="X14" s="472"/>
      <c r="Y14" s="472" t="s">
        <v>212</v>
      </c>
      <c r="Z14" s="202" t="s">
        <v>1148</v>
      </c>
    </row>
    <row r="15" spans="1:31" ht="27">
      <c r="A15" s="125">
        <v>11</v>
      </c>
      <c r="B15" s="125" t="s">
        <v>160</v>
      </c>
      <c r="C15" s="125" t="s">
        <v>213</v>
      </c>
      <c r="D15" s="472" t="s">
        <v>214</v>
      </c>
      <c r="E15" s="472" t="s">
        <v>215</v>
      </c>
      <c r="F15" s="297" t="s">
        <v>216</v>
      </c>
      <c r="G15" s="472" t="s">
        <v>217</v>
      </c>
      <c r="H15" s="472" t="s">
        <v>218</v>
      </c>
      <c r="I15" s="472">
        <f t="shared" si="0"/>
        <v>200</v>
      </c>
      <c r="J15" s="472"/>
      <c r="K15" s="472">
        <v>200</v>
      </c>
      <c r="L15" s="472"/>
      <c r="M15" s="472"/>
      <c r="N15" s="472"/>
      <c r="O15" s="472"/>
      <c r="P15" s="472" t="s">
        <v>31</v>
      </c>
      <c r="Q15" s="472" t="s">
        <v>219</v>
      </c>
      <c r="R15" s="472" t="s">
        <v>36</v>
      </c>
      <c r="S15" s="472" t="s">
        <v>186</v>
      </c>
      <c r="T15" s="472" t="s">
        <v>49</v>
      </c>
      <c r="U15" s="472" t="s">
        <v>38</v>
      </c>
      <c r="V15" s="472">
        <f t="shared" si="1"/>
        <v>0</v>
      </c>
      <c r="W15" s="472"/>
      <c r="X15" s="472"/>
      <c r="Y15" s="472" t="s">
        <v>220</v>
      </c>
      <c r="Z15" s="202" t="s">
        <v>1148</v>
      </c>
      <c r="AA15"/>
      <c r="AB15"/>
      <c r="AC15"/>
      <c r="AD15"/>
      <c r="AE15"/>
    </row>
    <row r="16" spans="1:31" ht="40.5">
      <c r="A16" s="125">
        <v>12</v>
      </c>
      <c r="B16" s="125" t="s">
        <v>149</v>
      </c>
      <c r="C16" s="125" t="s">
        <v>213</v>
      </c>
      <c r="D16" s="472" t="s">
        <v>221</v>
      </c>
      <c r="E16" s="472" t="s">
        <v>222</v>
      </c>
      <c r="F16" s="297" t="s">
        <v>223</v>
      </c>
      <c r="G16" s="472" t="s">
        <v>2712</v>
      </c>
      <c r="H16" s="472" t="s">
        <v>40</v>
      </c>
      <c r="I16" s="472">
        <f t="shared" si="0"/>
        <v>295</v>
      </c>
      <c r="J16" s="472"/>
      <c r="K16" s="472">
        <v>295</v>
      </c>
      <c r="L16" s="472"/>
      <c r="M16" s="472"/>
      <c r="N16" s="472"/>
      <c r="O16" s="472"/>
      <c r="P16" s="472" t="s">
        <v>7</v>
      </c>
      <c r="Q16" s="472" t="s">
        <v>224</v>
      </c>
      <c r="R16" s="472" t="s">
        <v>36</v>
      </c>
      <c r="S16" s="472" t="s">
        <v>225</v>
      </c>
      <c r="T16" s="472" t="s">
        <v>49</v>
      </c>
      <c r="U16" s="472" t="s">
        <v>53</v>
      </c>
      <c r="V16" s="472">
        <f t="shared" si="1"/>
        <v>3</v>
      </c>
      <c r="W16" s="472">
        <v>3</v>
      </c>
      <c r="X16" s="472" t="s">
        <v>43</v>
      </c>
      <c r="Y16" s="472" t="s">
        <v>2</v>
      </c>
      <c r="Z16" s="202" t="s">
        <v>1148</v>
      </c>
      <c r="AA16"/>
      <c r="AB16"/>
      <c r="AC16"/>
      <c r="AD16"/>
      <c r="AE16"/>
    </row>
    <row r="17" spans="1:31" ht="27">
      <c r="A17" s="125">
        <v>13</v>
      </c>
      <c r="B17" s="125" t="s">
        <v>149</v>
      </c>
      <c r="C17" s="125" t="s">
        <v>213</v>
      </c>
      <c r="D17" s="472" t="s">
        <v>226</v>
      </c>
      <c r="E17" s="472" t="s">
        <v>227</v>
      </c>
      <c r="F17" s="297" t="s">
        <v>228</v>
      </c>
      <c r="G17" s="472" t="s">
        <v>229</v>
      </c>
      <c r="H17" s="472" t="s">
        <v>230</v>
      </c>
      <c r="I17" s="472">
        <f t="shared" si="0"/>
        <v>25</v>
      </c>
      <c r="J17" s="472"/>
      <c r="K17" s="472">
        <v>25</v>
      </c>
      <c r="L17" s="472"/>
      <c r="M17" s="472"/>
      <c r="N17" s="472"/>
      <c r="O17" s="472"/>
      <c r="P17" s="472" t="s">
        <v>52</v>
      </c>
      <c r="Q17" s="472" t="s">
        <v>231</v>
      </c>
      <c r="R17" s="472" t="s">
        <v>36</v>
      </c>
      <c r="S17" s="472" t="s">
        <v>232</v>
      </c>
      <c r="T17" s="472" t="s">
        <v>49</v>
      </c>
      <c r="U17" s="472" t="s">
        <v>233</v>
      </c>
      <c r="V17" s="472">
        <v>1</v>
      </c>
      <c r="W17" s="472">
        <v>1</v>
      </c>
      <c r="X17" s="472"/>
      <c r="Y17" s="472" t="s">
        <v>234</v>
      </c>
      <c r="Z17" s="202" t="s">
        <v>1148</v>
      </c>
      <c r="AA17"/>
      <c r="AB17"/>
      <c r="AC17"/>
      <c r="AD17"/>
      <c r="AE17"/>
    </row>
    <row r="18" spans="1:31" ht="40.5">
      <c r="A18" s="125">
        <v>14</v>
      </c>
      <c r="B18" s="125" t="s">
        <v>149</v>
      </c>
      <c r="C18" s="125" t="s">
        <v>213</v>
      </c>
      <c r="D18" s="472" t="s">
        <v>235</v>
      </c>
      <c r="E18" s="472" t="s">
        <v>236</v>
      </c>
      <c r="F18" s="297" t="s">
        <v>237</v>
      </c>
      <c r="G18" s="472" t="s">
        <v>229</v>
      </c>
      <c r="H18" s="472" t="s">
        <v>238</v>
      </c>
      <c r="I18" s="472">
        <f t="shared" si="0"/>
        <v>150</v>
      </c>
      <c r="J18" s="472"/>
      <c r="K18" s="472">
        <v>150</v>
      </c>
      <c r="L18" s="472"/>
      <c r="M18" s="472"/>
      <c r="N18" s="472"/>
      <c r="O18" s="472"/>
      <c r="P18" s="472" t="s">
        <v>52</v>
      </c>
      <c r="Q18" s="472" t="s">
        <v>239</v>
      </c>
      <c r="R18" s="472" t="s">
        <v>36</v>
      </c>
      <c r="S18" s="472" t="s">
        <v>232</v>
      </c>
      <c r="T18" s="472" t="s">
        <v>49</v>
      </c>
      <c r="U18" s="472" t="s">
        <v>233</v>
      </c>
      <c r="V18" s="472">
        <v>40</v>
      </c>
      <c r="W18" s="472">
        <v>40</v>
      </c>
      <c r="X18" s="472"/>
      <c r="Y18" s="472" t="s">
        <v>240</v>
      </c>
      <c r="Z18" s="202" t="s">
        <v>1148</v>
      </c>
    </row>
    <row r="19" spans="1:31" s="1" customFormat="1" ht="40.5">
      <c r="A19" s="147">
        <v>15</v>
      </c>
      <c r="B19" s="147" t="s">
        <v>149</v>
      </c>
      <c r="C19" s="147" t="s">
        <v>213</v>
      </c>
      <c r="D19" s="114" t="s">
        <v>241</v>
      </c>
      <c r="E19" s="114" t="s">
        <v>968</v>
      </c>
      <c r="F19" s="270" t="s">
        <v>242</v>
      </c>
      <c r="G19" s="114" t="s">
        <v>243</v>
      </c>
      <c r="H19" s="114" t="s">
        <v>244</v>
      </c>
      <c r="I19" s="114">
        <f t="shared" si="0"/>
        <v>36</v>
      </c>
      <c r="J19" s="114"/>
      <c r="K19" s="114">
        <v>36</v>
      </c>
      <c r="L19" s="114"/>
      <c r="M19" s="114"/>
      <c r="N19" s="114"/>
      <c r="O19" s="114"/>
      <c r="P19" s="114" t="s">
        <v>46</v>
      </c>
      <c r="Q19" s="114" t="s">
        <v>245</v>
      </c>
      <c r="R19" s="114" t="s">
        <v>36</v>
      </c>
      <c r="S19" s="114" t="s">
        <v>246</v>
      </c>
      <c r="T19" s="114" t="s">
        <v>49</v>
      </c>
      <c r="U19" s="114" t="s">
        <v>233</v>
      </c>
      <c r="V19" s="114">
        <v>1</v>
      </c>
      <c r="W19" s="114">
        <v>1</v>
      </c>
      <c r="X19" s="114"/>
      <c r="Y19" s="114" t="s">
        <v>64</v>
      </c>
      <c r="Z19" s="202" t="s">
        <v>1148</v>
      </c>
      <c r="AA19"/>
      <c r="AB19"/>
      <c r="AC19"/>
      <c r="AD19"/>
      <c r="AE19"/>
    </row>
    <row r="20" spans="1:31" ht="40.5">
      <c r="A20" s="125">
        <v>16</v>
      </c>
      <c r="B20" s="125" t="s">
        <v>149</v>
      </c>
      <c r="C20" s="125" t="s">
        <v>205</v>
      </c>
      <c r="D20" s="472" t="s">
        <v>247</v>
      </c>
      <c r="E20" s="472" t="s">
        <v>1157</v>
      </c>
      <c r="F20" s="297" t="s">
        <v>248</v>
      </c>
      <c r="G20" s="103" t="s">
        <v>249</v>
      </c>
      <c r="H20" s="103" t="s">
        <v>250</v>
      </c>
      <c r="I20" s="472">
        <f t="shared" si="0"/>
        <v>40</v>
      </c>
      <c r="J20" s="472"/>
      <c r="K20" s="472"/>
      <c r="L20" s="125">
        <v>40</v>
      </c>
      <c r="M20" s="472"/>
      <c r="N20" s="472"/>
      <c r="O20" s="472"/>
      <c r="P20" s="472" t="s">
        <v>50</v>
      </c>
      <c r="Q20" s="472" t="s">
        <v>251</v>
      </c>
      <c r="R20" s="472" t="s">
        <v>56</v>
      </c>
      <c r="S20" s="472" t="s">
        <v>252</v>
      </c>
      <c r="T20" s="472" t="s">
        <v>61</v>
      </c>
      <c r="U20" s="472" t="s">
        <v>38</v>
      </c>
      <c r="V20" s="472">
        <v>40</v>
      </c>
      <c r="W20" s="472">
        <v>40</v>
      </c>
      <c r="X20" s="472"/>
      <c r="Y20" s="472" t="s">
        <v>253</v>
      </c>
      <c r="Z20" s="202" t="s">
        <v>1148</v>
      </c>
      <c r="AA20"/>
      <c r="AB20"/>
      <c r="AC20"/>
      <c r="AD20"/>
      <c r="AE20"/>
    </row>
    <row r="21" spans="1:31" ht="27">
      <c r="A21" s="125">
        <v>17</v>
      </c>
      <c r="B21" s="125" t="s">
        <v>160</v>
      </c>
      <c r="C21" s="125" t="s">
        <v>213</v>
      </c>
      <c r="D21" s="472" t="s">
        <v>254</v>
      </c>
      <c r="E21" s="472" t="s">
        <v>1173</v>
      </c>
      <c r="F21" s="297" t="s">
        <v>1267</v>
      </c>
      <c r="G21" s="472" t="s">
        <v>1266</v>
      </c>
      <c r="H21" s="472" t="s">
        <v>256</v>
      </c>
      <c r="I21" s="472">
        <f t="shared" si="0"/>
        <v>30</v>
      </c>
      <c r="J21" s="472"/>
      <c r="K21" s="472">
        <v>30</v>
      </c>
      <c r="L21" s="472"/>
      <c r="M21" s="472"/>
      <c r="N21" s="472"/>
      <c r="O21" s="472"/>
      <c r="P21" s="472" t="s">
        <v>67</v>
      </c>
      <c r="Q21" s="472" t="s">
        <v>257</v>
      </c>
      <c r="R21" s="472" t="s">
        <v>36</v>
      </c>
      <c r="S21" s="472" t="s">
        <v>186</v>
      </c>
      <c r="T21" s="472" t="s">
        <v>49</v>
      </c>
      <c r="U21" s="472" t="s">
        <v>38</v>
      </c>
      <c r="V21" s="472">
        <f>SUM(W21:X21)</f>
        <v>3.5</v>
      </c>
      <c r="W21" s="472">
        <v>3.5</v>
      </c>
      <c r="X21" s="472"/>
      <c r="Y21" s="472" t="s">
        <v>258</v>
      </c>
      <c r="Z21" s="202" t="s">
        <v>1145</v>
      </c>
    </row>
    <row r="22" spans="1:31" ht="27">
      <c r="A22" s="125">
        <v>18</v>
      </c>
      <c r="B22" s="125" t="s">
        <v>160</v>
      </c>
      <c r="C22" s="125" t="s">
        <v>213</v>
      </c>
      <c r="D22" s="472" t="s">
        <v>259</v>
      </c>
      <c r="E22" s="472" t="s">
        <v>1265</v>
      </c>
      <c r="F22" s="297" t="s">
        <v>1174</v>
      </c>
      <c r="G22" s="472" t="s">
        <v>255</v>
      </c>
      <c r="H22" s="472" t="s">
        <v>256</v>
      </c>
      <c r="I22" s="472">
        <f t="shared" si="0"/>
        <v>55</v>
      </c>
      <c r="J22" s="472"/>
      <c r="K22" s="472">
        <v>55</v>
      </c>
      <c r="L22" s="472"/>
      <c r="M22" s="472"/>
      <c r="N22" s="472"/>
      <c r="O22" s="472"/>
      <c r="P22" s="472" t="s">
        <v>67</v>
      </c>
      <c r="Q22" s="472" t="s">
        <v>257</v>
      </c>
      <c r="R22" s="472" t="s">
        <v>36</v>
      </c>
      <c r="S22" s="472" t="s">
        <v>186</v>
      </c>
      <c r="T22" s="472" t="s">
        <v>49</v>
      </c>
      <c r="U22" s="472" t="s">
        <v>38</v>
      </c>
      <c r="V22" s="472">
        <f>SUM(W22:X22)</f>
        <v>23</v>
      </c>
      <c r="W22" s="472">
        <v>23</v>
      </c>
      <c r="X22" s="472"/>
      <c r="Y22" s="472" t="s">
        <v>258</v>
      </c>
      <c r="Z22" s="202" t="s">
        <v>1148</v>
      </c>
      <c r="AA22"/>
      <c r="AB22"/>
      <c r="AC22"/>
      <c r="AD22"/>
      <c r="AE22"/>
    </row>
    <row r="23" spans="1:31" s="1" customFormat="1" ht="27">
      <c r="A23" s="147">
        <v>19</v>
      </c>
      <c r="B23" s="147" t="s">
        <v>160</v>
      </c>
      <c r="C23" s="147" t="s">
        <v>213</v>
      </c>
      <c r="D23" s="114" t="s">
        <v>260</v>
      </c>
      <c r="E23" s="114" t="s">
        <v>1158</v>
      </c>
      <c r="F23" s="270" t="s">
        <v>1264</v>
      </c>
      <c r="G23" s="114" t="s">
        <v>255</v>
      </c>
      <c r="H23" s="114" t="s">
        <v>256</v>
      </c>
      <c r="I23" s="114">
        <f t="shared" si="0"/>
        <v>35</v>
      </c>
      <c r="J23" s="114"/>
      <c r="K23" s="114">
        <v>35</v>
      </c>
      <c r="L23" s="114"/>
      <c r="M23" s="114"/>
      <c r="N23" s="114"/>
      <c r="O23" s="114"/>
      <c r="P23" s="114" t="s">
        <v>67</v>
      </c>
      <c r="Q23" s="114" t="s">
        <v>257</v>
      </c>
      <c r="R23" s="114" t="s">
        <v>36</v>
      </c>
      <c r="S23" s="114" t="s">
        <v>186</v>
      </c>
      <c r="T23" s="114" t="s">
        <v>49</v>
      </c>
      <c r="U23" s="114" t="s">
        <v>38</v>
      </c>
      <c r="V23" s="114">
        <f>SUM(W23:X23)</f>
        <v>5</v>
      </c>
      <c r="W23" s="114">
        <v>5</v>
      </c>
      <c r="X23" s="114"/>
      <c r="Y23" s="114" t="s">
        <v>258</v>
      </c>
      <c r="Z23" s="202" t="s">
        <v>1148</v>
      </c>
      <c r="AA23"/>
      <c r="AB23"/>
      <c r="AC23"/>
      <c r="AD23"/>
      <c r="AE23"/>
    </row>
    <row r="24" spans="1:31" ht="27">
      <c r="A24" s="125">
        <v>20</v>
      </c>
      <c r="B24" s="125" t="s">
        <v>160</v>
      </c>
      <c r="C24" s="125" t="s">
        <v>213</v>
      </c>
      <c r="D24" s="472" t="s">
        <v>261</v>
      </c>
      <c r="E24" s="472" t="s">
        <v>1153</v>
      </c>
      <c r="F24" s="297" t="s">
        <v>1263</v>
      </c>
      <c r="G24" s="472" t="s">
        <v>255</v>
      </c>
      <c r="H24" s="472" t="s">
        <v>256</v>
      </c>
      <c r="I24" s="472">
        <f t="shared" si="0"/>
        <v>65</v>
      </c>
      <c r="J24" s="472"/>
      <c r="K24" s="472">
        <v>65</v>
      </c>
      <c r="L24" s="472"/>
      <c r="M24" s="472"/>
      <c r="N24" s="472"/>
      <c r="O24" s="472"/>
      <c r="P24" s="472" t="s">
        <v>67</v>
      </c>
      <c r="Q24" s="472" t="s">
        <v>257</v>
      </c>
      <c r="R24" s="472" t="s">
        <v>36</v>
      </c>
      <c r="S24" s="472" t="s">
        <v>186</v>
      </c>
      <c r="T24" s="472" t="s">
        <v>49</v>
      </c>
      <c r="U24" s="472" t="s">
        <v>38</v>
      </c>
      <c r="V24" s="472">
        <f>SUM(W24:X24)</f>
        <v>22</v>
      </c>
      <c r="W24" s="472">
        <v>22</v>
      </c>
      <c r="X24" s="472"/>
      <c r="Y24" s="472" t="s">
        <v>258</v>
      </c>
      <c r="Z24" s="202" t="s">
        <v>6101</v>
      </c>
    </row>
    <row r="25" spans="1:31" ht="32.1" customHeight="1">
      <c r="A25" s="125">
        <v>21</v>
      </c>
      <c r="B25" s="125" t="s">
        <v>149</v>
      </c>
      <c r="C25" s="125" t="s">
        <v>205</v>
      </c>
      <c r="D25" s="472" t="s">
        <v>6013</v>
      </c>
      <c r="E25" s="472" t="s">
        <v>262</v>
      </c>
      <c r="F25" s="297" t="s">
        <v>1175</v>
      </c>
      <c r="G25" s="472" t="s">
        <v>6012</v>
      </c>
      <c r="H25" s="472" t="s">
        <v>263</v>
      </c>
      <c r="I25" s="472">
        <f t="shared" si="0"/>
        <v>5</v>
      </c>
      <c r="J25" s="472"/>
      <c r="K25" s="472"/>
      <c r="L25" s="472"/>
      <c r="M25" s="472">
        <v>5</v>
      </c>
      <c r="N25" s="472"/>
      <c r="O25" s="472"/>
      <c r="P25" s="472" t="s">
        <v>46</v>
      </c>
      <c r="Q25" s="472" t="s">
        <v>264</v>
      </c>
      <c r="R25" s="472" t="s">
        <v>56</v>
      </c>
      <c r="S25" s="472" t="s">
        <v>265</v>
      </c>
      <c r="T25" s="472" t="s">
        <v>61</v>
      </c>
      <c r="U25" s="472" t="s">
        <v>47</v>
      </c>
      <c r="V25" s="472">
        <v>20</v>
      </c>
      <c r="W25" s="472"/>
      <c r="X25" s="472"/>
      <c r="Y25" s="472" t="s">
        <v>67</v>
      </c>
      <c r="Z25" s="202" t="s">
        <v>1148</v>
      </c>
      <c r="AA25"/>
      <c r="AB25"/>
      <c r="AC25"/>
      <c r="AD25"/>
      <c r="AE25"/>
    </row>
    <row r="26" spans="1:31" ht="27">
      <c r="A26" s="125">
        <v>22</v>
      </c>
      <c r="B26" s="125" t="s">
        <v>149</v>
      </c>
      <c r="C26" s="472" t="s">
        <v>205</v>
      </c>
      <c r="D26" s="472" t="s">
        <v>266</v>
      </c>
      <c r="E26" s="472" t="s">
        <v>1262</v>
      </c>
      <c r="F26" s="297" t="s">
        <v>1261</v>
      </c>
      <c r="G26" s="472" t="s">
        <v>2733</v>
      </c>
      <c r="H26" s="472" t="s">
        <v>267</v>
      </c>
      <c r="I26" s="472">
        <f t="shared" si="0"/>
        <v>30</v>
      </c>
      <c r="J26" s="103"/>
      <c r="K26" s="103"/>
      <c r="L26" s="103">
        <v>8</v>
      </c>
      <c r="M26" s="103">
        <v>22</v>
      </c>
      <c r="N26" s="103"/>
      <c r="O26" s="103"/>
      <c r="P26" s="472" t="s">
        <v>46</v>
      </c>
      <c r="Q26" s="472" t="s">
        <v>268</v>
      </c>
      <c r="R26" s="472" t="s">
        <v>56</v>
      </c>
      <c r="S26" s="472" t="s">
        <v>265</v>
      </c>
      <c r="T26" s="472" t="s">
        <v>61</v>
      </c>
      <c r="U26" s="472" t="s">
        <v>47</v>
      </c>
      <c r="V26" s="472">
        <v>40</v>
      </c>
      <c r="W26" s="472"/>
      <c r="X26" s="472"/>
      <c r="Y26" s="472" t="s">
        <v>67</v>
      </c>
      <c r="Z26" s="202" t="s">
        <v>6153</v>
      </c>
    </row>
    <row r="27" spans="1:31" ht="27">
      <c r="A27" s="125">
        <v>23</v>
      </c>
      <c r="B27" s="125" t="s">
        <v>149</v>
      </c>
      <c r="C27" s="125" t="s">
        <v>205</v>
      </c>
      <c r="D27" s="472" t="s">
        <v>269</v>
      </c>
      <c r="E27" s="472" t="s">
        <v>1221</v>
      </c>
      <c r="F27" s="297" t="s">
        <v>1260</v>
      </c>
      <c r="G27" s="472" t="s">
        <v>6152</v>
      </c>
      <c r="H27" s="472" t="s">
        <v>263</v>
      </c>
      <c r="I27" s="472">
        <f t="shared" si="0"/>
        <v>30</v>
      </c>
      <c r="J27" s="160"/>
      <c r="K27" s="160" t="s">
        <v>102</v>
      </c>
      <c r="L27" s="160"/>
      <c r="M27" s="160">
        <v>30</v>
      </c>
      <c r="N27" s="160"/>
      <c r="O27" s="160"/>
      <c r="P27" s="125" t="s">
        <v>46</v>
      </c>
      <c r="Q27" s="125" t="s">
        <v>270</v>
      </c>
      <c r="R27" s="472" t="s">
        <v>56</v>
      </c>
      <c r="S27" s="472" t="s">
        <v>265</v>
      </c>
      <c r="T27" s="125" t="s">
        <v>61</v>
      </c>
      <c r="U27" s="472" t="s">
        <v>47</v>
      </c>
      <c r="V27" s="472">
        <v>30</v>
      </c>
      <c r="W27" s="472"/>
      <c r="X27" s="472"/>
      <c r="Y27" s="472" t="s">
        <v>67</v>
      </c>
      <c r="Z27" s="202"/>
    </row>
    <row r="28" spans="1:31" ht="27">
      <c r="A28" s="125">
        <v>24</v>
      </c>
      <c r="B28" s="125" t="s">
        <v>160</v>
      </c>
      <c r="C28" s="125" t="s">
        <v>271</v>
      </c>
      <c r="D28" s="472" t="s">
        <v>272</v>
      </c>
      <c r="E28" s="472" t="s">
        <v>39</v>
      </c>
      <c r="F28" s="297" t="s">
        <v>1259</v>
      </c>
      <c r="G28" s="472" t="s">
        <v>273</v>
      </c>
      <c r="H28" s="472" t="s">
        <v>40</v>
      </c>
      <c r="I28" s="472">
        <f t="shared" si="0"/>
        <v>1199</v>
      </c>
      <c r="J28" s="472"/>
      <c r="K28" s="472">
        <v>1199</v>
      </c>
      <c r="L28" s="472"/>
      <c r="M28" s="472"/>
      <c r="N28" s="472"/>
      <c r="O28" s="472"/>
      <c r="P28" s="472" t="s">
        <v>46</v>
      </c>
      <c r="Q28" s="472" t="s">
        <v>274</v>
      </c>
      <c r="R28" s="472" t="s">
        <v>36</v>
      </c>
      <c r="S28" s="472" t="s">
        <v>199</v>
      </c>
      <c r="T28" s="472" t="s">
        <v>49</v>
      </c>
      <c r="U28" s="472" t="s">
        <v>38</v>
      </c>
      <c r="V28" s="472">
        <v>16</v>
      </c>
      <c r="W28" s="472">
        <v>16</v>
      </c>
      <c r="X28" s="472"/>
      <c r="Y28" s="472" t="s">
        <v>275</v>
      </c>
      <c r="Z28" s="202" t="s">
        <v>1148</v>
      </c>
    </row>
    <row r="29" spans="1:31" ht="40.5">
      <c r="A29" s="125">
        <v>25</v>
      </c>
      <c r="B29" s="125" t="s">
        <v>160</v>
      </c>
      <c r="C29" s="472" t="s">
        <v>271</v>
      </c>
      <c r="D29" s="472" t="s">
        <v>276</v>
      </c>
      <c r="E29" s="472" t="s">
        <v>54</v>
      </c>
      <c r="F29" s="297" t="s">
        <v>277</v>
      </c>
      <c r="G29" s="472" t="s">
        <v>1258</v>
      </c>
      <c r="H29" s="472" t="s">
        <v>278</v>
      </c>
      <c r="I29" s="472">
        <f t="shared" si="0"/>
        <v>90</v>
      </c>
      <c r="J29" s="472"/>
      <c r="K29" s="472">
        <v>90</v>
      </c>
      <c r="L29" s="472"/>
      <c r="M29" s="472"/>
      <c r="N29" s="472"/>
      <c r="O29" s="472"/>
      <c r="P29" s="472" t="s">
        <v>7</v>
      </c>
      <c r="Q29" s="472" t="s">
        <v>279</v>
      </c>
      <c r="R29" s="472" t="s">
        <v>36</v>
      </c>
      <c r="S29" s="472" t="s">
        <v>199</v>
      </c>
      <c r="T29" s="472" t="s">
        <v>49</v>
      </c>
      <c r="U29" s="472" t="s">
        <v>38</v>
      </c>
      <c r="V29" s="472">
        <f t="shared" ref="V29:V35" si="2">SUM(W29:X29)</f>
        <v>0</v>
      </c>
      <c r="W29" s="472">
        <v>0</v>
      </c>
      <c r="X29" s="472"/>
      <c r="Y29" s="472" t="s">
        <v>280</v>
      </c>
      <c r="Z29" s="202" t="s">
        <v>1148</v>
      </c>
    </row>
    <row r="30" spans="1:31" ht="40.5">
      <c r="A30" s="125">
        <v>26</v>
      </c>
      <c r="B30" s="125" t="s">
        <v>149</v>
      </c>
      <c r="C30" s="125" t="s">
        <v>281</v>
      </c>
      <c r="D30" s="472" t="s">
        <v>282</v>
      </c>
      <c r="E30" s="472" t="s">
        <v>908</v>
      </c>
      <c r="F30" s="297" t="s">
        <v>283</v>
      </c>
      <c r="G30" s="472" t="s">
        <v>284</v>
      </c>
      <c r="H30" s="472" t="s">
        <v>285</v>
      </c>
      <c r="I30" s="472">
        <f t="shared" si="0"/>
        <v>30</v>
      </c>
      <c r="J30" s="472"/>
      <c r="K30" s="472">
        <v>30</v>
      </c>
      <c r="L30" s="472"/>
      <c r="M30" s="472"/>
      <c r="N30" s="472"/>
      <c r="O30" s="472"/>
      <c r="P30" s="472" t="s">
        <v>48</v>
      </c>
      <c r="Q30" s="472" t="s">
        <v>286</v>
      </c>
      <c r="R30" s="472" t="s">
        <v>36</v>
      </c>
      <c r="S30" s="472" t="s">
        <v>42</v>
      </c>
      <c r="T30" s="472" t="s">
        <v>49</v>
      </c>
      <c r="U30" s="472" t="s">
        <v>38</v>
      </c>
      <c r="V30" s="472">
        <f t="shared" si="2"/>
        <v>43</v>
      </c>
      <c r="W30" s="472">
        <v>43</v>
      </c>
      <c r="X30" s="472"/>
      <c r="Y30" s="472" t="s">
        <v>287</v>
      </c>
      <c r="Z30" s="202" t="s">
        <v>1148</v>
      </c>
      <c r="AA30"/>
      <c r="AB30"/>
      <c r="AC30"/>
      <c r="AD30"/>
      <c r="AE30"/>
    </row>
    <row r="31" spans="1:31" ht="40.5">
      <c r="A31" s="125">
        <v>27</v>
      </c>
      <c r="B31" s="125" t="s">
        <v>149</v>
      </c>
      <c r="C31" s="125" t="s">
        <v>281</v>
      </c>
      <c r="D31" s="472" t="s">
        <v>288</v>
      </c>
      <c r="E31" s="472" t="s">
        <v>908</v>
      </c>
      <c r="F31" s="297" t="s">
        <v>289</v>
      </c>
      <c r="G31" s="472" t="s">
        <v>290</v>
      </c>
      <c r="H31" s="472" t="s">
        <v>291</v>
      </c>
      <c r="I31" s="472">
        <f t="shared" si="0"/>
        <v>30</v>
      </c>
      <c r="J31" s="472"/>
      <c r="K31" s="472">
        <v>30</v>
      </c>
      <c r="L31" s="472"/>
      <c r="M31" s="472"/>
      <c r="N31" s="472"/>
      <c r="O31" s="472"/>
      <c r="P31" s="472" t="s">
        <v>48</v>
      </c>
      <c r="Q31" s="472" t="s">
        <v>286</v>
      </c>
      <c r="R31" s="472" t="s">
        <v>36</v>
      </c>
      <c r="S31" s="472" t="s">
        <v>42</v>
      </c>
      <c r="T31" s="472" t="s">
        <v>49</v>
      </c>
      <c r="U31" s="472" t="s">
        <v>38</v>
      </c>
      <c r="V31" s="472">
        <f t="shared" si="2"/>
        <v>60</v>
      </c>
      <c r="W31" s="472">
        <v>60</v>
      </c>
      <c r="X31" s="472"/>
      <c r="Y31" s="472" t="s">
        <v>292</v>
      </c>
      <c r="Z31" s="202" t="s">
        <v>1148</v>
      </c>
      <c r="AA31"/>
      <c r="AB31"/>
      <c r="AC31"/>
      <c r="AD31"/>
      <c r="AE31"/>
    </row>
    <row r="32" spans="1:31" ht="67.5">
      <c r="A32" s="125">
        <v>28</v>
      </c>
      <c r="B32" s="125" t="s">
        <v>149</v>
      </c>
      <c r="C32" s="125" t="s">
        <v>281</v>
      </c>
      <c r="D32" s="472" t="s">
        <v>293</v>
      </c>
      <c r="E32" s="472" t="s">
        <v>294</v>
      </c>
      <c r="F32" s="297" t="s">
        <v>295</v>
      </c>
      <c r="G32" s="472" t="s">
        <v>296</v>
      </c>
      <c r="H32" s="472" t="s">
        <v>297</v>
      </c>
      <c r="I32" s="472">
        <f t="shared" si="0"/>
        <v>360</v>
      </c>
      <c r="J32" s="472"/>
      <c r="K32" s="472"/>
      <c r="L32" s="472">
        <v>360</v>
      </c>
      <c r="M32" s="472"/>
      <c r="N32" s="472"/>
      <c r="O32" s="472"/>
      <c r="P32" s="472" t="s">
        <v>46</v>
      </c>
      <c r="Q32" s="472" t="s">
        <v>298</v>
      </c>
      <c r="R32" s="472" t="s">
        <v>36</v>
      </c>
      <c r="S32" s="472" t="s">
        <v>246</v>
      </c>
      <c r="T32" s="472" t="s">
        <v>49</v>
      </c>
      <c r="U32" s="472" t="s">
        <v>37</v>
      </c>
      <c r="V32" s="472">
        <f t="shared" si="2"/>
        <v>150</v>
      </c>
      <c r="W32" s="472">
        <v>150</v>
      </c>
      <c r="X32" s="472"/>
      <c r="Y32" s="472" t="s">
        <v>299</v>
      </c>
      <c r="Z32" s="202" t="s">
        <v>1148</v>
      </c>
      <c r="AA32"/>
      <c r="AB32"/>
      <c r="AC32"/>
      <c r="AD32"/>
      <c r="AE32"/>
    </row>
    <row r="33" spans="1:31" ht="40.5">
      <c r="A33" s="125">
        <v>29</v>
      </c>
      <c r="B33" s="125" t="s">
        <v>149</v>
      </c>
      <c r="C33" s="125" t="s">
        <v>281</v>
      </c>
      <c r="D33" s="472" t="s">
        <v>300</v>
      </c>
      <c r="E33" s="472" t="s">
        <v>301</v>
      </c>
      <c r="F33" s="297" t="s">
        <v>302</v>
      </c>
      <c r="G33" s="472" t="s">
        <v>303</v>
      </c>
      <c r="H33" s="472" t="s">
        <v>304</v>
      </c>
      <c r="I33" s="472">
        <f t="shared" si="0"/>
        <v>5296</v>
      </c>
      <c r="J33" s="472">
        <v>700</v>
      </c>
      <c r="K33" s="472">
        <v>700</v>
      </c>
      <c r="L33" s="472">
        <v>2814</v>
      </c>
      <c r="M33" s="472">
        <v>1082</v>
      </c>
      <c r="N33" s="472" t="s">
        <v>305</v>
      </c>
      <c r="O33" s="472" t="s">
        <v>306</v>
      </c>
      <c r="P33" s="472" t="s">
        <v>46</v>
      </c>
      <c r="Q33" s="472" t="s">
        <v>307</v>
      </c>
      <c r="R33" s="472" t="s">
        <v>36</v>
      </c>
      <c r="S33" s="472" t="s">
        <v>246</v>
      </c>
      <c r="T33" s="472" t="s">
        <v>308</v>
      </c>
      <c r="U33" s="472" t="s">
        <v>38</v>
      </c>
      <c r="V33" s="472">
        <f t="shared" si="2"/>
        <v>542</v>
      </c>
      <c r="W33" s="472">
        <v>541</v>
      </c>
      <c r="X33" s="472">
        <v>1</v>
      </c>
      <c r="Y33" s="472" t="s">
        <v>309</v>
      </c>
      <c r="Z33" s="202" t="s">
        <v>2699</v>
      </c>
      <c r="AA33"/>
      <c r="AB33"/>
      <c r="AC33"/>
      <c r="AD33"/>
      <c r="AE33"/>
    </row>
    <row r="34" spans="1:31" ht="54">
      <c r="A34" s="125">
        <v>30</v>
      </c>
      <c r="B34" s="125" t="s">
        <v>149</v>
      </c>
      <c r="C34" s="125" t="s">
        <v>281</v>
      </c>
      <c r="D34" s="125" t="s">
        <v>310</v>
      </c>
      <c r="E34" s="472" t="s">
        <v>311</v>
      </c>
      <c r="F34" s="297" t="s">
        <v>1257</v>
      </c>
      <c r="G34" s="103" t="s">
        <v>1256</v>
      </c>
      <c r="H34" s="472" t="s">
        <v>312</v>
      </c>
      <c r="I34" s="472">
        <f t="shared" si="0"/>
        <v>560</v>
      </c>
      <c r="J34" s="125"/>
      <c r="K34" s="125" t="s">
        <v>313</v>
      </c>
      <c r="L34" s="125">
        <v>470</v>
      </c>
      <c r="M34" s="125">
        <v>90</v>
      </c>
      <c r="N34" s="154"/>
      <c r="O34" s="154"/>
      <c r="P34" s="125" t="s">
        <v>46</v>
      </c>
      <c r="Q34" s="125" t="s">
        <v>314</v>
      </c>
      <c r="R34" s="125" t="s">
        <v>36</v>
      </c>
      <c r="S34" s="229" t="s">
        <v>315</v>
      </c>
      <c r="T34" s="472" t="s">
        <v>316</v>
      </c>
      <c r="U34" s="125" t="s">
        <v>38</v>
      </c>
      <c r="V34" s="472">
        <f t="shared" si="2"/>
        <v>144</v>
      </c>
      <c r="W34" s="125">
        <v>144</v>
      </c>
      <c r="X34" s="125"/>
      <c r="Y34" s="472" t="s">
        <v>317</v>
      </c>
      <c r="Z34" s="202" t="s">
        <v>6053</v>
      </c>
      <c r="AA34"/>
      <c r="AB34"/>
      <c r="AC34"/>
      <c r="AD34"/>
      <c r="AE34"/>
    </row>
    <row r="35" spans="1:31" s="1" customFormat="1" ht="67.5">
      <c r="A35" s="147">
        <v>31</v>
      </c>
      <c r="B35" s="147" t="s">
        <v>149</v>
      </c>
      <c r="C35" s="147" t="s">
        <v>281</v>
      </c>
      <c r="D35" s="114" t="s">
        <v>318</v>
      </c>
      <c r="E35" s="114" t="s">
        <v>319</v>
      </c>
      <c r="F35" s="270" t="s">
        <v>320</v>
      </c>
      <c r="G35" s="114" t="s">
        <v>1176</v>
      </c>
      <c r="H35" s="165" t="s">
        <v>321</v>
      </c>
      <c r="I35" s="114">
        <f t="shared" si="0"/>
        <v>1760</v>
      </c>
      <c r="J35" s="165">
        <v>150</v>
      </c>
      <c r="K35" s="165">
        <v>260</v>
      </c>
      <c r="L35" s="165">
        <v>1250</v>
      </c>
      <c r="M35" s="165">
        <v>100</v>
      </c>
      <c r="N35" s="114" t="s">
        <v>44</v>
      </c>
      <c r="O35" s="114" t="s">
        <v>322</v>
      </c>
      <c r="P35" s="165" t="s">
        <v>46</v>
      </c>
      <c r="Q35" s="165" t="s">
        <v>323</v>
      </c>
      <c r="R35" s="165" t="s">
        <v>324</v>
      </c>
      <c r="S35" s="165" t="s">
        <v>325</v>
      </c>
      <c r="T35" s="165" t="s">
        <v>326</v>
      </c>
      <c r="U35" s="271" t="s">
        <v>38</v>
      </c>
      <c r="V35" s="165">
        <f t="shared" si="2"/>
        <v>29</v>
      </c>
      <c r="W35" s="165">
        <v>29</v>
      </c>
      <c r="X35" s="165"/>
      <c r="Y35" s="165" t="s">
        <v>327</v>
      </c>
      <c r="Z35" s="202" t="s">
        <v>6083</v>
      </c>
    </row>
    <row r="36" spans="1:31" s="394" customFormat="1" ht="63.95" customHeight="1">
      <c r="A36" s="125">
        <v>32</v>
      </c>
      <c r="B36" s="125" t="s">
        <v>149</v>
      </c>
      <c r="C36" s="125" t="s">
        <v>328</v>
      </c>
      <c r="D36" s="472" t="s">
        <v>329</v>
      </c>
      <c r="E36" s="472" t="s">
        <v>330</v>
      </c>
      <c r="F36" s="297" t="s">
        <v>331</v>
      </c>
      <c r="G36" s="472" t="s">
        <v>332</v>
      </c>
      <c r="H36" s="303" t="s">
        <v>108</v>
      </c>
      <c r="I36" s="472">
        <f t="shared" si="0"/>
        <v>1500</v>
      </c>
      <c r="J36" s="472">
        <v>0</v>
      </c>
      <c r="K36" s="472">
        <v>0</v>
      </c>
      <c r="L36" s="472">
        <v>1500</v>
      </c>
      <c r="M36" s="472">
        <v>0</v>
      </c>
      <c r="N36" s="472"/>
      <c r="O36" s="472"/>
      <c r="P36" s="472" t="s">
        <v>5</v>
      </c>
      <c r="Q36" s="472" t="s">
        <v>333</v>
      </c>
      <c r="R36" s="472" t="s">
        <v>36</v>
      </c>
      <c r="S36" s="480" t="s">
        <v>334</v>
      </c>
      <c r="T36" s="472" t="s">
        <v>335</v>
      </c>
      <c r="U36" s="480" t="s">
        <v>336</v>
      </c>
      <c r="V36" s="472">
        <v>246</v>
      </c>
      <c r="W36" s="472">
        <v>243</v>
      </c>
      <c r="X36" s="472">
        <v>3</v>
      </c>
      <c r="Y36" s="472" t="s">
        <v>59</v>
      </c>
      <c r="Z36" s="202" t="s">
        <v>1148</v>
      </c>
      <c r="AA36"/>
      <c r="AB36"/>
      <c r="AC36"/>
      <c r="AD36"/>
      <c r="AE36"/>
    </row>
    <row r="37" spans="1:31" s="63" customFormat="1" ht="67.5">
      <c r="A37" s="147">
        <v>33</v>
      </c>
      <c r="B37" s="147" t="s">
        <v>149</v>
      </c>
      <c r="C37" s="147" t="s">
        <v>328</v>
      </c>
      <c r="D37" s="114" t="s">
        <v>337</v>
      </c>
      <c r="E37" s="114" t="s">
        <v>338</v>
      </c>
      <c r="F37" s="270" t="s">
        <v>339</v>
      </c>
      <c r="G37" s="114" t="s">
        <v>2732</v>
      </c>
      <c r="H37" s="272" t="s">
        <v>340</v>
      </c>
      <c r="I37" s="114">
        <f t="shared" ref="I37:I68" si="3">SUM(J37:M37)</f>
        <v>1380</v>
      </c>
      <c r="J37" s="114">
        <v>0</v>
      </c>
      <c r="K37" s="114">
        <v>150</v>
      </c>
      <c r="L37" s="114">
        <v>1230</v>
      </c>
      <c r="M37" s="114">
        <v>0</v>
      </c>
      <c r="N37" s="114"/>
      <c r="O37" s="114"/>
      <c r="P37" s="114" t="s">
        <v>52</v>
      </c>
      <c r="Q37" s="114" t="s">
        <v>341</v>
      </c>
      <c r="R37" s="114" t="s">
        <v>36</v>
      </c>
      <c r="S37" s="148" t="s">
        <v>334</v>
      </c>
      <c r="T37" s="114" t="s">
        <v>342</v>
      </c>
      <c r="U37" s="148" t="s">
        <v>343</v>
      </c>
      <c r="V37" s="114">
        <f>SUM(W37:X37)</f>
        <v>0</v>
      </c>
      <c r="W37" s="114"/>
      <c r="X37" s="114"/>
      <c r="Y37" s="114" t="s">
        <v>234</v>
      </c>
      <c r="Z37" s="202" t="s">
        <v>1148</v>
      </c>
    </row>
    <row r="38" spans="1:31" s="394" customFormat="1" ht="54">
      <c r="A38" s="125">
        <v>34</v>
      </c>
      <c r="B38" s="125" t="s">
        <v>149</v>
      </c>
      <c r="C38" s="125" t="s">
        <v>328</v>
      </c>
      <c r="D38" s="472" t="s">
        <v>344</v>
      </c>
      <c r="E38" s="472" t="s">
        <v>345</v>
      </c>
      <c r="F38" s="297" t="s">
        <v>346</v>
      </c>
      <c r="G38" s="472" t="s">
        <v>2714</v>
      </c>
      <c r="H38" s="272" t="s">
        <v>108</v>
      </c>
      <c r="I38" s="114">
        <f t="shared" si="3"/>
        <v>80</v>
      </c>
      <c r="J38" s="114">
        <v>0</v>
      </c>
      <c r="K38" s="114">
        <v>0</v>
      </c>
      <c r="L38" s="114">
        <v>80</v>
      </c>
      <c r="M38" s="114">
        <v>0</v>
      </c>
      <c r="N38" s="114"/>
      <c r="O38" s="114"/>
      <c r="P38" s="114" t="s">
        <v>46</v>
      </c>
      <c r="Q38" s="114" t="s">
        <v>347</v>
      </c>
      <c r="R38" s="114" t="s">
        <v>36</v>
      </c>
      <c r="S38" s="148" t="s">
        <v>348</v>
      </c>
      <c r="T38" s="114" t="s">
        <v>349</v>
      </c>
      <c r="U38" s="148" t="s">
        <v>343</v>
      </c>
      <c r="V38" s="273">
        <f>SUM(W38:X38)</f>
        <v>3.4390000000000001</v>
      </c>
      <c r="W38" s="273">
        <v>3.4390000000000001</v>
      </c>
      <c r="X38" s="273"/>
      <c r="Y38" s="114" t="s">
        <v>99</v>
      </c>
      <c r="Z38" s="202" t="s">
        <v>2744</v>
      </c>
      <c r="AA38"/>
      <c r="AB38"/>
      <c r="AC38"/>
      <c r="AD38"/>
      <c r="AE38"/>
    </row>
    <row r="39" spans="1:31" s="63" customFormat="1" ht="54">
      <c r="A39" s="147">
        <v>35</v>
      </c>
      <c r="B39" s="147" t="s">
        <v>149</v>
      </c>
      <c r="C39" s="147" t="s">
        <v>328</v>
      </c>
      <c r="D39" s="114" t="s">
        <v>350</v>
      </c>
      <c r="E39" s="114" t="s">
        <v>351</v>
      </c>
      <c r="F39" s="270" t="s">
        <v>352</v>
      </c>
      <c r="G39" s="114" t="s">
        <v>353</v>
      </c>
      <c r="H39" s="272" t="s">
        <v>354</v>
      </c>
      <c r="I39" s="114">
        <f t="shared" si="3"/>
        <v>95</v>
      </c>
      <c r="J39" s="114">
        <v>0</v>
      </c>
      <c r="K39" s="114">
        <v>0</v>
      </c>
      <c r="L39" s="114">
        <v>95</v>
      </c>
      <c r="M39" s="114">
        <v>0</v>
      </c>
      <c r="N39" s="114"/>
      <c r="O39" s="114"/>
      <c r="P39" s="114" t="s">
        <v>98</v>
      </c>
      <c r="Q39" s="114" t="s">
        <v>355</v>
      </c>
      <c r="R39" s="114" t="s">
        <v>36</v>
      </c>
      <c r="S39" s="148" t="s">
        <v>348</v>
      </c>
      <c r="T39" s="114" t="s">
        <v>335</v>
      </c>
      <c r="U39" s="148" t="s">
        <v>356</v>
      </c>
      <c r="V39" s="114">
        <f>SUM(W39:X39)</f>
        <v>0</v>
      </c>
      <c r="W39" s="114"/>
      <c r="X39" s="114"/>
      <c r="Y39" s="114" t="s">
        <v>357</v>
      </c>
      <c r="Z39" s="202" t="s">
        <v>1148</v>
      </c>
      <c r="AA39"/>
      <c r="AB39"/>
      <c r="AC39"/>
      <c r="AD39"/>
      <c r="AE39"/>
    </row>
    <row r="40" spans="1:31" s="394" customFormat="1" ht="40.5">
      <c r="A40" s="125">
        <v>36</v>
      </c>
      <c r="B40" s="125" t="s">
        <v>160</v>
      </c>
      <c r="C40" s="125" t="s">
        <v>328</v>
      </c>
      <c r="D40" s="472" t="s">
        <v>358</v>
      </c>
      <c r="E40" s="472" t="s">
        <v>1255</v>
      </c>
      <c r="F40" s="297" t="s">
        <v>359</v>
      </c>
      <c r="G40" s="472" t="s">
        <v>1254</v>
      </c>
      <c r="H40" s="472" t="s">
        <v>179</v>
      </c>
      <c r="I40" s="472">
        <f t="shared" si="3"/>
        <v>200</v>
      </c>
      <c r="J40" s="472"/>
      <c r="K40" s="472"/>
      <c r="L40" s="472">
        <v>200</v>
      </c>
      <c r="M40" s="472"/>
      <c r="N40" s="472"/>
      <c r="O40" s="472"/>
      <c r="P40" s="472" t="s">
        <v>41</v>
      </c>
      <c r="Q40" s="472" t="s">
        <v>360</v>
      </c>
      <c r="R40" s="472" t="s">
        <v>36</v>
      </c>
      <c r="S40" s="480" t="s">
        <v>361</v>
      </c>
      <c r="T40" s="472" t="s">
        <v>49</v>
      </c>
      <c r="U40" s="472" t="s">
        <v>38</v>
      </c>
      <c r="V40" s="472">
        <f>SUM(W40:X40)</f>
        <v>0</v>
      </c>
      <c r="W40" s="472"/>
      <c r="X40" s="472"/>
      <c r="Y40" s="472" t="s">
        <v>362</v>
      </c>
      <c r="Z40" s="202" t="s">
        <v>1148</v>
      </c>
    </row>
    <row r="41" spans="1:31" s="394" customFormat="1" ht="54">
      <c r="A41" s="125">
        <v>37</v>
      </c>
      <c r="B41" s="125" t="s">
        <v>160</v>
      </c>
      <c r="C41" s="125" t="s">
        <v>363</v>
      </c>
      <c r="D41" s="472" t="s">
        <v>364</v>
      </c>
      <c r="E41" s="472" t="s">
        <v>365</v>
      </c>
      <c r="F41" s="297" t="s">
        <v>366</v>
      </c>
      <c r="G41" s="472" t="s">
        <v>1253</v>
      </c>
      <c r="H41" s="472" t="s">
        <v>367</v>
      </c>
      <c r="I41" s="472">
        <f t="shared" si="3"/>
        <v>250</v>
      </c>
      <c r="J41" s="155">
        <v>0</v>
      </c>
      <c r="K41" s="155">
        <v>0</v>
      </c>
      <c r="L41" s="472">
        <v>250</v>
      </c>
      <c r="M41" s="155">
        <v>0</v>
      </c>
      <c r="N41" s="472"/>
      <c r="O41" s="472"/>
      <c r="P41" s="472" t="s">
        <v>41</v>
      </c>
      <c r="Q41" s="472" t="s">
        <v>368</v>
      </c>
      <c r="R41" s="472" t="s">
        <v>36</v>
      </c>
      <c r="S41" s="274" t="s">
        <v>369</v>
      </c>
      <c r="T41" s="472" t="s">
        <v>49</v>
      </c>
      <c r="U41" s="480" t="s">
        <v>336</v>
      </c>
      <c r="V41" s="472">
        <v>200</v>
      </c>
      <c r="W41" s="472"/>
      <c r="X41" s="472"/>
      <c r="Y41" s="472" t="s">
        <v>370</v>
      </c>
      <c r="Z41" s="202" t="s">
        <v>1148</v>
      </c>
      <c r="AA41"/>
      <c r="AB41"/>
      <c r="AC41"/>
      <c r="AD41"/>
      <c r="AE41"/>
    </row>
    <row r="42" spans="1:31" s="255" customFormat="1" ht="67.5">
      <c r="A42" s="125">
        <v>38</v>
      </c>
      <c r="B42" s="125" t="s">
        <v>160</v>
      </c>
      <c r="C42" s="125" t="s">
        <v>371</v>
      </c>
      <c r="D42" s="472" t="s">
        <v>372</v>
      </c>
      <c r="E42" s="472" t="s">
        <v>373</v>
      </c>
      <c r="F42" s="297" t="s">
        <v>374</v>
      </c>
      <c r="G42" s="472" t="s">
        <v>375</v>
      </c>
      <c r="H42" s="472" t="s">
        <v>131</v>
      </c>
      <c r="I42" s="472">
        <f t="shared" si="3"/>
        <v>900</v>
      </c>
      <c r="J42" s="472"/>
      <c r="K42" s="472"/>
      <c r="L42" s="472">
        <v>900</v>
      </c>
      <c r="M42" s="472"/>
      <c r="N42" s="472"/>
      <c r="O42" s="472"/>
      <c r="P42" s="472" t="s">
        <v>7</v>
      </c>
      <c r="Q42" s="472" t="s">
        <v>376</v>
      </c>
      <c r="R42" s="472" t="s">
        <v>36</v>
      </c>
      <c r="S42" s="472" t="s">
        <v>199</v>
      </c>
      <c r="T42" s="103" t="s">
        <v>377</v>
      </c>
      <c r="U42" s="472" t="s">
        <v>37</v>
      </c>
      <c r="V42" s="472">
        <f>SUM(W42:X42)</f>
        <v>770</v>
      </c>
      <c r="W42" s="472">
        <v>770</v>
      </c>
      <c r="X42" s="472"/>
      <c r="Y42" s="472" t="s">
        <v>378</v>
      </c>
      <c r="Z42" s="202" t="s">
        <v>1148</v>
      </c>
      <c r="AA42"/>
      <c r="AB42"/>
      <c r="AC42"/>
      <c r="AD42"/>
      <c r="AE42"/>
    </row>
    <row r="43" spans="1:31" s="255" customFormat="1" ht="40.5">
      <c r="A43" s="125">
        <v>39</v>
      </c>
      <c r="B43" s="125" t="s">
        <v>160</v>
      </c>
      <c r="C43" s="125" t="s">
        <v>371</v>
      </c>
      <c r="D43" s="472" t="s">
        <v>379</v>
      </c>
      <c r="E43" s="472" t="s">
        <v>380</v>
      </c>
      <c r="F43" s="297" t="s">
        <v>381</v>
      </c>
      <c r="G43" s="472" t="s">
        <v>6042</v>
      </c>
      <c r="H43" s="472" t="s">
        <v>382</v>
      </c>
      <c r="I43" s="472">
        <f t="shared" si="3"/>
        <v>140</v>
      </c>
      <c r="J43" s="472"/>
      <c r="K43" s="472"/>
      <c r="L43" s="472">
        <v>140</v>
      </c>
      <c r="M43" s="472"/>
      <c r="N43" s="472"/>
      <c r="O43" s="472"/>
      <c r="P43" s="472" t="s">
        <v>7</v>
      </c>
      <c r="Q43" s="472" t="s">
        <v>245</v>
      </c>
      <c r="R43" s="472" t="s">
        <v>36</v>
      </c>
      <c r="S43" s="472" t="s">
        <v>383</v>
      </c>
      <c r="T43" s="472" t="s">
        <v>49</v>
      </c>
      <c r="U43" s="472" t="s">
        <v>384</v>
      </c>
      <c r="V43" s="472">
        <f>SUM(W43:X43)</f>
        <v>60</v>
      </c>
      <c r="W43" s="472">
        <v>60</v>
      </c>
      <c r="X43" s="472"/>
      <c r="Y43" s="472" t="s">
        <v>385</v>
      </c>
      <c r="Z43" s="202" t="s">
        <v>6082</v>
      </c>
      <c r="AA43"/>
      <c r="AB43"/>
      <c r="AC43"/>
      <c r="AD43"/>
      <c r="AE43"/>
    </row>
    <row r="44" spans="1:31" s="255" customFormat="1" ht="40.5">
      <c r="A44" s="125">
        <v>40</v>
      </c>
      <c r="B44" s="125" t="s">
        <v>149</v>
      </c>
      <c r="C44" s="125" t="s">
        <v>386</v>
      </c>
      <c r="D44" s="472" t="s">
        <v>387</v>
      </c>
      <c r="E44" s="472" t="s">
        <v>388</v>
      </c>
      <c r="F44" s="297" t="s">
        <v>1177</v>
      </c>
      <c r="G44" s="472" t="s">
        <v>389</v>
      </c>
      <c r="H44" s="472" t="s">
        <v>390</v>
      </c>
      <c r="I44" s="472">
        <f t="shared" si="3"/>
        <v>90</v>
      </c>
      <c r="J44" s="472"/>
      <c r="K44" s="472">
        <v>90</v>
      </c>
      <c r="L44" s="472"/>
      <c r="M44" s="472"/>
      <c r="N44" s="472"/>
      <c r="O44" s="472"/>
      <c r="P44" s="472" t="s">
        <v>46</v>
      </c>
      <c r="Q44" s="472" t="s">
        <v>391</v>
      </c>
      <c r="R44" s="472" t="s">
        <v>56</v>
      </c>
      <c r="S44" s="472" t="s">
        <v>252</v>
      </c>
      <c r="T44" s="472" t="s">
        <v>392</v>
      </c>
      <c r="U44" s="472" t="s">
        <v>76</v>
      </c>
      <c r="V44" s="472">
        <v>30</v>
      </c>
      <c r="W44" s="472">
        <v>30</v>
      </c>
      <c r="X44" s="472"/>
      <c r="Y44" s="472" t="s">
        <v>393</v>
      </c>
      <c r="Z44" s="202" t="s">
        <v>1148</v>
      </c>
      <c r="AA44"/>
      <c r="AB44"/>
      <c r="AC44"/>
      <c r="AD44"/>
      <c r="AE44"/>
    </row>
    <row r="45" spans="1:31" s="255" customFormat="1" ht="67.5">
      <c r="A45" s="125">
        <v>41</v>
      </c>
      <c r="B45" s="125" t="s">
        <v>160</v>
      </c>
      <c r="C45" s="125" t="s">
        <v>371</v>
      </c>
      <c r="D45" s="472" t="s">
        <v>394</v>
      </c>
      <c r="E45" s="472" t="s">
        <v>54</v>
      </c>
      <c r="F45" s="297" t="s">
        <v>395</v>
      </c>
      <c r="G45" s="103" t="s">
        <v>396</v>
      </c>
      <c r="H45" s="472" t="s">
        <v>397</v>
      </c>
      <c r="I45" s="472">
        <f t="shared" si="3"/>
        <v>200</v>
      </c>
      <c r="J45" s="472"/>
      <c r="K45" s="472"/>
      <c r="L45" s="472">
        <v>200</v>
      </c>
      <c r="M45" s="472"/>
      <c r="N45" s="472"/>
      <c r="O45" s="472"/>
      <c r="P45" s="472" t="s">
        <v>7</v>
      </c>
      <c r="Q45" s="472" t="s">
        <v>398</v>
      </c>
      <c r="R45" s="472" t="s">
        <v>36</v>
      </c>
      <c r="S45" s="472" t="s">
        <v>55</v>
      </c>
      <c r="T45" s="472" t="s">
        <v>49</v>
      </c>
      <c r="U45" s="472" t="s">
        <v>37</v>
      </c>
      <c r="V45" s="472">
        <f>SUM(W45:X45)</f>
        <v>45</v>
      </c>
      <c r="W45" s="125">
        <v>45</v>
      </c>
      <c r="X45" s="125"/>
      <c r="Y45" s="125" t="s">
        <v>399</v>
      </c>
      <c r="Z45" s="202" t="s">
        <v>1148</v>
      </c>
    </row>
    <row r="46" spans="1:31" s="255" customFormat="1" ht="81">
      <c r="A46" s="125">
        <v>42</v>
      </c>
      <c r="B46" s="125" t="s">
        <v>160</v>
      </c>
      <c r="C46" s="125" t="s">
        <v>371</v>
      </c>
      <c r="D46" s="472" t="s">
        <v>400</v>
      </c>
      <c r="E46" s="472" t="s">
        <v>1252</v>
      </c>
      <c r="F46" s="297" t="s">
        <v>401</v>
      </c>
      <c r="G46" s="472" t="s">
        <v>402</v>
      </c>
      <c r="H46" s="472" t="s">
        <v>403</v>
      </c>
      <c r="I46" s="472">
        <f t="shared" si="3"/>
        <v>300</v>
      </c>
      <c r="J46" s="472"/>
      <c r="K46" s="472"/>
      <c r="L46" s="472">
        <v>300</v>
      </c>
      <c r="M46" s="472"/>
      <c r="N46" s="472"/>
      <c r="O46" s="472"/>
      <c r="P46" s="472" t="s">
        <v>7</v>
      </c>
      <c r="Q46" s="472" t="s">
        <v>404</v>
      </c>
      <c r="R46" s="472" t="s">
        <v>36</v>
      </c>
      <c r="S46" s="125" t="s">
        <v>55</v>
      </c>
      <c r="T46" s="472" t="s">
        <v>392</v>
      </c>
      <c r="U46" s="125" t="s">
        <v>405</v>
      </c>
      <c r="V46" s="472">
        <f>SUM(W46:X46)</f>
        <v>71.3</v>
      </c>
      <c r="W46" s="472">
        <v>70.7</v>
      </c>
      <c r="X46" s="472">
        <v>0.6</v>
      </c>
      <c r="Y46" s="472" t="s">
        <v>393</v>
      </c>
      <c r="Z46" s="202" t="s">
        <v>1148</v>
      </c>
    </row>
    <row r="47" spans="1:31" s="1" customFormat="1" ht="81">
      <c r="A47" s="147">
        <v>43</v>
      </c>
      <c r="B47" s="147" t="s">
        <v>149</v>
      </c>
      <c r="C47" s="147" t="s">
        <v>406</v>
      </c>
      <c r="D47" s="114" t="s">
        <v>407</v>
      </c>
      <c r="E47" s="114" t="s">
        <v>1155</v>
      </c>
      <c r="F47" s="270" t="s">
        <v>408</v>
      </c>
      <c r="G47" s="114" t="s">
        <v>409</v>
      </c>
      <c r="H47" s="114" t="s">
        <v>410</v>
      </c>
      <c r="I47" s="114">
        <f t="shared" si="3"/>
        <v>500</v>
      </c>
      <c r="J47" s="114"/>
      <c r="K47" s="114"/>
      <c r="L47" s="114">
        <v>500</v>
      </c>
      <c r="M47" s="114"/>
      <c r="N47" s="114"/>
      <c r="O47" s="114"/>
      <c r="P47" s="114" t="s">
        <v>52</v>
      </c>
      <c r="Q47" s="114" t="s">
        <v>2837</v>
      </c>
      <c r="R47" s="114" t="s">
        <v>36</v>
      </c>
      <c r="S47" s="114" t="s">
        <v>411</v>
      </c>
      <c r="T47" s="114" t="s">
        <v>49</v>
      </c>
      <c r="U47" s="114" t="s">
        <v>37</v>
      </c>
      <c r="V47" s="272">
        <v>12</v>
      </c>
      <c r="W47" s="272">
        <v>12</v>
      </c>
      <c r="X47" s="114"/>
      <c r="Y47" s="114" t="s">
        <v>412</v>
      </c>
      <c r="Z47" s="202" t="s">
        <v>1148</v>
      </c>
    </row>
    <row r="48" spans="1:31" s="119" customFormat="1" ht="40.5">
      <c r="A48" s="147">
        <v>44</v>
      </c>
      <c r="B48" s="126" t="s">
        <v>149</v>
      </c>
      <c r="C48" s="126" t="s">
        <v>406</v>
      </c>
      <c r="D48" s="473" t="s">
        <v>4369</v>
      </c>
      <c r="E48" s="473" t="s">
        <v>1451</v>
      </c>
      <c r="F48" s="270" t="s">
        <v>4368</v>
      </c>
      <c r="G48" s="473" t="s">
        <v>413</v>
      </c>
      <c r="H48" s="114" t="s">
        <v>414</v>
      </c>
      <c r="I48" s="114">
        <f t="shared" si="3"/>
        <v>100</v>
      </c>
      <c r="J48" s="114"/>
      <c r="K48" s="114"/>
      <c r="L48" s="114">
        <v>100</v>
      </c>
      <c r="M48" s="114"/>
      <c r="N48" s="114"/>
      <c r="O48" s="114"/>
      <c r="P48" s="114" t="s">
        <v>48</v>
      </c>
      <c r="Q48" s="114" t="s">
        <v>415</v>
      </c>
      <c r="R48" s="114" t="s">
        <v>36</v>
      </c>
      <c r="S48" s="114" t="s">
        <v>55</v>
      </c>
      <c r="T48" s="114" t="s">
        <v>49</v>
      </c>
      <c r="U48" s="114" t="s">
        <v>38</v>
      </c>
      <c r="V48" s="114">
        <f>SUM(W48:X48)</f>
        <v>0</v>
      </c>
      <c r="W48" s="114" t="s">
        <v>43</v>
      </c>
      <c r="X48" s="114" t="s">
        <v>43</v>
      </c>
      <c r="Y48" s="473" t="s">
        <v>416</v>
      </c>
      <c r="Z48" s="202" t="s">
        <v>1148</v>
      </c>
      <c r="AA48"/>
      <c r="AB48"/>
      <c r="AC48"/>
      <c r="AD48"/>
      <c r="AE48"/>
    </row>
    <row r="49" spans="1:31" ht="40.5">
      <c r="A49" s="125">
        <v>45</v>
      </c>
      <c r="B49" s="125" t="s">
        <v>149</v>
      </c>
      <c r="C49" s="125" t="s">
        <v>406</v>
      </c>
      <c r="D49" s="472" t="s">
        <v>417</v>
      </c>
      <c r="E49" s="472" t="s">
        <v>942</v>
      </c>
      <c r="F49" s="297" t="s">
        <v>418</v>
      </c>
      <c r="G49" s="472" t="s">
        <v>419</v>
      </c>
      <c r="H49" s="472" t="s">
        <v>420</v>
      </c>
      <c r="I49" s="472">
        <f t="shared" si="3"/>
        <v>50</v>
      </c>
      <c r="J49" s="472"/>
      <c r="K49" s="472"/>
      <c r="L49" s="472">
        <v>50</v>
      </c>
      <c r="M49" s="472"/>
      <c r="N49" s="472"/>
      <c r="O49" s="472"/>
      <c r="P49" s="472" t="s">
        <v>41</v>
      </c>
      <c r="Q49" s="472" t="s">
        <v>421</v>
      </c>
      <c r="R49" s="472" t="s">
        <v>36</v>
      </c>
      <c r="S49" s="472" t="s">
        <v>42</v>
      </c>
      <c r="T49" s="472" t="s">
        <v>49</v>
      </c>
      <c r="U49" s="472" t="s">
        <v>38</v>
      </c>
      <c r="V49" s="472">
        <f>SUM(W49:X49)</f>
        <v>6.5</v>
      </c>
      <c r="W49" s="472">
        <v>6.5</v>
      </c>
      <c r="X49" s="472"/>
      <c r="Y49" s="472" t="s">
        <v>99</v>
      </c>
      <c r="Z49" s="202" t="s">
        <v>1148</v>
      </c>
      <c r="AA49"/>
      <c r="AB49"/>
      <c r="AC49"/>
      <c r="AD49"/>
      <c r="AE49"/>
    </row>
    <row r="50" spans="1:31" ht="40.5">
      <c r="A50" s="125">
        <v>46</v>
      </c>
      <c r="B50" s="160" t="s">
        <v>160</v>
      </c>
      <c r="C50" s="160" t="s">
        <v>422</v>
      </c>
      <c r="D50" s="103" t="s">
        <v>423</v>
      </c>
      <c r="E50" s="103" t="s">
        <v>1178</v>
      </c>
      <c r="F50" s="297" t="s">
        <v>424</v>
      </c>
      <c r="G50" s="103" t="s">
        <v>425</v>
      </c>
      <c r="H50" s="103" t="s">
        <v>426</v>
      </c>
      <c r="I50" s="472">
        <f t="shared" si="3"/>
        <v>70</v>
      </c>
      <c r="J50" s="472"/>
      <c r="K50" s="472">
        <v>70</v>
      </c>
      <c r="L50" s="472"/>
      <c r="M50" s="472"/>
      <c r="N50" s="472"/>
      <c r="O50" s="472"/>
      <c r="P50" s="472" t="s">
        <v>31</v>
      </c>
      <c r="Q50" s="472" t="s">
        <v>130</v>
      </c>
      <c r="R50" s="472" t="s">
        <v>36</v>
      </c>
      <c r="S50" s="472" t="s">
        <v>199</v>
      </c>
      <c r="T50" s="472" t="s">
        <v>49</v>
      </c>
      <c r="U50" s="472" t="s">
        <v>37</v>
      </c>
      <c r="V50" s="472">
        <f>SUM(W50:X50)</f>
        <v>30</v>
      </c>
      <c r="W50" s="472">
        <v>30</v>
      </c>
      <c r="X50" s="472"/>
      <c r="Y50" s="472" t="s">
        <v>427</v>
      </c>
      <c r="Z50" s="202" t="s">
        <v>1148</v>
      </c>
      <c r="AA50"/>
      <c r="AB50"/>
      <c r="AC50"/>
      <c r="AD50"/>
      <c r="AE50"/>
    </row>
    <row r="51" spans="1:31" s="1" customFormat="1" ht="40.5">
      <c r="A51" s="147">
        <v>47</v>
      </c>
      <c r="B51" s="271" t="s">
        <v>160</v>
      </c>
      <c r="C51" s="271" t="s">
        <v>422</v>
      </c>
      <c r="D51" s="165" t="s">
        <v>2731</v>
      </c>
      <c r="E51" s="165" t="s">
        <v>753</v>
      </c>
      <c r="F51" s="270" t="s">
        <v>428</v>
      </c>
      <c r="G51" s="165" t="s">
        <v>4367</v>
      </c>
      <c r="H51" s="165" t="s">
        <v>429</v>
      </c>
      <c r="I51" s="114">
        <f t="shared" si="3"/>
        <v>550</v>
      </c>
      <c r="J51" s="114"/>
      <c r="K51" s="114">
        <v>550</v>
      </c>
      <c r="L51" s="114"/>
      <c r="M51" s="114"/>
      <c r="N51" s="114"/>
      <c r="O51" s="114"/>
      <c r="P51" s="114" t="s">
        <v>31</v>
      </c>
      <c r="Q51" s="114" t="s">
        <v>430</v>
      </c>
      <c r="R51" s="114" t="s">
        <v>36</v>
      </c>
      <c r="S51" s="114" t="s">
        <v>199</v>
      </c>
      <c r="T51" s="114" t="s">
        <v>49</v>
      </c>
      <c r="U51" s="114" t="s">
        <v>37</v>
      </c>
      <c r="V51" s="114">
        <v>300</v>
      </c>
      <c r="W51" s="114">
        <v>300</v>
      </c>
      <c r="X51" s="114"/>
      <c r="Y51" s="114" t="s">
        <v>64</v>
      </c>
      <c r="Z51" s="202" t="s">
        <v>6081</v>
      </c>
      <c r="AA51"/>
      <c r="AB51"/>
      <c r="AC51"/>
      <c r="AD51"/>
      <c r="AE51"/>
    </row>
    <row r="52" spans="1:31" ht="40.5">
      <c r="A52" s="125">
        <v>48</v>
      </c>
      <c r="B52" s="125" t="s">
        <v>149</v>
      </c>
      <c r="C52" s="125" t="s">
        <v>431</v>
      </c>
      <c r="D52" s="472" t="s">
        <v>432</v>
      </c>
      <c r="E52" s="472" t="s">
        <v>1251</v>
      </c>
      <c r="F52" s="297" t="s">
        <v>433</v>
      </c>
      <c r="G52" s="472" t="s">
        <v>434</v>
      </c>
      <c r="H52" s="472" t="s">
        <v>238</v>
      </c>
      <c r="I52" s="472">
        <f t="shared" si="3"/>
        <v>290</v>
      </c>
      <c r="J52" s="472">
        <v>0</v>
      </c>
      <c r="K52" s="472">
        <v>290</v>
      </c>
      <c r="L52" s="472">
        <v>0</v>
      </c>
      <c r="M52" s="472">
        <v>0</v>
      </c>
      <c r="N52" s="311"/>
      <c r="O52" s="311"/>
      <c r="P52" s="472" t="s">
        <v>5</v>
      </c>
      <c r="Q52" s="472" t="s">
        <v>435</v>
      </c>
      <c r="R52" s="480" t="s">
        <v>436</v>
      </c>
      <c r="S52" s="480" t="s">
        <v>361</v>
      </c>
      <c r="T52" s="472" t="s">
        <v>49</v>
      </c>
      <c r="U52" s="472" t="s">
        <v>37</v>
      </c>
      <c r="V52" s="472">
        <f t="shared" ref="V52:V60" si="4">SUM(W52:X52)</f>
        <v>51</v>
      </c>
      <c r="W52" s="472">
        <v>46</v>
      </c>
      <c r="X52" s="472">
        <v>5</v>
      </c>
      <c r="Y52" s="472" t="s">
        <v>437</v>
      </c>
      <c r="Z52" s="202" t="s">
        <v>1148</v>
      </c>
      <c r="AA52"/>
      <c r="AB52"/>
      <c r="AC52"/>
      <c r="AD52"/>
      <c r="AE52"/>
    </row>
    <row r="53" spans="1:31" ht="54">
      <c r="A53" s="125">
        <v>49</v>
      </c>
      <c r="B53" s="125" t="s">
        <v>149</v>
      </c>
      <c r="C53" s="125" t="s">
        <v>431</v>
      </c>
      <c r="D53" s="472" t="s">
        <v>438</v>
      </c>
      <c r="E53" s="472" t="s">
        <v>54</v>
      </c>
      <c r="F53" s="297" t="s">
        <v>439</v>
      </c>
      <c r="G53" s="472" t="s">
        <v>1250</v>
      </c>
      <c r="H53" s="472" t="s">
        <v>440</v>
      </c>
      <c r="I53" s="472">
        <f t="shared" si="3"/>
        <v>260</v>
      </c>
      <c r="J53" s="472">
        <v>0</v>
      </c>
      <c r="K53" s="472">
        <v>260</v>
      </c>
      <c r="L53" s="472">
        <v>0</v>
      </c>
      <c r="M53" s="472">
        <v>0</v>
      </c>
      <c r="N53" s="472"/>
      <c r="O53" s="472"/>
      <c r="P53" s="472" t="s">
        <v>7</v>
      </c>
      <c r="Q53" s="472" t="s">
        <v>441</v>
      </c>
      <c r="R53" s="472" t="s">
        <v>36</v>
      </c>
      <c r="S53" s="472" t="s">
        <v>55</v>
      </c>
      <c r="T53" s="472" t="s">
        <v>49</v>
      </c>
      <c r="U53" s="472" t="s">
        <v>38</v>
      </c>
      <c r="V53" s="472">
        <f t="shared" si="4"/>
        <v>33</v>
      </c>
      <c r="W53" s="472">
        <v>1</v>
      </c>
      <c r="X53" s="472">
        <v>32</v>
      </c>
      <c r="Y53" s="472" t="s">
        <v>442</v>
      </c>
      <c r="Z53" s="202" t="s">
        <v>1148</v>
      </c>
    </row>
    <row r="54" spans="1:31" ht="40.5">
      <c r="A54" s="125">
        <v>50</v>
      </c>
      <c r="B54" s="125" t="s">
        <v>149</v>
      </c>
      <c r="C54" s="125" t="s">
        <v>431</v>
      </c>
      <c r="D54" s="472" t="s">
        <v>443</v>
      </c>
      <c r="E54" s="472" t="s">
        <v>1249</v>
      </c>
      <c r="F54" s="297" t="s">
        <v>4366</v>
      </c>
      <c r="G54" s="472" t="s">
        <v>1179</v>
      </c>
      <c r="H54" s="472" t="s">
        <v>414</v>
      </c>
      <c r="I54" s="472">
        <f t="shared" si="3"/>
        <v>120</v>
      </c>
      <c r="J54" s="472">
        <v>0</v>
      </c>
      <c r="K54" s="472">
        <v>60</v>
      </c>
      <c r="L54" s="472">
        <v>60</v>
      </c>
      <c r="M54" s="472">
        <v>0</v>
      </c>
      <c r="N54" s="472"/>
      <c r="O54" s="472"/>
      <c r="P54" s="472" t="s">
        <v>67</v>
      </c>
      <c r="Q54" s="472" t="s">
        <v>444</v>
      </c>
      <c r="R54" s="472" t="s">
        <v>36</v>
      </c>
      <c r="S54" s="472" t="s">
        <v>199</v>
      </c>
      <c r="T54" s="472" t="s">
        <v>49</v>
      </c>
      <c r="U54" s="472" t="s">
        <v>38</v>
      </c>
      <c r="V54" s="472">
        <f t="shared" si="4"/>
        <v>25</v>
      </c>
      <c r="W54" s="472">
        <v>18</v>
      </c>
      <c r="X54" s="472">
        <v>7</v>
      </c>
      <c r="Y54" s="472" t="s">
        <v>445</v>
      </c>
      <c r="Z54" s="202" t="s">
        <v>1148</v>
      </c>
      <c r="AA54"/>
      <c r="AB54"/>
      <c r="AC54"/>
      <c r="AD54"/>
      <c r="AE54"/>
    </row>
    <row r="55" spans="1:31" ht="40.5">
      <c r="A55" s="125">
        <v>51</v>
      </c>
      <c r="B55" s="125" t="s">
        <v>149</v>
      </c>
      <c r="C55" s="125" t="s">
        <v>431</v>
      </c>
      <c r="D55" s="472" t="s">
        <v>446</v>
      </c>
      <c r="E55" s="472" t="s">
        <v>1157</v>
      </c>
      <c r="F55" s="270" t="s">
        <v>447</v>
      </c>
      <c r="G55" s="472" t="s">
        <v>2719</v>
      </c>
      <c r="H55" s="472" t="s">
        <v>174</v>
      </c>
      <c r="I55" s="472">
        <f t="shared" si="3"/>
        <v>120</v>
      </c>
      <c r="J55" s="472">
        <v>0</v>
      </c>
      <c r="K55" s="472">
        <v>60</v>
      </c>
      <c r="L55" s="472">
        <v>60</v>
      </c>
      <c r="M55" s="472">
        <v>0</v>
      </c>
      <c r="N55" s="472"/>
      <c r="O55" s="472"/>
      <c r="P55" s="472" t="s">
        <v>67</v>
      </c>
      <c r="Q55" s="472" t="s">
        <v>444</v>
      </c>
      <c r="R55" s="472" t="s">
        <v>36</v>
      </c>
      <c r="S55" s="472" t="s">
        <v>199</v>
      </c>
      <c r="T55" s="472" t="s">
        <v>49</v>
      </c>
      <c r="U55" s="472" t="s">
        <v>38</v>
      </c>
      <c r="V55" s="472">
        <f t="shared" si="4"/>
        <v>20</v>
      </c>
      <c r="W55" s="472">
        <v>14</v>
      </c>
      <c r="X55" s="472">
        <v>6</v>
      </c>
      <c r="Y55" s="472" t="s">
        <v>445</v>
      </c>
      <c r="Z55" s="202" t="s">
        <v>1148</v>
      </c>
      <c r="AA55"/>
      <c r="AB55"/>
      <c r="AC55"/>
      <c r="AD55"/>
      <c r="AE55"/>
    </row>
    <row r="56" spans="1:31" ht="40.5">
      <c r="A56" s="125">
        <v>52</v>
      </c>
      <c r="B56" s="125" t="s">
        <v>149</v>
      </c>
      <c r="C56" s="125" t="s">
        <v>431</v>
      </c>
      <c r="D56" s="472" t="s">
        <v>448</v>
      </c>
      <c r="E56" s="472" t="s">
        <v>1180</v>
      </c>
      <c r="F56" s="297" t="s">
        <v>1450</v>
      </c>
      <c r="G56" s="472" t="s">
        <v>1179</v>
      </c>
      <c r="H56" s="114" t="s">
        <v>449</v>
      </c>
      <c r="I56" s="114">
        <f t="shared" si="3"/>
        <v>290</v>
      </c>
      <c r="J56" s="114">
        <v>0</v>
      </c>
      <c r="K56" s="114">
        <v>145</v>
      </c>
      <c r="L56" s="114">
        <v>145</v>
      </c>
      <c r="M56" s="114">
        <v>0</v>
      </c>
      <c r="N56" s="114"/>
      <c r="O56" s="114"/>
      <c r="P56" s="114" t="s">
        <v>67</v>
      </c>
      <c r="Q56" s="114" t="s">
        <v>450</v>
      </c>
      <c r="R56" s="114" t="s">
        <v>36</v>
      </c>
      <c r="S56" s="114" t="s">
        <v>199</v>
      </c>
      <c r="T56" s="114" t="s">
        <v>49</v>
      </c>
      <c r="U56" s="114" t="s">
        <v>38</v>
      </c>
      <c r="V56" s="114">
        <f t="shared" si="4"/>
        <v>80</v>
      </c>
      <c r="W56" s="114">
        <v>60</v>
      </c>
      <c r="X56" s="114">
        <v>20</v>
      </c>
      <c r="Y56" s="114" t="s">
        <v>4365</v>
      </c>
      <c r="Z56" s="202" t="s">
        <v>1148</v>
      </c>
      <c r="AA56"/>
      <c r="AB56"/>
      <c r="AC56"/>
      <c r="AD56"/>
      <c r="AE56"/>
    </row>
    <row r="57" spans="1:31" s="1" customFormat="1" ht="40.5">
      <c r="A57" s="147">
        <v>53</v>
      </c>
      <c r="B57" s="147" t="s">
        <v>149</v>
      </c>
      <c r="C57" s="147" t="s">
        <v>431</v>
      </c>
      <c r="D57" s="114" t="s">
        <v>451</v>
      </c>
      <c r="E57" s="114" t="s">
        <v>1153</v>
      </c>
      <c r="F57" s="270" t="s">
        <v>4364</v>
      </c>
      <c r="G57" s="114" t="s">
        <v>452</v>
      </c>
      <c r="H57" s="114" t="s">
        <v>453</v>
      </c>
      <c r="I57" s="114">
        <f t="shared" si="3"/>
        <v>210</v>
      </c>
      <c r="J57" s="114">
        <v>0</v>
      </c>
      <c r="K57" s="114">
        <v>0</v>
      </c>
      <c r="L57" s="114">
        <v>210</v>
      </c>
      <c r="M57" s="114">
        <v>0</v>
      </c>
      <c r="N57" s="114"/>
      <c r="O57" s="114"/>
      <c r="P57" s="114" t="s">
        <v>31</v>
      </c>
      <c r="Q57" s="114" t="s">
        <v>4363</v>
      </c>
      <c r="R57" s="114" t="s">
        <v>36</v>
      </c>
      <c r="S57" s="114" t="s">
        <v>68</v>
      </c>
      <c r="T57" s="114" t="s">
        <v>49</v>
      </c>
      <c r="U57" s="114" t="s">
        <v>38</v>
      </c>
      <c r="V57" s="114">
        <f t="shared" si="4"/>
        <v>0</v>
      </c>
      <c r="W57" s="114">
        <v>0</v>
      </c>
      <c r="X57" s="114">
        <v>0</v>
      </c>
      <c r="Y57" s="114" t="s">
        <v>454</v>
      </c>
      <c r="Z57" s="202" t="s">
        <v>1148</v>
      </c>
    </row>
    <row r="58" spans="1:31" ht="40.5">
      <c r="A58" s="125">
        <v>54</v>
      </c>
      <c r="B58" s="125" t="s">
        <v>149</v>
      </c>
      <c r="C58" s="125" t="s">
        <v>431</v>
      </c>
      <c r="D58" s="472" t="s">
        <v>6080</v>
      </c>
      <c r="E58" s="472" t="s">
        <v>1157</v>
      </c>
      <c r="F58" s="297" t="s">
        <v>455</v>
      </c>
      <c r="G58" s="472" t="s">
        <v>4362</v>
      </c>
      <c r="H58" s="472" t="s">
        <v>4361</v>
      </c>
      <c r="I58" s="472">
        <f t="shared" si="3"/>
        <v>60</v>
      </c>
      <c r="J58" s="472">
        <v>0</v>
      </c>
      <c r="K58" s="472">
        <v>0</v>
      </c>
      <c r="L58" s="472">
        <v>60</v>
      </c>
      <c r="M58" s="472">
        <v>0</v>
      </c>
      <c r="N58" s="472"/>
      <c r="O58" s="472"/>
      <c r="P58" s="472" t="s">
        <v>7</v>
      </c>
      <c r="Q58" s="472" t="s">
        <v>456</v>
      </c>
      <c r="R58" s="472" t="s">
        <v>36</v>
      </c>
      <c r="S58" s="472" t="s">
        <v>68</v>
      </c>
      <c r="T58" s="472" t="s">
        <v>457</v>
      </c>
      <c r="U58" s="472" t="s">
        <v>38</v>
      </c>
      <c r="V58" s="472">
        <f t="shared" si="4"/>
        <v>5</v>
      </c>
      <c r="W58" s="472">
        <v>5</v>
      </c>
      <c r="X58" s="472">
        <v>0</v>
      </c>
      <c r="Y58" s="472" t="s">
        <v>458</v>
      </c>
      <c r="Z58" s="202" t="s">
        <v>6079</v>
      </c>
      <c r="AA58"/>
      <c r="AB58"/>
      <c r="AC58"/>
      <c r="AD58"/>
      <c r="AE58"/>
    </row>
    <row r="59" spans="1:31" ht="67.5">
      <c r="A59" s="125">
        <v>55</v>
      </c>
      <c r="B59" s="472" t="s">
        <v>160</v>
      </c>
      <c r="C59" s="472" t="s">
        <v>459</v>
      </c>
      <c r="D59" s="472" t="s">
        <v>460</v>
      </c>
      <c r="E59" s="472" t="s">
        <v>461</v>
      </c>
      <c r="F59" s="270" t="s">
        <v>462</v>
      </c>
      <c r="G59" s="103" t="s">
        <v>463</v>
      </c>
      <c r="H59" s="103" t="s">
        <v>4360</v>
      </c>
      <c r="I59" s="472">
        <f t="shared" si="3"/>
        <v>698</v>
      </c>
      <c r="J59" s="472">
        <v>59</v>
      </c>
      <c r="K59" s="472">
        <v>29</v>
      </c>
      <c r="L59" s="472">
        <v>610</v>
      </c>
      <c r="M59" s="472"/>
      <c r="N59" s="472" t="s">
        <v>35</v>
      </c>
      <c r="O59" s="472" t="s">
        <v>156</v>
      </c>
      <c r="P59" s="472" t="s">
        <v>5</v>
      </c>
      <c r="Q59" s="472" t="s">
        <v>4359</v>
      </c>
      <c r="R59" s="472" t="s">
        <v>36</v>
      </c>
      <c r="S59" s="472" t="s">
        <v>464</v>
      </c>
      <c r="T59" s="472" t="s">
        <v>465</v>
      </c>
      <c r="U59" s="472" t="s">
        <v>38</v>
      </c>
      <c r="V59" s="472">
        <f t="shared" si="4"/>
        <v>120</v>
      </c>
      <c r="W59" s="472">
        <v>120</v>
      </c>
      <c r="X59" s="472">
        <v>0</v>
      </c>
      <c r="Y59" s="472" t="s">
        <v>64</v>
      </c>
      <c r="Z59" s="202" t="s">
        <v>6011</v>
      </c>
      <c r="AA59"/>
      <c r="AB59"/>
      <c r="AC59"/>
      <c r="AD59"/>
      <c r="AE59"/>
    </row>
    <row r="60" spans="1:31" ht="67.5">
      <c r="A60" s="125">
        <v>56</v>
      </c>
      <c r="B60" s="103" t="s">
        <v>160</v>
      </c>
      <c r="C60" s="103" t="s">
        <v>459</v>
      </c>
      <c r="D60" s="103" t="s">
        <v>4358</v>
      </c>
      <c r="E60" s="103" t="s">
        <v>1181</v>
      </c>
      <c r="F60" s="297" t="s">
        <v>466</v>
      </c>
      <c r="G60" s="103" t="s">
        <v>467</v>
      </c>
      <c r="H60" s="103" t="s">
        <v>468</v>
      </c>
      <c r="I60" s="472">
        <f t="shared" si="3"/>
        <v>150</v>
      </c>
      <c r="J60" s="103">
        <v>0</v>
      </c>
      <c r="K60" s="103">
        <v>0</v>
      </c>
      <c r="L60" s="103">
        <v>150</v>
      </c>
      <c r="M60" s="103">
        <v>0</v>
      </c>
      <c r="N60" s="103"/>
      <c r="O60" s="103" t="s">
        <v>469</v>
      </c>
      <c r="P60" s="103" t="s">
        <v>7</v>
      </c>
      <c r="Q60" s="103" t="s">
        <v>4357</v>
      </c>
      <c r="R60" s="103" t="s">
        <v>36</v>
      </c>
      <c r="S60" s="103"/>
      <c r="T60" s="103" t="s">
        <v>470</v>
      </c>
      <c r="U60" s="103" t="s">
        <v>471</v>
      </c>
      <c r="V60" s="103">
        <f t="shared" si="4"/>
        <v>5</v>
      </c>
      <c r="W60" s="103">
        <v>5</v>
      </c>
      <c r="X60" s="103"/>
      <c r="Y60" s="103" t="s">
        <v>472</v>
      </c>
      <c r="Z60" s="202" t="s">
        <v>6102</v>
      </c>
      <c r="AA60"/>
      <c r="AB60"/>
      <c r="AC60"/>
      <c r="AD60"/>
      <c r="AE60"/>
    </row>
    <row r="61" spans="1:31" ht="40.5">
      <c r="A61" s="125">
        <v>57</v>
      </c>
      <c r="B61" s="103" t="s">
        <v>160</v>
      </c>
      <c r="C61" s="125" t="s">
        <v>473</v>
      </c>
      <c r="D61" s="472" t="s">
        <v>474</v>
      </c>
      <c r="E61" s="472" t="s">
        <v>4217</v>
      </c>
      <c r="F61" s="297" t="s">
        <v>475</v>
      </c>
      <c r="G61" s="472" t="s">
        <v>4356</v>
      </c>
      <c r="H61" s="114" t="s">
        <v>244</v>
      </c>
      <c r="I61" s="114">
        <f t="shared" si="3"/>
        <v>235</v>
      </c>
      <c r="J61" s="114">
        <v>160</v>
      </c>
      <c r="K61" s="114">
        <v>75</v>
      </c>
      <c r="L61" s="114"/>
      <c r="M61" s="114"/>
      <c r="N61" s="114"/>
      <c r="O61" s="114"/>
      <c r="P61" s="114" t="s">
        <v>7</v>
      </c>
      <c r="Q61" s="114" t="s">
        <v>476</v>
      </c>
      <c r="R61" s="114" t="s">
        <v>36</v>
      </c>
      <c r="S61" s="114" t="s">
        <v>199</v>
      </c>
      <c r="T61" s="114" t="s">
        <v>477</v>
      </c>
      <c r="U61" s="114" t="s">
        <v>37</v>
      </c>
      <c r="V61" s="114">
        <v>60</v>
      </c>
      <c r="W61" s="114">
        <v>60</v>
      </c>
      <c r="X61" s="114"/>
      <c r="Y61" s="114" t="s">
        <v>478</v>
      </c>
      <c r="Z61" s="202" t="s">
        <v>6103</v>
      </c>
      <c r="AA61"/>
      <c r="AB61"/>
      <c r="AC61"/>
      <c r="AD61"/>
      <c r="AE61"/>
    </row>
    <row r="62" spans="1:31" ht="40.5">
      <c r="A62" s="125">
        <v>58</v>
      </c>
      <c r="B62" s="103" t="s">
        <v>160</v>
      </c>
      <c r="C62" s="125" t="s">
        <v>473</v>
      </c>
      <c r="D62" s="472" t="s">
        <v>479</v>
      </c>
      <c r="E62" s="472" t="s">
        <v>1449</v>
      </c>
      <c r="F62" s="297" t="s">
        <v>4355</v>
      </c>
      <c r="G62" s="472" t="s">
        <v>1248</v>
      </c>
      <c r="H62" s="472" t="s">
        <v>480</v>
      </c>
      <c r="I62" s="472">
        <f t="shared" si="3"/>
        <v>84</v>
      </c>
      <c r="J62" s="472"/>
      <c r="K62" s="472">
        <v>84</v>
      </c>
      <c r="L62" s="472"/>
      <c r="M62" s="472"/>
      <c r="N62" s="472"/>
      <c r="O62" s="472"/>
      <c r="P62" s="472" t="s">
        <v>7</v>
      </c>
      <c r="Q62" s="472" t="s">
        <v>481</v>
      </c>
      <c r="R62" s="472" t="s">
        <v>36</v>
      </c>
      <c r="S62" s="472" t="s">
        <v>246</v>
      </c>
      <c r="T62" s="472" t="s">
        <v>482</v>
      </c>
      <c r="U62" s="472" t="s">
        <v>37</v>
      </c>
      <c r="V62" s="472">
        <v>80</v>
      </c>
      <c r="W62" s="472">
        <v>60</v>
      </c>
      <c r="X62" s="472">
        <v>20</v>
      </c>
      <c r="Y62" s="472" t="s">
        <v>4354</v>
      </c>
      <c r="Z62" s="202" t="s">
        <v>6078</v>
      </c>
    </row>
    <row r="63" spans="1:31" ht="40.5">
      <c r="A63" s="125">
        <v>59</v>
      </c>
      <c r="B63" s="103" t="s">
        <v>160</v>
      </c>
      <c r="C63" s="125" t="s">
        <v>473</v>
      </c>
      <c r="D63" s="472" t="s">
        <v>6077</v>
      </c>
      <c r="E63" s="472" t="s">
        <v>549</v>
      </c>
      <c r="F63" s="297" t="s">
        <v>483</v>
      </c>
      <c r="G63" s="472" t="s">
        <v>484</v>
      </c>
      <c r="H63" s="472" t="s">
        <v>485</v>
      </c>
      <c r="I63" s="472">
        <f t="shared" si="3"/>
        <v>380</v>
      </c>
      <c r="J63" s="472"/>
      <c r="K63" s="472">
        <v>380</v>
      </c>
      <c r="L63" s="472"/>
      <c r="M63" s="472"/>
      <c r="N63" s="472"/>
      <c r="O63" s="472"/>
      <c r="P63" s="472" t="s">
        <v>7</v>
      </c>
      <c r="Q63" s="472" t="s">
        <v>476</v>
      </c>
      <c r="R63" s="472" t="s">
        <v>36</v>
      </c>
      <c r="S63" s="472" t="s">
        <v>199</v>
      </c>
      <c r="T63" s="472" t="s">
        <v>477</v>
      </c>
      <c r="U63" s="472" t="s">
        <v>37</v>
      </c>
      <c r="V63" s="472" t="s">
        <v>486</v>
      </c>
      <c r="W63" s="472"/>
      <c r="X63" s="472"/>
      <c r="Y63" s="472" t="s">
        <v>478</v>
      </c>
      <c r="Z63" s="202" t="s">
        <v>6010</v>
      </c>
    </row>
    <row r="64" spans="1:31" s="1" customFormat="1" ht="27">
      <c r="A64" s="147">
        <v>60</v>
      </c>
      <c r="B64" s="165" t="s">
        <v>160</v>
      </c>
      <c r="C64" s="147" t="s">
        <v>473</v>
      </c>
      <c r="D64" s="114" t="s">
        <v>4353</v>
      </c>
      <c r="E64" s="114" t="s">
        <v>1182</v>
      </c>
      <c r="F64" s="270" t="s">
        <v>487</v>
      </c>
      <c r="G64" s="114" t="s">
        <v>4352</v>
      </c>
      <c r="H64" s="114" t="s">
        <v>488</v>
      </c>
      <c r="I64" s="114">
        <f t="shared" si="3"/>
        <v>100</v>
      </c>
      <c r="J64" s="114"/>
      <c r="K64" s="114">
        <v>100</v>
      </c>
      <c r="L64" s="114"/>
      <c r="M64" s="114"/>
      <c r="N64" s="114"/>
      <c r="O64" s="114"/>
      <c r="P64" s="114" t="s">
        <v>7</v>
      </c>
      <c r="Q64" s="114" t="s">
        <v>307</v>
      </c>
      <c r="R64" s="114" t="s">
        <v>36</v>
      </c>
      <c r="S64" s="114" t="s">
        <v>246</v>
      </c>
      <c r="T64" s="114" t="s">
        <v>4351</v>
      </c>
      <c r="U64" s="114" t="s">
        <v>37</v>
      </c>
      <c r="V64" s="114">
        <v>20</v>
      </c>
      <c r="W64" s="114">
        <v>20</v>
      </c>
      <c r="X64" s="114"/>
      <c r="Y64" s="114" t="s">
        <v>489</v>
      </c>
      <c r="Z64" s="202" t="s">
        <v>6021</v>
      </c>
      <c r="AA64"/>
      <c r="AB64"/>
      <c r="AC64"/>
      <c r="AD64"/>
      <c r="AE64"/>
    </row>
    <row r="65" spans="1:31" ht="54">
      <c r="A65" s="125">
        <v>61</v>
      </c>
      <c r="B65" s="125" t="s">
        <v>149</v>
      </c>
      <c r="C65" s="125" t="s">
        <v>473</v>
      </c>
      <c r="D65" s="472" t="s">
        <v>4350</v>
      </c>
      <c r="E65" s="472" t="s">
        <v>338</v>
      </c>
      <c r="F65" s="270" t="s">
        <v>4349</v>
      </c>
      <c r="G65" s="103" t="s">
        <v>1183</v>
      </c>
      <c r="H65" s="103" t="s">
        <v>4348</v>
      </c>
      <c r="I65" s="472">
        <f t="shared" si="3"/>
        <v>200</v>
      </c>
      <c r="J65" s="472">
        <v>0</v>
      </c>
      <c r="K65" s="472">
        <v>200</v>
      </c>
      <c r="L65" s="472">
        <v>0</v>
      </c>
      <c r="M65" s="472">
        <v>0</v>
      </c>
      <c r="N65" s="472"/>
      <c r="O65" s="472"/>
      <c r="P65" s="472" t="s">
        <v>52</v>
      </c>
      <c r="Q65" s="472" t="s">
        <v>490</v>
      </c>
      <c r="R65" s="472" t="s">
        <v>36</v>
      </c>
      <c r="S65" s="472" t="s">
        <v>246</v>
      </c>
      <c r="T65" s="472" t="s">
        <v>491</v>
      </c>
      <c r="U65" s="472" t="s">
        <v>37</v>
      </c>
      <c r="V65" s="472" t="s">
        <v>486</v>
      </c>
      <c r="W65" s="472"/>
      <c r="X65" s="472"/>
      <c r="Y65" s="472" t="s">
        <v>4347</v>
      </c>
      <c r="Z65" s="202" t="s">
        <v>1148</v>
      </c>
    </row>
    <row r="66" spans="1:31" s="1" customFormat="1" ht="40.5">
      <c r="A66" s="147">
        <v>62</v>
      </c>
      <c r="B66" s="271" t="s">
        <v>160</v>
      </c>
      <c r="C66" s="147" t="s">
        <v>473</v>
      </c>
      <c r="D66" s="114" t="s">
        <v>4346</v>
      </c>
      <c r="E66" s="114" t="s">
        <v>4345</v>
      </c>
      <c r="F66" s="270" t="s">
        <v>492</v>
      </c>
      <c r="G66" s="114" t="s">
        <v>4344</v>
      </c>
      <c r="H66" s="114" t="s">
        <v>493</v>
      </c>
      <c r="I66" s="114">
        <f t="shared" si="3"/>
        <v>540</v>
      </c>
      <c r="J66" s="114">
        <v>0</v>
      </c>
      <c r="K66" s="114">
        <v>0</v>
      </c>
      <c r="L66" s="114">
        <v>490</v>
      </c>
      <c r="M66" s="114">
        <v>50</v>
      </c>
      <c r="N66" s="114"/>
      <c r="O66" s="114"/>
      <c r="P66" s="114" t="s">
        <v>6</v>
      </c>
      <c r="Q66" s="114" t="s">
        <v>494</v>
      </c>
      <c r="R66" s="114" t="s">
        <v>36</v>
      </c>
      <c r="S66" s="114" t="s">
        <v>42</v>
      </c>
      <c r="T66" s="114" t="s">
        <v>49</v>
      </c>
      <c r="U66" s="114" t="s">
        <v>38</v>
      </c>
      <c r="V66" s="114" t="s">
        <v>486</v>
      </c>
      <c r="W66" s="114"/>
      <c r="X66" s="114"/>
      <c r="Y66" s="114" t="s">
        <v>495</v>
      </c>
      <c r="Z66" s="202" t="s">
        <v>1148</v>
      </c>
    </row>
    <row r="67" spans="1:31" ht="40.5">
      <c r="A67" s="125">
        <v>63</v>
      </c>
      <c r="B67" s="160" t="s">
        <v>160</v>
      </c>
      <c r="C67" s="125" t="s">
        <v>473</v>
      </c>
      <c r="D67" s="472" t="s">
        <v>496</v>
      </c>
      <c r="E67" s="472" t="s">
        <v>4343</v>
      </c>
      <c r="F67" s="270" t="s">
        <v>4342</v>
      </c>
      <c r="G67" s="472" t="s">
        <v>497</v>
      </c>
      <c r="H67" s="472" t="s">
        <v>498</v>
      </c>
      <c r="I67" s="472">
        <f t="shared" si="3"/>
        <v>744</v>
      </c>
      <c r="J67" s="472">
        <v>0</v>
      </c>
      <c r="K67" s="472">
        <v>0</v>
      </c>
      <c r="L67" s="472">
        <v>684</v>
      </c>
      <c r="M67" s="472">
        <v>60</v>
      </c>
      <c r="N67" s="472"/>
      <c r="O67" s="472"/>
      <c r="P67" s="472" t="s">
        <v>6</v>
      </c>
      <c r="Q67" s="472" t="s">
        <v>4341</v>
      </c>
      <c r="R67" s="472" t="s">
        <v>36</v>
      </c>
      <c r="S67" s="472" t="s">
        <v>42</v>
      </c>
      <c r="T67" s="472" t="s">
        <v>49</v>
      </c>
      <c r="U67" s="472" t="s">
        <v>405</v>
      </c>
      <c r="V67" s="472">
        <f>SUM(W67:X67)</f>
        <v>190</v>
      </c>
      <c r="W67" s="472">
        <v>180</v>
      </c>
      <c r="X67" s="472">
        <v>10</v>
      </c>
      <c r="Y67" s="472" t="s">
        <v>495</v>
      </c>
      <c r="Z67" s="202" t="s">
        <v>1148</v>
      </c>
    </row>
    <row r="68" spans="1:31" ht="54">
      <c r="A68" s="125">
        <v>64</v>
      </c>
      <c r="B68" s="125" t="s">
        <v>149</v>
      </c>
      <c r="C68" s="125" t="s">
        <v>4336</v>
      </c>
      <c r="D68" s="472" t="s">
        <v>4340</v>
      </c>
      <c r="E68" s="472" t="s">
        <v>1184</v>
      </c>
      <c r="F68" s="297" t="s">
        <v>4339</v>
      </c>
      <c r="G68" s="472" t="s">
        <v>2701</v>
      </c>
      <c r="H68" s="472" t="s">
        <v>499</v>
      </c>
      <c r="I68" s="472">
        <f t="shared" si="3"/>
        <v>620</v>
      </c>
      <c r="J68" s="472"/>
      <c r="K68" s="472"/>
      <c r="L68" s="472">
        <v>620</v>
      </c>
      <c r="M68" s="472"/>
      <c r="N68" s="472"/>
      <c r="O68" s="472"/>
      <c r="P68" s="472" t="s">
        <v>46</v>
      </c>
      <c r="Q68" s="472" t="s">
        <v>500</v>
      </c>
      <c r="R68" s="472" t="s">
        <v>36</v>
      </c>
      <c r="S68" s="472" t="s">
        <v>199</v>
      </c>
      <c r="T68" s="472" t="s">
        <v>49</v>
      </c>
      <c r="U68" s="472" t="s">
        <v>38</v>
      </c>
      <c r="V68" s="472">
        <f>SUM(W68:X68)</f>
        <v>98</v>
      </c>
      <c r="W68" s="472">
        <v>93</v>
      </c>
      <c r="X68" s="472">
        <v>5</v>
      </c>
      <c r="Y68" s="472" t="s">
        <v>4338</v>
      </c>
      <c r="Z68" s="202" t="s">
        <v>4337</v>
      </c>
      <c r="AA68"/>
      <c r="AB68"/>
      <c r="AC68"/>
      <c r="AD68"/>
      <c r="AE68"/>
    </row>
    <row r="69" spans="1:31" s="1" customFormat="1" ht="54">
      <c r="A69" s="147">
        <v>65</v>
      </c>
      <c r="B69" s="126" t="s">
        <v>149</v>
      </c>
      <c r="C69" s="126" t="s">
        <v>4336</v>
      </c>
      <c r="D69" s="114" t="s">
        <v>4335</v>
      </c>
      <c r="E69" s="114" t="s">
        <v>1155</v>
      </c>
      <c r="F69" s="270" t="s">
        <v>501</v>
      </c>
      <c r="G69" s="114" t="s">
        <v>4334</v>
      </c>
      <c r="H69" s="114" t="s">
        <v>410</v>
      </c>
      <c r="I69" s="114">
        <f t="shared" ref="I69:I100" si="5">SUM(J69:M69)</f>
        <v>225</v>
      </c>
      <c r="J69" s="114"/>
      <c r="K69" s="114"/>
      <c r="L69" s="114">
        <v>225</v>
      </c>
      <c r="M69" s="114"/>
      <c r="N69" s="473"/>
      <c r="O69" s="473"/>
      <c r="P69" s="473" t="s">
        <v>52</v>
      </c>
      <c r="Q69" s="473" t="s">
        <v>4333</v>
      </c>
      <c r="R69" s="473" t="s">
        <v>36</v>
      </c>
      <c r="S69" s="473" t="s">
        <v>186</v>
      </c>
      <c r="T69" s="473" t="s">
        <v>49</v>
      </c>
      <c r="U69" s="473" t="s">
        <v>37</v>
      </c>
      <c r="V69" s="473">
        <f>SUM(W69:X69)</f>
        <v>0</v>
      </c>
      <c r="W69" s="473">
        <v>0</v>
      </c>
      <c r="X69" s="473">
        <v>0</v>
      </c>
      <c r="Y69" s="114" t="s">
        <v>4332</v>
      </c>
      <c r="Z69" s="202" t="s">
        <v>1148</v>
      </c>
    </row>
    <row r="70" spans="1:31" ht="54">
      <c r="A70" s="125">
        <v>66</v>
      </c>
      <c r="B70" s="125" t="s">
        <v>149</v>
      </c>
      <c r="C70" s="472" t="s">
        <v>502</v>
      </c>
      <c r="D70" s="472" t="s">
        <v>4331</v>
      </c>
      <c r="E70" s="472" t="s">
        <v>1247</v>
      </c>
      <c r="F70" s="270" t="s">
        <v>4330</v>
      </c>
      <c r="G70" s="472" t="s">
        <v>4329</v>
      </c>
      <c r="H70" s="472" t="s">
        <v>503</v>
      </c>
      <c r="I70" s="472">
        <f t="shared" si="5"/>
        <v>200</v>
      </c>
      <c r="J70" s="472"/>
      <c r="K70" s="472">
        <v>200</v>
      </c>
      <c r="L70" s="472"/>
      <c r="M70" s="472"/>
      <c r="N70" s="472"/>
      <c r="O70" s="472"/>
      <c r="P70" s="472" t="s">
        <v>46</v>
      </c>
      <c r="Q70" s="472" t="s">
        <v>504</v>
      </c>
      <c r="R70" s="472" t="s">
        <v>36</v>
      </c>
      <c r="S70" s="472" t="s">
        <v>186</v>
      </c>
      <c r="T70" s="472" t="s">
        <v>43</v>
      </c>
      <c r="U70" s="472" t="s">
        <v>37</v>
      </c>
      <c r="V70" s="472">
        <f>SUM(W70:X70)</f>
        <v>33</v>
      </c>
      <c r="W70" s="472">
        <v>33</v>
      </c>
      <c r="X70" s="472"/>
      <c r="Y70" s="472" t="s">
        <v>4328</v>
      </c>
      <c r="Z70" s="202" t="s">
        <v>1148</v>
      </c>
      <c r="AA70"/>
      <c r="AB70"/>
      <c r="AC70"/>
      <c r="AD70"/>
      <c r="AE70"/>
    </row>
    <row r="71" spans="1:31" ht="40.5">
      <c r="A71" s="125">
        <v>67</v>
      </c>
      <c r="B71" s="125" t="s">
        <v>160</v>
      </c>
      <c r="C71" s="472" t="s">
        <v>502</v>
      </c>
      <c r="D71" s="472" t="s">
        <v>505</v>
      </c>
      <c r="E71" s="472" t="s">
        <v>1246</v>
      </c>
      <c r="F71" s="297" t="s">
        <v>4327</v>
      </c>
      <c r="G71" s="472" t="s">
        <v>506</v>
      </c>
      <c r="H71" s="114" t="s">
        <v>179</v>
      </c>
      <c r="I71" s="114">
        <f t="shared" si="5"/>
        <v>250</v>
      </c>
      <c r="J71" s="114"/>
      <c r="K71" s="114">
        <v>250</v>
      </c>
      <c r="L71" s="114"/>
      <c r="M71" s="114"/>
      <c r="N71" s="114"/>
      <c r="O71" s="114"/>
      <c r="P71" s="114" t="s">
        <v>46</v>
      </c>
      <c r="Q71" s="114" t="s">
        <v>64</v>
      </c>
      <c r="R71" s="114" t="s">
        <v>507</v>
      </c>
      <c r="S71" s="114" t="s">
        <v>186</v>
      </c>
      <c r="T71" s="114" t="s">
        <v>43</v>
      </c>
      <c r="U71" s="114" t="s">
        <v>37</v>
      </c>
      <c r="V71" s="114">
        <v>0</v>
      </c>
      <c r="W71" s="114">
        <v>0</v>
      </c>
      <c r="X71" s="114"/>
      <c r="Y71" s="114" t="s">
        <v>508</v>
      </c>
      <c r="Z71" s="202" t="s">
        <v>1148</v>
      </c>
      <c r="AA71"/>
      <c r="AB71"/>
      <c r="AC71"/>
      <c r="AD71"/>
      <c r="AE71"/>
    </row>
    <row r="72" spans="1:31" s="1" customFormat="1" ht="40.5">
      <c r="A72" s="147">
        <v>68</v>
      </c>
      <c r="B72" s="147" t="s">
        <v>160</v>
      </c>
      <c r="C72" s="114" t="s">
        <v>4326</v>
      </c>
      <c r="D72" s="114" t="s">
        <v>509</v>
      </c>
      <c r="E72" s="114" t="s">
        <v>4325</v>
      </c>
      <c r="F72" s="270" t="s">
        <v>4324</v>
      </c>
      <c r="G72" s="114" t="s">
        <v>4323</v>
      </c>
      <c r="H72" s="114" t="s">
        <v>510</v>
      </c>
      <c r="I72" s="114">
        <f t="shared" si="5"/>
        <v>15</v>
      </c>
      <c r="J72" s="114"/>
      <c r="K72" s="114">
        <v>15</v>
      </c>
      <c r="L72" s="114"/>
      <c r="M72" s="114"/>
      <c r="N72" s="114" t="s">
        <v>43</v>
      </c>
      <c r="O72" s="114" t="s">
        <v>43</v>
      </c>
      <c r="P72" s="114" t="s">
        <v>50</v>
      </c>
      <c r="Q72" s="114" t="s">
        <v>511</v>
      </c>
      <c r="R72" s="114" t="s">
        <v>36</v>
      </c>
      <c r="S72" s="114" t="s">
        <v>42</v>
      </c>
      <c r="T72" s="114" t="s">
        <v>43</v>
      </c>
      <c r="U72" s="114" t="s">
        <v>38</v>
      </c>
      <c r="V72" s="114">
        <v>5</v>
      </c>
      <c r="W72" s="114">
        <v>5</v>
      </c>
      <c r="X72" s="114" t="s">
        <v>43</v>
      </c>
      <c r="Y72" s="114" t="s">
        <v>512</v>
      </c>
      <c r="Z72" s="202" t="s">
        <v>1148</v>
      </c>
      <c r="AA72"/>
      <c r="AB72"/>
      <c r="AC72"/>
      <c r="AD72"/>
      <c r="AE72"/>
    </row>
    <row r="73" spans="1:31" ht="67.5">
      <c r="A73" s="125">
        <v>69</v>
      </c>
      <c r="B73" s="125" t="s">
        <v>149</v>
      </c>
      <c r="C73" s="125" t="s">
        <v>513</v>
      </c>
      <c r="D73" s="472" t="s">
        <v>514</v>
      </c>
      <c r="E73" s="472" t="s">
        <v>4322</v>
      </c>
      <c r="F73" s="270" t="s">
        <v>515</v>
      </c>
      <c r="G73" s="472" t="s">
        <v>516</v>
      </c>
      <c r="H73" s="472" t="s">
        <v>169</v>
      </c>
      <c r="I73" s="472">
        <f t="shared" si="5"/>
        <v>480</v>
      </c>
      <c r="J73" s="472"/>
      <c r="K73" s="472">
        <v>480</v>
      </c>
      <c r="L73" s="472"/>
      <c r="M73" s="472"/>
      <c r="N73" s="472"/>
      <c r="O73" s="472"/>
      <c r="P73" s="472" t="s">
        <v>517</v>
      </c>
      <c r="Q73" s="472"/>
      <c r="R73" s="472" t="s">
        <v>36</v>
      </c>
      <c r="S73" s="472"/>
      <c r="T73" s="472"/>
      <c r="U73" s="472"/>
      <c r="V73" s="472"/>
      <c r="W73" s="472"/>
      <c r="X73" s="472"/>
      <c r="Y73" s="472" t="s">
        <v>4321</v>
      </c>
      <c r="Z73" s="202" t="s">
        <v>1148</v>
      </c>
      <c r="AA73"/>
      <c r="AB73"/>
      <c r="AC73"/>
      <c r="AD73"/>
      <c r="AE73"/>
    </row>
    <row r="74" spans="1:31" ht="54">
      <c r="A74" s="125">
        <v>70</v>
      </c>
      <c r="B74" s="125" t="s">
        <v>149</v>
      </c>
      <c r="C74" s="125" t="s">
        <v>513</v>
      </c>
      <c r="D74" s="472" t="s">
        <v>518</v>
      </c>
      <c r="E74" s="472" t="s">
        <v>519</v>
      </c>
      <c r="F74" s="297" t="s">
        <v>520</v>
      </c>
      <c r="G74" s="472" t="s">
        <v>521</v>
      </c>
      <c r="H74" s="472" t="s">
        <v>522</v>
      </c>
      <c r="I74" s="472">
        <f t="shared" si="5"/>
        <v>530</v>
      </c>
      <c r="J74" s="472"/>
      <c r="K74" s="472">
        <v>530</v>
      </c>
      <c r="L74" s="472"/>
      <c r="M74" s="472"/>
      <c r="N74" s="472"/>
      <c r="O74" s="472"/>
      <c r="P74" s="472" t="s">
        <v>46</v>
      </c>
      <c r="Q74" s="472" t="s">
        <v>523</v>
      </c>
      <c r="R74" s="472" t="s">
        <v>36</v>
      </c>
      <c r="S74" s="472" t="s">
        <v>42</v>
      </c>
      <c r="T74" s="472" t="s">
        <v>524</v>
      </c>
      <c r="U74" s="472" t="s">
        <v>37</v>
      </c>
      <c r="V74" s="472">
        <f>SUM(W74:X74)</f>
        <v>110</v>
      </c>
      <c r="W74" s="472">
        <v>105</v>
      </c>
      <c r="X74" s="472">
        <v>5</v>
      </c>
      <c r="Y74" s="472" t="s">
        <v>525</v>
      </c>
      <c r="Z74" s="202" t="s">
        <v>1148</v>
      </c>
      <c r="AA74"/>
      <c r="AB74"/>
      <c r="AC74"/>
      <c r="AD74"/>
      <c r="AE74"/>
    </row>
    <row r="75" spans="1:31" ht="81">
      <c r="A75" s="125">
        <v>71</v>
      </c>
      <c r="B75" s="125" t="s">
        <v>160</v>
      </c>
      <c r="C75" s="125" t="s">
        <v>513</v>
      </c>
      <c r="D75" s="472" t="s">
        <v>526</v>
      </c>
      <c r="E75" s="472" t="s">
        <v>527</v>
      </c>
      <c r="F75" s="297" t="s">
        <v>4320</v>
      </c>
      <c r="G75" s="472" t="s">
        <v>1245</v>
      </c>
      <c r="H75" s="472" t="s">
        <v>244</v>
      </c>
      <c r="I75" s="472">
        <f t="shared" si="5"/>
        <v>160</v>
      </c>
      <c r="J75" s="472"/>
      <c r="K75" s="472"/>
      <c r="L75" s="472">
        <v>160</v>
      </c>
      <c r="M75" s="472"/>
      <c r="N75" s="472"/>
      <c r="O75" s="472"/>
      <c r="P75" s="472" t="s">
        <v>6</v>
      </c>
      <c r="Q75" s="472" t="s">
        <v>528</v>
      </c>
      <c r="R75" s="472" t="s">
        <v>36</v>
      </c>
      <c r="S75" s="472" t="s">
        <v>42</v>
      </c>
      <c r="T75" s="472" t="s">
        <v>49</v>
      </c>
      <c r="U75" s="472" t="s">
        <v>37</v>
      </c>
      <c r="V75" s="472">
        <f>SUM(W75:X75)</f>
        <v>300</v>
      </c>
      <c r="W75" s="472">
        <v>300</v>
      </c>
      <c r="X75" s="472"/>
      <c r="Y75" s="472" t="s">
        <v>220</v>
      </c>
      <c r="Z75" s="202" t="s">
        <v>1148</v>
      </c>
      <c r="AA75"/>
      <c r="AB75"/>
      <c r="AC75"/>
      <c r="AD75"/>
      <c r="AE75"/>
    </row>
    <row r="76" spans="1:31" s="1" customFormat="1" ht="40.5">
      <c r="A76" s="147">
        <v>72</v>
      </c>
      <c r="B76" s="126" t="s">
        <v>160</v>
      </c>
      <c r="C76" s="126" t="s">
        <v>529</v>
      </c>
      <c r="D76" s="473" t="s">
        <v>530</v>
      </c>
      <c r="E76" s="473" t="s">
        <v>1155</v>
      </c>
      <c r="F76" s="270" t="s">
        <v>531</v>
      </c>
      <c r="G76" s="473" t="s">
        <v>532</v>
      </c>
      <c r="H76" s="473" t="s">
        <v>533</v>
      </c>
      <c r="I76" s="114">
        <f t="shared" si="5"/>
        <v>100</v>
      </c>
      <c r="J76" s="473"/>
      <c r="K76" s="473"/>
      <c r="L76" s="473">
        <v>100</v>
      </c>
      <c r="M76" s="473"/>
      <c r="N76" s="473"/>
      <c r="O76" s="473"/>
      <c r="P76" s="473" t="s">
        <v>7</v>
      </c>
      <c r="Q76" s="473" t="s">
        <v>534</v>
      </c>
      <c r="R76" s="473" t="s">
        <v>36</v>
      </c>
      <c r="S76" s="473" t="s">
        <v>4319</v>
      </c>
      <c r="T76" s="473"/>
      <c r="U76" s="473" t="s">
        <v>535</v>
      </c>
      <c r="V76" s="473">
        <f>SUM(W76:X76)</f>
        <v>0</v>
      </c>
      <c r="W76" s="473" t="s">
        <v>4318</v>
      </c>
      <c r="X76" s="473" t="s">
        <v>43</v>
      </c>
      <c r="Y76" s="473" t="s">
        <v>536</v>
      </c>
      <c r="Z76" s="202" t="s">
        <v>1148</v>
      </c>
    </row>
    <row r="77" spans="1:31" ht="40.5">
      <c r="A77" s="125">
        <v>73</v>
      </c>
      <c r="B77" s="125" t="s">
        <v>160</v>
      </c>
      <c r="C77" s="125" t="s">
        <v>537</v>
      </c>
      <c r="D77" s="472" t="s">
        <v>538</v>
      </c>
      <c r="E77" s="472" t="s">
        <v>539</v>
      </c>
      <c r="F77" s="297" t="s">
        <v>540</v>
      </c>
      <c r="G77" s="472" t="s">
        <v>4317</v>
      </c>
      <c r="H77" s="472" t="s">
        <v>397</v>
      </c>
      <c r="I77" s="472">
        <f t="shared" si="5"/>
        <v>583</v>
      </c>
      <c r="J77" s="472"/>
      <c r="K77" s="472"/>
      <c r="L77" s="472">
        <v>583</v>
      </c>
      <c r="M77" s="472"/>
      <c r="N77" s="472"/>
      <c r="O77" s="472"/>
      <c r="P77" s="472" t="s">
        <v>5</v>
      </c>
      <c r="Q77" s="472" t="s">
        <v>541</v>
      </c>
      <c r="R77" s="472" t="s">
        <v>542</v>
      </c>
      <c r="S77" s="480" t="s">
        <v>348</v>
      </c>
      <c r="T77" s="472" t="s">
        <v>543</v>
      </c>
      <c r="U77" s="472" t="s">
        <v>37</v>
      </c>
      <c r="V77" s="472">
        <f>SUM(W77:X77)</f>
        <v>293</v>
      </c>
      <c r="W77" s="472">
        <v>293</v>
      </c>
      <c r="X77" s="472"/>
      <c r="Y77" s="472" t="s">
        <v>64</v>
      </c>
      <c r="Z77" s="202" t="s">
        <v>1148</v>
      </c>
      <c r="AA77"/>
      <c r="AB77"/>
      <c r="AC77"/>
      <c r="AD77"/>
      <c r="AE77"/>
    </row>
    <row r="78" spans="1:31" ht="27">
      <c r="A78" s="125">
        <v>74</v>
      </c>
      <c r="B78" s="125" t="s">
        <v>149</v>
      </c>
      <c r="C78" s="125" t="s">
        <v>544</v>
      </c>
      <c r="D78" s="472" t="s">
        <v>545</v>
      </c>
      <c r="E78" s="472" t="s">
        <v>1217</v>
      </c>
      <c r="F78" s="297" t="s">
        <v>1244</v>
      </c>
      <c r="G78" s="472" t="s">
        <v>2715</v>
      </c>
      <c r="H78" s="472" t="s">
        <v>244</v>
      </c>
      <c r="I78" s="472">
        <f t="shared" si="5"/>
        <v>200</v>
      </c>
      <c r="J78" s="472"/>
      <c r="K78" s="472"/>
      <c r="L78" s="472">
        <v>200</v>
      </c>
      <c r="M78" s="472"/>
      <c r="N78" s="472"/>
      <c r="O78" s="472"/>
      <c r="P78" s="472" t="s">
        <v>52</v>
      </c>
      <c r="Q78" s="472" t="s">
        <v>546</v>
      </c>
      <c r="R78" s="472" t="s">
        <v>36</v>
      </c>
      <c r="S78" s="472" t="s">
        <v>199</v>
      </c>
      <c r="T78" s="472" t="s">
        <v>49</v>
      </c>
      <c r="U78" s="472" t="s">
        <v>37</v>
      </c>
      <c r="V78" s="472" t="s">
        <v>486</v>
      </c>
      <c r="W78" s="472"/>
      <c r="X78" s="472"/>
      <c r="Y78" s="472" t="s">
        <v>547</v>
      </c>
      <c r="Z78" s="202" t="s">
        <v>6054</v>
      </c>
      <c r="AA78"/>
      <c r="AB78"/>
      <c r="AC78"/>
      <c r="AD78"/>
      <c r="AE78"/>
    </row>
    <row r="79" spans="1:31" s="1" customFormat="1" ht="40.5">
      <c r="A79" s="147">
        <v>75</v>
      </c>
      <c r="B79" s="147" t="s">
        <v>149</v>
      </c>
      <c r="C79" s="147" t="s">
        <v>548</v>
      </c>
      <c r="D79" s="114" t="s">
        <v>4316</v>
      </c>
      <c r="E79" s="114" t="s">
        <v>549</v>
      </c>
      <c r="F79" s="270" t="s">
        <v>550</v>
      </c>
      <c r="G79" s="114" t="s">
        <v>551</v>
      </c>
      <c r="H79" s="114" t="s">
        <v>552</v>
      </c>
      <c r="I79" s="114">
        <f t="shared" si="5"/>
        <v>700</v>
      </c>
      <c r="J79" s="114"/>
      <c r="K79" s="114">
        <v>700</v>
      </c>
      <c r="L79" s="114"/>
      <c r="M79" s="114"/>
      <c r="N79" s="114"/>
      <c r="O79" s="114"/>
      <c r="P79" s="114" t="s">
        <v>52</v>
      </c>
      <c r="Q79" s="114" t="s">
        <v>553</v>
      </c>
      <c r="R79" s="114" t="s">
        <v>36</v>
      </c>
      <c r="S79" s="114" t="s">
        <v>199</v>
      </c>
      <c r="T79" s="114" t="s">
        <v>107</v>
      </c>
      <c r="U79" s="114" t="s">
        <v>53</v>
      </c>
      <c r="V79" s="114">
        <v>0</v>
      </c>
      <c r="W79" s="114"/>
      <c r="X79" s="114"/>
      <c r="Y79" s="114" t="s">
        <v>554</v>
      </c>
      <c r="Z79" s="202" t="s">
        <v>6055</v>
      </c>
    </row>
    <row r="80" spans="1:31" ht="40.5">
      <c r="A80" s="125">
        <v>76</v>
      </c>
      <c r="B80" s="125" t="s">
        <v>149</v>
      </c>
      <c r="C80" s="125" t="s">
        <v>548</v>
      </c>
      <c r="D80" s="472" t="s">
        <v>555</v>
      </c>
      <c r="E80" s="472" t="s">
        <v>227</v>
      </c>
      <c r="F80" s="270" t="s">
        <v>556</v>
      </c>
      <c r="G80" s="472" t="s">
        <v>6041</v>
      </c>
      <c r="H80" s="472" t="s">
        <v>179</v>
      </c>
      <c r="I80" s="472">
        <f t="shared" si="5"/>
        <v>400</v>
      </c>
      <c r="J80" s="472">
        <v>300</v>
      </c>
      <c r="K80" s="472">
        <v>100</v>
      </c>
      <c r="L80" s="472"/>
      <c r="M80" s="472"/>
      <c r="N80" s="472" t="s">
        <v>35</v>
      </c>
      <c r="O80" s="472" t="s">
        <v>557</v>
      </c>
      <c r="P80" s="472" t="s">
        <v>46</v>
      </c>
      <c r="Q80" s="472" t="s">
        <v>558</v>
      </c>
      <c r="R80" s="472" t="s">
        <v>36</v>
      </c>
      <c r="S80" s="472" t="s">
        <v>559</v>
      </c>
      <c r="T80" s="472" t="s">
        <v>49</v>
      </c>
      <c r="U80" s="472" t="s">
        <v>37</v>
      </c>
      <c r="V80" s="472">
        <f t="shared" ref="V80:V85" si="6">SUM(W80:X80)</f>
        <v>0</v>
      </c>
      <c r="W80" s="472"/>
      <c r="X80" s="472"/>
      <c r="Y80" s="472" t="s">
        <v>560</v>
      </c>
      <c r="Z80" s="202" t="s">
        <v>6124</v>
      </c>
      <c r="AA80"/>
      <c r="AB80"/>
      <c r="AC80"/>
      <c r="AD80"/>
      <c r="AE80"/>
    </row>
    <row r="81" spans="1:31" s="1" customFormat="1" ht="81">
      <c r="A81" s="147">
        <v>77</v>
      </c>
      <c r="B81" s="147" t="s">
        <v>160</v>
      </c>
      <c r="C81" s="147" t="s">
        <v>4315</v>
      </c>
      <c r="D81" s="114" t="s">
        <v>561</v>
      </c>
      <c r="E81" s="114" t="s">
        <v>1009</v>
      </c>
      <c r="F81" s="270" t="s">
        <v>562</v>
      </c>
      <c r="G81" s="165" t="s">
        <v>563</v>
      </c>
      <c r="H81" s="165" t="s">
        <v>564</v>
      </c>
      <c r="I81" s="114">
        <f t="shared" si="5"/>
        <v>594</v>
      </c>
      <c r="J81" s="114">
        <v>0</v>
      </c>
      <c r="K81" s="114">
        <v>0</v>
      </c>
      <c r="L81" s="114">
        <v>594</v>
      </c>
      <c r="M81" s="114">
        <v>0</v>
      </c>
      <c r="N81" s="114"/>
      <c r="O81" s="114"/>
      <c r="P81" s="114" t="s">
        <v>46</v>
      </c>
      <c r="Q81" s="114" t="s">
        <v>565</v>
      </c>
      <c r="R81" s="114" t="s">
        <v>36</v>
      </c>
      <c r="S81" s="114" t="s">
        <v>566</v>
      </c>
      <c r="T81" s="114" t="s">
        <v>49</v>
      </c>
      <c r="U81" s="114" t="s">
        <v>53</v>
      </c>
      <c r="V81" s="114">
        <f t="shared" si="6"/>
        <v>123</v>
      </c>
      <c r="W81" s="114">
        <v>122</v>
      </c>
      <c r="X81" s="114">
        <v>1</v>
      </c>
      <c r="Y81" s="114" t="s">
        <v>567</v>
      </c>
      <c r="Z81" s="202" t="s">
        <v>1148</v>
      </c>
      <c r="AA81"/>
      <c r="AB81"/>
      <c r="AC81"/>
      <c r="AD81"/>
      <c r="AE81"/>
    </row>
    <row r="82" spans="1:31" s="1" customFormat="1" ht="54">
      <c r="A82" s="147">
        <v>78</v>
      </c>
      <c r="B82" s="147" t="s">
        <v>160</v>
      </c>
      <c r="C82" s="147" t="s">
        <v>568</v>
      </c>
      <c r="D82" s="114" t="s">
        <v>569</v>
      </c>
      <c r="E82" s="114" t="s">
        <v>1243</v>
      </c>
      <c r="F82" s="270" t="s">
        <v>570</v>
      </c>
      <c r="G82" s="114" t="s">
        <v>1242</v>
      </c>
      <c r="H82" s="114" t="s">
        <v>304</v>
      </c>
      <c r="I82" s="114">
        <f t="shared" si="5"/>
        <v>150</v>
      </c>
      <c r="J82" s="114"/>
      <c r="K82" s="114"/>
      <c r="L82" s="114">
        <v>150</v>
      </c>
      <c r="M82" s="114"/>
      <c r="N82" s="114"/>
      <c r="O82" s="114"/>
      <c r="P82" s="114" t="s">
        <v>41</v>
      </c>
      <c r="Q82" s="114" t="s">
        <v>571</v>
      </c>
      <c r="R82" s="114" t="s">
        <v>36</v>
      </c>
      <c r="S82" s="114" t="s">
        <v>42</v>
      </c>
      <c r="T82" s="114" t="s">
        <v>543</v>
      </c>
      <c r="U82" s="114" t="s">
        <v>37</v>
      </c>
      <c r="V82" s="114">
        <f t="shared" si="6"/>
        <v>0</v>
      </c>
      <c r="W82" s="114">
        <v>0</v>
      </c>
      <c r="X82" s="114">
        <v>0</v>
      </c>
      <c r="Y82" s="114" t="s">
        <v>572</v>
      </c>
      <c r="Z82" s="202" t="s">
        <v>1148</v>
      </c>
      <c r="AA82"/>
      <c r="AB82"/>
      <c r="AC82"/>
      <c r="AD82"/>
      <c r="AE82"/>
    </row>
    <row r="83" spans="1:31" ht="40.5">
      <c r="A83" s="125">
        <v>79</v>
      </c>
      <c r="B83" s="160" t="s">
        <v>160</v>
      </c>
      <c r="C83" s="160" t="s">
        <v>568</v>
      </c>
      <c r="D83" s="103" t="s">
        <v>573</v>
      </c>
      <c r="E83" s="103" t="s">
        <v>1241</v>
      </c>
      <c r="F83" s="297" t="s">
        <v>574</v>
      </c>
      <c r="G83" s="103" t="s">
        <v>1240</v>
      </c>
      <c r="H83" s="103" t="s">
        <v>382</v>
      </c>
      <c r="I83" s="472">
        <f t="shared" si="5"/>
        <v>525</v>
      </c>
      <c r="J83" s="103"/>
      <c r="K83" s="103"/>
      <c r="L83" s="103">
        <v>500</v>
      </c>
      <c r="M83" s="103">
        <v>25</v>
      </c>
      <c r="N83" s="103"/>
      <c r="O83" s="103"/>
      <c r="P83" s="103" t="s">
        <v>6</v>
      </c>
      <c r="Q83" s="103" t="s">
        <v>523</v>
      </c>
      <c r="R83" s="103" t="s">
        <v>36</v>
      </c>
      <c r="S83" s="472" t="s">
        <v>464</v>
      </c>
      <c r="T83" s="472" t="s">
        <v>543</v>
      </c>
      <c r="U83" s="472" t="s">
        <v>38</v>
      </c>
      <c r="V83" s="472">
        <f t="shared" si="6"/>
        <v>512</v>
      </c>
      <c r="W83" s="472">
        <v>512</v>
      </c>
      <c r="X83" s="472"/>
      <c r="Y83" s="472" t="s">
        <v>575</v>
      </c>
      <c r="Z83" s="202" t="s">
        <v>1148</v>
      </c>
      <c r="AA83"/>
      <c r="AB83"/>
      <c r="AC83"/>
      <c r="AD83"/>
      <c r="AE83"/>
    </row>
    <row r="84" spans="1:31" s="1" customFormat="1" ht="67.5">
      <c r="A84" s="147">
        <v>80</v>
      </c>
      <c r="B84" s="271" t="s">
        <v>160</v>
      </c>
      <c r="C84" s="271" t="s">
        <v>568</v>
      </c>
      <c r="D84" s="165" t="s">
        <v>576</v>
      </c>
      <c r="E84" s="165" t="s">
        <v>4314</v>
      </c>
      <c r="F84" s="270" t="s">
        <v>577</v>
      </c>
      <c r="G84" s="165" t="s">
        <v>2730</v>
      </c>
      <c r="H84" s="165" t="s">
        <v>285</v>
      </c>
      <c r="I84" s="114">
        <f t="shared" si="5"/>
        <v>600</v>
      </c>
      <c r="J84" s="165">
        <v>0</v>
      </c>
      <c r="K84" s="165">
        <v>0</v>
      </c>
      <c r="L84" s="165">
        <v>600</v>
      </c>
      <c r="M84" s="165"/>
      <c r="N84" s="165"/>
      <c r="O84" s="165"/>
      <c r="P84" s="165" t="s">
        <v>6</v>
      </c>
      <c r="Q84" s="165" t="s">
        <v>578</v>
      </c>
      <c r="R84" s="165" t="s">
        <v>36</v>
      </c>
      <c r="S84" s="114" t="s">
        <v>464</v>
      </c>
      <c r="T84" s="114" t="s">
        <v>543</v>
      </c>
      <c r="U84" s="114" t="s">
        <v>38</v>
      </c>
      <c r="V84" s="114">
        <f t="shared" si="6"/>
        <v>0</v>
      </c>
      <c r="W84" s="114"/>
      <c r="X84" s="114"/>
      <c r="Y84" s="165" t="s">
        <v>64</v>
      </c>
      <c r="Z84" s="202" t="s">
        <v>6151</v>
      </c>
    </row>
    <row r="85" spans="1:31" ht="81">
      <c r="A85" s="125">
        <v>81</v>
      </c>
      <c r="B85" s="160" t="s">
        <v>160</v>
      </c>
      <c r="C85" s="160" t="s">
        <v>568</v>
      </c>
      <c r="D85" s="103" t="s">
        <v>579</v>
      </c>
      <c r="E85" s="103" t="s">
        <v>1239</v>
      </c>
      <c r="F85" s="297" t="s">
        <v>580</v>
      </c>
      <c r="G85" s="103" t="s">
        <v>6040</v>
      </c>
      <c r="H85" s="103" t="s">
        <v>581</v>
      </c>
      <c r="I85" s="472">
        <f t="shared" si="5"/>
        <v>300</v>
      </c>
      <c r="J85" s="103"/>
      <c r="K85" s="103"/>
      <c r="L85" s="103">
        <v>150</v>
      </c>
      <c r="M85" s="103">
        <v>150</v>
      </c>
      <c r="N85" s="103"/>
      <c r="O85" s="103"/>
      <c r="P85" s="103" t="s">
        <v>6</v>
      </c>
      <c r="Q85" s="103" t="s">
        <v>582</v>
      </c>
      <c r="R85" s="103" t="s">
        <v>36</v>
      </c>
      <c r="S85" s="472" t="s">
        <v>464</v>
      </c>
      <c r="T85" s="472" t="s">
        <v>49</v>
      </c>
      <c r="U85" s="472" t="s">
        <v>37</v>
      </c>
      <c r="V85" s="472">
        <f t="shared" si="6"/>
        <v>0</v>
      </c>
      <c r="W85" s="472"/>
      <c r="X85" s="472"/>
      <c r="Y85" s="103" t="s">
        <v>64</v>
      </c>
      <c r="Z85" s="202" t="s">
        <v>1148</v>
      </c>
    </row>
    <row r="86" spans="1:31" ht="27">
      <c r="A86" s="125">
        <v>82</v>
      </c>
      <c r="B86" s="125" t="s">
        <v>160</v>
      </c>
      <c r="C86" s="125" t="s">
        <v>568</v>
      </c>
      <c r="D86" s="472" t="s">
        <v>583</v>
      </c>
      <c r="E86" s="472" t="s">
        <v>1238</v>
      </c>
      <c r="F86" s="297" t="s">
        <v>584</v>
      </c>
      <c r="G86" s="472" t="s">
        <v>1237</v>
      </c>
      <c r="H86" s="472" t="s">
        <v>367</v>
      </c>
      <c r="I86" s="472">
        <f t="shared" si="5"/>
        <v>45</v>
      </c>
      <c r="J86" s="472"/>
      <c r="K86" s="472"/>
      <c r="L86" s="472">
        <v>45</v>
      </c>
      <c r="M86" s="472"/>
      <c r="N86" s="472"/>
      <c r="O86" s="472"/>
      <c r="P86" s="472" t="s">
        <v>31</v>
      </c>
      <c r="Q86" s="472" t="s">
        <v>585</v>
      </c>
      <c r="R86" s="472" t="s">
        <v>36</v>
      </c>
      <c r="S86" s="472" t="s">
        <v>246</v>
      </c>
      <c r="T86" s="303" t="s">
        <v>49</v>
      </c>
      <c r="U86" s="474" t="s">
        <v>37</v>
      </c>
      <c r="V86" s="472">
        <v>37</v>
      </c>
      <c r="W86" s="472">
        <v>37</v>
      </c>
      <c r="X86" s="472">
        <v>0</v>
      </c>
      <c r="Y86" s="472" t="s">
        <v>64</v>
      </c>
      <c r="Z86" s="202" t="s">
        <v>1148</v>
      </c>
      <c r="AA86"/>
      <c r="AB86"/>
      <c r="AC86"/>
      <c r="AD86"/>
      <c r="AE86"/>
    </row>
    <row r="87" spans="1:31" ht="54">
      <c r="A87" s="125">
        <v>83</v>
      </c>
      <c r="B87" s="125" t="s">
        <v>160</v>
      </c>
      <c r="C87" s="125" t="s">
        <v>568</v>
      </c>
      <c r="D87" s="472" t="s">
        <v>586</v>
      </c>
      <c r="E87" s="472" t="s">
        <v>1236</v>
      </c>
      <c r="F87" s="297" t="s">
        <v>4313</v>
      </c>
      <c r="G87" s="472" t="s">
        <v>4312</v>
      </c>
      <c r="H87" s="472" t="s">
        <v>587</v>
      </c>
      <c r="I87" s="472">
        <f t="shared" si="5"/>
        <v>150</v>
      </c>
      <c r="J87" s="472"/>
      <c r="K87" s="472"/>
      <c r="L87" s="472">
        <v>150</v>
      </c>
      <c r="M87" s="472"/>
      <c r="N87" s="472"/>
      <c r="O87" s="472"/>
      <c r="P87" s="472" t="s">
        <v>5</v>
      </c>
      <c r="Q87" s="472" t="s">
        <v>588</v>
      </c>
      <c r="R87" s="472" t="s">
        <v>36</v>
      </c>
      <c r="S87" s="472" t="s">
        <v>42</v>
      </c>
      <c r="T87" s="472" t="s">
        <v>543</v>
      </c>
      <c r="U87" s="472" t="s">
        <v>38</v>
      </c>
      <c r="V87" s="472">
        <v>168</v>
      </c>
      <c r="W87" s="472">
        <v>168</v>
      </c>
      <c r="X87" s="472"/>
      <c r="Y87" s="472" t="s">
        <v>99</v>
      </c>
      <c r="Z87" s="202" t="s">
        <v>1148</v>
      </c>
      <c r="AA87"/>
      <c r="AB87"/>
      <c r="AC87"/>
      <c r="AD87"/>
      <c r="AE87"/>
    </row>
    <row r="88" spans="1:31" ht="81">
      <c r="A88" s="125">
        <v>84</v>
      </c>
      <c r="B88" s="125" t="s">
        <v>160</v>
      </c>
      <c r="C88" s="125" t="s">
        <v>568</v>
      </c>
      <c r="D88" s="472" t="s">
        <v>589</v>
      </c>
      <c r="E88" s="472" t="s">
        <v>1224</v>
      </c>
      <c r="F88" s="297" t="s">
        <v>4311</v>
      </c>
      <c r="G88" s="472" t="s">
        <v>1235</v>
      </c>
      <c r="H88" s="472" t="s">
        <v>590</v>
      </c>
      <c r="I88" s="472">
        <f t="shared" si="5"/>
        <v>75</v>
      </c>
      <c r="J88" s="472"/>
      <c r="K88" s="472">
        <v>75</v>
      </c>
      <c r="L88" s="472"/>
      <c r="M88" s="472"/>
      <c r="N88" s="472"/>
      <c r="O88" s="472"/>
      <c r="P88" s="472" t="s">
        <v>52</v>
      </c>
      <c r="Q88" s="472" t="s">
        <v>591</v>
      </c>
      <c r="R88" s="472" t="s">
        <v>36</v>
      </c>
      <c r="S88" s="472" t="s">
        <v>42</v>
      </c>
      <c r="T88" s="472" t="s">
        <v>49</v>
      </c>
      <c r="U88" s="472" t="s">
        <v>38</v>
      </c>
      <c r="V88" s="472">
        <f>SUM(W88:X88)</f>
        <v>11</v>
      </c>
      <c r="W88" s="472">
        <v>9</v>
      </c>
      <c r="X88" s="472">
        <v>2</v>
      </c>
      <c r="Y88" s="472" t="s">
        <v>64</v>
      </c>
      <c r="Z88" s="202" t="s">
        <v>1148</v>
      </c>
      <c r="AA88"/>
      <c r="AB88"/>
      <c r="AC88"/>
      <c r="AD88"/>
      <c r="AE88"/>
    </row>
    <row r="89" spans="1:31" ht="54">
      <c r="A89" s="125">
        <v>85</v>
      </c>
      <c r="B89" s="125" t="s">
        <v>149</v>
      </c>
      <c r="C89" s="125" t="s">
        <v>592</v>
      </c>
      <c r="D89" s="472" t="s">
        <v>593</v>
      </c>
      <c r="E89" s="472" t="s">
        <v>1181</v>
      </c>
      <c r="F89" s="297" t="s">
        <v>594</v>
      </c>
      <c r="G89" s="472" t="s">
        <v>595</v>
      </c>
      <c r="H89" s="472" t="s">
        <v>210</v>
      </c>
      <c r="I89" s="472">
        <f t="shared" si="5"/>
        <v>280</v>
      </c>
      <c r="J89" s="472"/>
      <c r="K89" s="472"/>
      <c r="L89" s="472">
        <v>280</v>
      </c>
      <c r="M89" s="472"/>
      <c r="N89" s="472"/>
      <c r="O89" s="472"/>
      <c r="P89" s="472" t="s">
        <v>48</v>
      </c>
      <c r="Q89" s="472" t="s">
        <v>596</v>
      </c>
      <c r="R89" s="472" t="s">
        <v>56</v>
      </c>
      <c r="S89" s="472" t="s">
        <v>252</v>
      </c>
      <c r="T89" s="472" t="s">
        <v>61</v>
      </c>
      <c r="U89" s="472" t="s">
        <v>103</v>
      </c>
      <c r="V89" s="472">
        <f>SUM(W89:X89)</f>
        <v>230</v>
      </c>
      <c r="W89" s="472">
        <v>229</v>
      </c>
      <c r="X89" s="472">
        <v>1</v>
      </c>
      <c r="Y89" s="472" t="s">
        <v>597</v>
      </c>
      <c r="Z89" s="202" t="s">
        <v>1148</v>
      </c>
      <c r="AA89"/>
      <c r="AB89"/>
      <c r="AC89"/>
      <c r="AD89"/>
      <c r="AE89"/>
    </row>
    <row r="90" spans="1:31" ht="54">
      <c r="A90" s="125">
        <v>86</v>
      </c>
      <c r="B90" s="125" t="s">
        <v>149</v>
      </c>
      <c r="C90" s="125" t="s">
        <v>598</v>
      </c>
      <c r="D90" s="472" t="s">
        <v>4310</v>
      </c>
      <c r="E90" s="472" t="s">
        <v>753</v>
      </c>
      <c r="F90" s="270" t="s">
        <v>4309</v>
      </c>
      <c r="G90" s="472" t="s">
        <v>595</v>
      </c>
      <c r="H90" s="472" t="s">
        <v>210</v>
      </c>
      <c r="I90" s="472">
        <f t="shared" si="5"/>
        <v>280</v>
      </c>
      <c r="J90" s="472"/>
      <c r="K90" s="472"/>
      <c r="L90" s="472">
        <v>280</v>
      </c>
      <c r="M90" s="472"/>
      <c r="N90" s="472"/>
      <c r="O90" s="472"/>
      <c r="P90" s="472" t="s">
        <v>48</v>
      </c>
      <c r="Q90" s="472" t="s">
        <v>599</v>
      </c>
      <c r="R90" s="472" t="s">
        <v>36</v>
      </c>
      <c r="S90" s="472" t="s">
        <v>55</v>
      </c>
      <c r="T90" s="472" t="s">
        <v>49</v>
      </c>
      <c r="U90" s="472" t="s">
        <v>53</v>
      </c>
      <c r="V90" s="472">
        <f>SUM(W90:X90)</f>
        <v>300</v>
      </c>
      <c r="W90" s="472">
        <v>298</v>
      </c>
      <c r="X90" s="472">
        <v>2</v>
      </c>
      <c r="Y90" s="472" t="s">
        <v>597</v>
      </c>
      <c r="Z90" s="202" t="s">
        <v>1148</v>
      </c>
      <c r="AA90"/>
      <c r="AB90"/>
      <c r="AC90"/>
      <c r="AD90"/>
      <c r="AE90"/>
    </row>
    <row r="91" spans="1:31" ht="121.5">
      <c r="A91" s="125">
        <v>87</v>
      </c>
      <c r="B91" s="125" t="s">
        <v>160</v>
      </c>
      <c r="C91" s="125" t="s">
        <v>600</v>
      </c>
      <c r="D91" s="472" t="s">
        <v>601</v>
      </c>
      <c r="E91" s="472" t="s">
        <v>4308</v>
      </c>
      <c r="F91" s="270" t="s">
        <v>602</v>
      </c>
      <c r="G91" s="472" t="s">
        <v>603</v>
      </c>
      <c r="H91" s="472" t="s">
        <v>210</v>
      </c>
      <c r="I91" s="472">
        <f t="shared" si="5"/>
        <v>1566</v>
      </c>
      <c r="J91" s="472">
        <v>58.8</v>
      </c>
      <c r="K91" s="472">
        <v>29.4</v>
      </c>
      <c r="L91" s="359">
        <v>1477.8</v>
      </c>
      <c r="M91" s="472">
        <v>0</v>
      </c>
      <c r="N91" s="472" t="s">
        <v>44</v>
      </c>
      <c r="O91" s="472" t="s">
        <v>45</v>
      </c>
      <c r="P91" s="472" t="s">
        <v>46</v>
      </c>
      <c r="Q91" s="472" t="s">
        <v>4307</v>
      </c>
      <c r="R91" s="472" t="s">
        <v>36</v>
      </c>
      <c r="S91" s="472" t="s">
        <v>604</v>
      </c>
      <c r="T91" s="472" t="s">
        <v>49</v>
      </c>
      <c r="U91" s="472" t="s">
        <v>38</v>
      </c>
      <c r="V91" s="472">
        <v>510</v>
      </c>
      <c r="W91" s="472">
        <v>500</v>
      </c>
      <c r="X91" s="472">
        <v>10</v>
      </c>
      <c r="Y91" s="472" t="s">
        <v>64</v>
      </c>
      <c r="Z91" s="202" t="s">
        <v>1148</v>
      </c>
      <c r="AA91"/>
      <c r="AB91"/>
      <c r="AC91"/>
      <c r="AD91"/>
      <c r="AE91"/>
    </row>
    <row r="92" spans="1:31" ht="54">
      <c r="A92" s="125">
        <v>88</v>
      </c>
      <c r="B92" s="125" t="s">
        <v>149</v>
      </c>
      <c r="C92" s="125" t="s">
        <v>605</v>
      </c>
      <c r="D92" s="472" t="s">
        <v>606</v>
      </c>
      <c r="E92" s="472" t="s">
        <v>1219</v>
      </c>
      <c r="F92" s="270" t="s">
        <v>4306</v>
      </c>
      <c r="G92" s="472" t="s">
        <v>607</v>
      </c>
      <c r="H92" s="472" t="s">
        <v>608</v>
      </c>
      <c r="I92" s="472">
        <f t="shared" si="5"/>
        <v>70</v>
      </c>
      <c r="J92" s="472">
        <v>0</v>
      </c>
      <c r="K92" s="472"/>
      <c r="L92" s="472">
        <v>50</v>
      </c>
      <c r="M92" s="472">
        <v>20</v>
      </c>
      <c r="N92" s="472"/>
      <c r="O92" s="472"/>
      <c r="P92" s="472" t="s">
        <v>41</v>
      </c>
      <c r="Q92" s="472" t="s">
        <v>609</v>
      </c>
      <c r="R92" s="472" t="s">
        <v>56</v>
      </c>
      <c r="S92" s="472" t="s">
        <v>610</v>
      </c>
      <c r="T92" s="472" t="s">
        <v>61</v>
      </c>
      <c r="U92" s="472" t="s">
        <v>103</v>
      </c>
      <c r="V92" s="472">
        <f t="shared" ref="V92:V106" si="7">SUM(W92:X92)</f>
        <v>6</v>
      </c>
      <c r="W92" s="472">
        <v>6</v>
      </c>
      <c r="X92" s="472">
        <v>0</v>
      </c>
      <c r="Y92" s="472" t="s">
        <v>611</v>
      </c>
      <c r="Z92" s="202" t="s">
        <v>1148</v>
      </c>
      <c r="AA92"/>
      <c r="AB92"/>
      <c r="AC92"/>
      <c r="AD92"/>
      <c r="AE92"/>
    </row>
    <row r="93" spans="1:31" ht="27">
      <c r="A93" s="125">
        <v>89</v>
      </c>
      <c r="B93" s="125" t="s">
        <v>149</v>
      </c>
      <c r="C93" s="125" t="s">
        <v>605</v>
      </c>
      <c r="D93" s="472" t="s">
        <v>612</v>
      </c>
      <c r="E93" s="472" t="s">
        <v>1157</v>
      </c>
      <c r="F93" s="270" t="s">
        <v>613</v>
      </c>
      <c r="G93" s="472" t="s">
        <v>4305</v>
      </c>
      <c r="H93" s="472" t="s">
        <v>614</v>
      </c>
      <c r="I93" s="472">
        <f t="shared" si="5"/>
        <v>60</v>
      </c>
      <c r="J93" s="472">
        <v>0</v>
      </c>
      <c r="K93" s="472"/>
      <c r="L93" s="472">
        <v>50</v>
      </c>
      <c r="M93" s="472">
        <v>10</v>
      </c>
      <c r="N93" s="472"/>
      <c r="O93" s="472"/>
      <c r="P93" s="472" t="s">
        <v>50</v>
      </c>
      <c r="Q93" s="472" t="s">
        <v>615</v>
      </c>
      <c r="R93" s="472" t="s">
        <v>56</v>
      </c>
      <c r="S93" s="472" t="s">
        <v>616</v>
      </c>
      <c r="T93" s="472" t="s">
        <v>61</v>
      </c>
      <c r="U93" s="472" t="s">
        <v>76</v>
      </c>
      <c r="V93" s="472">
        <f t="shared" si="7"/>
        <v>10</v>
      </c>
      <c r="W93" s="472">
        <v>10</v>
      </c>
      <c r="X93" s="472">
        <v>0</v>
      </c>
      <c r="Y93" s="472" t="s">
        <v>4304</v>
      </c>
      <c r="Z93" s="202" t="s">
        <v>1148</v>
      </c>
      <c r="AA93"/>
      <c r="AB93"/>
      <c r="AC93"/>
      <c r="AD93"/>
      <c r="AE93"/>
    </row>
    <row r="94" spans="1:31" ht="48" customHeight="1">
      <c r="A94" s="125">
        <v>90</v>
      </c>
      <c r="B94" s="125" t="s">
        <v>149</v>
      </c>
      <c r="C94" s="125" t="s">
        <v>4292</v>
      </c>
      <c r="D94" s="472" t="s">
        <v>617</v>
      </c>
      <c r="E94" s="472" t="s">
        <v>1153</v>
      </c>
      <c r="F94" s="297" t="s">
        <v>618</v>
      </c>
      <c r="G94" s="531" t="s">
        <v>2729</v>
      </c>
      <c r="H94" s="472" t="s">
        <v>619</v>
      </c>
      <c r="I94" s="472">
        <f t="shared" si="5"/>
        <v>143</v>
      </c>
      <c r="J94" s="472"/>
      <c r="K94" s="472"/>
      <c r="L94" s="472">
        <v>143</v>
      </c>
      <c r="M94" s="472"/>
      <c r="N94" s="472"/>
      <c r="O94" s="472"/>
      <c r="P94" s="472" t="s">
        <v>41</v>
      </c>
      <c r="Q94" s="472" t="s">
        <v>4303</v>
      </c>
      <c r="R94" s="472" t="s">
        <v>36</v>
      </c>
      <c r="S94" s="472" t="s">
        <v>42</v>
      </c>
      <c r="T94" s="472" t="s">
        <v>49</v>
      </c>
      <c r="U94" s="472" t="s">
        <v>469</v>
      </c>
      <c r="V94" s="472">
        <f t="shared" si="7"/>
        <v>0</v>
      </c>
      <c r="W94" s="472"/>
      <c r="X94" s="472"/>
      <c r="Y94" s="472" t="s">
        <v>4302</v>
      </c>
      <c r="Z94" s="202" t="s">
        <v>1148</v>
      </c>
    </row>
    <row r="95" spans="1:31" ht="48" customHeight="1">
      <c r="A95" s="125">
        <v>91</v>
      </c>
      <c r="B95" s="125" t="s">
        <v>149</v>
      </c>
      <c r="C95" s="125" t="s">
        <v>4292</v>
      </c>
      <c r="D95" s="472" t="s">
        <v>4301</v>
      </c>
      <c r="E95" s="472" t="s">
        <v>1154</v>
      </c>
      <c r="F95" s="297" t="s">
        <v>4300</v>
      </c>
      <c r="G95" s="532"/>
      <c r="H95" s="472" t="s">
        <v>4299</v>
      </c>
      <c r="I95" s="472">
        <f t="shared" si="5"/>
        <v>100</v>
      </c>
      <c r="J95" s="472"/>
      <c r="K95" s="472"/>
      <c r="L95" s="472">
        <v>30</v>
      </c>
      <c r="M95" s="472">
        <v>70</v>
      </c>
      <c r="N95" s="472"/>
      <c r="O95" s="472"/>
      <c r="P95" s="472" t="s">
        <v>41</v>
      </c>
      <c r="Q95" s="472" t="s">
        <v>582</v>
      </c>
      <c r="R95" s="472" t="s">
        <v>36</v>
      </c>
      <c r="S95" s="472" t="s">
        <v>42</v>
      </c>
      <c r="T95" s="472" t="s">
        <v>49</v>
      </c>
      <c r="U95" s="472" t="s">
        <v>469</v>
      </c>
      <c r="V95" s="472">
        <f t="shared" si="7"/>
        <v>0</v>
      </c>
      <c r="W95" s="472"/>
      <c r="X95" s="472"/>
      <c r="Y95" s="472" t="s">
        <v>4298</v>
      </c>
      <c r="Z95" s="202" t="s">
        <v>1148</v>
      </c>
    </row>
    <row r="96" spans="1:31" ht="94.5">
      <c r="A96" s="125">
        <v>92</v>
      </c>
      <c r="B96" s="125" t="s">
        <v>149</v>
      </c>
      <c r="C96" s="125" t="s">
        <v>4292</v>
      </c>
      <c r="D96" s="472" t="s">
        <v>4297</v>
      </c>
      <c r="E96" s="472" t="s">
        <v>4296</v>
      </c>
      <c r="F96" s="270" t="s">
        <v>4295</v>
      </c>
      <c r="G96" s="103" t="s">
        <v>4294</v>
      </c>
      <c r="H96" s="103" t="s">
        <v>522</v>
      </c>
      <c r="I96" s="472">
        <f t="shared" si="5"/>
        <v>200</v>
      </c>
      <c r="J96" s="472"/>
      <c r="K96" s="472"/>
      <c r="L96" s="472">
        <v>200</v>
      </c>
      <c r="M96" s="472"/>
      <c r="N96" s="472"/>
      <c r="O96" s="472"/>
      <c r="P96" s="472" t="s">
        <v>48</v>
      </c>
      <c r="Q96" s="472" t="s">
        <v>620</v>
      </c>
      <c r="R96" s="472" t="s">
        <v>36</v>
      </c>
      <c r="S96" s="472" t="s">
        <v>42</v>
      </c>
      <c r="T96" s="472" t="s">
        <v>49</v>
      </c>
      <c r="U96" s="472" t="s">
        <v>469</v>
      </c>
      <c r="V96" s="472">
        <f t="shared" si="7"/>
        <v>0</v>
      </c>
      <c r="W96" s="472"/>
      <c r="X96" s="472"/>
      <c r="Y96" s="472" t="s">
        <v>4293</v>
      </c>
      <c r="Z96" s="202" t="s">
        <v>1148</v>
      </c>
    </row>
    <row r="97" spans="1:31" ht="40.5">
      <c r="A97" s="125">
        <v>93</v>
      </c>
      <c r="B97" s="125" t="s">
        <v>149</v>
      </c>
      <c r="C97" s="125" t="s">
        <v>4292</v>
      </c>
      <c r="D97" s="472" t="s">
        <v>4291</v>
      </c>
      <c r="E97" s="472" t="s">
        <v>4290</v>
      </c>
      <c r="F97" s="270" t="s">
        <v>4289</v>
      </c>
      <c r="G97" s="103" t="s">
        <v>4288</v>
      </c>
      <c r="H97" s="103" t="s">
        <v>244</v>
      </c>
      <c r="I97" s="472">
        <f t="shared" si="5"/>
        <v>70</v>
      </c>
      <c r="J97" s="472"/>
      <c r="K97" s="472" t="s">
        <v>621</v>
      </c>
      <c r="L97" s="472">
        <v>70</v>
      </c>
      <c r="M97" s="472"/>
      <c r="N97" s="472"/>
      <c r="O97" s="472"/>
      <c r="P97" s="472" t="s">
        <v>48</v>
      </c>
      <c r="Q97" s="472" t="s">
        <v>4287</v>
      </c>
      <c r="R97" s="472" t="s">
        <v>36</v>
      </c>
      <c r="S97" s="472" t="s">
        <v>42</v>
      </c>
      <c r="T97" s="472" t="s">
        <v>49</v>
      </c>
      <c r="U97" s="472" t="s">
        <v>469</v>
      </c>
      <c r="V97" s="472">
        <f t="shared" si="7"/>
        <v>0</v>
      </c>
      <c r="W97" s="472"/>
      <c r="X97" s="472"/>
      <c r="Y97" s="472" t="s">
        <v>4286</v>
      </c>
      <c r="Z97" s="202" t="s">
        <v>6150</v>
      </c>
    </row>
    <row r="98" spans="1:31" ht="54">
      <c r="A98" s="125">
        <v>94</v>
      </c>
      <c r="B98" s="125" t="s">
        <v>160</v>
      </c>
      <c r="C98" s="125" t="s">
        <v>4280</v>
      </c>
      <c r="D98" s="472" t="s">
        <v>4285</v>
      </c>
      <c r="E98" s="472" t="s">
        <v>4284</v>
      </c>
      <c r="F98" s="297" t="s">
        <v>4283</v>
      </c>
      <c r="G98" s="103" t="s">
        <v>4277</v>
      </c>
      <c r="H98" s="472" t="s">
        <v>238</v>
      </c>
      <c r="I98" s="472">
        <f t="shared" si="5"/>
        <v>288</v>
      </c>
      <c r="J98" s="472"/>
      <c r="K98" s="472">
        <v>288</v>
      </c>
      <c r="L98" s="472"/>
      <c r="M98" s="472"/>
      <c r="N98" s="472"/>
      <c r="O98" s="472"/>
      <c r="P98" s="472" t="s">
        <v>98</v>
      </c>
      <c r="Q98" s="472" t="s">
        <v>4282</v>
      </c>
      <c r="R98" s="472" t="s">
        <v>36</v>
      </c>
      <c r="S98" s="472" t="s">
        <v>566</v>
      </c>
      <c r="T98" s="472" t="s">
        <v>49</v>
      </c>
      <c r="U98" s="472" t="s">
        <v>37</v>
      </c>
      <c r="V98" s="472">
        <f t="shared" si="7"/>
        <v>100</v>
      </c>
      <c r="W98" s="472">
        <v>100</v>
      </c>
      <c r="X98" s="472">
        <v>0</v>
      </c>
      <c r="Y98" s="472" t="s">
        <v>4281</v>
      </c>
      <c r="Z98" s="202" t="s">
        <v>1148</v>
      </c>
      <c r="AA98"/>
      <c r="AB98"/>
      <c r="AC98"/>
      <c r="AD98"/>
      <c r="AE98"/>
    </row>
    <row r="99" spans="1:31" ht="54">
      <c r="A99" s="125">
        <v>95</v>
      </c>
      <c r="B99" s="125" t="s">
        <v>160</v>
      </c>
      <c r="C99" s="125" t="s">
        <v>4280</v>
      </c>
      <c r="D99" s="472" t="s">
        <v>4279</v>
      </c>
      <c r="E99" s="472" t="s">
        <v>1157</v>
      </c>
      <c r="F99" s="270" t="s">
        <v>4278</v>
      </c>
      <c r="G99" s="103" t="s">
        <v>4277</v>
      </c>
      <c r="H99" s="103" t="s">
        <v>244</v>
      </c>
      <c r="I99" s="472">
        <f t="shared" si="5"/>
        <v>280</v>
      </c>
      <c r="J99" s="472"/>
      <c r="K99" s="472">
        <v>280</v>
      </c>
      <c r="L99" s="472"/>
      <c r="M99" s="472"/>
      <c r="N99" s="472"/>
      <c r="O99" s="472"/>
      <c r="P99" s="472" t="s">
        <v>50</v>
      </c>
      <c r="Q99" s="472" t="s">
        <v>4276</v>
      </c>
      <c r="R99" s="472" t="s">
        <v>36</v>
      </c>
      <c r="S99" s="472" t="s">
        <v>566</v>
      </c>
      <c r="T99" s="472" t="s">
        <v>49</v>
      </c>
      <c r="U99" s="472" t="s">
        <v>37</v>
      </c>
      <c r="V99" s="472">
        <f t="shared" si="7"/>
        <v>15</v>
      </c>
      <c r="W99" s="472">
        <v>15</v>
      </c>
      <c r="X99" s="472">
        <v>0</v>
      </c>
      <c r="Y99" s="472" t="s">
        <v>4275</v>
      </c>
      <c r="Z99" s="202" t="s">
        <v>1148</v>
      </c>
      <c r="AA99"/>
      <c r="AB99"/>
      <c r="AC99"/>
      <c r="AD99"/>
      <c r="AE99"/>
    </row>
    <row r="100" spans="1:31" s="312" customFormat="1" ht="40.5">
      <c r="A100" s="125">
        <v>96</v>
      </c>
      <c r="B100" s="188" t="s">
        <v>149</v>
      </c>
      <c r="C100" s="188" t="s">
        <v>622</v>
      </c>
      <c r="D100" s="189" t="s">
        <v>623</v>
      </c>
      <c r="E100" s="189" t="s">
        <v>624</v>
      </c>
      <c r="F100" s="297" t="s">
        <v>4274</v>
      </c>
      <c r="G100" s="189" t="s">
        <v>625</v>
      </c>
      <c r="H100" s="189" t="s">
        <v>626</v>
      </c>
      <c r="I100" s="472">
        <f t="shared" si="5"/>
        <v>100</v>
      </c>
      <c r="J100" s="189"/>
      <c r="K100" s="189">
        <v>0</v>
      </c>
      <c r="L100" s="189">
        <v>100</v>
      </c>
      <c r="M100" s="189"/>
      <c r="N100" s="189"/>
      <c r="O100" s="189"/>
      <c r="P100" s="189" t="s">
        <v>41</v>
      </c>
      <c r="Q100" s="189" t="s">
        <v>627</v>
      </c>
      <c r="R100" s="189" t="s">
        <v>56</v>
      </c>
      <c r="S100" s="189" t="s">
        <v>628</v>
      </c>
      <c r="T100" s="189" t="s">
        <v>61</v>
      </c>
      <c r="U100" s="189" t="s">
        <v>76</v>
      </c>
      <c r="V100" s="189">
        <f t="shared" si="7"/>
        <v>95</v>
      </c>
      <c r="W100" s="189">
        <v>95</v>
      </c>
      <c r="X100" s="189"/>
      <c r="Y100" s="189" t="s">
        <v>629</v>
      </c>
      <c r="Z100" s="202" t="s">
        <v>1148</v>
      </c>
      <c r="AA100"/>
      <c r="AB100"/>
      <c r="AC100"/>
      <c r="AD100"/>
      <c r="AE100"/>
    </row>
    <row r="101" spans="1:31" s="312" customFormat="1" ht="27">
      <c r="A101" s="125">
        <v>97</v>
      </c>
      <c r="B101" s="188" t="s">
        <v>149</v>
      </c>
      <c r="C101" s="188" t="s">
        <v>622</v>
      </c>
      <c r="D101" s="189" t="s">
        <v>630</v>
      </c>
      <c r="E101" s="189" t="s">
        <v>631</v>
      </c>
      <c r="F101" s="297" t="s">
        <v>632</v>
      </c>
      <c r="G101" s="189" t="s">
        <v>1014</v>
      </c>
      <c r="H101" s="189" t="s">
        <v>633</v>
      </c>
      <c r="I101" s="472">
        <f t="shared" ref="I101:I114" si="8">SUM(J101:M101)</f>
        <v>100</v>
      </c>
      <c r="J101" s="189"/>
      <c r="K101" s="189">
        <v>0</v>
      </c>
      <c r="L101" s="189">
        <v>100</v>
      </c>
      <c r="M101" s="189"/>
      <c r="N101" s="189"/>
      <c r="O101" s="189"/>
      <c r="P101" s="189" t="s">
        <v>41</v>
      </c>
      <c r="Q101" s="189" t="s">
        <v>634</v>
      </c>
      <c r="R101" s="189" t="s">
        <v>56</v>
      </c>
      <c r="S101" s="189" t="s">
        <v>628</v>
      </c>
      <c r="T101" s="189" t="s">
        <v>61</v>
      </c>
      <c r="U101" s="189" t="s">
        <v>76</v>
      </c>
      <c r="V101" s="189">
        <f t="shared" si="7"/>
        <v>80</v>
      </c>
      <c r="W101" s="189">
        <v>80</v>
      </c>
      <c r="X101" s="189"/>
      <c r="Y101" s="189" t="s">
        <v>635</v>
      </c>
      <c r="Z101" s="202" t="s">
        <v>1148</v>
      </c>
      <c r="AA101"/>
      <c r="AB101"/>
      <c r="AC101"/>
      <c r="AD101"/>
      <c r="AE101"/>
    </row>
    <row r="102" spans="1:31" s="312" customFormat="1" ht="54">
      <c r="A102" s="125">
        <v>98</v>
      </c>
      <c r="B102" s="188" t="s">
        <v>149</v>
      </c>
      <c r="C102" s="188" t="s">
        <v>622</v>
      </c>
      <c r="D102" s="189" t="s">
        <v>636</v>
      </c>
      <c r="E102" s="189" t="s">
        <v>4273</v>
      </c>
      <c r="F102" s="297" t="s">
        <v>4272</v>
      </c>
      <c r="G102" s="189" t="s">
        <v>4271</v>
      </c>
      <c r="H102" s="189" t="s">
        <v>267</v>
      </c>
      <c r="I102" s="472">
        <f t="shared" si="8"/>
        <v>650</v>
      </c>
      <c r="J102" s="189"/>
      <c r="K102" s="189">
        <v>50</v>
      </c>
      <c r="L102" s="189">
        <v>600</v>
      </c>
      <c r="M102" s="189"/>
      <c r="N102" s="189"/>
      <c r="O102" s="189"/>
      <c r="P102" s="189" t="s">
        <v>41</v>
      </c>
      <c r="Q102" s="189" t="s">
        <v>637</v>
      </c>
      <c r="R102" s="189" t="s">
        <v>56</v>
      </c>
      <c r="S102" s="189" t="s">
        <v>628</v>
      </c>
      <c r="T102" s="189" t="s">
        <v>61</v>
      </c>
      <c r="U102" s="189" t="s">
        <v>47</v>
      </c>
      <c r="V102" s="189">
        <f t="shared" si="7"/>
        <v>199</v>
      </c>
      <c r="W102" s="189">
        <v>198</v>
      </c>
      <c r="X102" s="189">
        <v>1</v>
      </c>
      <c r="Y102" s="189" t="s">
        <v>638</v>
      </c>
      <c r="Z102" s="202" t="s">
        <v>1148</v>
      </c>
      <c r="AA102"/>
      <c r="AB102"/>
      <c r="AC102"/>
      <c r="AD102"/>
      <c r="AE102"/>
    </row>
    <row r="103" spans="1:31" s="312" customFormat="1" ht="27">
      <c r="A103" s="125">
        <v>99</v>
      </c>
      <c r="B103" s="188" t="s">
        <v>149</v>
      </c>
      <c r="C103" s="188" t="s">
        <v>622</v>
      </c>
      <c r="D103" s="189" t="s">
        <v>644</v>
      </c>
      <c r="E103" s="189" t="s">
        <v>704</v>
      </c>
      <c r="F103" s="270" t="s">
        <v>4270</v>
      </c>
      <c r="G103" s="189" t="s">
        <v>645</v>
      </c>
      <c r="H103" s="189" t="s">
        <v>646</v>
      </c>
      <c r="I103" s="472">
        <f t="shared" si="8"/>
        <v>100</v>
      </c>
      <c r="J103" s="189"/>
      <c r="K103" s="189">
        <v>0</v>
      </c>
      <c r="L103" s="189">
        <v>100</v>
      </c>
      <c r="M103" s="189"/>
      <c r="N103" s="189"/>
      <c r="O103" s="189"/>
      <c r="P103" s="189" t="s">
        <v>50</v>
      </c>
      <c r="Q103" s="189" t="s">
        <v>647</v>
      </c>
      <c r="R103" s="189" t="s">
        <v>56</v>
      </c>
      <c r="S103" s="189" t="s">
        <v>628</v>
      </c>
      <c r="T103" s="189" t="s">
        <v>61</v>
      </c>
      <c r="U103" s="189" t="s">
        <v>76</v>
      </c>
      <c r="V103" s="189">
        <f t="shared" si="7"/>
        <v>22</v>
      </c>
      <c r="W103" s="189">
        <v>22</v>
      </c>
      <c r="X103" s="189"/>
      <c r="Y103" s="189" t="s">
        <v>648</v>
      </c>
      <c r="Z103" s="202" t="s">
        <v>1148</v>
      </c>
      <c r="AA103"/>
      <c r="AB103"/>
      <c r="AC103"/>
      <c r="AD103"/>
      <c r="AE103"/>
    </row>
    <row r="104" spans="1:31" s="312" customFormat="1" ht="27">
      <c r="A104" s="125">
        <v>100</v>
      </c>
      <c r="B104" s="188" t="s">
        <v>149</v>
      </c>
      <c r="C104" s="188" t="s">
        <v>622</v>
      </c>
      <c r="D104" s="189" t="s">
        <v>649</v>
      </c>
      <c r="E104" s="189" t="s">
        <v>968</v>
      </c>
      <c r="F104" s="270" t="s">
        <v>651</v>
      </c>
      <c r="G104" s="189" t="s">
        <v>4269</v>
      </c>
      <c r="H104" s="189" t="s">
        <v>652</v>
      </c>
      <c r="I104" s="472">
        <f t="shared" si="8"/>
        <v>100</v>
      </c>
      <c r="J104" s="189"/>
      <c r="K104" s="189">
        <v>0</v>
      </c>
      <c r="L104" s="189">
        <v>100</v>
      </c>
      <c r="M104" s="189"/>
      <c r="N104" s="189"/>
      <c r="O104" s="189"/>
      <c r="P104" s="189" t="s">
        <v>41</v>
      </c>
      <c r="Q104" s="189" t="s">
        <v>653</v>
      </c>
      <c r="R104" s="189" t="s">
        <v>56</v>
      </c>
      <c r="S104" s="189" t="s">
        <v>628</v>
      </c>
      <c r="T104" s="189" t="s">
        <v>61</v>
      </c>
      <c r="U104" s="189" t="s">
        <v>76</v>
      </c>
      <c r="V104" s="189">
        <f t="shared" si="7"/>
        <v>0</v>
      </c>
      <c r="W104" s="189">
        <v>0</v>
      </c>
      <c r="X104" s="189"/>
      <c r="Y104" s="189" t="s">
        <v>654</v>
      </c>
      <c r="Z104" s="202" t="s">
        <v>1148</v>
      </c>
      <c r="AA104"/>
      <c r="AB104"/>
      <c r="AC104"/>
      <c r="AD104"/>
      <c r="AE104"/>
    </row>
    <row r="105" spans="1:31" s="363" customFormat="1" ht="27">
      <c r="A105" s="125">
        <v>101</v>
      </c>
      <c r="B105" s="356" t="s">
        <v>149</v>
      </c>
      <c r="C105" s="357" t="s">
        <v>622</v>
      </c>
      <c r="D105" s="358" t="s">
        <v>636</v>
      </c>
      <c r="E105" s="358" t="s">
        <v>639</v>
      </c>
      <c r="F105" s="427" t="s">
        <v>640</v>
      </c>
      <c r="G105" s="358" t="s">
        <v>641</v>
      </c>
      <c r="H105" s="358" t="s">
        <v>642</v>
      </c>
      <c r="I105" s="360">
        <f t="shared" si="8"/>
        <v>100</v>
      </c>
      <c r="J105" s="361"/>
      <c r="K105" s="362">
        <v>0</v>
      </c>
      <c r="L105" s="358">
        <v>100</v>
      </c>
      <c r="M105" s="362"/>
      <c r="N105" s="358"/>
      <c r="O105" s="361"/>
      <c r="P105" s="362" t="s">
        <v>41</v>
      </c>
      <c r="Q105" s="358" t="s">
        <v>637</v>
      </c>
      <c r="R105" s="388" t="s">
        <v>56</v>
      </c>
      <c r="S105" s="389" t="s">
        <v>628</v>
      </c>
      <c r="T105" s="358" t="s">
        <v>61</v>
      </c>
      <c r="U105" s="390" t="s">
        <v>76</v>
      </c>
      <c r="V105" s="361">
        <f t="shared" si="7"/>
        <v>150</v>
      </c>
      <c r="W105" s="358">
        <v>150</v>
      </c>
      <c r="X105" s="358"/>
      <c r="Y105" s="358" t="s">
        <v>643</v>
      </c>
      <c r="Z105" s="470" t="s">
        <v>1148</v>
      </c>
      <c r="AA105"/>
      <c r="AB105"/>
      <c r="AC105"/>
      <c r="AD105"/>
      <c r="AE105"/>
    </row>
    <row r="106" spans="1:31" ht="67.5">
      <c r="A106" s="125">
        <v>102</v>
      </c>
      <c r="B106" s="125" t="s">
        <v>149</v>
      </c>
      <c r="C106" s="125" t="s">
        <v>4242</v>
      </c>
      <c r="D106" s="472" t="s">
        <v>4268</v>
      </c>
      <c r="E106" s="472" t="s">
        <v>4267</v>
      </c>
      <c r="F106" s="297" t="s">
        <v>4266</v>
      </c>
      <c r="G106" s="472" t="s">
        <v>4260</v>
      </c>
      <c r="H106" s="472" t="s">
        <v>4265</v>
      </c>
      <c r="I106" s="472">
        <f t="shared" si="8"/>
        <v>929</v>
      </c>
      <c r="J106" s="472"/>
      <c r="K106" s="472"/>
      <c r="L106" s="472">
        <v>829</v>
      </c>
      <c r="M106" s="472">
        <v>100</v>
      </c>
      <c r="N106" s="472"/>
      <c r="O106" s="472"/>
      <c r="P106" s="472" t="s">
        <v>41</v>
      </c>
      <c r="Q106" s="472" t="s">
        <v>523</v>
      </c>
      <c r="R106" s="472" t="s">
        <v>36</v>
      </c>
      <c r="S106" s="472" t="s">
        <v>199</v>
      </c>
      <c r="T106" s="472" t="s">
        <v>4264</v>
      </c>
      <c r="U106" s="472" t="s">
        <v>38</v>
      </c>
      <c r="V106" s="472">
        <f t="shared" si="7"/>
        <v>303</v>
      </c>
      <c r="W106" s="472">
        <v>303</v>
      </c>
      <c r="X106" s="472"/>
      <c r="Y106" s="472" t="s">
        <v>4257</v>
      </c>
      <c r="Z106" s="202" t="s">
        <v>1148</v>
      </c>
      <c r="AA106"/>
      <c r="AB106"/>
      <c r="AC106"/>
      <c r="AD106"/>
      <c r="AE106"/>
    </row>
    <row r="107" spans="1:31" ht="94.5">
      <c r="A107" s="125">
        <v>103</v>
      </c>
      <c r="B107" s="125" t="s">
        <v>149</v>
      </c>
      <c r="C107" s="125" t="s">
        <v>4242</v>
      </c>
      <c r="D107" s="472" t="s">
        <v>4263</v>
      </c>
      <c r="E107" s="472" t="s">
        <v>4262</v>
      </c>
      <c r="F107" s="270" t="s">
        <v>4261</v>
      </c>
      <c r="G107" s="472" t="s">
        <v>4260</v>
      </c>
      <c r="H107" s="472" t="s">
        <v>655</v>
      </c>
      <c r="I107" s="472">
        <f t="shared" si="8"/>
        <v>1095</v>
      </c>
      <c r="J107" s="472">
        <v>58.8</v>
      </c>
      <c r="K107" s="472">
        <v>29.4</v>
      </c>
      <c r="L107" s="472">
        <v>29.4</v>
      </c>
      <c r="M107" s="472">
        <v>977.4</v>
      </c>
      <c r="N107" s="472" t="s">
        <v>35</v>
      </c>
      <c r="O107" s="472" t="s">
        <v>156</v>
      </c>
      <c r="P107" s="472" t="s">
        <v>41</v>
      </c>
      <c r="Q107" s="472" t="s">
        <v>4259</v>
      </c>
      <c r="R107" s="472" t="s">
        <v>36</v>
      </c>
      <c r="S107" s="472" t="s">
        <v>199</v>
      </c>
      <c r="T107" s="472" t="s">
        <v>4258</v>
      </c>
      <c r="U107" s="472" t="s">
        <v>38</v>
      </c>
      <c r="V107" s="472" t="s">
        <v>4235</v>
      </c>
      <c r="W107" s="472" t="s">
        <v>4235</v>
      </c>
      <c r="X107" s="472" t="s">
        <v>4235</v>
      </c>
      <c r="Y107" s="472" t="s">
        <v>4257</v>
      </c>
      <c r="Z107" s="202" t="s">
        <v>1148</v>
      </c>
    </row>
    <row r="108" spans="1:31" ht="40.5">
      <c r="A108" s="125">
        <v>104</v>
      </c>
      <c r="B108" s="125" t="s">
        <v>149</v>
      </c>
      <c r="C108" s="125" t="s">
        <v>656</v>
      </c>
      <c r="D108" s="472" t="s">
        <v>4256</v>
      </c>
      <c r="E108" s="472" t="s">
        <v>657</v>
      </c>
      <c r="F108" s="270" t="s">
        <v>4255</v>
      </c>
      <c r="G108" s="472" t="s">
        <v>658</v>
      </c>
      <c r="H108" s="472" t="s">
        <v>659</v>
      </c>
      <c r="I108" s="472">
        <f t="shared" si="8"/>
        <v>92.5</v>
      </c>
      <c r="J108" s="472"/>
      <c r="K108" s="472"/>
      <c r="L108" s="472">
        <v>92.5</v>
      </c>
      <c r="M108" s="472"/>
      <c r="N108" s="472"/>
      <c r="O108" s="472"/>
      <c r="P108" s="472" t="s">
        <v>46</v>
      </c>
      <c r="Q108" s="472" t="s">
        <v>660</v>
      </c>
      <c r="R108" s="472" t="s">
        <v>56</v>
      </c>
      <c r="S108" s="472" t="s">
        <v>83</v>
      </c>
      <c r="T108" s="472"/>
      <c r="U108" s="472" t="s">
        <v>47</v>
      </c>
      <c r="V108" s="472">
        <v>15</v>
      </c>
      <c r="W108" s="472">
        <v>15</v>
      </c>
      <c r="X108" s="472"/>
      <c r="Y108" s="472" t="s">
        <v>661</v>
      </c>
      <c r="Z108" s="202" t="s">
        <v>1148</v>
      </c>
    </row>
    <row r="109" spans="1:31" ht="40.5">
      <c r="A109" s="125">
        <v>105</v>
      </c>
      <c r="B109" s="125" t="s">
        <v>149</v>
      </c>
      <c r="C109" s="125" t="s">
        <v>4242</v>
      </c>
      <c r="D109" s="472" t="s">
        <v>4254</v>
      </c>
      <c r="E109" s="472" t="s">
        <v>4253</v>
      </c>
      <c r="F109" s="297" t="s">
        <v>662</v>
      </c>
      <c r="G109" s="472" t="s">
        <v>663</v>
      </c>
      <c r="H109" s="472" t="s">
        <v>664</v>
      </c>
      <c r="I109" s="472">
        <f t="shared" si="8"/>
        <v>153</v>
      </c>
      <c r="J109" s="472"/>
      <c r="K109" s="472"/>
      <c r="L109" s="472">
        <v>100</v>
      </c>
      <c r="M109" s="472">
        <v>53</v>
      </c>
      <c r="N109" s="472"/>
      <c r="O109" s="472"/>
      <c r="P109" s="472" t="s">
        <v>41</v>
      </c>
      <c r="Q109" s="472" t="s">
        <v>4252</v>
      </c>
      <c r="R109" s="472" t="s">
        <v>36</v>
      </c>
      <c r="S109" s="472" t="s">
        <v>4251</v>
      </c>
      <c r="T109" s="472" t="s">
        <v>4250</v>
      </c>
      <c r="U109" s="472" t="s">
        <v>4249</v>
      </c>
      <c r="V109" s="472">
        <f>SUM(W109:X109)</f>
        <v>100</v>
      </c>
      <c r="W109" s="472">
        <v>100</v>
      </c>
      <c r="X109" s="472"/>
      <c r="Y109" s="472" t="s">
        <v>4248</v>
      </c>
      <c r="Z109" s="202" t="s">
        <v>1148</v>
      </c>
      <c r="AA109"/>
      <c r="AB109"/>
      <c r="AC109"/>
      <c r="AD109"/>
      <c r="AE109"/>
    </row>
    <row r="110" spans="1:31" ht="40.5">
      <c r="A110" s="125">
        <v>106</v>
      </c>
      <c r="B110" s="125" t="s">
        <v>149</v>
      </c>
      <c r="C110" s="125" t="s">
        <v>4242</v>
      </c>
      <c r="D110" s="472" t="s">
        <v>4247</v>
      </c>
      <c r="E110" s="472" t="s">
        <v>4246</v>
      </c>
      <c r="F110" s="297" t="s">
        <v>4245</v>
      </c>
      <c r="G110" s="472" t="s">
        <v>4244</v>
      </c>
      <c r="H110" s="472" t="s">
        <v>564</v>
      </c>
      <c r="I110" s="472">
        <f t="shared" si="8"/>
        <v>100</v>
      </c>
      <c r="J110" s="472"/>
      <c r="K110" s="472"/>
      <c r="L110" s="472">
        <v>100</v>
      </c>
      <c r="M110" s="472"/>
      <c r="N110" s="472"/>
      <c r="O110" s="472"/>
      <c r="P110" s="472" t="s">
        <v>48</v>
      </c>
      <c r="Q110" s="472" t="s">
        <v>130</v>
      </c>
      <c r="R110" s="472" t="s">
        <v>36</v>
      </c>
      <c r="S110" s="472" t="s">
        <v>665</v>
      </c>
      <c r="T110" s="472" t="s">
        <v>49</v>
      </c>
      <c r="U110" s="472" t="s">
        <v>38</v>
      </c>
      <c r="V110" s="472">
        <f>SUM(W110:X110)</f>
        <v>250</v>
      </c>
      <c r="W110" s="472">
        <v>250</v>
      </c>
      <c r="X110" s="472"/>
      <c r="Y110" s="472" t="s">
        <v>4243</v>
      </c>
      <c r="Z110" s="202" t="s">
        <v>1148</v>
      </c>
      <c r="AA110"/>
      <c r="AB110"/>
      <c r="AC110"/>
      <c r="AD110"/>
      <c r="AE110"/>
    </row>
    <row r="111" spans="1:31" ht="40.5">
      <c r="A111" s="125">
        <v>107</v>
      </c>
      <c r="B111" s="125" t="s">
        <v>149</v>
      </c>
      <c r="C111" s="125" t="s">
        <v>4242</v>
      </c>
      <c r="D111" s="472" t="s">
        <v>4241</v>
      </c>
      <c r="E111" s="472" t="s">
        <v>1153</v>
      </c>
      <c r="F111" s="270" t="s">
        <v>4240</v>
      </c>
      <c r="G111" s="472" t="s">
        <v>4239</v>
      </c>
      <c r="H111" s="472" t="s">
        <v>131</v>
      </c>
      <c r="I111" s="472">
        <f t="shared" si="8"/>
        <v>60</v>
      </c>
      <c r="J111" s="472">
        <v>0</v>
      </c>
      <c r="K111" s="472">
        <v>0</v>
      </c>
      <c r="L111" s="472">
        <v>50</v>
      </c>
      <c r="M111" s="472">
        <v>10</v>
      </c>
      <c r="N111" s="472"/>
      <c r="O111" s="472"/>
      <c r="P111" s="472" t="s">
        <v>50</v>
      </c>
      <c r="Q111" s="472" t="s">
        <v>4238</v>
      </c>
      <c r="R111" s="472" t="s">
        <v>36</v>
      </c>
      <c r="S111" s="472" t="s">
        <v>4237</v>
      </c>
      <c r="T111" s="472" t="s">
        <v>49</v>
      </c>
      <c r="U111" s="472" t="s">
        <v>4236</v>
      </c>
      <c r="V111" s="472" t="s">
        <v>4235</v>
      </c>
      <c r="W111" s="472" t="s">
        <v>4235</v>
      </c>
      <c r="X111" s="472" t="s">
        <v>4235</v>
      </c>
      <c r="Y111" s="472" t="s">
        <v>4234</v>
      </c>
      <c r="Z111" s="202" t="s">
        <v>1148</v>
      </c>
    </row>
    <row r="112" spans="1:31" ht="40.5">
      <c r="A112" s="125">
        <v>108</v>
      </c>
      <c r="B112" s="125" t="s">
        <v>149</v>
      </c>
      <c r="C112" s="125" t="s">
        <v>4233</v>
      </c>
      <c r="D112" s="472" t="s">
        <v>4232</v>
      </c>
      <c r="E112" s="472" t="s">
        <v>4231</v>
      </c>
      <c r="F112" s="270" t="s">
        <v>4230</v>
      </c>
      <c r="G112" s="472" t="s">
        <v>4229</v>
      </c>
      <c r="H112" s="472" t="s">
        <v>321</v>
      </c>
      <c r="I112" s="472">
        <f t="shared" si="8"/>
        <v>300</v>
      </c>
      <c r="J112" s="472"/>
      <c r="K112" s="472">
        <v>150</v>
      </c>
      <c r="L112" s="472">
        <v>150</v>
      </c>
      <c r="M112" s="472"/>
      <c r="N112" s="472"/>
      <c r="O112" s="472"/>
      <c r="P112" s="472" t="s">
        <v>7</v>
      </c>
      <c r="Q112" s="472" t="s">
        <v>4228</v>
      </c>
      <c r="R112" s="472" t="s">
        <v>36</v>
      </c>
      <c r="S112" s="472" t="s">
        <v>42</v>
      </c>
      <c r="T112" s="472" t="s">
        <v>2799</v>
      </c>
      <c r="U112" s="472" t="s">
        <v>37</v>
      </c>
      <c r="V112" s="472">
        <f>SUM(W112:X112)</f>
        <v>20</v>
      </c>
      <c r="W112" s="472">
        <v>18</v>
      </c>
      <c r="X112" s="472">
        <v>2</v>
      </c>
      <c r="Y112" s="472" t="s">
        <v>4227</v>
      </c>
      <c r="Z112" s="202" t="s">
        <v>1148</v>
      </c>
      <c r="AA112"/>
      <c r="AB112"/>
      <c r="AC112"/>
      <c r="AD112"/>
      <c r="AE112"/>
    </row>
    <row r="113" spans="1:31" ht="67.5">
      <c r="A113" s="125">
        <v>109</v>
      </c>
      <c r="B113" s="125" t="s">
        <v>149</v>
      </c>
      <c r="C113" s="125" t="s">
        <v>4226</v>
      </c>
      <c r="D113" s="472" t="s">
        <v>4225</v>
      </c>
      <c r="E113" s="472" t="s">
        <v>4224</v>
      </c>
      <c r="F113" s="270" t="s">
        <v>4223</v>
      </c>
      <c r="G113" s="472" t="s">
        <v>4222</v>
      </c>
      <c r="H113" s="472" t="s">
        <v>304</v>
      </c>
      <c r="I113" s="472">
        <f t="shared" si="8"/>
        <v>1215</v>
      </c>
      <c r="J113" s="275"/>
      <c r="K113" s="472"/>
      <c r="L113" s="276">
        <v>1215</v>
      </c>
      <c r="M113" s="472"/>
      <c r="N113" s="472"/>
      <c r="O113" s="472"/>
      <c r="P113" s="472" t="s">
        <v>7</v>
      </c>
      <c r="Q113" s="472" t="s">
        <v>376</v>
      </c>
      <c r="R113" s="472" t="s">
        <v>36</v>
      </c>
      <c r="S113" s="472" t="s">
        <v>199</v>
      </c>
      <c r="T113" s="472" t="s">
        <v>4221</v>
      </c>
      <c r="U113" s="472" t="s">
        <v>38</v>
      </c>
      <c r="V113" s="472">
        <v>132</v>
      </c>
      <c r="W113" s="472">
        <v>132</v>
      </c>
      <c r="X113" s="472"/>
      <c r="Y113" s="472" t="s">
        <v>4220</v>
      </c>
      <c r="Z113" s="202" t="s">
        <v>1148</v>
      </c>
      <c r="AA113"/>
      <c r="AB113"/>
      <c r="AC113"/>
      <c r="AD113"/>
      <c r="AE113"/>
    </row>
    <row r="114" spans="1:31" ht="81.75" thickBot="1">
      <c r="A114" s="125">
        <v>110</v>
      </c>
      <c r="B114" s="193" t="s">
        <v>149</v>
      </c>
      <c r="C114" s="193" t="s">
        <v>4219</v>
      </c>
      <c r="D114" s="194" t="s">
        <v>4218</v>
      </c>
      <c r="E114" s="194" t="s">
        <v>4217</v>
      </c>
      <c r="F114" s="419" t="s">
        <v>4216</v>
      </c>
      <c r="G114" s="194" t="s">
        <v>4215</v>
      </c>
      <c r="H114" s="194" t="s">
        <v>4196</v>
      </c>
      <c r="I114" s="194">
        <f t="shared" si="8"/>
        <v>992.8</v>
      </c>
      <c r="J114" s="194">
        <v>58.8</v>
      </c>
      <c r="K114" s="194">
        <v>29.4</v>
      </c>
      <c r="L114" s="194">
        <v>904.6</v>
      </c>
      <c r="M114" s="194"/>
      <c r="N114" s="194" t="s">
        <v>35</v>
      </c>
      <c r="O114" s="194" t="s">
        <v>156</v>
      </c>
      <c r="P114" s="194" t="s">
        <v>52</v>
      </c>
      <c r="Q114" s="194" t="s">
        <v>4214</v>
      </c>
      <c r="R114" s="194" t="s">
        <v>36</v>
      </c>
      <c r="S114" s="194" t="s">
        <v>186</v>
      </c>
      <c r="T114" s="194" t="s">
        <v>4213</v>
      </c>
      <c r="U114" s="194" t="s">
        <v>38</v>
      </c>
      <c r="V114" s="194">
        <f>SUM(W114:X114)</f>
        <v>208</v>
      </c>
      <c r="W114" s="194">
        <v>208</v>
      </c>
      <c r="X114" s="194"/>
      <c r="Y114" s="194" t="s">
        <v>4212</v>
      </c>
      <c r="Z114" s="471" t="s">
        <v>1148</v>
      </c>
      <c r="AA114"/>
      <c r="AB114"/>
      <c r="AC114"/>
      <c r="AD114"/>
      <c r="AE114"/>
    </row>
    <row r="115" spans="1:31" s="252" customFormat="1">
      <c r="A115" s="334"/>
      <c r="B115" s="334"/>
      <c r="C115" s="334"/>
      <c r="D115" s="334"/>
      <c r="E115" s="334"/>
      <c r="F115" s="3"/>
      <c r="G115" s="334"/>
      <c r="Y115" s="334"/>
      <c r="Z115" s="375"/>
      <c r="AA115"/>
      <c r="AB115"/>
      <c r="AC115"/>
      <c r="AD115"/>
    </row>
    <row r="116" spans="1:31" s="252" customFormat="1">
      <c r="A116" s="334"/>
      <c r="B116" s="334"/>
      <c r="C116" s="334"/>
      <c r="D116" s="334"/>
      <c r="E116" s="334"/>
      <c r="F116" s="3"/>
      <c r="G116" s="334"/>
      <c r="Y116" s="334"/>
      <c r="Z116" s="376"/>
      <c r="AA116"/>
      <c r="AC116"/>
      <c r="AD116"/>
    </row>
    <row r="117" spans="1:31" s="252" customFormat="1">
      <c r="A117" s="334"/>
      <c r="B117" s="334"/>
      <c r="C117" s="334"/>
      <c r="D117" s="334"/>
      <c r="E117" s="334"/>
      <c r="F117" s="3"/>
      <c r="G117" s="334"/>
      <c r="Y117" s="334"/>
      <c r="Z117" s="376"/>
      <c r="AA117"/>
      <c r="AB117"/>
      <c r="AC117"/>
      <c r="AD117"/>
    </row>
    <row r="118" spans="1:31" s="252" customFormat="1">
      <c r="A118" s="334"/>
      <c r="B118" s="334"/>
      <c r="C118" s="334"/>
      <c r="D118" s="334"/>
      <c r="E118" s="334"/>
      <c r="F118" s="3"/>
      <c r="G118" s="334"/>
      <c r="Y118" s="334"/>
      <c r="Z118" s="376"/>
    </row>
    <row r="119" spans="1:31" s="252" customFormat="1">
      <c r="A119" s="334"/>
      <c r="B119" s="334"/>
      <c r="C119" s="334"/>
      <c r="D119" s="334"/>
      <c r="E119" s="334"/>
      <c r="F119" s="3"/>
      <c r="G119" s="334"/>
      <c r="Y119" s="334"/>
      <c r="Z119" s="376"/>
    </row>
    <row r="120" spans="1:31" s="252" customFormat="1">
      <c r="A120" s="334"/>
      <c r="B120" s="334"/>
      <c r="C120" s="334"/>
      <c r="D120" s="334"/>
      <c r="E120" s="334"/>
      <c r="F120" s="3"/>
      <c r="G120" s="334"/>
      <c r="Y120" s="334"/>
      <c r="Z120" s="376"/>
    </row>
    <row r="121" spans="1:31" s="252" customFormat="1">
      <c r="A121" s="334"/>
      <c r="B121" s="334"/>
      <c r="C121" s="334"/>
      <c r="D121" s="334"/>
      <c r="E121" s="334"/>
      <c r="F121" s="3"/>
      <c r="G121" s="334"/>
      <c r="Y121" s="334"/>
      <c r="Z121" s="376"/>
    </row>
    <row r="122" spans="1:31" s="252" customFormat="1">
      <c r="A122" s="334"/>
      <c r="B122" s="334"/>
      <c r="C122" s="334"/>
      <c r="D122" s="334"/>
      <c r="E122" s="334"/>
      <c r="F122" s="3"/>
      <c r="G122" s="334"/>
      <c r="Y122" s="334"/>
      <c r="Z122" s="376"/>
    </row>
    <row r="123" spans="1:31" s="252" customFormat="1">
      <c r="A123" s="334"/>
      <c r="B123" s="334"/>
      <c r="C123" s="334"/>
      <c r="D123" s="334"/>
      <c r="E123" s="334"/>
      <c r="F123" s="3"/>
      <c r="G123" s="334"/>
      <c r="Y123" s="334"/>
      <c r="Z123" s="376"/>
    </row>
  </sheetData>
  <autoFilter ref="A4:Z114"/>
  <mergeCells count="5">
    <mergeCell ref="A1:X2"/>
    <mergeCell ref="I3:M3"/>
    <mergeCell ref="N3:O3"/>
    <mergeCell ref="V3:X3"/>
    <mergeCell ref="G94:G95"/>
  </mergeCells>
  <phoneticPr fontId="23" type="noConversion"/>
  <dataValidations disablePrompts="1" count="26">
    <dataValidation type="list" allowBlank="1" showInputMessage="1" showErrorMessage="1" sqref="P78:P110 B78:B110 B70:B76 P70:P76 N66:N67 P66:P67 P50:P51 P60 B48 P48 B50:B51 B59:B64 P57:P58 P6 P8 B6:B8 P41:P46 B41:B46 B113:B114 P113:P114 B66:B67 B11:B35 P11:P35">
      <formula1>#REF!</formula1>
    </dataValidation>
    <dataValidation type="list" allowBlank="1" showInputMessage="1" showErrorMessage="1" sqref="B77">
      <formula1>$B$79:$B$114</formula1>
    </dataValidation>
    <dataValidation type="list" allowBlank="1" showInputMessage="1" showErrorMessage="1" sqref="P77">
      <formula1>$P$79:$P$98</formula1>
    </dataValidation>
    <dataValidation type="list" allowBlank="1" showInputMessage="1" showErrorMessage="1" sqref="B112">
      <formula1>$B$51:$B$104</formula1>
    </dataValidation>
    <dataValidation type="list" allowBlank="1" showInputMessage="1" showErrorMessage="1" sqref="P112">
      <formula1>$P$51:$P$80</formula1>
    </dataValidation>
    <dataValidation type="list" allowBlank="1" showInputMessage="1" showErrorMessage="1" sqref="P111">
      <formula1>$P$50:$P$71</formula1>
    </dataValidation>
    <dataValidation type="list" allowBlank="1" showInputMessage="1" showErrorMessage="1" sqref="B111">
      <formula1>$B$50:$B$99</formula1>
    </dataValidation>
    <dataValidation type="list" allowBlank="1" showInputMessage="1" showErrorMessage="1" sqref="B65">
      <formula1>$B$59:$B$90</formula1>
    </dataValidation>
    <dataValidation type="list" allowBlank="1" showInputMessage="1" showErrorMessage="1" sqref="N65 P65">
      <formula1>$P$59:$P$64</formula1>
    </dataValidation>
    <dataValidation type="list" allowBlank="1" showInputMessage="1" showErrorMessage="1" sqref="P49">
      <formula1>$P$60:$P$65</formula1>
    </dataValidation>
    <dataValidation type="list" allowBlank="1" showInputMessage="1" showErrorMessage="1" sqref="B49">
      <formula1>$B$60:$B$84</formula1>
    </dataValidation>
    <dataValidation type="list" allowBlank="1" showInputMessage="1" showErrorMessage="1" sqref="B47">
      <formula1>$B$50:$B$80</formula1>
    </dataValidation>
    <dataValidation type="list" allowBlank="1" showInputMessage="1" showErrorMessage="1" sqref="P47">
      <formula1>$P$50:$P$62</formula1>
    </dataValidation>
    <dataValidation type="list" allowBlank="1" showInputMessage="1" showErrorMessage="1" sqref="B52:B58">
      <formula1>$B$32:$B$48</formula1>
    </dataValidation>
    <dataValidation type="list" allowBlank="1" showInputMessage="1" showErrorMessage="1" sqref="P53:P56">
      <formula1>$P$32:$P$32</formula1>
    </dataValidation>
    <dataValidation type="list" allowBlank="1" showInputMessage="1" showErrorMessage="1" sqref="B5 B9">
      <formula1>$B$29:$B$50</formula1>
    </dataValidation>
    <dataValidation type="list" allowBlank="1" showInputMessage="1" showErrorMessage="1" sqref="P5 P7 P9">
      <formula1>$P$29:$P$33</formula1>
    </dataValidation>
    <dataValidation type="list" allowBlank="1" showInputMessage="1" showErrorMessage="1" sqref="P10">
      <formula1>$P$7:$P$10</formula1>
    </dataValidation>
    <dataValidation type="list" allowBlank="1" showInputMessage="1" showErrorMessage="1" sqref="B10">
      <formula1>$B$7:$B$10</formula1>
    </dataValidation>
    <dataValidation type="list" allowBlank="1" showInputMessage="1" showErrorMessage="1" sqref="P40">
      <formula1>$P$18:$P$23</formula1>
    </dataValidation>
    <dataValidation type="list" allowBlank="1" showInputMessage="1" showErrorMessage="1" sqref="B40">
      <formula1>$B$18:$B$33</formula1>
    </dataValidation>
    <dataValidation type="list" allowBlank="1" showInputMessage="1" showErrorMessage="1" sqref="B36:B39">
      <formula1>$B$15:$B$30</formula1>
    </dataValidation>
    <dataValidation type="list" allowBlank="1" showInputMessage="1" showErrorMessage="1" sqref="P36 P39">
      <formula1>$P$14:$P$19</formula1>
    </dataValidation>
    <dataValidation type="list" allowBlank="1" showInputMessage="1" showErrorMessage="1" sqref="P37:P38">
      <formula1>$P$15:$P$20</formula1>
    </dataValidation>
    <dataValidation type="list" allowBlank="1" showInputMessage="1" showErrorMessage="1" sqref="B68:B69">
      <formula1>$B$5:$B$13</formula1>
    </dataValidation>
    <dataValidation type="list" allowBlank="1" showInputMessage="1" showErrorMessage="1" sqref="P68:P69">
      <formula1>$P$5:$P$8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G136"/>
  <sheetViews>
    <sheetView zoomScale="85" zoomScaleNormal="85" zoomScaleSheetLayoutView="9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21.77734375" style="332" customWidth="1"/>
    <col min="5" max="5" width="12.109375" style="332" customWidth="1"/>
    <col min="6" max="6" width="46.109375" style="1" customWidth="1"/>
    <col min="7" max="7" width="25.109375" style="332" customWidth="1"/>
    <col min="8" max="8" width="12.109375" style="332" customWidth="1"/>
    <col min="9" max="9" width="14.109375" style="332" customWidth="1"/>
    <col min="10" max="11" width="7.6640625" style="332" customWidth="1"/>
    <col min="12" max="12" width="9" style="332" customWidth="1"/>
    <col min="13" max="13" width="7.6640625" style="332" customWidth="1"/>
    <col min="14" max="14" width="10.109375" style="332" customWidth="1"/>
    <col min="15" max="15" width="30.109375" style="332" customWidth="1"/>
    <col min="16" max="17" width="12.77734375" style="332" customWidth="1"/>
    <col min="18" max="18" width="12.109375" style="332" customWidth="1"/>
    <col min="19" max="19" width="13.33203125" style="332" customWidth="1"/>
    <col min="20" max="20" width="12.77734375" style="332" customWidth="1"/>
    <col min="21" max="25" width="12.109375" style="332" customWidth="1"/>
    <col min="26" max="26" width="29.77734375" style="89" customWidth="1"/>
    <col min="27" max="27" width="8.88671875" style="255" customWidth="1"/>
    <col min="28" max="16384" width="8.88671875" style="255"/>
  </cols>
  <sheetData>
    <row r="1" spans="1:33" s="171" customFormat="1" ht="13.5" customHeigh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8"/>
      <c r="Z1" s="1"/>
    </row>
    <row r="2" spans="1:33" s="79" customFormat="1" ht="13.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16"/>
      <c r="Z2" s="3"/>
    </row>
    <row r="3" spans="1:33" s="79" customFormat="1" ht="22.5" customHeight="1" thickBot="1">
      <c r="A3" s="4"/>
      <c r="B3" s="4"/>
      <c r="C3" s="4"/>
      <c r="D3" s="4"/>
      <c r="E3" s="4"/>
      <c r="F3" s="2"/>
      <c r="G3" s="4"/>
      <c r="H3" s="4"/>
      <c r="I3" s="513" t="s">
        <v>1012</v>
      </c>
      <c r="J3" s="514"/>
      <c r="K3" s="514"/>
      <c r="L3" s="514"/>
      <c r="M3" s="515"/>
      <c r="N3" s="516" t="s">
        <v>1013</v>
      </c>
      <c r="O3" s="517"/>
      <c r="P3" s="50"/>
      <c r="Q3" s="51"/>
      <c r="R3" s="52"/>
      <c r="S3" s="52"/>
      <c r="T3" s="52"/>
      <c r="U3" s="52"/>
      <c r="V3" s="518" t="s">
        <v>133</v>
      </c>
      <c r="W3" s="519"/>
      <c r="X3" s="520"/>
      <c r="Y3" s="52"/>
      <c r="Z3" s="3"/>
      <c r="AA3"/>
      <c r="AB3"/>
      <c r="AC3"/>
      <c r="AD3"/>
      <c r="AE3"/>
    </row>
    <row r="4" spans="1:33" s="171" customFormat="1" ht="53.1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124" t="s">
        <v>1152</v>
      </c>
      <c r="AA4"/>
      <c r="AB4"/>
      <c r="AC4"/>
      <c r="AD4"/>
      <c r="AE4"/>
      <c r="AF4"/>
      <c r="AG4"/>
    </row>
    <row r="5" spans="1:33" ht="50.1" customHeight="1">
      <c r="A5" s="125">
        <v>1</v>
      </c>
      <c r="B5" s="125" t="s">
        <v>4373</v>
      </c>
      <c r="C5" s="125" t="s">
        <v>4829</v>
      </c>
      <c r="D5" s="472" t="s">
        <v>4882</v>
      </c>
      <c r="E5" s="472" t="s">
        <v>4881</v>
      </c>
      <c r="F5" s="480" t="s">
        <v>4880</v>
      </c>
      <c r="G5" s="472" t="s">
        <v>4879</v>
      </c>
      <c r="H5" s="472" t="s">
        <v>4868</v>
      </c>
      <c r="I5" s="472">
        <v>677</v>
      </c>
      <c r="J5" s="472">
        <v>59</v>
      </c>
      <c r="K5" s="472">
        <v>18</v>
      </c>
      <c r="L5" s="472">
        <v>600</v>
      </c>
      <c r="M5" s="472"/>
      <c r="N5" s="472" t="s">
        <v>35</v>
      </c>
      <c r="O5" s="472" t="s">
        <v>156</v>
      </c>
      <c r="P5" s="472" t="s">
        <v>7</v>
      </c>
      <c r="Q5" s="472" t="s">
        <v>4878</v>
      </c>
      <c r="R5" s="472" t="s">
        <v>36</v>
      </c>
      <c r="S5" s="472" t="s">
        <v>246</v>
      </c>
      <c r="T5" s="472" t="s">
        <v>1471</v>
      </c>
      <c r="U5" s="472" t="s">
        <v>37</v>
      </c>
      <c r="V5" s="135">
        <v>127</v>
      </c>
      <c r="W5" s="135">
        <v>117</v>
      </c>
      <c r="X5" s="135">
        <v>10</v>
      </c>
      <c r="Y5" s="472" t="s">
        <v>4865</v>
      </c>
      <c r="Z5" s="202" t="s">
        <v>4877</v>
      </c>
      <c r="AA5"/>
      <c r="AB5"/>
      <c r="AC5"/>
      <c r="AD5"/>
      <c r="AE5"/>
      <c r="AF5"/>
      <c r="AG5"/>
    </row>
    <row r="6" spans="1:33" ht="67.5">
      <c r="A6" s="125">
        <v>2</v>
      </c>
      <c r="B6" s="125" t="s">
        <v>4373</v>
      </c>
      <c r="C6" s="125" t="s">
        <v>4829</v>
      </c>
      <c r="D6" s="472" t="s">
        <v>4876</v>
      </c>
      <c r="E6" s="472" t="s">
        <v>4875</v>
      </c>
      <c r="F6" s="480" t="s">
        <v>4874</v>
      </c>
      <c r="G6" s="472" t="s">
        <v>4873</v>
      </c>
      <c r="H6" s="473" t="s">
        <v>321</v>
      </c>
      <c r="I6" s="473">
        <v>430</v>
      </c>
      <c r="J6" s="473"/>
      <c r="K6" s="473">
        <v>140</v>
      </c>
      <c r="L6" s="473">
        <v>290</v>
      </c>
      <c r="M6" s="473"/>
      <c r="N6" s="473"/>
      <c r="O6" s="473"/>
      <c r="P6" s="473" t="s">
        <v>7</v>
      </c>
      <c r="Q6" s="473" t="s">
        <v>1470</v>
      </c>
      <c r="R6" s="473" t="s">
        <v>36</v>
      </c>
      <c r="S6" s="473" t="s">
        <v>246</v>
      </c>
      <c r="T6" s="473" t="s">
        <v>543</v>
      </c>
      <c r="U6" s="473" t="s">
        <v>38</v>
      </c>
      <c r="V6" s="138">
        <v>68</v>
      </c>
      <c r="W6" s="136">
        <v>68</v>
      </c>
      <c r="X6" s="136">
        <v>0</v>
      </c>
      <c r="Y6" s="473" t="s">
        <v>4865</v>
      </c>
      <c r="Z6" s="202" t="s">
        <v>1148</v>
      </c>
      <c r="AB6"/>
      <c r="AC6"/>
      <c r="AD6"/>
      <c r="AE6"/>
      <c r="AF6"/>
      <c r="AG6"/>
    </row>
    <row r="7" spans="1:33" s="171" customFormat="1" ht="50.1" customHeight="1">
      <c r="A7" s="126">
        <v>3</v>
      </c>
      <c r="B7" s="126" t="s">
        <v>4373</v>
      </c>
      <c r="C7" s="126" t="s">
        <v>4829</v>
      </c>
      <c r="D7" s="473" t="s">
        <v>4872</v>
      </c>
      <c r="E7" s="473" t="s">
        <v>4871</v>
      </c>
      <c r="F7" s="476" t="s">
        <v>4870</v>
      </c>
      <c r="G7" s="473" t="s">
        <v>4869</v>
      </c>
      <c r="H7" s="473" t="s">
        <v>4868</v>
      </c>
      <c r="I7" s="473">
        <v>630</v>
      </c>
      <c r="J7" s="473"/>
      <c r="K7" s="473">
        <v>190</v>
      </c>
      <c r="L7" s="473">
        <v>440</v>
      </c>
      <c r="M7" s="473"/>
      <c r="N7" s="473"/>
      <c r="O7" s="473"/>
      <c r="P7" s="473" t="s">
        <v>7</v>
      </c>
      <c r="Q7" s="473" t="s">
        <v>4867</v>
      </c>
      <c r="R7" s="473" t="s">
        <v>36</v>
      </c>
      <c r="S7" s="473" t="s">
        <v>199</v>
      </c>
      <c r="T7" s="473" t="s">
        <v>4866</v>
      </c>
      <c r="U7" s="473" t="s">
        <v>38</v>
      </c>
      <c r="V7" s="136">
        <v>80</v>
      </c>
      <c r="W7" s="136">
        <v>80</v>
      </c>
      <c r="X7" s="136">
        <v>0</v>
      </c>
      <c r="Y7" s="473" t="s">
        <v>4865</v>
      </c>
      <c r="Z7" s="202" t="s">
        <v>1148</v>
      </c>
      <c r="AA7"/>
      <c r="AB7"/>
      <c r="AC7"/>
      <c r="AD7"/>
      <c r="AE7"/>
      <c r="AF7"/>
      <c r="AG7"/>
    </row>
    <row r="8" spans="1:33" ht="54">
      <c r="A8" s="125">
        <v>4</v>
      </c>
      <c r="B8" s="125" t="s">
        <v>4373</v>
      </c>
      <c r="C8" s="125" t="s">
        <v>4829</v>
      </c>
      <c r="D8" s="472" t="s">
        <v>4864</v>
      </c>
      <c r="E8" s="472" t="s">
        <v>4863</v>
      </c>
      <c r="F8" s="480" t="s">
        <v>4862</v>
      </c>
      <c r="G8" s="472" t="s">
        <v>4861</v>
      </c>
      <c r="H8" s="472" t="s">
        <v>4170</v>
      </c>
      <c r="I8" s="472">
        <v>138</v>
      </c>
      <c r="J8" s="472"/>
      <c r="K8" s="472">
        <v>138</v>
      </c>
      <c r="L8" s="472"/>
      <c r="M8" s="472"/>
      <c r="N8" s="472"/>
      <c r="O8" s="472"/>
      <c r="P8" s="472" t="s">
        <v>7</v>
      </c>
      <c r="Q8" s="472" t="s">
        <v>4860</v>
      </c>
      <c r="R8" s="472" t="s">
        <v>36</v>
      </c>
      <c r="S8" s="472" t="s">
        <v>246</v>
      </c>
      <c r="T8" s="472" t="s">
        <v>4859</v>
      </c>
      <c r="U8" s="472" t="s">
        <v>38</v>
      </c>
      <c r="V8" s="135">
        <v>7.5</v>
      </c>
      <c r="W8" s="135">
        <v>7.5</v>
      </c>
      <c r="X8" s="135">
        <v>0</v>
      </c>
      <c r="Y8" s="472" t="s">
        <v>4858</v>
      </c>
      <c r="Z8" s="202" t="s">
        <v>4857</v>
      </c>
      <c r="AA8"/>
      <c r="AB8"/>
      <c r="AC8"/>
      <c r="AD8"/>
      <c r="AE8"/>
      <c r="AF8"/>
      <c r="AG8"/>
    </row>
    <row r="9" spans="1:33" s="309" customFormat="1" ht="50.1" customHeight="1">
      <c r="A9" s="125">
        <v>5</v>
      </c>
      <c r="B9" s="125" t="s">
        <v>4373</v>
      </c>
      <c r="C9" s="125" t="s">
        <v>4829</v>
      </c>
      <c r="D9" s="472" t="s">
        <v>4856</v>
      </c>
      <c r="E9" s="472" t="s">
        <v>39</v>
      </c>
      <c r="F9" s="480" t="s">
        <v>4855</v>
      </c>
      <c r="G9" s="472" t="s">
        <v>4850</v>
      </c>
      <c r="H9" s="472" t="s">
        <v>564</v>
      </c>
      <c r="I9" s="472">
        <v>350</v>
      </c>
      <c r="J9" s="472"/>
      <c r="K9" s="472">
        <v>350</v>
      </c>
      <c r="L9" s="472"/>
      <c r="M9" s="472"/>
      <c r="N9" s="472"/>
      <c r="O9" s="472"/>
      <c r="P9" s="472" t="s">
        <v>7</v>
      </c>
      <c r="Q9" s="472" t="s">
        <v>4854</v>
      </c>
      <c r="R9" s="472" t="s">
        <v>36</v>
      </c>
      <c r="S9" s="472" t="s">
        <v>199</v>
      </c>
      <c r="T9" s="472" t="s">
        <v>543</v>
      </c>
      <c r="U9" s="472" t="s">
        <v>37</v>
      </c>
      <c r="V9" s="135">
        <v>66</v>
      </c>
      <c r="W9" s="135">
        <v>66</v>
      </c>
      <c r="X9" s="135">
        <v>0</v>
      </c>
      <c r="Y9" s="472" t="s">
        <v>4853</v>
      </c>
      <c r="Z9" s="202" t="s">
        <v>1148</v>
      </c>
    </row>
    <row r="10" spans="1:33" s="309" customFormat="1" ht="50.1" customHeight="1">
      <c r="A10" s="125">
        <v>6</v>
      </c>
      <c r="B10" s="125" t="s">
        <v>4373</v>
      </c>
      <c r="C10" s="125" t="s">
        <v>4829</v>
      </c>
      <c r="D10" s="472" t="s">
        <v>4852</v>
      </c>
      <c r="E10" s="472" t="s">
        <v>1297</v>
      </c>
      <c r="F10" s="480" t="s">
        <v>4851</v>
      </c>
      <c r="G10" s="472" t="s">
        <v>4850</v>
      </c>
      <c r="H10" s="472" t="s">
        <v>304</v>
      </c>
      <c r="I10" s="155">
        <v>200</v>
      </c>
      <c r="J10" s="472"/>
      <c r="K10" s="155">
        <v>200</v>
      </c>
      <c r="L10" s="472"/>
      <c r="M10" s="472"/>
      <c r="N10" s="472"/>
      <c r="O10" s="472"/>
      <c r="P10" s="472" t="s">
        <v>7</v>
      </c>
      <c r="Q10" s="472" t="s">
        <v>4849</v>
      </c>
      <c r="R10" s="472" t="s">
        <v>36</v>
      </c>
      <c r="S10" s="472" t="s">
        <v>199</v>
      </c>
      <c r="T10" s="472" t="s">
        <v>543</v>
      </c>
      <c r="U10" s="472" t="s">
        <v>37</v>
      </c>
      <c r="V10" s="135">
        <v>66</v>
      </c>
      <c r="W10" s="135">
        <v>66</v>
      </c>
      <c r="X10" s="135">
        <v>0</v>
      </c>
      <c r="Y10" s="472" t="s">
        <v>4843</v>
      </c>
      <c r="Z10" s="202" t="s">
        <v>1148</v>
      </c>
      <c r="AA10"/>
      <c r="AB10"/>
      <c r="AC10"/>
      <c r="AD10"/>
      <c r="AE10"/>
      <c r="AF10"/>
      <c r="AG10"/>
    </row>
    <row r="11" spans="1:33" s="309" customFormat="1" ht="50.1" customHeight="1">
      <c r="A11" s="125">
        <v>7</v>
      </c>
      <c r="B11" s="125" t="s">
        <v>4373</v>
      </c>
      <c r="C11" s="125" t="s">
        <v>4829</v>
      </c>
      <c r="D11" s="472" t="s">
        <v>4848</v>
      </c>
      <c r="E11" s="472" t="s">
        <v>4847</v>
      </c>
      <c r="F11" s="480" t="s">
        <v>4846</v>
      </c>
      <c r="G11" s="472" t="s">
        <v>4845</v>
      </c>
      <c r="H11" s="472" t="s">
        <v>40</v>
      </c>
      <c r="I11" s="472">
        <v>100</v>
      </c>
      <c r="J11" s="472"/>
      <c r="K11" s="472">
        <v>100</v>
      </c>
      <c r="L11" s="472"/>
      <c r="M11" s="472"/>
      <c r="N11" s="472"/>
      <c r="O11" s="472"/>
      <c r="P11" s="472" t="s">
        <v>7</v>
      </c>
      <c r="Q11" s="472" t="s">
        <v>4844</v>
      </c>
      <c r="R11" s="472" t="s">
        <v>36</v>
      </c>
      <c r="S11" s="472" t="s">
        <v>199</v>
      </c>
      <c r="T11" s="472" t="s">
        <v>543</v>
      </c>
      <c r="U11" s="472" t="s">
        <v>37</v>
      </c>
      <c r="V11" s="135">
        <v>12</v>
      </c>
      <c r="W11" s="135">
        <v>12</v>
      </c>
      <c r="X11" s="135">
        <v>0</v>
      </c>
      <c r="Y11" s="472" t="s">
        <v>4843</v>
      </c>
      <c r="Z11" s="202" t="s">
        <v>6105</v>
      </c>
      <c r="AA11"/>
      <c r="AB11"/>
      <c r="AC11"/>
      <c r="AD11"/>
      <c r="AE11"/>
      <c r="AF11"/>
      <c r="AG11"/>
    </row>
    <row r="12" spans="1:33" s="309" customFormat="1" ht="84.95" customHeight="1">
      <c r="A12" s="125">
        <v>8</v>
      </c>
      <c r="B12" s="125" t="s">
        <v>4373</v>
      </c>
      <c r="C12" s="125" t="s">
        <v>4829</v>
      </c>
      <c r="D12" s="472" t="s">
        <v>4842</v>
      </c>
      <c r="E12" s="472" t="s">
        <v>4841</v>
      </c>
      <c r="F12" s="480" t="s">
        <v>4840</v>
      </c>
      <c r="G12" s="472" t="s">
        <v>4839</v>
      </c>
      <c r="H12" s="472" t="s">
        <v>1222</v>
      </c>
      <c r="I12" s="472">
        <v>515</v>
      </c>
      <c r="J12" s="472"/>
      <c r="K12" s="472">
        <v>515</v>
      </c>
      <c r="L12" s="472"/>
      <c r="M12" s="472"/>
      <c r="N12" s="472"/>
      <c r="O12" s="472"/>
      <c r="P12" s="472" t="s">
        <v>6</v>
      </c>
      <c r="Q12" s="472" t="s">
        <v>4838</v>
      </c>
      <c r="R12" s="472" t="s">
        <v>36</v>
      </c>
      <c r="S12" s="472" t="s">
        <v>42</v>
      </c>
      <c r="T12" s="472" t="s">
        <v>4837</v>
      </c>
      <c r="U12" s="472" t="s">
        <v>37</v>
      </c>
      <c r="V12" s="135">
        <v>220</v>
      </c>
      <c r="W12" s="135">
        <v>220</v>
      </c>
      <c r="X12" s="135">
        <v>0</v>
      </c>
      <c r="Y12" s="472" t="s">
        <v>4836</v>
      </c>
      <c r="Z12" s="202" t="s">
        <v>6104</v>
      </c>
      <c r="AA12"/>
      <c r="AB12"/>
      <c r="AC12"/>
      <c r="AD12"/>
      <c r="AE12"/>
      <c r="AF12"/>
      <c r="AG12"/>
    </row>
    <row r="13" spans="1:33" s="309" customFormat="1" ht="50.1" customHeight="1">
      <c r="A13" s="125">
        <v>9</v>
      </c>
      <c r="B13" s="125" t="s">
        <v>4373</v>
      </c>
      <c r="C13" s="472" t="s">
        <v>4829</v>
      </c>
      <c r="D13" s="472" t="s">
        <v>4835</v>
      </c>
      <c r="E13" s="472" t="s">
        <v>4834</v>
      </c>
      <c r="F13" s="313" t="s">
        <v>4833</v>
      </c>
      <c r="G13" s="472" t="s">
        <v>4832</v>
      </c>
      <c r="H13" s="472" t="s">
        <v>40</v>
      </c>
      <c r="I13" s="472">
        <v>100</v>
      </c>
      <c r="J13" s="472"/>
      <c r="K13" s="472">
        <v>100</v>
      </c>
      <c r="L13" s="472"/>
      <c r="M13" s="472"/>
      <c r="N13" s="472"/>
      <c r="O13" s="472"/>
      <c r="P13" s="472" t="s">
        <v>7</v>
      </c>
      <c r="Q13" s="472" t="s">
        <v>4831</v>
      </c>
      <c r="R13" s="472" t="s">
        <v>36</v>
      </c>
      <c r="S13" s="472" t="s">
        <v>42</v>
      </c>
      <c r="T13" s="472" t="s">
        <v>543</v>
      </c>
      <c r="U13" s="472" t="s">
        <v>37</v>
      </c>
      <c r="V13" s="135">
        <v>8</v>
      </c>
      <c r="W13" s="135">
        <v>8</v>
      </c>
      <c r="X13" s="135">
        <v>0</v>
      </c>
      <c r="Y13" s="472" t="s">
        <v>4830</v>
      </c>
      <c r="Z13" s="202" t="s">
        <v>1148</v>
      </c>
    </row>
    <row r="14" spans="1:33" s="309" customFormat="1" ht="54" hidden="1">
      <c r="A14" s="125">
        <v>10</v>
      </c>
      <c r="B14" s="125" t="s">
        <v>4373</v>
      </c>
      <c r="C14" s="125" t="s">
        <v>4829</v>
      </c>
      <c r="D14" s="472" t="s">
        <v>4828</v>
      </c>
      <c r="E14" s="472" t="s">
        <v>4827</v>
      </c>
      <c r="F14" s="480" t="s">
        <v>4826</v>
      </c>
      <c r="G14" s="472" t="s">
        <v>4825</v>
      </c>
      <c r="H14" s="472" t="s">
        <v>4824</v>
      </c>
      <c r="I14" s="472">
        <v>250</v>
      </c>
      <c r="J14" s="472"/>
      <c r="K14" s="472">
        <v>250</v>
      </c>
      <c r="L14" s="472"/>
      <c r="M14" s="472"/>
      <c r="N14" s="472"/>
      <c r="O14" s="472"/>
      <c r="P14" s="472" t="s">
        <v>7</v>
      </c>
      <c r="Q14" s="472" t="s">
        <v>4823</v>
      </c>
      <c r="R14" s="472" t="s">
        <v>36</v>
      </c>
      <c r="S14" s="472" t="s">
        <v>43</v>
      </c>
      <c r="T14" s="472" t="s">
        <v>43</v>
      </c>
      <c r="U14" s="472" t="s">
        <v>38</v>
      </c>
      <c r="V14" s="135" t="s">
        <v>4822</v>
      </c>
      <c r="W14" s="135" t="s">
        <v>43</v>
      </c>
      <c r="X14" s="135"/>
      <c r="Y14" s="472" t="s">
        <v>212</v>
      </c>
      <c r="Z14" s="137" t="s">
        <v>1145</v>
      </c>
    </row>
    <row r="15" spans="1:33" ht="50.1" customHeight="1">
      <c r="A15" s="125">
        <v>11</v>
      </c>
      <c r="B15" s="125" t="s">
        <v>4373</v>
      </c>
      <c r="C15" s="125" t="s">
        <v>4762</v>
      </c>
      <c r="D15" s="472" t="s">
        <v>4821</v>
      </c>
      <c r="E15" s="472" t="s">
        <v>4820</v>
      </c>
      <c r="F15" s="480" t="s">
        <v>4819</v>
      </c>
      <c r="G15" s="472" t="s">
        <v>4818</v>
      </c>
      <c r="H15" s="472" t="s">
        <v>397</v>
      </c>
      <c r="I15" s="472">
        <f>SUM(J15:L15)</f>
        <v>1867.6000000000001</v>
      </c>
      <c r="J15" s="472">
        <v>58.8</v>
      </c>
      <c r="K15" s="472">
        <v>17.64</v>
      </c>
      <c r="L15" s="472">
        <v>1791.16</v>
      </c>
      <c r="M15" s="472"/>
      <c r="N15" s="472" t="s">
        <v>44</v>
      </c>
      <c r="O15" s="472" t="s">
        <v>45</v>
      </c>
      <c r="P15" s="472" t="s">
        <v>46</v>
      </c>
      <c r="Q15" s="472" t="s">
        <v>2</v>
      </c>
      <c r="R15" s="472" t="s">
        <v>36</v>
      </c>
      <c r="S15" s="472" t="s">
        <v>199</v>
      </c>
      <c r="T15" s="472" t="s">
        <v>4817</v>
      </c>
      <c r="U15" s="472" t="s">
        <v>38</v>
      </c>
      <c r="V15" s="135">
        <f>SUM(W15:X15)</f>
        <v>420</v>
      </c>
      <c r="W15" s="135">
        <v>420</v>
      </c>
      <c r="X15" s="135"/>
      <c r="Y15" s="472" t="s">
        <v>4816</v>
      </c>
      <c r="Z15" s="202" t="s">
        <v>1148</v>
      </c>
      <c r="AA15"/>
      <c r="AB15"/>
      <c r="AC15"/>
      <c r="AD15"/>
      <c r="AE15"/>
      <c r="AF15"/>
      <c r="AG15"/>
    </row>
    <row r="16" spans="1:33" ht="67.349999999999994" customHeight="1">
      <c r="A16" s="125">
        <v>12</v>
      </c>
      <c r="B16" s="125" t="s">
        <v>4373</v>
      </c>
      <c r="C16" s="125" t="s">
        <v>4762</v>
      </c>
      <c r="D16" s="472" t="s">
        <v>4815</v>
      </c>
      <c r="E16" s="472" t="s">
        <v>4814</v>
      </c>
      <c r="F16" s="480" t="s">
        <v>4813</v>
      </c>
      <c r="G16" s="472" t="s">
        <v>4812</v>
      </c>
      <c r="H16" s="472" t="s">
        <v>321</v>
      </c>
      <c r="I16" s="472">
        <v>230</v>
      </c>
      <c r="J16" s="472"/>
      <c r="K16" s="472">
        <v>30</v>
      </c>
      <c r="L16" s="472">
        <v>200</v>
      </c>
      <c r="M16" s="472"/>
      <c r="N16" s="472"/>
      <c r="O16" s="472"/>
      <c r="P16" s="472" t="s">
        <v>46</v>
      </c>
      <c r="Q16" s="472" t="s">
        <v>4811</v>
      </c>
      <c r="R16" s="472" t="s">
        <v>36</v>
      </c>
      <c r="S16" s="472" t="s">
        <v>246</v>
      </c>
      <c r="T16" s="472" t="s">
        <v>4810</v>
      </c>
      <c r="U16" s="472" t="s">
        <v>38</v>
      </c>
      <c r="V16" s="135">
        <f>SUM(W16:X16)</f>
        <v>320</v>
      </c>
      <c r="W16" s="135">
        <v>320</v>
      </c>
      <c r="X16" s="135"/>
      <c r="Y16" s="472" t="s">
        <v>4809</v>
      </c>
      <c r="Z16" s="202" t="s">
        <v>6056</v>
      </c>
      <c r="AA16"/>
      <c r="AB16"/>
      <c r="AC16"/>
      <c r="AD16"/>
      <c r="AE16"/>
      <c r="AF16"/>
      <c r="AG16"/>
    </row>
    <row r="17" spans="1:33" ht="54">
      <c r="A17" s="125">
        <v>13</v>
      </c>
      <c r="B17" s="125" t="s">
        <v>4373</v>
      </c>
      <c r="C17" s="125" t="s">
        <v>4762</v>
      </c>
      <c r="D17" s="472" t="s">
        <v>4808</v>
      </c>
      <c r="E17" s="472" t="s">
        <v>4807</v>
      </c>
      <c r="F17" s="480" t="s">
        <v>4806</v>
      </c>
      <c r="G17" s="472" t="s">
        <v>4805</v>
      </c>
      <c r="H17" s="472" t="s">
        <v>1222</v>
      </c>
      <c r="I17" s="472">
        <v>10</v>
      </c>
      <c r="J17" s="472"/>
      <c r="K17" s="472"/>
      <c r="L17" s="472">
        <v>10</v>
      </c>
      <c r="M17" s="472"/>
      <c r="N17" s="472"/>
      <c r="O17" s="472"/>
      <c r="P17" s="472" t="s">
        <v>5</v>
      </c>
      <c r="Q17" s="472" t="s">
        <v>4804</v>
      </c>
      <c r="R17" s="472" t="s">
        <v>36</v>
      </c>
      <c r="S17" s="472" t="s">
        <v>42</v>
      </c>
      <c r="T17" s="472" t="s">
        <v>49</v>
      </c>
      <c r="U17" s="472" t="s">
        <v>38</v>
      </c>
      <c r="V17" s="135">
        <f>SUM(W17:X17)</f>
        <v>30</v>
      </c>
      <c r="W17" s="135">
        <v>30</v>
      </c>
      <c r="X17" s="135"/>
      <c r="Y17" s="472" t="s">
        <v>4803</v>
      </c>
      <c r="Z17" s="202" t="s">
        <v>4802</v>
      </c>
      <c r="AA17"/>
      <c r="AB17"/>
      <c r="AC17"/>
      <c r="AD17"/>
      <c r="AE17"/>
      <c r="AF17"/>
      <c r="AG17"/>
    </row>
    <row r="18" spans="1:33" ht="50.1" customHeight="1">
      <c r="A18" s="125">
        <v>14</v>
      </c>
      <c r="B18" s="125" t="s">
        <v>4373</v>
      </c>
      <c r="C18" s="125" t="s">
        <v>4762</v>
      </c>
      <c r="D18" s="472" t="s">
        <v>4801</v>
      </c>
      <c r="E18" s="472" t="s">
        <v>1215</v>
      </c>
      <c r="F18" s="480" t="s">
        <v>4800</v>
      </c>
      <c r="G18" s="472" t="s">
        <v>4799</v>
      </c>
      <c r="H18" s="472" t="s">
        <v>321</v>
      </c>
      <c r="I18" s="472">
        <v>10</v>
      </c>
      <c r="J18" s="472"/>
      <c r="K18" s="472" t="s">
        <v>621</v>
      </c>
      <c r="L18" s="472">
        <v>10</v>
      </c>
      <c r="M18" s="472"/>
      <c r="N18" s="472"/>
      <c r="O18" s="472"/>
      <c r="P18" s="472" t="s">
        <v>50</v>
      </c>
      <c r="Q18" s="472" t="s">
        <v>4036</v>
      </c>
      <c r="R18" s="472" t="s">
        <v>36</v>
      </c>
      <c r="S18" s="472" t="s">
        <v>42</v>
      </c>
      <c r="T18" s="472" t="s">
        <v>49</v>
      </c>
      <c r="U18" s="472" t="s">
        <v>38</v>
      </c>
      <c r="V18" s="135">
        <f>SUM(W18:X18)</f>
        <v>10</v>
      </c>
      <c r="W18" s="135">
        <v>10</v>
      </c>
      <c r="X18" s="135"/>
      <c r="Y18" s="472" t="s">
        <v>4798</v>
      </c>
      <c r="Z18" s="202" t="s">
        <v>1148</v>
      </c>
      <c r="AA18"/>
      <c r="AB18"/>
      <c r="AC18"/>
      <c r="AD18"/>
      <c r="AE18"/>
      <c r="AF18"/>
      <c r="AG18"/>
    </row>
    <row r="19" spans="1:33" s="171" customFormat="1" ht="50.1" customHeight="1">
      <c r="A19" s="126">
        <v>15</v>
      </c>
      <c r="B19" s="126" t="s">
        <v>4373</v>
      </c>
      <c r="C19" s="126" t="s">
        <v>4762</v>
      </c>
      <c r="D19" s="473" t="s">
        <v>4797</v>
      </c>
      <c r="E19" s="473" t="s">
        <v>1444</v>
      </c>
      <c r="F19" s="476" t="s">
        <v>4796</v>
      </c>
      <c r="G19" s="473" t="s">
        <v>4795</v>
      </c>
      <c r="H19" s="473" t="s">
        <v>1222</v>
      </c>
      <c r="I19" s="143">
        <v>10</v>
      </c>
      <c r="J19" s="143"/>
      <c r="K19" s="143"/>
      <c r="L19" s="143">
        <v>10</v>
      </c>
      <c r="M19" s="143"/>
      <c r="N19" s="473"/>
      <c r="O19" s="473"/>
      <c r="P19" s="473" t="s">
        <v>31</v>
      </c>
      <c r="Q19" s="473" t="s">
        <v>4794</v>
      </c>
      <c r="R19" s="473" t="s">
        <v>36</v>
      </c>
      <c r="S19" s="473" t="s">
        <v>1278</v>
      </c>
      <c r="T19" s="473" t="s">
        <v>49</v>
      </c>
      <c r="U19" s="473" t="s">
        <v>38</v>
      </c>
      <c r="V19" s="144">
        <f>SUM(W19:X19)</f>
        <v>10</v>
      </c>
      <c r="W19" s="144">
        <v>10</v>
      </c>
      <c r="X19" s="144"/>
      <c r="Y19" s="473" t="s">
        <v>4793</v>
      </c>
      <c r="Z19" s="202" t="s">
        <v>1148</v>
      </c>
      <c r="AA19"/>
      <c r="AB19"/>
      <c r="AC19"/>
      <c r="AD19"/>
      <c r="AE19"/>
      <c r="AF19"/>
      <c r="AG19"/>
    </row>
    <row r="20" spans="1:33" ht="50.1" customHeight="1">
      <c r="A20" s="125">
        <v>16</v>
      </c>
      <c r="B20" s="125" t="s">
        <v>4373</v>
      </c>
      <c r="C20" s="472" t="s">
        <v>4762</v>
      </c>
      <c r="D20" s="472" t="s">
        <v>4792</v>
      </c>
      <c r="E20" s="472" t="s">
        <v>1018</v>
      </c>
      <c r="F20" s="313" t="s">
        <v>4791</v>
      </c>
      <c r="G20" s="472" t="s">
        <v>4790</v>
      </c>
      <c r="H20" s="472" t="s">
        <v>304</v>
      </c>
      <c r="I20" s="472">
        <v>10</v>
      </c>
      <c r="J20" s="472"/>
      <c r="K20" s="472"/>
      <c r="L20" s="472">
        <v>10</v>
      </c>
      <c r="M20" s="472"/>
      <c r="N20" s="472"/>
      <c r="O20" s="472"/>
      <c r="P20" s="472" t="s">
        <v>31</v>
      </c>
      <c r="Q20" s="472" t="s">
        <v>4789</v>
      </c>
      <c r="R20" s="472" t="s">
        <v>36</v>
      </c>
      <c r="S20" s="472" t="s">
        <v>42</v>
      </c>
      <c r="T20" s="472" t="s">
        <v>49</v>
      </c>
      <c r="U20" s="472" t="s">
        <v>38</v>
      </c>
      <c r="V20" s="135">
        <v>10</v>
      </c>
      <c r="W20" s="135">
        <v>10</v>
      </c>
      <c r="X20" s="135"/>
      <c r="Y20" s="472" t="s">
        <v>4788</v>
      </c>
      <c r="Z20" s="202" t="s">
        <v>1148</v>
      </c>
    </row>
    <row r="21" spans="1:33" ht="50.1" customHeight="1">
      <c r="A21" s="125">
        <v>17</v>
      </c>
      <c r="B21" s="125" t="s">
        <v>4373</v>
      </c>
      <c r="C21" s="472" t="s">
        <v>4762</v>
      </c>
      <c r="D21" s="125" t="s">
        <v>4787</v>
      </c>
      <c r="E21" s="472" t="s">
        <v>4786</v>
      </c>
      <c r="F21" s="480" t="s">
        <v>4785</v>
      </c>
      <c r="G21" s="472" t="s">
        <v>4784</v>
      </c>
      <c r="H21" s="472" t="s">
        <v>244</v>
      </c>
      <c r="I21" s="472">
        <v>500</v>
      </c>
      <c r="J21" s="472"/>
      <c r="K21" s="472">
        <v>500</v>
      </c>
      <c r="L21" s="472"/>
      <c r="M21" s="472"/>
      <c r="N21" s="472"/>
      <c r="O21" s="472"/>
      <c r="P21" s="472" t="s">
        <v>98</v>
      </c>
      <c r="Q21" s="472" t="s">
        <v>4783</v>
      </c>
      <c r="R21" s="472" t="s">
        <v>36</v>
      </c>
      <c r="S21" s="472" t="s">
        <v>4782</v>
      </c>
      <c r="T21" s="472" t="s">
        <v>49</v>
      </c>
      <c r="U21" s="472" t="s">
        <v>53</v>
      </c>
      <c r="V21" s="135">
        <f>SUM(W21:X21)</f>
        <v>35</v>
      </c>
      <c r="W21" s="135">
        <v>35</v>
      </c>
      <c r="X21" s="135"/>
      <c r="Y21" s="472" t="s">
        <v>4781</v>
      </c>
      <c r="Z21" s="202" t="s">
        <v>1148</v>
      </c>
    </row>
    <row r="22" spans="1:33" ht="50.1" customHeight="1">
      <c r="A22" s="125">
        <v>18</v>
      </c>
      <c r="B22" s="125" t="s">
        <v>4373</v>
      </c>
      <c r="C22" s="472" t="s">
        <v>4762</v>
      </c>
      <c r="D22" s="472" t="s">
        <v>4780</v>
      </c>
      <c r="E22" s="472" t="s">
        <v>54</v>
      </c>
      <c r="F22" s="480" t="s">
        <v>4779</v>
      </c>
      <c r="G22" s="472" t="s">
        <v>4778</v>
      </c>
      <c r="H22" s="472" t="s">
        <v>2819</v>
      </c>
      <c r="I22" s="472">
        <v>20</v>
      </c>
      <c r="J22" s="472"/>
      <c r="K22" s="472"/>
      <c r="L22" s="472">
        <v>20</v>
      </c>
      <c r="M22" s="472"/>
      <c r="N22" s="472"/>
      <c r="O22" s="472"/>
      <c r="P22" s="472" t="s">
        <v>7</v>
      </c>
      <c r="Q22" s="472" t="s">
        <v>4777</v>
      </c>
      <c r="R22" s="472" t="s">
        <v>4776</v>
      </c>
      <c r="S22" s="472" t="s">
        <v>55</v>
      </c>
      <c r="T22" s="472" t="s">
        <v>49</v>
      </c>
      <c r="U22" s="472" t="s">
        <v>38</v>
      </c>
      <c r="V22" s="135">
        <f>SUM(W22:X22)</f>
        <v>6</v>
      </c>
      <c r="W22" s="135">
        <v>6</v>
      </c>
      <c r="X22" s="135"/>
      <c r="Y22" s="472" t="s">
        <v>4775</v>
      </c>
      <c r="Z22" s="202" t="s">
        <v>1148</v>
      </c>
    </row>
    <row r="23" spans="1:33" s="171" customFormat="1" ht="50.1" customHeight="1">
      <c r="A23" s="126">
        <v>19</v>
      </c>
      <c r="B23" s="126" t="s">
        <v>4373</v>
      </c>
      <c r="C23" s="126" t="s">
        <v>4762</v>
      </c>
      <c r="D23" s="473" t="s">
        <v>4774</v>
      </c>
      <c r="E23" s="473" t="s">
        <v>4773</v>
      </c>
      <c r="F23" s="476" t="s">
        <v>4772</v>
      </c>
      <c r="G23" s="473" t="s">
        <v>4771</v>
      </c>
      <c r="H23" s="473" t="s">
        <v>887</v>
      </c>
      <c r="I23" s="473">
        <v>70</v>
      </c>
      <c r="J23" s="473"/>
      <c r="K23" s="473"/>
      <c r="L23" s="473">
        <v>20</v>
      </c>
      <c r="M23" s="473">
        <v>50</v>
      </c>
      <c r="N23" s="473"/>
      <c r="O23" s="473"/>
      <c r="P23" s="473" t="s">
        <v>6</v>
      </c>
      <c r="Q23" s="473" t="s">
        <v>4770</v>
      </c>
      <c r="R23" s="473" t="s">
        <v>36</v>
      </c>
      <c r="S23" s="473" t="s">
        <v>4769</v>
      </c>
      <c r="T23" s="473" t="s">
        <v>49</v>
      </c>
      <c r="U23" s="473" t="s">
        <v>38</v>
      </c>
      <c r="V23" s="136">
        <v>30</v>
      </c>
      <c r="W23" s="136">
        <v>30</v>
      </c>
      <c r="X23" s="138"/>
      <c r="Y23" s="473" t="s">
        <v>4768</v>
      </c>
      <c r="Z23" s="202" t="s">
        <v>1148</v>
      </c>
      <c r="AA23"/>
      <c r="AB23"/>
      <c r="AC23"/>
      <c r="AD23"/>
      <c r="AE23"/>
      <c r="AF23"/>
      <c r="AG23"/>
    </row>
    <row r="24" spans="1:33" ht="50.1" customHeight="1">
      <c r="A24" s="125">
        <v>20</v>
      </c>
      <c r="B24" s="125" t="s">
        <v>51</v>
      </c>
      <c r="C24" s="125" t="s">
        <v>4762</v>
      </c>
      <c r="D24" s="472" t="s">
        <v>4767</v>
      </c>
      <c r="E24" s="472" t="s">
        <v>4766</v>
      </c>
      <c r="F24" s="480" t="s">
        <v>4765</v>
      </c>
      <c r="G24" s="472" t="s">
        <v>4764</v>
      </c>
      <c r="H24" s="472" t="s">
        <v>285</v>
      </c>
      <c r="I24" s="472">
        <v>36</v>
      </c>
      <c r="J24" s="472"/>
      <c r="K24" s="472"/>
      <c r="L24" s="472">
        <v>30</v>
      </c>
      <c r="M24" s="472">
        <v>6</v>
      </c>
      <c r="N24" s="472"/>
      <c r="O24" s="472"/>
      <c r="P24" s="472" t="s">
        <v>41</v>
      </c>
      <c r="Q24" s="472" t="s">
        <v>57</v>
      </c>
      <c r="R24" s="472" t="s">
        <v>36</v>
      </c>
      <c r="S24" s="472" t="s">
        <v>1216</v>
      </c>
      <c r="T24" s="472" t="s">
        <v>49</v>
      </c>
      <c r="U24" s="472" t="s">
        <v>38</v>
      </c>
      <c r="V24" s="135">
        <v>17</v>
      </c>
      <c r="W24" s="135">
        <v>17</v>
      </c>
      <c r="X24" s="135"/>
      <c r="Y24" s="472" t="s">
        <v>4763</v>
      </c>
      <c r="Z24" s="202" t="s">
        <v>1148</v>
      </c>
      <c r="AA24"/>
      <c r="AB24"/>
      <c r="AC24"/>
      <c r="AD24"/>
      <c r="AE24"/>
      <c r="AF24"/>
      <c r="AG24"/>
    </row>
    <row r="25" spans="1:33" ht="50.1" customHeight="1">
      <c r="A25" s="125">
        <v>21</v>
      </c>
      <c r="B25" s="125" t="s">
        <v>51</v>
      </c>
      <c r="C25" s="125" t="s">
        <v>4762</v>
      </c>
      <c r="D25" s="472" t="s">
        <v>4761</v>
      </c>
      <c r="E25" s="472" t="s">
        <v>2821</v>
      </c>
      <c r="F25" s="480" t="s">
        <v>4760</v>
      </c>
      <c r="G25" s="472" t="s">
        <v>6045</v>
      </c>
      <c r="H25" s="472" t="s">
        <v>3167</v>
      </c>
      <c r="I25" s="472">
        <v>22</v>
      </c>
      <c r="J25" s="472"/>
      <c r="K25" s="472"/>
      <c r="L25" s="472">
        <v>20</v>
      </c>
      <c r="M25" s="472">
        <v>2</v>
      </c>
      <c r="N25" s="472"/>
      <c r="O25" s="472"/>
      <c r="P25" s="472" t="s">
        <v>6</v>
      </c>
      <c r="Q25" s="472" t="s">
        <v>4759</v>
      </c>
      <c r="R25" s="472" t="s">
        <v>36</v>
      </c>
      <c r="S25" s="472" t="s">
        <v>1216</v>
      </c>
      <c r="T25" s="472" t="s">
        <v>49</v>
      </c>
      <c r="U25" s="472" t="s">
        <v>38</v>
      </c>
      <c r="V25" s="135">
        <v>4</v>
      </c>
      <c r="W25" s="135">
        <v>4</v>
      </c>
      <c r="X25" s="135"/>
      <c r="Y25" s="472" t="s">
        <v>4758</v>
      </c>
      <c r="Z25" s="202" t="s">
        <v>1148</v>
      </c>
    </row>
    <row r="26" spans="1:33" ht="50.1" customHeight="1">
      <c r="A26" s="125">
        <v>22</v>
      </c>
      <c r="B26" s="125" t="s">
        <v>4373</v>
      </c>
      <c r="C26" s="125" t="s">
        <v>1160</v>
      </c>
      <c r="D26" s="472" t="s">
        <v>4757</v>
      </c>
      <c r="E26" s="472" t="s">
        <v>4756</v>
      </c>
      <c r="F26" s="480" t="s">
        <v>4755</v>
      </c>
      <c r="G26" s="472" t="s">
        <v>4695</v>
      </c>
      <c r="H26" s="472" t="s">
        <v>4196</v>
      </c>
      <c r="I26" s="472">
        <v>195</v>
      </c>
      <c r="J26" s="472"/>
      <c r="K26" s="472"/>
      <c r="L26" s="472">
        <v>195</v>
      </c>
      <c r="M26" s="472"/>
      <c r="N26" s="472"/>
      <c r="O26" s="472"/>
      <c r="P26" s="472" t="s">
        <v>5</v>
      </c>
      <c r="Q26" s="472" t="s">
        <v>130</v>
      </c>
      <c r="R26" s="472" t="s">
        <v>36</v>
      </c>
      <c r="S26" s="472" t="s">
        <v>1161</v>
      </c>
      <c r="T26" s="472" t="s">
        <v>49</v>
      </c>
      <c r="U26" s="472" t="s">
        <v>38</v>
      </c>
      <c r="V26" s="135">
        <v>2100</v>
      </c>
      <c r="W26" s="135">
        <v>2000</v>
      </c>
      <c r="X26" s="135">
        <v>100</v>
      </c>
      <c r="Y26" s="472" t="s">
        <v>4693</v>
      </c>
      <c r="Z26" s="202" t="s">
        <v>1148</v>
      </c>
      <c r="AA26"/>
      <c r="AB26"/>
      <c r="AC26"/>
      <c r="AD26"/>
      <c r="AE26"/>
      <c r="AF26"/>
      <c r="AG26"/>
    </row>
    <row r="27" spans="1:33" ht="54">
      <c r="A27" s="125">
        <v>23</v>
      </c>
      <c r="B27" s="125" t="s">
        <v>4373</v>
      </c>
      <c r="C27" s="125" t="s">
        <v>1160</v>
      </c>
      <c r="D27" s="472" t="s">
        <v>4754</v>
      </c>
      <c r="E27" s="472" t="s">
        <v>4753</v>
      </c>
      <c r="F27" s="480" t="s">
        <v>4752</v>
      </c>
      <c r="G27" s="472" t="s">
        <v>4751</v>
      </c>
      <c r="H27" s="472" t="s">
        <v>4750</v>
      </c>
      <c r="I27" s="472">
        <v>12</v>
      </c>
      <c r="J27" s="472"/>
      <c r="K27" s="472"/>
      <c r="L27" s="472">
        <v>7</v>
      </c>
      <c r="M27" s="472">
        <v>5</v>
      </c>
      <c r="N27" s="472"/>
      <c r="O27" s="472"/>
      <c r="P27" s="472" t="s">
        <v>5</v>
      </c>
      <c r="Q27" s="472" t="s">
        <v>4749</v>
      </c>
      <c r="R27" s="472" t="s">
        <v>36</v>
      </c>
      <c r="S27" s="472" t="s">
        <v>1161</v>
      </c>
      <c r="T27" s="472" t="s">
        <v>49</v>
      </c>
      <c r="U27" s="472" t="s">
        <v>38</v>
      </c>
      <c r="V27" s="135">
        <v>40</v>
      </c>
      <c r="W27" s="135">
        <v>40</v>
      </c>
      <c r="X27" s="135"/>
      <c r="Y27" s="472" t="s">
        <v>4707</v>
      </c>
      <c r="Z27" s="202" t="s">
        <v>1148</v>
      </c>
      <c r="AA27"/>
      <c r="AB27"/>
      <c r="AC27"/>
      <c r="AD27"/>
      <c r="AE27"/>
      <c r="AF27"/>
      <c r="AG27"/>
    </row>
    <row r="28" spans="1:33" ht="50.1" customHeight="1">
      <c r="A28" s="125">
        <v>24</v>
      </c>
      <c r="B28" s="125" t="s">
        <v>4373</v>
      </c>
      <c r="C28" s="125" t="s">
        <v>1160</v>
      </c>
      <c r="D28" s="472" t="s">
        <v>4748</v>
      </c>
      <c r="E28" s="472" t="s">
        <v>1420</v>
      </c>
      <c r="F28" s="480" t="s">
        <v>4747</v>
      </c>
      <c r="G28" s="472" t="s">
        <v>1150</v>
      </c>
      <c r="H28" s="472" t="s">
        <v>131</v>
      </c>
      <c r="I28" s="472">
        <v>12</v>
      </c>
      <c r="J28" s="472"/>
      <c r="K28" s="472"/>
      <c r="L28" s="472"/>
      <c r="M28" s="472">
        <v>12</v>
      </c>
      <c r="N28" s="472"/>
      <c r="O28" s="472"/>
      <c r="P28" s="472" t="s">
        <v>5</v>
      </c>
      <c r="Q28" s="472" t="s">
        <v>4746</v>
      </c>
      <c r="R28" s="472" t="s">
        <v>36</v>
      </c>
      <c r="S28" s="472" t="s">
        <v>68</v>
      </c>
      <c r="T28" s="472" t="s">
        <v>49</v>
      </c>
      <c r="U28" s="472" t="s">
        <v>38</v>
      </c>
      <c r="V28" s="135">
        <f>SUM(W28:X28)</f>
        <v>58</v>
      </c>
      <c r="W28" s="135">
        <v>58</v>
      </c>
      <c r="X28" s="135" t="s">
        <v>43</v>
      </c>
      <c r="Y28" s="472" t="s">
        <v>4707</v>
      </c>
      <c r="Z28" s="202" t="s">
        <v>1148</v>
      </c>
      <c r="AA28"/>
      <c r="AB28"/>
      <c r="AC28"/>
      <c r="AD28"/>
      <c r="AE28"/>
      <c r="AF28"/>
      <c r="AG28"/>
    </row>
    <row r="29" spans="1:33" ht="50.1" customHeight="1">
      <c r="A29" s="125">
        <v>25</v>
      </c>
      <c r="B29" s="125" t="s">
        <v>4373</v>
      </c>
      <c r="C29" s="125" t="s">
        <v>1160</v>
      </c>
      <c r="D29" s="472" t="s">
        <v>4745</v>
      </c>
      <c r="E29" s="472" t="s">
        <v>3130</v>
      </c>
      <c r="F29" s="480" t="s">
        <v>4744</v>
      </c>
      <c r="G29" s="472" t="s">
        <v>4743</v>
      </c>
      <c r="H29" s="472" t="s">
        <v>179</v>
      </c>
      <c r="I29" s="472">
        <v>50</v>
      </c>
      <c r="J29" s="472">
        <v>0</v>
      </c>
      <c r="K29" s="472">
        <v>0</v>
      </c>
      <c r="L29" s="472">
        <v>50</v>
      </c>
      <c r="M29" s="472">
        <v>50</v>
      </c>
      <c r="N29" s="472"/>
      <c r="O29" s="472"/>
      <c r="P29" s="472" t="s">
        <v>41</v>
      </c>
      <c r="Q29" s="472" t="s">
        <v>165</v>
      </c>
      <c r="R29" s="472" t="s">
        <v>36</v>
      </c>
      <c r="S29" s="472" t="s">
        <v>1161</v>
      </c>
      <c r="T29" s="472" t="s">
        <v>49</v>
      </c>
      <c r="U29" s="472" t="s">
        <v>38</v>
      </c>
      <c r="V29" s="135"/>
      <c r="W29" s="135"/>
      <c r="X29" s="135"/>
      <c r="Y29" s="472" t="s">
        <v>4693</v>
      </c>
      <c r="Z29" s="202" t="s">
        <v>1148</v>
      </c>
      <c r="AA29"/>
      <c r="AB29"/>
      <c r="AC29"/>
      <c r="AD29"/>
      <c r="AE29"/>
      <c r="AF29"/>
      <c r="AG29"/>
    </row>
    <row r="30" spans="1:33" s="254" customFormat="1" ht="50.1" customHeight="1">
      <c r="A30" s="125">
        <v>26</v>
      </c>
      <c r="B30" s="125" t="s">
        <v>4373</v>
      </c>
      <c r="C30" s="125" t="s">
        <v>1160</v>
      </c>
      <c r="D30" s="472" t="s">
        <v>4742</v>
      </c>
      <c r="E30" s="472" t="s">
        <v>4741</v>
      </c>
      <c r="F30" s="480" t="s">
        <v>4740</v>
      </c>
      <c r="G30" s="472" t="s">
        <v>4739</v>
      </c>
      <c r="H30" s="472" t="s">
        <v>4694</v>
      </c>
      <c r="I30" s="472">
        <v>2049</v>
      </c>
      <c r="J30" s="472" t="s">
        <v>58</v>
      </c>
      <c r="K30" s="472">
        <v>395</v>
      </c>
      <c r="L30" s="472">
        <v>1534</v>
      </c>
      <c r="M30" s="472">
        <v>120</v>
      </c>
      <c r="N30" s="472" t="s">
        <v>35</v>
      </c>
      <c r="O30" s="472" t="s">
        <v>3008</v>
      </c>
      <c r="P30" s="472" t="s">
        <v>52</v>
      </c>
      <c r="Q30" s="472" t="s">
        <v>4738</v>
      </c>
      <c r="R30" s="472" t="s">
        <v>36</v>
      </c>
      <c r="S30" s="472" t="s">
        <v>4737</v>
      </c>
      <c r="T30" s="472" t="s">
        <v>107</v>
      </c>
      <c r="U30" s="472" t="s">
        <v>4700</v>
      </c>
      <c r="V30" s="135">
        <f>SUM(W30:X30)</f>
        <v>4788</v>
      </c>
      <c r="W30" s="135">
        <v>4600</v>
      </c>
      <c r="X30" s="135">
        <v>188</v>
      </c>
      <c r="Y30" s="472" t="s">
        <v>4736</v>
      </c>
      <c r="Z30" s="202" t="s">
        <v>1148</v>
      </c>
      <c r="AA30"/>
      <c r="AB30"/>
      <c r="AC30"/>
      <c r="AD30"/>
      <c r="AE30"/>
      <c r="AF30"/>
      <c r="AG30"/>
    </row>
    <row r="31" spans="1:33" ht="50.1" customHeight="1">
      <c r="A31" s="125">
        <v>27</v>
      </c>
      <c r="B31" s="125" t="s">
        <v>4373</v>
      </c>
      <c r="C31" s="125" t="s">
        <v>1160</v>
      </c>
      <c r="D31" s="472" t="s">
        <v>4735</v>
      </c>
      <c r="E31" s="472" t="s">
        <v>4734</v>
      </c>
      <c r="F31" s="480" t="s">
        <v>4733</v>
      </c>
      <c r="G31" s="472" t="s">
        <v>4695</v>
      </c>
      <c r="H31" s="472" t="s">
        <v>40</v>
      </c>
      <c r="I31" s="472">
        <v>120</v>
      </c>
      <c r="J31" s="472"/>
      <c r="K31" s="472"/>
      <c r="L31" s="472">
        <v>100</v>
      </c>
      <c r="M31" s="472">
        <v>20</v>
      </c>
      <c r="N31" s="472"/>
      <c r="O31" s="472"/>
      <c r="P31" s="472" t="s">
        <v>41</v>
      </c>
      <c r="Q31" s="472" t="s">
        <v>4637</v>
      </c>
      <c r="R31" s="472" t="s">
        <v>36</v>
      </c>
      <c r="S31" s="472" t="s">
        <v>1161</v>
      </c>
      <c r="T31" s="472" t="s">
        <v>49</v>
      </c>
      <c r="U31" s="472" t="s">
        <v>4732</v>
      </c>
      <c r="V31" s="135">
        <v>300</v>
      </c>
      <c r="W31" s="135">
        <v>200</v>
      </c>
      <c r="X31" s="135">
        <v>100</v>
      </c>
      <c r="Y31" s="472" t="s">
        <v>4693</v>
      </c>
      <c r="Z31" s="202" t="s">
        <v>1148</v>
      </c>
      <c r="AA31"/>
      <c r="AB31"/>
      <c r="AC31"/>
      <c r="AD31"/>
      <c r="AE31"/>
      <c r="AF31"/>
      <c r="AG31"/>
    </row>
    <row r="32" spans="1:33" ht="50.1" customHeight="1">
      <c r="A32" s="125">
        <v>28</v>
      </c>
      <c r="B32" s="125" t="s">
        <v>4373</v>
      </c>
      <c r="C32" s="125" t="s">
        <v>1160</v>
      </c>
      <c r="D32" s="472" t="s">
        <v>4731</v>
      </c>
      <c r="E32" s="472" t="s">
        <v>1469</v>
      </c>
      <c r="F32" s="480" t="s">
        <v>4730</v>
      </c>
      <c r="G32" s="472" t="s">
        <v>4729</v>
      </c>
      <c r="H32" s="472" t="s">
        <v>1285</v>
      </c>
      <c r="I32" s="472">
        <f>SUM(J32:M32)</f>
        <v>180</v>
      </c>
      <c r="J32" s="472"/>
      <c r="K32" s="472">
        <v>64</v>
      </c>
      <c r="L32" s="472">
        <v>116</v>
      </c>
      <c r="M32" s="472"/>
      <c r="N32" s="472"/>
      <c r="O32" s="472"/>
      <c r="P32" s="472" t="s">
        <v>46</v>
      </c>
      <c r="Q32" s="472" t="s">
        <v>4728</v>
      </c>
      <c r="R32" s="472" t="s">
        <v>36</v>
      </c>
      <c r="S32" s="472" t="s">
        <v>68</v>
      </c>
      <c r="T32" s="472" t="s">
        <v>49</v>
      </c>
      <c r="U32" s="472" t="s">
        <v>4700</v>
      </c>
      <c r="V32" s="300">
        <v>250</v>
      </c>
      <c r="W32" s="300">
        <v>200</v>
      </c>
      <c r="X32" s="135">
        <v>50</v>
      </c>
      <c r="Y32" s="472" t="s">
        <v>4727</v>
      </c>
      <c r="Z32" s="202" t="s">
        <v>4337</v>
      </c>
      <c r="AA32"/>
      <c r="AB32"/>
      <c r="AC32"/>
      <c r="AD32"/>
      <c r="AE32"/>
      <c r="AF32"/>
      <c r="AG32"/>
    </row>
    <row r="33" spans="1:33" ht="50.1" customHeight="1">
      <c r="A33" s="125">
        <v>29</v>
      </c>
      <c r="B33" s="125" t="s">
        <v>4373</v>
      </c>
      <c r="C33" s="125" t="s">
        <v>1160</v>
      </c>
      <c r="D33" s="472" t="s">
        <v>4726</v>
      </c>
      <c r="E33" s="472" t="s">
        <v>4722</v>
      </c>
      <c r="F33" s="480" t="s">
        <v>4725</v>
      </c>
      <c r="G33" s="472" t="s">
        <v>4695</v>
      </c>
      <c r="H33" s="472" t="s">
        <v>4724</v>
      </c>
      <c r="I33" s="472">
        <v>350</v>
      </c>
      <c r="J33" s="472"/>
      <c r="K33" s="472"/>
      <c r="L33" s="472">
        <v>350</v>
      </c>
      <c r="M33" s="472"/>
      <c r="N33" s="472"/>
      <c r="O33" s="472"/>
      <c r="P33" s="472" t="s">
        <v>46</v>
      </c>
      <c r="Q33" s="472" t="s">
        <v>132</v>
      </c>
      <c r="R33" s="472" t="s">
        <v>36</v>
      </c>
      <c r="S33" s="472" t="s">
        <v>1161</v>
      </c>
      <c r="T33" s="472" t="s">
        <v>49</v>
      </c>
      <c r="U33" s="472" t="s">
        <v>4700</v>
      </c>
      <c r="V33" s="135">
        <v>2000</v>
      </c>
      <c r="W33" s="135">
        <v>1800</v>
      </c>
      <c r="X33" s="135">
        <v>200</v>
      </c>
      <c r="Y33" s="472" t="s">
        <v>4693</v>
      </c>
      <c r="Z33" s="202" t="s">
        <v>1148</v>
      </c>
      <c r="AA33"/>
      <c r="AB33"/>
      <c r="AC33"/>
      <c r="AD33"/>
      <c r="AE33"/>
      <c r="AF33"/>
      <c r="AG33"/>
    </row>
    <row r="34" spans="1:33" ht="50.1" customHeight="1">
      <c r="A34" s="125">
        <v>30</v>
      </c>
      <c r="B34" s="125" t="s">
        <v>4373</v>
      </c>
      <c r="C34" s="125" t="s">
        <v>1160</v>
      </c>
      <c r="D34" s="472" t="s">
        <v>4723</v>
      </c>
      <c r="E34" s="472" t="s">
        <v>4722</v>
      </c>
      <c r="F34" s="480" t="s">
        <v>4721</v>
      </c>
      <c r="G34" s="472" t="s">
        <v>4720</v>
      </c>
      <c r="H34" s="472" t="s">
        <v>3203</v>
      </c>
      <c r="I34" s="472">
        <v>15</v>
      </c>
      <c r="J34" s="472"/>
      <c r="K34" s="472"/>
      <c r="L34" s="472">
        <v>10</v>
      </c>
      <c r="M34" s="472">
        <v>5</v>
      </c>
      <c r="N34" s="472"/>
      <c r="O34" s="472"/>
      <c r="P34" s="472" t="s">
        <v>6</v>
      </c>
      <c r="Q34" s="472" t="s">
        <v>59</v>
      </c>
      <c r="R34" s="472" t="s">
        <v>36</v>
      </c>
      <c r="S34" s="472" t="s">
        <v>68</v>
      </c>
      <c r="T34" s="472" t="s">
        <v>49</v>
      </c>
      <c r="U34" s="472" t="s">
        <v>4700</v>
      </c>
      <c r="V34" s="135">
        <v>100</v>
      </c>
      <c r="W34" s="135">
        <v>90</v>
      </c>
      <c r="X34" s="135">
        <v>10</v>
      </c>
      <c r="Y34" s="472" t="s">
        <v>4719</v>
      </c>
      <c r="Z34" s="202" t="s">
        <v>1148</v>
      </c>
      <c r="AA34"/>
      <c r="AB34"/>
      <c r="AC34"/>
      <c r="AD34"/>
      <c r="AE34"/>
      <c r="AF34"/>
      <c r="AG34"/>
    </row>
    <row r="35" spans="1:33" s="171" customFormat="1" ht="50.1" customHeight="1">
      <c r="A35" s="126">
        <v>31</v>
      </c>
      <c r="B35" s="126" t="s">
        <v>4373</v>
      </c>
      <c r="C35" s="473" t="s">
        <v>1160</v>
      </c>
      <c r="D35" s="473" t="s">
        <v>4718</v>
      </c>
      <c r="E35" s="473" t="s">
        <v>4717</v>
      </c>
      <c r="F35" s="142" t="s">
        <v>4716</v>
      </c>
      <c r="G35" s="473" t="s">
        <v>4715</v>
      </c>
      <c r="H35" s="473" t="s">
        <v>1315</v>
      </c>
      <c r="I35" s="145">
        <v>300</v>
      </c>
      <c r="J35" s="145"/>
      <c r="K35" s="145"/>
      <c r="L35" s="145">
        <v>300</v>
      </c>
      <c r="M35" s="145"/>
      <c r="N35" s="473" t="s">
        <v>35</v>
      </c>
      <c r="O35" s="473" t="s">
        <v>156</v>
      </c>
      <c r="P35" s="473" t="s">
        <v>41</v>
      </c>
      <c r="Q35" s="473" t="s">
        <v>4714</v>
      </c>
      <c r="R35" s="473" t="s">
        <v>36</v>
      </c>
      <c r="S35" s="476" t="s">
        <v>42</v>
      </c>
      <c r="T35" s="473" t="s">
        <v>49</v>
      </c>
      <c r="U35" s="476" t="s">
        <v>4700</v>
      </c>
      <c r="V35" s="144">
        <f>SUM(W35:X35)</f>
        <v>5149</v>
      </c>
      <c r="W35" s="144">
        <v>5149</v>
      </c>
      <c r="X35" s="136"/>
      <c r="Y35" s="473" t="s">
        <v>4713</v>
      </c>
      <c r="Z35" s="202" t="s">
        <v>1148</v>
      </c>
    </row>
    <row r="36" spans="1:33" ht="50.1" customHeight="1">
      <c r="A36" s="125">
        <v>32</v>
      </c>
      <c r="B36" s="125" t="s">
        <v>4373</v>
      </c>
      <c r="C36" s="472" t="s">
        <v>1160</v>
      </c>
      <c r="D36" s="125" t="s">
        <v>4712</v>
      </c>
      <c r="E36" s="472" t="s">
        <v>4711</v>
      </c>
      <c r="F36" s="480" t="s">
        <v>4710</v>
      </c>
      <c r="G36" s="472" t="s">
        <v>4709</v>
      </c>
      <c r="H36" s="472" t="s">
        <v>4708</v>
      </c>
      <c r="I36" s="314">
        <v>100</v>
      </c>
      <c r="J36" s="314"/>
      <c r="K36" s="314"/>
      <c r="L36" s="314">
        <v>80</v>
      </c>
      <c r="M36" s="314">
        <v>20</v>
      </c>
      <c r="N36" s="472"/>
      <c r="O36" s="472"/>
      <c r="P36" s="472" t="s">
        <v>6</v>
      </c>
      <c r="Q36" s="472" t="s">
        <v>4645</v>
      </c>
      <c r="R36" s="472" t="s">
        <v>36</v>
      </c>
      <c r="S36" s="480" t="s">
        <v>68</v>
      </c>
      <c r="T36" s="472" t="s">
        <v>49</v>
      </c>
      <c r="U36" s="480" t="s">
        <v>4700</v>
      </c>
      <c r="V36" s="180">
        <v>300</v>
      </c>
      <c r="W36" s="180">
        <v>290</v>
      </c>
      <c r="X36" s="135">
        <v>10</v>
      </c>
      <c r="Y36" s="472" t="s">
        <v>4707</v>
      </c>
      <c r="Z36" s="202" t="s">
        <v>1148</v>
      </c>
    </row>
    <row r="37" spans="1:33" s="171" customFormat="1" ht="50.1" customHeight="1">
      <c r="A37" s="126">
        <v>33</v>
      </c>
      <c r="B37" s="126" t="s">
        <v>4373</v>
      </c>
      <c r="C37" s="473" t="s">
        <v>1160</v>
      </c>
      <c r="D37" s="473" t="s">
        <v>4706</v>
      </c>
      <c r="E37" s="473" t="s">
        <v>4705</v>
      </c>
      <c r="F37" s="476" t="s">
        <v>4704</v>
      </c>
      <c r="G37" s="473" t="s">
        <v>4703</v>
      </c>
      <c r="H37" s="473" t="s">
        <v>4702</v>
      </c>
      <c r="I37" s="145">
        <v>30</v>
      </c>
      <c r="J37" s="145"/>
      <c r="K37" s="145">
        <v>15</v>
      </c>
      <c r="L37" s="145">
        <v>15</v>
      </c>
      <c r="M37" s="145"/>
      <c r="N37" s="473"/>
      <c r="O37" s="473"/>
      <c r="P37" s="473" t="s">
        <v>6</v>
      </c>
      <c r="Q37" s="473" t="s">
        <v>4701</v>
      </c>
      <c r="R37" s="473" t="s">
        <v>36</v>
      </c>
      <c r="S37" s="476" t="s">
        <v>68</v>
      </c>
      <c r="T37" s="473" t="s">
        <v>49</v>
      </c>
      <c r="U37" s="476" t="s">
        <v>4700</v>
      </c>
      <c r="V37" s="144">
        <v>700</v>
      </c>
      <c r="W37" s="144">
        <v>700</v>
      </c>
      <c r="X37" s="136"/>
      <c r="Y37" s="473" t="s">
        <v>4699</v>
      </c>
      <c r="Z37" s="481"/>
    </row>
    <row r="38" spans="1:33" s="171" customFormat="1" ht="50.1" customHeight="1">
      <c r="A38" s="126">
        <v>34</v>
      </c>
      <c r="B38" s="126" t="s">
        <v>4373</v>
      </c>
      <c r="C38" s="126" t="s">
        <v>1160</v>
      </c>
      <c r="D38" s="473" t="s">
        <v>4698</v>
      </c>
      <c r="E38" s="473" t="s">
        <v>4697</v>
      </c>
      <c r="F38" s="476" t="s">
        <v>4696</v>
      </c>
      <c r="G38" s="473" t="s">
        <v>4695</v>
      </c>
      <c r="H38" s="473" t="s">
        <v>4694</v>
      </c>
      <c r="I38" s="145">
        <v>109</v>
      </c>
      <c r="J38" s="146"/>
      <c r="K38" s="146"/>
      <c r="L38" s="146">
        <v>109</v>
      </c>
      <c r="M38" s="146"/>
      <c r="N38" s="126"/>
      <c r="O38" s="126"/>
      <c r="P38" s="126" t="s">
        <v>5</v>
      </c>
      <c r="Q38" s="126" t="s">
        <v>1276</v>
      </c>
      <c r="R38" s="473" t="s">
        <v>36</v>
      </c>
      <c r="S38" s="476" t="s">
        <v>1161</v>
      </c>
      <c r="T38" s="473" t="s">
        <v>49</v>
      </c>
      <c r="U38" s="476"/>
      <c r="V38" s="144">
        <v>3000</v>
      </c>
      <c r="W38" s="144">
        <v>2900</v>
      </c>
      <c r="X38" s="136">
        <v>100</v>
      </c>
      <c r="Y38" s="473" t="s">
        <v>4693</v>
      </c>
      <c r="Z38" s="481"/>
    </row>
    <row r="39" spans="1:33" s="171" customFormat="1" ht="50.1" customHeight="1">
      <c r="A39" s="126">
        <v>35</v>
      </c>
      <c r="B39" s="126" t="s">
        <v>51</v>
      </c>
      <c r="C39" s="473" t="s">
        <v>4683</v>
      </c>
      <c r="D39" s="473" t="s">
        <v>4692</v>
      </c>
      <c r="E39" s="473" t="s">
        <v>4691</v>
      </c>
      <c r="F39" s="476" t="s">
        <v>4690</v>
      </c>
      <c r="G39" s="473" t="s">
        <v>1468</v>
      </c>
      <c r="H39" s="473" t="s">
        <v>4689</v>
      </c>
      <c r="I39" s="145">
        <v>11</v>
      </c>
      <c r="J39" s="145"/>
      <c r="K39" s="145"/>
      <c r="L39" s="145">
        <v>10</v>
      </c>
      <c r="M39" s="145">
        <v>1</v>
      </c>
      <c r="N39" s="473"/>
      <c r="O39" s="473"/>
      <c r="P39" s="473" t="s">
        <v>48</v>
      </c>
      <c r="Q39" s="473" t="s">
        <v>3793</v>
      </c>
      <c r="R39" s="473" t="s">
        <v>36</v>
      </c>
      <c r="S39" s="476" t="s">
        <v>1277</v>
      </c>
      <c r="T39" s="473" t="s">
        <v>49</v>
      </c>
      <c r="U39" s="476" t="s">
        <v>38</v>
      </c>
      <c r="V39" s="144">
        <f>SUM(W39:X39)</f>
        <v>2.492</v>
      </c>
      <c r="W39" s="144">
        <v>2.492</v>
      </c>
      <c r="X39" s="136"/>
      <c r="Y39" s="473" t="s">
        <v>4688</v>
      </c>
      <c r="Z39" s="202" t="s">
        <v>1148</v>
      </c>
      <c r="AA39"/>
      <c r="AB39"/>
      <c r="AC39"/>
      <c r="AD39"/>
      <c r="AE39"/>
      <c r="AF39"/>
      <c r="AG39"/>
    </row>
    <row r="40" spans="1:33" ht="50.1" customHeight="1">
      <c r="A40" s="125">
        <v>36</v>
      </c>
      <c r="B40" s="125" t="s">
        <v>51</v>
      </c>
      <c r="C40" s="125" t="s">
        <v>4683</v>
      </c>
      <c r="D40" s="472" t="s">
        <v>4687</v>
      </c>
      <c r="E40" s="472" t="s">
        <v>4686</v>
      </c>
      <c r="F40" s="480" t="s">
        <v>4685</v>
      </c>
      <c r="G40" s="472" t="s">
        <v>4684</v>
      </c>
      <c r="H40" s="472" t="s">
        <v>43</v>
      </c>
      <c r="I40" s="314">
        <v>200</v>
      </c>
      <c r="J40" s="324"/>
      <c r="K40" s="324"/>
      <c r="L40" s="324">
        <v>200</v>
      </c>
      <c r="M40" s="324"/>
      <c r="N40" s="125"/>
      <c r="O40" s="125"/>
      <c r="P40" s="125" t="s">
        <v>7</v>
      </c>
      <c r="Q40" s="125" t="s">
        <v>59</v>
      </c>
      <c r="R40" s="472" t="s">
        <v>36</v>
      </c>
      <c r="S40" s="480" t="s">
        <v>55</v>
      </c>
      <c r="T40" s="472" t="s">
        <v>49</v>
      </c>
      <c r="U40" s="480" t="s">
        <v>38</v>
      </c>
      <c r="V40" s="180">
        <f>SUM(W40:X40)</f>
        <v>50</v>
      </c>
      <c r="W40" s="180">
        <v>50</v>
      </c>
      <c r="X40" s="135"/>
      <c r="Y40" s="472" t="s">
        <v>59</v>
      </c>
      <c r="Z40" s="202" t="s">
        <v>1148</v>
      </c>
      <c r="AA40"/>
      <c r="AB40"/>
      <c r="AC40"/>
      <c r="AD40"/>
      <c r="AE40"/>
      <c r="AF40"/>
      <c r="AG40"/>
    </row>
    <row r="41" spans="1:33" ht="50.1" customHeight="1">
      <c r="A41" s="125">
        <v>37</v>
      </c>
      <c r="B41" s="125" t="s">
        <v>51</v>
      </c>
      <c r="C41" s="125" t="s">
        <v>4683</v>
      </c>
      <c r="D41" s="391" t="s">
        <v>4682</v>
      </c>
      <c r="E41" s="391" t="s">
        <v>886</v>
      </c>
      <c r="F41" s="392" t="s">
        <v>4681</v>
      </c>
      <c r="G41" s="472" t="s">
        <v>4680</v>
      </c>
      <c r="H41" s="391" t="s">
        <v>4679</v>
      </c>
      <c r="I41" s="472">
        <v>550</v>
      </c>
      <c r="J41" s="125"/>
      <c r="K41" s="125" t="s">
        <v>621</v>
      </c>
      <c r="L41" s="125">
        <v>550</v>
      </c>
      <c r="M41" s="125"/>
      <c r="N41" s="125"/>
      <c r="O41" s="125"/>
      <c r="P41" s="125" t="s">
        <v>50</v>
      </c>
      <c r="Q41" s="125"/>
      <c r="R41" s="472" t="s">
        <v>36</v>
      </c>
      <c r="S41" s="391" t="s">
        <v>55</v>
      </c>
      <c r="T41" s="125" t="s">
        <v>49</v>
      </c>
      <c r="U41" s="391" t="s">
        <v>38</v>
      </c>
      <c r="V41" s="135">
        <f>SUM(W41:X41)</f>
        <v>130</v>
      </c>
      <c r="W41" s="393">
        <v>130</v>
      </c>
      <c r="X41" s="393"/>
      <c r="Y41" s="391" t="s">
        <v>445</v>
      </c>
      <c r="Z41" s="202" t="s">
        <v>1148</v>
      </c>
    </row>
    <row r="42" spans="1:33" ht="54" hidden="1">
      <c r="A42" s="125">
        <v>38</v>
      </c>
      <c r="B42" s="125" t="s">
        <v>51</v>
      </c>
      <c r="C42" s="125" t="s">
        <v>4672</v>
      </c>
      <c r="D42" s="472" t="s">
        <v>4678</v>
      </c>
      <c r="E42" s="472" t="s">
        <v>4677</v>
      </c>
      <c r="F42" s="313" t="s">
        <v>4676</v>
      </c>
      <c r="G42" s="472" t="s">
        <v>4669</v>
      </c>
      <c r="H42" s="472" t="s">
        <v>4675</v>
      </c>
      <c r="I42" s="472">
        <v>1324</v>
      </c>
      <c r="J42" s="472"/>
      <c r="K42" s="472"/>
      <c r="L42" s="472">
        <v>1174</v>
      </c>
      <c r="M42" s="472">
        <v>150</v>
      </c>
      <c r="N42" s="472"/>
      <c r="O42" s="472"/>
      <c r="P42" s="472" t="s">
        <v>48</v>
      </c>
      <c r="Q42" s="472" t="s">
        <v>4674</v>
      </c>
      <c r="R42" s="472" t="s">
        <v>4666</v>
      </c>
      <c r="S42" s="472" t="s">
        <v>361</v>
      </c>
      <c r="T42" s="472" t="s">
        <v>49</v>
      </c>
      <c r="U42" s="472" t="s">
        <v>356</v>
      </c>
      <c r="V42" s="135">
        <f>SUM(W42:X42)</f>
        <v>500</v>
      </c>
      <c r="W42" s="135">
        <v>500</v>
      </c>
      <c r="X42" s="135"/>
      <c r="Y42" s="472" t="s">
        <v>4673</v>
      </c>
      <c r="Z42" s="137" t="s">
        <v>1145</v>
      </c>
    </row>
    <row r="43" spans="1:33" ht="50.1" customHeight="1">
      <c r="A43" s="125">
        <v>39</v>
      </c>
      <c r="B43" s="125" t="s">
        <v>4373</v>
      </c>
      <c r="C43" s="125" t="s">
        <v>4672</v>
      </c>
      <c r="D43" s="472" t="s">
        <v>4671</v>
      </c>
      <c r="E43" s="472" t="s">
        <v>3195</v>
      </c>
      <c r="F43" s="480" t="s">
        <v>4670</v>
      </c>
      <c r="G43" s="472" t="s">
        <v>4669</v>
      </c>
      <c r="H43" s="472" t="s">
        <v>4668</v>
      </c>
      <c r="I43" s="472">
        <v>686</v>
      </c>
      <c r="J43" s="472"/>
      <c r="K43" s="472"/>
      <c r="L43" s="472">
        <v>688</v>
      </c>
      <c r="M43" s="472"/>
      <c r="N43" s="472"/>
      <c r="O43" s="472"/>
      <c r="P43" s="472" t="s">
        <v>5</v>
      </c>
      <c r="Q43" s="472" t="s">
        <v>4667</v>
      </c>
      <c r="R43" s="472" t="s">
        <v>4666</v>
      </c>
      <c r="S43" s="472" t="s">
        <v>361</v>
      </c>
      <c r="T43" s="472" t="s">
        <v>49</v>
      </c>
      <c r="U43" s="472" t="s">
        <v>356</v>
      </c>
      <c r="V43" s="135">
        <f>SUM(W43:X43)</f>
        <v>200</v>
      </c>
      <c r="W43" s="135">
        <v>200</v>
      </c>
      <c r="X43" s="135"/>
      <c r="Y43" s="472" t="s">
        <v>4665</v>
      </c>
      <c r="Z43" s="202" t="s">
        <v>1148</v>
      </c>
      <c r="AA43"/>
      <c r="AB43"/>
      <c r="AC43"/>
      <c r="AD43"/>
      <c r="AE43"/>
      <c r="AF43"/>
      <c r="AG43"/>
    </row>
    <row r="44" spans="1:33" ht="50.1" customHeight="1">
      <c r="A44" s="125">
        <v>40</v>
      </c>
      <c r="B44" s="125" t="s">
        <v>51</v>
      </c>
      <c r="C44" s="125" t="s">
        <v>4644</v>
      </c>
      <c r="D44" s="472" t="s">
        <v>4664</v>
      </c>
      <c r="E44" s="472" t="s">
        <v>4663</v>
      </c>
      <c r="F44" s="480" t="s">
        <v>4662</v>
      </c>
      <c r="G44" s="472" t="s">
        <v>4661</v>
      </c>
      <c r="H44" s="472" t="s">
        <v>2899</v>
      </c>
      <c r="I44" s="472">
        <v>40</v>
      </c>
      <c r="J44" s="472"/>
      <c r="K44" s="472"/>
      <c r="L44" s="472">
        <v>40</v>
      </c>
      <c r="M44" s="472"/>
      <c r="N44" s="472"/>
      <c r="O44" s="472"/>
      <c r="P44" s="472" t="s">
        <v>50</v>
      </c>
      <c r="Q44" s="472" t="s">
        <v>1276</v>
      </c>
      <c r="R44" s="472" t="s">
        <v>36</v>
      </c>
      <c r="S44" s="472" t="s">
        <v>4633</v>
      </c>
      <c r="T44" s="472" t="s">
        <v>4660</v>
      </c>
      <c r="U44" s="472" t="s">
        <v>37</v>
      </c>
      <c r="V44" s="135">
        <v>25</v>
      </c>
      <c r="W44" s="135">
        <v>25</v>
      </c>
      <c r="X44" s="135"/>
      <c r="Y44" s="472" t="s">
        <v>59</v>
      </c>
      <c r="Z44" s="202" t="s">
        <v>1148</v>
      </c>
    </row>
    <row r="45" spans="1:33" ht="50.1" customHeight="1">
      <c r="A45" s="125">
        <v>41</v>
      </c>
      <c r="B45" s="125" t="s">
        <v>63</v>
      </c>
      <c r="C45" s="125" t="s">
        <v>4644</v>
      </c>
      <c r="D45" s="472" t="s">
        <v>4659</v>
      </c>
      <c r="E45" s="472" t="s">
        <v>3513</v>
      </c>
      <c r="F45" s="480" t="s">
        <v>4658</v>
      </c>
      <c r="G45" s="472" t="s">
        <v>4657</v>
      </c>
      <c r="H45" s="472" t="s">
        <v>449</v>
      </c>
      <c r="I45" s="472">
        <v>95</v>
      </c>
      <c r="J45" s="472"/>
      <c r="K45" s="472"/>
      <c r="L45" s="472">
        <v>95</v>
      </c>
      <c r="M45" s="472"/>
      <c r="N45" s="472"/>
      <c r="O45" s="472"/>
      <c r="P45" s="472" t="s">
        <v>7</v>
      </c>
      <c r="Q45" s="472" t="s">
        <v>4656</v>
      </c>
      <c r="R45" s="472" t="s">
        <v>36</v>
      </c>
      <c r="S45" s="472" t="s">
        <v>4631</v>
      </c>
      <c r="T45" s="472"/>
      <c r="U45" s="472" t="s">
        <v>38</v>
      </c>
      <c r="V45" s="135">
        <v>15</v>
      </c>
      <c r="W45" s="135">
        <v>15</v>
      </c>
      <c r="X45" s="135"/>
      <c r="Y45" s="472" t="s">
        <v>64</v>
      </c>
      <c r="Z45" s="202" t="s">
        <v>1148</v>
      </c>
      <c r="AA45"/>
      <c r="AB45"/>
      <c r="AC45"/>
      <c r="AD45"/>
      <c r="AE45"/>
      <c r="AF45"/>
      <c r="AG45"/>
    </row>
    <row r="46" spans="1:33" ht="50.1" customHeight="1">
      <c r="A46" s="125">
        <v>42</v>
      </c>
      <c r="B46" s="125" t="s">
        <v>63</v>
      </c>
      <c r="C46" s="125" t="s">
        <v>4644</v>
      </c>
      <c r="D46" s="472" t="s">
        <v>4655</v>
      </c>
      <c r="E46" s="472" t="s">
        <v>4654</v>
      </c>
      <c r="F46" s="480" t="s">
        <v>4653</v>
      </c>
      <c r="G46" s="472" t="s">
        <v>4652</v>
      </c>
      <c r="H46" s="472" t="s">
        <v>4651</v>
      </c>
      <c r="I46" s="472">
        <v>710</v>
      </c>
      <c r="J46" s="472">
        <v>380</v>
      </c>
      <c r="K46" s="472">
        <v>50</v>
      </c>
      <c r="L46" s="472">
        <v>280</v>
      </c>
      <c r="M46" s="472"/>
      <c r="N46" s="472" t="s">
        <v>65</v>
      </c>
      <c r="O46" s="472" t="s">
        <v>66</v>
      </c>
      <c r="P46" s="472" t="s">
        <v>98</v>
      </c>
      <c r="Q46" s="472" t="s">
        <v>4650</v>
      </c>
      <c r="R46" s="472" t="s">
        <v>36</v>
      </c>
      <c r="S46" s="472" t="s">
        <v>4631</v>
      </c>
      <c r="T46" s="472"/>
      <c r="U46" s="472" t="s">
        <v>37</v>
      </c>
      <c r="V46" s="135">
        <v>15</v>
      </c>
      <c r="W46" s="135">
        <v>15</v>
      </c>
      <c r="X46" s="135"/>
      <c r="Y46" s="472" t="s">
        <v>2</v>
      </c>
      <c r="Z46" s="202" t="s">
        <v>1148</v>
      </c>
      <c r="AA46"/>
      <c r="AB46"/>
      <c r="AC46"/>
      <c r="AD46"/>
      <c r="AE46"/>
      <c r="AF46"/>
      <c r="AG46"/>
    </row>
    <row r="47" spans="1:33" s="171" customFormat="1" ht="50.1" customHeight="1">
      <c r="A47" s="126">
        <v>43</v>
      </c>
      <c r="B47" s="125" t="s">
        <v>51</v>
      </c>
      <c r="C47" s="125" t="s">
        <v>4644</v>
      </c>
      <c r="D47" s="472" t="s">
        <v>4649</v>
      </c>
      <c r="E47" s="472" t="s">
        <v>3195</v>
      </c>
      <c r="F47" s="480" t="s">
        <v>4648</v>
      </c>
      <c r="G47" s="472" t="s">
        <v>4647</v>
      </c>
      <c r="H47" s="473" t="s">
        <v>4646</v>
      </c>
      <c r="I47" s="473">
        <v>40</v>
      </c>
      <c r="J47" s="473"/>
      <c r="K47" s="473"/>
      <c r="L47" s="473">
        <v>40</v>
      </c>
      <c r="M47" s="473"/>
      <c r="N47" s="473"/>
      <c r="O47" s="473"/>
      <c r="P47" s="473" t="s">
        <v>6</v>
      </c>
      <c r="Q47" s="473" t="s">
        <v>4645</v>
      </c>
      <c r="R47" s="473" t="s">
        <v>36</v>
      </c>
      <c r="S47" s="473" t="s">
        <v>68</v>
      </c>
      <c r="T47" s="473" t="s">
        <v>49</v>
      </c>
      <c r="U47" s="473" t="s">
        <v>37</v>
      </c>
      <c r="V47" s="136">
        <v>8</v>
      </c>
      <c r="W47" s="136">
        <v>8</v>
      </c>
      <c r="X47" s="136"/>
      <c r="Y47" s="473" t="s">
        <v>59</v>
      </c>
      <c r="Z47" s="202" t="s">
        <v>1148</v>
      </c>
      <c r="AA47"/>
      <c r="AB47"/>
      <c r="AC47"/>
      <c r="AD47"/>
      <c r="AE47"/>
      <c r="AF47"/>
      <c r="AG47"/>
    </row>
    <row r="48" spans="1:33" s="171" customFormat="1" ht="50.1" customHeight="1">
      <c r="A48" s="126">
        <v>44</v>
      </c>
      <c r="B48" s="126" t="s">
        <v>51</v>
      </c>
      <c r="C48" s="126" t="s">
        <v>4644</v>
      </c>
      <c r="D48" s="473" t="s">
        <v>4643</v>
      </c>
      <c r="E48" s="473" t="s">
        <v>4640</v>
      </c>
      <c r="F48" s="476" t="s">
        <v>4642</v>
      </c>
      <c r="G48" s="473" t="s">
        <v>4641</v>
      </c>
      <c r="H48" s="473" t="s">
        <v>1123</v>
      </c>
      <c r="I48" s="473">
        <v>295</v>
      </c>
      <c r="J48" s="473"/>
      <c r="K48" s="473"/>
      <c r="L48" s="473">
        <v>295</v>
      </c>
      <c r="M48" s="473"/>
      <c r="N48" s="473"/>
      <c r="O48" s="473"/>
      <c r="P48" s="473" t="s">
        <v>46</v>
      </c>
      <c r="Q48" s="473" t="s">
        <v>500</v>
      </c>
      <c r="R48" s="473" t="s">
        <v>36</v>
      </c>
      <c r="S48" s="473" t="s">
        <v>4631</v>
      </c>
      <c r="T48" s="473"/>
      <c r="U48" s="473" t="s">
        <v>38</v>
      </c>
      <c r="V48" s="136">
        <v>150</v>
      </c>
      <c r="W48" s="136">
        <v>150</v>
      </c>
      <c r="X48" s="136"/>
      <c r="Y48" s="473" t="s">
        <v>59</v>
      </c>
      <c r="Z48" s="202" t="s">
        <v>1148</v>
      </c>
      <c r="AA48"/>
      <c r="AB48"/>
      <c r="AC48"/>
      <c r="AD48"/>
      <c r="AE48"/>
      <c r="AF48"/>
      <c r="AG48"/>
    </row>
    <row r="49" spans="1:33" s="171" customFormat="1" ht="50.1" customHeight="1">
      <c r="A49" s="126">
        <v>45</v>
      </c>
      <c r="B49" s="126" t="s">
        <v>51</v>
      </c>
      <c r="C49" s="126" t="s">
        <v>62</v>
      </c>
      <c r="D49" s="473" t="s">
        <v>71</v>
      </c>
      <c r="E49" s="473" t="s">
        <v>4640</v>
      </c>
      <c r="F49" s="476" t="s">
        <v>4639</v>
      </c>
      <c r="G49" s="473" t="s">
        <v>4638</v>
      </c>
      <c r="H49" s="473" t="s">
        <v>1232</v>
      </c>
      <c r="I49" s="473">
        <v>22</v>
      </c>
      <c r="J49" s="473"/>
      <c r="K49" s="473"/>
      <c r="L49" s="473">
        <v>22</v>
      </c>
      <c r="M49" s="473"/>
      <c r="N49" s="473"/>
      <c r="O49" s="473"/>
      <c r="P49" s="473" t="s">
        <v>46</v>
      </c>
      <c r="Q49" s="473" t="s">
        <v>4637</v>
      </c>
      <c r="R49" s="473" t="s">
        <v>36</v>
      </c>
      <c r="S49" s="473" t="s">
        <v>4631</v>
      </c>
      <c r="T49" s="473"/>
      <c r="U49" s="473" t="s">
        <v>38</v>
      </c>
      <c r="V49" s="136">
        <v>50</v>
      </c>
      <c r="W49" s="136">
        <v>50</v>
      </c>
      <c r="X49" s="136"/>
      <c r="Y49" s="473" t="s">
        <v>59</v>
      </c>
      <c r="Z49" s="202" t="s">
        <v>1148</v>
      </c>
      <c r="AA49"/>
      <c r="AB49"/>
      <c r="AC49"/>
      <c r="AD49"/>
      <c r="AE49"/>
      <c r="AF49"/>
      <c r="AG49"/>
    </row>
    <row r="50" spans="1:33" s="171" customFormat="1" ht="50.1" customHeight="1">
      <c r="A50" s="126">
        <v>46</v>
      </c>
      <c r="B50" s="126" t="s">
        <v>51</v>
      </c>
      <c r="C50" s="126" t="s">
        <v>62</v>
      </c>
      <c r="D50" s="473" t="s">
        <v>72</v>
      </c>
      <c r="E50" s="473" t="s">
        <v>4636</v>
      </c>
      <c r="F50" s="476" t="s">
        <v>4635</v>
      </c>
      <c r="G50" s="473" t="s">
        <v>73</v>
      </c>
      <c r="H50" s="473" t="s">
        <v>4634</v>
      </c>
      <c r="I50" s="473">
        <v>700</v>
      </c>
      <c r="J50" s="473"/>
      <c r="K50" s="473">
        <v>700</v>
      </c>
      <c r="L50" s="473"/>
      <c r="M50" s="473"/>
      <c r="N50" s="473"/>
      <c r="O50" s="473"/>
      <c r="P50" s="473" t="s">
        <v>46</v>
      </c>
      <c r="Q50" s="473" t="s">
        <v>74</v>
      </c>
      <c r="R50" s="473" t="s">
        <v>56</v>
      </c>
      <c r="S50" s="473" t="s">
        <v>4633</v>
      </c>
      <c r="T50" s="473" t="s">
        <v>75</v>
      </c>
      <c r="U50" s="473" t="s">
        <v>37</v>
      </c>
      <c r="V50" s="136">
        <v>90</v>
      </c>
      <c r="W50" s="136">
        <v>80</v>
      </c>
      <c r="X50" s="136">
        <v>10</v>
      </c>
      <c r="Y50" s="473" t="s">
        <v>77</v>
      </c>
      <c r="Z50" s="202" t="s">
        <v>1148</v>
      </c>
    </row>
    <row r="51" spans="1:33" s="171" customFormat="1" ht="50.1" customHeight="1">
      <c r="A51" s="126">
        <v>47</v>
      </c>
      <c r="B51" s="126" t="s">
        <v>51</v>
      </c>
      <c r="C51" s="126" t="s">
        <v>62</v>
      </c>
      <c r="D51" s="473" t="s">
        <v>78</v>
      </c>
      <c r="E51" s="473" t="s">
        <v>1018</v>
      </c>
      <c r="F51" s="476" t="s">
        <v>4632</v>
      </c>
      <c r="G51" s="473" t="s">
        <v>69</v>
      </c>
      <c r="H51" s="473" t="s">
        <v>1232</v>
      </c>
      <c r="I51" s="473">
        <v>400</v>
      </c>
      <c r="J51" s="473"/>
      <c r="K51" s="473"/>
      <c r="L51" s="473">
        <v>400</v>
      </c>
      <c r="M51" s="473"/>
      <c r="N51" s="473"/>
      <c r="O51" s="473"/>
      <c r="P51" s="473" t="s">
        <v>46</v>
      </c>
      <c r="Q51" s="473" t="s">
        <v>274</v>
      </c>
      <c r="R51" s="473" t="s">
        <v>36</v>
      </c>
      <c r="S51" s="473" t="s">
        <v>4631</v>
      </c>
      <c r="T51" s="473"/>
      <c r="U51" s="473" t="s">
        <v>38</v>
      </c>
      <c r="V51" s="136">
        <v>30</v>
      </c>
      <c r="W51" s="136">
        <v>30</v>
      </c>
      <c r="X51" s="136"/>
      <c r="Y51" s="473" t="s">
        <v>64</v>
      </c>
      <c r="Z51" s="202" t="s">
        <v>1148</v>
      </c>
    </row>
    <row r="52" spans="1:33" ht="108">
      <c r="A52" s="125">
        <v>48</v>
      </c>
      <c r="B52" s="125" t="s">
        <v>51</v>
      </c>
      <c r="C52" s="125" t="s">
        <v>79</v>
      </c>
      <c r="D52" s="472" t="s">
        <v>80</v>
      </c>
      <c r="E52" s="472" t="s">
        <v>4630</v>
      </c>
      <c r="F52" s="480" t="s">
        <v>4629</v>
      </c>
      <c r="G52" s="472" t="s">
        <v>81</v>
      </c>
      <c r="H52" s="472" t="s">
        <v>4628</v>
      </c>
      <c r="I52" s="472">
        <f>SUM(J52:M52)</f>
        <v>670</v>
      </c>
      <c r="J52" s="472"/>
      <c r="K52" s="472"/>
      <c r="L52" s="472">
        <v>600</v>
      </c>
      <c r="M52" s="472">
        <v>70</v>
      </c>
      <c r="N52" s="472"/>
      <c r="O52" s="472"/>
      <c r="P52" s="472" t="s">
        <v>52</v>
      </c>
      <c r="Q52" s="472" t="s">
        <v>82</v>
      </c>
      <c r="R52" s="472" t="s">
        <v>56</v>
      </c>
      <c r="S52" s="472" t="s">
        <v>42</v>
      </c>
      <c r="T52" s="472" t="s">
        <v>84</v>
      </c>
      <c r="U52" s="472" t="s">
        <v>37</v>
      </c>
      <c r="V52" s="135">
        <v>100</v>
      </c>
      <c r="W52" s="135">
        <v>100</v>
      </c>
      <c r="X52" s="135"/>
      <c r="Y52" s="472" t="s">
        <v>4627</v>
      </c>
      <c r="Z52" s="202" t="s">
        <v>1148</v>
      </c>
      <c r="AA52"/>
      <c r="AB52"/>
      <c r="AC52"/>
      <c r="AD52"/>
      <c r="AE52"/>
      <c r="AF52"/>
      <c r="AG52"/>
    </row>
    <row r="53" spans="1:33" ht="54">
      <c r="A53" s="125">
        <v>49</v>
      </c>
      <c r="B53" s="125" t="s">
        <v>51</v>
      </c>
      <c r="C53" s="125" t="s">
        <v>4626</v>
      </c>
      <c r="D53" s="472" t="s">
        <v>4625</v>
      </c>
      <c r="E53" s="472" t="s">
        <v>4624</v>
      </c>
      <c r="F53" s="480" t="s">
        <v>4623</v>
      </c>
      <c r="G53" s="472" t="s">
        <v>4622</v>
      </c>
      <c r="H53" s="472" t="s">
        <v>1285</v>
      </c>
      <c r="I53" s="472">
        <v>250</v>
      </c>
      <c r="J53" s="125"/>
      <c r="K53" s="125"/>
      <c r="L53" s="125">
        <v>250</v>
      </c>
      <c r="M53" s="125"/>
      <c r="N53" s="125"/>
      <c r="O53" s="125"/>
      <c r="P53" s="125" t="s">
        <v>5</v>
      </c>
      <c r="Q53" s="125" t="s">
        <v>4621</v>
      </c>
      <c r="R53" s="472" t="s">
        <v>36</v>
      </c>
      <c r="S53" s="472" t="s">
        <v>42</v>
      </c>
      <c r="T53" s="125" t="s">
        <v>49</v>
      </c>
      <c r="U53" s="472" t="s">
        <v>37</v>
      </c>
      <c r="V53" s="135">
        <v>300</v>
      </c>
      <c r="W53" s="135">
        <v>300</v>
      </c>
      <c r="X53" s="135"/>
      <c r="Y53" s="472" t="s">
        <v>4620</v>
      </c>
      <c r="Z53" s="202" t="s">
        <v>1148</v>
      </c>
      <c r="AA53"/>
      <c r="AB53"/>
      <c r="AC53"/>
      <c r="AD53"/>
      <c r="AE53"/>
      <c r="AF53"/>
      <c r="AG53"/>
    </row>
    <row r="54" spans="1:33" ht="50.1" customHeight="1">
      <c r="A54" s="125">
        <v>50</v>
      </c>
      <c r="B54" s="125" t="s">
        <v>51</v>
      </c>
      <c r="C54" s="125" t="s">
        <v>79</v>
      </c>
      <c r="D54" s="472" t="s">
        <v>85</v>
      </c>
      <c r="E54" s="472" t="s">
        <v>86</v>
      </c>
      <c r="F54" s="480" t="s">
        <v>87</v>
      </c>
      <c r="G54" s="472" t="s">
        <v>88</v>
      </c>
      <c r="H54" s="472" t="s">
        <v>89</v>
      </c>
      <c r="I54" s="472">
        <v>355</v>
      </c>
      <c r="J54" s="472"/>
      <c r="K54" s="472"/>
      <c r="L54" s="472">
        <v>355</v>
      </c>
      <c r="M54" s="472"/>
      <c r="N54" s="472"/>
      <c r="O54" s="472"/>
      <c r="P54" s="472" t="s">
        <v>48</v>
      </c>
      <c r="Q54" s="472" t="s">
        <v>90</v>
      </c>
      <c r="R54" s="472" t="s">
        <v>56</v>
      </c>
      <c r="S54" s="472" t="s">
        <v>91</v>
      </c>
      <c r="T54" s="472" t="s">
        <v>61</v>
      </c>
      <c r="U54" s="472" t="s">
        <v>76</v>
      </c>
      <c r="V54" s="135">
        <v>300</v>
      </c>
      <c r="W54" s="135">
        <v>300</v>
      </c>
      <c r="X54" s="135"/>
      <c r="Y54" s="472" t="s">
        <v>4619</v>
      </c>
      <c r="Z54" s="202" t="s">
        <v>1148</v>
      </c>
      <c r="AA54"/>
      <c r="AB54"/>
      <c r="AC54"/>
      <c r="AD54"/>
      <c r="AE54"/>
      <c r="AF54"/>
      <c r="AG54"/>
    </row>
    <row r="55" spans="1:33" ht="50.1" customHeight="1">
      <c r="A55" s="125">
        <v>51</v>
      </c>
      <c r="B55" s="125" t="s">
        <v>51</v>
      </c>
      <c r="C55" s="125" t="s">
        <v>79</v>
      </c>
      <c r="D55" s="486" t="s">
        <v>4618</v>
      </c>
      <c r="E55" s="485" t="s">
        <v>1467</v>
      </c>
      <c r="F55" s="476" t="s">
        <v>92</v>
      </c>
      <c r="G55" s="472" t="s">
        <v>93</v>
      </c>
      <c r="H55" s="472" t="s">
        <v>89</v>
      </c>
      <c r="I55" s="155">
        <v>130</v>
      </c>
      <c r="J55" s="155"/>
      <c r="K55" s="155"/>
      <c r="L55" s="155">
        <v>130</v>
      </c>
      <c r="M55" s="155"/>
      <c r="N55" s="472"/>
      <c r="O55" s="472"/>
      <c r="P55" s="472" t="s">
        <v>48</v>
      </c>
      <c r="Q55" s="472" t="s">
        <v>94</v>
      </c>
      <c r="R55" s="472" t="s">
        <v>56</v>
      </c>
      <c r="S55" s="472" t="s">
        <v>91</v>
      </c>
      <c r="T55" s="472" t="s">
        <v>61</v>
      </c>
      <c r="U55" s="472" t="s">
        <v>76</v>
      </c>
      <c r="V55" s="300">
        <v>100</v>
      </c>
      <c r="W55" s="135">
        <v>100</v>
      </c>
      <c r="X55" s="135"/>
      <c r="Y55" s="472" t="s">
        <v>59</v>
      </c>
      <c r="Z55" s="202" t="s">
        <v>1148</v>
      </c>
      <c r="AA55"/>
      <c r="AB55"/>
      <c r="AC55"/>
      <c r="AD55"/>
      <c r="AE55"/>
      <c r="AF55"/>
      <c r="AG55"/>
    </row>
    <row r="56" spans="1:33" s="171" customFormat="1" ht="50.1" customHeight="1">
      <c r="A56" s="126">
        <v>52</v>
      </c>
      <c r="B56" s="126" t="s">
        <v>51</v>
      </c>
      <c r="C56" s="125" t="s">
        <v>79</v>
      </c>
      <c r="D56" s="472" t="s">
        <v>4617</v>
      </c>
      <c r="E56" s="472" t="s">
        <v>886</v>
      </c>
      <c r="F56" s="476" t="s">
        <v>4616</v>
      </c>
      <c r="G56" s="473" t="s">
        <v>4615</v>
      </c>
      <c r="H56" s="473" t="s">
        <v>1222</v>
      </c>
      <c r="I56" s="140">
        <f>SUM(J56:M56)</f>
        <v>432</v>
      </c>
      <c r="J56" s="140"/>
      <c r="K56" s="140">
        <v>32</v>
      </c>
      <c r="L56" s="140">
        <v>400</v>
      </c>
      <c r="M56" s="140"/>
      <c r="N56" s="473"/>
      <c r="O56" s="473"/>
      <c r="P56" s="473" t="s">
        <v>46</v>
      </c>
      <c r="Q56" s="473" t="s">
        <v>95</v>
      </c>
      <c r="R56" s="473" t="s">
        <v>36</v>
      </c>
      <c r="S56" s="473" t="s">
        <v>42</v>
      </c>
      <c r="T56" s="473" t="s">
        <v>49</v>
      </c>
      <c r="U56" s="473" t="s">
        <v>37</v>
      </c>
      <c r="V56" s="136">
        <f t="shared" ref="V56:V71" si="0">SUM(W56:X56)</f>
        <v>0</v>
      </c>
      <c r="W56" s="136"/>
      <c r="X56" s="136"/>
      <c r="Y56" s="473" t="s">
        <v>240</v>
      </c>
      <c r="Z56" s="202" t="s">
        <v>1148</v>
      </c>
    </row>
    <row r="57" spans="1:33" ht="67.5" hidden="1">
      <c r="A57" s="125">
        <v>53</v>
      </c>
      <c r="B57" s="125" t="s">
        <v>4373</v>
      </c>
      <c r="C57" s="125" t="s">
        <v>4595</v>
      </c>
      <c r="D57" s="472" t="s">
        <v>4614</v>
      </c>
      <c r="E57" s="472" t="s">
        <v>4613</v>
      </c>
      <c r="F57" s="480" t="s">
        <v>4612</v>
      </c>
      <c r="G57" s="472" t="s">
        <v>4611</v>
      </c>
      <c r="H57" s="472" t="s">
        <v>367</v>
      </c>
      <c r="I57" s="472">
        <v>1500</v>
      </c>
      <c r="J57" s="472"/>
      <c r="K57" s="472"/>
      <c r="L57" s="472">
        <v>1500</v>
      </c>
      <c r="M57" s="472"/>
      <c r="N57" s="472"/>
      <c r="O57" s="472"/>
      <c r="P57" s="472" t="s">
        <v>52</v>
      </c>
      <c r="Q57" s="472" t="s">
        <v>4610</v>
      </c>
      <c r="R57" s="472" t="s">
        <v>96</v>
      </c>
      <c r="S57" s="472" t="s">
        <v>199</v>
      </c>
      <c r="T57" s="472" t="s">
        <v>4609</v>
      </c>
      <c r="U57" s="472" t="s">
        <v>37</v>
      </c>
      <c r="V57" s="135">
        <f t="shared" si="0"/>
        <v>650</v>
      </c>
      <c r="W57" s="135">
        <v>570</v>
      </c>
      <c r="X57" s="135">
        <v>80</v>
      </c>
      <c r="Y57" s="472" t="s">
        <v>812</v>
      </c>
      <c r="Z57" s="137" t="s">
        <v>1145</v>
      </c>
    </row>
    <row r="58" spans="1:33" ht="50.1" customHeight="1">
      <c r="A58" s="125">
        <v>54</v>
      </c>
      <c r="B58" s="125" t="s">
        <v>4373</v>
      </c>
      <c r="C58" s="125" t="s">
        <v>4595</v>
      </c>
      <c r="D58" s="472" t="s">
        <v>4608</v>
      </c>
      <c r="E58" s="472" t="s">
        <v>4405</v>
      </c>
      <c r="F58" s="480" t="s">
        <v>4607</v>
      </c>
      <c r="G58" s="472" t="s">
        <v>4592</v>
      </c>
      <c r="H58" s="472" t="s">
        <v>40</v>
      </c>
      <c r="I58" s="229">
        <v>290</v>
      </c>
      <c r="J58" s="229"/>
      <c r="K58" s="229"/>
      <c r="L58" s="229">
        <v>290</v>
      </c>
      <c r="M58" s="229"/>
      <c r="N58" s="229"/>
      <c r="O58" s="229"/>
      <c r="P58" s="125" t="s">
        <v>97</v>
      </c>
      <c r="Q58" s="125" t="s">
        <v>4606</v>
      </c>
      <c r="R58" s="125" t="s">
        <v>96</v>
      </c>
      <c r="S58" s="472" t="s">
        <v>199</v>
      </c>
      <c r="T58" s="472" t="s">
        <v>4590</v>
      </c>
      <c r="U58" s="125" t="s">
        <v>37</v>
      </c>
      <c r="V58" s="154">
        <f t="shared" si="0"/>
        <v>150</v>
      </c>
      <c r="W58" s="154">
        <v>148</v>
      </c>
      <c r="X58" s="154">
        <v>2</v>
      </c>
      <c r="Y58" s="125" t="s">
        <v>64</v>
      </c>
      <c r="Z58" s="202" t="s">
        <v>1148</v>
      </c>
      <c r="AA58"/>
      <c r="AB58"/>
      <c r="AC58"/>
      <c r="AD58"/>
      <c r="AE58"/>
      <c r="AF58"/>
      <c r="AG58"/>
    </row>
    <row r="59" spans="1:33" ht="50.1" customHeight="1">
      <c r="A59" s="125">
        <v>55</v>
      </c>
      <c r="B59" s="125" t="s">
        <v>4373</v>
      </c>
      <c r="C59" s="125" t="s">
        <v>4595</v>
      </c>
      <c r="D59" s="472" t="s">
        <v>4605</v>
      </c>
      <c r="E59" s="472" t="s">
        <v>3195</v>
      </c>
      <c r="F59" s="476" t="s">
        <v>4604</v>
      </c>
      <c r="G59" s="472" t="s">
        <v>4603</v>
      </c>
      <c r="H59" s="472" t="s">
        <v>4602</v>
      </c>
      <c r="I59" s="472">
        <v>800</v>
      </c>
      <c r="J59" s="472"/>
      <c r="K59" s="472"/>
      <c r="L59" s="472">
        <v>800</v>
      </c>
      <c r="M59" s="472"/>
      <c r="N59" s="472"/>
      <c r="O59" s="472"/>
      <c r="P59" s="472" t="s">
        <v>41</v>
      </c>
      <c r="Q59" s="472" t="s">
        <v>4601</v>
      </c>
      <c r="R59" s="472" t="s">
        <v>96</v>
      </c>
      <c r="S59" s="472" t="s">
        <v>199</v>
      </c>
      <c r="T59" s="472" t="s">
        <v>4590</v>
      </c>
      <c r="U59" s="472" t="s">
        <v>37</v>
      </c>
      <c r="V59" s="135">
        <f t="shared" si="0"/>
        <v>250</v>
      </c>
      <c r="W59" s="135">
        <v>235</v>
      </c>
      <c r="X59" s="135">
        <v>15</v>
      </c>
      <c r="Y59" s="472" t="s">
        <v>64</v>
      </c>
      <c r="Z59" s="202" t="s">
        <v>1148</v>
      </c>
      <c r="AA59"/>
      <c r="AB59"/>
      <c r="AC59"/>
      <c r="AD59"/>
      <c r="AE59"/>
      <c r="AF59"/>
      <c r="AG59"/>
    </row>
    <row r="60" spans="1:33" ht="50.1" customHeight="1">
      <c r="A60" s="125">
        <v>56</v>
      </c>
      <c r="B60" s="125" t="s">
        <v>4373</v>
      </c>
      <c r="C60" s="125" t="s">
        <v>4595</v>
      </c>
      <c r="D60" s="472" t="s">
        <v>4600</v>
      </c>
      <c r="E60" s="472" t="s">
        <v>3195</v>
      </c>
      <c r="F60" s="476" t="s">
        <v>4599</v>
      </c>
      <c r="G60" s="472" t="s">
        <v>4598</v>
      </c>
      <c r="H60" s="472" t="s">
        <v>4597</v>
      </c>
      <c r="I60" s="472">
        <v>295</v>
      </c>
      <c r="J60" s="472"/>
      <c r="K60" s="472" t="s">
        <v>621</v>
      </c>
      <c r="L60" s="472">
        <v>295</v>
      </c>
      <c r="M60" s="472"/>
      <c r="N60" s="472"/>
      <c r="O60" s="472"/>
      <c r="P60" s="472" t="s">
        <v>41</v>
      </c>
      <c r="Q60" s="472" t="s">
        <v>4596</v>
      </c>
      <c r="R60" s="472" t="s">
        <v>1275</v>
      </c>
      <c r="S60" s="472" t="s">
        <v>199</v>
      </c>
      <c r="T60" s="472" t="s">
        <v>4590</v>
      </c>
      <c r="U60" s="472" t="s">
        <v>37</v>
      </c>
      <c r="V60" s="135">
        <f t="shared" si="0"/>
        <v>83</v>
      </c>
      <c r="W60" s="135">
        <v>80</v>
      </c>
      <c r="X60" s="135">
        <v>3</v>
      </c>
      <c r="Y60" s="472" t="s">
        <v>64</v>
      </c>
      <c r="Z60" s="202" t="s">
        <v>1148</v>
      </c>
      <c r="AA60"/>
      <c r="AB60"/>
      <c r="AC60"/>
      <c r="AD60"/>
      <c r="AE60"/>
      <c r="AF60"/>
      <c r="AG60"/>
    </row>
    <row r="61" spans="1:33" s="171" customFormat="1" ht="50.1" customHeight="1">
      <c r="A61" s="126">
        <v>57</v>
      </c>
      <c r="B61" s="126" t="s">
        <v>4373</v>
      </c>
      <c r="C61" s="125" t="s">
        <v>4595</v>
      </c>
      <c r="D61" s="473" t="s">
        <v>4594</v>
      </c>
      <c r="E61" s="472" t="s">
        <v>1018</v>
      </c>
      <c r="F61" s="476" t="s">
        <v>4593</v>
      </c>
      <c r="G61" s="473" t="s">
        <v>4592</v>
      </c>
      <c r="H61" s="473" t="s">
        <v>40</v>
      </c>
      <c r="I61" s="473">
        <v>290</v>
      </c>
      <c r="J61" s="473"/>
      <c r="K61" s="473"/>
      <c r="L61" s="473">
        <v>290</v>
      </c>
      <c r="M61" s="473"/>
      <c r="N61" s="473"/>
      <c r="O61" s="473"/>
      <c r="P61" s="473" t="s">
        <v>41</v>
      </c>
      <c r="Q61" s="473" t="s">
        <v>4591</v>
      </c>
      <c r="R61" s="473" t="s">
        <v>1275</v>
      </c>
      <c r="S61" s="473" t="s">
        <v>199</v>
      </c>
      <c r="T61" s="473" t="s">
        <v>4590</v>
      </c>
      <c r="U61" s="473" t="s">
        <v>37</v>
      </c>
      <c r="V61" s="136">
        <f t="shared" si="0"/>
        <v>167</v>
      </c>
      <c r="W61" s="136">
        <v>140</v>
      </c>
      <c r="X61" s="136">
        <v>27</v>
      </c>
      <c r="Y61" s="473" t="s">
        <v>64</v>
      </c>
      <c r="Z61" s="202" t="s">
        <v>1148</v>
      </c>
    </row>
    <row r="62" spans="1:33" ht="50.1" customHeight="1">
      <c r="A62" s="125">
        <v>58</v>
      </c>
      <c r="B62" s="125" t="s">
        <v>4373</v>
      </c>
      <c r="C62" s="125" t="s">
        <v>4567</v>
      </c>
      <c r="D62" s="472" t="s">
        <v>4589</v>
      </c>
      <c r="E62" s="472" t="s">
        <v>942</v>
      </c>
      <c r="F62" s="480" t="s">
        <v>4588</v>
      </c>
      <c r="G62" s="472" t="s">
        <v>4587</v>
      </c>
      <c r="H62" s="472" t="s">
        <v>382</v>
      </c>
      <c r="I62" s="472">
        <v>100</v>
      </c>
      <c r="J62" s="472"/>
      <c r="K62" s="472"/>
      <c r="L62" s="472">
        <v>100</v>
      </c>
      <c r="M62" s="472"/>
      <c r="N62" s="472"/>
      <c r="O62" s="472"/>
      <c r="P62" s="472" t="s">
        <v>98</v>
      </c>
      <c r="Q62" s="472" t="s">
        <v>4586</v>
      </c>
      <c r="R62" s="472" t="s">
        <v>36</v>
      </c>
      <c r="S62" s="472" t="s">
        <v>4585</v>
      </c>
      <c r="T62" s="472" t="s">
        <v>49</v>
      </c>
      <c r="U62" s="472" t="s">
        <v>38</v>
      </c>
      <c r="V62" s="135">
        <f t="shared" si="0"/>
        <v>3</v>
      </c>
      <c r="W62" s="135">
        <v>3</v>
      </c>
      <c r="X62" s="135"/>
      <c r="Y62" s="472" t="s">
        <v>4584</v>
      </c>
      <c r="Z62" s="202" t="s">
        <v>1148</v>
      </c>
      <c r="AA62"/>
      <c r="AB62"/>
      <c r="AC62"/>
      <c r="AD62"/>
      <c r="AE62"/>
      <c r="AF62"/>
      <c r="AG62"/>
    </row>
    <row r="63" spans="1:33" ht="50.1" customHeight="1">
      <c r="A63" s="125">
        <v>59</v>
      </c>
      <c r="B63" s="125" t="s">
        <v>4373</v>
      </c>
      <c r="C63" s="125" t="s">
        <v>4567</v>
      </c>
      <c r="D63" s="472" t="s">
        <v>4583</v>
      </c>
      <c r="E63" s="472" t="s">
        <v>3849</v>
      </c>
      <c r="F63" s="480" t="s">
        <v>4582</v>
      </c>
      <c r="G63" s="472" t="s">
        <v>4581</v>
      </c>
      <c r="H63" s="472" t="s">
        <v>40</v>
      </c>
      <c r="I63" s="472">
        <v>158</v>
      </c>
      <c r="J63" s="472"/>
      <c r="K63" s="472"/>
      <c r="L63" s="472">
        <v>80</v>
      </c>
      <c r="M63" s="472">
        <v>78</v>
      </c>
      <c r="N63" s="472"/>
      <c r="O63" s="472"/>
      <c r="P63" s="472" t="s">
        <v>5</v>
      </c>
      <c r="Q63" s="472" t="s">
        <v>3332</v>
      </c>
      <c r="R63" s="472" t="s">
        <v>36</v>
      </c>
      <c r="S63" s="472" t="s">
        <v>42</v>
      </c>
      <c r="T63" s="472" t="s">
        <v>49</v>
      </c>
      <c r="U63" s="472" t="s">
        <v>38</v>
      </c>
      <c r="V63" s="135">
        <f t="shared" si="0"/>
        <v>8</v>
      </c>
      <c r="W63" s="135">
        <v>8</v>
      </c>
      <c r="X63" s="135"/>
      <c r="Y63" s="472" t="s">
        <v>3332</v>
      </c>
      <c r="Z63" s="202" t="s">
        <v>1148</v>
      </c>
      <c r="AA63"/>
      <c r="AB63"/>
      <c r="AC63"/>
      <c r="AD63"/>
      <c r="AE63"/>
      <c r="AF63"/>
      <c r="AG63"/>
    </row>
    <row r="64" spans="1:33" s="171" customFormat="1" ht="50.1" customHeight="1">
      <c r="A64" s="126">
        <v>60</v>
      </c>
      <c r="B64" s="126" t="s">
        <v>4373</v>
      </c>
      <c r="C64" s="126" t="s">
        <v>4567</v>
      </c>
      <c r="D64" s="473" t="s">
        <v>4580</v>
      </c>
      <c r="E64" s="473" t="s">
        <v>1466</v>
      </c>
      <c r="F64" s="476" t="s">
        <v>4579</v>
      </c>
      <c r="G64" s="473" t="s">
        <v>4578</v>
      </c>
      <c r="H64" s="473" t="s">
        <v>1016</v>
      </c>
      <c r="I64" s="473">
        <v>165</v>
      </c>
      <c r="J64" s="473"/>
      <c r="K64" s="473"/>
      <c r="L64" s="473">
        <v>150</v>
      </c>
      <c r="M64" s="473">
        <v>15</v>
      </c>
      <c r="N64" s="473"/>
      <c r="O64" s="473"/>
      <c r="P64" s="473" t="s">
        <v>6</v>
      </c>
      <c r="Q64" s="473" t="s">
        <v>4457</v>
      </c>
      <c r="R64" s="473" t="s">
        <v>36</v>
      </c>
      <c r="S64" s="473" t="s">
        <v>42</v>
      </c>
      <c r="T64" s="473" t="s">
        <v>49</v>
      </c>
      <c r="U64" s="473" t="s">
        <v>38</v>
      </c>
      <c r="V64" s="136">
        <f t="shared" si="0"/>
        <v>50</v>
      </c>
      <c r="W64" s="136">
        <v>50</v>
      </c>
      <c r="X64" s="136"/>
      <c r="Y64" s="473" t="s">
        <v>1417</v>
      </c>
      <c r="Z64" s="202" t="s">
        <v>1148</v>
      </c>
      <c r="AA64"/>
      <c r="AB64"/>
      <c r="AC64"/>
      <c r="AD64"/>
      <c r="AE64"/>
      <c r="AF64"/>
      <c r="AG64"/>
    </row>
    <row r="65" spans="1:33" ht="50.1" customHeight="1">
      <c r="A65" s="125">
        <v>61</v>
      </c>
      <c r="B65" s="125" t="s">
        <v>4373</v>
      </c>
      <c r="C65" s="125" t="s">
        <v>4567</v>
      </c>
      <c r="D65" s="472" t="s">
        <v>4577</v>
      </c>
      <c r="E65" s="472" t="s">
        <v>1219</v>
      </c>
      <c r="F65" s="476" t="s">
        <v>4576</v>
      </c>
      <c r="G65" s="472" t="s">
        <v>4575</v>
      </c>
      <c r="H65" s="472" t="s">
        <v>1016</v>
      </c>
      <c r="I65" s="472">
        <v>165</v>
      </c>
      <c r="J65" s="472"/>
      <c r="K65" s="472"/>
      <c r="L65" s="472">
        <v>150</v>
      </c>
      <c r="M65" s="472">
        <v>15</v>
      </c>
      <c r="N65" s="472"/>
      <c r="O65" s="472"/>
      <c r="P65" s="472" t="s">
        <v>6</v>
      </c>
      <c r="Q65" s="472" t="s">
        <v>4574</v>
      </c>
      <c r="R65" s="472" t="s">
        <v>36</v>
      </c>
      <c r="S65" s="472" t="s">
        <v>42</v>
      </c>
      <c r="T65" s="472" t="s">
        <v>49</v>
      </c>
      <c r="U65" s="472" t="s">
        <v>38</v>
      </c>
      <c r="V65" s="135">
        <f t="shared" si="0"/>
        <v>53</v>
      </c>
      <c r="W65" s="135">
        <v>53</v>
      </c>
      <c r="X65" s="135"/>
      <c r="Y65" s="472" t="s">
        <v>812</v>
      </c>
      <c r="Z65" s="202" t="s">
        <v>1148</v>
      </c>
      <c r="AA65"/>
      <c r="AB65"/>
      <c r="AC65"/>
      <c r="AD65"/>
      <c r="AE65"/>
      <c r="AF65"/>
      <c r="AG65"/>
    </row>
    <row r="66" spans="1:33" s="171" customFormat="1" ht="50.1" customHeight="1">
      <c r="A66" s="126">
        <v>62</v>
      </c>
      <c r="B66" s="126" t="s">
        <v>4373</v>
      </c>
      <c r="C66" s="126" t="s">
        <v>4567</v>
      </c>
      <c r="D66" s="473" t="s">
        <v>4573</v>
      </c>
      <c r="E66" s="473" t="s">
        <v>886</v>
      </c>
      <c r="F66" s="476" t="s">
        <v>4572</v>
      </c>
      <c r="G66" s="473" t="s">
        <v>4571</v>
      </c>
      <c r="H66" s="473" t="s">
        <v>4570</v>
      </c>
      <c r="I66" s="473">
        <v>165</v>
      </c>
      <c r="J66" s="473"/>
      <c r="K66" s="473" t="s">
        <v>621</v>
      </c>
      <c r="L66" s="473">
        <v>150</v>
      </c>
      <c r="M66" s="473">
        <v>15</v>
      </c>
      <c r="N66" s="473"/>
      <c r="O66" s="473"/>
      <c r="P66" s="473" t="s">
        <v>6</v>
      </c>
      <c r="Q66" s="473" t="s">
        <v>4569</v>
      </c>
      <c r="R66" s="473" t="s">
        <v>36</v>
      </c>
      <c r="S66" s="473" t="s">
        <v>42</v>
      </c>
      <c r="T66" s="473" t="s">
        <v>49</v>
      </c>
      <c r="U66" s="473" t="s">
        <v>38</v>
      </c>
      <c r="V66" s="136">
        <f t="shared" si="0"/>
        <v>42</v>
      </c>
      <c r="W66" s="136">
        <v>42</v>
      </c>
      <c r="X66" s="136"/>
      <c r="Y66" s="473" t="s">
        <v>4568</v>
      </c>
      <c r="Z66" s="202" t="s">
        <v>1148</v>
      </c>
    </row>
    <row r="67" spans="1:33" ht="50.1" customHeight="1">
      <c r="A67" s="125">
        <v>63</v>
      </c>
      <c r="B67" s="125" t="s">
        <v>4373</v>
      </c>
      <c r="C67" s="125" t="s">
        <v>4567</v>
      </c>
      <c r="D67" s="472" t="s">
        <v>4566</v>
      </c>
      <c r="E67" s="472" t="s">
        <v>4565</v>
      </c>
      <c r="F67" s="476" t="s">
        <v>4564</v>
      </c>
      <c r="G67" s="472" t="s">
        <v>4563</v>
      </c>
      <c r="H67" s="472" t="s">
        <v>1465</v>
      </c>
      <c r="I67" s="472">
        <v>2118</v>
      </c>
      <c r="J67" s="472">
        <v>59</v>
      </c>
      <c r="K67" s="472">
        <v>18</v>
      </c>
      <c r="L67" s="472">
        <v>2041</v>
      </c>
      <c r="M67" s="472"/>
      <c r="N67" s="472" t="s">
        <v>35</v>
      </c>
      <c r="O67" s="472" t="s">
        <v>156</v>
      </c>
      <c r="P67" s="472" t="s">
        <v>6</v>
      </c>
      <c r="Q67" s="472" t="s">
        <v>2818</v>
      </c>
      <c r="R67" s="472" t="s">
        <v>36</v>
      </c>
      <c r="S67" s="472" t="s">
        <v>199</v>
      </c>
      <c r="T67" s="472" t="s">
        <v>4562</v>
      </c>
      <c r="U67" s="472" t="s">
        <v>38</v>
      </c>
      <c r="V67" s="135">
        <f t="shared" si="0"/>
        <v>345</v>
      </c>
      <c r="W67" s="135">
        <v>345</v>
      </c>
      <c r="X67" s="135"/>
      <c r="Y67" s="472" t="s">
        <v>812</v>
      </c>
      <c r="Z67" s="468" t="s">
        <v>6106</v>
      </c>
      <c r="AA67" s="469"/>
      <c r="AB67" s="466"/>
    </row>
    <row r="68" spans="1:33" ht="50.1" customHeight="1">
      <c r="A68" s="125">
        <v>64</v>
      </c>
      <c r="B68" s="125" t="s">
        <v>4373</v>
      </c>
      <c r="C68" s="125" t="s">
        <v>4550</v>
      </c>
      <c r="D68" s="472" t="s">
        <v>4561</v>
      </c>
      <c r="E68" s="472" t="s">
        <v>1464</v>
      </c>
      <c r="F68" s="480" t="s">
        <v>4560</v>
      </c>
      <c r="G68" s="472" t="s">
        <v>1162</v>
      </c>
      <c r="H68" s="472" t="s">
        <v>4190</v>
      </c>
      <c r="I68" s="472">
        <v>980</v>
      </c>
      <c r="J68" s="472"/>
      <c r="K68" s="472">
        <v>155</v>
      </c>
      <c r="L68" s="472">
        <v>825</v>
      </c>
      <c r="M68" s="472"/>
      <c r="N68" s="472"/>
      <c r="O68" s="472"/>
      <c r="P68" s="472" t="s">
        <v>98</v>
      </c>
      <c r="Q68" s="472" t="s">
        <v>4559</v>
      </c>
      <c r="R68" s="472" t="s">
        <v>36</v>
      </c>
      <c r="S68" s="472" t="s">
        <v>199</v>
      </c>
      <c r="T68" s="472" t="s">
        <v>4546</v>
      </c>
      <c r="U68" s="472" t="s">
        <v>38</v>
      </c>
      <c r="V68" s="135">
        <f t="shared" si="0"/>
        <v>100</v>
      </c>
      <c r="W68" s="135">
        <v>100</v>
      </c>
      <c r="X68" s="135"/>
      <c r="Y68" s="472" t="s">
        <v>4545</v>
      </c>
      <c r="Z68" s="202" t="s">
        <v>1148</v>
      </c>
      <c r="AA68"/>
      <c r="AB68"/>
      <c r="AC68"/>
      <c r="AD68"/>
      <c r="AE68"/>
      <c r="AF68"/>
      <c r="AG68"/>
    </row>
    <row r="69" spans="1:33" s="171" customFormat="1" ht="50.1" customHeight="1">
      <c r="A69" s="126">
        <v>65</v>
      </c>
      <c r="B69" s="126" t="s">
        <v>51</v>
      </c>
      <c r="C69" s="126" t="s">
        <v>4550</v>
      </c>
      <c r="D69" s="473" t="s">
        <v>4558</v>
      </c>
      <c r="E69" s="473" t="s">
        <v>4557</v>
      </c>
      <c r="F69" s="480" t="s">
        <v>4556</v>
      </c>
      <c r="G69" s="134" t="s">
        <v>1162</v>
      </c>
      <c r="H69" s="472" t="s">
        <v>304</v>
      </c>
      <c r="I69" s="473">
        <v>779</v>
      </c>
      <c r="J69" s="473"/>
      <c r="K69" s="473"/>
      <c r="L69" s="473">
        <v>779</v>
      </c>
      <c r="M69" s="473"/>
      <c r="N69" s="473"/>
      <c r="O69" s="473"/>
      <c r="P69" s="473" t="s">
        <v>5</v>
      </c>
      <c r="Q69" s="472" t="s">
        <v>4555</v>
      </c>
      <c r="R69" s="473" t="s">
        <v>36</v>
      </c>
      <c r="S69" s="473" t="s">
        <v>199</v>
      </c>
      <c r="T69" s="473" t="s">
        <v>4546</v>
      </c>
      <c r="U69" s="473" t="s">
        <v>38</v>
      </c>
      <c r="V69" s="136">
        <f t="shared" si="0"/>
        <v>42</v>
      </c>
      <c r="W69" s="136">
        <v>42</v>
      </c>
      <c r="X69" s="136"/>
      <c r="Y69" s="473" t="s">
        <v>1463</v>
      </c>
      <c r="Z69" s="202" t="s">
        <v>1148</v>
      </c>
      <c r="AA69"/>
      <c r="AB69"/>
      <c r="AC69"/>
      <c r="AD69"/>
      <c r="AE69"/>
      <c r="AF69"/>
      <c r="AG69"/>
    </row>
    <row r="70" spans="1:33" ht="50.1" customHeight="1">
      <c r="A70" s="125">
        <v>66</v>
      </c>
      <c r="B70" s="125" t="s">
        <v>51</v>
      </c>
      <c r="C70" s="125" t="s">
        <v>4550</v>
      </c>
      <c r="D70" s="472" t="s">
        <v>4554</v>
      </c>
      <c r="E70" s="472" t="s">
        <v>1165</v>
      </c>
      <c r="F70" s="480" t="s">
        <v>4553</v>
      </c>
      <c r="G70" s="302" t="s">
        <v>1162</v>
      </c>
      <c r="H70" s="472" t="s">
        <v>1285</v>
      </c>
      <c r="I70" s="472">
        <v>596</v>
      </c>
      <c r="J70" s="472"/>
      <c r="K70" s="472"/>
      <c r="L70" s="472">
        <v>596</v>
      </c>
      <c r="M70" s="472"/>
      <c r="N70" s="472"/>
      <c r="O70" s="472"/>
      <c r="P70" s="472" t="s">
        <v>7</v>
      </c>
      <c r="Q70" s="472" t="s">
        <v>4552</v>
      </c>
      <c r="R70" s="472" t="s">
        <v>36</v>
      </c>
      <c r="S70" s="472" t="s">
        <v>199</v>
      </c>
      <c r="T70" s="472" t="s">
        <v>4546</v>
      </c>
      <c r="U70" s="472" t="s">
        <v>38</v>
      </c>
      <c r="V70" s="135">
        <f t="shared" si="0"/>
        <v>360</v>
      </c>
      <c r="W70" s="135">
        <v>360</v>
      </c>
      <c r="X70" s="135"/>
      <c r="Y70" s="472" t="s">
        <v>4551</v>
      </c>
      <c r="Z70" s="202" t="s">
        <v>1148</v>
      </c>
      <c r="AA70"/>
      <c r="AB70"/>
      <c r="AC70"/>
      <c r="AD70"/>
      <c r="AE70"/>
      <c r="AF70"/>
      <c r="AG70"/>
    </row>
    <row r="71" spans="1:33" s="171" customFormat="1" ht="50.1" customHeight="1">
      <c r="A71" s="126">
        <v>67</v>
      </c>
      <c r="B71" s="126" t="s">
        <v>51</v>
      </c>
      <c r="C71" s="126" t="s">
        <v>4550</v>
      </c>
      <c r="D71" s="473" t="s">
        <v>4549</v>
      </c>
      <c r="E71" s="473" t="s">
        <v>4548</v>
      </c>
      <c r="F71" s="480" t="s">
        <v>1462</v>
      </c>
      <c r="G71" s="134" t="s">
        <v>1162</v>
      </c>
      <c r="H71" s="472" t="s">
        <v>312</v>
      </c>
      <c r="I71" s="473">
        <v>433</v>
      </c>
      <c r="J71" s="473"/>
      <c r="K71" s="473"/>
      <c r="L71" s="473">
        <v>433</v>
      </c>
      <c r="M71" s="473"/>
      <c r="N71" s="473"/>
      <c r="O71" s="473"/>
      <c r="P71" s="473" t="s">
        <v>7</v>
      </c>
      <c r="Q71" s="473" t="s">
        <v>4547</v>
      </c>
      <c r="R71" s="473" t="s">
        <v>36</v>
      </c>
      <c r="S71" s="473" t="s">
        <v>199</v>
      </c>
      <c r="T71" s="473" t="s">
        <v>4546</v>
      </c>
      <c r="U71" s="473" t="s">
        <v>38</v>
      </c>
      <c r="V71" s="136">
        <f t="shared" si="0"/>
        <v>20</v>
      </c>
      <c r="W71" s="136">
        <v>20</v>
      </c>
      <c r="X71" s="136"/>
      <c r="Y71" s="473" t="s">
        <v>4545</v>
      </c>
      <c r="Z71" s="202" t="s">
        <v>1148</v>
      </c>
    </row>
    <row r="72" spans="1:33" ht="54" hidden="1">
      <c r="A72" s="125">
        <v>68</v>
      </c>
      <c r="B72" s="125" t="s">
        <v>4373</v>
      </c>
      <c r="C72" s="125" t="s">
        <v>1163</v>
      </c>
      <c r="D72" s="472" t="s">
        <v>1461</v>
      </c>
      <c r="E72" s="257" t="s">
        <v>4544</v>
      </c>
      <c r="F72" s="480" t="s">
        <v>1460</v>
      </c>
      <c r="G72" s="472" t="s">
        <v>1459</v>
      </c>
      <c r="H72" s="472" t="s">
        <v>1222</v>
      </c>
      <c r="I72" s="472">
        <f>SUM(J72:M72)</f>
        <v>440</v>
      </c>
      <c r="J72" s="472">
        <v>70</v>
      </c>
      <c r="K72" s="472">
        <f>90+21</f>
        <v>111</v>
      </c>
      <c r="L72" s="472">
        <f>210+49</f>
        <v>259</v>
      </c>
      <c r="M72" s="472"/>
      <c r="N72" s="472" t="s">
        <v>35</v>
      </c>
      <c r="O72" s="472" t="s">
        <v>156</v>
      </c>
      <c r="P72" s="472" t="s">
        <v>5</v>
      </c>
      <c r="Q72" s="472" t="s">
        <v>4543</v>
      </c>
      <c r="R72" s="472" t="s">
        <v>36</v>
      </c>
      <c r="S72" s="472" t="s">
        <v>42</v>
      </c>
      <c r="T72" s="472" t="s">
        <v>1355</v>
      </c>
      <c r="U72" s="472" t="s">
        <v>38</v>
      </c>
      <c r="V72" s="135">
        <v>700</v>
      </c>
      <c r="W72" s="135">
        <f>V72*97%</f>
        <v>679</v>
      </c>
      <c r="X72" s="135">
        <f>V72*3%</f>
        <v>21</v>
      </c>
      <c r="Y72" s="472" t="s">
        <v>812</v>
      </c>
      <c r="Z72" s="137" t="s">
        <v>1145</v>
      </c>
    </row>
    <row r="73" spans="1:33" ht="81" hidden="1">
      <c r="A73" s="125">
        <v>69</v>
      </c>
      <c r="B73" s="125" t="s">
        <v>4373</v>
      </c>
      <c r="C73" s="125" t="s">
        <v>1163</v>
      </c>
      <c r="D73" s="472" t="s">
        <v>4542</v>
      </c>
      <c r="E73" s="257" t="s">
        <v>4541</v>
      </c>
      <c r="F73" s="480" t="s">
        <v>4540</v>
      </c>
      <c r="G73" s="472" t="s">
        <v>4539</v>
      </c>
      <c r="H73" s="472" t="s">
        <v>4196</v>
      </c>
      <c r="I73" s="472">
        <f>SUM(J73:M73)</f>
        <v>308</v>
      </c>
      <c r="J73" s="125"/>
      <c r="K73" s="125"/>
      <c r="L73" s="125">
        <v>280</v>
      </c>
      <c r="M73" s="125">
        <v>28</v>
      </c>
      <c r="N73" s="125"/>
      <c r="O73" s="125"/>
      <c r="P73" s="125" t="s">
        <v>31</v>
      </c>
      <c r="Q73" s="125" t="s">
        <v>1458</v>
      </c>
      <c r="R73" s="472" t="s">
        <v>36</v>
      </c>
      <c r="S73" s="472" t="s">
        <v>42</v>
      </c>
      <c r="T73" s="125"/>
      <c r="U73" s="472"/>
      <c r="V73" s="135">
        <v>125</v>
      </c>
      <c r="W73" s="135">
        <v>121</v>
      </c>
      <c r="X73" s="135">
        <v>4</v>
      </c>
      <c r="Y73" s="472" t="s">
        <v>812</v>
      </c>
      <c r="Z73" s="137" t="s">
        <v>1145</v>
      </c>
    </row>
    <row r="74" spans="1:33" ht="50.1" customHeight="1">
      <c r="A74" s="125">
        <v>70</v>
      </c>
      <c r="B74" s="125" t="s">
        <v>4373</v>
      </c>
      <c r="C74" s="125" t="s">
        <v>1163</v>
      </c>
      <c r="D74" s="472" t="s">
        <v>4538</v>
      </c>
      <c r="E74" s="257" t="s">
        <v>4537</v>
      </c>
      <c r="F74" s="476" t="s">
        <v>4536</v>
      </c>
      <c r="G74" s="472" t="s">
        <v>4535</v>
      </c>
      <c r="H74" s="472" t="s">
        <v>1457</v>
      </c>
      <c r="I74" s="303">
        <f>SUM(J74:M74)</f>
        <v>110</v>
      </c>
      <c r="J74" s="472"/>
      <c r="K74" s="303"/>
      <c r="L74" s="472">
        <v>100</v>
      </c>
      <c r="M74" s="472">
        <v>10</v>
      </c>
      <c r="N74" s="125"/>
      <c r="O74" s="125"/>
      <c r="P74" s="125" t="s">
        <v>5</v>
      </c>
      <c r="Q74" s="125" t="s">
        <v>1456</v>
      </c>
      <c r="R74" s="472" t="s">
        <v>36</v>
      </c>
      <c r="S74" s="472" t="s">
        <v>42</v>
      </c>
      <c r="T74" s="472"/>
      <c r="U74" s="472"/>
      <c r="V74" s="135">
        <v>56</v>
      </c>
      <c r="W74" s="135"/>
      <c r="X74" s="135"/>
      <c r="Y74" s="472" t="s">
        <v>1455</v>
      </c>
      <c r="Z74" s="202" t="s">
        <v>1148</v>
      </c>
      <c r="AA74"/>
      <c r="AB74"/>
      <c r="AC74"/>
      <c r="AD74"/>
      <c r="AE74"/>
      <c r="AF74"/>
      <c r="AG74"/>
    </row>
    <row r="75" spans="1:33" ht="50.1" customHeight="1">
      <c r="A75" s="125">
        <v>71</v>
      </c>
      <c r="B75" s="125" t="s">
        <v>4373</v>
      </c>
      <c r="C75" s="125" t="s">
        <v>1163</v>
      </c>
      <c r="D75" s="472" t="s">
        <v>4534</v>
      </c>
      <c r="E75" s="257" t="s">
        <v>1454</v>
      </c>
      <c r="F75" s="476" t="s">
        <v>4533</v>
      </c>
      <c r="G75" s="472" t="s">
        <v>4532</v>
      </c>
      <c r="H75" s="472" t="s">
        <v>321</v>
      </c>
      <c r="I75" s="472">
        <f>SUM(J75:M75)</f>
        <v>763.6</v>
      </c>
      <c r="J75" s="472">
        <v>58</v>
      </c>
      <c r="K75" s="472">
        <v>27.6</v>
      </c>
      <c r="L75" s="472">
        <f>34+604</f>
        <v>638</v>
      </c>
      <c r="M75" s="472">
        <v>40</v>
      </c>
      <c r="N75" s="472" t="s">
        <v>35</v>
      </c>
      <c r="O75" s="472" t="s">
        <v>156</v>
      </c>
      <c r="P75" s="472" t="s">
        <v>7</v>
      </c>
      <c r="Q75" s="472" t="s">
        <v>4531</v>
      </c>
      <c r="R75" s="472" t="s">
        <v>36</v>
      </c>
      <c r="S75" s="472" t="s">
        <v>42</v>
      </c>
      <c r="T75" s="472" t="s">
        <v>1355</v>
      </c>
      <c r="U75" s="472" t="s">
        <v>38</v>
      </c>
      <c r="V75" s="135">
        <v>349</v>
      </c>
      <c r="W75" s="135"/>
      <c r="X75" s="135"/>
      <c r="Y75" s="472" t="s">
        <v>99</v>
      </c>
      <c r="Z75" s="202" t="s">
        <v>1148</v>
      </c>
      <c r="AA75"/>
      <c r="AB75"/>
      <c r="AC75"/>
      <c r="AD75"/>
      <c r="AE75"/>
      <c r="AF75"/>
      <c r="AG75"/>
    </row>
    <row r="76" spans="1:33" s="171" customFormat="1" ht="50.1" customHeight="1">
      <c r="A76" s="126">
        <v>72</v>
      </c>
      <c r="B76" s="125" t="s">
        <v>4373</v>
      </c>
      <c r="C76" s="125" t="s">
        <v>1163</v>
      </c>
      <c r="D76" s="472" t="s">
        <v>4530</v>
      </c>
      <c r="E76" s="472" t="s">
        <v>4529</v>
      </c>
      <c r="F76" s="480" t="s">
        <v>4528</v>
      </c>
      <c r="G76" s="472" t="s">
        <v>4527</v>
      </c>
      <c r="H76" s="472" t="s">
        <v>811</v>
      </c>
      <c r="I76" s="472">
        <f>SUM(J76:M76)</f>
        <v>110</v>
      </c>
      <c r="J76" s="472"/>
      <c r="K76" s="472"/>
      <c r="L76" s="472">
        <v>100</v>
      </c>
      <c r="M76" s="472">
        <v>10</v>
      </c>
      <c r="N76" s="472"/>
      <c r="O76" s="472"/>
      <c r="P76" s="472" t="s">
        <v>5</v>
      </c>
      <c r="Q76" s="472" t="s">
        <v>1274</v>
      </c>
      <c r="R76" s="472" t="s">
        <v>36</v>
      </c>
      <c r="S76" s="472" t="s">
        <v>42</v>
      </c>
      <c r="T76" s="472"/>
      <c r="U76" s="472"/>
      <c r="V76" s="135">
        <v>152</v>
      </c>
      <c r="W76" s="135"/>
      <c r="X76" s="135"/>
      <c r="Y76" s="472" t="s">
        <v>64</v>
      </c>
      <c r="Z76" s="202" t="s">
        <v>1148</v>
      </c>
      <c r="AA76"/>
      <c r="AB76"/>
      <c r="AC76"/>
      <c r="AD76"/>
      <c r="AE76"/>
      <c r="AF76"/>
      <c r="AG76"/>
    </row>
    <row r="77" spans="1:33" s="171" customFormat="1" ht="50.1" customHeight="1">
      <c r="A77" s="126">
        <v>73</v>
      </c>
      <c r="B77" s="473" t="s">
        <v>4373</v>
      </c>
      <c r="C77" s="473" t="s">
        <v>4519</v>
      </c>
      <c r="D77" s="473" t="s">
        <v>4526</v>
      </c>
      <c r="E77" s="472" t="s">
        <v>4525</v>
      </c>
      <c r="F77" s="476" t="s">
        <v>1453</v>
      </c>
      <c r="G77" s="473" t="s">
        <v>4524</v>
      </c>
      <c r="H77" s="473" t="s">
        <v>4523</v>
      </c>
      <c r="I77" s="473">
        <v>1129</v>
      </c>
      <c r="J77" s="473"/>
      <c r="K77" s="473">
        <v>50</v>
      </c>
      <c r="L77" s="473">
        <v>1079</v>
      </c>
      <c r="M77" s="473"/>
      <c r="N77" s="473"/>
      <c r="O77" s="473"/>
      <c r="P77" s="473" t="s">
        <v>7</v>
      </c>
      <c r="Q77" s="473" t="s">
        <v>4522</v>
      </c>
      <c r="R77" s="473" t="s">
        <v>36</v>
      </c>
      <c r="S77" s="150" t="s">
        <v>55</v>
      </c>
      <c r="T77" s="473" t="s">
        <v>4521</v>
      </c>
      <c r="U77" s="473" t="s">
        <v>37</v>
      </c>
      <c r="V77" s="136">
        <f>SUM(W77:X77)</f>
        <v>95</v>
      </c>
      <c r="W77" s="136">
        <v>90</v>
      </c>
      <c r="X77" s="136">
        <v>5</v>
      </c>
      <c r="Y77" s="473" t="s">
        <v>4520</v>
      </c>
      <c r="Z77" s="202" t="s">
        <v>1148</v>
      </c>
    </row>
    <row r="78" spans="1:33" ht="50.1" customHeight="1">
      <c r="A78" s="125">
        <v>74</v>
      </c>
      <c r="B78" s="125" t="s">
        <v>4373</v>
      </c>
      <c r="C78" s="125" t="s">
        <v>4519</v>
      </c>
      <c r="D78" s="472" t="s">
        <v>4518</v>
      </c>
      <c r="E78" s="472" t="s">
        <v>4517</v>
      </c>
      <c r="F78" s="535" t="s">
        <v>1164</v>
      </c>
      <c r="G78" s="472" t="s">
        <v>4516</v>
      </c>
      <c r="H78" s="472" t="s">
        <v>4515</v>
      </c>
      <c r="I78" s="522">
        <v>80</v>
      </c>
      <c r="J78" s="522"/>
      <c r="K78" s="522"/>
      <c r="L78" s="522">
        <v>50</v>
      </c>
      <c r="M78" s="522">
        <v>30</v>
      </c>
      <c r="N78" s="472"/>
      <c r="O78" s="472"/>
      <c r="P78" s="511" t="s">
        <v>6</v>
      </c>
      <c r="Q78" s="511" t="s">
        <v>4514</v>
      </c>
      <c r="R78" s="511" t="s">
        <v>36</v>
      </c>
      <c r="S78" s="511" t="s">
        <v>42</v>
      </c>
      <c r="T78" s="511"/>
      <c r="U78" s="511" t="s">
        <v>38</v>
      </c>
      <c r="V78" s="135">
        <f>SUM(W78:X78)</f>
        <v>100</v>
      </c>
      <c r="W78" s="135">
        <v>100</v>
      </c>
      <c r="X78" s="135"/>
      <c r="Y78" s="472" t="s">
        <v>4513</v>
      </c>
      <c r="Z78" s="202" t="s">
        <v>1148</v>
      </c>
      <c r="AA78"/>
      <c r="AB78"/>
      <c r="AC78"/>
      <c r="AD78"/>
      <c r="AE78"/>
      <c r="AF78"/>
      <c r="AG78"/>
    </row>
    <row r="79" spans="1:33" ht="40.5" hidden="1">
      <c r="A79" s="125">
        <v>75</v>
      </c>
      <c r="B79" s="125" t="s">
        <v>4373</v>
      </c>
      <c r="C79" s="125" t="s">
        <v>4480</v>
      </c>
      <c r="D79" s="472" t="s">
        <v>4512</v>
      </c>
      <c r="E79" s="472" t="s">
        <v>4511</v>
      </c>
      <c r="F79" s="523" t="s">
        <v>4510</v>
      </c>
      <c r="G79" s="472" t="s">
        <v>4499</v>
      </c>
      <c r="H79" s="472" t="s">
        <v>367</v>
      </c>
      <c r="I79" s="522">
        <v>700</v>
      </c>
      <c r="J79" s="522"/>
      <c r="K79" s="522"/>
      <c r="L79" s="522">
        <v>700</v>
      </c>
      <c r="M79" s="522"/>
      <c r="N79" s="472"/>
      <c r="O79" s="472"/>
      <c r="P79" s="511" t="s">
        <v>48</v>
      </c>
      <c r="Q79" s="511" t="s">
        <v>4509</v>
      </c>
      <c r="R79" s="511" t="s">
        <v>36</v>
      </c>
      <c r="S79" s="511" t="s">
        <v>4496</v>
      </c>
      <c r="T79" s="511" t="s">
        <v>1434</v>
      </c>
      <c r="U79" s="511" t="s">
        <v>53</v>
      </c>
      <c r="V79" s="135">
        <f>SUM(W79:X79)</f>
        <v>150</v>
      </c>
      <c r="W79" s="135">
        <v>150</v>
      </c>
      <c r="X79" s="135"/>
      <c r="Y79" s="472" t="s">
        <v>4508</v>
      </c>
      <c r="Z79" s="137" t="s">
        <v>1145</v>
      </c>
    </row>
    <row r="80" spans="1:33" ht="50.1" customHeight="1">
      <c r="A80" s="125">
        <v>76</v>
      </c>
      <c r="B80" s="125" t="s">
        <v>4373</v>
      </c>
      <c r="C80" s="125" t="s">
        <v>4480</v>
      </c>
      <c r="D80" s="472" t="s">
        <v>4507</v>
      </c>
      <c r="E80" s="257" t="s">
        <v>4506</v>
      </c>
      <c r="F80" s="480" t="s">
        <v>4505</v>
      </c>
      <c r="G80" s="472" t="s">
        <v>4499</v>
      </c>
      <c r="H80" s="472" t="s">
        <v>100</v>
      </c>
      <c r="I80" s="474">
        <v>969</v>
      </c>
      <c r="J80" s="474"/>
      <c r="K80" s="474"/>
      <c r="L80" s="474">
        <v>969</v>
      </c>
      <c r="M80" s="474"/>
      <c r="N80" s="472"/>
      <c r="O80" s="472"/>
      <c r="P80" s="472" t="s">
        <v>5</v>
      </c>
      <c r="Q80" s="472" t="s">
        <v>4504</v>
      </c>
      <c r="R80" s="472" t="s">
        <v>36</v>
      </c>
      <c r="S80" s="472" t="s">
        <v>4496</v>
      </c>
      <c r="T80" s="472" t="s">
        <v>1434</v>
      </c>
      <c r="U80" s="472" t="s">
        <v>53</v>
      </c>
      <c r="V80" s="300">
        <f>SUM(W80:X80)</f>
        <v>100</v>
      </c>
      <c r="W80" s="300">
        <v>100</v>
      </c>
      <c r="X80" s="135"/>
      <c r="Y80" s="472" t="s">
        <v>4503</v>
      </c>
      <c r="Z80" s="202" t="s">
        <v>1148</v>
      </c>
      <c r="AA80"/>
      <c r="AB80"/>
      <c r="AC80"/>
      <c r="AD80"/>
      <c r="AE80"/>
      <c r="AF80"/>
      <c r="AG80"/>
    </row>
    <row r="81" spans="1:33" s="171" customFormat="1" ht="50.1" customHeight="1">
      <c r="A81" s="126">
        <v>77</v>
      </c>
      <c r="B81" s="126" t="s">
        <v>51</v>
      </c>
      <c r="C81" s="126" t="s">
        <v>4480</v>
      </c>
      <c r="D81" s="473" t="s">
        <v>4502</v>
      </c>
      <c r="E81" s="473" t="s">
        <v>4501</v>
      </c>
      <c r="F81" s="476" t="s">
        <v>4500</v>
      </c>
      <c r="G81" s="473" t="s">
        <v>4499</v>
      </c>
      <c r="H81" s="473" t="s">
        <v>4498</v>
      </c>
      <c r="I81" s="475">
        <v>682</v>
      </c>
      <c r="J81" s="475"/>
      <c r="K81" s="475"/>
      <c r="L81" s="475">
        <v>682</v>
      </c>
      <c r="M81" s="475"/>
      <c r="N81" s="473"/>
      <c r="O81" s="473"/>
      <c r="P81" s="473" t="s">
        <v>98</v>
      </c>
      <c r="Q81" s="473" t="s">
        <v>4497</v>
      </c>
      <c r="R81" s="473" t="s">
        <v>36</v>
      </c>
      <c r="S81" s="473" t="s">
        <v>4496</v>
      </c>
      <c r="T81" s="473" t="s">
        <v>1434</v>
      </c>
      <c r="U81" s="473" t="s">
        <v>53</v>
      </c>
      <c r="V81" s="136">
        <f>SUM(W81:X81)</f>
        <v>0</v>
      </c>
      <c r="W81" s="136">
        <v>0</v>
      </c>
      <c r="X81" s="136"/>
      <c r="Y81" s="473" t="s">
        <v>4495</v>
      </c>
      <c r="Z81" s="202" t="s">
        <v>1148</v>
      </c>
    </row>
    <row r="82" spans="1:33" s="171" customFormat="1" ht="50.1" customHeight="1">
      <c r="A82" s="126">
        <v>78</v>
      </c>
      <c r="B82" s="125" t="s">
        <v>51</v>
      </c>
      <c r="C82" s="125" t="s">
        <v>101</v>
      </c>
      <c r="D82" s="472" t="s">
        <v>4494</v>
      </c>
      <c r="E82" s="472" t="s">
        <v>4493</v>
      </c>
      <c r="F82" s="480" t="s">
        <v>4492</v>
      </c>
      <c r="G82" s="472" t="s">
        <v>4491</v>
      </c>
      <c r="H82" s="472" t="s">
        <v>367</v>
      </c>
      <c r="I82" s="474">
        <v>200</v>
      </c>
      <c r="J82" s="474"/>
      <c r="K82" s="474" t="s">
        <v>102</v>
      </c>
      <c r="L82" s="474">
        <v>200</v>
      </c>
      <c r="M82" s="474"/>
      <c r="N82" s="472"/>
      <c r="O82" s="472"/>
      <c r="P82" s="472" t="s">
        <v>6</v>
      </c>
      <c r="Q82" s="472" t="s">
        <v>4490</v>
      </c>
      <c r="R82" s="472" t="s">
        <v>36</v>
      </c>
      <c r="S82" s="472" t="s">
        <v>4489</v>
      </c>
      <c r="T82" s="472" t="s">
        <v>49</v>
      </c>
      <c r="U82" s="472" t="s">
        <v>53</v>
      </c>
      <c r="V82" s="135">
        <v>0</v>
      </c>
      <c r="W82" s="135">
        <v>0</v>
      </c>
      <c r="X82" s="135"/>
      <c r="Y82" s="472" t="s">
        <v>4488</v>
      </c>
      <c r="Z82" s="202" t="s">
        <v>1148</v>
      </c>
    </row>
    <row r="83" spans="1:33" ht="50.1" customHeight="1">
      <c r="A83" s="125">
        <v>79</v>
      </c>
      <c r="B83" s="125" t="s">
        <v>51</v>
      </c>
      <c r="C83" s="472" t="s">
        <v>4480</v>
      </c>
      <c r="D83" s="153" t="s">
        <v>4487</v>
      </c>
      <c r="E83" s="472" t="s">
        <v>4486</v>
      </c>
      <c r="F83" s="480" t="s">
        <v>4485</v>
      </c>
      <c r="G83" s="472" t="s">
        <v>4484</v>
      </c>
      <c r="H83" s="472" t="s">
        <v>403</v>
      </c>
      <c r="I83" s="472">
        <v>1440</v>
      </c>
      <c r="J83" s="472"/>
      <c r="K83" s="472">
        <v>720</v>
      </c>
      <c r="L83" s="472">
        <v>720</v>
      </c>
      <c r="M83" s="472"/>
      <c r="N83" s="472"/>
      <c r="O83" s="472"/>
      <c r="P83" s="472" t="s">
        <v>7</v>
      </c>
      <c r="Q83" s="472" t="s">
        <v>4483</v>
      </c>
      <c r="R83" s="472" t="s">
        <v>36</v>
      </c>
      <c r="S83" s="472" t="s">
        <v>4482</v>
      </c>
      <c r="T83" s="472" t="s">
        <v>49</v>
      </c>
      <c r="U83" s="472" t="s">
        <v>37</v>
      </c>
      <c r="V83" s="135">
        <v>20</v>
      </c>
      <c r="W83" s="135">
        <v>19.8</v>
      </c>
      <c r="X83" s="135">
        <v>0.2</v>
      </c>
      <c r="Y83" s="472" t="s">
        <v>4481</v>
      </c>
      <c r="Z83" s="202" t="s">
        <v>1148</v>
      </c>
      <c r="AA83"/>
      <c r="AB83"/>
      <c r="AC83"/>
      <c r="AD83"/>
      <c r="AE83"/>
      <c r="AF83"/>
      <c r="AG83"/>
    </row>
    <row r="84" spans="1:33" s="171" customFormat="1" ht="50.1" customHeight="1">
      <c r="A84" s="126">
        <v>80</v>
      </c>
      <c r="B84" s="125" t="s">
        <v>51</v>
      </c>
      <c r="C84" s="125" t="s">
        <v>4480</v>
      </c>
      <c r="D84" s="125" t="s">
        <v>4479</v>
      </c>
      <c r="E84" s="472" t="s">
        <v>4478</v>
      </c>
      <c r="F84" s="480" t="s">
        <v>4477</v>
      </c>
      <c r="G84" s="472" t="s">
        <v>4476</v>
      </c>
      <c r="H84" s="135" t="s">
        <v>40</v>
      </c>
      <c r="I84" s="135">
        <v>140</v>
      </c>
      <c r="J84" s="135"/>
      <c r="K84" s="135" t="s">
        <v>102</v>
      </c>
      <c r="L84" s="135">
        <v>140</v>
      </c>
      <c r="M84" s="135"/>
      <c r="N84" s="135"/>
      <c r="O84" s="135"/>
      <c r="P84" s="135" t="s">
        <v>5</v>
      </c>
      <c r="Q84" s="135" t="s">
        <v>4475</v>
      </c>
      <c r="R84" s="135" t="s">
        <v>36</v>
      </c>
      <c r="S84" s="135" t="s">
        <v>4474</v>
      </c>
      <c r="T84" s="135" t="s">
        <v>1434</v>
      </c>
      <c r="U84" s="135" t="s">
        <v>53</v>
      </c>
      <c r="V84" s="135">
        <v>300</v>
      </c>
      <c r="W84" s="135">
        <v>300</v>
      </c>
      <c r="X84" s="135"/>
      <c r="Y84" s="135" t="s">
        <v>4473</v>
      </c>
      <c r="Z84" s="202" t="s">
        <v>1148</v>
      </c>
      <c r="AA84"/>
      <c r="AB84"/>
      <c r="AC84"/>
      <c r="AD84"/>
      <c r="AE84"/>
      <c r="AF84"/>
      <c r="AG84"/>
    </row>
    <row r="85" spans="1:33" ht="67.5">
      <c r="A85" s="125">
        <v>81</v>
      </c>
      <c r="B85" s="125" t="s">
        <v>4373</v>
      </c>
      <c r="C85" s="472" t="s">
        <v>4461</v>
      </c>
      <c r="D85" s="472" t="s">
        <v>4472</v>
      </c>
      <c r="E85" s="472" t="s">
        <v>4471</v>
      </c>
      <c r="F85" s="480" t="s">
        <v>4470</v>
      </c>
      <c r="G85" s="472" t="s">
        <v>4469</v>
      </c>
      <c r="H85" s="472" t="s">
        <v>4468</v>
      </c>
      <c r="I85" s="155">
        <v>2900</v>
      </c>
      <c r="J85" s="472"/>
      <c r="K85" s="155"/>
      <c r="L85" s="472">
        <v>2900</v>
      </c>
      <c r="M85" s="472"/>
      <c r="N85" s="472"/>
      <c r="O85" s="472"/>
      <c r="P85" s="472" t="s">
        <v>2</v>
      </c>
      <c r="Q85" s="472" t="s">
        <v>4467</v>
      </c>
      <c r="R85" s="472" t="s">
        <v>36</v>
      </c>
      <c r="S85" s="472" t="s">
        <v>199</v>
      </c>
      <c r="T85" s="472" t="s">
        <v>4462</v>
      </c>
      <c r="U85" s="472" t="s">
        <v>38</v>
      </c>
      <c r="V85" s="135">
        <f>SUM(W85:X85)</f>
        <v>1840</v>
      </c>
      <c r="W85" s="135">
        <v>1694</v>
      </c>
      <c r="X85" s="135">
        <v>146</v>
      </c>
      <c r="Y85" s="472" t="s">
        <v>812</v>
      </c>
      <c r="Z85" s="202" t="s">
        <v>4466</v>
      </c>
      <c r="AA85"/>
      <c r="AB85"/>
      <c r="AC85"/>
      <c r="AD85"/>
      <c r="AE85"/>
      <c r="AF85"/>
      <c r="AG85"/>
    </row>
    <row r="86" spans="1:33" ht="50.1" customHeight="1">
      <c r="A86" s="125">
        <v>82</v>
      </c>
      <c r="B86" s="125" t="s">
        <v>51</v>
      </c>
      <c r="C86" s="472" t="s">
        <v>126</v>
      </c>
      <c r="D86" s="472" t="s">
        <v>127</v>
      </c>
      <c r="E86" s="472" t="s">
        <v>4465</v>
      </c>
      <c r="F86" s="157" t="s">
        <v>4464</v>
      </c>
      <c r="G86" s="472" t="s">
        <v>4463</v>
      </c>
      <c r="H86" s="472" t="s">
        <v>244</v>
      </c>
      <c r="I86" s="472">
        <v>259</v>
      </c>
      <c r="J86" s="472"/>
      <c r="K86" s="472"/>
      <c r="L86" s="472">
        <v>259</v>
      </c>
      <c r="M86" s="472"/>
      <c r="N86" s="472"/>
      <c r="O86" s="472"/>
      <c r="P86" s="472" t="s">
        <v>67</v>
      </c>
      <c r="Q86" s="472" t="s">
        <v>128</v>
      </c>
      <c r="R86" s="472" t="s">
        <v>56</v>
      </c>
      <c r="S86" s="472" t="s">
        <v>199</v>
      </c>
      <c r="T86" s="472" t="s">
        <v>4462</v>
      </c>
      <c r="U86" s="472" t="s">
        <v>38</v>
      </c>
      <c r="V86" s="314">
        <f>SUM(W86:X86)</f>
        <v>46520</v>
      </c>
      <c r="W86" s="314">
        <v>46045</v>
      </c>
      <c r="X86" s="314">
        <v>475</v>
      </c>
      <c r="Y86" s="472" t="s">
        <v>812</v>
      </c>
      <c r="Z86" s="202" t="s">
        <v>1148</v>
      </c>
      <c r="AA86"/>
      <c r="AB86"/>
      <c r="AC86"/>
      <c r="AD86"/>
      <c r="AE86"/>
      <c r="AF86"/>
      <c r="AG86"/>
    </row>
    <row r="87" spans="1:33" ht="50.1" customHeight="1">
      <c r="A87" s="125">
        <v>83</v>
      </c>
      <c r="B87" s="125" t="s">
        <v>51</v>
      </c>
      <c r="C87" s="472" t="s">
        <v>4461</v>
      </c>
      <c r="D87" s="472" t="s">
        <v>4460</v>
      </c>
      <c r="E87" s="472" t="s">
        <v>4459</v>
      </c>
      <c r="F87" s="476" t="s">
        <v>129</v>
      </c>
      <c r="G87" s="472" t="s">
        <v>4458</v>
      </c>
      <c r="H87" s="472" t="s">
        <v>238</v>
      </c>
      <c r="I87" s="472">
        <v>640</v>
      </c>
      <c r="J87" s="472"/>
      <c r="K87" s="472">
        <v>40</v>
      </c>
      <c r="L87" s="472">
        <v>600</v>
      </c>
      <c r="M87" s="472"/>
      <c r="N87" s="472"/>
      <c r="O87" s="472"/>
      <c r="P87" s="472" t="s">
        <v>41</v>
      </c>
      <c r="Q87" s="472" t="s">
        <v>4457</v>
      </c>
      <c r="R87" s="472" t="s">
        <v>36</v>
      </c>
      <c r="S87" s="472" t="s">
        <v>42</v>
      </c>
      <c r="T87" s="103" t="s">
        <v>49</v>
      </c>
      <c r="U87" s="472" t="s">
        <v>53</v>
      </c>
      <c r="V87" s="472">
        <f>SUM(W87:X87)</f>
        <v>111.2</v>
      </c>
      <c r="W87" s="472">
        <v>110</v>
      </c>
      <c r="X87" s="472">
        <v>1.2</v>
      </c>
      <c r="Y87" s="472" t="s">
        <v>445</v>
      </c>
      <c r="Z87" s="202" t="s">
        <v>1148</v>
      </c>
      <c r="AA87"/>
      <c r="AB87"/>
      <c r="AC87"/>
      <c r="AD87"/>
      <c r="AE87"/>
      <c r="AF87"/>
      <c r="AG87"/>
    </row>
    <row r="88" spans="1:33" ht="50.1" customHeight="1">
      <c r="A88" s="125">
        <v>84</v>
      </c>
      <c r="B88" s="125" t="s">
        <v>4373</v>
      </c>
      <c r="C88" s="125" t="s">
        <v>4435</v>
      </c>
      <c r="D88" s="103" t="s">
        <v>4456</v>
      </c>
      <c r="E88" s="472" t="s">
        <v>4455</v>
      </c>
      <c r="F88" s="132" t="s">
        <v>4454</v>
      </c>
      <c r="G88" s="103" t="s">
        <v>4453</v>
      </c>
      <c r="H88" s="472" t="s">
        <v>4452</v>
      </c>
      <c r="I88" s="472">
        <v>290</v>
      </c>
      <c r="J88" s="472"/>
      <c r="K88" s="472"/>
      <c r="L88" s="472">
        <v>290</v>
      </c>
      <c r="M88" s="472"/>
      <c r="N88" s="472"/>
      <c r="O88" s="472"/>
      <c r="P88" s="103" t="s">
        <v>6</v>
      </c>
      <c r="Q88" s="103" t="s">
        <v>4451</v>
      </c>
      <c r="R88" s="472" t="s">
        <v>4450</v>
      </c>
      <c r="S88" s="103" t="s">
        <v>4429</v>
      </c>
      <c r="T88" s="103" t="s">
        <v>107</v>
      </c>
      <c r="U88" s="472" t="s">
        <v>53</v>
      </c>
      <c r="V88" s="472">
        <v>200</v>
      </c>
      <c r="W88" s="472">
        <v>200</v>
      </c>
      <c r="X88" s="472"/>
      <c r="Y88" s="472" t="s">
        <v>4443</v>
      </c>
      <c r="Z88" s="202" t="s">
        <v>1148</v>
      </c>
      <c r="AA88"/>
      <c r="AB88"/>
      <c r="AC88"/>
      <c r="AD88"/>
      <c r="AE88"/>
      <c r="AF88"/>
      <c r="AG88"/>
    </row>
    <row r="89" spans="1:33" ht="50.1" customHeight="1">
      <c r="A89" s="125">
        <v>85</v>
      </c>
      <c r="B89" s="125" t="s">
        <v>4373</v>
      </c>
      <c r="C89" s="125" t="s">
        <v>4435</v>
      </c>
      <c r="D89" s="103" t="s">
        <v>4449</v>
      </c>
      <c r="E89" s="472" t="s">
        <v>4448</v>
      </c>
      <c r="F89" s="132" t="s">
        <v>4447</v>
      </c>
      <c r="G89" s="103" t="s">
        <v>4446</v>
      </c>
      <c r="H89" s="472" t="s">
        <v>108</v>
      </c>
      <c r="I89" s="472">
        <v>440</v>
      </c>
      <c r="J89" s="472"/>
      <c r="K89" s="472"/>
      <c r="L89" s="472">
        <v>440</v>
      </c>
      <c r="M89" s="472"/>
      <c r="N89" s="472"/>
      <c r="O89" s="472"/>
      <c r="P89" s="103" t="s">
        <v>5</v>
      </c>
      <c r="Q89" s="103" t="s">
        <v>4445</v>
      </c>
      <c r="R89" s="472" t="s">
        <v>4444</v>
      </c>
      <c r="S89" s="103" t="s">
        <v>4429</v>
      </c>
      <c r="T89" s="103" t="s">
        <v>107</v>
      </c>
      <c r="U89" s="472" t="s">
        <v>53</v>
      </c>
      <c r="V89" s="472">
        <f t="shared" ref="V89:V94" si="1">SUM(W89:X89)</f>
        <v>70</v>
      </c>
      <c r="W89" s="472">
        <v>70</v>
      </c>
      <c r="X89" s="472"/>
      <c r="Y89" s="472" t="s">
        <v>4443</v>
      </c>
      <c r="Z89" s="202" t="s">
        <v>1148</v>
      </c>
      <c r="AA89"/>
      <c r="AB89"/>
      <c r="AC89"/>
      <c r="AD89"/>
      <c r="AE89"/>
      <c r="AF89"/>
      <c r="AG89"/>
    </row>
    <row r="90" spans="1:33" ht="50.1" customHeight="1">
      <c r="A90" s="125">
        <v>86</v>
      </c>
      <c r="B90" s="125" t="s">
        <v>4373</v>
      </c>
      <c r="C90" s="125" t="s">
        <v>4435</v>
      </c>
      <c r="D90" s="103" t="s">
        <v>4442</v>
      </c>
      <c r="E90" s="472" t="s">
        <v>4441</v>
      </c>
      <c r="F90" s="132" t="s">
        <v>4440</v>
      </c>
      <c r="G90" s="103" t="s">
        <v>4439</v>
      </c>
      <c r="H90" s="472" t="s">
        <v>4438</v>
      </c>
      <c r="I90" s="472">
        <v>295</v>
      </c>
      <c r="J90" s="472"/>
      <c r="K90" s="472"/>
      <c r="L90" s="472">
        <v>295</v>
      </c>
      <c r="M90" s="472"/>
      <c r="N90" s="472"/>
      <c r="O90" s="472"/>
      <c r="P90" s="103" t="s">
        <v>31</v>
      </c>
      <c r="Q90" s="103"/>
      <c r="R90" s="472" t="s">
        <v>4437</v>
      </c>
      <c r="S90" s="103" t="s">
        <v>4429</v>
      </c>
      <c r="T90" s="103" t="s">
        <v>107</v>
      </c>
      <c r="U90" s="472" t="s">
        <v>53</v>
      </c>
      <c r="V90" s="472">
        <f t="shared" si="1"/>
        <v>50</v>
      </c>
      <c r="W90" s="472">
        <v>50</v>
      </c>
      <c r="X90" s="472"/>
      <c r="Y90" s="472" t="s">
        <v>4436</v>
      </c>
      <c r="Z90" s="202" t="s">
        <v>1148</v>
      </c>
    </row>
    <row r="91" spans="1:33" ht="50.1" customHeight="1">
      <c r="A91" s="125">
        <v>87</v>
      </c>
      <c r="B91" s="125" t="s">
        <v>4373</v>
      </c>
      <c r="C91" s="125" t="s">
        <v>4435</v>
      </c>
      <c r="D91" s="103" t="s">
        <v>4434</v>
      </c>
      <c r="E91" s="472" t="s">
        <v>1309</v>
      </c>
      <c r="F91" s="132" t="s">
        <v>4433</v>
      </c>
      <c r="G91" s="103" t="s">
        <v>6044</v>
      </c>
      <c r="H91" s="472" t="s">
        <v>4432</v>
      </c>
      <c r="I91" s="472">
        <v>150</v>
      </c>
      <c r="J91" s="472"/>
      <c r="K91" s="472" t="s">
        <v>621</v>
      </c>
      <c r="L91" s="472">
        <v>150</v>
      </c>
      <c r="M91" s="472"/>
      <c r="N91" s="472"/>
      <c r="O91" s="472"/>
      <c r="P91" s="103" t="s">
        <v>6</v>
      </c>
      <c r="Q91" s="103" t="s">
        <v>4431</v>
      </c>
      <c r="R91" s="472" t="s">
        <v>4430</v>
      </c>
      <c r="S91" s="103" t="s">
        <v>4429</v>
      </c>
      <c r="T91" s="103" t="s">
        <v>107</v>
      </c>
      <c r="U91" s="472" t="s">
        <v>53</v>
      </c>
      <c r="V91" s="472">
        <f t="shared" si="1"/>
        <v>0</v>
      </c>
      <c r="W91" s="472"/>
      <c r="X91" s="472"/>
      <c r="Y91" s="472" t="s">
        <v>4428</v>
      </c>
      <c r="Z91" s="202" t="s">
        <v>1148</v>
      </c>
    </row>
    <row r="92" spans="1:33" ht="67.5" hidden="1">
      <c r="A92" s="125">
        <v>88</v>
      </c>
      <c r="B92" s="125" t="s">
        <v>51</v>
      </c>
      <c r="C92" s="125" t="s">
        <v>4413</v>
      </c>
      <c r="D92" s="103" t="s">
        <v>4427</v>
      </c>
      <c r="E92" s="472" t="s">
        <v>4426</v>
      </c>
      <c r="F92" s="132" t="s">
        <v>4425</v>
      </c>
      <c r="G92" s="103" t="s">
        <v>4424</v>
      </c>
      <c r="H92" s="472" t="s">
        <v>3311</v>
      </c>
      <c r="I92" s="472">
        <v>1720</v>
      </c>
      <c r="J92" s="125"/>
      <c r="K92" s="125"/>
      <c r="L92" s="125">
        <v>1720</v>
      </c>
      <c r="M92" s="125"/>
      <c r="N92" s="125"/>
      <c r="O92" s="125"/>
      <c r="P92" s="103" t="s">
        <v>48</v>
      </c>
      <c r="Q92" s="103" t="s">
        <v>4423</v>
      </c>
      <c r="R92" s="472" t="s">
        <v>36</v>
      </c>
      <c r="S92" s="472" t="s">
        <v>199</v>
      </c>
      <c r="T92" s="103" t="s">
        <v>4422</v>
      </c>
      <c r="U92" s="472" t="s">
        <v>37</v>
      </c>
      <c r="V92" s="472">
        <f t="shared" si="1"/>
        <v>113</v>
      </c>
      <c r="W92" s="472">
        <v>113</v>
      </c>
      <c r="X92" s="472"/>
      <c r="Y92" s="472" t="s">
        <v>4421</v>
      </c>
      <c r="Z92" s="137" t="s">
        <v>1145</v>
      </c>
    </row>
    <row r="93" spans="1:33" ht="67.5">
      <c r="A93" s="125">
        <v>89</v>
      </c>
      <c r="B93" s="125" t="s">
        <v>51</v>
      </c>
      <c r="C93" s="125" t="s">
        <v>4413</v>
      </c>
      <c r="D93" s="103" t="s">
        <v>4420</v>
      </c>
      <c r="E93" s="472" t="s">
        <v>4419</v>
      </c>
      <c r="F93" s="132" t="s">
        <v>4418</v>
      </c>
      <c r="G93" s="103" t="s">
        <v>4417</v>
      </c>
      <c r="H93" s="472" t="s">
        <v>449</v>
      </c>
      <c r="I93" s="472">
        <v>700</v>
      </c>
      <c r="J93" s="103"/>
      <c r="K93" s="103"/>
      <c r="L93" s="103">
        <v>700</v>
      </c>
      <c r="M93" s="103"/>
      <c r="N93" s="103"/>
      <c r="O93" s="103"/>
      <c r="P93" s="103" t="s">
        <v>48</v>
      </c>
      <c r="Q93" s="103" t="s">
        <v>4416</v>
      </c>
      <c r="R93" s="472" t="s">
        <v>36</v>
      </c>
      <c r="S93" s="103" t="s">
        <v>199</v>
      </c>
      <c r="T93" s="103" t="s">
        <v>4415</v>
      </c>
      <c r="U93" s="472" t="s">
        <v>37</v>
      </c>
      <c r="V93" s="472">
        <f t="shared" si="1"/>
        <v>64</v>
      </c>
      <c r="W93" s="472">
        <v>64</v>
      </c>
      <c r="X93" s="472"/>
      <c r="Y93" s="472" t="s">
        <v>4414</v>
      </c>
      <c r="Z93" s="468" t="s">
        <v>6057</v>
      </c>
      <c r="AA93" s="467"/>
      <c r="AB93" s="466"/>
    </row>
    <row r="94" spans="1:33" ht="50.1" customHeight="1" thickBot="1">
      <c r="A94" s="193">
        <v>90</v>
      </c>
      <c r="B94" s="193" t="s">
        <v>51</v>
      </c>
      <c r="C94" s="193" t="s">
        <v>4413</v>
      </c>
      <c r="D94" s="194" t="s">
        <v>4412</v>
      </c>
      <c r="E94" s="194" t="s">
        <v>4411</v>
      </c>
      <c r="F94" s="133" t="s">
        <v>4410</v>
      </c>
      <c r="G94" s="131" t="s">
        <v>4409</v>
      </c>
      <c r="H94" s="472" t="s">
        <v>321</v>
      </c>
      <c r="I94" s="472">
        <v>146</v>
      </c>
      <c r="J94" s="160"/>
      <c r="K94" s="160"/>
      <c r="L94" s="160">
        <v>120</v>
      </c>
      <c r="M94" s="160">
        <v>26</v>
      </c>
      <c r="N94" s="160"/>
      <c r="O94" s="160"/>
      <c r="P94" s="103" t="s">
        <v>41</v>
      </c>
      <c r="Q94" s="103" t="s">
        <v>4408</v>
      </c>
      <c r="R94" s="472" t="s">
        <v>36</v>
      </c>
      <c r="S94" s="103" t="s">
        <v>42</v>
      </c>
      <c r="T94" s="103" t="s">
        <v>49</v>
      </c>
      <c r="U94" s="472" t="s">
        <v>38</v>
      </c>
      <c r="V94" s="472">
        <f t="shared" si="1"/>
        <v>20</v>
      </c>
      <c r="W94" s="472">
        <v>20</v>
      </c>
      <c r="X94" s="472"/>
      <c r="Y94" s="194" t="s">
        <v>4407</v>
      </c>
      <c r="Z94" s="471" t="s">
        <v>1148</v>
      </c>
      <c r="AA94"/>
      <c r="AB94"/>
      <c r="AC94"/>
      <c r="AD94"/>
      <c r="AE94"/>
      <c r="AF94"/>
      <c r="AG94"/>
    </row>
    <row r="95" spans="1:33" ht="81">
      <c r="A95" s="327">
        <v>91</v>
      </c>
      <c r="B95" s="327" t="s">
        <v>51</v>
      </c>
      <c r="C95" s="327" t="s">
        <v>109</v>
      </c>
      <c r="D95" s="478" t="s">
        <v>4406</v>
      </c>
      <c r="E95" s="478" t="s">
        <v>4405</v>
      </c>
      <c r="F95" s="208" t="s">
        <v>4404</v>
      </c>
      <c r="G95" s="478" t="s">
        <v>110</v>
      </c>
      <c r="H95" s="472" t="s">
        <v>1028</v>
      </c>
      <c r="I95" s="472">
        <v>100</v>
      </c>
      <c r="J95" s="472"/>
      <c r="K95" s="472"/>
      <c r="L95" s="472">
        <v>90</v>
      </c>
      <c r="M95" s="472">
        <v>10</v>
      </c>
      <c r="N95" s="472"/>
      <c r="O95" s="472"/>
      <c r="P95" s="472" t="s">
        <v>41</v>
      </c>
      <c r="Q95" s="472" t="s">
        <v>111</v>
      </c>
      <c r="R95" s="472" t="s">
        <v>56</v>
      </c>
      <c r="S95" s="472" t="s">
        <v>83</v>
      </c>
      <c r="T95" s="103" t="s">
        <v>61</v>
      </c>
      <c r="U95" s="472" t="s">
        <v>112</v>
      </c>
      <c r="V95" s="472">
        <v>30</v>
      </c>
      <c r="W95" s="472">
        <v>30</v>
      </c>
      <c r="X95" s="472"/>
      <c r="Y95" s="478" t="s">
        <v>113</v>
      </c>
      <c r="Z95" s="462" t="s">
        <v>1148</v>
      </c>
      <c r="AA95"/>
      <c r="AB95"/>
      <c r="AC95"/>
      <c r="AD95"/>
      <c r="AE95"/>
      <c r="AF95"/>
      <c r="AG95"/>
    </row>
    <row r="96" spans="1:33" ht="50.1" customHeight="1">
      <c r="A96" s="435">
        <v>92</v>
      </c>
      <c r="B96" s="435" t="s">
        <v>51</v>
      </c>
      <c r="C96" s="436" t="s">
        <v>109</v>
      </c>
      <c r="D96" s="437" t="s">
        <v>114</v>
      </c>
      <c r="E96" s="438" t="s">
        <v>4403</v>
      </c>
      <c r="F96" s="439" t="s">
        <v>115</v>
      </c>
      <c r="G96" s="438" t="s">
        <v>116</v>
      </c>
      <c r="H96" s="70" t="s">
        <v>117</v>
      </c>
      <c r="I96" s="479">
        <v>473</v>
      </c>
      <c r="J96" s="71"/>
      <c r="K96" s="68"/>
      <c r="L96" s="68">
        <v>473</v>
      </c>
      <c r="M96" s="70"/>
      <c r="N96" s="69"/>
      <c r="O96" s="351"/>
      <c r="P96" s="386" t="s">
        <v>46</v>
      </c>
      <c r="Q96" s="67" t="s">
        <v>118</v>
      </c>
      <c r="R96" s="70" t="s">
        <v>56</v>
      </c>
      <c r="S96" s="386" t="s">
        <v>83</v>
      </c>
      <c r="T96" s="66" t="s">
        <v>61</v>
      </c>
      <c r="U96" s="67" t="s">
        <v>76</v>
      </c>
      <c r="V96" s="479">
        <v>10</v>
      </c>
      <c r="W96" s="479">
        <v>10</v>
      </c>
      <c r="X96" s="479"/>
      <c r="Y96" s="479" t="s">
        <v>119</v>
      </c>
      <c r="Z96" s="202" t="s">
        <v>1148</v>
      </c>
      <c r="AA96"/>
      <c r="AB96"/>
      <c r="AC96"/>
      <c r="AD96"/>
      <c r="AE96"/>
      <c r="AF96"/>
      <c r="AG96"/>
    </row>
    <row r="97" spans="1:33" ht="50.1" customHeight="1">
      <c r="A97" s="62">
        <v>93</v>
      </c>
      <c r="B97" s="62" t="s">
        <v>51</v>
      </c>
      <c r="C97" s="61" t="s">
        <v>109</v>
      </c>
      <c r="D97" s="40" t="s">
        <v>120</v>
      </c>
      <c r="E97" s="41" t="s">
        <v>121</v>
      </c>
      <c r="F97" s="17" t="s">
        <v>122</v>
      </c>
      <c r="G97" s="41" t="s">
        <v>123</v>
      </c>
      <c r="H97" s="44" t="s">
        <v>426</v>
      </c>
      <c r="I97" s="41">
        <v>530</v>
      </c>
      <c r="J97" s="64"/>
      <c r="K97" s="58"/>
      <c r="L97" s="58">
        <v>530</v>
      </c>
      <c r="M97" s="44"/>
      <c r="N97" s="45"/>
      <c r="O97" s="40"/>
      <c r="P97" s="46" t="s">
        <v>41</v>
      </c>
      <c r="Q97" s="47" t="s">
        <v>124</v>
      </c>
      <c r="R97" s="44" t="s">
        <v>56</v>
      </c>
      <c r="S97" s="46" t="s">
        <v>83</v>
      </c>
      <c r="T97" s="48" t="s">
        <v>61</v>
      </c>
      <c r="U97" s="47" t="s">
        <v>76</v>
      </c>
      <c r="V97" s="41">
        <v>160</v>
      </c>
      <c r="W97" s="41">
        <v>160</v>
      </c>
      <c r="X97" s="41"/>
      <c r="Y97" s="41" t="s">
        <v>125</v>
      </c>
      <c r="Z97" s="202" t="s">
        <v>1148</v>
      </c>
    </row>
    <row r="98" spans="1:33" ht="50.1" customHeight="1">
      <c r="A98" s="62">
        <v>94</v>
      </c>
      <c r="B98" s="62" t="s">
        <v>4373</v>
      </c>
      <c r="C98" s="61" t="s">
        <v>1452</v>
      </c>
      <c r="D98" s="40" t="s">
        <v>4402</v>
      </c>
      <c r="E98" s="41" t="s">
        <v>4401</v>
      </c>
      <c r="F98" s="17" t="s">
        <v>4400</v>
      </c>
      <c r="G98" s="41" t="s">
        <v>6043</v>
      </c>
      <c r="H98" s="44" t="s">
        <v>1227</v>
      </c>
      <c r="I98" s="41">
        <v>200</v>
      </c>
      <c r="J98" s="64"/>
      <c r="K98" s="58" t="s">
        <v>621</v>
      </c>
      <c r="L98" s="58">
        <v>180</v>
      </c>
      <c r="M98" s="44">
        <v>20</v>
      </c>
      <c r="N98" s="45"/>
      <c r="O98" s="40"/>
      <c r="P98" s="46" t="s">
        <v>6</v>
      </c>
      <c r="Q98" s="47" t="s">
        <v>4399</v>
      </c>
      <c r="R98" s="44" t="s">
        <v>36</v>
      </c>
      <c r="S98" s="46" t="s">
        <v>83</v>
      </c>
      <c r="T98" s="48" t="s">
        <v>61</v>
      </c>
      <c r="U98" s="47" t="s">
        <v>76</v>
      </c>
      <c r="V98" s="41">
        <v>100</v>
      </c>
      <c r="W98" s="41">
        <v>100</v>
      </c>
      <c r="X98" s="41"/>
      <c r="Y98" s="41" t="s">
        <v>4398</v>
      </c>
      <c r="Z98" s="202" t="s">
        <v>1148</v>
      </c>
    </row>
    <row r="99" spans="1:33" ht="47.25" customHeight="1">
      <c r="A99" s="62">
        <v>95</v>
      </c>
      <c r="B99" s="62" t="s">
        <v>4373</v>
      </c>
      <c r="C99" s="61" t="s">
        <v>4385</v>
      </c>
      <c r="D99" s="41" t="s">
        <v>4397</v>
      </c>
      <c r="E99" s="41" t="s">
        <v>4396</v>
      </c>
      <c r="F99" s="42" t="s">
        <v>4395</v>
      </c>
      <c r="G99" s="533" t="s">
        <v>4394</v>
      </c>
      <c r="H99" s="41" t="s">
        <v>304</v>
      </c>
      <c r="I99" s="41">
        <v>539</v>
      </c>
      <c r="J99" s="64"/>
      <c r="K99" s="58"/>
      <c r="L99" s="58">
        <v>539</v>
      </c>
      <c r="M99" s="44"/>
      <c r="N99" s="45"/>
      <c r="O99" s="44"/>
      <c r="P99" s="59" t="s">
        <v>6</v>
      </c>
      <c r="Q99" s="47" t="s">
        <v>4393</v>
      </c>
      <c r="R99" s="41" t="s">
        <v>36</v>
      </c>
      <c r="S99" s="59" t="s">
        <v>4387</v>
      </c>
      <c r="T99" s="48" t="s">
        <v>49</v>
      </c>
      <c r="U99" s="47" t="s">
        <v>38</v>
      </c>
      <c r="V99" s="41">
        <f>SUM(W99:X99)</f>
        <v>47</v>
      </c>
      <c r="W99" s="41">
        <v>45</v>
      </c>
      <c r="X99" s="41">
        <v>2</v>
      </c>
      <c r="Y99" s="41" t="s">
        <v>4392</v>
      </c>
      <c r="Z99" s="202" t="s">
        <v>5588</v>
      </c>
    </row>
    <row r="100" spans="1:33" ht="54">
      <c r="A100" s="62">
        <v>96</v>
      </c>
      <c r="B100" s="62" t="s">
        <v>4373</v>
      </c>
      <c r="C100" s="61" t="s">
        <v>4385</v>
      </c>
      <c r="D100" s="41" t="s">
        <v>4391</v>
      </c>
      <c r="E100" s="41" t="s">
        <v>4390</v>
      </c>
      <c r="F100" s="42" t="s">
        <v>4389</v>
      </c>
      <c r="G100" s="534"/>
      <c r="H100" s="41" t="s">
        <v>304</v>
      </c>
      <c r="I100" s="41">
        <v>610</v>
      </c>
      <c r="J100" s="64"/>
      <c r="K100" s="58"/>
      <c r="L100" s="58">
        <v>610</v>
      </c>
      <c r="M100" s="44"/>
      <c r="N100" s="45"/>
      <c r="O100" s="44"/>
      <c r="P100" s="59" t="s">
        <v>5</v>
      </c>
      <c r="Q100" s="47" t="s">
        <v>4388</v>
      </c>
      <c r="R100" s="41" t="s">
        <v>36</v>
      </c>
      <c r="S100" s="59" t="s">
        <v>4387</v>
      </c>
      <c r="T100" s="48" t="s">
        <v>49</v>
      </c>
      <c r="U100" s="47" t="s">
        <v>38</v>
      </c>
      <c r="V100" s="41">
        <f>SUM(W100:X100)</f>
        <v>45</v>
      </c>
      <c r="W100" s="41">
        <v>43</v>
      </c>
      <c r="X100" s="41">
        <v>2</v>
      </c>
      <c r="Y100" s="41" t="s">
        <v>4386</v>
      </c>
      <c r="Z100" s="202" t="s">
        <v>1148</v>
      </c>
    </row>
    <row r="101" spans="1:33" ht="83.25" thickBot="1">
      <c r="A101" s="435">
        <v>97</v>
      </c>
      <c r="B101" s="440" t="s">
        <v>51</v>
      </c>
      <c r="C101" s="441" t="s">
        <v>4385</v>
      </c>
      <c r="D101" s="442" t="s">
        <v>4384</v>
      </c>
      <c r="E101" s="442" t="s">
        <v>4383</v>
      </c>
      <c r="F101" s="443" t="s">
        <v>4382</v>
      </c>
      <c r="G101" s="442" t="s">
        <v>4381</v>
      </c>
      <c r="H101" s="72" t="s">
        <v>3666</v>
      </c>
      <c r="I101" s="72">
        <v>555</v>
      </c>
      <c r="J101" s="354"/>
      <c r="K101" s="74"/>
      <c r="L101" s="74">
        <v>555</v>
      </c>
      <c r="M101" s="73"/>
      <c r="N101" s="75"/>
      <c r="O101" s="73"/>
      <c r="P101" s="78" t="s">
        <v>52</v>
      </c>
      <c r="Q101" s="76" t="s">
        <v>4380</v>
      </c>
      <c r="R101" s="72" t="s">
        <v>36</v>
      </c>
      <c r="S101" s="78" t="s">
        <v>42</v>
      </c>
      <c r="T101" s="387" t="s">
        <v>49</v>
      </c>
      <c r="U101" s="77" t="s">
        <v>38</v>
      </c>
      <c r="V101" s="72">
        <v>30</v>
      </c>
      <c r="W101" s="73">
        <v>30</v>
      </c>
      <c r="X101" s="72"/>
      <c r="Y101" s="72" t="s">
        <v>4379</v>
      </c>
      <c r="Z101" s="471" t="s">
        <v>1148</v>
      </c>
      <c r="AA101"/>
      <c r="AB101"/>
      <c r="AC101"/>
      <c r="AD101"/>
      <c r="AE101"/>
      <c r="AF101"/>
      <c r="AG101"/>
    </row>
    <row r="102" spans="1:33" s="355" customFormat="1" ht="36.75" customHeight="1">
      <c r="A102" s="352"/>
      <c r="B102" s="353" t="s">
        <v>4378</v>
      </c>
      <c r="C102" s="352"/>
      <c r="D102" s="352"/>
      <c r="E102" s="352"/>
      <c r="F102" s="28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 t="s">
        <v>7</v>
      </c>
      <c r="Q102" s="352"/>
      <c r="R102" s="352"/>
      <c r="S102" s="352"/>
      <c r="T102" s="352"/>
      <c r="U102" s="352"/>
      <c r="V102" s="352"/>
      <c r="W102" s="352"/>
      <c r="X102" s="352"/>
      <c r="Y102" s="352"/>
      <c r="Z102" s="245"/>
      <c r="AA102"/>
      <c r="AB102"/>
      <c r="AC102"/>
      <c r="AD102"/>
      <c r="AE102"/>
      <c r="AF102"/>
      <c r="AG102"/>
    </row>
    <row r="103" spans="1:33" s="355" customFormat="1" ht="36.75" customHeight="1">
      <c r="A103" s="352"/>
      <c r="B103" s="353" t="s">
        <v>847</v>
      </c>
      <c r="C103" s="352"/>
      <c r="D103" s="352"/>
      <c r="E103" s="352"/>
      <c r="F103" s="28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 t="s">
        <v>5</v>
      </c>
      <c r="Q103" s="352"/>
      <c r="R103" s="352"/>
      <c r="S103" s="352"/>
      <c r="T103" s="352"/>
      <c r="U103" s="352"/>
      <c r="V103" s="352"/>
      <c r="W103" s="352"/>
      <c r="X103" s="352"/>
      <c r="Y103" s="352"/>
      <c r="Z103" s="245"/>
      <c r="AA103"/>
      <c r="AB103"/>
      <c r="AC103"/>
      <c r="AD103"/>
      <c r="AE103"/>
    </row>
    <row r="104" spans="1:33" s="355" customFormat="1" ht="36.75" customHeight="1">
      <c r="A104" s="352"/>
      <c r="B104" s="353" t="s">
        <v>4377</v>
      </c>
      <c r="C104" s="352"/>
      <c r="D104" s="352"/>
      <c r="E104" s="352"/>
      <c r="F104" s="28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 t="s">
        <v>6</v>
      </c>
      <c r="Q104" s="352"/>
      <c r="R104" s="352"/>
      <c r="S104" s="352"/>
      <c r="T104" s="352"/>
      <c r="U104" s="352"/>
      <c r="V104" s="352"/>
      <c r="W104" s="352"/>
      <c r="X104" s="352"/>
      <c r="Y104" s="352"/>
      <c r="Z104" s="245"/>
      <c r="AA104"/>
      <c r="AB104"/>
      <c r="AC104"/>
      <c r="AD104"/>
      <c r="AE104"/>
    </row>
    <row r="105" spans="1:33" s="355" customFormat="1" ht="36.75" customHeight="1">
      <c r="A105" s="352"/>
      <c r="B105" s="353" t="s">
        <v>4376</v>
      </c>
      <c r="C105" s="352"/>
      <c r="D105" s="352"/>
      <c r="E105" s="352"/>
      <c r="F105" s="28"/>
      <c r="G105" s="352"/>
      <c r="H105" s="352"/>
      <c r="I105" s="352"/>
      <c r="J105" s="352"/>
      <c r="K105" s="352"/>
      <c r="L105" s="352"/>
      <c r="M105" s="352"/>
      <c r="N105" s="352"/>
      <c r="O105" s="352"/>
      <c r="P105" s="352" t="s">
        <v>31</v>
      </c>
      <c r="Q105" s="352"/>
      <c r="R105" s="352"/>
      <c r="S105" s="352"/>
      <c r="T105" s="352"/>
      <c r="U105" s="352"/>
      <c r="V105" s="352"/>
      <c r="W105" s="352"/>
      <c r="X105" s="352"/>
      <c r="Y105" s="352"/>
      <c r="Z105" s="245"/>
      <c r="AA105"/>
      <c r="AB105"/>
      <c r="AC105"/>
      <c r="AD105"/>
      <c r="AE105"/>
    </row>
    <row r="106" spans="1:33" s="355" customFormat="1" ht="36.75" customHeight="1">
      <c r="A106" s="352"/>
      <c r="B106" s="353" t="s">
        <v>4375</v>
      </c>
      <c r="C106" s="352"/>
      <c r="D106" s="352"/>
      <c r="E106" s="352"/>
      <c r="F106" s="28"/>
      <c r="G106" s="352"/>
      <c r="H106" s="352"/>
      <c r="I106" s="352"/>
      <c r="J106" s="352"/>
      <c r="K106" s="352"/>
      <c r="L106" s="352"/>
      <c r="M106" s="352"/>
      <c r="N106" s="352"/>
      <c r="O106" s="352"/>
      <c r="P106" s="352" t="s">
        <v>2</v>
      </c>
      <c r="Q106" s="352"/>
      <c r="R106" s="352"/>
      <c r="S106" s="352"/>
      <c r="T106" s="352"/>
      <c r="U106" s="352"/>
      <c r="V106" s="352"/>
      <c r="W106" s="352"/>
      <c r="X106" s="352"/>
      <c r="Y106" s="352"/>
      <c r="Z106" s="245"/>
      <c r="AA106"/>
      <c r="AB106"/>
      <c r="AC106"/>
      <c r="AD106"/>
      <c r="AE106"/>
    </row>
    <row r="107" spans="1:33" s="355" customFormat="1" ht="26.25" customHeight="1">
      <c r="A107" s="352"/>
      <c r="B107" s="353" t="s">
        <v>4374</v>
      </c>
      <c r="C107" s="352"/>
      <c r="D107" s="352"/>
      <c r="E107" s="352"/>
      <c r="F107" s="28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245"/>
      <c r="AA107"/>
      <c r="AB107"/>
      <c r="AC107"/>
      <c r="AD107"/>
      <c r="AE107"/>
    </row>
    <row r="108" spans="1:33" s="355" customFormat="1" ht="26.25" customHeight="1">
      <c r="A108" s="352"/>
      <c r="B108" s="353" t="s">
        <v>160</v>
      </c>
      <c r="C108" s="352"/>
      <c r="D108" s="352"/>
      <c r="E108" s="352"/>
      <c r="F108" s="28"/>
      <c r="G108" s="352"/>
      <c r="H108" s="352"/>
      <c r="I108" s="352"/>
      <c r="J108" s="352"/>
      <c r="K108" s="352"/>
      <c r="L108" s="352"/>
      <c r="M108" s="352"/>
      <c r="N108" s="352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  <c r="Y108" s="352"/>
      <c r="Z108" s="245"/>
      <c r="AA108"/>
      <c r="AB108"/>
      <c r="AC108"/>
      <c r="AD108"/>
      <c r="AE108"/>
    </row>
    <row r="109" spans="1:33" s="355" customFormat="1" ht="26.25" customHeight="1">
      <c r="A109" s="352"/>
      <c r="B109" s="353" t="s">
        <v>4373</v>
      </c>
      <c r="C109" s="352"/>
      <c r="D109" s="352"/>
      <c r="E109" s="352"/>
      <c r="F109" s="28"/>
      <c r="G109" s="352"/>
      <c r="H109" s="352"/>
      <c r="I109" s="352"/>
      <c r="J109" s="352"/>
      <c r="K109" s="352"/>
      <c r="L109" s="352"/>
      <c r="M109" s="352"/>
      <c r="N109" s="352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  <c r="Y109" s="352"/>
      <c r="Z109" s="245"/>
      <c r="AA109"/>
      <c r="AB109"/>
    </row>
    <row r="110" spans="1:33" s="355" customFormat="1" ht="26.25" customHeight="1">
      <c r="A110" s="352"/>
      <c r="B110" s="353" t="s">
        <v>32</v>
      </c>
      <c r="C110" s="352"/>
      <c r="D110" s="352"/>
      <c r="E110" s="352"/>
      <c r="F110" s="28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R110" s="352"/>
      <c r="S110" s="352"/>
      <c r="T110" s="352"/>
      <c r="U110" s="352"/>
      <c r="V110" s="352"/>
      <c r="W110" s="352"/>
      <c r="X110" s="352"/>
      <c r="Y110" s="352"/>
      <c r="Z110" s="245"/>
      <c r="AA110"/>
      <c r="AB110"/>
    </row>
    <row r="111" spans="1:33" s="355" customFormat="1" ht="26.25" customHeight="1">
      <c r="A111" s="352"/>
      <c r="B111" s="353" t="s">
        <v>874</v>
      </c>
      <c r="C111" s="352"/>
      <c r="D111" s="352"/>
      <c r="E111" s="352"/>
      <c r="F111" s="28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352"/>
      <c r="Y111" s="352"/>
      <c r="Z111" s="245"/>
      <c r="AA111"/>
      <c r="AB111"/>
    </row>
    <row r="112" spans="1:33" s="355" customFormat="1" ht="26.25" customHeight="1">
      <c r="A112" s="352"/>
      <c r="B112" s="353" t="s">
        <v>3316</v>
      </c>
      <c r="C112" s="352"/>
      <c r="D112" s="352"/>
      <c r="E112" s="352"/>
      <c r="F112" s="28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R112" s="352"/>
      <c r="S112" s="352"/>
      <c r="T112" s="352"/>
      <c r="U112" s="352"/>
      <c r="V112" s="352"/>
      <c r="W112" s="352"/>
      <c r="X112" s="352"/>
      <c r="Y112" s="352"/>
      <c r="Z112" s="245"/>
    </row>
    <row r="113" spans="1:26" s="355" customFormat="1" ht="26.25" customHeight="1">
      <c r="A113" s="352"/>
      <c r="B113" s="353" t="s">
        <v>3566</v>
      </c>
      <c r="C113" s="352"/>
      <c r="D113" s="352"/>
      <c r="E113" s="352"/>
      <c r="F113" s="28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245"/>
    </row>
    <row r="114" spans="1:26" s="355" customFormat="1" ht="26.25" customHeight="1">
      <c r="A114" s="352"/>
      <c r="B114" s="353"/>
      <c r="C114" s="352"/>
      <c r="D114" s="352"/>
      <c r="E114" s="352"/>
      <c r="F114" s="28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245"/>
    </row>
    <row r="115" spans="1:26" s="309" customFormat="1" ht="26.25" customHeight="1">
      <c r="A115" s="334"/>
      <c r="B115" s="374"/>
      <c r="C115" s="334"/>
      <c r="D115" s="334"/>
      <c r="E115" s="334"/>
      <c r="F115" s="3"/>
      <c r="G115" s="334"/>
      <c r="H115" s="334"/>
      <c r="I115" s="334"/>
      <c r="J115" s="334"/>
      <c r="K115" s="334"/>
      <c r="L115" s="334"/>
      <c r="M115" s="334"/>
      <c r="N115" s="334"/>
      <c r="O115" s="334"/>
      <c r="P115" s="334"/>
      <c r="Q115" s="334"/>
      <c r="R115" s="334"/>
      <c r="S115" s="334"/>
      <c r="T115" s="334"/>
      <c r="U115" s="334"/>
      <c r="V115" s="334"/>
      <c r="W115" s="334"/>
      <c r="X115" s="334"/>
      <c r="Y115" s="334"/>
      <c r="Z115" s="252"/>
    </row>
    <row r="116" spans="1:26" s="309" customFormat="1" ht="26.25" customHeight="1">
      <c r="A116" s="334"/>
      <c r="B116" s="374"/>
      <c r="C116" s="334"/>
      <c r="D116" s="334"/>
      <c r="E116" s="334"/>
      <c r="F116" s="3"/>
      <c r="G116" s="334"/>
      <c r="H116" s="334"/>
      <c r="I116" s="334"/>
      <c r="J116" s="334"/>
      <c r="K116" s="334"/>
      <c r="L116" s="334"/>
      <c r="M116" s="334"/>
      <c r="N116" s="334"/>
      <c r="O116" s="334"/>
      <c r="P116" s="334"/>
      <c r="Q116" s="334"/>
      <c r="R116" s="334"/>
      <c r="S116" s="334"/>
      <c r="T116" s="334"/>
      <c r="U116" s="334"/>
      <c r="V116" s="334"/>
      <c r="W116" s="334"/>
      <c r="X116" s="334"/>
      <c r="Y116" s="334"/>
      <c r="Z116" s="252"/>
    </row>
    <row r="117" spans="1:26" s="309" customFormat="1" ht="26.25" customHeight="1">
      <c r="A117" s="334"/>
      <c r="B117" s="374"/>
      <c r="C117" s="334"/>
      <c r="D117" s="334"/>
      <c r="E117" s="334"/>
      <c r="F117" s="3"/>
      <c r="G117" s="334"/>
      <c r="H117" s="334"/>
      <c r="I117" s="334"/>
      <c r="J117" s="334"/>
      <c r="K117" s="334"/>
      <c r="L117" s="334"/>
      <c r="M117" s="334"/>
      <c r="N117" s="334"/>
      <c r="O117" s="334"/>
      <c r="P117" s="334"/>
      <c r="Q117" s="334"/>
      <c r="R117" s="334"/>
      <c r="S117" s="334"/>
      <c r="T117" s="334"/>
      <c r="U117" s="334"/>
      <c r="V117" s="334"/>
      <c r="W117" s="334"/>
      <c r="X117" s="334"/>
      <c r="Y117" s="334"/>
      <c r="Z117" s="252"/>
    </row>
    <row r="118" spans="1:26" s="309" customFormat="1" ht="26.25" customHeight="1">
      <c r="A118" s="334"/>
      <c r="B118" s="334"/>
      <c r="C118" s="334"/>
      <c r="D118" s="334"/>
      <c r="E118" s="334"/>
      <c r="F118" s="3"/>
      <c r="G118" s="334"/>
      <c r="H118" s="334"/>
      <c r="I118" s="334"/>
      <c r="J118" s="334"/>
      <c r="K118" s="334"/>
      <c r="L118" s="334"/>
      <c r="M118" s="334"/>
      <c r="N118" s="334"/>
      <c r="O118" s="334"/>
      <c r="P118" s="334"/>
      <c r="Q118" s="334"/>
      <c r="R118" s="334"/>
      <c r="S118" s="334"/>
      <c r="T118" s="334"/>
      <c r="U118" s="334"/>
      <c r="V118" s="334"/>
      <c r="W118" s="334"/>
      <c r="X118" s="334"/>
      <c r="Y118" s="334"/>
      <c r="Z118" s="252"/>
    </row>
    <row r="119" spans="1:26" s="309" customFormat="1" ht="26.25" customHeight="1">
      <c r="A119" s="334"/>
      <c r="B119" s="334"/>
      <c r="C119" s="334"/>
      <c r="D119" s="334"/>
      <c r="E119" s="334"/>
      <c r="F119" s="3"/>
      <c r="G119" s="334"/>
      <c r="H119" s="334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  <c r="Z119" s="252"/>
    </row>
    <row r="120" spans="1:26" s="309" customFormat="1" ht="26.25" customHeight="1">
      <c r="A120" s="334"/>
      <c r="B120" s="334"/>
      <c r="C120" s="334"/>
      <c r="D120" s="334"/>
      <c r="E120" s="334"/>
      <c r="F120" s="3"/>
      <c r="G120" s="334"/>
      <c r="H120" s="334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252"/>
    </row>
    <row r="121" spans="1:26" s="309" customFormat="1" ht="26.25" customHeight="1">
      <c r="A121" s="334"/>
      <c r="B121" s="334"/>
      <c r="C121" s="334"/>
      <c r="D121" s="334"/>
      <c r="E121" s="334"/>
      <c r="F121" s="3"/>
      <c r="G121" s="334"/>
      <c r="H121" s="334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  <c r="Z121" s="252"/>
    </row>
    <row r="122" spans="1:26" s="309" customFormat="1" ht="26.25" customHeight="1">
      <c r="A122" s="334"/>
      <c r="B122" s="334"/>
      <c r="C122" s="334"/>
      <c r="D122" s="334"/>
      <c r="E122" s="334"/>
      <c r="F122" s="3"/>
      <c r="G122" s="334"/>
      <c r="H122" s="334"/>
      <c r="I122" s="334"/>
      <c r="J122" s="334"/>
      <c r="K122" s="334"/>
      <c r="L122" s="334"/>
      <c r="M122" s="334"/>
      <c r="N122" s="334"/>
      <c r="O122" s="334"/>
      <c r="P122" s="334"/>
      <c r="Q122" s="334"/>
      <c r="R122" s="334"/>
      <c r="S122" s="334"/>
      <c r="T122" s="334"/>
      <c r="U122" s="334"/>
      <c r="V122" s="334"/>
      <c r="W122" s="334"/>
      <c r="X122" s="334"/>
      <c r="Y122" s="334"/>
      <c r="Z122" s="252"/>
    </row>
    <row r="123" spans="1:26" s="309" customFormat="1" ht="26.25" customHeight="1">
      <c r="A123" s="334"/>
      <c r="B123" s="334"/>
      <c r="C123" s="334"/>
      <c r="D123" s="334"/>
      <c r="E123" s="334"/>
      <c r="F123" s="3"/>
      <c r="G123" s="334"/>
      <c r="H123" s="334"/>
      <c r="I123" s="334"/>
      <c r="J123" s="334"/>
      <c r="K123" s="334"/>
      <c r="L123" s="334"/>
      <c r="M123" s="334"/>
      <c r="N123" s="334"/>
      <c r="O123" s="334"/>
      <c r="P123" s="334"/>
      <c r="Q123" s="334"/>
      <c r="R123" s="334"/>
      <c r="S123" s="334"/>
      <c r="T123" s="334"/>
      <c r="U123" s="334"/>
      <c r="V123" s="334"/>
      <c r="W123" s="334"/>
      <c r="X123" s="334"/>
      <c r="Y123" s="334"/>
      <c r="Z123" s="252"/>
    </row>
    <row r="124" spans="1:26" s="309" customFormat="1" ht="26.25" customHeight="1">
      <c r="A124" s="334"/>
      <c r="B124" s="334"/>
      <c r="C124" s="334"/>
      <c r="D124" s="334"/>
      <c r="E124" s="334"/>
      <c r="F124" s="3"/>
      <c r="G124" s="334"/>
      <c r="H124" s="334"/>
      <c r="I124" s="334"/>
      <c r="J124" s="334"/>
      <c r="K124" s="334"/>
      <c r="L124" s="334"/>
      <c r="M124" s="334"/>
      <c r="N124" s="334"/>
      <c r="O124" s="334"/>
      <c r="P124" s="334"/>
      <c r="Q124" s="334"/>
      <c r="R124" s="334"/>
      <c r="S124" s="334"/>
      <c r="T124" s="334"/>
      <c r="U124" s="334"/>
      <c r="V124" s="334"/>
      <c r="W124" s="334"/>
      <c r="X124" s="334"/>
      <c r="Y124" s="334"/>
      <c r="Z124" s="252"/>
    </row>
    <row r="125" spans="1:26" s="309" customFormat="1" ht="26.25" customHeight="1">
      <c r="A125" s="334"/>
      <c r="B125" s="334"/>
      <c r="C125" s="334"/>
      <c r="D125" s="334"/>
      <c r="E125" s="334"/>
      <c r="F125" s="3"/>
      <c r="G125" s="334"/>
      <c r="H125" s="334"/>
      <c r="I125" s="334"/>
      <c r="J125" s="334"/>
      <c r="K125" s="334"/>
      <c r="L125" s="334"/>
      <c r="M125" s="334"/>
      <c r="N125" s="334"/>
      <c r="O125" s="334"/>
      <c r="P125" s="334"/>
      <c r="Q125" s="334"/>
      <c r="R125" s="334"/>
      <c r="S125" s="334"/>
      <c r="T125" s="334"/>
      <c r="U125" s="334"/>
      <c r="V125" s="334"/>
      <c r="W125" s="334"/>
      <c r="X125" s="334"/>
      <c r="Y125" s="334"/>
      <c r="Z125" s="252"/>
    </row>
    <row r="126" spans="1:26" s="309" customFormat="1" ht="26.25" customHeight="1">
      <c r="A126" s="334"/>
      <c r="B126" s="334"/>
      <c r="C126" s="334"/>
      <c r="D126" s="334"/>
      <c r="E126" s="334"/>
      <c r="F126" s="3"/>
      <c r="G126" s="334"/>
      <c r="H126" s="334"/>
      <c r="I126" s="334"/>
      <c r="J126" s="334"/>
      <c r="K126" s="334"/>
      <c r="L126" s="334"/>
      <c r="M126" s="334"/>
      <c r="N126" s="334"/>
      <c r="O126" s="334"/>
      <c r="P126" s="334"/>
      <c r="Q126" s="334"/>
      <c r="R126" s="334"/>
      <c r="S126" s="334"/>
      <c r="T126" s="334"/>
      <c r="U126" s="334"/>
      <c r="V126" s="334"/>
      <c r="W126" s="334"/>
      <c r="X126" s="334"/>
      <c r="Y126" s="334"/>
      <c r="Z126" s="252"/>
    </row>
    <row r="127" spans="1:26" s="309" customFormat="1" ht="26.25" customHeight="1">
      <c r="A127" s="334"/>
      <c r="B127" s="334"/>
      <c r="C127" s="334"/>
      <c r="D127" s="334"/>
      <c r="E127" s="334"/>
      <c r="F127" s="3"/>
      <c r="G127" s="334"/>
      <c r="H127" s="334"/>
      <c r="I127" s="334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252"/>
    </row>
    <row r="128" spans="1:26" s="309" customFormat="1" ht="26.25" customHeight="1">
      <c r="A128" s="334"/>
      <c r="B128" s="334"/>
      <c r="C128" s="334"/>
      <c r="D128" s="334"/>
      <c r="E128" s="334"/>
      <c r="F128" s="3"/>
      <c r="G128" s="334"/>
      <c r="H128" s="334"/>
      <c r="I128" s="334"/>
      <c r="J128" s="334"/>
      <c r="K128" s="334"/>
      <c r="L128" s="334"/>
      <c r="M128" s="334"/>
      <c r="N128" s="334"/>
      <c r="O128" s="334"/>
      <c r="P128" s="334"/>
      <c r="Q128" s="334"/>
      <c r="R128" s="334"/>
      <c r="S128" s="334"/>
      <c r="T128" s="334"/>
      <c r="U128" s="334"/>
      <c r="V128" s="334"/>
      <c r="W128" s="334"/>
      <c r="X128" s="334"/>
      <c r="Y128" s="334"/>
      <c r="Z128" s="252"/>
    </row>
    <row r="129" spans="1:26" s="309" customFormat="1" ht="26.25" customHeight="1">
      <c r="A129" s="334"/>
      <c r="B129" s="334"/>
      <c r="C129" s="334"/>
      <c r="D129" s="334"/>
      <c r="E129" s="334"/>
      <c r="F129" s="3"/>
      <c r="G129" s="334"/>
      <c r="H129" s="334"/>
      <c r="I129" s="334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252"/>
    </row>
    <row r="130" spans="1:26" s="309" customFormat="1" ht="26.25" customHeight="1">
      <c r="A130" s="334"/>
      <c r="B130" s="334"/>
      <c r="C130" s="334"/>
      <c r="D130" s="334"/>
      <c r="E130" s="334"/>
      <c r="F130" s="3"/>
      <c r="G130" s="334"/>
      <c r="H130" s="334"/>
      <c r="I130" s="334"/>
      <c r="J130" s="334"/>
      <c r="K130" s="334"/>
      <c r="L130" s="334"/>
      <c r="M130" s="334"/>
      <c r="N130" s="334"/>
      <c r="O130" s="334"/>
      <c r="P130" s="334"/>
      <c r="Q130" s="334"/>
      <c r="R130" s="334"/>
      <c r="S130" s="334"/>
      <c r="T130" s="334"/>
      <c r="U130" s="334"/>
      <c r="V130" s="334"/>
      <c r="W130" s="334"/>
      <c r="X130" s="334"/>
      <c r="Y130" s="334"/>
      <c r="Z130" s="252"/>
    </row>
    <row r="131" spans="1:26" s="309" customFormat="1" ht="26.25" customHeight="1">
      <c r="A131" s="334"/>
      <c r="B131" s="334"/>
      <c r="C131" s="334"/>
      <c r="D131" s="334"/>
      <c r="E131" s="334"/>
      <c r="F131" s="3"/>
      <c r="G131" s="334"/>
      <c r="H131" s="334"/>
      <c r="I131" s="334"/>
      <c r="J131" s="334"/>
      <c r="K131" s="334"/>
      <c r="L131" s="334"/>
      <c r="M131" s="334"/>
      <c r="N131" s="334"/>
      <c r="O131" s="334"/>
      <c r="P131" s="334"/>
      <c r="Q131" s="334"/>
      <c r="R131" s="334"/>
      <c r="S131" s="334"/>
      <c r="T131" s="334"/>
      <c r="U131" s="334"/>
      <c r="V131" s="334"/>
      <c r="W131" s="334"/>
      <c r="X131" s="334"/>
      <c r="Y131" s="334"/>
      <c r="Z131" s="252"/>
    </row>
    <row r="132" spans="1:26" s="309" customFormat="1" ht="26.25" customHeight="1">
      <c r="A132" s="334"/>
      <c r="B132" s="334"/>
      <c r="C132" s="334"/>
      <c r="D132" s="334"/>
      <c r="E132" s="334"/>
      <c r="F132" s="3"/>
      <c r="G132" s="334"/>
      <c r="H132" s="334"/>
      <c r="I132" s="334"/>
      <c r="J132" s="334"/>
      <c r="K132" s="334"/>
      <c r="L132" s="334"/>
      <c r="M132" s="334"/>
      <c r="N132" s="334"/>
      <c r="O132" s="334"/>
      <c r="P132" s="334"/>
      <c r="Q132" s="334"/>
      <c r="R132" s="334"/>
      <c r="S132" s="334"/>
      <c r="T132" s="334"/>
      <c r="U132" s="334"/>
      <c r="V132" s="334"/>
      <c r="W132" s="334"/>
      <c r="X132" s="334"/>
      <c r="Y132" s="334"/>
      <c r="Z132" s="252"/>
    </row>
    <row r="133" spans="1:26" s="309" customFormat="1" ht="26.25" customHeight="1">
      <c r="A133" s="334"/>
      <c r="B133" s="334"/>
      <c r="C133" s="334"/>
      <c r="D133" s="334"/>
      <c r="E133" s="334"/>
      <c r="F133" s="3"/>
      <c r="G133" s="334"/>
      <c r="H133" s="334"/>
      <c r="I133" s="334"/>
      <c r="J133" s="334"/>
      <c r="K133" s="334"/>
      <c r="L133" s="334"/>
      <c r="M133" s="334"/>
      <c r="N133" s="334"/>
      <c r="O133" s="334"/>
      <c r="P133" s="334"/>
      <c r="Q133" s="334"/>
      <c r="R133" s="334"/>
      <c r="S133" s="334"/>
      <c r="T133" s="334"/>
      <c r="U133" s="334"/>
      <c r="V133" s="334"/>
      <c r="W133" s="334"/>
      <c r="X133" s="334"/>
      <c r="Y133" s="334"/>
      <c r="Z133" s="252"/>
    </row>
    <row r="134" spans="1:26" s="309" customFormat="1" ht="26.25" customHeight="1">
      <c r="A134" s="334"/>
      <c r="B134" s="334"/>
      <c r="C134" s="334"/>
      <c r="D134" s="334"/>
      <c r="E134" s="334"/>
      <c r="F134" s="3"/>
      <c r="G134" s="334"/>
      <c r="H134" s="334"/>
      <c r="I134" s="334"/>
      <c r="J134" s="334"/>
      <c r="K134" s="334"/>
      <c r="L134" s="334"/>
      <c r="M134" s="334"/>
      <c r="N134" s="334"/>
      <c r="O134" s="334"/>
      <c r="P134" s="334"/>
      <c r="Q134" s="334"/>
      <c r="R134" s="334"/>
      <c r="S134" s="334"/>
      <c r="T134" s="334"/>
      <c r="U134" s="334"/>
      <c r="V134" s="334"/>
      <c r="W134" s="334"/>
      <c r="X134" s="334"/>
      <c r="Y134" s="334"/>
      <c r="Z134" s="252"/>
    </row>
    <row r="135" spans="1:26" s="309" customFormat="1" ht="26.25" customHeight="1">
      <c r="A135" s="334"/>
      <c r="B135" s="334"/>
      <c r="C135" s="334"/>
      <c r="D135" s="334"/>
      <c r="E135" s="334"/>
      <c r="F135" s="3"/>
      <c r="G135" s="334"/>
      <c r="H135" s="334"/>
      <c r="I135" s="334"/>
      <c r="J135" s="334"/>
      <c r="K135" s="334"/>
      <c r="L135" s="334"/>
      <c r="M135" s="334"/>
      <c r="N135" s="334"/>
      <c r="O135" s="334"/>
      <c r="P135" s="334"/>
      <c r="Q135" s="334"/>
      <c r="R135" s="334"/>
      <c r="S135" s="334"/>
      <c r="T135" s="334"/>
      <c r="U135" s="334"/>
      <c r="V135" s="334"/>
      <c r="W135" s="334"/>
      <c r="X135" s="334"/>
      <c r="Y135" s="334"/>
      <c r="Z135" s="252"/>
    </row>
    <row r="136" spans="1:26" s="309" customFormat="1" ht="26.25" customHeight="1">
      <c r="A136" s="334"/>
      <c r="B136" s="334"/>
      <c r="C136" s="334"/>
      <c r="D136" s="334"/>
      <c r="E136" s="334"/>
      <c r="F136" s="3"/>
      <c r="G136" s="334"/>
      <c r="H136" s="334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  <c r="Z136" s="252"/>
    </row>
  </sheetData>
  <autoFilter ref="A4:Z113">
    <filterColumn colId="4">
      <filters blank="1">
        <filter val="1.27~2.16_x000a_(23일간)"/>
        <filter val="10.08~10.11_x000a_(4일간)"/>
        <filter val="10.1.~10.4._x000a_(5일간)"/>
        <filter val="10.15.~10.17._x000a_(3일간)"/>
        <filter val="10.15~10.19_x000a_(5일간)"/>
        <filter val="10.15~18_x000a_(4일간)"/>
        <filter val="10.2.~10.3./_x000a_10.16.~10.18._x000a_(예정)"/>
        <filter val="10.2~10.18_x000a_(17일간)"/>
        <filter val="10.2~10.4_x000a_(3일간)"/>
        <filter val="10.22~10.25_x000a_(4일간)"/>
        <filter val="10.23.~10.25._x000a_(3일간)"/>
        <filter val="10.24~10.25_x000a_(2일간)"/>
        <filter val="10.8~10.10_x000a_(3일간)"/>
        <filter val="10월 중"/>
        <filter val="10월 중_x000a_(2일간)"/>
        <filter val="10월 중_x000a_(3일간)"/>
        <filter val="10월 중_x000a_(4일간)"/>
        <filter val="10월 중순             (4일간)"/>
        <filter val="10월 초_x000a_(4일간)"/>
        <filter val="10월경_x000a_(미정)"/>
        <filter val="10월중_x000a_(4일간)"/>
        <filter val="11월 중_x000a_(3일간)"/>
        <filter val="11월경_x000a_(미정)"/>
        <filter val="12.31.~1.1._x000a_(2일간)"/>
        <filter val="12.31~1.1_x000a_(2일간)"/>
        <filter val="12월 초순            (2일간)"/>
        <filter val="2.7~2.9_x000a_(3일간)"/>
        <filter val="3.27~4.23_x000a_(28일간)"/>
        <filter val="3월 말"/>
        <filter val="4.24~4.26._x000a_(3일간)"/>
        <filter val="4.30~5.3_x000a_(4일간)"/>
        <filter val="4월 중_x000a_(2일간)"/>
        <filter val="4월 중_x000a_(3일간)"/>
        <filter val="4월 중순               (2일간)"/>
        <filter val="5. 29.∼5. 31._x000a_(3일간)"/>
        <filter val="5.1~5.3_x000a_(3일간)"/>
        <filter val="5.1~5.5_x000a_(5일간)"/>
        <filter val="5.10~5.29_x000a_(20일간)"/>
        <filter val="5.14~5.17_x000a_(4일간)"/>
        <filter val="5.16.~5.31._x000a_(16일간)"/>
        <filter val="5.19.~5.24._x000a_ (6일간)"/>
        <filter val="5.2.~5.5._x000a_(4일간)"/>
        <filter val="5.2~5.3_x000a_(2일간)"/>
        <filter val="5.23~5.24_x000a_(2일간)"/>
        <filter val="5.24.~5.31._x000a_(8일간)"/>
        <filter val="5.25~6.7_x000a_(14일간)"/>
        <filter val="5.8~5.10_x000a_(3일간)"/>
        <filter val="5월 중"/>
        <filter val="5월 중_x000a_(2일간)"/>
        <filter val="6.12.~6.14._x000a_(3일간)"/>
        <filter val="6.12.~6.20._x000a_(9일간)"/>
        <filter val="6.21.~6.28_x000a_(8일간)."/>
        <filter val="6~9월 _x000a_(세부일정미정)"/>
        <filter val="6월 중_x000a_(2일간)"/>
        <filter val="7.2~7.4_x000a_(3일간)"/>
        <filter val="7.27 ~ 8.4_x000a_(9일간)"/>
        <filter val="7.30~ 8. 2._x000a_(4일간)"/>
        <filter val="7.30~8.2_x000a_(4일간)"/>
        <filter val="7.31.~8.5._x000a_(6일간)"/>
        <filter val="7.31~8.2_x000a_(3일간)"/>
        <filter val="7~8월 중"/>
        <filter val="7월 말"/>
        <filter val="7월 중"/>
        <filter val="7월 중_x000a_(미정)"/>
        <filter val="7월 초"/>
        <filter val="7월말~8월초"/>
        <filter val="7월말~8월초_x000a_(10일간)"/>
        <filter val="7월중_x000a_(2일간)"/>
        <filter val="8.6~8.9_x000a_(4일간)"/>
        <filter val="8월 중"/>
        <filter val="8월 중_x000a_(3일간)"/>
        <filter val="8월 초"/>
        <filter val="8월중_x000a_(2일간)"/>
        <filter val="9.15.-9.20._x000a_(5일간)"/>
        <filter val="9.8~9.13_x000a_(6일간)"/>
        <filter val="9월 중_x000a_(3일간)"/>
        <filter val="9월 중_x000a_(미정)"/>
        <filter val="9월 중순~9월말_x000a_(10일간)"/>
        <filter val="9월~10월 중"/>
        <filter val="9월초~9월 중순_x000a_(10일간)"/>
      </filters>
    </filterColumn>
  </autoFilter>
  <mergeCells count="17">
    <mergeCell ref="A1:X2"/>
    <mergeCell ref="I3:M3"/>
    <mergeCell ref="N3:O3"/>
    <mergeCell ref="V3:X3"/>
    <mergeCell ref="F78:F79"/>
    <mergeCell ref="U78:U79"/>
    <mergeCell ref="J78:J79"/>
    <mergeCell ref="K78:K79"/>
    <mergeCell ref="R78:R79"/>
    <mergeCell ref="S78:S79"/>
    <mergeCell ref="T78:T79"/>
    <mergeCell ref="L78:L79"/>
    <mergeCell ref="M78:M79"/>
    <mergeCell ref="G99:G100"/>
    <mergeCell ref="P78:P79"/>
    <mergeCell ref="I78:I79"/>
    <mergeCell ref="Q78:Q79"/>
  </mergeCells>
  <phoneticPr fontId="23" type="noConversion"/>
  <dataValidations count="20">
    <dataValidation type="list" allowBlank="1" showInputMessage="1" showErrorMessage="1" sqref="P100:P101 B101 B95:B98 P95:P98 B88:B91 P88:P91 P68:P76 P52:P56 B52:B56 P28:P38 B86 P86 B68:B76 P16:P21 P5:P12 B5:B12">
      <formula1>#REF!</formula1>
    </dataValidation>
    <dataValidation type="list" allowBlank="1" showInputMessage="1" showErrorMessage="1" sqref="P22">
      <formula1>$P$7:$P$11</formula1>
    </dataValidation>
    <dataValidation type="list" allowBlank="1" showInputMessage="1" showErrorMessage="1" sqref="B22">
      <formula1>$B$7:$B$18</formula1>
    </dataValidation>
    <dataValidation type="list" allowBlank="1" showInputMessage="1" showErrorMessage="1" sqref="B39:B41 B79:B84">
      <formula1>$B$103:$B$119</formula1>
    </dataValidation>
    <dataValidation type="list" allowBlank="1" showInputMessage="1" showErrorMessage="1" sqref="P39:P41 P79:P84">
      <formula1>$P$103:$P$108</formula1>
    </dataValidation>
    <dataValidation type="list" allowBlank="1" showInputMessage="1" showErrorMessage="1" sqref="B46 B50:B51">
      <formula1>$B$17:$B$33</formula1>
    </dataValidation>
    <dataValidation type="list" allowBlank="1" showInputMessage="1" showErrorMessage="1" sqref="P46 P50:P51">
      <formula1>$P$17:$P$22</formula1>
    </dataValidation>
    <dataValidation type="list" allowBlank="1" showInputMessage="1" showErrorMessage="1" sqref="B57:B67 B77:B78 B92:B94">
      <formula1>$B$104:$B$120</formula1>
    </dataValidation>
    <dataValidation type="list" allowBlank="1" showInputMessage="1" showErrorMessage="1" sqref="P57:P67 P77:P78 P92:P94">
      <formula1>$P$104:$P$109</formula1>
    </dataValidation>
    <dataValidation type="list" allowBlank="1" showInputMessage="1" showErrorMessage="1" sqref="P99">
      <formula1>$P$5:$P$7</formula1>
    </dataValidation>
    <dataValidation type="list" allowBlank="1" showInputMessage="1" showErrorMessage="1" sqref="B99:B100">
      <formula1>$B$5:$B$7</formula1>
    </dataValidation>
    <dataValidation type="list" allowBlank="1" showInputMessage="1" showErrorMessage="1" sqref="B85 B87">
      <formula1>$B$102:$B$118</formula1>
    </dataValidation>
    <dataValidation type="list" allowBlank="1" showInputMessage="1" showErrorMessage="1" sqref="P85 P87">
      <formula1>$P$102:$P$107</formula1>
    </dataValidation>
    <dataValidation type="list" showInputMessage="1" showErrorMessage="1" sqref="B26:B38">
      <formula1>#REF!</formula1>
    </dataValidation>
    <dataValidation type="list" allowBlank="1" showInputMessage="1" showErrorMessage="1" sqref="P23:P25">
      <formula1>$P$102:$P$106</formula1>
    </dataValidation>
    <dataValidation type="list" allowBlank="1" showInputMessage="1" showErrorMessage="1" sqref="B23:B25">
      <formula1>$B$102:$B$117</formula1>
    </dataValidation>
    <dataValidation type="list" allowBlank="1" showInputMessage="1" showErrorMessage="1" sqref="P15">
      <formula1>$P$102:$P$102</formula1>
    </dataValidation>
    <dataValidation type="list" allowBlank="1" showInputMessage="1" showErrorMessage="1" sqref="B15:B21">
      <formula1>$B$102:$B$112</formula1>
    </dataValidation>
    <dataValidation type="list" allowBlank="1" showInputMessage="1" showErrorMessage="1" sqref="P42:P43">
      <formula1>$P$102:$P$103</formula1>
    </dataValidation>
    <dataValidation type="list" allowBlank="1" showInputMessage="1" showErrorMessage="1" sqref="B42:B43">
      <formula1>$B$102:$B$114</formula1>
    </dataValidation>
  </dataValidations>
  <pageMargins left="0.19685039370078741" right="0.19685039370078741" top="0.35433070866141736" bottom="0.19685039370078741" header="0.19685039370078741" footer="0.19685039370078741"/>
  <pageSetup paperSize="9" scale="44" orientation="landscape" r:id="rId1"/>
  <headerFooter alignWithMargins="0"/>
  <rowBreaks count="3" manualBreakCount="3">
    <brk id="17" max="20" man="1"/>
    <brk id="30" max="20" man="1"/>
    <brk id="43" max="13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F95"/>
  <sheetViews>
    <sheetView zoomScale="85" zoomScaleNormal="85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24.109375" style="332" bestFit="1" customWidth="1"/>
    <col min="5" max="5" width="12.109375" style="89" customWidth="1"/>
    <col min="6" max="6" width="42" style="1" customWidth="1"/>
    <col min="7" max="7" width="25.109375" style="332" customWidth="1"/>
    <col min="8" max="8" width="18.44140625" style="89" customWidth="1"/>
    <col min="9" max="9" width="14.109375" style="89" customWidth="1"/>
    <col min="10" max="13" width="7.6640625" style="89" customWidth="1"/>
    <col min="14" max="14" width="10.109375" style="89" customWidth="1"/>
    <col min="15" max="15" width="30.109375" style="89" customWidth="1"/>
    <col min="16" max="17" width="12.77734375" style="89" customWidth="1"/>
    <col min="18" max="18" width="12.109375" style="89" customWidth="1"/>
    <col min="19" max="19" width="13.33203125" style="89" customWidth="1"/>
    <col min="20" max="20" width="12.77734375" style="89" customWidth="1"/>
    <col min="21" max="24" width="12.109375" style="89" customWidth="1"/>
    <col min="25" max="25" width="12.109375" style="332" customWidth="1"/>
    <col min="26" max="26" width="15.44140625" style="350" customWidth="1"/>
    <col min="27" max="16384" width="8.88671875" style="89"/>
  </cols>
  <sheetData>
    <row r="1" spans="1:32" s="1" customForma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8"/>
      <c r="Z1" s="117"/>
    </row>
    <row r="2" spans="1:32" s="3" customFormat="1" ht="14.25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16"/>
      <c r="Z2" s="117"/>
    </row>
    <row r="3" spans="1:32" s="3" customFormat="1" ht="17.25" thickBot="1">
      <c r="A3" s="4"/>
      <c r="B3" s="4"/>
      <c r="C3" s="4"/>
      <c r="D3" s="4"/>
      <c r="E3" s="2"/>
      <c r="F3" s="2"/>
      <c r="G3" s="4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2"/>
      <c r="Z3" s="117"/>
      <c r="AA3"/>
      <c r="AB3"/>
      <c r="AC3"/>
      <c r="AD3"/>
      <c r="AE3"/>
      <c r="AF3"/>
    </row>
    <row r="4" spans="1:32" s="1" customFormat="1" ht="28.5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269" t="s">
        <v>1152</v>
      </c>
      <c r="AA4"/>
      <c r="AB4"/>
      <c r="AC4"/>
      <c r="AD4"/>
      <c r="AE4"/>
      <c r="AF4"/>
    </row>
    <row r="5" spans="1:32" ht="27">
      <c r="A5" s="125">
        <v>1</v>
      </c>
      <c r="B5" s="125" t="s">
        <v>32</v>
      </c>
      <c r="C5" s="125" t="s">
        <v>1493</v>
      </c>
      <c r="D5" s="472" t="s">
        <v>1499</v>
      </c>
      <c r="E5" s="472" t="s">
        <v>5042</v>
      </c>
      <c r="F5" s="135" t="s">
        <v>1498</v>
      </c>
      <c r="G5" s="472" t="s">
        <v>1497</v>
      </c>
      <c r="H5" s="472" t="s">
        <v>5041</v>
      </c>
      <c r="I5" s="472">
        <v>534</v>
      </c>
      <c r="J5" s="472"/>
      <c r="K5" s="472"/>
      <c r="L5" s="472">
        <v>534</v>
      </c>
      <c r="M5" s="472"/>
      <c r="N5" s="472"/>
      <c r="O5" s="472"/>
      <c r="P5" s="472" t="s">
        <v>2</v>
      </c>
      <c r="Q5" s="472" t="s">
        <v>5040</v>
      </c>
      <c r="R5" s="472" t="s">
        <v>36</v>
      </c>
      <c r="S5" s="472" t="s">
        <v>5039</v>
      </c>
      <c r="T5" s="472" t="s">
        <v>49</v>
      </c>
      <c r="U5" s="472" t="s">
        <v>37</v>
      </c>
      <c r="V5" s="472">
        <f>SUM(W5:X5)</f>
        <v>72</v>
      </c>
      <c r="W5" s="472">
        <v>72</v>
      </c>
      <c r="X5" s="472"/>
      <c r="Y5" s="472" t="s">
        <v>1371</v>
      </c>
      <c r="Z5" s="137" t="s">
        <v>1148</v>
      </c>
      <c r="AA5"/>
      <c r="AB5"/>
      <c r="AC5"/>
      <c r="AD5"/>
      <c r="AE5"/>
      <c r="AF5"/>
    </row>
    <row r="6" spans="1:32" s="1" customFormat="1" ht="40.5">
      <c r="A6" s="126">
        <v>2</v>
      </c>
      <c r="B6" s="126" t="s">
        <v>32</v>
      </c>
      <c r="C6" s="126" t="s">
        <v>1493</v>
      </c>
      <c r="D6" s="473" t="s">
        <v>5038</v>
      </c>
      <c r="E6" s="473" t="s">
        <v>1005</v>
      </c>
      <c r="F6" s="136" t="s">
        <v>5037</v>
      </c>
      <c r="G6" s="473" t="s">
        <v>5036</v>
      </c>
      <c r="H6" s="473" t="s">
        <v>1222</v>
      </c>
      <c r="I6" s="150">
        <v>2489</v>
      </c>
      <c r="J6" s="473"/>
      <c r="K6" s="140"/>
      <c r="L6" s="150">
        <v>2489</v>
      </c>
      <c r="M6" s="473"/>
      <c r="N6" s="473"/>
      <c r="O6" s="473"/>
      <c r="P6" s="473" t="s">
        <v>6</v>
      </c>
      <c r="Q6" s="473" t="s">
        <v>5035</v>
      </c>
      <c r="R6" s="473" t="s">
        <v>36</v>
      </c>
      <c r="S6" s="473" t="s">
        <v>42</v>
      </c>
      <c r="T6" s="473" t="s">
        <v>49</v>
      </c>
      <c r="U6" s="473" t="s">
        <v>37</v>
      </c>
      <c r="V6" s="473">
        <f>SUM(W6:X6)</f>
        <v>513</v>
      </c>
      <c r="W6" s="473">
        <v>513</v>
      </c>
      <c r="X6" s="473"/>
      <c r="Y6" s="473" t="s">
        <v>1371</v>
      </c>
      <c r="Z6" s="202" t="s">
        <v>1148</v>
      </c>
      <c r="AA6"/>
      <c r="AB6"/>
      <c r="AC6"/>
      <c r="AD6"/>
      <c r="AE6"/>
      <c r="AF6"/>
    </row>
    <row r="7" spans="1:32" s="1" customFormat="1" ht="27">
      <c r="A7" s="126">
        <v>3</v>
      </c>
      <c r="B7" s="126" t="s">
        <v>899</v>
      </c>
      <c r="C7" s="126" t="s">
        <v>1493</v>
      </c>
      <c r="D7" s="473" t="s">
        <v>5034</v>
      </c>
      <c r="E7" s="473" t="s">
        <v>1496</v>
      </c>
      <c r="F7" s="136" t="s">
        <v>5033</v>
      </c>
      <c r="G7" s="473" t="s">
        <v>5032</v>
      </c>
      <c r="H7" s="473" t="s">
        <v>1123</v>
      </c>
      <c r="I7" s="473">
        <v>448</v>
      </c>
      <c r="J7" s="473"/>
      <c r="K7" s="473">
        <v>140</v>
      </c>
      <c r="L7" s="473">
        <v>140</v>
      </c>
      <c r="M7" s="473">
        <v>168</v>
      </c>
      <c r="N7" s="473"/>
      <c r="O7" s="473"/>
      <c r="P7" s="473" t="s">
        <v>46</v>
      </c>
      <c r="Q7" s="473" t="s">
        <v>5031</v>
      </c>
      <c r="R7" s="473" t="s">
        <v>36</v>
      </c>
      <c r="S7" s="473" t="s">
        <v>68</v>
      </c>
      <c r="T7" s="473" t="s">
        <v>49</v>
      </c>
      <c r="U7" s="473" t="s">
        <v>37</v>
      </c>
      <c r="V7" s="473">
        <v>15</v>
      </c>
      <c r="W7" s="473">
        <v>15</v>
      </c>
      <c r="X7" s="473"/>
      <c r="Y7" s="473" t="s">
        <v>64</v>
      </c>
      <c r="Z7" s="202" t="s">
        <v>1148</v>
      </c>
      <c r="AA7"/>
      <c r="AB7"/>
      <c r="AC7"/>
      <c r="AD7"/>
      <c r="AE7"/>
      <c r="AF7"/>
    </row>
    <row r="8" spans="1:32" ht="27">
      <c r="A8" s="125">
        <v>4</v>
      </c>
      <c r="B8" s="125" t="s">
        <v>899</v>
      </c>
      <c r="C8" s="125" t="s">
        <v>1493</v>
      </c>
      <c r="D8" s="472" t="s">
        <v>5030</v>
      </c>
      <c r="E8" s="472" t="s">
        <v>365</v>
      </c>
      <c r="F8" s="135" t="s">
        <v>5029</v>
      </c>
      <c r="G8" s="472" t="s">
        <v>5028</v>
      </c>
      <c r="H8" s="472" t="s">
        <v>5027</v>
      </c>
      <c r="I8" s="472">
        <v>271</v>
      </c>
      <c r="J8" s="472"/>
      <c r="K8" s="472"/>
      <c r="L8" s="472">
        <v>271</v>
      </c>
      <c r="M8" s="472"/>
      <c r="N8" s="472"/>
      <c r="O8" s="472"/>
      <c r="P8" s="472" t="s">
        <v>52</v>
      </c>
      <c r="Q8" s="472" t="s">
        <v>5026</v>
      </c>
      <c r="R8" s="472" t="s">
        <v>36</v>
      </c>
      <c r="S8" s="472" t="s">
        <v>750</v>
      </c>
      <c r="T8" s="472" t="s">
        <v>49</v>
      </c>
      <c r="U8" s="472" t="s">
        <v>37</v>
      </c>
      <c r="V8" s="472">
        <v>20</v>
      </c>
      <c r="W8" s="472">
        <v>20</v>
      </c>
      <c r="X8" s="472"/>
      <c r="Y8" s="472" t="s">
        <v>1307</v>
      </c>
      <c r="Z8" s="202" t="s">
        <v>1148</v>
      </c>
      <c r="AA8"/>
      <c r="AB8"/>
      <c r="AC8"/>
      <c r="AD8"/>
      <c r="AE8"/>
      <c r="AF8"/>
    </row>
    <row r="9" spans="1:32" ht="40.5">
      <c r="A9" s="125">
        <v>5</v>
      </c>
      <c r="B9" s="125" t="s">
        <v>899</v>
      </c>
      <c r="C9" s="125" t="s">
        <v>1493</v>
      </c>
      <c r="D9" s="472" t="s">
        <v>1495</v>
      </c>
      <c r="E9" s="472" t="s">
        <v>5025</v>
      </c>
      <c r="F9" s="135" t="s">
        <v>5024</v>
      </c>
      <c r="G9" s="472" t="s">
        <v>5023</v>
      </c>
      <c r="H9" s="472" t="s">
        <v>3756</v>
      </c>
      <c r="I9" s="472">
        <v>400</v>
      </c>
      <c r="J9" s="472">
        <v>115</v>
      </c>
      <c r="K9" s="472">
        <v>86.25</v>
      </c>
      <c r="L9" s="472">
        <v>198.75</v>
      </c>
      <c r="M9" s="472"/>
      <c r="N9" s="472" t="s">
        <v>1430</v>
      </c>
      <c r="O9" s="472" t="s">
        <v>5022</v>
      </c>
      <c r="P9" s="472" t="s">
        <v>98</v>
      </c>
      <c r="Q9" s="472" t="s">
        <v>1421</v>
      </c>
      <c r="R9" s="472" t="s">
        <v>36</v>
      </c>
      <c r="S9" s="472" t="s">
        <v>186</v>
      </c>
      <c r="T9" s="472" t="s">
        <v>49</v>
      </c>
      <c r="U9" s="472" t="s">
        <v>37</v>
      </c>
      <c r="V9" s="472">
        <v>95</v>
      </c>
      <c r="W9" s="472">
        <v>95</v>
      </c>
      <c r="X9" s="472"/>
      <c r="Y9" s="472" t="s">
        <v>2</v>
      </c>
      <c r="Z9" s="202" t="s">
        <v>6107</v>
      </c>
      <c r="AA9"/>
      <c r="AB9"/>
      <c r="AC9"/>
      <c r="AD9"/>
      <c r="AE9"/>
      <c r="AF9"/>
    </row>
    <row r="10" spans="1:32" ht="27">
      <c r="A10" s="125">
        <v>6</v>
      </c>
      <c r="B10" s="125" t="s">
        <v>899</v>
      </c>
      <c r="C10" s="125" t="s">
        <v>1493</v>
      </c>
      <c r="D10" s="472" t="s">
        <v>5021</v>
      </c>
      <c r="E10" s="472" t="s">
        <v>1494</v>
      </c>
      <c r="F10" s="135" t="s">
        <v>5020</v>
      </c>
      <c r="G10" s="472" t="s">
        <v>5019</v>
      </c>
      <c r="H10" s="472" t="s">
        <v>403</v>
      </c>
      <c r="I10" s="472">
        <v>425</v>
      </c>
      <c r="J10" s="472"/>
      <c r="K10" s="472"/>
      <c r="L10" s="472">
        <v>425</v>
      </c>
      <c r="M10" s="472"/>
      <c r="N10" s="472"/>
      <c r="O10" s="472"/>
      <c r="P10" s="472" t="s">
        <v>46</v>
      </c>
      <c r="Q10" s="472" t="s">
        <v>1029</v>
      </c>
      <c r="R10" s="472" t="s">
        <v>36</v>
      </c>
      <c r="S10" s="472" t="s">
        <v>55</v>
      </c>
      <c r="T10" s="472" t="s">
        <v>49</v>
      </c>
      <c r="U10" s="472" t="s">
        <v>38</v>
      </c>
      <c r="V10" s="472">
        <f>SUM(W10:X10)</f>
        <v>50</v>
      </c>
      <c r="W10" s="472">
        <v>50</v>
      </c>
      <c r="X10" s="472"/>
      <c r="Y10" s="472" t="s">
        <v>64</v>
      </c>
      <c r="Z10" s="202" t="s">
        <v>1148</v>
      </c>
      <c r="AA10"/>
      <c r="AB10"/>
      <c r="AC10"/>
      <c r="AD10"/>
      <c r="AE10"/>
      <c r="AF10"/>
    </row>
    <row r="11" spans="1:32" ht="27">
      <c r="A11" s="125">
        <v>7</v>
      </c>
      <c r="B11" s="125" t="s">
        <v>899</v>
      </c>
      <c r="C11" s="125" t="s">
        <v>1493</v>
      </c>
      <c r="D11" s="153" t="s">
        <v>5018</v>
      </c>
      <c r="E11" s="472" t="s">
        <v>5017</v>
      </c>
      <c r="F11" s="154" t="s">
        <v>5016</v>
      </c>
      <c r="G11" s="472" t="s">
        <v>5015</v>
      </c>
      <c r="H11" s="472" t="s">
        <v>4050</v>
      </c>
      <c r="I11" s="373">
        <v>1800</v>
      </c>
      <c r="J11" s="125"/>
      <c r="K11" s="373">
        <v>1800</v>
      </c>
      <c r="L11" s="154"/>
      <c r="M11" s="154"/>
      <c r="N11" s="154"/>
      <c r="O11" s="154"/>
      <c r="P11" s="125" t="s">
        <v>98</v>
      </c>
      <c r="Q11" s="125" t="s">
        <v>5014</v>
      </c>
      <c r="R11" s="125" t="s">
        <v>885</v>
      </c>
      <c r="S11" s="125" t="s">
        <v>42</v>
      </c>
      <c r="T11" s="125" t="s">
        <v>49</v>
      </c>
      <c r="U11" s="125" t="s">
        <v>37</v>
      </c>
      <c r="V11" s="125">
        <v>410</v>
      </c>
      <c r="W11" s="125">
        <v>389</v>
      </c>
      <c r="X11" s="125">
        <v>21</v>
      </c>
      <c r="Y11" s="125" t="s">
        <v>1308</v>
      </c>
      <c r="Z11" s="202" t="s">
        <v>1148</v>
      </c>
      <c r="AA11"/>
      <c r="AB11"/>
      <c r="AC11"/>
      <c r="AD11"/>
      <c r="AE11"/>
      <c r="AF11"/>
    </row>
    <row r="12" spans="1:32" ht="40.5">
      <c r="A12" s="125">
        <v>8</v>
      </c>
      <c r="B12" s="125" t="s">
        <v>899</v>
      </c>
      <c r="C12" s="125" t="s">
        <v>1488</v>
      </c>
      <c r="D12" s="472" t="s">
        <v>1492</v>
      </c>
      <c r="E12" s="472" t="s">
        <v>5013</v>
      </c>
      <c r="F12" s="135" t="s">
        <v>1491</v>
      </c>
      <c r="G12" s="472" t="s">
        <v>5012</v>
      </c>
      <c r="H12" s="472" t="s">
        <v>5011</v>
      </c>
      <c r="I12" s="472">
        <v>600</v>
      </c>
      <c r="J12" s="472"/>
      <c r="K12" s="472"/>
      <c r="L12" s="472">
        <v>600</v>
      </c>
      <c r="M12" s="472"/>
      <c r="N12" s="472"/>
      <c r="O12" s="472"/>
      <c r="P12" s="472" t="s">
        <v>48</v>
      </c>
      <c r="Q12" s="472" t="s">
        <v>3332</v>
      </c>
      <c r="R12" s="472" t="s">
        <v>885</v>
      </c>
      <c r="S12" s="472" t="s">
        <v>199</v>
      </c>
      <c r="T12" s="472" t="s">
        <v>49</v>
      </c>
      <c r="U12" s="472" t="s">
        <v>37</v>
      </c>
      <c r="V12" s="472">
        <f>SUM(W12:X12)</f>
        <v>103</v>
      </c>
      <c r="W12" s="472">
        <v>103</v>
      </c>
      <c r="X12" s="472"/>
      <c r="Y12" s="472" t="s">
        <v>5010</v>
      </c>
      <c r="Z12" s="202" t="s">
        <v>1148</v>
      </c>
      <c r="AA12"/>
      <c r="AB12"/>
      <c r="AC12"/>
      <c r="AD12"/>
      <c r="AE12"/>
      <c r="AF12"/>
    </row>
    <row r="13" spans="1:32" ht="40.5">
      <c r="A13" s="125">
        <v>9</v>
      </c>
      <c r="B13" s="125" t="s">
        <v>899</v>
      </c>
      <c r="C13" s="125" t="s">
        <v>1488</v>
      </c>
      <c r="D13" s="472" t="s">
        <v>5009</v>
      </c>
      <c r="E13" s="472" t="s">
        <v>1420</v>
      </c>
      <c r="F13" s="135" t="s">
        <v>5008</v>
      </c>
      <c r="G13" s="472" t="s">
        <v>5007</v>
      </c>
      <c r="H13" s="472" t="s">
        <v>5006</v>
      </c>
      <c r="I13" s="472">
        <v>18.5</v>
      </c>
      <c r="J13" s="472"/>
      <c r="K13" s="472" t="s">
        <v>621</v>
      </c>
      <c r="L13" s="472">
        <v>17</v>
      </c>
      <c r="M13" s="472">
        <v>1.5</v>
      </c>
      <c r="N13" s="472"/>
      <c r="O13" s="472"/>
      <c r="P13" s="472" t="s">
        <v>48</v>
      </c>
      <c r="Q13" s="472" t="s">
        <v>1490</v>
      </c>
      <c r="R13" s="472" t="s">
        <v>36</v>
      </c>
      <c r="S13" s="472" t="s">
        <v>246</v>
      </c>
      <c r="T13" s="472" t="s">
        <v>49</v>
      </c>
      <c r="U13" s="472" t="s">
        <v>37</v>
      </c>
      <c r="V13" s="472">
        <f>SUM(W13:X13)</f>
        <v>30</v>
      </c>
      <c r="W13" s="472">
        <v>30</v>
      </c>
      <c r="X13" s="472"/>
      <c r="Y13" s="472" t="s">
        <v>5005</v>
      </c>
      <c r="Z13" s="202" t="s">
        <v>1148</v>
      </c>
      <c r="AA13"/>
      <c r="AB13"/>
      <c r="AC13"/>
      <c r="AD13"/>
      <c r="AE13"/>
      <c r="AF13"/>
    </row>
    <row r="14" spans="1:32" ht="81">
      <c r="A14" s="125">
        <v>10</v>
      </c>
      <c r="B14" s="125" t="s">
        <v>899</v>
      </c>
      <c r="C14" s="125" t="s">
        <v>1488</v>
      </c>
      <c r="D14" s="472" t="s">
        <v>5004</v>
      </c>
      <c r="E14" s="472" t="s">
        <v>1166</v>
      </c>
      <c r="F14" s="135" t="s">
        <v>1489</v>
      </c>
      <c r="G14" s="472" t="s">
        <v>2705</v>
      </c>
      <c r="H14" s="472" t="s">
        <v>5003</v>
      </c>
      <c r="I14" s="472">
        <v>600</v>
      </c>
      <c r="J14" s="472"/>
      <c r="K14" s="472">
        <v>100</v>
      </c>
      <c r="L14" s="472">
        <v>500</v>
      </c>
      <c r="M14" s="472"/>
      <c r="N14" s="472"/>
      <c r="O14" s="472"/>
      <c r="P14" s="472" t="s">
        <v>46</v>
      </c>
      <c r="Q14" s="472" t="s">
        <v>5002</v>
      </c>
      <c r="R14" s="472" t="s">
        <v>36</v>
      </c>
      <c r="S14" s="472" t="s">
        <v>246</v>
      </c>
      <c r="T14" s="472" t="s">
        <v>49</v>
      </c>
      <c r="U14" s="472" t="s">
        <v>38</v>
      </c>
      <c r="V14" s="472">
        <f>SUM(W14:X14)</f>
        <v>40</v>
      </c>
      <c r="W14" s="472">
        <v>40</v>
      </c>
      <c r="X14" s="472"/>
      <c r="Y14" s="472" t="s">
        <v>5001</v>
      </c>
      <c r="Z14" s="202" t="s">
        <v>1148</v>
      </c>
      <c r="AA14"/>
      <c r="AB14"/>
      <c r="AC14"/>
      <c r="AD14"/>
      <c r="AE14"/>
      <c r="AF14"/>
    </row>
    <row r="15" spans="1:32" ht="54">
      <c r="A15" s="125">
        <v>11</v>
      </c>
      <c r="B15" s="125" t="s">
        <v>899</v>
      </c>
      <c r="C15" s="125" t="s">
        <v>1488</v>
      </c>
      <c r="D15" s="472" t="s">
        <v>5000</v>
      </c>
      <c r="E15" s="472" t="s">
        <v>886</v>
      </c>
      <c r="F15" s="135" t="s">
        <v>4999</v>
      </c>
      <c r="G15" s="472" t="s">
        <v>4998</v>
      </c>
      <c r="H15" s="472" t="s">
        <v>3756</v>
      </c>
      <c r="I15" s="472">
        <v>200</v>
      </c>
      <c r="J15" s="472"/>
      <c r="K15" s="472"/>
      <c r="L15" s="472">
        <v>200</v>
      </c>
      <c r="M15" s="472"/>
      <c r="N15" s="472"/>
      <c r="O15" s="472"/>
      <c r="P15" s="472" t="s">
        <v>41</v>
      </c>
      <c r="Q15" s="472" t="s">
        <v>4997</v>
      </c>
      <c r="R15" s="472" t="s">
        <v>36</v>
      </c>
      <c r="S15" s="472" t="s">
        <v>42</v>
      </c>
      <c r="T15" s="472" t="s">
        <v>49</v>
      </c>
      <c r="U15" s="472" t="s">
        <v>38</v>
      </c>
      <c r="V15" s="472">
        <f>SUM(W15:X15)</f>
        <v>50</v>
      </c>
      <c r="W15" s="472">
        <v>50</v>
      </c>
      <c r="X15" s="472"/>
      <c r="Y15" s="472" t="s">
        <v>1487</v>
      </c>
      <c r="Z15" s="202" t="s">
        <v>6024</v>
      </c>
    </row>
    <row r="16" spans="1:32" ht="67.5" hidden="1">
      <c r="A16" s="125">
        <v>12</v>
      </c>
      <c r="B16" s="125" t="s">
        <v>899</v>
      </c>
      <c r="C16" s="472" t="s">
        <v>900</v>
      </c>
      <c r="D16" s="472" t="s">
        <v>901</v>
      </c>
      <c r="E16" s="472" t="s">
        <v>1486</v>
      </c>
      <c r="F16" s="135" t="s">
        <v>902</v>
      </c>
      <c r="G16" s="472" t="s">
        <v>903</v>
      </c>
      <c r="H16" s="472" t="s">
        <v>105</v>
      </c>
      <c r="I16" s="303">
        <v>1200</v>
      </c>
      <c r="J16" s="103"/>
      <c r="K16" s="103"/>
      <c r="L16" s="307">
        <v>1200</v>
      </c>
      <c r="M16" s="103"/>
      <c r="N16" s="103"/>
      <c r="O16" s="103"/>
      <c r="P16" s="472" t="s">
        <v>46</v>
      </c>
      <c r="Q16" s="472" t="s">
        <v>904</v>
      </c>
      <c r="R16" s="472" t="s">
        <v>56</v>
      </c>
      <c r="S16" s="472" t="s">
        <v>681</v>
      </c>
      <c r="T16" s="472" t="s">
        <v>905</v>
      </c>
      <c r="U16" s="472" t="s">
        <v>76</v>
      </c>
      <c r="V16" s="303">
        <v>1000</v>
      </c>
      <c r="W16" s="303">
        <v>1000</v>
      </c>
      <c r="X16" s="472"/>
      <c r="Y16" s="472" t="s">
        <v>906</v>
      </c>
      <c r="Z16" s="137" t="s">
        <v>1145</v>
      </c>
    </row>
    <row r="17" spans="1:32" ht="54">
      <c r="A17" s="160">
        <v>13</v>
      </c>
      <c r="B17" s="160" t="s">
        <v>899</v>
      </c>
      <c r="C17" s="160" t="s">
        <v>900</v>
      </c>
      <c r="D17" s="103" t="s">
        <v>907</v>
      </c>
      <c r="E17" s="103" t="s">
        <v>908</v>
      </c>
      <c r="F17" s="161" t="s">
        <v>909</v>
      </c>
      <c r="G17" s="103" t="s">
        <v>4996</v>
      </c>
      <c r="H17" s="472" t="s">
        <v>910</v>
      </c>
      <c r="I17" s="472">
        <v>60</v>
      </c>
      <c r="J17" s="160"/>
      <c r="K17" s="160"/>
      <c r="L17" s="160">
        <v>60</v>
      </c>
      <c r="M17" s="160"/>
      <c r="N17" s="160"/>
      <c r="O17" s="160"/>
      <c r="P17" s="125" t="s">
        <v>48</v>
      </c>
      <c r="Q17" s="125" t="s">
        <v>700</v>
      </c>
      <c r="R17" s="472" t="s">
        <v>56</v>
      </c>
      <c r="S17" s="472" t="s">
        <v>681</v>
      </c>
      <c r="T17" s="472" t="s">
        <v>905</v>
      </c>
      <c r="U17" s="472" t="s">
        <v>76</v>
      </c>
      <c r="V17" s="472">
        <v>200</v>
      </c>
      <c r="W17" s="472">
        <v>200</v>
      </c>
      <c r="X17" s="472"/>
      <c r="Y17" s="103" t="s">
        <v>911</v>
      </c>
      <c r="Z17" s="202" t="s">
        <v>1148</v>
      </c>
      <c r="AA17"/>
      <c r="AB17"/>
      <c r="AC17"/>
      <c r="AD17"/>
      <c r="AE17"/>
      <c r="AF17"/>
    </row>
    <row r="18" spans="1:32" ht="67.5">
      <c r="A18" s="125">
        <v>14</v>
      </c>
      <c r="B18" s="125" t="s">
        <v>899</v>
      </c>
      <c r="C18" s="472" t="s">
        <v>900</v>
      </c>
      <c r="D18" s="472" t="s">
        <v>912</v>
      </c>
      <c r="E18" s="472" t="s">
        <v>1469</v>
      </c>
      <c r="F18" s="399" t="s">
        <v>4995</v>
      </c>
      <c r="G18" s="472" t="s">
        <v>913</v>
      </c>
      <c r="H18" s="472" t="s">
        <v>914</v>
      </c>
      <c r="I18" s="303">
        <v>2529</v>
      </c>
      <c r="J18" s="472"/>
      <c r="K18" s="472">
        <v>500</v>
      </c>
      <c r="L18" s="303">
        <v>2029</v>
      </c>
      <c r="M18" s="472"/>
      <c r="N18" s="472"/>
      <c r="O18" s="472"/>
      <c r="P18" s="472" t="s">
        <v>46</v>
      </c>
      <c r="Q18" s="472" t="s">
        <v>915</v>
      </c>
      <c r="R18" s="472" t="s">
        <v>56</v>
      </c>
      <c r="S18" s="472" t="s">
        <v>750</v>
      </c>
      <c r="T18" s="472" t="s">
        <v>916</v>
      </c>
      <c r="U18" s="472" t="s">
        <v>76</v>
      </c>
      <c r="V18" s="472">
        <v>40</v>
      </c>
      <c r="W18" s="472">
        <v>40</v>
      </c>
      <c r="X18" s="472"/>
      <c r="Y18" s="472" t="s">
        <v>917</v>
      </c>
      <c r="Z18" s="202" t="s">
        <v>4994</v>
      </c>
      <c r="AA18"/>
      <c r="AB18"/>
      <c r="AC18"/>
      <c r="AD18"/>
      <c r="AE18"/>
      <c r="AF18"/>
    </row>
    <row r="19" spans="1:32" s="1" customFormat="1" ht="54">
      <c r="A19" s="126">
        <v>15</v>
      </c>
      <c r="B19" s="126" t="s">
        <v>899</v>
      </c>
      <c r="C19" s="473" t="s">
        <v>918</v>
      </c>
      <c r="D19" s="473" t="s">
        <v>919</v>
      </c>
      <c r="E19" s="473" t="s">
        <v>920</v>
      </c>
      <c r="F19" s="136" t="s">
        <v>921</v>
      </c>
      <c r="G19" s="473" t="s">
        <v>4993</v>
      </c>
      <c r="H19" s="473" t="s">
        <v>922</v>
      </c>
      <c r="I19" s="473">
        <v>920</v>
      </c>
      <c r="J19" s="473"/>
      <c r="K19" s="473"/>
      <c r="L19" s="473">
        <v>920</v>
      </c>
      <c r="M19" s="473"/>
      <c r="N19" s="473"/>
      <c r="O19" s="473"/>
      <c r="P19" s="473" t="s">
        <v>41</v>
      </c>
      <c r="Q19" s="473" t="s">
        <v>923</v>
      </c>
      <c r="R19" s="473" t="s">
        <v>56</v>
      </c>
      <c r="S19" s="473" t="s">
        <v>83</v>
      </c>
      <c r="T19" s="473" t="s">
        <v>924</v>
      </c>
      <c r="U19" s="473" t="s">
        <v>76</v>
      </c>
      <c r="V19" s="473">
        <v>914</v>
      </c>
      <c r="W19" s="473">
        <v>914</v>
      </c>
      <c r="X19" s="473"/>
      <c r="Y19" s="473" t="s">
        <v>204</v>
      </c>
      <c r="Z19" s="202" t="s">
        <v>6108</v>
      </c>
    </row>
    <row r="20" spans="1:32" ht="54">
      <c r="A20" s="125">
        <v>16</v>
      </c>
      <c r="B20" s="125" t="s">
        <v>899</v>
      </c>
      <c r="C20" s="125" t="s">
        <v>918</v>
      </c>
      <c r="D20" s="472" t="s">
        <v>925</v>
      </c>
      <c r="E20" s="472" t="s">
        <v>926</v>
      </c>
      <c r="F20" s="161" t="s">
        <v>4992</v>
      </c>
      <c r="G20" s="472" t="s">
        <v>4991</v>
      </c>
      <c r="H20" s="472" t="s">
        <v>927</v>
      </c>
      <c r="I20" s="472">
        <v>446</v>
      </c>
      <c r="J20" s="125">
        <v>5</v>
      </c>
      <c r="K20" s="125"/>
      <c r="L20" s="125">
        <v>441</v>
      </c>
      <c r="M20" s="125"/>
      <c r="N20" s="125" t="s">
        <v>928</v>
      </c>
      <c r="O20" s="125" t="s">
        <v>929</v>
      </c>
      <c r="P20" s="125" t="s">
        <v>52</v>
      </c>
      <c r="Q20" s="125" t="s">
        <v>930</v>
      </c>
      <c r="R20" s="472" t="s">
        <v>56</v>
      </c>
      <c r="S20" s="472" t="s">
        <v>931</v>
      </c>
      <c r="T20" s="472" t="s">
        <v>924</v>
      </c>
      <c r="U20" s="472" t="s">
        <v>932</v>
      </c>
      <c r="V20" s="472">
        <v>35</v>
      </c>
      <c r="W20" s="472">
        <v>35</v>
      </c>
      <c r="X20" s="472"/>
      <c r="Y20" s="472" t="s">
        <v>933</v>
      </c>
      <c r="Z20" s="202" t="s">
        <v>1148</v>
      </c>
      <c r="AA20"/>
      <c r="AB20"/>
      <c r="AC20"/>
      <c r="AD20"/>
      <c r="AE20"/>
      <c r="AF20"/>
    </row>
    <row r="21" spans="1:32" ht="40.5">
      <c r="A21" s="125">
        <v>17</v>
      </c>
      <c r="B21" s="125" t="s">
        <v>899</v>
      </c>
      <c r="C21" s="472" t="s">
        <v>918</v>
      </c>
      <c r="D21" s="472" t="s">
        <v>934</v>
      </c>
      <c r="E21" s="472" t="s">
        <v>54</v>
      </c>
      <c r="F21" s="135" t="s">
        <v>935</v>
      </c>
      <c r="G21" s="472" t="s">
        <v>4990</v>
      </c>
      <c r="H21" s="472" t="s">
        <v>937</v>
      </c>
      <c r="I21" s="472">
        <v>68.5</v>
      </c>
      <c r="J21" s="349"/>
      <c r="K21" s="349"/>
      <c r="L21" s="103">
        <v>68.5</v>
      </c>
      <c r="M21" s="349"/>
      <c r="N21" s="349"/>
      <c r="O21" s="349"/>
      <c r="P21" s="472" t="s">
        <v>46</v>
      </c>
      <c r="Q21" s="472" t="s">
        <v>938</v>
      </c>
      <c r="R21" s="472" t="s">
        <v>56</v>
      </c>
      <c r="S21" s="472" t="s">
        <v>939</v>
      </c>
      <c r="T21" s="472" t="s">
        <v>924</v>
      </c>
      <c r="U21" s="472" t="s">
        <v>76</v>
      </c>
      <c r="V21" s="472">
        <v>3</v>
      </c>
      <c r="W21" s="472">
        <v>2.2999999999999998</v>
      </c>
      <c r="X21" s="472">
        <v>0.7</v>
      </c>
      <c r="Y21" s="472" t="s">
        <v>940</v>
      </c>
      <c r="Z21" s="202" t="s">
        <v>1148</v>
      </c>
    </row>
    <row r="22" spans="1:32" ht="27">
      <c r="A22" s="125">
        <v>18</v>
      </c>
      <c r="B22" s="125" t="s">
        <v>899</v>
      </c>
      <c r="C22" s="125" t="s">
        <v>918</v>
      </c>
      <c r="D22" s="472" t="s">
        <v>941</v>
      </c>
      <c r="E22" s="472" t="s">
        <v>942</v>
      </c>
      <c r="F22" s="135" t="s">
        <v>943</v>
      </c>
      <c r="G22" s="472" t="s">
        <v>936</v>
      </c>
      <c r="H22" s="472" t="s">
        <v>748</v>
      </c>
      <c r="I22" s="472">
        <v>80</v>
      </c>
      <c r="J22" s="125"/>
      <c r="K22" s="125">
        <v>20</v>
      </c>
      <c r="L22" s="125">
        <v>60</v>
      </c>
      <c r="M22" s="125"/>
      <c r="N22" s="125"/>
      <c r="O22" s="125"/>
      <c r="P22" s="125" t="s">
        <v>52</v>
      </c>
      <c r="Q22" s="125" t="s">
        <v>944</v>
      </c>
      <c r="R22" s="472" t="s">
        <v>56</v>
      </c>
      <c r="S22" s="472" t="s">
        <v>945</v>
      </c>
      <c r="T22" s="472" t="s">
        <v>924</v>
      </c>
      <c r="U22" s="472" t="s">
        <v>76</v>
      </c>
      <c r="V22" s="472">
        <v>3.5</v>
      </c>
      <c r="W22" s="472">
        <v>3</v>
      </c>
      <c r="X22" s="472">
        <v>0.5</v>
      </c>
      <c r="Y22" s="472" t="s">
        <v>204</v>
      </c>
      <c r="Z22" s="202" t="s">
        <v>1148</v>
      </c>
      <c r="AA22"/>
      <c r="AB22"/>
      <c r="AC22"/>
      <c r="AD22"/>
      <c r="AE22"/>
      <c r="AF22"/>
    </row>
    <row r="23" spans="1:32" s="1" customFormat="1" ht="40.5">
      <c r="A23" s="126">
        <v>19</v>
      </c>
      <c r="B23" s="126" t="s">
        <v>32</v>
      </c>
      <c r="C23" s="126" t="s">
        <v>1284</v>
      </c>
      <c r="D23" s="473" t="s">
        <v>4989</v>
      </c>
      <c r="E23" s="473" t="s">
        <v>4988</v>
      </c>
      <c r="F23" s="136" t="s">
        <v>4987</v>
      </c>
      <c r="G23" s="473" t="s">
        <v>4986</v>
      </c>
      <c r="H23" s="473" t="s">
        <v>285</v>
      </c>
      <c r="I23" s="473">
        <v>280</v>
      </c>
      <c r="J23" s="473"/>
      <c r="K23" s="473"/>
      <c r="L23" s="473">
        <v>280</v>
      </c>
      <c r="M23" s="473"/>
      <c r="N23" s="473"/>
      <c r="O23" s="473"/>
      <c r="P23" s="473" t="s">
        <v>41</v>
      </c>
      <c r="Q23" s="473" t="s">
        <v>4985</v>
      </c>
      <c r="R23" s="473" t="s">
        <v>36</v>
      </c>
      <c r="S23" s="473" t="s">
        <v>246</v>
      </c>
      <c r="T23" s="473" t="s">
        <v>49</v>
      </c>
      <c r="U23" s="473" t="s">
        <v>38</v>
      </c>
      <c r="V23" s="473">
        <f>SUM(W23:X23)</f>
        <v>71</v>
      </c>
      <c r="W23" s="473">
        <v>71</v>
      </c>
      <c r="X23" s="473"/>
      <c r="Y23" s="473" t="s">
        <v>64</v>
      </c>
      <c r="Z23" s="202" t="s">
        <v>1148</v>
      </c>
      <c r="AA23"/>
      <c r="AB23"/>
      <c r="AC23"/>
      <c r="AD23"/>
      <c r="AE23"/>
      <c r="AF23"/>
    </row>
    <row r="24" spans="1:32" ht="40.5">
      <c r="A24" s="125">
        <v>20</v>
      </c>
      <c r="B24" s="125" t="s">
        <v>32</v>
      </c>
      <c r="C24" s="125" t="s">
        <v>1284</v>
      </c>
      <c r="D24" s="472" t="s">
        <v>4984</v>
      </c>
      <c r="E24" s="472" t="s">
        <v>4983</v>
      </c>
      <c r="F24" s="135" t="s">
        <v>4982</v>
      </c>
      <c r="G24" s="472" t="s">
        <v>4981</v>
      </c>
      <c r="H24" s="472" t="s">
        <v>1222</v>
      </c>
      <c r="I24" s="472">
        <v>30</v>
      </c>
      <c r="J24" s="472"/>
      <c r="K24" s="472"/>
      <c r="L24" s="472">
        <v>30</v>
      </c>
      <c r="M24" s="472"/>
      <c r="N24" s="472"/>
      <c r="O24" s="472"/>
      <c r="P24" s="472" t="s">
        <v>41</v>
      </c>
      <c r="Q24" s="472" t="s">
        <v>4980</v>
      </c>
      <c r="R24" s="472" t="s">
        <v>36</v>
      </c>
      <c r="S24" s="472" t="s">
        <v>246</v>
      </c>
      <c r="T24" s="472" t="s">
        <v>49</v>
      </c>
      <c r="U24" s="472" t="s">
        <v>38</v>
      </c>
      <c r="V24" s="472">
        <f>SUM(W24:X24)</f>
        <v>13</v>
      </c>
      <c r="W24" s="472">
        <v>13</v>
      </c>
      <c r="X24" s="472"/>
      <c r="Y24" s="472" t="s">
        <v>64</v>
      </c>
      <c r="Z24" s="202" t="s">
        <v>1148</v>
      </c>
      <c r="AA24"/>
      <c r="AB24"/>
      <c r="AC24"/>
      <c r="AD24"/>
      <c r="AE24"/>
      <c r="AF24"/>
    </row>
    <row r="25" spans="1:32" ht="54">
      <c r="A25" s="125">
        <v>21</v>
      </c>
      <c r="B25" s="125" t="s">
        <v>32</v>
      </c>
      <c r="C25" s="125" t="s">
        <v>1284</v>
      </c>
      <c r="D25" s="472" t="s">
        <v>1485</v>
      </c>
      <c r="E25" s="472" t="s">
        <v>1484</v>
      </c>
      <c r="F25" s="135" t="s">
        <v>4979</v>
      </c>
      <c r="G25" s="472" t="s">
        <v>2692</v>
      </c>
      <c r="H25" s="472" t="s">
        <v>4978</v>
      </c>
      <c r="I25" s="472">
        <v>617</v>
      </c>
      <c r="J25" s="472">
        <v>0</v>
      </c>
      <c r="K25" s="472">
        <v>70</v>
      </c>
      <c r="L25" s="472">
        <v>547</v>
      </c>
      <c r="M25" s="472">
        <v>0</v>
      </c>
      <c r="N25" s="472"/>
      <c r="O25" s="472"/>
      <c r="P25" s="472" t="s">
        <v>46</v>
      </c>
      <c r="Q25" s="472" t="s">
        <v>4977</v>
      </c>
      <c r="R25" s="472" t="s">
        <v>36</v>
      </c>
      <c r="S25" s="472" t="s">
        <v>246</v>
      </c>
      <c r="T25" s="472" t="s">
        <v>4967</v>
      </c>
      <c r="U25" s="472" t="s">
        <v>1435</v>
      </c>
      <c r="V25" s="472">
        <v>68</v>
      </c>
      <c r="W25" s="472">
        <v>68</v>
      </c>
      <c r="X25" s="472"/>
      <c r="Y25" s="472" t="s">
        <v>4976</v>
      </c>
      <c r="Z25" s="202" t="s">
        <v>6154</v>
      </c>
      <c r="AA25"/>
      <c r="AB25"/>
      <c r="AC25"/>
      <c r="AD25"/>
      <c r="AE25"/>
      <c r="AF25"/>
    </row>
    <row r="26" spans="1:32" ht="54">
      <c r="A26" s="125">
        <v>22</v>
      </c>
      <c r="B26" s="125" t="s">
        <v>899</v>
      </c>
      <c r="C26" s="125" t="s">
        <v>1284</v>
      </c>
      <c r="D26" s="472" t="s">
        <v>4975</v>
      </c>
      <c r="E26" s="472" t="s">
        <v>4974</v>
      </c>
      <c r="F26" s="135" t="s">
        <v>4973</v>
      </c>
      <c r="G26" s="472" t="s">
        <v>1483</v>
      </c>
      <c r="H26" s="472" t="s">
        <v>100</v>
      </c>
      <c r="I26" s="472">
        <v>521</v>
      </c>
      <c r="J26" s="472">
        <v>0</v>
      </c>
      <c r="K26" s="472">
        <v>0</v>
      </c>
      <c r="L26" s="472">
        <v>521</v>
      </c>
      <c r="M26" s="472">
        <v>0</v>
      </c>
      <c r="N26" s="472"/>
      <c r="O26" s="472"/>
      <c r="P26" s="472" t="s">
        <v>41</v>
      </c>
      <c r="Q26" s="472" t="s">
        <v>1482</v>
      </c>
      <c r="R26" s="472" t="s">
        <v>36</v>
      </c>
      <c r="S26" s="472" t="s">
        <v>4972</v>
      </c>
      <c r="T26" s="472" t="s">
        <v>49</v>
      </c>
      <c r="U26" s="472" t="s">
        <v>38</v>
      </c>
      <c r="V26" s="472">
        <f>SUM(W26:X26)</f>
        <v>72</v>
      </c>
      <c r="W26" s="472">
        <v>72</v>
      </c>
      <c r="X26" s="472"/>
      <c r="Y26" s="472" t="s">
        <v>4971</v>
      </c>
      <c r="Z26" s="202" t="s">
        <v>1148</v>
      </c>
      <c r="AA26"/>
      <c r="AB26"/>
      <c r="AC26"/>
      <c r="AD26"/>
      <c r="AE26"/>
      <c r="AF26"/>
    </row>
    <row r="27" spans="1:32" ht="40.5">
      <c r="A27" s="125">
        <v>23</v>
      </c>
      <c r="B27" s="125" t="s">
        <v>32</v>
      </c>
      <c r="C27" s="125" t="s">
        <v>1284</v>
      </c>
      <c r="D27" s="472" t="s">
        <v>1481</v>
      </c>
      <c r="E27" s="472" t="s">
        <v>39</v>
      </c>
      <c r="F27" s="415" t="s">
        <v>4970</v>
      </c>
      <c r="G27" s="391" t="s">
        <v>4969</v>
      </c>
      <c r="H27" s="416" t="s">
        <v>1480</v>
      </c>
      <c r="I27" s="472">
        <v>30</v>
      </c>
      <c r="J27" s="472">
        <v>0</v>
      </c>
      <c r="K27" s="472">
        <v>0</v>
      </c>
      <c r="L27" s="472">
        <v>30</v>
      </c>
      <c r="M27" s="472">
        <v>0</v>
      </c>
      <c r="N27" s="472"/>
      <c r="O27" s="472"/>
      <c r="P27" s="472" t="s">
        <v>7</v>
      </c>
      <c r="Q27" s="472" t="s">
        <v>4968</v>
      </c>
      <c r="R27" s="472" t="s">
        <v>36</v>
      </c>
      <c r="S27" s="472" t="s">
        <v>246</v>
      </c>
      <c r="T27" s="472" t="s">
        <v>4967</v>
      </c>
      <c r="U27" s="472" t="s">
        <v>38</v>
      </c>
      <c r="V27" s="472">
        <v>2</v>
      </c>
      <c r="W27" s="472">
        <v>2</v>
      </c>
      <c r="X27" s="472"/>
      <c r="Y27" s="472" t="s">
        <v>4966</v>
      </c>
      <c r="Z27" s="202" t="s">
        <v>1148</v>
      </c>
    </row>
    <row r="28" spans="1:32" ht="67.5">
      <c r="A28" s="125">
        <v>24</v>
      </c>
      <c r="B28" s="125" t="s">
        <v>32</v>
      </c>
      <c r="C28" s="125" t="s">
        <v>1477</v>
      </c>
      <c r="D28" s="472" t="s">
        <v>4965</v>
      </c>
      <c r="E28" s="472" t="s">
        <v>39</v>
      </c>
      <c r="F28" s="135" t="s">
        <v>4964</v>
      </c>
      <c r="G28" s="103" t="s">
        <v>6015</v>
      </c>
      <c r="H28" s="103" t="s">
        <v>1479</v>
      </c>
      <c r="I28" s="303">
        <v>1110</v>
      </c>
      <c r="J28" s="472">
        <v>160</v>
      </c>
      <c r="K28" s="472"/>
      <c r="L28" s="303">
        <v>950</v>
      </c>
      <c r="M28" s="472"/>
      <c r="N28" s="472" t="s">
        <v>35</v>
      </c>
      <c r="O28" s="472" t="s">
        <v>1283</v>
      </c>
      <c r="P28" s="472" t="s">
        <v>52</v>
      </c>
      <c r="Q28" s="472" t="s">
        <v>1478</v>
      </c>
      <c r="R28" s="472" t="s">
        <v>36</v>
      </c>
      <c r="S28" s="472" t="s">
        <v>199</v>
      </c>
      <c r="T28" s="472" t="s">
        <v>1281</v>
      </c>
      <c r="U28" s="472" t="s">
        <v>38</v>
      </c>
      <c r="V28" s="472">
        <v>220</v>
      </c>
      <c r="W28" s="472">
        <v>220</v>
      </c>
      <c r="X28" s="472"/>
      <c r="Y28" s="472" t="s">
        <v>4953</v>
      </c>
      <c r="Z28" s="202" t="s">
        <v>1148</v>
      </c>
    </row>
    <row r="29" spans="1:32" ht="67.5">
      <c r="A29" s="125">
        <v>25</v>
      </c>
      <c r="B29" s="125" t="s">
        <v>32</v>
      </c>
      <c r="C29" s="125" t="s">
        <v>1477</v>
      </c>
      <c r="D29" s="472" t="s">
        <v>4963</v>
      </c>
      <c r="E29" s="472" t="s">
        <v>39</v>
      </c>
      <c r="F29" s="135" t="s">
        <v>4962</v>
      </c>
      <c r="G29" s="103" t="s">
        <v>6014</v>
      </c>
      <c r="H29" s="103" t="s">
        <v>1361</v>
      </c>
      <c r="I29" s="472">
        <v>455</v>
      </c>
      <c r="J29" s="472"/>
      <c r="K29" s="472"/>
      <c r="L29" s="472">
        <v>455</v>
      </c>
      <c r="M29" s="472"/>
      <c r="N29" s="472"/>
      <c r="O29" s="472"/>
      <c r="P29" s="472" t="s">
        <v>41</v>
      </c>
      <c r="Q29" s="472" t="s">
        <v>1442</v>
      </c>
      <c r="R29" s="472" t="s">
        <v>36</v>
      </c>
      <c r="S29" s="472" t="s">
        <v>199</v>
      </c>
      <c r="T29" s="472" t="s">
        <v>1281</v>
      </c>
      <c r="U29" s="472" t="s">
        <v>38</v>
      </c>
      <c r="V29" s="472">
        <v>220</v>
      </c>
      <c r="W29" s="472">
        <v>220</v>
      </c>
      <c r="X29" s="472"/>
      <c r="Y29" s="472" t="s">
        <v>4953</v>
      </c>
      <c r="Z29" s="202" t="s">
        <v>1148</v>
      </c>
    </row>
    <row r="30" spans="1:32" ht="121.5">
      <c r="A30" s="125">
        <v>26</v>
      </c>
      <c r="B30" s="125" t="s">
        <v>32</v>
      </c>
      <c r="C30" s="125" t="s">
        <v>1477</v>
      </c>
      <c r="D30" s="472" t="s">
        <v>4961</v>
      </c>
      <c r="E30" s="472" t="s">
        <v>4960</v>
      </c>
      <c r="F30" s="135" t="s">
        <v>4959</v>
      </c>
      <c r="G30" s="103" t="s">
        <v>1282</v>
      </c>
      <c r="H30" s="472" t="s">
        <v>4958</v>
      </c>
      <c r="I30" s="472">
        <v>860</v>
      </c>
      <c r="J30" s="472"/>
      <c r="K30" s="472">
        <v>300</v>
      </c>
      <c r="L30" s="472">
        <v>830</v>
      </c>
      <c r="M30" s="472"/>
      <c r="N30" s="472"/>
      <c r="O30" s="472"/>
      <c r="P30" s="472" t="s">
        <v>41</v>
      </c>
      <c r="Q30" s="472" t="s">
        <v>368</v>
      </c>
      <c r="R30" s="472" t="s">
        <v>36</v>
      </c>
      <c r="S30" s="472" t="s">
        <v>199</v>
      </c>
      <c r="T30" s="472" t="s">
        <v>1281</v>
      </c>
      <c r="U30" s="472" t="s">
        <v>38</v>
      </c>
      <c r="V30" s="472">
        <v>161</v>
      </c>
      <c r="W30" s="472">
        <v>161</v>
      </c>
      <c r="X30" s="472"/>
      <c r="Y30" s="472" t="s">
        <v>4953</v>
      </c>
      <c r="Z30" s="202" t="s">
        <v>1148</v>
      </c>
      <c r="AA30"/>
      <c r="AB30"/>
      <c r="AC30"/>
      <c r="AD30"/>
      <c r="AE30"/>
      <c r="AF30"/>
    </row>
    <row r="31" spans="1:32" ht="81" hidden="1">
      <c r="A31" s="125">
        <v>27</v>
      </c>
      <c r="B31" s="125" t="s">
        <v>32</v>
      </c>
      <c r="C31" s="125" t="s">
        <v>1477</v>
      </c>
      <c r="D31" s="472" t="s">
        <v>4957</v>
      </c>
      <c r="E31" s="472" t="s">
        <v>4956</v>
      </c>
      <c r="F31" s="135" t="s">
        <v>4955</v>
      </c>
      <c r="G31" s="103" t="s">
        <v>4954</v>
      </c>
      <c r="H31" s="472" t="s">
        <v>3241</v>
      </c>
      <c r="I31" s="472">
        <v>430</v>
      </c>
      <c r="J31" s="472"/>
      <c r="K31" s="472" t="s">
        <v>621</v>
      </c>
      <c r="L31" s="472">
        <v>430</v>
      </c>
      <c r="M31" s="472"/>
      <c r="N31" s="472"/>
      <c r="O31" s="472"/>
      <c r="P31" s="472" t="s">
        <v>41</v>
      </c>
      <c r="Q31" s="472" t="s">
        <v>1476</v>
      </c>
      <c r="R31" s="472" t="s">
        <v>36</v>
      </c>
      <c r="S31" s="472" t="s">
        <v>199</v>
      </c>
      <c r="T31" s="472" t="s">
        <v>1281</v>
      </c>
      <c r="U31" s="472" t="s">
        <v>38</v>
      </c>
      <c r="V31" s="472">
        <v>35</v>
      </c>
      <c r="W31" s="472">
        <v>35</v>
      </c>
      <c r="X31" s="472"/>
      <c r="Y31" s="472" t="s">
        <v>4953</v>
      </c>
      <c r="Z31" s="137" t="s">
        <v>1145</v>
      </c>
    </row>
    <row r="32" spans="1:32" ht="108">
      <c r="A32" s="125">
        <v>28</v>
      </c>
      <c r="B32" s="125" t="s">
        <v>899</v>
      </c>
      <c r="C32" s="125" t="s">
        <v>4945</v>
      </c>
      <c r="D32" s="472" t="s">
        <v>4952</v>
      </c>
      <c r="E32" s="472" t="s">
        <v>4951</v>
      </c>
      <c r="F32" s="135" t="s">
        <v>4950</v>
      </c>
      <c r="G32" s="472" t="s">
        <v>4949</v>
      </c>
      <c r="H32" s="472" t="s">
        <v>4948</v>
      </c>
      <c r="I32" s="472">
        <v>125</v>
      </c>
      <c r="J32" s="472"/>
      <c r="K32" s="472"/>
      <c r="L32" s="472">
        <v>125</v>
      </c>
      <c r="M32" s="472"/>
      <c r="N32" s="472"/>
      <c r="O32" s="472"/>
      <c r="P32" s="472" t="s">
        <v>98</v>
      </c>
      <c r="Q32" s="472" t="s">
        <v>4947</v>
      </c>
      <c r="R32" s="472" t="s">
        <v>36</v>
      </c>
      <c r="S32" s="472" t="s">
        <v>4946</v>
      </c>
      <c r="T32" s="472" t="s">
        <v>1475</v>
      </c>
      <c r="U32" s="472" t="s">
        <v>53</v>
      </c>
      <c r="V32" s="472">
        <f>SUM(W32:X32)</f>
        <v>12</v>
      </c>
      <c r="W32" s="472">
        <v>12</v>
      </c>
      <c r="X32" s="472"/>
      <c r="Y32" s="472" t="s">
        <v>1308</v>
      </c>
      <c r="Z32" s="202" t="s">
        <v>1148</v>
      </c>
      <c r="AA32"/>
      <c r="AB32"/>
      <c r="AC32"/>
      <c r="AD32"/>
      <c r="AE32"/>
      <c r="AF32"/>
    </row>
    <row r="33" spans="1:32" ht="94.5">
      <c r="A33" s="125">
        <v>29</v>
      </c>
      <c r="B33" s="125" t="s">
        <v>32</v>
      </c>
      <c r="C33" s="125" t="s">
        <v>4945</v>
      </c>
      <c r="D33" s="472" t="s">
        <v>4944</v>
      </c>
      <c r="E33" s="472" t="s">
        <v>4943</v>
      </c>
      <c r="F33" s="135" t="s">
        <v>4942</v>
      </c>
      <c r="G33" s="472" t="s">
        <v>4941</v>
      </c>
      <c r="H33" s="472" t="s">
        <v>4940</v>
      </c>
      <c r="I33" s="472">
        <v>383</v>
      </c>
      <c r="J33" s="472"/>
      <c r="K33" s="472">
        <v>50</v>
      </c>
      <c r="L33" s="472">
        <v>333</v>
      </c>
      <c r="M33" s="472"/>
      <c r="N33" s="472"/>
      <c r="O33" s="472"/>
      <c r="P33" s="472" t="s">
        <v>41</v>
      </c>
      <c r="Q33" s="472" t="s">
        <v>4939</v>
      </c>
      <c r="R33" s="472" t="s">
        <v>36</v>
      </c>
      <c r="S33" s="472" t="s">
        <v>4938</v>
      </c>
      <c r="T33" s="472" t="s">
        <v>4937</v>
      </c>
      <c r="U33" s="472" t="s">
        <v>53</v>
      </c>
      <c r="V33" s="472">
        <f>SUM(W33:X33)</f>
        <v>210</v>
      </c>
      <c r="W33" s="472">
        <v>210</v>
      </c>
      <c r="X33" s="472"/>
      <c r="Y33" s="472" t="s">
        <v>64</v>
      </c>
      <c r="Z33" s="202" t="s">
        <v>1148</v>
      </c>
    </row>
    <row r="34" spans="1:32" ht="67.5">
      <c r="A34" s="125">
        <v>30</v>
      </c>
      <c r="B34" s="125" t="s">
        <v>899</v>
      </c>
      <c r="C34" s="125" t="s">
        <v>4931</v>
      </c>
      <c r="D34" s="472" t="s">
        <v>4936</v>
      </c>
      <c r="E34" s="472" t="s">
        <v>4935</v>
      </c>
      <c r="F34" s="135" t="s">
        <v>4934</v>
      </c>
      <c r="G34" s="472" t="s">
        <v>4933</v>
      </c>
      <c r="H34" s="472" t="s">
        <v>1474</v>
      </c>
      <c r="I34" s="472">
        <v>300</v>
      </c>
      <c r="J34" s="125"/>
      <c r="K34" s="125"/>
      <c r="L34" s="125">
        <v>300</v>
      </c>
      <c r="M34" s="472"/>
      <c r="N34" s="472"/>
      <c r="O34" s="472"/>
      <c r="P34" s="472" t="s">
        <v>98</v>
      </c>
      <c r="Q34" s="472" t="s">
        <v>4932</v>
      </c>
      <c r="R34" s="472" t="s">
        <v>36</v>
      </c>
      <c r="S34" s="472" t="s">
        <v>246</v>
      </c>
      <c r="T34" s="472" t="s">
        <v>49</v>
      </c>
      <c r="U34" s="472" t="s">
        <v>37</v>
      </c>
      <c r="V34" s="472">
        <f>SUM(W34:X34)</f>
        <v>60</v>
      </c>
      <c r="W34" s="472">
        <v>59</v>
      </c>
      <c r="X34" s="472">
        <v>1</v>
      </c>
      <c r="Y34" s="472" t="s">
        <v>844</v>
      </c>
      <c r="Z34" s="202" t="s">
        <v>1148</v>
      </c>
      <c r="AA34"/>
      <c r="AB34"/>
      <c r="AC34"/>
      <c r="AD34"/>
      <c r="AE34"/>
      <c r="AF34"/>
    </row>
    <row r="35" spans="1:32" s="1" customFormat="1" ht="67.5">
      <c r="A35" s="126">
        <v>31</v>
      </c>
      <c r="B35" s="126" t="s">
        <v>899</v>
      </c>
      <c r="C35" s="126" t="s">
        <v>4931</v>
      </c>
      <c r="D35" s="473" t="s">
        <v>4930</v>
      </c>
      <c r="E35" s="473" t="s">
        <v>886</v>
      </c>
      <c r="F35" s="136" t="s">
        <v>4929</v>
      </c>
      <c r="G35" s="473" t="s">
        <v>4928</v>
      </c>
      <c r="H35" s="473" t="s">
        <v>4927</v>
      </c>
      <c r="I35" s="473">
        <v>400</v>
      </c>
      <c r="J35" s="127"/>
      <c r="K35" s="127"/>
      <c r="L35" s="127">
        <v>400</v>
      </c>
      <c r="M35" s="473"/>
      <c r="N35" s="473"/>
      <c r="O35" s="473"/>
      <c r="P35" s="473" t="s">
        <v>31</v>
      </c>
      <c r="Q35" s="473" t="s">
        <v>4926</v>
      </c>
      <c r="R35" s="473" t="s">
        <v>36</v>
      </c>
      <c r="S35" s="473" t="s">
        <v>246</v>
      </c>
      <c r="T35" s="473" t="s">
        <v>49</v>
      </c>
      <c r="U35" s="473" t="s">
        <v>37</v>
      </c>
      <c r="V35" s="473">
        <f>SUM(W35:X35)</f>
        <v>0</v>
      </c>
      <c r="W35" s="473">
        <v>0</v>
      </c>
      <c r="X35" s="473">
        <v>0</v>
      </c>
      <c r="Y35" s="473" t="s">
        <v>2</v>
      </c>
      <c r="Z35" s="202" t="s">
        <v>1148</v>
      </c>
    </row>
    <row r="36" spans="1:32" ht="40.5">
      <c r="A36" s="125">
        <v>32</v>
      </c>
      <c r="B36" s="125" t="s">
        <v>899</v>
      </c>
      <c r="C36" s="125" t="s">
        <v>4917</v>
      </c>
      <c r="D36" s="472" t="s">
        <v>4925</v>
      </c>
      <c r="E36" s="472" t="s">
        <v>4924</v>
      </c>
      <c r="F36" s="135" t="s">
        <v>1167</v>
      </c>
      <c r="G36" s="472" t="s">
        <v>4923</v>
      </c>
      <c r="H36" s="472" t="s">
        <v>3945</v>
      </c>
      <c r="I36" s="155">
        <v>1050</v>
      </c>
      <c r="J36" s="155"/>
      <c r="K36" s="155">
        <v>50</v>
      </c>
      <c r="L36" s="155">
        <v>1000</v>
      </c>
      <c r="M36" s="155"/>
      <c r="N36" s="472"/>
      <c r="O36" s="472"/>
      <c r="P36" s="472" t="s">
        <v>41</v>
      </c>
      <c r="Q36" s="472" t="s">
        <v>1280</v>
      </c>
      <c r="R36" s="472" t="s">
        <v>36</v>
      </c>
      <c r="S36" s="472" t="s">
        <v>4918</v>
      </c>
      <c r="T36" s="472" t="s">
        <v>1279</v>
      </c>
      <c r="U36" s="472" t="s">
        <v>53</v>
      </c>
      <c r="V36" s="472">
        <v>221.9</v>
      </c>
      <c r="W36" s="472">
        <v>220</v>
      </c>
      <c r="X36" s="472">
        <v>1.9</v>
      </c>
      <c r="Y36" s="472" t="s">
        <v>4913</v>
      </c>
      <c r="Z36" s="202" t="s">
        <v>6018</v>
      </c>
      <c r="AA36"/>
      <c r="AB36"/>
      <c r="AC36"/>
      <c r="AD36"/>
      <c r="AE36"/>
      <c r="AF36"/>
    </row>
    <row r="37" spans="1:32" s="1" customFormat="1" ht="54">
      <c r="A37" s="126">
        <v>33</v>
      </c>
      <c r="B37" s="126" t="s">
        <v>899</v>
      </c>
      <c r="C37" s="126" t="s">
        <v>4917</v>
      </c>
      <c r="D37" s="473" t="s">
        <v>4922</v>
      </c>
      <c r="E37" s="473" t="s">
        <v>4921</v>
      </c>
      <c r="F37" s="136" t="s">
        <v>1168</v>
      </c>
      <c r="G37" s="473" t="s">
        <v>4920</v>
      </c>
      <c r="H37" s="473" t="s">
        <v>420</v>
      </c>
      <c r="I37" s="140">
        <v>350</v>
      </c>
      <c r="J37" s="140"/>
      <c r="K37" s="140"/>
      <c r="L37" s="140">
        <v>350</v>
      </c>
      <c r="M37" s="140"/>
      <c r="N37" s="473"/>
      <c r="O37" s="473"/>
      <c r="P37" s="473" t="s">
        <v>41</v>
      </c>
      <c r="Q37" s="473" t="s">
        <v>4919</v>
      </c>
      <c r="R37" s="473" t="s">
        <v>36</v>
      </c>
      <c r="S37" s="473" t="s">
        <v>4918</v>
      </c>
      <c r="T37" s="473" t="s">
        <v>1279</v>
      </c>
      <c r="U37" s="473" t="s">
        <v>53</v>
      </c>
      <c r="V37" s="473">
        <v>100</v>
      </c>
      <c r="W37" s="473">
        <v>99</v>
      </c>
      <c r="X37" s="473">
        <v>1</v>
      </c>
      <c r="Y37" s="473" t="s">
        <v>4913</v>
      </c>
      <c r="Z37" s="202" t="s">
        <v>6084</v>
      </c>
    </row>
    <row r="38" spans="1:32" s="1" customFormat="1" ht="54">
      <c r="A38" s="126">
        <v>34</v>
      </c>
      <c r="B38" s="126" t="s">
        <v>899</v>
      </c>
      <c r="C38" s="473" t="s">
        <v>4917</v>
      </c>
      <c r="D38" s="126" t="s">
        <v>4916</v>
      </c>
      <c r="E38" s="473" t="s">
        <v>1365</v>
      </c>
      <c r="F38" s="136" t="s">
        <v>1169</v>
      </c>
      <c r="G38" s="473" t="s">
        <v>4915</v>
      </c>
      <c r="H38" s="473" t="s">
        <v>503</v>
      </c>
      <c r="I38" s="143">
        <v>290</v>
      </c>
      <c r="J38" s="143"/>
      <c r="K38" s="143"/>
      <c r="L38" s="143">
        <v>290</v>
      </c>
      <c r="M38" s="473"/>
      <c r="N38" s="473"/>
      <c r="O38" s="473"/>
      <c r="P38" s="473" t="s">
        <v>6</v>
      </c>
      <c r="Q38" s="473" t="s">
        <v>2862</v>
      </c>
      <c r="R38" s="473" t="s">
        <v>36</v>
      </c>
      <c r="S38" s="473" t="s">
        <v>4914</v>
      </c>
      <c r="T38" s="473" t="s">
        <v>1279</v>
      </c>
      <c r="U38" s="473" t="s">
        <v>53</v>
      </c>
      <c r="V38" s="473">
        <v>2.5</v>
      </c>
      <c r="W38" s="473">
        <v>2</v>
      </c>
      <c r="X38" s="473">
        <v>0.5</v>
      </c>
      <c r="Y38" s="473" t="s">
        <v>4913</v>
      </c>
      <c r="Z38" s="202" t="s">
        <v>1148</v>
      </c>
    </row>
    <row r="39" spans="1:32" s="1" customFormat="1" ht="189">
      <c r="A39" s="126">
        <v>35</v>
      </c>
      <c r="B39" s="126" t="s">
        <v>899</v>
      </c>
      <c r="C39" s="126" t="s">
        <v>4906</v>
      </c>
      <c r="D39" s="473" t="s">
        <v>4912</v>
      </c>
      <c r="E39" s="473" t="s">
        <v>4911</v>
      </c>
      <c r="F39" s="136" t="s">
        <v>4910</v>
      </c>
      <c r="G39" s="473" t="s">
        <v>4909</v>
      </c>
      <c r="H39" s="473" t="s">
        <v>587</v>
      </c>
      <c r="I39" s="473">
        <v>728.8</v>
      </c>
      <c r="J39" s="473">
        <v>58.8</v>
      </c>
      <c r="K39" s="473">
        <v>70</v>
      </c>
      <c r="L39" s="473">
        <v>600</v>
      </c>
      <c r="M39" s="473"/>
      <c r="N39" s="473" t="s">
        <v>35</v>
      </c>
      <c r="O39" s="473" t="s">
        <v>156</v>
      </c>
      <c r="P39" s="473" t="s">
        <v>46</v>
      </c>
      <c r="Q39" s="473" t="s">
        <v>4908</v>
      </c>
      <c r="R39" s="473" t="s">
        <v>36</v>
      </c>
      <c r="S39" s="473" t="s">
        <v>246</v>
      </c>
      <c r="T39" s="473" t="s">
        <v>482</v>
      </c>
      <c r="U39" s="473" t="s">
        <v>37</v>
      </c>
      <c r="V39" s="473">
        <v>338</v>
      </c>
      <c r="W39" s="473">
        <v>338</v>
      </c>
      <c r="X39" s="473">
        <v>0</v>
      </c>
      <c r="Y39" s="473" t="s">
        <v>4907</v>
      </c>
      <c r="Z39" s="202" t="s">
        <v>6017</v>
      </c>
      <c r="AA39"/>
      <c r="AB39"/>
      <c r="AC39"/>
      <c r="AD39"/>
      <c r="AE39"/>
      <c r="AF39"/>
    </row>
    <row r="40" spans="1:32" ht="121.5">
      <c r="A40" s="125">
        <v>36</v>
      </c>
      <c r="B40" s="125" t="s">
        <v>899</v>
      </c>
      <c r="C40" s="125" t="s">
        <v>4906</v>
      </c>
      <c r="D40" s="472" t="s">
        <v>4905</v>
      </c>
      <c r="E40" s="472" t="s">
        <v>1018</v>
      </c>
      <c r="F40" s="135" t="s">
        <v>1170</v>
      </c>
      <c r="G40" s="472" t="s">
        <v>4904</v>
      </c>
      <c r="H40" s="472" t="s">
        <v>4903</v>
      </c>
      <c r="I40" s="472">
        <v>300</v>
      </c>
      <c r="J40" s="472"/>
      <c r="K40" s="472"/>
      <c r="L40" s="472">
        <v>300</v>
      </c>
      <c r="M40" s="472"/>
      <c r="N40" s="472"/>
      <c r="O40" s="472"/>
      <c r="P40" s="472" t="s">
        <v>46</v>
      </c>
      <c r="Q40" s="472" t="s">
        <v>4902</v>
      </c>
      <c r="R40" s="472" t="s">
        <v>36</v>
      </c>
      <c r="S40" s="472" t="s">
        <v>246</v>
      </c>
      <c r="T40" s="472" t="s">
        <v>477</v>
      </c>
      <c r="U40" s="472" t="s">
        <v>37</v>
      </c>
      <c r="V40" s="472">
        <v>50</v>
      </c>
      <c r="W40" s="472">
        <v>50</v>
      </c>
      <c r="X40" s="472">
        <v>0</v>
      </c>
      <c r="Y40" s="472" t="s">
        <v>64</v>
      </c>
      <c r="Z40" s="202" t="s">
        <v>1148</v>
      </c>
    </row>
    <row r="41" spans="1:32" s="301" customFormat="1" ht="27">
      <c r="A41" s="125">
        <v>37</v>
      </c>
      <c r="B41" s="125" t="s">
        <v>32</v>
      </c>
      <c r="C41" s="125" t="s">
        <v>4887</v>
      </c>
      <c r="D41" s="472" t="s">
        <v>4901</v>
      </c>
      <c r="E41" s="472" t="s">
        <v>4900</v>
      </c>
      <c r="F41" s="135" t="s">
        <v>4899</v>
      </c>
      <c r="G41" s="472" t="s">
        <v>4898</v>
      </c>
      <c r="H41" s="472" t="s">
        <v>798</v>
      </c>
      <c r="I41" s="472">
        <v>200</v>
      </c>
      <c r="J41" s="472"/>
      <c r="K41" s="472"/>
      <c r="L41" s="472">
        <v>200</v>
      </c>
      <c r="M41" s="472"/>
      <c r="N41" s="472"/>
      <c r="O41" s="472"/>
      <c r="P41" s="472" t="s">
        <v>7</v>
      </c>
      <c r="Q41" s="472" t="s">
        <v>4897</v>
      </c>
      <c r="R41" s="472" t="s">
        <v>36</v>
      </c>
      <c r="S41" s="472" t="s">
        <v>42</v>
      </c>
      <c r="T41" s="472" t="s">
        <v>49</v>
      </c>
      <c r="U41" s="472" t="s">
        <v>37</v>
      </c>
      <c r="V41" s="472">
        <f>SUM(W41:X41)</f>
        <v>0</v>
      </c>
      <c r="W41" s="472"/>
      <c r="X41" s="472"/>
      <c r="Y41" s="472" t="s">
        <v>445</v>
      </c>
      <c r="Z41" s="202" t="s">
        <v>1148</v>
      </c>
      <c r="AA41"/>
      <c r="AB41"/>
      <c r="AC41"/>
      <c r="AD41"/>
      <c r="AE41"/>
      <c r="AF41"/>
    </row>
    <row r="42" spans="1:32" s="301" customFormat="1" ht="40.5">
      <c r="A42" s="125">
        <v>38</v>
      </c>
      <c r="B42" s="125" t="s">
        <v>32</v>
      </c>
      <c r="C42" s="125" t="s">
        <v>4887</v>
      </c>
      <c r="D42" s="472" t="s">
        <v>4896</v>
      </c>
      <c r="E42" s="472" t="s">
        <v>330</v>
      </c>
      <c r="F42" s="135" t="s">
        <v>4895</v>
      </c>
      <c r="G42" s="472" t="s">
        <v>4894</v>
      </c>
      <c r="H42" s="472" t="s">
        <v>117</v>
      </c>
      <c r="I42" s="472">
        <v>500</v>
      </c>
      <c r="J42" s="472"/>
      <c r="K42" s="472"/>
      <c r="L42" s="472">
        <v>500</v>
      </c>
      <c r="M42" s="472"/>
      <c r="N42" s="472"/>
      <c r="O42" s="472"/>
      <c r="P42" s="472" t="s">
        <v>7</v>
      </c>
      <c r="Q42" s="472" t="s">
        <v>4893</v>
      </c>
      <c r="R42" s="472" t="s">
        <v>36</v>
      </c>
      <c r="S42" s="472" t="s">
        <v>42</v>
      </c>
      <c r="T42" s="472" t="s">
        <v>49</v>
      </c>
      <c r="U42" s="472" t="s">
        <v>37</v>
      </c>
      <c r="V42" s="472">
        <v>175</v>
      </c>
      <c r="W42" s="472">
        <v>175</v>
      </c>
      <c r="X42" s="472"/>
      <c r="Y42" s="472" t="s">
        <v>445</v>
      </c>
      <c r="Z42" s="202" t="s">
        <v>1148</v>
      </c>
      <c r="AA42"/>
      <c r="AB42"/>
      <c r="AC42"/>
      <c r="AD42"/>
      <c r="AE42"/>
      <c r="AF42"/>
    </row>
    <row r="43" spans="1:32" s="301" customFormat="1" ht="40.5">
      <c r="A43" s="125">
        <v>39</v>
      </c>
      <c r="B43" s="125" t="s">
        <v>32</v>
      </c>
      <c r="C43" s="125" t="s">
        <v>4887</v>
      </c>
      <c r="D43" s="472" t="s">
        <v>4892</v>
      </c>
      <c r="E43" s="472" t="s">
        <v>4493</v>
      </c>
      <c r="F43" s="135" t="s">
        <v>4891</v>
      </c>
      <c r="G43" s="472" t="s">
        <v>4890</v>
      </c>
      <c r="H43" s="472" t="s">
        <v>4597</v>
      </c>
      <c r="I43" s="472">
        <v>580</v>
      </c>
      <c r="J43" s="472"/>
      <c r="K43" s="472">
        <v>30</v>
      </c>
      <c r="L43" s="472">
        <v>550</v>
      </c>
      <c r="M43" s="472"/>
      <c r="N43" s="472"/>
      <c r="O43" s="472"/>
      <c r="P43" s="472" t="s">
        <v>98</v>
      </c>
      <c r="Q43" s="472" t="s">
        <v>4889</v>
      </c>
      <c r="R43" s="472" t="s">
        <v>36</v>
      </c>
      <c r="S43" s="472" t="s">
        <v>42</v>
      </c>
      <c r="T43" s="472" t="s">
        <v>49</v>
      </c>
      <c r="U43" s="472" t="s">
        <v>37</v>
      </c>
      <c r="V43" s="472">
        <v>129</v>
      </c>
      <c r="W43" s="472">
        <v>129</v>
      </c>
      <c r="X43" s="472"/>
      <c r="Y43" s="472" t="s">
        <v>4888</v>
      </c>
      <c r="Z43" s="202" t="s">
        <v>1148</v>
      </c>
    </row>
    <row r="44" spans="1:32" s="301" customFormat="1" ht="41.25" thickBot="1">
      <c r="A44" s="193">
        <v>40</v>
      </c>
      <c r="B44" s="193" t="s">
        <v>32</v>
      </c>
      <c r="C44" s="193" t="s">
        <v>4887</v>
      </c>
      <c r="D44" s="194" t="s">
        <v>4886</v>
      </c>
      <c r="E44" s="194" t="s">
        <v>1444</v>
      </c>
      <c r="F44" s="195" t="s">
        <v>4885</v>
      </c>
      <c r="G44" s="194" t="s">
        <v>4884</v>
      </c>
      <c r="H44" s="194" t="s">
        <v>4883</v>
      </c>
      <c r="I44" s="194">
        <f>SUM(J44:M44)</f>
        <v>150</v>
      </c>
      <c r="J44" s="194"/>
      <c r="K44" s="194"/>
      <c r="L44" s="194">
        <v>150</v>
      </c>
      <c r="M44" s="194"/>
      <c r="N44" s="194"/>
      <c r="O44" s="194"/>
      <c r="P44" s="194" t="s">
        <v>6</v>
      </c>
      <c r="Q44" s="194" t="s">
        <v>1473</v>
      </c>
      <c r="R44" s="194" t="s">
        <v>36</v>
      </c>
      <c r="S44" s="194" t="s">
        <v>42</v>
      </c>
      <c r="T44" s="194" t="s">
        <v>49</v>
      </c>
      <c r="U44" s="194" t="s">
        <v>37</v>
      </c>
      <c r="V44" s="194">
        <v>15</v>
      </c>
      <c r="W44" s="194">
        <v>15</v>
      </c>
      <c r="X44" s="194">
        <v>10</v>
      </c>
      <c r="Y44" s="194" t="s">
        <v>1371</v>
      </c>
      <c r="Z44" s="256" t="s">
        <v>1148</v>
      </c>
      <c r="AA44"/>
      <c r="AB44"/>
      <c r="AC44"/>
      <c r="AD44"/>
      <c r="AE44"/>
      <c r="AF44"/>
    </row>
    <row r="45" spans="1:32" s="252" customFormat="1">
      <c r="A45" s="334"/>
      <c r="B45" s="334"/>
      <c r="C45" s="334"/>
      <c r="D45" s="334"/>
      <c r="G45" s="334"/>
      <c r="Y45" s="334"/>
      <c r="Z45" s="350"/>
    </row>
    <row r="46" spans="1:32" s="252" customFormat="1">
      <c r="A46" s="334"/>
      <c r="B46" s="334"/>
      <c r="C46" s="334"/>
      <c r="D46" s="334"/>
      <c r="G46" s="334"/>
      <c r="Y46" s="334"/>
      <c r="Z46" s="350"/>
    </row>
    <row r="47" spans="1:32" s="3" customFormat="1">
      <c r="A47" s="16"/>
      <c r="B47" s="16"/>
      <c r="C47" s="16"/>
      <c r="D47" s="16"/>
      <c r="G47" s="16"/>
      <c r="Y47" s="16"/>
      <c r="Z47" s="117"/>
    </row>
    <row r="48" spans="1:32" s="3" customFormat="1">
      <c r="A48" s="16"/>
      <c r="B48" s="16"/>
      <c r="C48" s="16"/>
      <c r="D48" s="16"/>
      <c r="G48" s="16"/>
      <c r="Y48" s="16"/>
      <c r="Z48" s="117"/>
    </row>
    <row r="49" spans="1:26" s="3" customFormat="1">
      <c r="A49" s="16"/>
      <c r="B49" s="16"/>
      <c r="C49" s="16"/>
      <c r="D49" s="16"/>
      <c r="G49" s="16"/>
      <c r="Y49" s="16"/>
      <c r="Z49" s="117"/>
    </row>
    <row r="50" spans="1:26" s="3" customFormat="1">
      <c r="A50" s="16"/>
      <c r="B50" s="16"/>
      <c r="C50" s="16"/>
      <c r="D50" s="16"/>
      <c r="G50" s="16"/>
      <c r="Y50" s="16"/>
      <c r="Z50" s="117"/>
    </row>
    <row r="51" spans="1:26" s="3" customFormat="1">
      <c r="A51" s="16"/>
      <c r="B51" s="16"/>
      <c r="C51" s="16"/>
      <c r="D51" s="16"/>
      <c r="G51" s="16"/>
      <c r="Y51" s="16"/>
      <c r="Z51" s="117"/>
    </row>
    <row r="52" spans="1:26" s="252" customFormat="1">
      <c r="A52" s="334"/>
      <c r="B52" s="334"/>
      <c r="C52" s="334"/>
      <c r="D52" s="334"/>
      <c r="G52" s="334"/>
      <c r="Y52" s="334"/>
      <c r="Z52" s="350"/>
    </row>
    <row r="53" spans="1:26" s="252" customFormat="1">
      <c r="A53" s="334"/>
      <c r="B53" s="334"/>
      <c r="C53" s="334"/>
      <c r="D53" s="334"/>
      <c r="G53" s="334"/>
      <c r="Y53" s="334"/>
      <c r="Z53" s="350"/>
    </row>
    <row r="54" spans="1:26" s="252" customFormat="1">
      <c r="A54" s="334"/>
      <c r="B54" s="334"/>
      <c r="C54" s="334"/>
      <c r="D54" s="334"/>
      <c r="G54" s="334"/>
      <c r="Y54" s="334"/>
      <c r="Z54" s="350"/>
    </row>
    <row r="55" spans="1:26" s="252" customFormat="1">
      <c r="A55" s="334"/>
      <c r="B55" s="334"/>
      <c r="C55" s="334"/>
      <c r="D55" s="334"/>
      <c r="F55" s="3"/>
      <c r="G55" s="334"/>
      <c r="Y55" s="334"/>
      <c r="Z55" s="350"/>
    </row>
    <row r="56" spans="1:26" s="3" customFormat="1">
      <c r="A56" s="16"/>
      <c r="B56" s="16"/>
      <c r="C56" s="16"/>
      <c r="D56" s="16"/>
      <c r="G56" s="16"/>
      <c r="Y56" s="16"/>
      <c r="Z56" s="117"/>
    </row>
    <row r="57" spans="1:26" s="3" customFormat="1">
      <c r="A57" s="16"/>
      <c r="B57" s="16"/>
      <c r="C57" s="16"/>
      <c r="D57" s="16"/>
      <c r="G57" s="16"/>
      <c r="Y57" s="16"/>
      <c r="Z57" s="117"/>
    </row>
    <row r="58" spans="1:26" s="252" customFormat="1">
      <c r="A58" s="334"/>
      <c r="B58" s="334"/>
      <c r="C58" s="334"/>
      <c r="D58" s="334"/>
      <c r="G58" s="334"/>
      <c r="Y58" s="334"/>
      <c r="Z58" s="350"/>
    </row>
    <row r="59" spans="1:26" s="252" customFormat="1">
      <c r="A59" s="334"/>
      <c r="B59" s="334"/>
      <c r="C59" s="334"/>
      <c r="D59" s="334"/>
      <c r="F59" s="3"/>
      <c r="G59" s="334"/>
      <c r="Y59" s="334"/>
      <c r="Z59" s="350"/>
    </row>
    <row r="60" spans="1:26" s="252" customFormat="1">
      <c r="A60" s="334"/>
      <c r="B60" s="334"/>
      <c r="C60" s="334"/>
      <c r="D60" s="334"/>
      <c r="F60" s="3"/>
      <c r="G60" s="334"/>
      <c r="Y60" s="334"/>
      <c r="Z60" s="350"/>
    </row>
    <row r="61" spans="1:26" s="3" customFormat="1">
      <c r="A61" s="16"/>
      <c r="B61" s="16"/>
      <c r="C61" s="16"/>
      <c r="D61" s="16"/>
      <c r="G61" s="16"/>
      <c r="Y61" s="16"/>
      <c r="Z61" s="117"/>
    </row>
    <row r="62" spans="1:26" s="252" customFormat="1">
      <c r="A62" s="334"/>
      <c r="B62" s="334"/>
      <c r="C62" s="334"/>
      <c r="D62" s="334"/>
      <c r="G62" s="334"/>
      <c r="Y62" s="334"/>
      <c r="Z62" s="350"/>
    </row>
    <row r="63" spans="1:26">
      <c r="F63" s="89"/>
    </row>
    <row r="64" spans="1:26" s="1" customFormat="1">
      <c r="A64" s="8"/>
      <c r="B64" s="8"/>
      <c r="C64" s="8"/>
      <c r="D64" s="8"/>
      <c r="G64" s="8"/>
      <c r="Y64" s="8"/>
      <c r="Z64" s="117"/>
    </row>
    <row r="66" spans="1:26" s="1" customFormat="1">
      <c r="A66" s="8"/>
      <c r="B66" s="8"/>
      <c r="C66" s="8"/>
      <c r="D66" s="8"/>
      <c r="G66" s="8"/>
      <c r="Y66" s="8"/>
      <c r="Z66" s="117"/>
    </row>
    <row r="68" spans="1:26">
      <c r="F68" s="89"/>
    </row>
    <row r="69" spans="1:26" s="1" customFormat="1">
      <c r="A69" s="8"/>
      <c r="B69" s="8"/>
      <c r="C69" s="8"/>
      <c r="D69" s="8"/>
      <c r="G69" s="8"/>
      <c r="Y69" s="8"/>
      <c r="Z69" s="117"/>
    </row>
    <row r="71" spans="1:26" s="1" customFormat="1">
      <c r="A71" s="8"/>
      <c r="B71" s="8"/>
      <c r="C71" s="8"/>
      <c r="D71" s="8"/>
      <c r="G71" s="8"/>
      <c r="Y71" s="8"/>
      <c r="Z71" s="117"/>
    </row>
    <row r="72" spans="1:26" s="1" customFormat="1">
      <c r="A72" s="8"/>
      <c r="B72" s="8"/>
      <c r="C72" s="8"/>
      <c r="D72" s="8"/>
      <c r="G72" s="8"/>
      <c r="Y72" s="8"/>
      <c r="Z72" s="117"/>
    </row>
    <row r="76" spans="1:26" s="1" customFormat="1">
      <c r="A76" s="8"/>
      <c r="B76" s="8"/>
      <c r="C76" s="8"/>
      <c r="D76" s="8"/>
      <c r="G76" s="8"/>
      <c r="Y76" s="8"/>
      <c r="Z76" s="117"/>
    </row>
    <row r="77" spans="1:26" s="1" customFormat="1">
      <c r="A77" s="8"/>
      <c r="B77" s="8"/>
      <c r="C77" s="8"/>
      <c r="D77" s="8"/>
      <c r="G77" s="8"/>
      <c r="Y77" s="8"/>
      <c r="Z77" s="117"/>
    </row>
    <row r="78" spans="1:26">
      <c r="F78" s="89"/>
    </row>
    <row r="79" spans="1:26" s="1" customFormat="1">
      <c r="A79" s="8"/>
      <c r="B79" s="8"/>
      <c r="C79" s="8"/>
      <c r="D79" s="8"/>
      <c r="G79" s="8"/>
      <c r="Y79" s="8"/>
      <c r="Z79" s="117"/>
    </row>
    <row r="81" spans="1:26" s="1" customFormat="1">
      <c r="A81" s="8"/>
      <c r="B81" s="8"/>
      <c r="C81" s="8"/>
      <c r="D81" s="8"/>
      <c r="G81" s="8"/>
      <c r="Y81" s="8"/>
      <c r="Z81" s="117"/>
    </row>
    <row r="82" spans="1:26" s="1" customFormat="1">
      <c r="A82" s="8"/>
      <c r="B82" s="8"/>
      <c r="C82" s="8"/>
      <c r="D82" s="8"/>
      <c r="G82" s="8"/>
      <c r="Y82" s="8"/>
      <c r="Z82" s="117"/>
    </row>
    <row r="83" spans="1:26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8"/>
    </row>
    <row r="84" spans="1:26" s="1" customFormat="1">
      <c r="A84" s="8"/>
      <c r="B84" s="8"/>
      <c r="C84" s="8"/>
      <c r="D84" s="8"/>
      <c r="G84" s="8"/>
      <c r="Y84" s="8"/>
      <c r="Z84" s="117"/>
    </row>
    <row r="85" spans="1:26">
      <c r="F85" s="89"/>
    </row>
    <row r="88" spans="1:26">
      <c r="F88" s="89"/>
    </row>
    <row r="94" spans="1:26">
      <c r="F94" s="89"/>
    </row>
    <row r="95" spans="1:26">
      <c r="F95" s="89"/>
    </row>
  </sheetData>
  <autoFilter ref="A4:Z44">
    <filterColumn colId="4">
      <filters>
        <filter val="10.16.~10.18._x000a_(3일간)"/>
        <filter val="10.16~10.25_x000a_(10일간)"/>
        <filter val="10.23.~10.25._x000a_(3일간)"/>
        <filter val="10.30.~11.1_x000a_(3일간)"/>
        <filter val="10.8.~10.11._x000a_(4일간)"/>
        <filter val="10월 중"/>
        <filter val="10월 중_x000a_(2일간)"/>
        <filter val="10월 중_x000a_(3일간)"/>
        <filter val="10월 중_x000a_(4일간)"/>
        <filter val="3.26.~3.29._x000a_(4일간)"/>
        <filter val="4.25.~4.26._x000a_(2일간)"/>
        <filter val="4월 말"/>
        <filter val="4월 중"/>
        <filter val="4월 중_x000a_(2일간)"/>
        <filter val="4월 중_x000a_(3일간)"/>
        <filter val="5. 2.~5.5._x000a_(4일간)"/>
        <filter val="5.1~5.3_x000a_(3일간)"/>
        <filter val="5.14.~5.17._x000a_(4일간)"/>
        <filter val="5.22.~5.24._x000a_(3일간)"/>
        <filter val="5.22~5.24_x000a_(3일간)"/>
        <filter val="5.27.~5.31._x000a_(5일간)"/>
        <filter val="5.28.~5.31._x000a_(4일간)"/>
        <filter val="5.29.~5.31._x000a_(3일간)"/>
        <filter val="6.13. ~ 6.14._x000a_(2일간)"/>
        <filter val="7. 24~7.26._x000a_(3일간)"/>
        <filter val="7월 중"/>
        <filter val="8.28.~8.29._x000a_(2일간)"/>
        <filter val="8월 중"/>
        <filter val="8월 중_x000a_(4일간)"/>
        <filter val="8월 중_x000a_(7일간)"/>
        <filter val="9.3.~9.6._x000a_(4일간)"/>
        <filter val="9.4.~9.8._x000a_(5일간)"/>
        <filter val="9.5.~9.6._x000a_(2일간)"/>
        <filter val="9~10월 중"/>
        <filter val="9월 중_x000a_(4일간)"/>
      </filters>
    </filterColumn>
  </autoFilter>
  <mergeCells count="4">
    <mergeCell ref="A1:X2"/>
    <mergeCell ref="I3:M3"/>
    <mergeCell ref="N3:O3"/>
    <mergeCell ref="V3:X3"/>
  </mergeCells>
  <phoneticPr fontId="23" type="noConversion"/>
  <dataValidations count="10">
    <dataValidation type="list" allowBlank="1" showInputMessage="1" showErrorMessage="1" sqref="B12:B15">
      <formula1>$B$13:$B$27</formula1>
    </dataValidation>
    <dataValidation type="list" allowBlank="1" showInputMessage="1" showErrorMessage="1" sqref="P9">
      <formula1>$P$13:$P$16</formula1>
    </dataValidation>
    <dataValidation type="list" allowBlank="1" showInputMessage="1" showErrorMessage="1" sqref="P10">
      <formula1>$P$12:$P$15</formula1>
    </dataValidation>
    <dataValidation type="list" allowBlank="1" showInputMessage="1" showErrorMessage="1" sqref="P7:P8 P12:P15">
      <formula1>$P$13:$P$17</formula1>
    </dataValidation>
    <dataValidation type="list" allowBlank="1" showInputMessage="1" showErrorMessage="1" sqref="P36:P37">
      <formula1>$P$11:$P$15</formula1>
    </dataValidation>
    <dataValidation type="list" allowBlank="1" showInputMessage="1" showErrorMessage="1" sqref="B36:B37">
      <formula1>$B$11:$B$25</formula1>
    </dataValidation>
    <dataValidation type="list" allowBlank="1" showInputMessage="1" showErrorMessage="1" sqref="B38">
      <formula1>$B$11:$B$20</formula1>
    </dataValidation>
    <dataValidation type="list" allowBlank="1" showInputMessage="1" showErrorMessage="1" sqref="B5:B11 P5:P6 B34:B35 B39:B44 B16:B27 P38:P44 P16:P35">
      <formula1>#REF!</formula1>
    </dataValidation>
    <dataValidation type="list" allowBlank="1" showInputMessage="1" showErrorMessage="1" sqref="B32:B33">
      <formula1>$B$45:$B$47</formula1>
    </dataValidation>
    <dataValidation type="list" allowBlank="1" showInputMessage="1" showErrorMessage="1" sqref="B28:B31">
      <formula1>$B$45:$B$45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E112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19.109375" style="89" customWidth="1"/>
    <col min="5" max="5" width="12.109375" style="89" customWidth="1"/>
    <col min="6" max="6" width="42" style="1" customWidth="1"/>
    <col min="7" max="7" width="25.109375" style="89" customWidth="1"/>
    <col min="8" max="8" width="18.33203125" style="89" customWidth="1"/>
    <col min="9" max="9" width="14.109375" style="89" customWidth="1"/>
    <col min="10" max="13" width="7.6640625" style="89" customWidth="1"/>
    <col min="14" max="14" width="13.5546875" style="89" customWidth="1"/>
    <col min="15" max="15" width="30.109375" style="89" customWidth="1"/>
    <col min="16" max="17" width="12.77734375" style="89" customWidth="1"/>
    <col min="18" max="18" width="12.109375" style="89" customWidth="1"/>
    <col min="19" max="19" width="13.33203125" style="89" customWidth="1"/>
    <col min="20" max="20" width="12.77734375" style="89" customWidth="1"/>
    <col min="21" max="25" width="12.109375" style="89" customWidth="1"/>
    <col min="26" max="26" width="32.6640625" style="89" bestFit="1" customWidth="1"/>
    <col min="27" max="16384" width="8.88671875" style="89"/>
  </cols>
  <sheetData>
    <row r="1" spans="1:31" s="1" customFormat="1" ht="13.5" customHeigh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</row>
    <row r="2" spans="1:31" s="3" customFormat="1" ht="13.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</row>
    <row r="3" spans="1:31" s="3" customFormat="1" ht="22.5" customHeight="1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  <c r="AA3"/>
      <c r="AB3"/>
      <c r="AC3"/>
      <c r="AD3"/>
    </row>
    <row r="4" spans="1:31" s="1" customFormat="1" ht="60" customHeight="1">
      <c r="A4" s="121" t="s">
        <v>0</v>
      </c>
      <c r="B4" s="121" t="s">
        <v>134</v>
      </c>
      <c r="C4" s="121" t="s">
        <v>1</v>
      </c>
      <c r="D4" s="121" t="s">
        <v>135</v>
      </c>
      <c r="E4" s="122" t="s">
        <v>136</v>
      </c>
      <c r="F4" s="121" t="s">
        <v>137</v>
      </c>
      <c r="G4" s="122" t="s">
        <v>138</v>
      </c>
      <c r="H4" s="122" t="s">
        <v>3</v>
      </c>
      <c r="I4" s="122" t="s">
        <v>139</v>
      </c>
      <c r="J4" s="122" t="s">
        <v>140</v>
      </c>
      <c r="K4" s="122" t="s">
        <v>4</v>
      </c>
      <c r="L4" s="122" t="s">
        <v>141</v>
      </c>
      <c r="M4" s="122" t="s">
        <v>2</v>
      </c>
      <c r="N4" s="122" t="s">
        <v>142</v>
      </c>
      <c r="O4" s="122" t="s">
        <v>143</v>
      </c>
      <c r="P4" s="122" t="s">
        <v>29</v>
      </c>
      <c r="Q4" s="123" t="s">
        <v>27</v>
      </c>
      <c r="R4" s="123" t="s">
        <v>144</v>
      </c>
      <c r="S4" s="123" t="s">
        <v>145</v>
      </c>
      <c r="T4" s="123" t="s">
        <v>146</v>
      </c>
      <c r="U4" s="123" t="s">
        <v>28</v>
      </c>
      <c r="V4" s="123" t="s">
        <v>33</v>
      </c>
      <c r="W4" s="123" t="s">
        <v>147</v>
      </c>
      <c r="X4" s="123" t="s">
        <v>148</v>
      </c>
      <c r="Y4" s="123" t="s">
        <v>30</v>
      </c>
      <c r="Z4" s="124" t="s">
        <v>1152</v>
      </c>
      <c r="AA4"/>
      <c r="AB4" s="88"/>
      <c r="AC4" s="88"/>
      <c r="AD4" s="88"/>
      <c r="AE4" s="88"/>
    </row>
    <row r="5" spans="1:31" ht="54">
      <c r="A5" s="125">
        <v>1</v>
      </c>
      <c r="B5" s="125" t="s">
        <v>874</v>
      </c>
      <c r="C5" s="125" t="s">
        <v>1287</v>
      </c>
      <c r="D5" s="472" t="s">
        <v>3251</v>
      </c>
      <c r="E5" s="472" t="s">
        <v>3250</v>
      </c>
      <c r="F5" s="480" t="s">
        <v>3249</v>
      </c>
      <c r="G5" s="472" t="s">
        <v>3248</v>
      </c>
      <c r="H5" s="472" t="s">
        <v>3241</v>
      </c>
      <c r="I5" s="472">
        <v>2650</v>
      </c>
      <c r="J5" s="472"/>
      <c r="K5" s="472" t="s">
        <v>621</v>
      </c>
      <c r="L5" s="472">
        <v>2650</v>
      </c>
      <c r="M5" s="472"/>
      <c r="N5" s="472"/>
      <c r="O5" s="472"/>
      <c r="P5" s="472" t="s">
        <v>7</v>
      </c>
      <c r="Q5" s="472" t="s">
        <v>1288</v>
      </c>
      <c r="R5" s="472" t="s">
        <v>36</v>
      </c>
      <c r="S5" s="472" t="s">
        <v>199</v>
      </c>
      <c r="T5" s="472" t="s">
        <v>3247</v>
      </c>
      <c r="U5" s="472" t="s">
        <v>37</v>
      </c>
      <c r="V5" s="472">
        <f t="shared" ref="V5:V36" si="0">SUM(W5:X5)</f>
        <v>1230</v>
      </c>
      <c r="W5" s="472">
        <v>1230</v>
      </c>
      <c r="X5" s="472"/>
      <c r="Y5" s="472" t="s">
        <v>3246</v>
      </c>
      <c r="Z5" s="137" t="s">
        <v>1148</v>
      </c>
      <c r="AA5"/>
      <c r="AB5" s="88"/>
      <c r="AC5" s="88"/>
      <c r="AD5" s="88"/>
      <c r="AE5" s="88"/>
    </row>
    <row r="6" spans="1:31" s="1" customFormat="1" ht="50.1" customHeight="1">
      <c r="A6" s="126">
        <v>2</v>
      </c>
      <c r="B6" s="126" t="s">
        <v>874</v>
      </c>
      <c r="C6" s="126" t="s">
        <v>1287</v>
      </c>
      <c r="D6" s="473" t="s">
        <v>3245</v>
      </c>
      <c r="E6" s="473" t="s">
        <v>3244</v>
      </c>
      <c r="F6" s="476" t="s">
        <v>3243</v>
      </c>
      <c r="G6" s="473" t="s">
        <v>3242</v>
      </c>
      <c r="H6" s="473" t="s">
        <v>3241</v>
      </c>
      <c r="I6" s="473">
        <v>200</v>
      </c>
      <c r="J6" s="473"/>
      <c r="K6" s="473" t="s">
        <v>621</v>
      </c>
      <c r="L6" s="473">
        <v>200</v>
      </c>
      <c r="M6" s="473"/>
      <c r="N6" s="473"/>
      <c r="O6" s="473"/>
      <c r="P6" s="473" t="s">
        <v>7</v>
      </c>
      <c r="Q6" s="473" t="s">
        <v>3240</v>
      </c>
      <c r="R6" s="473" t="s">
        <v>36</v>
      </c>
      <c r="S6" s="473" t="s">
        <v>246</v>
      </c>
      <c r="T6" s="473" t="s">
        <v>49</v>
      </c>
      <c r="U6" s="473" t="s">
        <v>37</v>
      </c>
      <c r="V6" s="150">
        <f t="shared" si="0"/>
        <v>1</v>
      </c>
      <c r="W6" s="473">
        <v>1</v>
      </c>
      <c r="X6" s="473"/>
      <c r="Y6" s="473" t="s">
        <v>3239</v>
      </c>
      <c r="Z6" s="137" t="s">
        <v>6161</v>
      </c>
      <c r="AB6" s="89"/>
      <c r="AC6" s="89"/>
      <c r="AD6" s="89"/>
      <c r="AE6" s="89"/>
    </row>
    <row r="7" spans="1:31" s="1" customFormat="1" ht="50.1" customHeight="1">
      <c r="A7" s="126">
        <v>3</v>
      </c>
      <c r="B7" s="126" t="s">
        <v>946</v>
      </c>
      <c r="C7" s="126" t="s">
        <v>1287</v>
      </c>
      <c r="D7" s="473" t="s">
        <v>3238</v>
      </c>
      <c r="E7" s="473" t="s">
        <v>3237</v>
      </c>
      <c r="F7" s="476" t="s">
        <v>3236</v>
      </c>
      <c r="G7" s="473" t="s">
        <v>1516</v>
      </c>
      <c r="H7" s="473" t="s">
        <v>3235</v>
      </c>
      <c r="I7" s="473">
        <v>55</v>
      </c>
      <c r="J7" s="473"/>
      <c r="K7" s="473"/>
      <c r="L7" s="473">
        <v>55</v>
      </c>
      <c r="M7" s="473"/>
      <c r="N7" s="473"/>
      <c r="O7" s="473"/>
      <c r="P7" s="473" t="s">
        <v>41</v>
      </c>
      <c r="Q7" s="473" t="s">
        <v>3234</v>
      </c>
      <c r="R7" s="473" t="s">
        <v>36</v>
      </c>
      <c r="S7" s="473" t="s">
        <v>42</v>
      </c>
      <c r="T7" s="473" t="s">
        <v>49</v>
      </c>
      <c r="U7" s="473" t="s">
        <v>38</v>
      </c>
      <c r="V7" s="473">
        <f t="shared" si="0"/>
        <v>3</v>
      </c>
      <c r="W7" s="473">
        <v>2.5</v>
      </c>
      <c r="X7" s="473">
        <v>0.5</v>
      </c>
      <c r="Y7" s="473" t="s">
        <v>507</v>
      </c>
      <c r="Z7" s="137" t="s">
        <v>1148</v>
      </c>
      <c r="AA7"/>
      <c r="AB7" s="88"/>
      <c r="AC7" s="88"/>
      <c r="AD7" s="88"/>
      <c r="AE7" s="88"/>
    </row>
    <row r="8" spans="1:31" ht="50.1" customHeight="1">
      <c r="A8" s="125">
        <v>4</v>
      </c>
      <c r="B8" s="125" t="s">
        <v>946</v>
      </c>
      <c r="C8" s="125" t="s">
        <v>1287</v>
      </c>
      <c r="D8" s="472" t="s">
        <v>3233</v>
      </c>
      <c r="E8" s="472" t="s">
        <v>3232</v>
      </c>
      <c r="F8" s="480" t="s">
        <v>3231</v>
      </c>
      <c r="G8" s="472" t="s">
        <v>3230</v>
      </c>
      <c r="H8" s="472" t="s">
        <v>1515</v>
      </c>
      <c r="I8" s="472">
        <v>112.5</v>
      </c>
      <c r="J8" s="472"/>
      <c r="K8" s="472">
        <v>45</v>
      </c>
      <c r="L8" s="472">
        <v>45</v>
      </c>
      <c r="M8" s="472">
        <v>22.5</v>
      </c>
      <c r="N8" s="472"/>
      <c r="O8" s="472"/>
      <c r="P8" s="472" t="s">
        <v>41</v>
      </c>
      <c r="Q8" s="472" t="s">
        <v>3229</v>
      </c>
      <c r="R8" s="472" t="s">
        <v>36</v>
      </c>
      <c r="S8" s="472" t="s">
        <v>42</v>
      </c>
      <c r="T8" s="472" t="s">
        <v>49</v>
      </c>
      <c r="U8" s="472" t="s">
        <v>38</v>
      </c>
      <c r="V8" s="472">
        <f t="shared" si="0"/>
        <v>0</v>
      </c>
      <c r="W8" s="472"/>
      <c r="X8" s="472"/>
      <c r="Y8" s="472" t="s">
        <v>3228</v>
      </c>
      <c r="Z8" s="137" t="s">
        <v>1148</v>
      </c>
    </row>
    <row r="9" spans="1:31" ht="67.5">
      <c r="A9" s="125">
        <v>5</v>
      </c>
      <c r="B9" s="125" t="s">
        <v>874</v>
      </c>
      <c r="C9" s="125" t="s">
        <v>1287</v>
      </c>
      <c r="D9" s="472" t="s">
        <v>3227</v>
      </c>
      <c r="E9" s="472" t="s">
        <v>3226</v>
      </c>
      <c r="F9" s="480" t="s">
        <v>3225</v>
      </c>
      <c r="G9" s="472" t="s">
        <v>3224</v>
      </c>
      <c r="H9" s="472" t="s">
        <v>367</v>
      </c>
      <c r="I9" s="472">
        <f>SUM(L9:M9)</f>
        <v>80</v>
      </c>
      <c r="J9" s="472"/>
      <c r="K9" s="472"/>
      <c r="L9" s="472">
        <v>56</v>
      </c>
      <c r="M9" s="472">
        <v>24</v>
      </c>
      <c r="N9" s="472"/>
      <c r="O9" s="472"/>
      <c r="P9" s="472" t="s">
        <v>5</v>
      </c>
      <c r="Q9" s="472" t="s">
        <v>3223</v>
      </c>
      <c r="R9" s="472" t="s">
        <v>36</v>
      </c>
      <c r="S9" s="472" t="s">
        <v>1216</v>
      </c>
      <c r="T9" s="472" t="s">
        <v>49</v>
      </c>
      <c r="U9" s="472" t="s">
        <v>53</v>
      </c>
      <c r="V9" s="472">
        <f t="shared" si="0"/>
        <v>30</v>
      </c>
      <c r="W9" s="472">
        <v>25</v>
      </c>
      <c r="X9" s="472">
        <v>5</v>
      </c>
      <c r="Y9" s="472" t="s">
        <v>3222</v>
      </c>
      <c r="Z9" s="137" t="s">
        <v>1148</v>
      </c>
      <c r="AA9"/>
      <c r="AB9" s="88"/>
      <c r="AC9" s="88"/>
      <c r="AD9" s="88"/>
      <c r="AE9" s="88"/>
    </row>
    <row r="10" spans="1:31" ht="50.1" hidden="1" customHeight="1">
      <c r="A10" s="125">
        <v>6</v>
      </c>
      <c r="B10" s="125" t="s">
        <v>874</v>
      </c>
      <c r="C10" s="125" t="s">
        <v>3186</v>
      </c>
      <c r="D10" s="472" t="s">
        <v>3221</v>
      </c>
      <c r="E10" s="472" t="s">
        <v>3220</v>
      </c>
      <c r="F10" s="480" t="s">
        <v>3219</v>
      </c>
      <c r="G10" s="472" t="s">
        <v>3218</v>
      </c>
      <c r="H10" s="472" t="s">
        <v>1232</v>
      </c>
      <c r="I10" s="155">
        <f>SUM(J10:M10)</f>
        <v>250</v>
      </c>
      <c r="J10" s="472"/>
      <c r="K10" s="155"/>
      <c r="L10" s="472">
        <v>250</v>
      </c>
      <c r="M10" s="472"/>
      <c r="N10" s="472"/>
      <c r="O10" s="472"/>
      <c r="P10" s="472" t="s">
        <v>6</v>
      </c>
      <c r="Q10" s="472" t="s">
        <v>3217</v>
      </c>
      <c r="R10" s="472" t="s">
        <v>36</v>
      </c>
      <c r="S10" s="472" t="s">
        <v>42</v>
      </c>
      <c r="T10" s="472" t="s">
        <v>49</v>
      </c>
      <c r="U10" s="472" t="s">
        <v>37</v>
      </c>
      <c r="V10" s="472">
        <f t="shared" si="0"/>
        <v>74</v>
      </c>
      <c r="W10" s="472">
        <v>74</v>
      </c>
      <c r="X10" s="472"/>
      <c r="Y10" s="472" t="s">
        <v>2</v>
      </c>
      <c r="Z10" s="137" t="s">
        <v>1145</v>
      </c>
    </row>
    <row r="11" spans="1:31" ht="50.1" customHeight="1">
      <c r="A11" s="125">
        <v>7</v>
      </c>
      <c r="B11" s="125" t="s">
        <v>946</v>
      </c>
      <c r="C11" s="125" t="s">
        <v>3186</v>
      </c>
      <c r="D11" s="472" t="s">
        <v>3216</v>
      </c>
      <c r="E11" s="472" t="s">
        <v>3215</v>
      </c>
      <c r="F11" s="480" t="s">
        <v>3214</v>
      </c>
      <c r="G11" s="472" t="s">
        <v>3193</v>
      </c>
      <c r="H11" s="472" t="s">
        <v>1289</v>
      </c>
      <c r="I11" s="472">
        <v>1100</v>
      </c>
      <c r="J11" s="472"/>
      <c r="K11" s="472">
        <v>70</v>
      </c>
      <c r="L11" s="472">
        <v>1030</v>
      </c>
      <c r="M11" s="472"/>
      <c r="N11" s="472"/>
      <c r="O11" s="472"/>
      <c r="P11" s="472" t="s">
        <v>98</v>
      </c>
      <c r="Q11" s="472" t="s">
        <v>3213</v>
      </c>
      <c r="R11" s="472" t="s">
        <v>36</v>
      </c>
      <c r="S11" s="472" t="s">
        <v>42</v>
      </c>
      <c r="T11" s="472" t="s">
        <v>49</v>
      </c>
      <c r="U11" s="472" t="s">
        <v>1290</v>
      </c>
      <c r="V11" s="472">
        <f t="shared" si="0"/>
        <v>70</v>
      </c>
      <c r="W11" s="472">
        <v>68</v>
      </c>
      <c r="X11" s="472">
        <v>2</v>
      </c>
      <c r="Y11" s="472" t="s">
        <v>1308</v>
      </c>
      <c r="Z11" s="137" t="s">
        <v>1148</v>
      </c>
      <c r="AA11"/>
      <c r="AB11" s="88"/>
      <c r="AC11" s="88"/>
      <c r="AD11" s="88"/>
      <c r="AE11" s="88"/>
    </row>
    <row r="12" spans="1:31" ht="50.1" customHeight="1">
      <c r="A12" s="125">
        <v>8</v>
      </c>
      <c r="B12" s="125" t="s">
        <v>946</v>
      </c>
      <c r="C12" s="125" t="s">
        <v>3186</v>
      </c>
      <c r="D12" s="472" t="s">
        <v>3212</v>
      </c>
      <c r="E12" s="472" t="s">
        <v>908</v>
      </c>
      <c r="F12" s="480" t="s">
        <v>3211</v>
      </c>
      <c r="G12" s="472" t="s">
        <v>3210</v>
      </c>
      <c r="H12" s="472" t="s">
        <v>3203</v>
      </c>
      <c r="I12" s="472">
        <f>SUM(J12:M12)</f>
        <v>20</v>
      </c>
      <c r="J12" s="472"/>
      <c r="K12" s="472"/>
      <c r="L12" s="472">
        <v>20</v>
      </c>
      <c r="M12" s="472"/>
      <c r="N12" s="472"/>
      <c r="O12" s="472"/>
      <c r="P12" s="472" t="s">
        <v>5</v>
      </c>
      <c r="Q12" s="472" t="s">
        <v>130</v>
      </c>
      <c r="R12" s="472" t="s">
        <v>36</v>
      </c>
      <c r="S12" s="472" t="s">
        <v>68</v>
      </c>
      <c r="T12" s="472" t="s">
        <v>49</v>
      </c>
      <c r="U12" s="472" t="s">
        <v>37</v>
      </c>
      <c r="V12" s="472">
        <f t="shared" si="0"/>
        <v>300</v>
      </c>
      <c r="W12" s="472">
        <v>299.5</v>
      </c>
      <c r="X12" s="472">
        <v>0.5</v>
      </c>
      <c r="Y12" s="472" t="s">
        <v>64</v>
      </c>
      <c r="Z12" s="137" t="s">
        <v>1148</v>
      </c>
      <c r="AA12"/>
      <c r="AB12" s="88"/>
      <c r="AC12" s="88"/>
      <c r="AD12" s="88"/>
      <c r="AE12" s="88"/>
    </row>
    <row r="13" spans="1:31" ht="50.1" customHeight="1">
      <c r="A13" s="125">
        <v>9</v>
      </c>
      <c r="B13" s="125" t="s">
        <v>874</v>
      </c>
      <c r="C13" s="473" t="s">
        <v>3186</v>
      </c>
      <c r="D13" s="472" t="s">
        <v>3209</v>
      </c>
      <c r="E13" s="472" t="s">
        <v>908</v>
      </c>
      <c r="F13" s="313" t="s">
        <v>3208</v>
      </c>
      <c r="G13" s="472" t="s">
        <v>6171</v>
      </c>
      <c r="H13" s="472" t="s">
        <v>3207</v>
      </c>
      <c r="I13" s="472">
        <f>SUM(J13:M13)</f>
        <v>30</v>
      </c>
      <c r="J13" s="472"/>
      <c r="K13" s="472">
        <v>7.5</v>
      </c>
      <c r="L13" s="472">
        <v>22.5</v>
      </c>
      <c r="M13" s="472"/>
      <c r="N13" s="472"/>
      <c r="O13" s="472"/>
      <c r="P13" s="472" t="s">
        <v>98</v>
      </c>
      <c r="Q13" s="472" t="s">
        <v>3206</v>
      </c>
      <c r="R13" s="472" t="s">
        <v>36</v>
      </c>
      <c r="S13" s="472" t="s">
        <v>42</v>
      </c>
      <c r="T13" s="472" t="s">
        <v>49</v>
      </c>
      <c r="U13" s="472" t="s">
        <v>37</v>
      </c>
      <c r="V13" s="472">
        <f t="shared" si="0"/>
        <v>3</v>
      </c>
      <c r="W13" s="472">
        <v>3</v>
      </c>
      <c r="X13" s="472"/>
      <c r="Y13" s="472" t="s">
        <v>1291</v>
      </c>
      <c r="Z13" s="137" t="s">
        <v>1148</v>
      </c>
      <c r="AA13"/>
      <c r="AB13" s="88"/>
      <c r="AC13" s="88"/>
      <c r="AD13" s="88"/>
      <c r="AE13" s="88"/>
    </row>
    <row r="14" spans="1:31" ht="50.1" customHeight="1">
      <c r="A14" s="125">
        <v>10</v>
      </c>
      <c r="B14" s="125" t="s">
        <v>946</v>
      </c>
      <c r="C14" s="125" t="s">
        <v>3186</v>
      </c>
      <c r="D14" s="472" t="s">
        <v>3205</v>
      </c>
      <c r="E14" s="472" t="s">
        <v>908</v>
      </c>
      <c r="F14" s="480" t="s">
        <v>3204</v>
      </c>
      <c r="G14" s="472" t="s">
        <v>3193</v>
      </c>
      <c r="H14" s="472" t="s">
        <v>3203</v>
      </c>
      <c r="I14" s="472">
        <f>SUM(J14:M14)</f>
        <v>20</v>
      </c>
      <c r="J14" s="472"/>
      <c r="K14" s="472"/>
      <c r="L14" s="472">
        <v>20</v>
      </c>
      <c r="M14" s="472"/>
      <c r="N14" s="472"/>
      <c r="O14" s="472"/>
      <c r="P14" s="472" t="s">
        <v>7</v>
      </c>
      <c r="Q14" s="472" t="s">
        <v>1514</v>
      </c>
      <c r="R14" s="472" t="s">
        <v>36</v>
      </c>
      <c r="S14" s="472" t="s">
        <v>42</v>
      </c>
      <c r="T14" s="472" t="s">
        <v>49</v>
      </c>
      <c r="U14" s="472" t="s">
        <v>37</v>
      </c>
      <c r="V14" s="472">
        <f t="shared" si="0"/>
        <v>4</v>
      </c>
      <c r="W14" s="472">
        <v>4</v>
      </c>
      <c r="X14" s="472"/>
      <c r="Y14" s="472" t="s">
        <v>1291</v>
      </c>
      <c r="Z14" s="137" t="s">
        <v>1148</v>
      </c>
      <c r="AA14"/>
      <c r="AB14" s="88"/>
      <c r="AC14" s="88"/>
      <c r="AD14" s="88"/>
      <c r="AE14" s="88"/>
    </row>
    <row r="15" spans="1:31" ht="50.1" customHeight="1">
      <c r="A15" s="125">
        <v>11</v>
      </c>
      <c r="B15" s="125" t="s">
        <v>946</v>
      </c>
      <c r="C15" s="125" t="s">
        <v>3186</v>
      </c>
      <c r="D15" s="472" t="s">
        <v>3202</v>
      </c>
      <c r="E15" s="472" t="s">
        <v>908</v>
      </c>
      <c r="F15" s="480" t="s">
        <v>3201</v>
      </c>
      <c r="G15" s="472" t="s">
        <v>3200</v>
      </c>
      <c r="H15" s="472" t="s">
        <v>449</v>
      </c>
      <c r="I15" s="472">
        <f>SUM(J15:M15)</f>
        <v>20</v>
      </c>
      <c r="J15" s="472"/>
      <c r="K15" s="472"/>
      <c r="L15" s="472">
        <v>20</v>
      </c>
      <c r="M15" s="472"/>
      <c r="N15" s="472"/>
      <c r="O15" s="472"/>
      <c r="P15" s="472" t="s">
        <v>5</v>
      </c>
      <c r="Q15" s="472" t="s">
        <v>1513</v>
      </c>
      <c r="R15" s="472" t="s">
        <v>36</v>
      </c>
      <c r="S15" s="472" t="s">
        <v>68</v>
      </c>
      <c r="T15" s="472" t="s">
        <v>49</v>
      </c>
      <c r="U15" s="472" t="s">
        <v>37</v>
      </c>
      <c r="V15" s="472">
        <f t="shared" si="0"/>
        <v>10</v>
      </c>
      <c r="W15" s="472">
        <v>10</v>
      </c>
      <c r="X15" s="472"/>
      <c r="Y15" s="472" t="s">
        <v>64</v>
      </c>
      <c r="Z15" s="137" t="s">
        <v>1148</v>
      </c>
      <c r="AA15"/>
      <c r="AB15" s="88"/>
      <c r="AC15" s="88"/>
      <c r="AD15" s="88"/>
      <c r="AE15" s="88"/>
    </row>
    <row r="16" spans="1:31" ht="50.1" customHeight="1">
      <c r="A16" s="125">
        <v>12</v>
      </c>
      <c r="B16" s="125" t="s">
        <v>874</v>
      </c>
      <c r="C16" s="125" t="s">
        <v>3186</v>
      </c>
      <c r="D16" s="472" t="s">
        <v>3199</v>
      </c>
      <c r="E16" s="472" t="s">
        <v>1215</v>
      </c>
      <c r="F16" s="480" t="s">
        <v>1512</v>
      </c>
      <c r="G16" s="472" t="s">
        <v>3193</v>
      </c>
      <c r="H16" s="472" t="s">
        <v>3198</v>
      </c>
      <c r="I16" s="472">
        <v>20</v>
      </c>
      <c r="J16" s="472"/>
      <c r="K16" s="472"/>
      <c r="L16" s="472">
        <v>20</v>
      </c>
      <c r="M16" s="472"/>
      <c r="N16" s="472"/>
      <c r="O16" s="472"/>
      <c r="P16" s="472" t="s">
        <v>5</v>
      </c>
      <c r="Q16" s="472" t="s">
        <v>3197</v>
      </c>
      <c r="R16" s="472" t="s">
        <v>36</v>
      </c>
      <c r="S16" s="472" t="s">
        <v>68</v>
      </c>
      <c r="T16" s="472" t="s">
        <v>49</v>
      </c>
      <c r="U16" s="472" t="s">
        <v>37</v>
      </c>
      <c r="V16" s="472">
        <f t="shared" si="0"/>
        <v>5.3</v>
      </c>
      <c r="W16" s="472">
        <v>5.3</v>
      </c>
      <c r="X16" s="472"/>
      <c r="Y16" s="472" t="s">
        <v>220</v>
      </c>
      <c r="Z16" s="137" t="s">
        <v>1148</v>
      </c>
      <c r="AA16"/>
      <c r="AB16" s="88"/>
      <c r="AC16" s="88"/>
      <c r="AD16" s="88"/>
      <c r="AE16" s="88"/>
    </row>
    <row r="17" spans="1:31" ht="50.1" customHeight="1">
      <c r="A17" s="125">
        <v>13</v>
      </c>
      <c r="B17" s="125" t="s">
        <v>874</v>
      </c>
      <c r="C17" s="125" t="s">
        <v>3186</v>
      </c>
      <c r="D17" s="472" t="s">
        <v>3196</v>
      </c>
      <c r="E17" s="472" t="s">
        <v>3195</v>
      </c>
      <c r="F17" s="480" t="s">
        <v>3194</v>
      </c>
      <c r="G17" s="472" t="s">
        <v>3193</v>
      </c>
      <c r="H17" s="472" t="s">
        <v>449</v>
      </c>
      <c r="I17" s="472">
        <v>220</v>
      </c>
      <c r="J17" s="472"/>
      <c r="K17" s="472"/>
      <c r="L17" s="472">
        <v>220</v>
      </c>
      <c r="M17" s="472"/>
      <c r="N17" s="472"/>
      <c r="O17" s="472"/>
      <c r="P17" s="472" t="s">
        <v>7</v>
      </c>
      <c r="Q17" s="472" t="s">
        <v>500</v>
      </c>
      <c r="R17" s="472" t="s">
        <v>36</v>
      </c>
      <c r="S17" s="472" t="s">
        <v>42</v>
      </c>
      <c r="T17" s="472" t="s">
        <v>49</v>
      </c>
      <c r="U17" s="472" t="s">
        <v>37</v>
      </c>
      <c r="V17" s="472">
        <f t="shared" si="0"/>
        <v>10</v>
      </c>
      <c r="W17" s="472">
        <v>10</v>
      </c>
      <c r="X17" s="472"/>
      <c r="Y17" s="472" t="s">
        <v>2</v>
      </c>
      <c r="Z17" s="137" t="s">
        <v>3192</v>
      </c>
      <c r="AA17"/>
      <c r="AB17" s="88"/>
      <c r="AC17" s="88"/>
      <c r="AD17" s="88"/>
      <c r="AE17" s="88"/>
    </row>
    <row r="18" spans="1:31" ht="50.1" customHeight="1">
      <c r="A18" s="125">
        <v>14</v>
      </c>
      <c r="B18" s="125" t="s">
        <v>946</v>
      </c>
      <c r="C18" s="125" t="s">
        <v>3186</v>
      </c>
      <c r="D18" s="449" t="s">
        <v>2928</v>
      </c>
      <c r="E18" s="472" t="s">
        <v>3191</v>
      </c>
      <c r="F18" s="480" t="s">
        <v>3190</v>
      </c>
      <c r="G18" s="472" t="s">
        <v>3189</v>
      </c>
      <c r="H18" s="472" t="s">
        <v>3188</v>
      </c>
      <c r="I18" s="472">
        <v>3000</v>
      </c>
      <c r="J18" s="472"/>
      <c r="K18" s="472"/>
      <c r="L18" s="472">
        <v>3000</v>
      </c>
      <c r="M18" s="472"/>
      <c r="N18" s="472"/>
      <c r="O18" s="472"/>
      <c r="P18" s="472" t="s">
        <v>3187</v>
      </c>
      <c r="Q18" s="472" t="s">
        <v>3187</v>
      </c>
      <c r="R18" s="472" t="s">
        <v>36</v>
      </c>
      <c r="S18" s="472" t="s">
        <v>186</v>
      </c>
      <c r="T18" s="472" t="s">
        <v>49</v>
      </c>
      <c r="U18" s="472" t="s">
        <v>1290</v>
      </c>
      <c r="V18" s="472">
        <f t="shared" si="0"/>
        <v>600</v>
      </c>
      <c r="W18" s="472">
        <v>600</v>
      </c>
      <c r="X18" s="472"/>
      <c r="Y18" s="472" t="s">
        <v>64</v>
      </c>
      <c r="Z18" s="137" t="s">
        <v>6058</v>
      </c>
      <c r="AA18"/>
      <c r="AB18" s="88"/>
      <c r="AC18" s="88"/>
      <c r="AD18" s="88"/>
      <c r="AE18" s="88"/>
    </row>
    <row r="19" spans="1:31" s="1" customFormat="1" ht="50.1" customHeight="1">
      <c r="A19" s="126">
        <v>15</v>
      </c>
      <c r="B19" s="126" t="s">
        <v>874</v>
      </c>
      <c r="C19" s="126" t="s">
        <v>3186</v>
      </c>
      <c r="D19" s="473" t="s">
        <v>3185</v>
      </c>
      <c r="E19" s="473" t="s">
        <v>1018</v>
      </c>
      <c r="F19" s="476" t="s">
        <v>3184</v>
      </c>
      <c r="G19" s="473" t="s">
        <v>3183</v>
      </c>
      <c r="H19" s="473" t="s">
        <v>449</v>
      </c>
      <c r="I19" s="140">
        <v>20</v>
      </c>
      <c r="J19" s="140"/>
      <c r="K19" s="140"/>
      <c r="L19" s="140">
        <v>20</v>
      </c>
      <c r="M19" s="140"/>
      <c r="N19" s="473"/>
      <c r="O19" s="473"/>
      <c r="P19" s="473" t="s">
        <v>5</v>
      </c>
      <c r="Q19" s="473" t="s">
        <v>1511</v>
      </c>
      <c r="R19" s="473" t="s">
        <v>36</v>
      </c>
      <c r="S19" s="473" t="s">
        <v>42</v>
      </c>
      <c r="T19" s="473" t="s">
        <v>49</v>
      </c>
      <c r="U19" s="473" t="s">
        <v>37</v>
      </c>
      <c r="V19" s="140">
        <f t="shared" si="0"/>
        <v>5</v>
      </c>
      <c r="W19" s="140">
        <v>5</v>
      </c>
      <c r="X19" s="140"/>
      <c r="Y19" s="473" t="s">
        <v>1291</v>
      </c>
      <c r="Z19" s="137" t="s">
        <v>1148</v>
      </c>
      <c r="AB19" s="89"/>
      <c r="AC19" s="89"/>
      <c r="AD19" s="89"/>
      <c r="AE19" s="89"/>
    </row>
    <row r="20" spans="1:31" ht="54">
      <c r="A20" s="125">
        <v>16</v>
      </c>
      <c r="B20" s="125" t="s">
        <v>946</v>
      </c>
      <c r="C20" s="472" t="s">
        <v>3132</v>
      </c>
      <c r="D20" s="472" t="s">
        <v>3182</v>
      </c>
      <c r="E20" s="472" t="s">
        <v>3181</v>
      </c>
      <c r="F20" s="313" t="s">
        <v>3180</v>
      </c>
      <c r="G20" s="472" t="s">
        <v>3179</v>
      </c>
      <c r="H20" s="472" t="s">
        <v>3152</v>
      </c>
      <c r="I20" s="472">
        <v>41</v>
      </c>
      <c r="J20" s="472"/>
      <c r="K20" s="472"/>
      <c r="L20" s="472">
        <v>20</v>
      </c>
      <c r="M20" s="472">
        <v>21</v>
      </c>
      <c r="N20" s="472"/>
      <c r="O20" s="472"/>
      <c r="P20" s="472" t="s">
        <v>6</v>
      </c>
      <c r="Q20" s="472" t="s">
        <v>3178</v>
      </c>
      <c r="R20" s="472" t="s">
        <v>36</v>
      </c>
      <c r="S20" s="472" t="s">
        <v>42</v>
      </c>
      <c r="T20" s="472" t="s">
        <v>49</v>
      </c>
      <c r="U20" s="472" t="s">
        <v>38</v>
      </c>
      <c r="V20" s="472">
        <f t="shared" si="0"/>
        <v>10</v>
      </c>
      <c r="W20" s="472">
        <v>10</v>
      </c>
      <c r="X20" s="472"/>
      <c r="Y20" s="472" t="s">
        <v>3150</v>
      </c>
      <c r="Z20" s="137" t="s">
        <v>1148</v>
      </c>
      <c r="AA20"/>
      <c r="AB20" s="88"/>
      <c r="AC20" s="88"/>
      <c r="AD20" s="88"/>
      <c r="AE20" s="88"/>
    </row>
    <row r="21" spans="1:31" ht="50.1" customHeight="1">
      <c r="A21" s="125">
        <v>17</v>
      </c>
      <c r="B21" s="125" t="s">
        <v>874</v>
      </c>
      <c r="C21" s="472" t="s">
        <v>947</v>
      </c>
      <c r="D21" s="125" t="s">
        <v>3177</v>
      </c>
      <c r="E21" s="472" t="s">
        <v>1215</v>
      </c>
      <c r="F21" s="480" t="s">
        <v>3176</v>
      </c>
      <c r="G21" s="472" t="s">
        <v>1510</v>
      </c>
      <c r="H21" s="472" t="s">
        <v>3175</v>
      </c>
      <c r="I21" s="472">
        <v>60</v>
      </c>
      <c r="J21" s="472"/>
      <c r="K21" s="472"/>
      <c r="L21" s="472">
        <v>50</v>
      </c>
      <c r="M21" s="472">
        <v>10</v>
      </c>
      <c r="N21" s="472"/>
      <c r="O21" s="472"/>
      <c r="P21" s="472" t="s">
        <v>6</v>
      </c>
      <c r="Q21" s="472" t="s">
        <v>1305</v>
      </c>
      <c r="R21" s="472" t="s">
        <v>36</v>
      </c>
      <c r="S21" s="472" t="s">
        <v>246</v>
      </c>
      <c r="T21" s="472" t="s">
        <v>49</v>
      </c>
      <c r="U21" s="472" t="s">
        <v>38</v>
      </c>
      <c r="V21" s="472">
        <f t="shared" si="0"/>
        <v>15</v>
      </c>
      <c r="W21" s="472">
        <v>15</v>
      </c>
      <c r="X21" s="472"/>
      <c r="Y21" s="472" t="s">
        <v>948</v>
      </c>
      <c r="Z21" s="137" t="s">
        <v>1148</v>
      </c>
      <c r="AA21"/>
      <c r="AB21" s="88"/>
      <c r="AC21" s="88"/>
      <c r="AD21" s="88"/>
      <c r="AE21" s="88"/>
    </row>
    <row r="22" spans="1:31" ht="50.1" customHeight="1">
      <c r="A22" s="125">
        <v>18</v>
      </c>
      <c r="B22" s="125" t="s">
        <v>946</v>
      </c>
      <c r="C22" s="472" t="s">
        <v>947</v>
      </c>
      <c r="D22" s="472" t="s">
        <v>3174</v>
      </c>
      <c r="E22" s="472" t="s">
        <v>1215</v>
      </c>
      <c r="F22" s="480" t="s">
        <v>3173</v>
      </c>
      <c r="G22" s="472" t="s">
        <v>6006</v>
      </c>
      <c r="H22" s="472" t="s">
        <v>1443</v>
      </c>
      <c r="I22" s="472">
        <v>50</v>
      </c>
      <c r="J22" s="472"/>
      <c r="K22" s="472"/>
      <c r="L22" s="472">
        <v>50</v>
      </c>
      <c r="M22" s="472"/>
      <c r="N22" s="472"/>
      <c r="O22" s="472"/>
      <c r="P22" s="472" t="s">
        <v>6</v>
      </c>
      <c r="Q22" s="472" t="s">
        <v>3172</v>
      </c>
      <c r="R22" s="472" t="s">
        <v>36</v>
      </c>
      <c r="S22" s="472" t="s">
        <v>246</v>
      </c>
      <c r="T22" s="472" t="s">
        <v>49</v>
      </c>
      <c r="U22" s="472" t="s">
        <v>38</v>
      </c>
      <c r="V22" s="472">
        <f t="shared" si="0"/>
        <v>1.8</v>
      </c>
      <c r="W22" s="472">
        <v>1.8</v>
      </c>
      <c r="X22" s="472"/>
      <c r="Y22" s="472" t="s">
        <v>949</v>
      </c>
      <c r="Z22" s="137" t="s">
        <v>1148</v>
      </c>
      <c r="AA22"/>
      <c r="AB22" s="88"/>
      <c r="AC22" s="88"/>
      <c r="AD22" s="88"/>
      <c r="AE22" s="88"/>
    </row>
    <row r="23" spans="1:31" s="1" customFormat="1" ht="50.1" customHeight="1">
      <c r="A23" s="126">
        <v>19</v>
      </c>
      <c r="B23" s="126" t="s">
        <v>874</v>
      </c>
      <c r="C23" s="126" t="s">
        <v>3132</v>
      </c>
      <c r="D23" s="473" t="s">
        <v>3171</v>
      </c>
      <c r="E23" s="473" t="s">
        <v>3170</v>
      </c>
      <c r="F23" s="476" t="s">
        <v>3169</v>
      </c>
      <c r="G23" s="473" t="s">
        <v>3168</v>
      </c>
      <c r="H23" s="473" t="s">
        <v>3167</v>
      </c>
      <c r="I23" s="473">
        <v>2470</v>
      </c>
      <c r="J23" s="473"/>
      <c r="K23" s="473" t="s">
        <v>102</v>
      </c>
      <c r="L23" s="473">
        <v>2470</v>
      </c>
      <c r="M23" s="473"/>
      <c r="N23" s="473"/>
      <c r="O23" s="473"/>
      <c r="P23" s="473" t="s">
        <v>7</v>
      </c>
      <c r="Q23" s="473" t="s">
        <v>3166</v>
      </c>
      <c r="R23" s="473" t="s">
        <v>36</v>
      </c>
      <c r="S23" s="473" t="s">
        <v>199</v>
      </c>
      <c r="T23" s="473" t="s">
        <v>3133</v>
      </c>
      <c r="U23" s="473" t="s">
        <v>38</v>
      </c>
      <c r="V23" s="473">
        <f t="shared" si="0"/>
        <v>1831</v>
      </c>
      <c r="W23" s="473">
        <v>1534</v>
      </c>
      <c r="X23" s="150">
        <v>297</v>
      </c>
      <c r="Y23" s="473" t="s">
        <v>3125</v>
      </c>
      <c r="Z23" s="202" t="s">
        <v>3165</v>
      </c>
      <c r="AA23"/>
      <c r="AB23" s="88"/>
      <c r="AC23" s="88"/>
      <c r="AD23" s="88"/>
      <c r="AE23" s="88"/>
    </row>
    <row r="24" spans="1:31" ht="50.1" customHeight="1">
      <c r="A24" s="125">
        <v>20</v>
      </c>
      <c r="B24" s="125" t="s">
        <v>946</v>
      </c>
      <c r="C24" s="125" t="s">
        <v>3132</v>
      </c>
      <c r="D24" s="472" t="s">
        <v>3164</v>
      </c>
      <c r="E24" s="472" t="s">
        <v>461</v>
      </c>
      <c r="F24" s="480" t="s">
        <v>3163</v>
      </c>
      <c r="G24" s="472" t="s">
        <v>3162</v>
      </c>
      <c r="H24" s="472" t="s">
        <v>285</v>
      </c>
      <c r="I24" s="472">
        <v>185.6</v>
      </c>
      <c r="J24" s="472"/>
      <c r="K24" s="472">
        <v>35.6</v>
      </c>
      <c r="L24" s="472">
        <v>150</v>
      </c>
      <c r="M24" s="472"/>
      <c r="N24" s="472"/>
      <c r="O24" s="472"/>
      <c r="P24" s="472" t="s">
        <v>5</v>
      </c>
      <c r="Q24" s="472" t="s">
        <v>3161</v>
      </c>
      <c r="R24" s="472" t="s">
        <v>36</v>
      </c>
      <c r="S24" s="472" t="s">
        <v>464</v>
      </c>
      <c r="T24" s="472" t="s">
        <v>49</v>
      </c>
      <c r="U24" s="472" t="s">
        <v>38</v>
      </c>
      <c r="V24" s="472">
        <f t="shared" si="0"/>
        <v>31</v>
      </c>
      <c r="W24" s="472">
        <v>31</v>
      </c>
      <c r="X24" s="472"/>
      <c r="Y24" s="472" t="s">
        <v>3150</v>
      </c>
      <c r="Z24" s="137" t="s">
        <v>1148</v>
      </c>
      <c r="AA24"/>
      <c r="AB24" s="88"/>
      <c r="AC24" s="88"/>
      <c r="AD24" s="88"/>
      <c r="AE24" s="88"/>
    </row>
    <row r="25" spans="1:31" ht="50.1" customHeight="1">
      <c r="A25" s="125">
        <v>21</v>
      </c>
      <c r="B25" s="125" t="s">
        <v>946</v>
      </c>
      <c r="C25" s="125" t="s">
        <v>3132</v>
      </c>
      <c r="D25" s="472" t="s">
        <v>3160</v>
      </c>
      <c r="E25" s="472" t="s">
        <v>1217</v>
      </c>
      <c r="F25" s="480" t="s">
        <v>3159</v>
      </c>
      <c r="G25" s="472" t="s">
        <v>3158</v>
      </c>
      <c r="H25" s="472" t="s">
        <v>3157</v>
      </c>
      <c r="I25" s="472">
        <v>100</v>
      </c>
      <c r="J25" s="472"/>
      <c r="K25" s="472"/>
      <c r="L25" s="472">
        <v>100</v>
      </c>
      <c r="M25" s="472"/>
      <c r="N25" s="472"/>
      <c r="O25" s="472"/>
      <c r="P25" s="472" t="s">
        <v>7</v>
      </c>
      <c r="Q25" s="472" t="s">
        <v>7</v>
      </c>
      <c r="R25" s="472" t="s">
        <v>36</v>
      </c>
      <c r="S25" s="472" t="s">
        <v>246</v>
      </c>
      <c r="T25" s="472" t="s">
        <v>49</v>
      </c>
      <c r="U25" s="472" t="s">
        <v>38</v>
      </c>
      <c r="V25" s="472">
        <f t="shared" si="0"/>
        <v>1.5</v>
      </c>
      <c r="W25" s="472">
        <v>1.5</v>
      </c>
      <c r="X25" s="472"/>
      <c r="Y25" s="472" t="s">
        <v>3156</v>
      </c>
      <c r="Z25" s="137"/>
      <c r="AA25"/>
      <c r="AB25" s="88"/>
      <c r="AC25" s="88"/>
      <c r="AD25" s="88"/>
      <c r="AE25" s="88"/>
    </row>
    <row r="26" spans="1:31" ht="50.1" customHeight="1">
      <c r="A26" s="125">
        <v>22</v>
      </c>
      <c r="B26" s="125" t="s">
        <v>946</v>
      </c>
      <c r="C26" s="125" t="s">
        <v>3132</v>
      </c>
      <c r="D26" s="472" t="s">
        <v>3155</v>
      </c>
      <c r="E26" s="472" t="s">
        <v>1217</v>
      </c>
      <c r="F26" s="480" t="s">
        <v>3154</v>
      </c>
      <c r="G26" s="472" t="s">
        <v>3153</v>
      </c>
      <c r="H26" s="472" t="s">
        <v>3152</v>
      </c>
      <c r="I26" s="472">
        <v>30</v>
      </c>
      <c r="J26" s="472"/>
      <c r="K26" s="472"/>
      <c r="L26" s="472">
        <v>15</v>
      </c>
      <c r="M26" s="472">
        <v>15</v>
      </c>
      <c r="N26" s="472"/>
      <c r="O26" s="472"/>
      <c r="P26" s="472" t="s">
        <v>6</v>
      </c>
      <c r="Q26" s="472" t="s">
        <v>3151</v>
      </c>
      <c r="R26" s="472" t="s">
        <v>36</v>
      </c>
      <c r="S26" s="472" t="s">
        <v>42</v>
      </c>
      <c r="T26" s="472" t="s">
        <v>49</v>
      </c>
      <c r="U26" s="472" t="s">
        <v>38</v>
      </c>
      <c r="V26" s="472">
        <f t="shared" si="0"/>
        <v>10</v>
      </c>
      <c r="W26" s="472">
        <v>10</v>
      </c>
      <c r="X26" s="472"/>
      <c r="Y26" s="472" t="s">
        <v>3150</v>
      </c>
      <c r="Z26" s="137" t="s">
        <v>1148</v>
      </c>
      <c r="AA26"/>
      <c r="AB26" s="88"/>
      <c r="AC26" s="88"/>
      <c r="AD26" s="88"/>
      <c r="AE26" s="88"/>
    </row>
    <row r="27" spans="1:31" ht="50.1" customHeight="1">
      <c r="A27" s="125">
        <v>23</v>
      </c>
      <c r="B27" s="125" t="s">
        <v>874</v>
      </c>
      <c r="C27" s="125" t="s">
        <v>3132</v>
      </c>
      <c r="D27" s="473" t="s">
        <v>3149</v>
      </c>
      <c r="E27" s="472" t="s">
        <v>2922</v>
      </c>
      <c r="F27" s="480" t="s">
        <v>3148</v>
      </c>
      <c r="G27" s="472" t="s">
        <v>6034</v>
      </c>
      <c r="H27" s="472" t="s">
        <v>3147</v>
      </c>
      <c r="I27" s="472">
        <v>210</v>
      </c>
      <c r="J27" s="472"/>
      <c r="K27" s="472">
        <v>200</v>
      </c>
      <c r="L27" s="472"/>
      <c r="M27" s="472">
        <v>10</v>
      </c>
      <c r="N27" s="472"/>
      <c r="O27" s="472"/>
      <c r="P27" s="472" t="s">
        <v>6</v>
      </c>
      <c r="Q27" s="472" t="s">
        <v>3146</v>
      </c>
      <c r="R27" s="472" t="s">
        <v>36</v>
      </c>
      <c r="S27" s="472" t="s">
        <v>246</v>
      </c>
      <c r="T27" s="472" t="s">
        <v>49</v>
      </c>
      <c r="U27" s="472" t="s">
        <v>38</v>
      </c>
      <c r="V27" s="472">
        <f t="shared" si="0"/>
        <v>80</v>
      </c>
      <c r="W27" s="472">
        <v>80</v>
      </c>
      <c r="X27" s="472"/>
      <c r="Y27" s="472" t="s">
        <v>3125</v>
      </c>
      <c r="Z27" s="137" t="s">
        <v>1148</v>
      </c>
    </row>
    <row r="28" spans="1:31" ht="50.1" customHeight="1">
      <c r="A28" s="125">
        <v>24</v>
      </c>
      <c r="B28" s="125" t="s">
        <v>946</v>
      </c>
      <c r="C28" s="125" t="s">
        <v>3132</v>
      </c>
      <c r="D28" s="472" t="s">
        <v>3145</v>
      </c>
      <c r="E28" s="472" t="s">
        <v>3140</v>
      </c>
      <c r="F28" s="480" t="s">
        <v>3144</v>
      </c>
      <c r="G28" s="472" t="s">
        <v>6033</v>
      </c>
      <c r="H28" s="472" t="s">
        <v>887</v>
      </c>
      <c r="I28" s="472">
        <v>16</v>
      </c>
      <c r="J28" s="472"/>
      <c r="K28" s="472"/>
      <c r="L28" s="472">
        <v>16</v>
      </c>
      <c r="M28" s="472"/>
      <c r="N28" s="472"/>
      <c r="O28" s="472"/>
      <c r="P28" s="472" t="s">
        <v>5</v>
      </c>
      <c r="Q28" s="472" t="s">
        <v>3143</v>
      </c>
      <c r="R28" s="472" t="s">
        <v>36</v>
      </c>
      <c r="S28" s="472" t="s">
        <v>464</v>
      </c>
      <c r="T28" s="472" t="s">
        <v>49</v>
      </c>
      <c r="U28" s="472" t="s">
        <v>3142</v>
      </c>
      <c r="V28" s="472">
        <f t="shared" si="0"/>
        <v>3</v>
      </c>
      <c r="W28" s="472">
        <v>3</v>
      </c>
      <c r="X28" s="472"/>
      <c r="Y28" s="472" t="s">
        <v>99</v>
      </c>
      <c r="Z28" s="137" t="s">
        <v>1148</v>
      </c>
    </row>
    <row r="29" spans="1:31" ht="50.1" customHeight="1">
      <c r="A29" s="125">
        <v>25</v>
      </c>
      <c r="B29" s="125" t="s">
        <v>946</v>
      </c>
      <c r="C29" s="125" t="s">
        <v>947</v>
      </c>
      <c r="D29" s="473" t="s">
        <v>3141</v>
      </c>
      <c r="E29" s="472" t="s">
        <v>3140</v>
      </c>
      <c r="F29" s="480" t="s">
        <v>3139</v>
      </c>
      <c r="G29" s="472" t="s">
        <v>6160</v>
      </c>
      <c r="H29" s="472" t="s">
        <v>1218</v>
      </c>
      <c r="I29" s="472">
        <v>10</v>
      </c>
      <c r="J29" s="472"/>
      <c r="K29" s="472"/>
      <c r="L29" s="472">
        <v>10</v>
      </c>
      <c r="M29" s="472"/>
      <c r="N29" s="472"/>
      <c r="O29" s="472"/>
      <c r="P29" s="472" t="s">
        <v>5</v>
      </c>
      <c r="Q29" s="472" t="s">
        <v>2862</v>
      </c>
      <c r="R29" s="472" t="s">
        <v>36</v>
      </c>
      <c r="S29" s="472" t="s">
        <v>464</v>
      </c>
      <c r="T29" s="472" t="s">
        <v>49</v>
      </c>
      <c r="U29" s="472" t="s">
        <v>38</v>
      </c>
      <c r="V29" s="472">
        <f t="shared" si="0"/>
        <v>2</v>
      </c>
      <c r="W29" s="472">
        <v>2</v>
      </c>
      <c r="X29" s="472"/>
      <c r="Y29" s="472" t="s">
        <v>99</v>
      </c>
      <c r="Z29" s="137"/>
    </row>
    <row r="30" spans="1:31" ht="50.1" customHeight="1">
      <c r="A30" s="125">
        <v>26</v>
      </c>
      <c r="B30" s="125" t="s">
        <v>874</v>
      </c>
      <c r="C30" s="125" t="s">
        <v>3132</v>
      </c>
      <c r="D30" s="472" t="s">
        <v>3138</v>
      </c>
      <c r="E30" s="472" t="s">
        <v>1439</v>
      </c>
      <c r="F30" s="480" t="s">
        <v>3137</v>
      </c>
      <c r="G30" s="472" t="s">
        <v>6159</v>
      </c>
      <c r="H30" s="472" t="s">
        <v>499</v>
      </c>
      <c r="I30" s="472">
        <v>10</v>
      </c>
      <c r="J30" s="472"/>
      <c r="K30" s="472"/>
      <c r="L30" s="472">
        <v>10</v>
      </c>
      <c r="M30" s="472"/>
      <c r="N30" s="472"/>
      <c r="O30" s="472"/>
      <c r="P30" s="472" t="s">
        <v>6</v>
      </c>
      <c r="Q30" s="472" t="s">
        <v>3136</v>
      </c>
      <c r="R30" s="472" t="s">
        <v>36</v>
      </c>
      <c r="S30" s="472" t="s">
        <v>464</v>
      </c>
      <c r="T30" s="472" t="s">
        <v>49</v>
      </c>
      <c r="U30" s="472" t="s">
        <v>38</v>
      </c>
      <c r="V30" s="472">
        <f t="shared" si="0"/>
        <v>2</v>
      </c>
      <c r="W30" s="472">
        <v>2</v>
      </c>
      <c r="X30" s="472"/>
      <c r="Y30" s="472" t="s">
        <v>3135</v>
      </c>
      <c r="Z30" s="137"/>
    </row>
    <row r="31" spans="1:31" ht="50.1" customHeight="1">
      <c r="A31" s="125">
        <v>27</v>
      </c>
      <c r="B31" s="125" t="s">
        <v>946</v>
      </c>
      <c r="C31" s="125" t="s">
        <v>947</v>
      </c>
      <c r="D31" s="472" t="s">
        <v>6158</v>
      </c>
      <c r="E31" s="472" t="s">
        <v>1439</v>
      </c>
      <c r="F31" s="480" t="s">
        <v>3134</v>
      </c>
      <c r="G31" s="472" t="s">
        <v>6157</v>
      </c>
      <c r="H31" s="472" t="s">
        <v>1374</v>
      </c>
      <c r="I31" s="472">
        <v>250</v>
      </c>
      <c r="J31" s="472"/>
      <c r="K31" s="472"/>
      <c r="L31" s="472">
        <v>250</v>
      </c>
      <c r="M31" s="472"/>
      <c r="N31" s="472"/>
      <c r="O31" s="472"/>
      <c r="P31" s="472" t="s">
        <v>7</v>
      </c>
      <c r="Q31" s="472" t="s">
        <v>59</v>
      </c>
      <c r="R31" s="472" t="s">
        <v>36</v>
      </c>
      <c r="S31" s="472" t="s">
        <v>199</v>
      </c>
      <c r="T31" s="472" t="s">
        <v>3133</v>
      </c>
      <c r="U31" s="472" t="s">
        <v>38</v>
      </c>
      <c r="V31" s="472">
        <f t="shared" si="0"/>
        <v>300</v>
      </c>
      <c r="W31" s="472">
        <v>300</v>
      </c>
      <c r="X31" s="472"/>
      <c r="Y31" s="472" t="s">
        <v>3125</v>
      </c>
      <c r="Z31" s="137" t="s">
        <v>6156</v>
      </c>
    </row>
    <row r="32" spans="1:31" ht="50.1" customHeight="1">
      <c r="A32" s="125">
        <v>28</v>
      </c>
      <c r="B32" s="125" t="s">
        <v>874</v>
      </c>
      <c r="C32" s="125" t="s">
        <v>3132</v>
      </c>
      <c r="D32" s="472" t="s">
        <v>3131</v>
      </c>
      <c r="E32" s="472" t="s">
        <v>3130</v>
      </c>
      <c r="F32" s="480" t="s">
        <v>3129</v>
      </c>
      <c r="G32" s="472" t="s">
        <v>3128</v>
      </c>
      <c r="H32" s="472" t="s">
        <v>3127</v>
      </c>
      <c r="I32" s="472">
        <v>35</v>
      </c>
      <c r="J32" s="472"/>
      <c r="K32" s="472"/>
      <c r="L32" s="472">
        <v>15</v>
      </c>
      <c r="M32" s="472">
        <v>20</v>
      </c>
      <c r="N32" s="472"/>
      <c r="O32" s="472"/>
      <c r="P32" s="472" t="s">
        <v>31</v>
      </c>
      <c r="Q32" s="472" t="s">
        <v>3126</v>
      </c>
      <c r="R32" s="472" t="s">
        <v>36</v>
      </c>
      <c r="S32" s="472" t="s">
        <v>246</v>
      </c>
      <c r="T32" s="472" t="s">
        <v>49</v>
      </c>
      <c r="U32" s="472" t="s">
        <v>38</v>
      </c>
      <c r="V32" s="303">
        <f t="shared" si="0"/>
        <v>0</v>
      </c>
      <c r="W32" s="303">
        <v>0</v>
      </c>
      <c r="X32" s="472"/>
      <c r="Y32" s="472" t="s">
        <v>3125</v>
      </c>
      <c r="Z32" s="137" t="s">
        <v>1148</v>
      </c>
      <c r="AA32"/>
      <c r="AB32" s="88"/>
      <c r="AC32" s="88"/>
      <c r="AD32" s="88"/>
      <c r="AE32" s="88"/>
    </row>
    <row r="33" spans="1:31" ht="50.1" customHeight="1">
      <c r="A33" s="125">
        <v>29</v>
      </c>
      <c r="B33" s="125" t="s">
        <v>946</v>
      </c>
      <c r="C33" s="125" t="s">
        <v>3118</v>
      </c>
      <c r="D33" s="472" t="s">
        <v>3124</v>
      </c>
      <c r="E33" s="472" t="s">
        <v>3123</v>
      </c>
      <c r="F33" s="480" t="s">
        <v>3122</v>
      </c>
      <c r="G33" s="472" t="s">
        <v>3121</v>
      </c>
      <c r="H33" s="472" t="s">
        <v>1509</v>
      </c>
      <c r="I33" s="472">
        <v>980</v>
      </c>
      <c r="J33" s="472"/>
      <c r="K33" s="472"/>
      <c r="L33" s="472">
        <v>980</v>
      </c>
      <c r="M33" s="472"/>
      <c r="N33" s="472"/>
      <c r="O33" s="472"/>
      <c r="P33" s="472" t="s">
        <v>50</v>
      </c>
      <c r="Q33" s="472" t="s">
        <v>3120</v>
      </c>
      <c r="R33" s="472" t="s">
        <v>36</v>
      </c>
      <c r="S33" s="472" t="s">
        <v>199</v>
      </c>
      <c r="T33" s="472" t="s">
        <v>3101</v>
      </c>
      <c r="U33" s="472" t="s">
        <v>38</v>
      </c>
      <c r="V33" s="472">
        <f t="shared" si="0"/>
        <v>5</v>
      </c>
      <c r="W33" s="472">
        <v>5</v>
      </c>
      <c r="X33" s="472"/>
      <c r="Y33" s="472" t="s">
        <v>3119</v>
      </c>
      <c r="Z33" s="137" t="s">
        <v>1148</v>
      </c>
      <c r="AA33"/>
      <c r="AB33" s="88"/>
      <c r="AC33" s="88"/>
      <c r="AD33" s="88"/>
      <c r="AE33" s="88"/>
    </row>
    <row r="34" spans="1:31" ht="50.1" customHeight="1">
      <c r="A34" s="125">
        <v>30</v>
      </c>
      <c r="B34" s="125" t="s">
        <v>946</v>
      </c>
      <c r="C34" s="125" t="s">
        <v>3118</v>
      </c>
      <c r="D34" s="472" t="s">
        <v>3117</v>
      </c>
      <c r="E34" s="472" t="s">
        <v>3116</v>
      </c>
      <c r="F34" s="480" t="s">
        <v>3115</v>
      </c>
      <c r="G34" s="472" t="s">
        <v>3114</v>
      </c>
      <c r="H34" s="472" t="s">
        <v>3113</v>
      </c>
      <c r="I34" s="472">
        <v>150</v>
      </c>
      <c r="J34" s="472"/>
      <c r="K34" s="472"/>
      <c r="L34" s="472">
        <v>150</v>
      </c>
      <c r="M34" s="472"/>
      <c r="N34" s="472"/>
      <c r="O34" s="472"/>
      <c r="P34" s="472" t="s">
        <v>46</v>
      </c>
      <c r="Q34" s="472" t="s">
        <v>3112</v>
      </c>
      <c r="R34" s="472" t="s">
        <v>36</v>
      </c>
      <c r="S34" s="472" t="s">
        <v>199</v>
      </c>
      <c r="T34" s="472" t="s">
        <v>3101</v>
      </c>
      <c r="U34" s="472" t="s">
        <v>38</v>
      </c>
      <c r="V34" s="472">
        <f t="shared" si="0"/>
        <v>9.1999999999999993</v>
      </c>
      <c r="W34" s="472">
        <v>9.1999999999999993</v>
      </c>
      <c r="X34" s="472"/>
      <c r="Y34" s="472" t="s">
        <v>3111</v>
      </c>
      <c r="Z34" s="137" t="s">
        <v>3110</v>
      </c>
      <c r="AA34"/>
      <c r="AB34" s="88"/>
      <c r="AC34" s="88"/>
      <c r="AD34" s="88"/>
      <c r="AE34" s="88"/>
    </row>
    <row r="35" spans="1:31" s="1" customFormat="1" ht="50.1" customHeight="1">
      <c r="A35" s="126">
        <v>31</v>
      </c>
      <c r="B35" s="126" t="s">
        <v>946</v>
      </c>
      <c r="C35" s="473" t="s">
        <v>950</v>
      </c>
      <c r="D35" s="473" t="s">
        <v>3109</v>
      </c>
      <c r="E35" s="473" t="s">
        <v>3108</v>
      </c>
      <c r="F35" s="142" t="s">
        <v>3107</v>
      </c>
      <c r="G35" s="473" t="s">
        <v>3106</v>
      </c>
      <c r="H35" s="473" t="s">
        <v>3105</v>
      </c>
      <c r="I35" s="473">
        <f>SUM(J35:M35)</f>
        <v>120</v>
      </c>
      <c r="J35" s="473"/>
      <c r="K35" s="473"/>
      <c r="L35" s="473">
        <v>120</v>
      </c>
      <c r="M35" s="473"/>
      <c r="N35" s="473"/>
      <c r="O35" s="473"/>
      <c r="P35" s="473" t="s">
        <v>46</v>
      </c>
      <c r="Q35" s="473" t="s">
        <v>952</v>
      </c>
      <c r="R35" s="473" t="s">
        <v>56</v>
      </c>
      <c r="S35" s="473" t="s">
        <v>199</v>
      </c>
      <c r="T35" s="473" t="s">
        <v>3101</v>
      </c>
      <c r="U35" s="473" t="s">
        <v>38</v>
      </c>
      <c r="V35" s="140">
        <f t="shared" si="0"/>
        <v>1</v>
      </c>
      <c r="W35" s="140">
        <v>1</v>
      </c>
      <c r="X35" s="473"/>
      <c r="Y35" s="473" t="s">
        <v>953</v>
      </c>
      <c r="Z35" s="137" t="s">
        <v>1148</v>
      </c>
      <c r="AA35"/>
      <c r="AB35" s="88"/>
      <c r="AC35" s="88"/>
      <c r="AD35" s="88"/>
      <c r="AE35" s="88"/>
    </row>
    <row r="36" spans="1:31" ht="50.1" customHeight="1">
      <c r="A36" s="125">
        <v>32</v>
      </c>
      <c r="B36" s="125" t="s">
        <v>946</v>
      </c>
      <c r="C36" s="472" t="s">
        <v>950</v>
      </c>
      <c r="D36" s="125" t="s">
        <v>954</v>
      </c>
      <c r="E36" s="472" t="s">
        <v>3104</v>
      </c>
      <c r="F36" s="480" t="s">
        <v>3103</v>
      </c>
      <c r="G36" s="472" t="s">
        <v>951</v>
      </c>
      <c r="H36" s="472" t="s">
        <v>3102</v>
      </c>
      <c r="I36" s="472">
        <v>200</v>
      </c>
      <c r="J36" s="472"/>
      <c r="K36" s="472"/>
      <c r="L36" s="472">
        <v>200</v>
      </c>
      <c r="M36" s="472"/>
      <c r="N36" s="472"/>
      <c r="O36" s="472"/>
      <c r="P36" s="472" t="s">
        <v>48</v>
      </c>
      <c r="Q36" s="472" t="s">
        <v>955</v>
      </c>
      <c r="R36" s="472" t="s">
        <v>56</v>
      </c>
      <c r="S36" s="472" t="s">
        <v>199</v>
      </c>
      <c r="T36" s="472" t="s">
        <v>3101</v>
      </c>
      <c r="U36" s="472" t="s">
        <v>38</v>
      </c>
      <c r="V36" s="155">
        <f t="shared" si="0"/>
        <v>26.4</v>
      </c>
      <c r="W36" s="155">
        <v>26.4</v>
      </c>
      <c r="X36" s="472"/>
      <c r="Y36" s="472" t="s">
        <v>955</v>
      </c>
      <c r="Z36" s="137" t="s">
        <v>1148</v>
      </c>
    </row>
    <row r="37" spans="1:31" s="1" customFormat="1" ht="50.1" customHeight="1">
      <c r="A37" s="126">
        <v>33</v>
      </c>
      <c r="B37" s="126" t="s">
        <v>946</v>
      </c>
      <c r="C37" s="473" t="s">
        <v>950</v>
      </c>
      <c r="D37" s="473" t="s">
        <v>956</v>
      </c>
      <c r="E37" s="473" t="s">
        <v>3100</v>
      </c>
      <c r="F37" s="476" t="s">
        <v>3099</v>
      </c>
      <c r="G37" s="473" t="s">
        <v>957</v>
      </c>
      <c r="H37" s="473" t="s">
        <v>3098</v>
      </c>
      <c r="I37" s="473">
        <f>SUM(J37:M37)</f>
        <v>150</v>
      </c>
      <c r="J37" s="473"/>
      <c r="K37" s="473">
        <v>30</v>
      </c>
      <c r="L37" s="473">
        <v>120</v>
      </c>
      <c r="M37" s="473"/>
      <c r="N37" s="473"/>
      <c r="O37" s="473"/>
      <c r="P37" s="473" t="s">
        <v>52</v>
      </c>
      <c r="Q37" s="473" t="s">
        <v>958</v>
      </c>
      <c r="R37" s="473" t="s">
        <v>56</v>
      </c>
      <c r="S37" s="473" t="s">
        <v>246</v>
      </c>
      <c r="T37" s="473" t="s">
        <v>49</v>
      </c>
      <c r="U37" s="473" t="s">
        <v>38</v>
      </c>
      <c r="V37" s="140">
        <f t="shared" ref="V37:V68" si="1">SUM(W37:X37)</f>
        <v>96</v>
      </c>
      <c r="W37" s="140">
        <v>96</v>
      </c>
      <c r="X37" s="473"/>
      <c r="Y37" s="473" t="s">
        <v>959</v>
      </c>
      <c r="Z37" s="137" t="s">
        <v>1148</v>
      </c>
      <c r="AB37" s="89"/>
      <c r="AC37" s="89"/>
      <c r="AD37" s="89"/>
      <c r="AE37" s="89"/>
    </row>
    <row r="38" spans="1:31" ht="50.1" customHeight="1">
      <c r="A38" s="125">
        <v>34</v>
      </c>
      <c r="B38" s="125" t="s">
        <v>874</v>
      </c>
      <c r="C38" s="125" t="s">
        <v>3053</v>
      </c>
      <c r="D38" s="472" t="s">
        <v>3097</v>
      </c>
      <c r="E38" s="472" t="s">
        <v>942</v>
      </c>
      <c r="F38" s="480" t="s">
        <v>3096</v>
      </c>
      <c r="G38" s="472" t="s">
        <v>3095</v>
      </c>
      <c r="H38" s="472" t="s">
        <v>1123</v>
      </c>
      <c r="I38" s="472">
        <v>53</v>
      </c>
      <c r="J38" s="125"/>
      <c r="K38" s="125">
        <v>48</v>
      </c>
      <c r="L38" s="125"/>
      <c r="M38" s="125">
        <v>5</v>
      </c>
      <c r="N38" s="125"/>
      <c r="O38" s="125"/>
      <c r="P38" s="125" t="s">
        <v>67</v>
      </c>
      <c r="Q38" s="125" t="s">
        <v>3094</v>
      </c>
      <c r="R38" s="472" t="s">
        <v>36</v>
      </c>
      <c r="S38" s="472" t="s">
        <v>42</v>
      </c>
      <c r="T38" s="472" t="s">
        <v>49</v>
      </c>
      <c r="U38" s="472" t="s">
        <v>38</v>
      </c>
      <c r="V38" s="155">
        <f t="shared" si="1"/>
        <v>200</v>
      </c>
      <c r="W38" s="155">
        <v>200</v>
      </c>
      <c r="X38" s="472"/>
      <c r="Y38" s="472" t="s">
        <v>812</v>
      </c>
      <c r="Z38" s="137" t="s">
        <v>1148</v>
      </c>
      <c r="AA38"/>
      <c r="AB38" s="88"/>
      <c r="AC38" s="88"/>
      <c r="AD38" s="88"/>
      <c r="AE38" s="88"/>
    </row>
    <row r="39" spans="1:31" ht="50.1" customHeight="1">
      <c r="A39" s="125">
        <v>35</v>
      </c>
      <c r="B39" s="125" t="s">
        <v>874</v>
      </c>
      <c r="C39" s="472" t="s">
        <v>3053</v>
      </c>
      <c r="D39" s="472" t="s">
        <v>3093</v>
      </c>
      <c r="E39" s="472" t="s">
        <v>1297</v>
      </c>
      <c r="F39" s="480" t="s">
        <v>3092</v>
      </c>
      <c r="G39" s="472" t="s">
        <v>3091</v>
      </c>
      <c r="H39" s="472" t="s">
        <v>3090</v>
      </c>
      <c r="I39" s="472">
        <v>71</v>
      </c>
      <c r="J39" s="472"/>
      <c r="K39" s="472">
        <v>50</v>
      </c>
      <c r="L39" s="472"/>
      <c r="M39" s="472">
        <v>21</v>
      </c>
      <c r="N39" s="472"/>
      <c r="O39" s="473"/>
      <c r="P39" s="473" t="s">
        <v>5</v>
      </c>
      <c r="Q39" s="473" t="s">
        <v>3089</v>
      </c>
      <c r="R39" s="473" t="s">
        <v>36</v>
      </c>
      <c r="S39" s="473" t="s">
        <v>42</v>
      </c>
      <c r="T39" s="473" t="s">
        <v>49</v>
      </c>
      <c r="U39" s="473" t="s">
        <v>38</v>
      </c>
      <c r="V39" s="140">
        <f t="shared" si="1"/>
        <v>15</v>
      </c>
      <c r="W39" s="140">
        <v>15</v>
      </c>
      <c r="X39" s="473"/>
      <c r="Y39" s="473" t="s">
        <v>3054</v>
      </c>
      <c r="Z39" s="137" t="s">
        <v>1148</v>
      </c>
      <c r="AA39"/>
      <c r="AB39" s="88"/>
      <c r="AC39" s="88"/>
      <c r="AD39" s="88"/>
      <c r="AE39" s="88"/>
    </row>
    <row r="40" spans="1:31" ht="50.1" customHeight="1">
      <c r="A40" s="125">
        <v>36</v>
      </c>
      <c r="B40" s="125" t="s">
        <v>874</v>
      </c>
      <c r="C40" s="125" t="s">
        <v>3053</v>
      </c>
      <c r="D40" s="472" t="s">
        <v>3088</v>
      </c>
      <c r="E40" s="472" t="s">
        <v>3087</v>
      </c>
      <c r="F40" s="480" t="s">
        <v>3086</v>
      </c>
      <c r="G40" s="472" t="s">
        <v>3085</v>
      </c>
      <c r="H40" s="472" t="s">
        <v>1285</v>
      </c>
      <c r="I40" s="472">
        <v>150</v>
      </c>
      <c r="J40" s="125"/>
      <c r="K40" s="125">
        <v>150</v>
      </c>
      <c r="L40" s="125"/>
      <c r="M40" s="125"/>
      <c r="N40" s="125"/>
      <c r="O40" s="125"/>
      <c r="P40" s="125" t="s">
        <v>6</v>
      </c>
      <c r="Q40" s="125" t="s">
        <v>3084</v>
      </c>
      <c r="R40" s="472" t="s">
        <v>36</v>
      </c>
      <c r="S40" s="472" t="s">
        <v>42</v>
      </c>
      <c r="T40" s="472" t="s">
        <v>49</v>
      </c>
      <c r="U40" s="472" t="s">
        <v>38</v>
      </c>
      <c r="V40" s="155">
        <f t="shared" si="1"/>
        <v>30</v>
      </c>
      <c r="W40" s="155">
        <v>30</v>
      </c>
      <c r="X40" s="472"/>
      <c r="Y40" s="472" t="s">
        <v>166</v>
      </c>
      <c r="Z40" s="137" t="s">
        <v>1148</v>
      </c>
      <c r="AA40"/>
      <c r="AB40" s="88"/>
      <c r="AC40" s="88"/>
      <c r="AD40" s="88"/>
      <c r="AE40" s="88"/>
    </row>
    <row r="41" spans="1:31" ht="50.1" customHeight="1">
      <c r="A41" s="125">
        <v>37</v>
      </c>
      <c r="B41" s="125" t="s">
        <v>874</v>
      </c>
      <c r="C41" s="125" t="s">
        <v>3053</v>
      </c>
      <c r="D41" s="391" t="s">
        <v>3083</v>
      </c>
      <c r="E41" s="391" t="s">
        <v>3082</v>
      </c>
      <c r="F41" s="392" t="s">
        <v>3081</v>
      </c>
      <c r="G41" s="472" t="s">
        <v>6172</v>
      </c>
      <c r="H41" s="391" t="s">
        <v>100</v>
      </c>
      <c r="I41" s="472">
        <v>88</v>
      </c>
      <c r="J41" s="125"/>
      <c r="K41" s="125">
        <v>80</v>
      </c>
      <c r="L41" s="125"/>
      <c r="M41" s="125">
        <v>8</v>
      </c>
      <c r="N41" s="125"/>
      <c r="O41" s="125"/>
      <c r="P41" s="125" t="s">
        <v>6</v>
      </c>
      <c r="Q41" s="125" t="s">
        <v>3080</v>
      </c>
      <c r="R41" s="472" t="s">
        <v>36</v>
      </c>
      <c r="S41" s="391" t="s">
        <v>42</v>
      </c>
      <c r="T41" s="125" t="s">
        <v>49</v>
      </c>
      <c r="U41" s="391" t="s">
        <v>38</v>
      </c>
      <c r="V41" s="472">
        <f t="shared" si="1"/>
        <v>60</v>
      </c>
      <c r="W41" s="391">
        <v>60</v>
      </c>
      <c r="X41" s="391"/>
      <c r="Y41" s="391" t="s">
        <v>3079</v>
      </c>
      <c r="Z41" s="137" t="s">
        <v>1148</v>
      </c>
      <c r="AA41"/>
      <c r="AB41" s="88"/>
      <c r="AC41" s="88"/>
      <c r="AD41" s="88"/>
      <c r="AE41" s="88"/>
    </row>
    <row r="42" spans="1:31" ht="50.1" customHeight="1">
      <c r="A42" s="125">
        <v>38</v>
      </c>
      <c r="B42" s="125" t="s">
        <v>874</v>
      </c>
      <c r="C42" s="125" t="s">
        <v>3053</v>
      </c>
      <c r="D42" s="472" t="s">
        <v>3078</v>
      </c>
      <c r="E42" s="472" t="s">
        <v>3077</v>
      </c>
      <c r="F42" s="313" t="s">
        <v>3076</v>
      </c>
      <c r="G42" s="472" t="s">
        <v>3075</v>
      </c>
      <c r="H42" s="472" t="s">
        <v>1218</v>
      </c>
      <c r="I42" s="472">
        <v>71</v>
      </c>
      <c r="J42" s="472"/>
      <c r="K42" s="472">
        <v>50</v>
      </c>
      <c r="L42" s="472"/>
      <c r="M42" s="472">
        <v>21</v>
      </c>
      <c r="N42" s="472"/>
      <c r="O42" s="472"/>
      <c r="P42" s="472" t="s">
        <v>48</v>
      </c>
      <c r="Q42" s="472" t="s">
        <v>3074</v>
      </c>
      <c r="R42" s="472" t="s">
        <v>36</v>
      </c>
      <c r="S42" s="472" t="s">
        <v>42</v>
      </c>
      <c r="T42" s="472" t="s">
        <v>49</v>
      </c>
      <c r="U42" s="472" t="s">
        <v>38</v>
      </c>
      <c r="V42" s="472">
        <f t="shared" si="1"/>
        <v>30</v>
      </c>
      <c r="W42" s="472">
        <v>30</v>
      </c>
      <c r="X42" s="472"/>
      <c r="Y42" s="472" t="s">
        <v>3054</v>
      </c>
      <c r="Z42" s="137" t="s">
        <v>1148</v>
      </c>
      <c r="AA42"/>
      <c r="AB42" s="88"/>
      <c r="AC42" s="88"/>
      <c r="AD42" s="88"/>
      <c r="AE42" s="88"/>
    </row>
    <row r="43" spans="1:31" ht="50.1" customHeight="1">
      <c r="A43" s="125">
        <v>39</v>
      </c>
      <c r="B43" s="125" t="s">
        <v>874</v>
      </c>
      <c r="C43" s="125" t="s">
        <v>3053</v>
      </c>
      <c r="D43" s="472" t="s">
        <v>3073</v>
      </c>
      <c r="E43" s="472" t="s">
        <v>3072</v>
      </c>
      <c r="F43" s="480" t="s">
        <v>3071</v>
      </c>
      <c r="G43" s="472" t="s">
        <v>3070</v>
      </c>
      <c r="H43" s="472" t="s">
        <v>291</v>
      </c>
      <c r="I43" s="472">
        <v>900</v>
      </c>
      <c r="J43" s="472">
        <v>58.8</v>
      </c>
      <c r="K43" s="472">
        <v>29.4</v>
      </c>
      <c r="L43" s="472">
        <v>811.8</v>
      </c>
      <c r="M43" s="472"/>
      <c r="N43" s="472" t="s">
        <v>3069</v>
      </c>
      <c r="O43" s="472" t="s">
        <v>3068</v>
      </c>
      <c r="P43" s="472" t="s">
        <v>98</v>
      </c>
      <c r="Q43" s="472" t="s">
        <v>3067</v>
      </c>
      <c r="R43" s="472" t="s">
        <v>3066</v>
      </c>
      <c r="S43" s="472" t="s">
        <v>36</v>
      </c>
      <c r="T43" s="472" t="s">
        <v>42</v>
      </c>
      <c r="U43" s="472" t="s">
        <v>38</v>
      </c>
      <c r="V43" s="472">
        <f t="shared" si="1"/>
        <v>230</v>
      </c>
      <c r="W43" s="472">
        <v>229</v>
      </c>
      <c r="X43" s="472">
        <v>1</v>
      </c>
      <c r="Y43" s="472" t="s">
        <v>3065</v>
      </c>
      <c r="Z43" s="137" t="s">
        <v>1148</v>
      </c>
    </row>
    <row r="44" spans="1:31" ht="50.1" customHeight="1">
      <c r="A44" s="125">
        <v>40</v>
      </c>
      <c r="B44" s="125" t="s">
        <v>874</v>
      </c>
      <c r="C44" s="125" t="s">
        <v>3053</v>
      </c>
      <c r="D44" s="472" t="s">
        <v>3064</v>
      </c>
      <c r="E44" s="472" t="s">
        <v>1427</v>
      </c>
      <c r="F44" s="480" t="s">
        <v>3063</v>
      </c>
      <c r="G44" s="472" t="s">
        <v>3062</v>
      </c>
      <c r="H44" s="472" t="s">
        <v>3061</v>
      </c>
      <c r="I44" s="472">
        <v>71</v>
      </c>
      <c r="J44" s="472"/>
      <c r="K44" s="472">
        <v>50</v>
      </c>
      <c r="L44" s="472"/>
      <c r="M44" s="472">
        <v>21</v>
      </c>
      <c r="N44" s="472"/>
      <c r="O44" s="472"/>
      <c r="P44" s="472" t="s">
        <v>48</v>
      </c>
      <c r="Q44" s="472" t="s">
        <v>3060</v>
      </c>
      <c r="R44" s="472" t="s">
        <v>3059</v>
      </c>
      <c r="S44" s="472" t="s">
        <v>42</v>
      </c>
      <c r="T44" s="472" t="s">
        <v>49</v>
      </c>
      <c r="U44" s="472" t="s">
        <v>38</v>
      </c>
      <c r="V44" s="472">
        <f t="shared" si="1"/>
        <v>15</v>
      </c>
      <c r="W44" s="472">
        <v>15</v>
      </c>
      <c r="X44" s="472"/>
      <c r="Y44" s="472" t="s">
        <v>3054</v>
      </c>
      <c r="Z44" s="137" t="s">
        <v>1148</v>
      </c>
    </row>
    <row r="45" spans="1:31" ht="50.1" customHeight="1">
      <c r="A45" s="125">
        <v>41</v>
      </c>
      <c r="B45" s="125" t="s">
        <v>874</v>
      </c>
      <c r="C45" s="125" t="s">
        <v>3053</v>
      </c>
      <c r="D45" s="472" t="s">
        <v>3058</v>
      </c>
      <c r="E45" s="472" t="s">
        <v>1427</v>
      </c>
      <c r="F45" s="480" t="s">
        <v>3057</v>
      </c>
      <c r="G45" s="472" t="s">
        <v>3056</v>
      </c>
      <c r="H45" s="472" t="s">
        <v>581</v>
      </c>
      <c r="I45" s="472">
        <v>71</v>
      </c>
      <c r="J45" s="472"/>
      <c r="K45" s="472">
        <v>50</v>
      </c>
      <c r="L45" s="472"/>
      <c r="M45" s="472">
        <v>21</v>
      </c>
      <c r="N45" s="472"/>
      <c r="O45" s="472"/>
      <c r="P45" s="472" t="s">
        <v>5</v>
      </c>
      <c r="Q45" s="472" t="s">
        <v>3055</v>
      </c>
      <c r="R45" s="472" t="s">
        <v>36</v>
      </c>
      <c r="S45" s="472" t="s">
        <v>42</v>
      </c>
      <c r="T45" s="472" t="s">
        <v>49</v>
      </c>
      <c r="U45" s="472" t="s">
        <v>38</v>
      </c>
      <c r="V45" s="472">
        <f t="shared" si="1"/>
        <v>15</v>
      </c>
      <c r="W45" s="472">
        <v>15</v>
      </c>
      <c r="X45" s="472"/>
      <c r="Y45" s="472" t="s">
        <v>3054</v>
      </c>
      <c r="Z45" s="137" t="s">
        <v>1148</v>
      </c>
    </row>
    <row r="46" spans="1:31" s="255" customFormat="1" ht="50.1" customHeight="1">
      <c r="A46" s="125">
        <v>42</v>
      </c>
      <c r="B46" s="125" t="s">
        <v>874</v>
      </c>
      <c r="C46" s="125" t="s">
        <v>3053</v>
      </c>
      <c r="D46" s="472" t="s">
        <v>3052</v>
      </c>
      <c r="E46" s="472" t="s">
        <v>3051</v>
      </c>
      <c r="F46" s="480" t="s">
        <v>3050</v>
      </c>
      <c r="G46" s="472" t="s">
        <v>3049</v>
      </c>
      <c r="H46" s="472" t="s">
        <v>1508</v>
      </c>
      <c r="I46" s="472">
        <v>100</v>
      </c>
      <c r="J46" s="472"/>
      <c r="K46" s="472">
        <v>35.6</v>
      </c>
      <c r="L46" s="472">
        <v>64.400000000000006</v>
      </c>
      <c r="M46" s="472"/>
      <c r="N46" s="472"/>
      <c r="O46" s="472"/>
      <c r="P46" s="472" t="s">
        <v>5</v>
      </c>
      <c r="Q46" s="472" t="s">
        <v>2753</v>
      </c>
      <c r="R46" s="472" t="s">
        <v>36</v>
      </c>
      <c r="S46" s="472" t="s">
        <v>42</v>
      </c>
      <c r="T46" s="472" t="s">
        <v>49</v>
      </c>
      <c r="U46" s="472" t="s">
        <v>38</v>
      </c>
      <c r="V46" s="472">
        <f t="shared" si="1"/>
        <v>205</v>
      </c>
      <c r="W46" s="472">
        <v>204.55</v>
      </c>
      <c r="X46" s="472">
        <v>0.45</v>
      </c>
      <c r="Y46" s="472" t="s">
        <v>3048</v>
      </c>
      <c r="Z46" s="137" t="s">
        <v>1148</v>
      </c>
    </row>
    <row r="47" spans="1:31" ht="67.5">
      <c r="A47" s="125">
        <v>43</v>
      </c>
      <c r="B47" s="125" t="s">
        <v>874</v>
      </c>
      <c r="C47" s="125" t="s">
        <v>3019</v>
      </c>
      <c r="D47" s="472" t="s">
        <v>3047</v>
      </c>
      <c r="E47" s="472" t="s">
        <v>3046</v>
      </c>
      <c r="F47" s="480" t="s">
        <v>3045</v>
      </c>
      <c r="G47" s="472" t="s">
        <v>3044</v>
      </c>
      <c r="H47" s="472" t="s">
        <v>522</v>
      </c>
      <c r="I47" s="472">
        <f>SUM(J47:M47)</f>
        <v>1035.5999999999999</v>
      </c>
      <c r="J47" s="472"/>
      <c r="K47" s="472">
        <v>35.6</v>
      </c>
      <c r="L47" s="472">
        <v>1000</v>
      </c>
      <c r="M47" s="472"/>
      <c r="N47" s="472"/>
      <c r="O47" s="472"/>
      <c r="P47" s="472" t="s">
        <v>6</v>
      </c>
      <c r="Q47" s="472" t="s">
        <v>421</v>
      </c>
      <c r="R47" s="472" t="s">
        <v>36</v>
      </c>
      <c r="S47" s="472" t="s">
        <v>42</v>
      </c>
      <c r="T47" s="472" t="s">
        <v>49</v>
      </c>
      <c r="U47" s="472" t="s">
        <v>53</v>
      </c>
      <c r="V47" s="472">
        <f t="shared" si="1"/>
        <v>600</v>
      </c>
      <c r="W47" s="472">
        <v>595</v>
      </c>
      <c r="X47" s="472">
        <v>5</v>
      </c>
      <c r="Y47" s="472" t="s">
        <v>3043</v>
      </c>
      <c r="Z47" s="137" t="s">
        <v>1148</v>
      </c>
      <c r="AA47"/>
      <c r="AB47" s="88"/>
      <c r="AC47" s="88"/>
      <c r="AD47" s="88"/>
      <c r="AE47" s="88"/>
    </row>
    <row r="48" spans="1:31" s="1" customFormat="1" ht="50.1" customHeight="1">
      <c r="A48" s="126">
        <v>44</v>
      </c>
      <c r="B48" s="126" t="s">
        <v>874</v>
      </c>
      <c r="C48" s="126" t="s">
        <v>3019</v>
      </c>
      <c r="D48" s="473" t="s">
        <v>3042</v>
      </c>
      <c r="E48" s="473" t="s">
        <v>1224</v>
      </c>
      <c r="F48" s="476" t="s">
        <v>3041</v>
      </c>
      <c r="G48" s="473" t="s">
        <v>3040</v>
      </c>
      <c r="H48" s="473" t="s">
        <v>3039</v>
      </c>
      <c r="I48" s="473">
        <f>SUM(J48:M48)</f>
        <v>80</v>
      </c>
      <c r="J48" s="473"/>
      <c r="K48" s="473"/>
      <c r="L48" s="473">
        <v>80</v>
      </c>
      <c r="M48" s="473"/>
      <c r="N48" s="473"/>
      <c r="O48" s="473"/>
      <c r="P48" s="473" t="s">
        <v>41</v>
      </c>
      <c r="Q48" s="473" t="s">
        <v>3038</v>
      </c>
      <c r="R48" s="473" t="s">
        <v>36</v>
      </c>
      <c r="S48" s="473" t="s">
        <v>42</v>
      </c>
      <c r="T48" s="473" t="s">
        <v>49</v>
      </c>
      <c r="U48" s="473" t="s">
        <v>53</v>
      </c>
      <c r="V48" s="473">
        <f t="shared" si="1"/>
        <v>42</v>
      </c>
      <c r="W48" s="473">
        <v>42</v>
      </c>
      <c r="X48" s="473"/>
      <c r="Y48" s="473" t="s">
        <v>3037</v>
      </c>
      <c r="Z48" s="137" t="s">
        <v>1148</v>
      </c>
      <c r="AA48"/>
      <c r="AB48" s="88"/>
      <c r="AC48" s="88"/>
      <c r="AD48" s="88"/>
      <c r="AE48" s="88"/>
    </row>
    <row r="49" spans="1:31" s="1" customFormat="1" ht="50.1" customHeight="1">
      <c r="A49" s="126">
        <v>45</v>
      </c>
      <c r="B49" s="126" t="s">
        <v>946</v>
      </c>
      <c r="C49" s="126" t="s">
        <v>3019</v>
      </c>
      <c r="D49" s="473" t="s">
        <v>3036</v>
      </c>
      <c r="E49" s="473" t="s">
        <v>1219</v>
      </c>
      <c r="F49" s="476" t="s">
        <v>3035</v>
      </c>
      <c r="G49" s="473" t="s">
        <v>3034</v>
      </c>
      <c r="H49" s="473" t="s">
        <v>499</v>
      </c>
      <c r="I49" s="473">
        <f>SUM(J49:M49)</f>
        <v>80</v>
      </c>
      <c r="J49" s="473"/>
      <c r="K49" s="473"/>
      <c r="L49" s="473">
        <v>80</v>
      </c>
      <c r="M49" s="473"/>
      <c r="N49" s="473"/>
      <c r="O49" s="473"/>
      <c r="P49" s="473" t="s">
        <v>3024</v>
      </c>
      <c r="Q49" s="473" t="s">
        <v>3033</v>
      </c>
      <c r="R49" s="473" t="s">
        <v>36</v>
      </c>
      <c r="S49" s="473" t="s">
        <v>42</v>
      </c>
      <c r="T49" s="473" t="s">
        <v>49</v>
      </c>
      <c r="U49" s="473" t="s">
        <v>53</v>
      </c>
      <c r="V49" s="473">
        <f t="shared" si="1"/>
        <v>50</v>
      </c>
      <c r="W49" s="473">
        <v>50</v>
      </c>
      <c r="X49" s="473"/>
      <c r="Y49" s="473" t="s">
        <v>3032</v>
      </c>
      <c r="Z49" s="137" t="s">
        <v>1148</v>
      </c>
      <c r="AA49"/>
      <c r="AB49" s="88"/>
      <c r="AC49" s="88"/>
      <c r="AD49" s="88"/>
      <c r="AE49" s="88"/>
    </row>
    <row r="50" spans="1:31" s="1" customFormat="1" ht="50.1" customHeight="1">
      <c r="A50" s="126">
        <v>46</v>
      </c>
      <c r="B50" s="126" t="s">
        <v>3031</v>
      </c>
      <c r="C50" s="126" t="s">
        <v>3030</v>
      </c>
      <c r="D50" s="473" t="s">
        <v>3029</v>
      </c>
      <c r="E50" s="473" t="s">
        <v>3028</v>
      </c>
      <c r="F50" s="476" t="s">
        <v>3027</v>
      </c>
      <c r="G50" s="473" t="s">
        <v>3026</v>
      </c>
      <c r="H50" s="473" t="s">
        <v>3025</v>
      </c>
      <c r="I50" s="473">
        <f>SUM(J50:M50)</f>
        <v>975.6</v>
      </c>
      <c r="J50" s="473"/>
      <c r="K50" s="473">
        <v>35.6</v>
      </c>
      <c r="L50" s="473">
        <v>890</v>
      </c>
      <c r="M50" s="473">
        <v>50</v>
      </c>
      <c r="N50" s="473"/>
      <c r="O50" s="473"/>
      <c r="P50" s="473" t="s">
        <v>3024</v>
      </c>
      <c r="Q50" s="473" t="s">
        <v>3023</v>
      </c>
      <c r="R50" s="473" t="s">
        <v>3022</v>
      </c>
      <c r="S50" s="473" t="s">
        <v>42</v>
      </c>
      <c r="T50" s="473" t="s">
        <v>3021</v>
      </c>
      <c r="U50" s="473" t="s">
        <v>53</v>
      </c>
      <c r="V50" s="473">
        <f t="shared" si="1"/>
        <v>0</v>
      </c>
      <c r="W50" s="473" t="s">
        <v>486</v>
      </c>
      <c r="X50" s="473" t="s">
        <v>486</v>
      </c>
      <c r="Y50" s="473" t="s">
        <v>3020</v>
      </c>
      <c r="Z50" s="137" t="s">
        <v>6109</v>
      </c>
      <c r="AB50" s="89"/>
      <c r="AC50" s="89"/>
      <c r="AD50" s="89"/>
      <c r="AE50" s="89"/>
    </row>
    <row r="51" spans="1:31" s="171" customFormat="1" ht="54">
      <c r="A51" s="126">
        <v>47</v>
      </c>
      <c r="B51" s="126" t="s">
        <v>874</v>
      </c>
      <c r="C51" s="126" t="s">
        <v>3019</v>
      </c>
      <c r="D51" s="473" t="s">
        <v>3018</v>
      </c>
      <c r="E51" s="473" t="s">
        <v>1410</v>
      </c>
      <c r="F51" s="476" t="s">
        <v>3017</v>
      </c>
      <c r="G51" s="473" t="s">
        <v>3016</v>
      </c>
      <c r="H51" s="473" t="s">
        <v>3015</v>
      </c>
      <c r="I51" s="473">
        <f>SUM(J51:M51)</f>
        <v>90</v>
      </c>
      <c r="J51" s="473"/>
      <c r="K51" s="473"/>
      <c r="L51" s="473">
        <v>80</v>
      </c>
      <c r="M51" s="473">
        <v>10</v>
      </c>
      <c r="N51" s="473"/>
      <c r="O51" s="473"/>
      <c r="P51" s="473" t="s">
        <v>6</v>
      </c>
      <c r="Q51" s="473" t="s">
        <v>1476</v>
      </c>
      <c r="R51" s="473" t="s">
        <v>36</v>
      </c>
      <c r="S51" s="473" t="s">
        <v>42</v>
      </c>
      <c r="T51" s="473" t="s">
        <v>49</v>
      </c>
      <c r="U51" s="473" t="s">
        <v>53</v>
      </c>
      <c r="V51" s="473">
        <f t="shared" si="1"/>
        <v>30</v>
      </c>
      <c r="W51" s="473">
        <v>30</v>
      </c>
      <c r="X51" s="473"/>
      <c r="Y51" s="473" t="s">
        <v>3014</v>
      </c>
      <c r="Z51" s="137" t="s">
        <v>1148</v>
      </c>
    </row>
    <row r="52" spans="1:31" ht="50.1" customHeight="1">
      <c r="A52" s="125">
        <v>48</v>
      </c>
      <c r="B52" s="125" t="s">
        <v>946</v>
      </c>
      <c r="C52" s="125" t="s">
        <v>3013</v>
      </c>
      <c r="D52" s="472" t="s">
        <v>3012</v>
      </c>
      <c r="E52" s="472" t="s">
        <v>3011</v>
      </c>
      <c r="F52" s="480" t="s">
        <v>3010</v>
      </c>
      <c r="G52" s="472" t="s">
        <v>3009</v>
      </c>
      <c r="H52" s="472" t="s">
        <v>179</v>
      </c>
      <c r="I52" s="472">
        <v>155</v>
      </c>
      <c r="J52" s="472">
        <v>28</v>
      </c>
      <c r="K52" s="472">
        <v>56</v>
      </c>
      <c r="L52" s="472">
        <v>38</v>
      </c>
      <c r="M52" s="472">
        <v>33</v>
      </c>
      <c r="N52" s="472" t="s">
        <v>35</v>
      </c>
      <c r="O52" s="472" t="s">
        <v>3008</v>
      </c>
      <c r="P52" s="472" t="s">
        <v>67</v>
      </c>
      <c r="Q52" s="472" t="s">
        <v>3007</v>
      </c>
      <c r="R52" s="472" t="s">
        <v>3006</v>
      </c>
      <c r="S52" s="472" t="s">
        <v>3005</v>
      </c>
      <c r="T52" s="472" t="s">
        <v>49</v>
      </c>
      <c r="U52" s="472" t="s">
        <v>38</v>
      </c>
      <c r="V52" s="472">
        <f t="shared" si="1"/>
        <v>0</v>
      </c>
      <c r="W52" s="472"/>
      <c r="X52" s="472"/>
      <c r="Y52" s="472" t="s">
        <v>3004</v>
      </c>
      <c r="Z52" s="137" t="s">
        <v>1148</v>
      </c>
      <c r="AA52"/>
      <c r="AB52" s="88"/>
      <c r="AC52" s="88"/>
      <c r="AD52" s="88"/>
      <c r="AE52" s="88"/>
    </row>
    <row r="53" spans="1:31" ht="54">
      <c r="A53" s="125">
        <v>49</v>
      </c>
      <c r="B53" s="125" t="s">
        <v>946</v>
      </c>
      <c r="C53" s="125" t="s">
        <v>2967</v>
      </c>
      <c r="D53" s="472" t="s">
        <v>3003</v>
      </c>
      <c r="E53" s="472" t="s">
        <v>908</v>
      </c>
      <c r="F53" s="480" t="s">
        <v>3002</v>
      </c>
      <c r="G53" s="472" t="s">
        <v>3001</v>
      </c>
      <c r="H53" s="472" t="s">
        <v>3000</v>
      </c>
      <c r="I53" s="472">
        <v>30</v>
      </c>
      <c r="J53" s="125"/>
      <c r="K53" s="125"/>
      <c r="L53" s="125">
        <v>30</v>
      </c>
      <c r="M53" s="125"/>
      <c r="N53" s="125"/>
      <c r="O53" s="125"/>
      <c r="P53" s="125" t="s">
        <v>5</v>
      </c>
      <c r="Q53" s="125" t="s">
        <v>2999</v>
      </c>
      <c r="R53" s="472" t="s">
        <v>36</v>
      </c>
      <c r="S53" s="472" t="s">
        <v>42</v>
      </c>
      <c r="T53" s="125" t="s">
        <v>49</v>
      </c>
      <c r="U53" s="472"/>
      <c r="V53" s="472">
        <f t="shared" si="1"/>
        <v>3</v>
      </c>
      <c r="W53" s="472">
        <v>3</v>
      </c>
      <c r="X53" s="472"/>
      <c r="Y53" s="472" t="s">
        <v>99</v>
      </c>
      <c r="Z53" s="137" t="s">
        <v>1148</v>
      </c>
      <c r="AA53"/>
      <c r="AB53" s="88"/>
      <c r="AC53" s="88"/>
      <c r="AD53" s="88"/>
      <c r="AE53" s="88"/>
    </row>
    <row r="54" spans="1:31" ht="67.5">
      <c r="A54" s="125">
        <v>50</v>
      </c>
      <c r="B54" s="125" t="s">
        <v>946</v>
      </c>
      <c r="C54" s="125" t="s">
        <v>2967</v>
      </c>
      <c r="D54" s="472" t="s">
        <v>2998</v>
      </c>
      <c r="E54" s="472" t="s">
        <v>908</v>
      </c>
      <c r="F54" s="480" t="s">
        <v>2997</v>
      </c>
      <c r="G54" s="472" t="s">
        <v>960</v>
      </c>
      <c r="H54" s="472" t="s">
        <v>2996</v>
      </c>
      <c r="I54" s="472">
        <v>72</v>
      </c>
      <c r="J54" s="472"/>
      <c r="K54" s="472">
        <v>11</v>
      </c>
      <c r="L54" s="472">
        <v>36</v>
      </c>
      <c r="M54" s="472">
        <v>25</v>
      </c>
      <c r="N54" s="472"/>
      <c r="O54" s="472"/>
      <c r="P54" s="472" t="s">
        <v>41</v>
      </c>
      <c r="Q54" s="472" t="s">
        <v>2992</v>
      </c>
      <c r="R54" s="472" t="s">
        <v>36</v>
      </c>
      <c r="S54" s="472" t="s">
        <v>83</v>
      </c>
      <c r="T54" s="472" t="s">
        <v>49</v>
      </c>
      <c r="U54" s="472" t="s">
        <v>37</v>
      </c>
      <c r="V54" s="472">
        <f t="shared" si="1"/>
        <v>10</v>
      </c>
      <c r="W54" s="472">
        <v>10</v>
      </c>
      <c r="X54" s="472"/>
      <c r="Y54" s="472" t="s">
        <v>59</v>
      </c>
      <c r="Z54" s="137" t="s">
        <v>1148</v>
      </c>
      <c r="AA54"/>
      <c r="AB54" s="88"/>
      <c r="AC54" s="88"/>
      <c r="AD54" s="88"/>
      <c r="AE54" s="88"/>
    </row>
    <row r="55" spans="1:31" ht="54">
      <c r="A55" s="125">
        <v>51</v>
      </c>
      <c r="B55" s="125" t="s">
        <v>946</v>
      </c>
      <c r="C55" s="125" t="s">
        <v>2967</v>
      </c>
      <c r="D55" s="488" t="s">
        <v>2995</v>
      </c>
      <c r="E55" s="487" t="s">
        <v>1215</v>
      </c>
      <c r="F55" s="480" t="s">
        <v>2994</v>
      </c>
      <c r="G55" s="472" t="s">
        <v>6173</v>
      </c>
      <c r="H55" s="472" t="s">
        <v>2993</v>
      </c>
      <c r="I55" s="155">
        <v>62</v>
      </c>
      <c r="J55" s="155"/>
      <c r="K55" s="155">
        <v>11</v>
      </c>
      <c r="L55" s="155">
        <v>31</v>
      </c>
      <c r="M55" s="155">
        <v>20</v>
      </c>
      <c r="N55" s="472"/>
      <c r="O55" s="472"/>
      <c r="P55" s="472" t="s">
        <v>41</v>
      </c>
      <c r="Q55" s="472" t="s">
        <v>2992</v>
      </c>
      <c r="R55" s="472" t="s">
        <v>36</v>
      </c>
      <c r="S55" s="472" t="s">
        <v>83</v>
      </c>
      <c r="T55" s="472" t="s">
        <v>49</v>
      </c>
      <c r="U55" s="472" t="s">
        <v>37</v>
      </c>
      <c r="V55" s="303">
        <f t="shared" si="1"/>
        <v>8</v>
      </c>
      <c r="W55" s="472">
        <v>8</v>
      </c>
      <c r="X55" s="472"/>
      <c r="Y55" s="472" t="s">
        <v>59</v>
      </c>
      <c r="Z55" s="137" t="s">
        <v>1148</v>
      </c>
      <c r="AA55"/>
      <c r="AB55" s="88"/>
      <c r="AC55" s="88"/>
      <c r="AD55" s="88"/>
      <c r="AE55" s="88"/>
    </row>
    <row r="56" spans="1:31" ht="54">
      <c r="A56" s="125">
        <v>52</v>
      </c>
      <c r="B56" s="125" t="s">
        <v>946</v>
      </c>
      <c r="C56" s="125" t="s">
        <v>2967</v>
      </c>
      <c r="D56" s="472" t="s">
        <v>2991</v>
      </c>
      <c r="E56" s="472" t="s">
        <v>908</v>
      </c>
      <c r="F56" s="480" t="s">
        <v>2990</v>
      </c>
      <c r="G56" s="472" t="s">
        <v>2989</v>
      </c>
      <c r="H56" s="472" t="s">
        <v>2988</v>
      </c>
      <c r="I56" s="155">
        <v>579</v>
      </c>
      <c r="J56" s="155"/>
      <c r="K56" s="155">
        <v>100</v>
      </c>
      <c r="L56" s="155">
        <v>479</v>
      </c>
      <c r="M56" s="155"/>
      <c r="N56" s="472"/>
      <c r="O56" s="472"/>
      <c r="P56" s="472" t="s">
        <v>52</v>
      </c>
      <c r="Q56" s="472" t="s">
        <v>2987</v>
      </c>
      <c r="R56" s="472" t="s">
        <v>36</v>
      </c>
      <c r="S56" s="472" t="s">
        <v>83</v>
      </c>
      <c r="T56" s="472" t="s">
        <v>49</v>
      </c>
      <c r="U56" s="472"/>
      <c r="V56" s="472">
        <f t="shared" si="1"/>
        <v>50</v>
      </c>
      <c r="W56" s="472">
        <v>50</v>
      </c>
      <c r="X56" s="472"/>
      <c r="Y56" s="472" t="s">
        <v>240</v>
      </c>
      <c r="Z56" s="137" t="s">
        <v>1148</v>
      </c>
      <c r="AA56"/>
      <c r="AB56" s="88"/>
      <c r="AC56" s="88"/>
      <c r="AD56" s="88"/>
      <c r="AE56" s="88"/>
    </row>
    <row r="57" spans="1:31" ht="50.1" customHeight="1">
      <c r="A57" s="125">
        <v>53</v>
      </c>
      <c r="B57" s="125" t="s">
        <v>946</v>
      </c>
      <c r="C57" s="125" t="s">
        <v>2967</v>
      </c>
      <c r="D57" s="472" t="s">
        <v>2986</v>
      </c>
      <c r="E57" s="472" t="s">
        <v>908</v>
      </c>
      <c r="F57" s="480" t="s">
        <v>2985</v>
      </c>
      <c r="G57" s="472" t="s">
        <v>2984</v>
      </c>
      <c r="H57" s="472" t="s">
        <v>414</v>
      </c>
      <c r="I57" s="472">
        <v>30</v>
      </c>
      <c r="J57" s="472"/>
      <c r="K57" s="472"/>
      <c r="L57" s="472">
        <v>30</v>
      </c>
      <c r="M57" s="472"/>
      <c r="N57" s="472"/>
      <c r="O57" s="472"/>
      <c r="P57" s="472" t="s">
        <v>48</v>
      </c>
      <c r="Q57" s="472" t="s">
        <v>130</v>
      </c>
      <c r="R57" s="472" t="s">
        <v>36</v>
      </c>
      <c r="S57" s="472" t="s">
        <v>83</v>
      </c>
      <c r="T57" s="472" t="s">
        <v>49</v>
      </c>
      <c r="U57" s="472"/>
      <c r="V57" s="472">
        <f t="shared" si="1"/>
        <v>0.5</v>
      </c>
      <c r="W57" s="472">
        <v>0.5</v>
      </c>
      <c r="X57" s="472"/>
      <c r="Y57" s="472" t="s">
        <v>99</v>
      </c>
      <c r="Z57" s="137" t="s">
        <v>1148</v>
      </c>
      <c r="AA57"/>
      <c r="AB57" s="88"/>
      <c r="AC57" s="88"/>
      <c r="AD57" s="88"/>
      <c r="AE57" s="88"/>
    </row>
    <row r="58" spans="1:31" ht="50.1" customHeight="1">
      <c r="A58" s="125">
        <v>54</v>
      </c>
      <c r="B58" s="125" t="s">
        <v>946</v>
      </c>
      <c r="C58" s="125" t="s">
        <v>2967</v>
      </c>
      <c r="D58" s="125" t="s">
        <v>2983</v>
      </c>
      <c r="E58" s="125" t="s">
        <v>2982</v>
      </c>
      <c r="F58" s="480" t="s">
        <v>2981</v>
      </c>
      <c r="G58" s="472" t="s">
        <v>2980</v>
      </c>
      <c r="H58" s="472" t="s">
        <v>1361</v>
      </c>
      <c r="I58" s="125">
        <v>15</v>
      </c>
      <c r="J58" s="125"/>
      <c r="K58" s="125"/>
      <c r="L58" s="125"/>
      <c r="M58" s="125">
        <v>15</v>
      </c>
      <c r="N58" s="125"/>
      <c r="O58" s="125"/>
      <c r="P58" s="125" t="s">
        <v>48</v>
      </c>
      <c r="Q58" s="125" t="s">
        <v>2979</v>
      </c>
      <c r="R58" s="125" t="s">
        <v>36</v>
      </c>
      <c r="S58" s="472" t="s">
        <v>246</v>
      </c>
      <c r="T58" s="472" t="s">
        <v>49</v>
      </c>
      <c r="U58" s="125"/>
      <c r="V58" s="125">
        <f t="shared" si="1"/>
        <v>0.5</v>
      </c>
      <c r="W58" s="125">
        <v>0.5</v>
      </c>
      <c r="X58" s="125"/>
      <c r="Y58" s="125" t="s">
        <v>234</v>
      </c>
      <c r="Z58" s="137" t="s">
        <v>1148</v>
      </c>
      <c r="AA58"/>
      <c r="AB58" s="88"/>
      <c r="AC58" s="88"/>
      <c r="AD58" s="88"/>
      <c r="AE58" s="88"/>
    </row>
    <row r="59" spans="1:31" ht="50.1" customHeight="1">
      <c r="A59" s="125">
        <v>55</v>
      </c>
      <c r="B59" s="125" t="s">
        <v>946</v>
      </c>
      <c r="C59" s="125" t="s">
        <v>2967</v>
      </c>
      <c r="D59" s="472" t="s">
        <v>2978</v>
      </c>
      <c r="E59" s="472" t="s">
        <v>2977</v>
      </c>
      <c r="F59" s="476" t="s">
        <v>2976</v>
      </c>
      <c r="G59" s="472" t="s">
        <v>2975</v>
      </c>
      <c r="H59" s="472" t="s">
        <v>2974</v>
      </c>
      <c r="I59" s="472">
        <v>95</v>
      </c>
      <c r="J59" s="472"/>
      <c r="K59" s="472"/>
      <c r="L59" s="472">
        <v>95</v>
      </c>
      <c r="M59" s="472"/>
      <c r="N59" s="472"/>
      <c r="O59" s="472"/>
      <c r="P59" s="472" t="s">
        <v>48</v>
      </c>
      <c r="Q59" s="472" t="s">
        <v>2973</v>
      </c>
      <c r="R59" s="472" t="s">
        <v>36</v>
      </c>
      <c r="S59" s="472" t="s">
        <v>83</v>
      </c>
      <c r="T59" s="472" t="s">
        <v>49</v>
      </c>
      <c r="U59" s="472"/>
      <c r="V59" s="472">
        <f t="shared" si="1"/>
        <v>10</v>
      </c>
      <c r="W59" s="472">
        <v>10</v>
      </c>
      <c r="X59" s="472"/>
      <c r="Y59" s="472" t="s">
        <v>234</v>
      </c>
      <c r="Z59" s="137" t="s">
        <v>1148</v>
      </c>
      <c r="AA59"/>
      <c r="AB59" s="88"/>
      <c r="AC59" s="88"/>
      <c r="AD59" s="88"/>
      <c r="AE59" s="88"/>
    </row>
    <row r="60" spans="1:31" ht="54" hidden="1" customHeight="1">
      <c r="A60" s="125">
        <v>56</v>
      </c>
      <c r="B60" s="125" t="s">
        <v>946</v>
      </c>
      <c r="C60" s="125" t="s">
        <v>2967</v>
      </c>
      <c r="D60" s="472" t="s">
        <v>2972</v>
      </c>
      <c r="E60" s="472" t="s">
        <v>2877</v>
      </c>
      <c r="F60" s="480" t="s">
        <v>2971</v>
      </c>
      <c r="G60" s="472" t="s">
        <v>2970</v>
      </c>
      <c r="H60" s="472" t="s">
        <v>2969</v>
      </c>
      <c r="I60" s="472">
        <v>75</v>
      </c>
      <c r="J60" s="472"/>
      <c r="K60" s="472"/>
      <c r="L60" s="472">
        <v>20</v>
      </c>
      <c r="M60" s="472">
        <v>55</v>
      </c>
      <c r="N60" s="472"/>
      <c r="O60" s="472"/>
      <c r="P60" s="472" t="s">
        <v>5</v>
      </c>
      <c r="Q60" s="472" t="s">
        <v>2968</v>
      </c>
      <c r="R60" s="472" t="s">
        <v>36</v>
      </c>
      <c r="S60" s="472" t="s">
        <v>42</v>
      </c>
      <c r="T60" s="472" t="s">
        <v>49</v>
      </c>
      <c r="U60" s="472"/>
      <c r="V60" s="472">
        <f t="shared" si="1"/>
        <v>60</v>
      </c>
      <c r="W60" s="472">
        <v>60</v>
      </c>
      <c r="X60" s="472"/>
      <c r="Y60" s="472" t="s">
        <v>59</v>
      </c>
      <c r="Z60" s="137" t="s">
        <v>1145</v>
      </c>
    </row>
    <row r="61" spans="1:31" s="1" customFormat="1" ht="54">
      <c r="A61" s="126">
        <v>57</v>
      </c>
      <c r="B61" s="126" t="s">
        <v>946</v>
      </c>
      <c r="C61" s="126" t="s">
        <v>2967</v>
      </c>
      <c r="D61" s="473" t="s">
        <v>2966</v>
      </c>
      <c r="E61" s="472" t="s">
        <v>1217</v>
      </c>
      <c r="F61" s="476" t="s">
        <v>2965</v>
      </c>
      <c r="G61" s="473" t="s">
        <v>2964</v>
      </c>
      <c r="H61" s="473" t="s">
        <v>2963</v>
      </c>
      <c r="I61" s="473">
        <v>158</v>
      </c>
      <c r="J61" s="473"/>
      <c r="K61" s="473"/>
      <c r="L61" s="473">
        <v>150</v>
      </c>
      <c r="M61" s="473">
        <v>8</v>
      </c>
      <c r="N61" s="473"/>
      <c r="O61" s="473"/>
      <c r="P61" s="473" t="s">
        <v>52</v>
      </c>
      <c r="Q61" s="473" t="s">
        <v>239</v>
      </c>
      <c r="R61" s="473" t="s">
        <v>36</v>
      </c>
      <c r="S61" s="473" t="s">
        <v>42</v>
      </c>
      <c r="T61" s="473" t="s">
        <v>49</v>
      </c>
      <c r="U61" s="473"/>
      <c r="V61" s="473">
        <f t="shared" si="1"/>
        <v>5</v>
      </c>
      <c r="W61" s="473">
        <v>5</v>
      </c>
      <c r="X61" s="473"/>
      <c r="Y61" s="473" t="s">
        <v>220</v>
      </c>
      <c r="Z61" s="137" t="s">
        <v>1148</v>
      </c>
      <c r="AA61"/>
      <c r="AB61" s="88"/>
      <c r="AC61" s="88"/>
      <c r="AD61" s="88"/>
      <c r="AE61" s="88"/>
    </row>
    <row r="62" spans="1:31" ht="81">
      <c r="A62" s="125">
        <v>58</v>
      </c>
      <c r="B62" s="125" t="s">
        <v>946</v>
      </c>
      <c r="C62" s="125" t="s">
        <v>2949</v>
      </c>
      <c r="D62" s="472" t="s">
        <v>2962</v>
      </c>
      <c r="E62" s="472" t="s">
        <v>1449</v>
      </c>
      <c r="F62" s="480" t="s">
        <v>2961</v>
      </c>
      <c r="G62" s="472" t="s">
        <v>2953</v>
      </c>
      <c r="H62" s="472" t="s">
        <v>2960</v>
      </c>
      <c r="I62" s="472">
        <f>SUM(J62:M62)</f>
        <v>2650</v>
      </c>
      <c r="J62" s="472"/>
      <c r="K62" s="472"/>
      <c r="L62" s="472">
        <v>2650</v>
      </c>
      <c r="M62" s="472"/>
      <c r="N62" s="472"/>
      <c r="O62" s="472"/>
      <c r="P62" s="472" t="s">
        <v>41</v>
      </c>
      <c r="Q62" s="472" t="s">
        <v>582</v>
      </c>
      <c r="R62" s="472" t="s">
        <v>36</v>
      </c>
      <c r="S62" s="472" t="s">
        <v>199</v>
      </c>
      <c r="T62" s="472" t="s">
        <v>2950</v>
      </c>
      <c r="U62" s="472" t="s">
        <v>37</v>
      </c>
      <c r="V62" s="472">
        <f t="shared" si="1"/>
        <v>987</v>
      </c>
      <c r="W62" s="472">
        <v>984</v>
      </c>
      <c r="X62" s="472">
        <v>3</v>
      </c>
      <c r="Y62" s="472" t="s">
        <v>1417</v>
      </c>
      <c r="Z62" s="137" t="s">
        <v>6110</v>
      </c>
    </row>
    <row r="63" spans="1:31" ht="54">
      <c r="A63" s="125">
        <v>59</v>
      </c>
      <c r="B63" s="125" t="s">
        <v>946</v>
      </c>
      <c r="C63" s="125" t="s">
        <v>2949</v>
      </c>
      <c r="D63" s="472" t="s">
        <v>2959</v>
      </c>
      <c r="E63" s="472" t="s">
        <v>1444</v>
      </c>
      <c r="F63" s="480" t="s">
        <v>2958</v>
      </c>
      <c r="G63" s="472" t="s">
        <v>2953</v>
      </c>
      <c r="H63" s="472" t="s">
        <v>2957</v>
      </c>
      <c r="I63" s="472">
        <f>SUM(J63:M63)</f>
        <v>105</v>
      </c>
      <c r="J63" s="472"/>
      <c r="K63" s="472">
        <v>35</v>
      </c>
      <c r="L63" s="472">
        <v>70</v>
      </c>
      <c r="M63" s="472"/>
      <c r="N63" s="472"/>
      <c r="O63" s="472"/>
      <c r="P63" s="472" t="s">
        <v>48</v>
      </c>
      <c r="Q63" s="472" t="s">
        <v>2956</v>
      </c>
      <c r="R63" s="472" t="s">
        <v>36</v>
      </c>
      <c r="S63" s="472" t="s">
        <v>199</v>
      </c>
      <c r="T63" s="472" t="s">
        <v>2950</v>
      </c>
      <c r="U63" s="472" t="s">
        <v>37</v>
      </c>
      <c r="V63" s="472">
        <f t="shared" si="1"/>
        <v>7</v>
      </c>
      <c r="W63" s="472">
        <v>7</v>
      </c>
      <c r="X63" s="472"/>
      <c r="Y63" s="472" t="s">
        <v>812</v>
      </c>
      <c r="Z63" s="137" t="s">
        <v>1148</v>
      </c>
      <c r="AA63"/>
      <c r="AB63" s="88"/>
      <c r="AC63" s="88"/>
      <c r="AD63" s="88"/>
      <c r="AE63" s="88"/>
    </row>
    <row r="64" spans="1:31" ht="54">
      <c r="A64" s="125">
        <v>60</v>
      </c>
      <c r="B64" s="125" t="s">
        <v>874</v>
      </c>
      <c r="C64" s="125" t="s">
        <v>2949</v>
      </c>
      <c r="D64" s="472" t="s">
        <v>2955</v>
      </c>
      <c r="E64" s="472" t="s">
        <v>908</v>
      </c>
      <c r="F64" s="480" t="s">
        <v>2954</v>
      </c>
      <c r="G64" s="472" t="s">
        <v>2953</v>
      </c>
      <c r="H64" s="472" t="s">
        <v>2952</v>
      </c>
      <c r="I64" s="472">
        <f>SUM(J64:M64)</f>
        <v>60</v>
      </c>
      <c r="J64" s="472"/>
      <c r="K64" s="472"/>
      <c r="L64" s="472">
        <v>60</v>
      </c>
      <c r="M64" s="472"/>
      <c r="N64" s="472"/>
      <c r="O64" s="472"/>
      <c r="P64" s="472" t="s">
        <v>48</v>
      </c>
      <c r="Q64" s="472" t="s">
        <v>2951</v>
      </c>
      <c r="R64" s="472" t="s">
        <v>36</v>
      </c>
      <c r="S64" s="472" t="s">
        <v>199</v>
      </c>
      <c r="T64" s="472" t="s">
        <v>2950</v>
      </c>
      <c r="U64" s="472" t="s">
        <v>37</v>
      </c>
      <c r="V64" s="472">
        <f t="shared" si="1"/>
        <v>9</v>
      </c>
      <c r="W64" s="472">
        <v>9</v>
      </c>
      <c r="X64" s="472"/>
      <c r="Y64" s="472" t="s">
        <v>64</v>
      </c>
      <c r="Z64" s="137" t="s">
        <v>1148</v>
      </c>
      <c r="AA64"/>
      <c r="AB64" s="88"/>
      <c r="AC64" s="88"/>
      <c r="AD64" s="88"/>
      <c r="AE64" s="88"/>
    </row>
    <row r="65" spans="1:31" ht="50.1" customHeight="1">
      <c r="A65" s="125">
        <v>61</v>
      </c>
      <c r="B65" s="125" t="s">
        <v>874</v>
      </c>
      <c r="C65" s="125" t="s">
        <v>2949</v>
      </c>
      <c r="D65" s="472" t="s">
        <v>2948</v>
      </c>
      <c r="E65" s="472" t="s">
        <v>908</v>
      </c>
      <c r="F65" s="480" t="s">
        <v>2947</v>
      </c>
      <c r="G65" s="472" t="s">
        <v>2946</v>
      </c>
      <c r="H65" s="472" t="s">
        <v>2945</v>
      </c>
      <c r="I65" s="472">
        <f>SUM(J65:M65)</f>
        <v>10</v>
      </c>
      <c r="J65" s="472"/>
      <c r="K65" s="472"/>
      <c r="L65" s="472">
        <v>10</v>
      </c>
      <c r="M65" s="472"/>
      <c r="N65" s="472"/>
      <c r="O65" s="472"/>
      <c r="P65" s="472" t="s">
        <v>48</v>
      </c>
      <c r="Q65" s="472" t="s">
        <v>2944</v>
      </c>
      <c r="R65" s="472" t="s">
        <v>36</v>
      </c>
      <c r="S65" s="472" t="s">
        <v>68</v>
      </c>
      <c r="T65" s="472" t="s">
        <v>49</v>
      </c>
      <c r="U65" s="472" t="s">
        <v>53</v>
      </c>
      <c r="V65" s="472">
        <f t="shared" si="1"/>
        <v>10</v>
      </c>
      <c r="W65" s="472">
        <v>10</v>
      </c>
      <c r="X65" s="472"/>
      <c r="Y65" s="472" t="s">
        <v>99</v>
      </c>
      <c r="Z65" s="137" t="s">
        <v>1148</v>
      </c>
      <c r="AA65"/>
      <c r="AB65" s="88"/>
      <c r="AC65" s="88"/>
      <c r="AD65" s="88"/>
      <c r="AE65" s="88"/>
    </row>
    <row r="66" spans="1:31" ht="54">
      <c r="A66" s="125">
        <v>62</v>
      </c>
      <c r="B66" s="125" t="s">
        <v>874</v>
      </c>
      <c r="C66" s="125" t="s">
        <v>1507</v>
      </c>
      <c r="D66" s="472" t="s">
        <v>2943</v>
      </c>
      <c r="E66" s="472" t="s">
        <v>2942</v>
      </c>
      <c r="F66" s="480" t="s">
        <v>2941</v>
      </c>
      <c r="G66" s="472" t="s">
        <v>2940</v>
      </c>
      <c r="H66" s="472" t="s">
        <v>403</v>
      </c>
      <c r="I66" s="472">
        <v>270</v>
      </c>
      <c r="J66" s="472"/>
      <c r="K66" s="472"/>
      <c r="L66" s="472"/>
      <c r="M66" s="472">
        <v>270</v>
      </c>
      <c r="N66" s="472"/>
      <c r="O66" s="472"/>
      <c r="P66" s="472" t="s">
        <v>41</v>
      </c>
      <c r="Q66" s="472" t="s">
        <v>2939</v>
      </c>
      <c r="R66" s="472" t="s">
        <v>36</v>
      </c>
      <c r="S66" s="472" t="s">
        <v>42</v>
      </c>
      <c r="T66" s="472" t="s">
        <v>49</v>
      </c>
      <c r="U66" s="472" t="s">
        <v>38</v>
      </c>
      <c r="V66" s="472">
        <f t="shared" si="1"/>
        <v>150</v>
      </c>
      <c r="W66" s="472">
        <v>150</v>
      </c>
      <c r="X66" s="472"/>
      <c r="Y66" s="472" t="s">
        <v>2938</v>
      </c>
      <c r="Z66" s="137" t="s">
        <v>1148</v>
      </c>
      <c r="AA66"/>
      <c r="AB66" s="88"/>
      <c r="AC66" s="88"/>
      <c r="AD66" s="88"/>
      <c r="AE66" s="88"/>
    </row>
    <row r="67" spans="1:31" ht="94.5">
      <c r="A67" s="125">
        <v>63</v>
      </c>
      <c r="B67" s="125" t="s">
        <v>874</v>
      </c>
      <c r="C67" s="125" t="s">
        <v>1507</v>
      </c>
      <c r="D67" s="472" t="s">
        <v>2937</v>
      </c>
      <c r="E67" s="472" t="s">
        <v>373</v>
      </c>
      <c r="F67" s="480" t="s">
        <v>2936</v>
      </c>
      <c r="G67" s="472" t="s">
        <v>2931</v>
      </c>
      <c r="H67" s="472" t="s">
        <v>40</v>
      </c>
      <c r="I67" s="472">
        <v>400</v>
      </c>
      <c r="J67" s="472"/>
      <c r="K67" s="472"/>
      <c r="L67" s="472"/>
      <c r="M67" s="472">
        <v>400</v>
      </c>
      <c r="N67" s="472"/>
      <c r="O67" s="472"/>
      <c r="P67" s="472" t="s">
        <v>48</v>
      </c>
      <c r="Q67" s="472" t="s">
        <v>2935</v>
      </c>
      <c r="R67" s="472" t="s">
        <v>36</v>
      </c>
      <c r="S67" s="472" t="s">
        <v>43</v>
      </c>
      <c r="T67" s="472" t="s">
        <v>49</v>
      </c>
      <c r="U67" s="472" t="s">
        <v>38</v>
      </c>
      <c r="V67" s="472">
        <f t="shared" si="1"/>
        <v>150</v>
      </c>
      <c r="W67" s="472">
        <v>150</v>
      </c>
      <c r="X67" s="472"/>
      <c r="Y67" s="472" t="s">
        <v>844</v>
      </c>
      <c r="Z67" s="137" t="s">
        <v>1148</v>
      </c>
      <c r="AA67"/>
      <c r="AB67" s="88"/>
      <c r="AC67" s="88"/>
      <c r="AD67" s="88"/>
      <c r="AE67" s="88"/>
    </row>
    <row r="68" spans="1:31" ht="67.5">
      <c r="A68" s="125">
        <v>64</v>
      </c>
      <c r="B68" s="125" t="s">
        <v>874</v>
      </c>
      <c r="C68" s="125" t="s">
        <v>1507</v>
      </c>
      <c r="D68" s="472" t="s">
        <v>2934</v>
      </c>
      <c r="E68" s="472" t="s">
        <v>2933</v>
      </c>
      <c r="F68" s="480" t="s">
        <v>2932</v>
      </c>
      <c r="G68" s="472" t="s">
        <v>2931</v>
      </c>
      <c r="H68" s="472" t="s">
        <v>2930</v>
      </c>
      <c r="I68" s="472">
        <v>1300</v>
      </c>
      <c r="J68" s="472"/>
      <c r="K68" s="472"/>
      <c r="L68" s="472"/>
      <c r="M68" s="472">
        <v>1300</v>
      </c>
      <c r="N68" s="472"/>
      <c r="O68" s="472"/>
      <c r="P68" s="472" t="s">
        <v>5</v>
      </c>
      <c r="Q68" s="472" t="s">
        <v>2929</v>
      </c>
      <c r="R68" s="472" t="s">
        <v>36</v>
      </c>
      <c r="S68" s="472" t="s">
        <v>43</v>
      </c>
      <c r="T68" s="472" t="s">
        <v>49</v>
      </c>
      <c r="U68" s="472" t="s">
        <v>38</v>
      </c>
      <c r="V68" s="472">
        <f t="shared" si="1"/>
        <v>500</v>
      </c>
      <c r="W68" s="472">
        <v>500</v>
      </c>
      <c r="X68" s="472"/>
      <c r="Y68" s="472" t="s">
        <v>844</v>
      </c>
      <c r="Z68" s="137" t="s">
        <v>1148</v>
      </c>
      <c r="AA68"/>
      <c r="AB68" s="88"/>
      <c r="AC68" s="88"/>
      <c r="AD68" s="88"/>
      <c r="AE68" s="88"/>
    </row>
    <row r="69" spans="1:31" s="1" customFormat="1" ht="67.5">
      <c r="A69" s="126">
        <v>65</v>
      </c>
      <c r="B69" s="126" t="s">
        <v>874</v>
      </c>
      <c r="C69" s="126" t="s">
        <v>1507</v>
      </c>
      <c r="D69" s="450" t="s">
        <v>2928</v>
      </c>
      <c r="E69" s="473" t="s">
        <v>1217</v>
      </c>
      <c r="F69" s="480" t="s">
        <v>2927</v>
      </c>
      <c r="G69" s="134" t="s">
        <v>2926</v>
      </c>
      <c r="H69" s="472" t="s">
        <v>1506</v>
      </c>
      <c r="I69" s="473">
        <v>2800</v>
      </c>
      <c r="J69" s="473"/>
      <c r="K69" s="473" t="s">
        <v>621</v>
      </c>
      <c r="L69" s="473"/>
      <c r="M69" s="473">
        <v>2800</v>
      </c>
      <c r="N69" s="473"/>
      <c r="O69" s="473"/>
      <c r="P69" s="473" t="s">
        <v>52</v>
      </c>
      <c r="Q69" s="472" t="s">
        <v>2925</v>
      </c>
      <c r="R69" s="473" t="s">
        <v>36</v>
      </c>
      <c r="S69" s="473" t="s">
        <v>42</v>
      </c>
      <c r="T69" s="473" t="s">
        <v>49</v>
      </c>
      <c r="U69" s="473" t="s">
        <v>38</v>
      </c>
      <c r="V69" s="473">
        <f t="shared" ref="V69:V84" si="2">SUM(W69:X69)</f>
        <v>400</v>
      </c>
      <c r="W69" s="473">
        <v>400</v>
      </c>
      <c r="X69" s="473"/>
      <c r="Y69" s="473" t="s">
        <v>2924</v>
      </c>
      <c r="Z69" s="137" t="s">
        <v>6058</v>
      </c>
      <c r="AA69"/>
      <c r="AB69" s="88"/>
      <c r="AC69" s="88"/>
      <c r="AD69" s="88"/>
      <c r="AE69" s="88"/>
    </row>
    <row r="70" spans="1:31" ht="81">
      <c r="A70" s="125">
        <v>66</v>
      </c>
      <c r="B70" s="125" t="s">
        <v>946</v>
      </c>
      <c r="C70" s="125" t="s">
        <v>2879</v>
      </c>
      <c r="D70" s="472" t="s">
        <v>2923</v>
      </c>
      <c r="E70" s="472" t="s">
        <v>2922</v>
      </c>
      <c r="F70" s="480" t="s">
        <v>2921</v>
      </c>
      <c r="G70" s="302" t="s">
        <v>2920</v>
      </c>
      <c r="H70" s="472" t="s">
        <v>397</v>
      </c>
      <c r="I70" s="472">
        <v>80</v>
      </c>
      <c r="J70" s="472"/>
      <c r="K70" s="472"/>
      <c r="L70" s="472">
        <v>80</v>
      </c>
      <c r="M70" s="472"/>
      <c r="N70" s="472"/>
      <c r="O70" s="472"/>
      <c r="P70" s="472" t="s">
        <v>48</v>
      </c>
      <c r="Q70" s="472" t="s">
        <v>2919</v>
      </c>
      <c r="R70" s="472" t="s">
        <v>36</v>
      </c>
      <c r="S70" s="472" t="s">
        <v>1216</v>
      </c>
      <c r="T70" s="472" t="s">
        <v>49</v>
      </c>
      <c r="U70" s="472" t="s">
        <v>38</v>
      </c>
      <c r="V70" s="472">
        <f t="shared" si="2"/>
        <v>40</v>
      </c>
      <c r="W70" s="472">
        <v>40</v>
      </c>
      <c r="X70" s="472"/>
      <c r="Y70" s="472" t="s">
        <v>1308</v>
      </c>
      <c r="Z70" s="137" t="s">
        <v>1148</v>
      </c>
    </row>
    <row r="71" spans="1:31" ht="50.1" customHeight="1">
      <c r="A71" s="125">
        <v>67</v>
      </c>
      <c r="B71" s="125" t="s">
        <v>946</v>
      </c>
      <c r="C71" s="125" t="s">
        <v>2879</v>
      </c>
      <c r="D71" s="472" t="s">
        <v>2918</v>
      </c>
      <c r="E71" s="472" t="s">
        <v>1215</v>
      </c>
      <c r="F71" s="480" t="s">
        <v>2917</v>
      </c>
      <c r="G71" s="302" t="s">
        <v>2916</v>
      </c>
      <c r="H71" s="472" t="s">
        <v>488</v>
      </c>
      <c r="I71" s="472">
        <v>50</v>
      </c>
      <c r="J71" s="472"/>
      <c r="K71" s="472"/>
      <c r="L71" s="472">
        <v>20</v>
      </c>
      <c r="M71" s="472">
        <v>30</v>
      </c>
      <c r="N71" s="472"/>
      <c r="O71" s="473"/>
      <c r="P71" s="473" t="s">
        <v>41</v>
      </c>
      <c r="Q71" s="473" t="s">
        <v>2915</v>
      </c>
      <c r="R71" s="473" t="s">
        <v>36</v>
      </c>
      <c r="S71" s="473" t="s">
        <v>1216</v>
      </c>
      <c r="T71" s="473" t="s">
        <v>49</v>
      </c>
      <c r="U71" s="473" t="s">
        <v>38</v>
      </c>
      <c r="V71" s="473">
        <f t="shared" si="2"/>
        <v>200</v>
      </c>
      <c r="W71" s="473">
        <v>200</v>
      </c>
      <c r="X71" s="473"/>
      <c r="Y71" s="473" t="s">
        <v>59</v>
      </c>
      <c r="Z71" s="137" t="s">
        <v>1148</v>
      </c>
      <c r="AA71"/>
      <c r="AB71" s="88"/>
      <c r="AC71" s="88"/>
      <c r="AD71" s="88"/>
      <c r="AE71" s="88"/>
    </row>
    <row r="72" spans="1:31" ht="50.1" customHeight="1">
      <c r="A72" s="125">
        <v>68</v>
      </c>
      <c r="B72" s="125" t="s">
        <v>946</v>
      </c>
      <c r="C72" s="125" t="s">
        <v>2879</v>
      </c>
      <c r="D72" s="472" t="s">
        <v>2914</v>
      </c>
      <c r="E72" s="472" t="s">
        <v>1215</v>
      </c>
      <c r="F72" s="480" t="s">
        <v>2913</v>
      </c>
      <c r="G72" s="472" t="s">
        <v>2912</v>
      </c>
      <c r="H72" s="472" t="s">
        <v>798</v>
      </c>
      <c r="I72" s="472">
        <v>185</v>
      </c>
      <c r="J72" s="472"/>
      <c r="K72" s="472"/>
      <c r="L72" s="472">
        <v>100</v>
      </c>
      <c r="M72" s="472">
        <v>85</v>
      </c>
      <c r="N72" s="472"/>
      <c r="O72" s="473"/>
      <c r="P72" s="473" t="s">
        <v>48</v>
      </c>
      <c r="Q72" s="473" t="s">
        <v>2911</v>
      </c>
      <c r="R72" s="473" t="s">
        <v>36</v>
      </c>
      <c r="S72" s="473" t="s">
        <v>2910</v>
      </c>
      <c r="T72" s="473" t="s">
        <v>49</v>
      </c>
      <c r="U72" s="473" t="s">
        <v>37</v>
      </c>
      <c r="V72" s="473">
        <f t="shared" si="2"/>
        <v>15</v>
      </c>
      <c r="W72" s="473">
        <v>15</v>
      </c>
      <c r="X72" s="473"/>
      <c r="Y72" s="473" t="s">
        <v>1371</v>
      </c>
      <c r="Z72" s="137" t="s">
        <v>1148</v>
      </c>
      <c r="AA72"/>
      <c r="AB72" s="88"/>
      <c r="AC72" s="88"/>
      <c r="AD72" s="88"/>
      <c r="AE72" s="88"/>
    </row>
    <row r="73" spans="1:31" ht="50.1" customHeight="1">
      <c r="A73" s="125">
        <v>69</v>
      </c>
      <c r="B73" s="125" t="s">
        <v>874</v>
      </c>
      <c r="C73" s="125" t="s">
        <v>2879</v>
      </c>
      <c r="D73" s="472" t="s">
        <v>2909</v>
      </c>
      <c r="E73" s="472" t="s">
        <v>2908</v>
      </c>
      <c r="F73" s="480" t="s">
        <v>2907</v>
      </c>
      <c r="G73" s="472" t="s">
        <v>2906</v>
      </c>
      <c r="H73" s="472" t="s">
        <v>2905</v>
      </c>
      <c r="I73" s="472">
        <v>1200</v>
      </c>
      <c r="J73" s="125">
        <v>60</v>
      </c>
      <c r="K73" s="125">
        <v>30</v>
      </c>
      <c r="L73" s="125">
        <v>1060</v>
      </c>
      <c r="M73" s="125">
        <v>50</v>
      </c>
      <c r="N73" s="125" t="s">
        <v>44</v>
      </c>
      <c r="O73" s="125" t="s">
        <v>45</v>
      </c>
      <c r="P73" s="125" t="s">
        <v>6</v>
      </c>
      <c r="Q73" s="125" t="s">
        <v>2904</v>
      </c>
      <c r="R73" s="472" t="s">
        <v>36</v>
      </c>
      <c r="S73" s="472" t="s">
        <v>68</v>
      </c>
      <c r="T73" s="125" t="s">
        <v>49</v>
      </c>
      <c r="U73" s="472" t="s">
        <v>2903</v>
      </c>
      <c r="V73" s="472">
        <f t="shared" si="2"/>
        <v>300</v>
      </c>
      <c r="W73" s="472">
        <v>290</v>
      </c>
      <c r="X73" s="472">
        <v>10</v>
      </c>
      <c r="Y73" s="472" t="s">
        <v>240</v>
      </c>
      <c r="Z73" s="137" t="s">
        <v>1148</v>
      </c>
      <c r="AA73"/>
      <c r="AB73" s="88"/>
      <c r="AC73" s="88"/>
      <c r="AD73" s="88"/>
      <c r="AE73" s="88"/>
    </row>
    <row r="74" spans="1:31" ht="50.1" customHeight="1">
      <c r="A74" s="125">
        <v>70</v>
      </c>
      <c r="B74" s="125" t="s">
        <v>946</v>
      </c>
      <c r="C74" s="125" t="s">
        <v>2879</v>
      </c>
      <c r="D74" s="472" t="s">
        <v>2902</v>
      </c>
      <c r="E74" s="472" t="s">
        <v>2901</v>
      </c>
      <c r="F74" s="480" t="s">
        <v>2900</v>
      </c>
      <c r="G74" s="472" t="s">
        <v>2875</v>
      </c>
      <c r="H74" s="472" t="s">
        <v>2899</v>
      </c>
      <c r="I74" s="303">
        <v>1.9</v>
      </c>
      <c r="J74" s="472"/>
      <c r="K74" s="303"/>
      <c r="L74" s="472">
        <v>1.9</v>
      </c>
      <c r="M74" s="472"/>
      <c r="N74" s="125"/>
      <c r="O74" s="125"/>
      <c r="P74" s="125" t="s">
        <v>41</v>
      </c>
      <c r="Q74" s="125" t="s">
        <v>2898</v>
      </c>
      <c r="R74" s="472" t="s">
        <v>36</v>
      </c>
      <c r="S74" s="472" t="s">
        <v>1216</v>
      </c>
      <c r="T74" s="472" t="s">
        <v>49</v>
      </c>
      <c r="U74" s="472" t="s">
        <v>38</v>
      </c>
      <c r="V74" s="472">
        <f t="shared" si="2"/>
        <v>361</v>
      </c>
      <c r="W74" s="472">
        <v>361</v>
      </c>
      <c r="X74" s="472"/>
      <c r="Y74" s="472" t="s">
        <v>59</v>
      </c>
      <c r="Z74" s="137" t="s">
        <v>1148</v>
      </c>
      <c r="AA74"/>
      <c r="AB74" s="88"/>
      <c r="AC74" s="88"/>
      <c r="AD74" s="88"/>
      <c r="AE74" s="88"/>
    </row>
    <row r="75" spans="1:31" ht="50.1" customHeight="1">
      <c r="A75" s="125">
        <v>71</v>
      </c>
      <c r="B75" s="125" t="s">
        <v>874</v>
      </c>
      <c r="C75" s="125" t="s">
        <v>2879</v>
      </c>
      <c r="D75" s="472" t="s">
        <v>2897</v>
      </c>
      <c r="E75" s="472" t="s">
        <v>2896</v>
      </c>
      <c r="F75" s="480" t="s">
        <v>2895</v>
      </c>
      <c r="G75" s="472" t="s">
        <v>2894</v>
      </c>
      <c r="H75" s="472" t="s">
        <v>2893</v>
      </c>
      <c r="I75" s="472">
        <v>1.9</v>
      </c>
      <c r="J75" s="472"/>
      <c r="K75" s="472"/>
      <c r="L75" s="472">
        <v>1.9</v>
      </c>
      <c r="M75" s="472"/>
      <c r="N75" s="472"/>
      <c r="O75" s="472"/>
      <c r="P75" s="472" t="s">
        <v>6</v>
      </c>
      <c r="Q75" s="472" t="s">
        <v>2892</v>
      </c>
      <c r="R75" s="472" t="s">
        <v>36</v>
      </c>
      <c r="S75" s="472" t="s">
        <v>1216</v>
      </c>
      <c r="T75" s="472" t="s">
        <v>49</v>
      </c>
      <c r="U75" s="472" t="s">
        <v>38</v>
      </c>
      <c r="V75" s="472">
        <f t="shared" si="2"/>
        <v>250</v>
      </c>
      <c r="W75" s="472">
        <v>250</v>
      </c>
      <c r="X75" s="472"/>
      <c r="Y75" s="472" t="s">
        <v>59</v>
      </c>
      <c r="Z75" s="137" t="s">
        <v>1148</v>
      </c>
      <c r="AA75"/>
      <c r="AB75" s="88"/>
      <c r="AC75" s="88"/>
      <c r="AD75" s="88"/>
      <c r="AE75" s="88"/>
    </row>
    <row r="76" spans="1:31" s="1" customFormat="1" ht="50.1" customHeight="1">
      <c r="A76" s="126">
        <v>72</v>
      </c>
      <c r="B76" s="125" t="s">
        <v>946</v>
      </c>
      <c r="C76" s="125" t="s">
        <v>2879</v>
      </c>
      <c r="D76" s="472" t="s">
        <v>2891</v>
      </c>
      <c r="E76" s="472" t="s">
        <v>2890</v>
      </c>
      <c r="F76" s="480" t="s">
        <v>2889</v>
      </c>
      <c r="G76" s="472" t="s">
        <v>2888</v>
      </c>
      <c r="H76" s="472" t="s">
        <v>2887</v>
      </c>
      <c r="I76" s="472">
        <v>50</v>
      </c>
      <c r="J76" s="472"/>
      <c r="K76" s="472"/>
      <c r="L76" s="472">
        <v>50</v>
      </c>
      <c r="M76" s="472"/>
      <c r="N76" s="472"/>
      <c r="O76" s="472"/>
      <c r="P76" s="472" t="s">
        <v>46</v>
      </c>
      <c r="Q76" s="472" t="s">
        <v>2886</v>
      </c>
      <c r="R76" s="472" t="s">
        <v>36</v>
      </c>
      <c r="S76" s="472" t="s">
        <v>1216</v>
      </c>
      <c r="T76" s="472" t="s">
        <v>49</v>
      </c>
      <c r="U76" s="472" t="s">
        <v>38</v>
      </c>
      <c r="V76" s="472">
        <f t="shared" si="2"/>
        <v>10</v>
      </c>
      <c r="W76" s="472">
        <v>10</v>
      </c>
      <c r="X76" s="472"/>
      <c r="Y76" s="472" t="s">
        <v>59</v>
      </c>
      <c r="Z76" s="137" t="s">
        <v>1148</v>
      </c>
      <c r="AA76"/>
      <c r="AB76" s="88"/>
      <c r="AC76" s="88"/>
      <c r="AD76" s="88"/>
      <c r="AE76" s="88"/>
    </row>
    <row r="77" spans="1:31" s="1" customFormat="1" ht="50.1" customHeight="1">
      <c r="A77" s="126">
        <v>73</v>
      </c>
      <c r="B77" s="473" t="s">
        <v>946</v>
      </c>
      <c r="C77" s="473" t="s">
        <v>2879</v>
      </c>
      <c r="D77" s="473" t="s">
        <v>2885</v>
      </c>
      <c r="E77" s="472" t="s">
        <v>2884</v>
      </c>
      <c r="F77" s="476" t="s">
        <v>2883</v>
      </c>
      <c r="G77" s="473" t="s">
        <v>2882</v>
      </c>
      <c r="H77" s="473" t="s">
        <v>2881</v>
      </c>
      <c r="I77" s="473">
        <v>1.9</v>
      </c>
      <c r="J77" s="473"/>
      <c r="K77" s="473"/>
      <c r="L77" s="473">
        <v>1.9</v>
      </c>
      <c r="M77" s="473"/>
      <c r="N77" s="473"/>
      <c r="O77" s="473"/>
      <c r="P77" s="473" t="s">
        <v>6</v>
      </c>
      <c r="Q77" s="473" t="s">
        <v>2880</v>
      </c>
      <c r="R77" s="473" t="s">
        <v>36</v>
      </c>
      <c r="S77" s="150" t="s">
        <v>1216</v>
      </c>
      <c r="T77" s="473" t="s">
        <v>49</v>
      </c>
      <c r="U77" s="473" t="s">
        <v>38</v>
      </c>
      <c r="V77" s="473">
        <f t="shared" si="2"/>
        <v>210</v>
      </c>
      <c r="W77" s="473">
        <v>210</v>
      </c>
      <c r="X77" s="473"/>
      <c r="Y77" s="473" t="s">
        <v>59</v>
      </c>
      <c r="Z77" s="137" t="s">
        <v>1148</v>
      </c>
      <c r="AA77"/>
      <c r="AB77" s="88"/>
      <c r="AC77" s="88"/>
      <c r="AD77" s="88"/>
      <c r="AE77" s="88"/>
    </row>
    <row r="78" spans="1:31" ht="50.1" hidden="1" customHeight="1">
      <c r="A78" s="125">
        <v>74</v>
      </c>
      <c r="B78" s="125" t="s">
        <v>874</v>
      </c>
      <c r="C78" s="125" t="s">
        <v>2879</v>
      </c>
      <c r="D78" s="472" t="s">
        <v>2878</v>
      </c>
      <c r="E78" s="472" t="s">
        <v>2877</v>
      </c>
      <c r="F78" s="480" t="s">
        <v>2876</v>
      </c>
      <c r="G78" s="472" t="s">
        <v>2875</v>
      </c>
      <c r="H78" s="472" t="s">
        <v>2874</v>
      </c>
      <c r="I78" s="521">
        <v>40</v>
      </c>
      <c r="J78" s="521"/>
      <c r="K78" s="521"/>
      <c r="L78" s="521">
        <v>40</v>
      </c>
      <c r="M78" s="521"/>
      <c r="N78" s="472"/>
      <c r="O78" s="472"/>
      <c r="P78" s="510" t="s">
        <v>48</v>
      </c>
      <c r="Q78" s="510" t="s">
        <v>2873</v>
      </c>
      <c r="R78" s="510" t="s">
        <v>36</v>
      </c>
      <c r="S78" s="510" t="s">
        <v>1216</v>
      </c>
      <c r="T78" s="510" t="s">
        <v>49</v>
      </c>
      <c r="U78" s="510" t="s">
        <v>38</v>
      </c>
      <c r="V78" s="472">
        <f t="shared" si="2"/>
        <v>70</v>
      </c>
      <c r="W78" s="472">
        <v>70</v>
      </c>
      <c r="X78" s="472"/>
      <c r="Y78" s="472" t="s">
        <v>59</v>
      </c>
      <c r="Z78" s="137" t="s">
        <v>1145</v>
      </c>
    </row>
    <row r="79" spans="1:31" ht="75.75" customHeight="1">
      <c r="A79" s="125">
        <v>75</v>
      </c>
      <c r="B79" s="125" t="s">
        <v>874</v>
      </c>
      <c r="C79" s="125" t="s">
        <v>2847</v>
      </c>
      <c r="D79" s="472" t="s">
        <v>2872</v>
      </c>
      <c r="E79" s="472" t="s">
        <v>2871</v>
      </c>
      <c r="F79" s="480" t="s">
        <v>2870</v>
      </c>
      <c r="G79" s="472" t="s">
        <v>2869</v>
      </c>
      <c r="H79" s="472" t="s">
        <v>2868</v>
      </c>
      <c r="I79" s="521">
        <v>165</v>
      </c>
      <c r="J79" s="521"/>
      <c r="K79" s="521">
        <v>35</v>
      </c>
      <c r="L79" s="521">
        <v>130</v>
      </c>
      <c r="M79" s="521"/>
      <c r="N79" s="472"/>
      <c r="O79" s="472"/>
      <c r="P79" s="510" t="s">
        <v>52</v>
      </c>
      <c r="Q79" s="510" t="s">
        <v>2867</v>
      </c>
      <c r="R79" s="510" t="s">
        <v>36</v>
      </c>
      <c r="S79" s="510" t="s">
        <v>42</v>
      </c>
      <c r="T79" s="510" t="s">
        <v>49</v>
      </c>
      <c r="U79" s="510" t="s">
        <v>38</v>
      </c>
      <c r="V79" s="472">
        <f t="shared" si="2"/>
        <v>30</v>
      </c>
      <c r="W79" s="472">
        <v>30</v>
      </c>
      <c r="X79" s="472"/>
      <c r="Y79" s="472" t="s">
        <v>64</v>
      </c>
      <c r="Z79" s="137" t="s">
        <v>1148</v>
      </c>
      <c r="AA79"/>
      <c r="AB79" s="88"/>
      <c r="AC79" s="88"/>
      <c r="AD79" s="88"/>
      <c r="AE79" s="88"/>
    </row>
    <row r="80" spans="1:31" ht="54">
      <c r="A80" s="125">
        <v>76</v>
      </c>
      <c r="B80" s="125" t="s">
        <v>874</v>
      </c>
      <c r="C80" s="125" t="s">
        <v>2847</v>
      </c>
      <c r="D80" s="472" t="s">
        <v>2866</v>
      </c>
      <c r="E80" s="257" t="s">
        <v>2865</v>
      </c>
      <c r="F80" s="480" t="s">
        <v>2864</v>
      </c>
      <c r="G80" s="472" t="s">
        <v>2863</v>
      </c>
      <c r="H80" s="472" t="s">
        <v>587</v>
      </c>
      <c r="I80" s="474">
        <f>SUM(K80:M80)</f>
        <v>700</v>
      </c>
      <c r="J80" s="474"/>
      <c r="K80" s="474"/>
      <c r="L80" s="474">
        <v>700</v>
      </c>
      <c r="M80" s="474"/>
      <c r="N80" s="472"/>
      <c r="O80" s="472"/>
      <c r="P80" s="472" t="s">
        <v>6</v>
      </c>
      <c r="Q80" s="472" t="s">
        <v>2862</v>
      </c>
      <c r="R80" s="472" t="s">
        <v>36</v>
      </c>
      <c r="S80" s="472" t="s">
        <v>42</v>
      </c>
      <c r="T80" s="472" t="s">
        <v>49</v>
      </c>
      <c r="U80" s="472" t="s">
        <v>53</v>
      </c>
      <c r="V80" s="303">
        <f t="shared" si="2"/>
        <v>194</v>
      </c>
      <c r="W80" s="303">
        <v>194</v>
      </c>
      <c r="X80" s="472"/>
      <c r="Y80" s="472" t="s">
        <v>64</v>
      </c>
      <c r="Z80" s="137" t="s">
        <v>2861</v>
      </c>
      <c r="AA80"/>
      <c r="AB80" s="88"/>
      <c r="AC80" s="88"/>
      <c r="AD80" s="88"/>
      <c r="AE80" s="88"/>
    </row>
    <row r="81" spans="1:31" ht="50.1" hidden="1" customHeight="1">
      <c r="A81" s="125">
        <v>77</v>
      </c>
      <c r="B81" s="125" t="s">
        <v>946</v>
      </c>
      <c r="C81" s="125" t="s">
        <v>2847</v>
      </c>
      <c r="D81" s="472" t="s">
        <v>2860</v>
      </c>
      <c r="E81" s="472" t="s">
        <v>2859</v>
      </c>
      <c r="F81" s="480" t="s">
        <v>2858</v>
      </c>
      <c r="G81" s="472" t="s">
        <v>2853</v>
      </c>
      <c r="H81" s="472" t="s">
        <v>108</v>
      </c>
      <c r="I81" s="474">
        <v>850</v>
      </c>
      <c r="J81" s="474"/>
      <c r="K81" s="474"/>
      <c r="L81" s="474"/>
      <c r="M81" s="474">
        <v>850</v>
      </c>
      <c r="N81" s="472"/>
      <c r="O81" s="472"/>
      <c r="P81" s="472" t="s">
        <v>5</v>
      </c>
      <c r="Q81" s="472" t="s">
        <v>2857</v>
      </c>
      <c r="R81" s="472" t="s">
        <v>36</v>
      </c>
      <c r="S81" s="472" t="s">
        <v>42</v>
      </c>
      <c r="T81" s="472" t="s">
        <v>49</v>
      </c>
      <c r="U81" s="472" t="s">
        <v>38</v>
      </c>
      <c r="V81" s="472">
        <f t="shared" si="2"/>
        <v>219</v>
      </c>
      <c r="W81" s="472">
        <v>218</v>
      </c>
      <c r="X81" s="472">
        <v>1</v>
      </c>
      <c r="Y81" s="472" t="s">
        <v>99</v>
      </c>
      <c r="Z81" s="137" t="s">
        <v>1145</v>
      </c>
    </row>
    <row r="82" spans="1:31" s="1" customFormat="1" ht="50.1" customHeight="1">
      <c r="A82" s="126">
        <v>78</v>
      </c>
      <c r="B82" s="125" t="s">
        <v>946</v>
      </c>
      <c r="C82" s="125" t="s">
        <v>2847</v>
      </c>
      <c r="D82" s="472" t="s">
        <v>2856</v>
      </c>
      <c r="E82" s="472" t="s">
        <v>2855</v>
      </c>
      <c r="F82" s="480" t="s">
        <v>2854</v>
      </c>
      <c r="G82" s="472" t="s">
        <v>2853</v>
      </c>
      <c r="H82" s="472" t="s">
        <v>397</v>
      </c>
      <c r="I82" s="474">
        <v>72</v>
      </c>
      <c r="J82" s="474"/>
      <c r="K82" s="474"/>
      <c r="L82" s="474"/>
      <c r="M82" s="474">
        <v>72</v>
      </c>
      <c r="N82" s="472"/>
      <c r="O82" s="472"/>
      <c r="P82" s="472" t="s">
        <v>6</v>
      </c>
      <c r="Q82" s="472" t="s">
        <v>2852</v>
      </c>
      <c r="R82" s="472" t="s">
        <v>36</v>
      </c>
      <c r="S82" s="472" t="s">
        <v>42</v>
      </c>
      <c r="T82" s="472" t="s">
        <v>49</v>
      </c>
      <c r="U82" s="472" t="s">
        <v>38</v>
      </c>
      <c r="V82" s="472">
        <f t="shared" si="2"/>
        <v>16</v>
      </c>
      <c r="W82" s="472">
        <v>16</v>
      </c>
      <c r="X82" s="472"/>
      <c r="Y82" s="472" t="s">
        <v>99</v>
      </c>
      <c r="Z82" s="137" t="s">
        <v>2851</v>
      </c>
      <c r="AA82"/>
      <c r="AB82" s="88"/>
      <c r="AC82" s="88"/>
      <c r="AD82" s="88"/>
      <c r="AE82" s="88"/>
    </row>
    <row r="83" spans="1:31" ht="50.1" customHeight="1">
      <c r="A83" s="125">
        <v>79</v>
      </c>
      <c r="B83" s="125" t="s">
        <v>946</v>
      </c>
      <c r="C83" s="472" t="s">
        <v>2847</v>
      </c>
      <c r="D83" s="153" t="s">
        <v>2850</v>
      </c>
      <c r="E83" s="472" t="s">
        <v>2845</v>
      </c>
      <c r="F83" s="480" t="s">
        <v>2849</v>
      </c>
      <c r="G83" s="472" t="s">
        <v>2848</v>
      </c>
      <c r="H83" s="472" t="s">
        <v>1357</v>
      </c>
      <c r="I83" s="472">
        <v>16</v>
      </c>
      <c r="J83" s="472"/>
      <c r="K83" s="472"/>
      <c r="L83" s="472">
        <v>16</v>
      </c>
      <c r="M83" s="472"/>
      <c r="N83" s="472"/>
      <c r="O83" s="472"/>
      <c r="P83" s="472" t="s">
        <v>31</v>
      </c>
      <c r="Q83" s="472" t="s">
        <v>1505</v>
      </c>
      <c r="R83" s="472" t="s">
        <v>36</v>
      </c>
      <c r="S83" s="472" t="s">
        <v>42</v>
      </c>
      <c r="T83" s="472" t="s">
        <v>49</v>
      </c>
      <c r="U83" s="472" t="s">
        <v>38</v>
      </c>
      <c r="V83" s="472">
        <f t="shared" si="2"/>
        <v>0.3</v>
      </c>
      <c r="W83" s="472">
        <v>0.3</v>
      </c>
      <c r="X83" s="472"/>
      <c r="Y83" s="472" t="s">
        <v>99</v>
      </c>
      <c r="Z83" s="137" t="s">
        <v>1148</v>
      </c>
    </row>
    <row r="84" spans="1:31" s="1" customFormat="1" ht="50.1" customHeight="1">
      <c r="A84" s="126">
        <v>80</v>
      </c>
      <c r="B84" s="125" t="s">
        <v>946</v>
      </c>
      <c r="C84" s="125" t="s">
        <v>2847</v>
      </c>
      <c r="D84" s="125" t="s">
        <v>2846</v>
      </c>
      <c r="E84" s="472" t="s">
        <v>2845</v>
      </c>
      <c r="F84" s="480" t="s">
        <v>2844</v>
      </c>
      <c r="G84" s="472" t="s">
        <v>2843</v>
      </c>
      <c r="H84" s="472" t="s">
        <v>2842</v>
      </c>
      <c r="I84" s="472">
        <v>20</v>
      </c>
      <c r="J84" s="472"/>
      <c r="K84" s="472"/>
      <c r="L84" s="472">
        <v>20</v>
      </c>
      <c r="M84" s="472"/>
      <c r="N84" s="472"/>
      <c r="O84" s="472"/>
      <c r="P84" s="472" t="s">
        <v>31</v>
      </c>
      <c r="Q84" s="472" t="s">
        <v>1504</v>
      </c>
      <c r="R84" s="472" t="s">
        <v>36</v>
      </c>
      <c r="S84" s="472" t="s">
        <v>42</v>
      </c>
      <c r="T84" s="472" t="s">
        <v>49</v>
      </c>
      <c r="U84" s="472" t="s">
        <v>38</v>
      </c>
      <c r="V84" s="472">
        <f t="shared" si="2"/>
        <v>0.3</v>
      </c>
      <c r="W84" s="472">
        <v>0.3</v>
      </c>
      <c r="X84" s="472"/>
      <c r="Y84" s="472" t="s">
        <v>99</v>
      </c>
      <c r="Z84" s="137" t="s">
        <v>1148</v>
      </c>
      <c r="AB84" s="89"/>
      <c r="AC84" s="89"/>
      <c r="AD84" s="89"/>
      <c r="AE84" s="89"/>
    </row>
    <row r="85" spans="1:31" ht="50.1" customHeight="1">
      <c r="A85" s="125">
        <v>81</v>
      </c>
      <c r="B85" s="125" t="s">
        <v>874</v>
      </c>
      <c r="C85" s="472" t="s">
        <v>1502</v>
      </c>
      <c r="D85" s="472" t="s">
        <v>2841</v>
      </c>
      <c r="E85" s="472" t="s">
        <v>2840</v>
      </c>
      <c r="F85" s="480" t="s">
        <v>2839</v>
      </c>
      <c r="G85" s="472" t="s">
        <v>2838</v>
      </c>
      <c r="H85" s="472" t="s">
        <v>826</v>
      </c>
      <c r="I85" s="155">
        <v>735</v>
      </c>
      <c r="J85" s="472"/>
      <c r="K85" s="155">
        <v>35</v>
      </c>
      <c r="L85" s="472">
        <v>700</v>
      </c>
      <c r="M85" s="472"/>
      <c r="N85" s="472"/>
      <c r="O85" s="472"/>
      <c r="P85" s="472" t="s">
        <v>98</v>
      </c>
      <c r="Q85" s="472" t="s">
        <v>2837</v>
      </c>
      <c r="R85" s="472" t="s">
        <v>36</v>
      </c>
      <c r="S85" s="472" t="s">
        <v>42</v>
      </c>
      <c r="T85" s="472" t="s">
        <v>49</v>
      </c>
      <c r="U85" s="472" t="s">
        <v>2836</v>
      </c>
      <c r="V85" s="472"/>
      <c r="W85" s="472"/>
      <c r="X85" s="472"/>
      <c r="Y85" s="472" t="s">
        <v>844</v>
      </c>
      <c r="Z85" s="137" t="s">
        <v>1148</v>
      </c>
      <c r="AA85"/>
      <c r="AB85" s="88"/>
      <c r="AC85" s="88"/>
      <c r="AD85" s="88"/>
      <c r="AE85" s="88"/>
    </row>
    <row r="86" spans="1:31" ht="54" hidden="1">
      <c r="A86" s="125">
        <v>82</v>
      </c>
      <c r="B86" s="125" t="s">
        <v>874</v>
      </c>
      <c r="C86" s="472" t="s">
        <v>1502</v>
      </c>
      <c r="D86" s="472" t="s">
        <v>2835</v>
      </c>
      <c r="E86" s="472" t="s">
        <v>2834</v>
      </c>
      <c r="F86" s="313" t="s">
        <v>2833</v>
      </c>
      <c r="G86" s="472" t="s">
        <v>2832</v>
      </c>
      <c r="H86" s="472" t="s">
        <v>1503</v>
      </c>
      <c r="I86" s="472">
        <v>70</v>
      </c>
      <c r="J86" s="472"/>
      <c r="K86" s="472"/>
      <c r="L86" s="472">
        <v>25</v>
      </c>
      <c r="M86" s="472">
        <v>45</v>
      </c>
      <c r="N86" s="472"/>
      <c r="O86" s="472"/>
      <c r="P86" s="472" t="s">
        <v>6</v>
      </c>
      <c r="Q86" s="472" t="s">
        <v>2831</v>
      </c>
      <c r="R86" s="472" t="s">
        <v>36</v>
      </c>
      <c r="S86" s="472" t="s">
        <v>42</v>
      </c>
      <c r="T86" s="472" t="s">
        <v>49</v>
      </c>
      <c r="U86" s="472" t="s">
        <v>2817</v>
      </c>
      <c r="V86" s="472"/>
      <c r="W86" s="472"/>
      <c r="X86" s="472"/>
      <c r="Y86" s="472" t="s">
        <v>59</v>
      </c>
      <c r="Z86" s="137" t="s">
        <v>1145</v>
      </c>
    </row>
    <row r="87" spans="1:31" ht="50.1" customHeight="1">
      <c r="A87" s="125">
        <v>83</v>
      </c>
      <c r="B87" s="125" t="s">
        <v>874</v>
      </c>
      <c r="C87" s="472" t="s">
        <v>1502</v>
      </c>
      <c r="D87" s="472" t="s">
        <v>2830</v>
      </c>
      <c r="E87" s="472" t="s">
        <v>2829</v>
      </c>
      <c r="F87" s="476" t="s">
        <v>2828</v>
      </c>
      <c r="G87" s="472" t="s">
        <v>6174</v>
      </c>
      <c r="H87" s="472" t="s">
        <v>169</v>
      </c>
      <c r="I87" s="472">
        <v>35</v>
      </c>
      <c r="J87" s="472"/>
      <c r="K87" s="472"/>
      <c r="L87" s="472">
        <v>35</v>
      </c>
      <c r="M87" s="472"/>
      <c r="N87" s="472"/>
      <c r="O87" s="472"/>
      <c r="P87" s="472" t="s">
        <v>6</v>
      </c>
      <c r="Q87" s="472" t="s">
        <v>2827</v>
      </c>
      <c r="R87" s="472" t="s">
        <v>36</v>
      </c>
      <c r="S87" s="472" t="s">
        <v>42</v>
      </c>
      <c r="T87" s="103" t="s">
        <v>49</v>
      </c>
      <c r="U87" s="472" t="s">
        <v>2817</v>
      </c>
      <c r="V87" s="472"/>
      <c r="W87" s="472"/>
      <c r="X87" s="472"/>
      <c r="Y87" s="472" t="s">
        <v>59</v>
      </c>
      <c r="Z87" s="137" t="s">
        <v>1148</v>
      </c>
      <c r="AA87"/>
      <c r="AB87" s="88"/>
      <c r="AC87" s="88"/>
      <c r="AD87" s="88"/>
      <c r="AE87" s="88"/>
    </row>
    <row r="88" spans="1:31" ht="50.1" customHeight="1">
      <c r="A88" s="125">
        <v>84</v>
      </c>
      <c r="B88" s="125" t="s">
        <v>874</v>
      </c>
      <c r="C88" s="125" t="s">
        <v>1502</v>
      </c>
      <c r="D88" s="103" t="s">
        <v>2826</v>
      </c>
      <c r="E88" s="472" t="s">
        <v>39</v>
      </c>
      <c r="F88" s="132" t="s">
        <v>2825</v>
      </c>
      <c r="G88" s="103" t="s">
        <v>2824</v>
      </c>
      <c r="H88" s="472" t="s">
        <v>169</v>
      </c>
      <c r="I88" s="472">
        <v>45</v>
      </c>
      <c r="J88" s="472"/>
      <c r="K88" s="472" t="s">
        <v>621</v>
      </c>
      <c r="L88" s="472">
        <v>45</v>
      </c>
      <c r="M88" s="472"/>
      <c r="N88" s="472"/>
      <c r="O88" s="472"/>
      <c r="P88" s="103" t="s">
        <v>6</v>
      </c>
      <c r="Q88" s="103" t="s">
        <v>2823</v>
      </c>
      <c r="R88" s="472" t="s">
        <v>36</v>
      </c>
      <c r="S88" s="103" t="s">
        <v>42</v>
      </c>
      <c r="T88" s="103" t="s">
        <v>49</v>
      </c>
      <c r="U88" s="472" t="s">
        <v>2817</v>
      </c>
      <c r="V88" s="472"/>
      <c r="W88" s="472"/>
      <c r="X88" s="472"/>
      <c r="Y88" s="472" t="s">
        <v>1417</v>
      </c>
      <c r="Z88" s="137" t="s">
        <v>1148</v>
      </c>
    </row>
    <row r="89" spans="1:31" ht="50.1" customHeight="1">
      <c r="A89" s="125">
        <v>85</v>
      </c>
      <c r="B89" s="125" t="s">
        <v>874</v>
      </c>
      <c r="C89" s="125" t="s">
        <v>1502</v>
      </c>
      <c r="D89" s="103" t="s">
        <v>2822</v>
      </c>
      <c r="E89" s="472" t="s">
        <v>2821</v>
      </c>
      <c r="F89" s="132" t="s">
        <v>2820</v>
      </c>
      <c r="G89" s="103" t="s">
        <v>6032</v>
      </c>
      <c r="H89" s="472" t="s">
        <v>2819</v>
      </c>
      <c r="I89" s="472">
        <v>200</v>
      </c>
      <c r="J89" s="472"/>
      <c r="K89" s="472"/>
      <c r="L89" s="472">
        <v>200</v>
      </c>
      <c r="M89" s="472"/>
      <c r="N89" s="472"/>
      <c r="O89" s="472"/>
      <c r="P89" s="103" t="s">
        <v>6</v>
      </c>
      <c r="Q89" s="103" t="s">
        <v>2818</v>
      </c>
      <c r="R89" s="472" t="s">
        <v>36</v>
      </c>
      <c r="S89" s="103" t="s">
        <v>42</v>
      </c>
      <c r="T89" s="103" t="s">
        <v>49</v>
      </c>
      <c r="U89" s="472" t="s">
        <v>2817</v>
      </c>
      <c r="V89" s="472"/>
      <c r="W89" s="472"/>
      <c r="X89" s="472"/>
      <c r="Y89" s="472" t="s">
        <v>844</v>
      </c>
      <c r="Z89" s="137" t="s">
        <v>1148</v>
      </c>
    </row>
    <row r="90" spans="1:31" ht="67.5">
      <c r="A90" s="125">
        <v>86</v>
      </c>
      <c r="B90" s="125" t="s">
        <v>946</v>
      </c>
      <c r="C90" s="125" t="s">
        <v>2791</v>
      </c>
      <c r="D90" s="103" t="s">
        <v>2816</v>
      </c>
      <c r="E90" s="472" t="s">
        <v>2815</v>
      </c>
      <c r="F90" s="132" t="s">
        <v>2814</v>
      </c>
      <c r="G90" s="103" t="s">
        <v>2813</v>
      </c>
      <c r="H90" s="472" t="s">
        <v>2812</v>
      </c>
      <c r="I90" s="472">
        <v>210</v>
      </c>
      <c r="J90" s="472"/>
      <c r="K90" s="472"/>
      <c r="L90" s="472">
        <v>210</v>
      </c>
      <c r="M90" s="472"/>
      <c r="N90" s="472"/>
      <c r="O90" s="472"/>
      <c r="P90" s="103" t="s">
        <v>98</v>
      </c>
      <c r="Q90" s="103" t="s">
        <v>2811</v>
      </c>
      <c r="R90" s="472" t="s">
        <v>36</v>
      </c>
      <c r="S90" s="103" t="s">
        <v>246</v>
      </c>
      <c r="T90" s="103" t="s">
        <v>49</v>
      </c>
      <c r="U90" s="472" t="s">
        <v>37</v>
      </c>
      <c r="V90" s="472">
        <f t="shared" ref="V90:V102" si="3">SUM(W90:X90)</f>
        <v>24</v>
      </c>
      <c r="W90" s="472">
        <v>24</v>
      </c>
      <c r="X90" s="472"/>
      <c r="Y90" s="472" t="s">
        <v>2810</v>
      </c>
      <c r="Z90" s="137" t="s">
        <v>1148</v>
      </c>
      <c r="AA90"/>
      <c r="AB90" s="88"/>
      <c r="AC90" s="88"/>
      <c r="AD90" s="88"/>
      <c r="AE90" s="88"/>
    </row>
    <row r="91" spans="1:31" ht="50.1" customHeight="1">
      <c r="A91" s="125">
        <v>87</v>
      </c>
      <c r="B91" s="125" t="s">
        <v>874</v>
      </c>
      <c r="C91" s="125" t="s">
        <v>2791</v>
      </c>
      <c r="D91" s="103" t="s">
        <v>2809</v>
      </c>
      <c r="E91" s="472" t="s">
        <v>1151</v>
      </c>
      <c r="F91" s="132" t="s">
        <v>2808</v>
      </c>
      <c r="G91" s="103" t="s">
        <v>2807</v>
      </c>
      <c r="H91" s="472" t="s">
        <v>131</v>
      </c>
      <c r="I91" s="472">
        <v>150</v>
      </c>
      <c r="J91" s="472"/>
      <c r="K91" s="472"/>
      <c r="L91" s="472">
        <v>150</v>
      </c>
      <c r="M91" s="472"/>
      <c r="N91" s="472"/>
      <c r="O91" s="472"/>
      <c r="P91" s="103" t="s">
        <v>98</v>
      </c>
      <c r="Q91" s="103" t="s">
        <v>2806</v>
      </c>
      <c r="R91" s="472" t="s">
        <v>36</v>
      </c>
      <c r="S91" s="103" t="s">
        <v>1216</v>
      </c>
      <c r="T91" s="103" t="s">
        <v>49</v>
      </c>
      <c r="U91" s="472" t="s">
        <v>37</v>
      </c>
      <c r="V91" s="472">
        <f t="shared" si="3"/>
        <v>30</v>
      </c>
      <c r="W91" s="472">
        <v>30</v>
      </c>
      <c r="X91" s="472"/>
      <c r="Y91" s="472" t="s">
        <v>2805</v>
      </c>
      <c r="Z91" s="137" t="s">
        <v>1148</v>
      </c>
      <c r="AA91"/>
      <c r="AB91" s="88"/>
      <c r="AC91" s="88"/>
      <c r="AD91" s="88"/>
      <c r="AE91" s="88"/>
    </row>
    <row r="92" spans="1:31" ht="94.5">
      <c r="A92" s="125">
        <v>88</v>
      </c>
      <c r="B92" s="125" t="s">
        <v>874</v>
      </c>
      <c r="C92" s="125" t="s">
        <v>2791</v>
      </c>
      <c r="D92" s="103" t="s">
        <v>2804</v>
      </c>
      <c r="E92" s="472" t="s">
        <v>2803</v>
      </c>
      <c r="F92" s="132" t="s">
        <v>2802</v>
      </c>
      <c r="G92" s="103" t="s">
        <v>2801</v>
      </c>
      <c r="H92" s="472" t="s">
        <v>564</v>
      </c>
      <c r="I92" s="472">
        <v>200</v>
      </c>
      <c r="J92" s="125"/>
      <c r="K92" s="125"/>
      <c r="L92" s="125">
        <v>200</v>
      </c>
      <c r="M92" s="125"/>
      <c r="N92" s="125"/>
      <c r="O92" s="125"/>
      <c r="P92" s="103" t="s">
        <v>6</v>
      </c>
      <c r="Q92" s="103" t="s">
        <v>2800</v>
      </c>
      <c r="R92" s="472" t="s">
        <v>36</v>
      </c>
      <c r="S92" s="472" t="s">
        <v>199</v>
      </c>
      <c r="T92" s="103" t="s">
        <v>2799</v>
      </c>
      <c r="U92" s="472" t="s">
        <v>53</v>
      </c>
      <c r="V92" s="472">
        <f t="shared" si="3"/>
        <v>275</v>
      </c>
      <c r="W92" s="472">
        <v>275</v>
      </c>
      <c r="X92" s="472"/>
      <c r="Y92" s="472" t="s">
        <v>2798</v>
      </c>
      <c r="Z92" s="137" t="s">
        <v>6111</v>
      </c>
    </row>
    <row r="93" spans="1:31" ht="54">
      <c r="A93" s="125">
        <v>89</v>
      </c>
      <c r="B93" s="125" t="s">
        <v>946</v>
      </c>
      <c r="C93" s="125" t="s">
        <v>2791</v>
      </c>
      <c r="D93" s="103" t="s">
        <v>2797</v>
      </c>
      <c r="E93" s="472" t="s">
        <v>2796</v>
      </c>
      <c r="F93" s="132" t="s">
        <v>2795</v>
      </c>
      <c r="G93" s="103" t="s">
        <v>6005</v>
      </c>
      <c r="H93" s="472" t="s">
        <v>2794</v>
      </c>
      <c r="I93" s="472">
        <v>200</v>
      </c>
      <c r="J93" s="103"/>
      <c r="K93" s="103"/>
      <c r="L93" s="103">
        <v>200</v>
      </c>
      <c r="M93" s="103"/>
      <c r="N93" s="103"/>
      <c r="O93" s="103"/>
      <c r="P93" s="103" t="s">
        <v>6</v>
      </c>
      <c r="Q93" s="103" t="s">
        <v>2793</v>
      </c>
      <c r="R93" s="472" t="s">
        <v>36</v>
      </c>
      <c r="S93" s="103" t="s">
        <v>42</v>
      </c>
      <c r="T93" s="103" t="s">
        <v>49</v>
      </c>
      <c r="U93" s="472" t="s">
        <v>37</v>
      </c>
      <c r="V93" s="472">
        <f t="shared" si="3"/>
        <v>40</v>
      </c>
      <c r="W93" s="472">
        <v>40</v>
      </c>
      <c r="X93" s="472"/>
      <c r="Y93" s="472" t="s">
        <v>2792</v>
      </c>
      <c r="Z93" s="137" t="s">
        <v>6155</v>
      </c>
    </row>
    <row r="94" spans="1:31" ht="67.5">
      <c r="A94" s="125">
        <v>90</v>
      </c>
      <c r="B94" s="125" t="s">
        <v>874</v>
      </c>
      <c r="C94" s="126" t="s">
        <v>2791</v>
      </c>
      <c r="D94" s="472" t="s">
        <v>2790</v>
      </c>
      <c r="E94" s="472" t="s">
        <v>2789</v>
      </c>
      <c r="F94" s="132" t="s">
        <v>2788</v>
      </c>
      <c r="G94" s="103" t="s">
        <v>2787</v>
      </c>
      <c r="H94" s="472" t="s">
        <v>2786</v>
      </c>
      <c r="I94" s="472">
        <v>50</v>
      </c>
      <c r="J94" s="160"/>
      <c r="K94" s="160"/>
      <c r="L94" s="160">
        <v>50</v>
      </c>
      <c r="M94" s="160"/>
      <c r="N94" s="160"/>
      <c r="O94" s="160"/>
      <c r="P94" s="103" t="s">
        <v>5</v>
      </c>
      <c r="Q94" s="103" t="s">
        <v>2785</v>
      </c>
      <c r="R94" s="472" t="s">
        <v>36</v>
      </c>
      <c r="S94" s="103" t="s">
        <v>42</v>
      </c>
      <c r="T94" s="103" t="s">
        <v>49</v>
      </c>
      <c r="U94" s="472" t="s">
        <v>37</v>
      </c>
      <c r="V94" s="472">
        <f t="shared" si="3"/>
        <v>6</v>
      </c>
      <c r="W94" s="472">
        <v>6</v>
      </c>
      <c r="X94" s="472"/>
      <c r="Y94" s="472" t="s">
        <v>2784</v>
      </c>
      <c r="Z94" s="137" t="s">
        <v>1148</v>
      </c>
      <c r="AA94"/>
      <c r="AB94" s="88"/>
      <c r="AC94" s="88"/>
      <c r="AD94" s="88"/>
      <c r="AE94" s="88"/>
    </row>
    <row r="95" spans="1:31" ht="50.1" customHeight="1">
      <c r="A95" s="125">
        <v>91</v>
      </c>
      <c r="B95" s="125" t="s">
        <v>946</v>
      </c>
      <c r="C95" s="125" t="s">
        <v>2748</v>
      </c>
      <c r="D95" s="103" t="s">
        <v>2783</v>
      </c>
      <c r="E95" s="472" t="s">
        <v>908</v>
      </c>
      <c r="F95" s="132" t="s">
        <v>2782</v>
      </c>
      <c r="G95" s="103" t="s">
        <v>2781</v>
      </c>
      <c r="H95" s="472" t="s">
        <v>2780</v>
      </c>
      <c r="I95" s="137">
        <f t="shared" ref="I95:I102" si="4">SUM(J95:M95)</f>
        <v>5</v>
      </c>
      <c r="J95" s="125"/>
      <c r="K95" s="125"/>
      <c r="L95" s="125">
        <v>5</v>
      </c>
      <c r="M95" s="103"/>
      <c r="N95" s="472"/>
      <c r="O95" s="132"/>
      <c r="P95" s="103" t="s">
        <v>2</v>
      </c>
      <c r="Q95" s="472" t="s">
        <v>130</v>
      </c>
      <c r="R95" s="137" t="s">
        <v>36</v>
      </c>
      <c r="S95" s="125" t="s">
        <v>750</v>
      </c>
      <c r="T95" s="125" t="s">
        <v>49</v>
      </c>
      <c r="U95" s="125" t="s">
        <v>38</v>
      </c>
      <c r="V95" s="103">
        <f t="shared" si="3"/>
        <v>1</v>
      </c>
      <c r="W95" s="472">
        <v>1</v>
      </c>
      <c r="X95" s="132"/>
      <c r="Y95" s="103" t="s">
        <v>2779</v>
      </c>
      <c r="Z95" s="137" t="s">
        <v>1148</v>
      </c>
      <c r="AA95"/>
      <c r="AB95" s="88"/>
      <c r="AC95" s="88"/>
      <c r="AD95" s="88"/>
      <c r="AE95" s="88"/>
    </row>
    <row r="96" spans="1:31" ht="67.5">
      <c r="A96" s="125">
        <v>92</v>
      </c>
      <c r="B96" s="125" t="s">
        <v>874</v>
      </c>
      <c r="C96" s="125" t="s">
        <v>2748</v>
      </c>
      <c r="D96" s="103" t="s">
        <v>2778</v>
      </c>
      <c r="E96" s="472" t="s">
        <v>2777</v>
      </c>
      <c r="F96" s="132" t="s">
        <v>2776</v>
      </c>
      <c r="G96" s="103" t="s">
        <v>2760</v>
      </c>
      <c r="H96" s="472" t="s">
        <v>2775</v>
      </c>
      <c r="I96" s="137">
        <f t="shared" si="4"/>
        <v>0</v>
      </c>
      <c r="J96" s="125"/>
      <c r="K96" s="125"/>
      <c r="L96" s="125"/>
      <c r="M96" s="103"/>
      <c r="N96" s="472"/>
      <c r="O96" s="132"/>
      <c r="P96" s="103" t="s">
        <v>7</v>
      </c>
      <c r="Q96" s="472" t="s">
        <v>2774</v>
      </c>
      <c r="R96" s="137" t="s">
        <v>36</v>
      </c>
      <c r="S96" s="125" t="s">
        <v>83</v>
      </c>
      <c r="T96" s="125" t="s">
        <v>961</v>
      </c>
      <c r="U96" s="125" t="s">
        <v>38</v>
      </c>
      <c r="V96" s="103">
        <f t="shared" si="3"/>
        <v>450</v>
      </c>
      <c r="W96" s="472">
        <v>450</v>
      </c>
      <c r="X96" s="132"/>
      <c r="Y96" s="103" t="s">
        <v>99</v>
      </c>
      <c r="Z96" s="137" t="s">
        <v>1148</v>
      </c>
      <c r="AA96"/>
      <c r="AB96" s="88"/>
      <c r="AC96" s="88"/>
      <c r="AD96" s="88"/>
      <c r="AE96" s="88"/>
    </row>
    <row r="97" spans="1:31" ht="67.5">
      <c r="A97" s="125">
        <v>93</v>
      </c>
      <c r="B97" s="125" t="s">
        <v>874</v>
      </c>
      <c r="C97" s="125" t="s">
        <v>2748</v>
      </c>
      <c r="D97" s="103" t="s">
        <v>2773</v>
      </c>
      <c r="E97" s="472" t="s">
        <v>2772</v>
      </c>
      <c r="F97" s="132" t="s">
        <v>2771</v>
      </c>
      <c r="G97" s="103" t="s">
        <v>2766</v>
      </c>
      <c r="H97" s="472" t="s">
        <v>1501</v>
      </c>
      <c r="I97" s="137">
        <f t="shared" si="4"/>
        <v>0</v>
      </c>
      <c r="J97" s="125"/>
      <c r="K97" s="125"/>
      <c r="L97" s="125"/>
      <c r="M97" s="103"/>
      <c r="N97" s="472"/>
      <c r="O97" s="132"/>
      <c r="P97" s="103" t="s">
        <v>7</v>
      </c>
      <c r="Q97" s="472" t="s">
        <v>2770</v>
      </c>
      <c r="R97" s="137" t="s">
        <v>36</v>
      </c>
      <c r="S97" s="125" t="s">
        <v>83</v>
      </c>
      <c r="T97" s="125" t="s">
        <v>962</v>
      </c>
      <c r="U97" s="125" t="s">
        <v>38</v>
      </c>
      <c r="V97" s="103">
        <f t="shared" si="3"/>
        <v>63</v>
      </c>
      <c r="W97" s="472">
        <v>63</v>
      </c>
      <c r="X97" s="132"/>
      <c r="Y97" s="103" t="s">
        <v>99</v>
      </c>
      <c r="Z97" s="137" t="s">
        <v>1148</v>
      </c>
      <c r="AA97"/>
      <c r="AB97" s="88"/>
      <c r="AC97" s="88"/>
      <c r="AD97" s="88"/>
      <c r="AE97" s="88"/>
    </row>
    <row r="98" spans="1:31" ht="68.25" thickBot="1">
      <c r="A98" s="125">
        <v>94</v>
      </c>
      <c r="B98" s="125" t="s">
        <v>874</v>
      </c>
      <c r="C98" s="125" t="s">
        <v>2748</v>
      </c>
      <c r="D98" s="103" t="s">
        <v>2769</v>
      </c>
      <c r="E98" s="472" t="s">
        <v>2768</v>
      </c>
      <c r="F98" s="132" t="s">
        <v>2767</v>
      </c>
      <c r="G98" s="103" t="s">
        <v>2766</v>
      </c>
      <c r="H98" s="472" t="s">
        <v>2765</v>
      </c>
      <c r="I98" s="137">
        <f t="shared" si="4"/>
        <v>0</v>
      </c>
      <c r="J98" s="125"/>
      <c r="K98" s="125"/>
      <c r="L98" s="125"/>
      <c r="M98" s="103"/>
      <c r="N98" s="472"/>
      <c r="O98" s="132"/>
      <c r="P98" s="103" t="s">
        <v>7</v>
      </c>
      <c r="Q98" s="472" t="s">
        <v>2764</v>
      </c>
      <c r="R98" s="137" t="s">
        <v>36</v>
      </c>
      <c r="S98" s="125" t="s">
        <v>83</v>
      </c>
      <c r="T98" s="125" t="s">
        <v>962</v>
      </c>
      <c r="U98" s="125" t="s">
        <v>38</v>
      </c>
      <c r="V98" s="103">
        <f t="shared" si="3"/>
        <v>0</v>
      </c>
      <c r="W98" s="472"/>
      <c r="X98" s="132"/>
      <c r="Y98" s="103" t="s">
        <v>99</v>
      </c>
      <c r="Z98" s="256" t="s">
        <v>1148</v>
      </c>
      <c r="AA98"/>
      <c r="AB98" s="88"/>
      <c r="AC98" s="88"/>
      <c r="AD98" s="88"/>
      <c r="AE98" s="88"/>
    </row>
    <row r="99" spans="1:31" ht="68.25" thickBot="1">
      <c r="A99" s="125">
        <v>95</v>
      </c>
      <c r="B99" s="125" t="s">
        <v>874</v>
      </c>
      <c r="C99" s="125" t="s">
        <v>2748</v>
      </c>
      <c r="D99" s="103" t="s">
        <v>2763</v>
      </c>
      <c r="E99" s="472" t="s">
        <v>2762</v>
      </c>
      <c r="F99" s="132" t="s">
        <v>2761</v>
      </c>
      <c r="G99" s="103" t="s">
        <v>2760</v>
      </c>
      <c r="H99" s="472" t="s">
        <v>2759</v>
      </c>
      <c r="I99" s="137">
        <f t="shared" si="4"/>
        <v>0</v>
      </c>
      <c r="J99" s="125"/>
      <c r="K99" s="125"/>
      <c r="L99" s="125"/>
      <c r="M99" s="103"/>
      <c r="N99" s="472"/>
      <c r="O99" s="132"/>
      <c r="P99" s="103" t="s">
        <v>7</v>
      </c>
      <c r="Q99" s="472" t="s">
        <v>2758</v>
      </c>
      <c r="R99" s="137" t="s">
        <v>36</v>
      </c>
      <c r="S99" s="125" t="s">
        <v>83</v>
      </c>
      <c r="T99" s="125" t="s">
        <v>961</v>
      </c>
      <c r="U99" s="125" t="s">
        <v>38</v>
      </c>
      <c r="V99" s="103">
        <f t="shared" si="3"/>
        <v>30</v>
      </c>
      <c r="W99" s="472">
        <v>30</v>
      </c>
      <c r="X99" s="132"/>
      <c r="Y99" s="103" t="s">
        <v>99</v>
      </c>
      <c r="Z99" s="256" t="s">
        <v>1148</v>
      </c>
      <c r="AA99"/>
      <c r="AB99" s="88"/>
      <c r="AC99" s="88"/>
      <c r="AD99" s="88"/>
      <c r="AE99" s="88"/>
    </row>
    <row r="100" spans="1:31" ht="50.1" customHeight="1">
      <c r="A100" s="125">
        <v>96</v>
      </c>
      <c r="B100" s="125" t="s">
        <v>874</v>
      </c>
      <c r="C100" s="125" t="s">
        <v>2748</v>
      </c>
      <c r="D100" s="103" t="s">
        <v>2757</v>
      </c>
      <c r="E100" s="472" t="s">
        <v>2756</v>
      </c>
      <c r="F100" s="132" t="s">
        <v>2755</v>
      </c>
      <c r="G100" s="103" t="s">
        <v>2754</v>
      </c>
      <c r="H100" s="472" t="s">
        <v>367</v>
      </c>
      <c r="I100" s="137">
        <f t="shared" si="4"/>
        <v>35</v>
      </c>
      <c r="J100" s="125"/>
      <c r="K100" s="125"/>
      <c r="L100" s="125"/>
      <c r="M100" s="103">
        <v>35</v>
      </c>
      <c r="N100" s="472" t="s">
        <v>43</v>
      </c>
      <c r="O100" s="132" t="s">
        <v>43</v>
      </c>
      <c r="P100" s="103" t="s">
        <v>31</v>
      </c>
      <c r="Q100" s="472" t="s">
        <v>2753</v>
      </c>
      <c r="R100" s="137" t="s">
        <v>36</v>
      </c>
      <c r="S100" s="125" t="s">
        <v>83</v>
      </c>
      <c r="T100" s="125" t="s">
        <v>61</v>
      </c>
      <c r="U100" s="125" t="s">
        <v>53</v>
      </c>
      <c r="V100" s="103">
        <f t="shared" si="3"/>
        <v>5</v>
      </c>
      <c r="W100" s="472">
        <v>5</v>
      </c>
      <c r="X100" s="132"/>
      <c r="Y100" s="103" t="s">
        <v>234</v>
      </c>
      <c r="Z100" s="137" t="s">
        <v>1148</v>
      </c>
      <c r="AA100" s="255"/>
    </row>
    <row r="101" spans="1:31" ht="54.75" thickBot="1">
      <c r="A101" s="125">
        <v>97</v>
      </c>
      <c r="B101" s="193" t="s">
        <v>874</v>
      </c>
      <c r="C101" s="193" t="s">
        <v>2748</v>
      </c>
      <c r="D101" s="131" t="s">
        <v>1500</v>
      </c>
      <c r="E101" s="194" t="s">
        <v>908</v>
      </c>
      <c r="F101" s="133" t="s">
        <v>2752</v>
      </c>
      <c r="G101" s="131" t="s">
        <v>2751</v>
      </c>
      <c r="H101" s="472" t="s">
        <v>1361</v>
      </c>
      <c r="I101" s="137">
        <f t="shared" si="4"/>
        <v>80</v>
      </c>
      <c r="J101" s="125"/>
      <c r="K101" s="125"/>
      <c r="L101" s="125">
        <v>40</v>
      </c>
      <c r="M101" s="103">
        <v>40</v>
      </c>
      <c r="N101" s="472"/>
      <c r="O101" s="132"/>
      <c r="P101" s="103" t="s">
        <v>6</v>
      </c>
      <c r="Q101" s="472" t="s">
        <v>2750</v>
      </c>
      <c r="R101" s="137" t="s">
        <v>36</v>
      </c>
      <c r="S101" s="125" t="s">
        <v>965</v>
      </c>
      <c r="T101" s="125" t="s">
        <v>61</v>
      </c>
      <c r="U101" s="125" t="s">
        <v>38</v>
      </c>
      <c r="V101" s="103">
        <f t="shared" si="3"/>
        <v>109</v>
      </c>
      <c r="W101" s="472">
        <v>109</v>
      </c>
      <c r="X101" s="132"/>
      <c r="Y101" s="131" t="s">
        <v>2749</v>
      </c>
      <c r="Z101" s="256" t="s">
        <v>1148</v>
      </c>
      <c r="AA101"/>
      <c r="AB101" s="88"/>
      <c r="AC101" s="88"/>
      <c r="AD101" s="88"/>
      <c r="AE101" s="88"/>
    </row>
    <row r="102" spans="1:31" ht="54.75" customHeight="1" thickBot="1">
      <c r="A102" s="340">
        <v>98</v>
      </c>
      <c r="B102" s="329" t="s">
        <v>874</v>
      </c>
      <c r="C102" s="341" t="s">
        <v>2748</v>
      </c>
      <c r="D102" s="233" t="s">
        <v>967</v>
      </c>
      <c r="E102" s="233" t="s">
        <v>968</v>
      </c>
      <c r="F102" s="285" t="s">
        <v>2747</v>
      </c>
      <c r="G102" s="233" t="s">
        <v>969</v>
      </c>
      <c r="H102" s="343" t="s">
        <v>970</v>
      </c>
      <c r="I102" s="344">
        <f t="shared" si="4"/>
        <v>80</v>
      </c>
      <c r="J102" s="345"/>
      <c r="K102" s="346"/>
      <c r="L102" s="346">
        <v>40</v>
      </c>
      <c r="M102" s="343">
        <v>40</v>
      </c>
      <c r="N102" s="347"/>
      <c r="O102" s="348"/>
      <c r="P102" s="194" t="s">
        <v>41</v>
      </c>
      <c r="Q102" s="383" t="s">
        <v>971</v>
      </c>
      <c r="R102" s="194" t="s">
        <v>56</v>
      </c>
      <c r="S102" s="344" t="s">
        <v>965</v>
      </c>
      <c r="T102" s="384" t="s">
        <v>61</v>
      </c>
      <c r="U102" s="385" t="s">
        <v>47</v>
      </c>
      <c r="V102" s="343">
        <f t="shared" si="3"/>
        <v>366</v>
      </c>
      <c r="W102" s="343">
        <v>366</v>
      </c>
      <c r="X102" s="194"/>
      <c r="Y102" s="233" t="s">
        <v>966</v>
      </c>
      <c r="Z102" s="256" t="s">
        <v>1148</v>
      </c>
      <c r="AA102"/>
      <c r="AB102" s="88"/>
      <c r="AC102" s="88"/>
      <c r="AD102" s="88"/>
      <c r="AE102" s="88"/>
    </row>
    <row r="103" spans="1:31" ht="16.5" customHeight="1">
      <c r="A103" s="342"/>
      <c r="B103" s="89"/>
      <c r="C103" s="89"/>
      <c r="AA103"/>
      <c r="AB103"/>
      <c r="AC103"/>
      <c r="AD103"/>
    </row>
    <row r="104" spans="1:31" s="252" customFormat="1">
      <c r="F104" s="3"/>
    </row>
    <row r="105" spans="1:31" s="252" customFormat="1">
      <c r="F105" s="3"/>
    </row>
    <row r="106" spans="1:31" s="252" customFormat="1">
      <c r="F106" s="3"/>
    </row>
    <row r="107" spans="1:31" s="252" customFormat="1">
      <c r="F107" s="3"/>
    </row>
    <row r="108" spans="1:31" s="252" customFormat="1">
      <c r="F108" s="3"/>
    </row>
    <row r="109" spans="1:31" s="252" customFormat="1">
      <c r="F109" s="3"/>
    </row>
    <row r="110" spans="1:31" s="252" customFormat="1">
      <c r="A110" s="334"/>
      <c r="B110" s="334"/>
      <c r="C110" s="334"/>
      <c r="F110" s="3"/>
    </row>
    <row r="111" spans="1:31" s="252" customFormat="1">
      <c r="A111" s="334"/>
      <c r="B111" s="334"/>
      <c r="C111" s="334"/>
      <c r="F111" s="3"/>
    </row>
    <row r="112" spans="1:31" s="252" customFormat="1">
      <c r="A112" s="334"/>
      <c r="B112" s="334"/>
      <c r="C112" s="334"/>
      <c r="F112" s="3"/>
    </row>
  </sheetData>
  <autoFilter ref="B4:Z102">
    <filterColumn colId="3">
      <filters>
        <filter val="10.09.~10.11._x000a_(3일간)"/>
        <filter val="10.12~10.14_x000a_(3일간)"/>
        <filter val="10.16~10.22_x000a_(7일간)"/>
        <filter val="10.25~10.28_x000a_(4일간)"/>
        <filter val="10.30.~11.8._x000a_(10일간)"/>
        <filter val="10.9~10.18_x000a_(10일간)"/>
        <filter val="10월 중"/>
        <filter val="10월 중_x000a_(4일간)"/>
        <filter val="10월 중_x000a_(5일간)"/>
        <filter val="10월~11월 중"/>
        <filter val="10월~11월 중_x000a_(2일간)"/>
        <filter val="10월중_x000a_(2일간)"/>
        <filter val="10월중_x000a_(3일간)"/>
        <filter val="11월 중"/>
        <filter val="11월 중_x000a_(2일간)"/>
        <filter val="11월 중_x000a_(3일간)"/>
        <filter val="11월 첫째 주 _x000a_(예정)"/>
        <filter val="12월 중"/>
        <filter val="12월 중_x000a_(2일간)"/>
        <filter val="2.19~2.23_x000a_(5일간)"/>
        <filter val="20.9월 초_x000a_(미정)"/>
        <filter val="3.14~3.29_x000a_(16일간)"/>
        <filter val="3월 중"/>
        <filter val="4.13~4.14_x000a_(2일간)"/>
        <filter val="4.14 ~ 5.11_x000a_(28일간)"/>
        <filter val="4.18∼4.19_x000a_(예정)"/>
        <filter val="4.24.~4.26._x000a_(3일간)"/>
        <filter val="4.27~4.29                   (3일간)"/>
        <filter val="4.29~4.30_x000a_(2일간)"/>
        <filter val="4.6 ~ 4.26_x000a_(26일간)"/>
        <filter val="4월 중"/>
        <filter val="4월 중_x000a_(2일간)"/>
        <filter val="5. 2.~5. 5._x000a_(4일)"/>
        <filter val="5.1.~5.3_x000a_(3일간)"/>
        <filter val="5.1.~5.3._x000a_(3일간)"/>
        <filter val="5.1~5.11_x000a_(15일간)"/>
        <filter val="5.16.~5.31_x000a_(16일간)"/>
        <filter val="5.16~6.2_x000a_(18일간)"/>
        <filter val="5.23~5.24_x000a_(2일간)"/>
        <filter val="5월 중"/>
        <filter val="5월 중_x000a_(2일간)"/>
        <filter val="6.12.~6.14"/>
        <filter val="6월 중_x000a_(2~3일)"/>
        <filter val="6월 증"/>
        <filter val="7.11.~7.18._x000a_(8일간)"/>
        <filter val="7.17~7.26_x000a_(10일간)"/>
        <filter val="7.24~8.15_x000a_(매주 화~토)"/>
        <filter val="7.31.~8.1._x000a_(2일간)"/>
        <filter val="7~8월 증"/>
        <filter val="7월 중"/>
        <filter val="7월 중_x000a_(2~3일)"/>
        <filter val="7월 중_x000a_(3일간)"/>
        <filter val="7월말~8월초"/>
        <filter val="8~9월 중_x000a_(2일간)"/>
        <filter val="8월 중_x000a_(2일간)"/>
        <filter val="9.12.~9.27_x000a_(16일간)"/>
        <filter val="9.18.~10.4._x000a_(17일간)"/>
        <filter val="9.18~9.20_x000a_(3일간)"/>
        <filter val="9.23∼9.27"/>
        <filter val="9.28~9.30_x000a_(3일간)"/>
        <filter val="9월 중"/>
        <filter val="9월 중_x000a_(2일간)"/>
        <filter val="9월 중_x000a_(30일간)"/>
        <filter val="9월 중_x000a_(3일간)"/>
        <filter val="9월말~10월초"/>
        <filter val="9월중_x000a_(2일간)"/>
        <filter val="미정(10월)"/>
        <filter val="미정(7월 하순~8월 중순)"/>
      </filters>
    </filterColumn>
  </autoFilter>
  <mergeCells count="15">
    <mergeCell ref="A1:X2"/>
    <mergeCell ref="I3:M3"/>
    <mergeCell ref="N3:O3"/>
    <mergeCell ref="V3:X3"/>
    <mergeCell ref="I78:I79"/>
    <mergeCell ref="J78:J79"/>
    <mergeCell ref="K78:K79"/>
    <mergeCell ref="L78:L79"/>
    <mergeCell ref="M78:M79"/>
    <mergeCell ref="P78:P79"/>
    <mergeCell ref="Q78:Q79"/>
    <mergeCell ref="R78:R79"/>
    <mergeCell ref="S78:S79"/>
    <mergeCell ref="T78:T79"/>
    <mergeCell ref="U78:U79"/>
  </mergeCells>
  <phoneticPr fontId="23" type="noConversion"/>
  <dataValidations count="26">
    <dataValidation type="list" allowBlank="1" showInputMessage="1" showErrorMessage="1" sqref="B38:B46">
      <formula1>$B$18:$B$103</formula1>
    </dataValidation>
    <dataValidation type="list" allowBlank="1" showInputMessage="1" showErrorMessage="1" sqref="P52">
      <formula1>$P$202:$P$207</formula1>
    </dataValidation>
    <dataValidation type="list" allowBlank="1" showInputMessage="1" showErrorMessage="1" sqref="B52">
      <formula1>$B$202:$B$218</formula1>
    </dataValidation>
    <dataValidation type="list" allowBlank="1" showInputMessage="1" showErrorMessage="1" sqref="P85:P89">
      <formula1>$P$205:$P$210</formula1>
    </dataValidation>
    <dataValidation type="list" allowBlank="1" showInputMessage="1" showErrorMessage="1" sqref="B85:B89">
      <formula1>$B$205:$B$221</formula1>
    </dataValidation>
    <dataValidation type="list" allowBlank="1" showInputMessage="1" showErrorMessage="1" sqref="B9">
      <formula1>$B$5:$B$32</formula1>
    </dataValidation>
    <dataValidation type="list" allowBlank="1" showInputMessage="1" showErrorMessage="1" sqref="P20:P32">
      <formula1>$P$213:$P$218</formula1>
    </dataValidation>
    <dataValidation type="list" allowBlank="1" showInputMessage="1" showErrorMessage="1" sqref="B20:B32">
      <formula1>$B$213:$B$229</formula1>
    </dataValidation>
    <dataValidation type="list" allowBlank="1" showInputMessage="1" showErrorMessage="1" sqref="P95:P102">
      <formula1>$P$223:$P$228</formula1>
    </dataValidation>
    <dataValidation type="list" allowBlank="1" showInputMessage="1" showErrorMessage="1" sqref="B95:B102">
      <formula1>$B$223:$B$239</formula1>
    </dataValidation>
    <dataValidation type="list" allowBlank="1" showInputMessage="1" showErrorMessage="1" sqref="B93">
      <formula1>$B$10:$B$12</formula1>
    </dataValidation>
    <dataValidation type="list" allowBlank="1" showInputMessage="1" showErrorMessage="1" sqref="P93">
      <formula1>$P$10:$P$12</formula1>
    </dataValidation>
    <dataValidation type="list" allowBlank="1" showInputMessage="1" showErrorMessage="1" sqref="B81:B84">
      <formula1>$B$238:$B$254</formula1>
    </dataValidation>
    <dataValidation type="list" allowBlank="1" showInputMessage="1" showErrorMessage="1" sqref="P81:P84">
      <formula1>$P$239:$P$244</formula1>
    </dataValidation>
    <dataValidation type="list" allowBlank="1" showInputMessage="1" showErrorMessage="1" sqref="P80">
      <formula1>$P$237:$P$242</formula1>
    </dataValidation>
    <dataValidation type="list" allowBlank="1" showInputMessage="1" showErrorMessage="1" sqref="B80">
      <formula1>$B$236:$B$252</formula1>
    </dataValidation>
    <dataValidation type="list" allowBlank="1" showInputMessage="1" showErrorMessage="1" sqref="P62:P65">
      <formula1>$P$253:$P$258</formula1>
    </dataValidation>
    <dataValidation type="list" allowBlank="1" showInputMessage="1" showErrorMessage="1" sqref="B53:B61">
      <formula1>$B$255:$B$271</formula1>
    </dataValidation>
    <dataValidation type="list" allowBlank="1" showInputMessage="1" showErrorMessage="1" sqref="P53:P61">
      <formula1>$P$255:$P$260</formula1>
    </dataValidation>
    <dataValidation type="list" allowBlank="1" showInputMessage="1" showErrorMessage="1" sqref="P39 P44:P45 P42">
      <formula1>$P$273:$P$278</formula1>
    </dataValidation>
    <dataValidation type="list" allowBlank="1" showInputMessage="1" showErrorMessage="1" sqref="P46">
      <formula1>$P$270:$P$275</formula1>
    </dataValidation>
    <dataValidation type="list" allowBlank="1" showInputMessage="1" showErrorMessage="1" sqref="P43">
      <formula1>$P$267:$P$272</formula1>
    </dataValidation>
    <dataValidation type="list" allowBlank="1" showInputMessage="1" showErrorMessage="1" sqref="P9 P40:P41 B33:B37 P33:P38 B90:B92 P94 P90:P92 B94 P66:P79 P51 B51 P47:P48 B47:B49 B62:B79">
      <formula1>#REF!</formula1>
    </dataValidation>
    <dataValidation type="list" allowBlank="1" showInputMessage="1" showErrorMessage="1" sqref="B5:B8">
      <formula1>$B$290:$B$306</formula1>
    </dataValidation>
    <dataValidation type="list" allowBlank="1" showInputMessage="1" showErrorMessage="1" sqref="P5:P8">
      <formula1>$P$290:$P$295</formula1>
    </dataValidation>
    <dataValidation type="list" allowBlank="1" showInputMessage="1" showErrorMessage="1" sqref="B10:B19">
      <formula1>$B$15:$B$104</formula1>
    </dataValidation>
  </dataValidations>
  <pageMargins left="0.7" right="0.7" top="0.75" bottom="0.75" header="0.3" footer="0.3"/>
  <pageSetup paperSize="9" orientation="portrait" horizontalDpi="4294967292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H84"/>
  <sheetViews>
    <sheetView zoomScale="70" zoomScaleNormal="70" workbookViewId="0">
      <selection sqref="A1:Y2"/>
    </sheetView>
  </sheetViews>
  <sheetFormatPr defaultColWidth="8.88671875" defaultRowHeight="13.5"/>
  <cols>
    <col min="1" max="1" width="5.109375" style="332" customWidth="1"/>
    <col min="2" max="2" width="10.77734375" style="332" customWidth="1"/>
    <col min="3" max="3" width="9.109375" style="332" customWidth="1"/>
    <col min="4" max="4" width="22" style="89" bestFit="1" customWidth="1"/>
    <col min="5" max="5" width="12.109375" style="334" customWidth="1"/>
    <col min="6" max="6" width="42" style="89" customWidth="1"/>
    <col min="7" max="7" width="25.109375" style="334" customWidth="1"/>
    <col min="8" max="8" width="12.109375" style="332" customWidth="1"/>
    <col min="9" max="9" width="14.109375" style="338" customWidth="1"/>
    <col min="10" max="10" width="7.6640625" style="339" customWidth="1"/>
    <col min="11" max="14" width="7.6640625" style="338" customWidth="1"/>
    <col min="15" max="15" width="10.109375" style="89" customWidth="1"/>
    <col min="16" max="16" width="30.109375" style="89" customWidth="1"/>
    <col min="17" max="18" width="12.77734375" style="332" customWidth="1"/>
    <col min="19" max="19" width="12.109375" style="332" customWidth="1"/>
    <col min="20" max="20" width="13.33203125" style="332" customWidth="1"/>
    <col min="21" max="21" width="12.77734375" style="332" customWidth="1"/>
    <col min="22" max="22" width="12.109375" style="332" customWidth="1"/>
    <col min="23" max="25" width="12.109375" style="338" customWidth="1"/>
    <col min="26" max="26" width="12.109375" style="332" customWidth="1"/>
    <col min="27" max="27" width="22.44140625" style="337" customWidth="1"/>
    <col min="28" max="16384" width="8.88671875" style="89"/>
  </cols>
  <sheetData>
    <row r="1" spans="1:34" s="1" customFormat="1" ht="29.25" customHeigh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530"/>
      <c r="Z1" s="8"/>
      <c r="AB1"/>
      <c r="AC1"/>
      <c r="AD1"/>
      <c r="AE1"/>
      <c r="AF1"/>
    </row>
    <row r="2" spans="1:34" s="3" customFormat="1" ht="17.2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16"/>
      <c r="AB2"/>
      <c r="AC2"/>
      <c r="AD2"/>
      <c r="AE2"/>
      <c r="AF2"/>
    </row>
    <row r="3" spans="1:34" s="3" customFormat="1" ht="22.5" customHeight="1" thickBot="1">
      <c r="A3" s="4"/>
      <c r="B3" s="4"/>
      <c r="C3" s="4"/>
      <c r="D3" s="2"/>
      <c r="E3" s="4"/>
      <c r="F3" s="2"/>
      <c r="G3" s="4"/>
      <c r="H3" s="4"/>
      <c r="I3" s="536" t="s">
        <v>1012</v>
      </c>
      <c r="J3" s="537"/>
      <c r="K3" s="537"/>
      <c r="L3" s="537"/>
      <c r="M3" s="538"/>
      <c r="N3" s="214"/>
      <c r="O3" s="539" t="s">
        <v>1013</v>
      </c>
      <c r="P3" s="540"/>
      <c r="Q3" s="215"/>
      <c r="R3" s="216"/>
      <c r="S3" s="217"/>
      <c r="T3" s="217"/>
      <c r="U3" s="217"/>
      <c r="V3" s="217"/>
      <c r="W3" s="541" t="s">
        <v>133</v>
      </c>
      <c r="X3" s="542"/>
      <c r="Y3" s="543"/>
      <c r="Z3" s="217"/>
      <c r="AB3"/>
      <c r="AC3"/>
      <c r="AD3"/>
      <c r="AE3"/>
      <c r="AF3"/>
    </row>
    <row r="4" spans="1:34" s="1" customFormat="1" ht="39.75" customHeight="1">
      <c r="A4" s="210" t="s">
        <v>0</v>
      </c>
      <c r="B4" s="210" t="s">
        <v>134</v>
      </c>
      <c r="C4" s="210" t="s">
        <v>1</v>
      </c>
      <c r="D4" s="210" t="s">
        <v>135</v>
      </c>
      <c r="E4" s="211" t="s">
        <v>136</v>
      </c>
      <c r="F4" s="210" t="s">
        <v>137</v>
      </c>
      <c r="G4" s="211" t="s">
        <v>138</v>
      </c>
      <c r="H4" s="211" t="s">
        <v>3</v>
      </c>
      <c r="I4" s="211" t="s">
        <v>139</v>
      </c>
      <c r="J4" s="211" t="s">
        <v>140</v>
      </c>
      <c r="K4" s="211" t="s">
        <v>3560</v>
      </c>
      <c r="L4" s="211" t="s">
        <v>3559</v>
      </c>
      <c r="M4" s="211" t="s">
        <v>141</v>
      </c>
      <c r="N4" s="211" t="s">
        <v>2</v>
      </c>
      <c r="O4" s="211" t="s">
        <v>142</v>
      </c>
      <c r="P4" s="211" t="s">
        <v>143</v>
      </c>
      <c r="Q4" s="211" t="s">
        <v>3558</v>
      </c>
      <c r="R4" s="212" t="s">
        <v>27</v>
      </c>
      <c r="S4" s="212" t="s">
        <v>144</v>
      </c>
      <c r="T4" s="212" t="s">
        <v>145</v>
      </c>
      <c r="U4" s="212" t="s">
        <v>146</v>
      </c>
      <c r="V4" s="212" t="s">
        <v>28</v>
      </c>
      <c r="W4" s="212" t="s">
        <v>33</v>
      </c>
      <c r="X4" s="212" t="s">
        <v>147</v>
      </c>
      <c r="Y4" s="212" t="s">
        <v>148</v>
      </c>
      <c r="Z4" s="212" t="s">
        <v>30</v>
      </c>
      <c r="AA4" s="110" t="s">
        <v>1156</v>
      </c>
      <c r="AB4" s="88"/>
      <c r="AC4" s="88"/>
      <c r="AD4" s="88"/>
      <c r="AE4" s="88"/>
      <c r="AF4" s="88"/>
      <c r="AG4" s="88"/>
      <c r="AH4" s="88"/>
    </row>
    <row r="5" spans="1:34" ht="50.1" customHeight="1">
      <c r="A5" s="125">
        <v>1</v>
      </c>
      <c r="B5" s="125" t="s">
        <v>977</v>
      </c>
      <c r="C5" s="125" t="s">
        <v>3532</v>
      </c>
      <c r="D5" s="472" t="s">
        <v>3557</v>
      </c>
      <c r="E5" s="472" t="s">
        <v>3556</v>
      </c>
      <c r="F5" s="480" t="s">
        <v>3555</v>
      </c>
      <c r="G5" s="472" t="s">
        <v>3554</v>
      </c>
      <c r="H5" s="472" t="s">
        <v>3553</v>
      </c>
      <c r="I5" s="314">
        <v>85</v>
      </c>
      <c r="J5" s="314"/>
      <c r="K5" s="314"/>
      <c r="L5" s="314">
        <v>80</v>
      </c>
      <c r="M5" s="314"/>
      <c r="N5" s="314">
        <v>5</v>
      </c>
      <c r="O5" s="472"/>
      <c r="P5" s="472"/>
      <c r="Q5" s="472" t="s">
        <v>31</v>
      </c>
      <c r="R5" s="472"/>
      <c r="S5" s="472" t="s">
        <v>36</v>
      </c>
      <c r="T5" s="472" t="s">
        <v>246</v>
      </c>
      <c r="U5" s="472" t="s">
        <v>49</v>
      </c>
      <c r="V5" s="472" t="s">
        <v>38</v>
      </c>
      <c r="W5" s="314">
        <f>SUM(X5:Y5)</f>
        <v>30</v>
      </c>
      <c r="X5" s="314">
        <v>30</v>
      </c>
      <c r="Y5" s="314"/>
      <c r="Z5" s="472" t="s">
        <v>3552</v>
      </c>
      <c r="AA5" s="141" t="s">
        <v>1148</v>
      </c>
      <c r="AB5" s="88"/>
      <c r="AC5" s="88"/>
      <c r="AD5" s="88"/>
      <c r="AE5" s="88"/>
      <c r="AF5" s="88"/>
      <c r="AG5" s="88"/>
      <c r="AH5" s="88"/>
    </row>
    <row r="6" spans="1:34" s="1" customFormat="1" ht="50.1" customHeight="1">
      <c r="A6" s="126">
        <v>2</v>
      </c>
      <c r="B6" s="126" t="s">
        <v>977</v>
      </c>
      <c r="C6" s="126" t="s">
        <v>3532</v>
      </c>
      <c r="D6" s="473" t="s">
        <v>3551</v>
      </c>
      <c r="E6" s="472" t="s">
        <v>3550</v>
      </c>
      <c r="F6" s="480" t="s">
        <v>3549</v>
      </c>
      <c r="G6" s="472" t="s">
        <v>3548</v>
      </c>
      <c r="H6" s="473" t="s">
        <v>2786</v>
      </c>
      <c r="I6" s="145">
        <v>37</v>
      </c>
      <c r="J6" s="145"/>
      <c r="K6" s="145">
        <v>12</v>
      </c>
      <c r="L6" s="145">
        <v>25</v>
      </c>
      <c r="M6" s="145"/>
      <c r="N6" s="145"/>
      <c r="O6" s="473"/>
      <c r="P6" s="473"/>
      <c r="Q6" s="473" t="s">
        <v>7</v>
      </c>
      <c r="R6" s="473"/>
      <c r="S6" s="473" t="s">
        <v>36</v>
      </c>
      <c r="T6" s="473" t="s">
        <v>246</v>
      </c>
      <c r="U6" s="473" t="s">
        <v>49</v>
      </c>
      <c r="V6" s="473" t="s">
        <v>37</v>
      </c>
      <c r="W6" s="145">
        <f>SUM(X6:Y6)</f>
        <v>30</v>
      </c>
      <c r="X6" s="145">
        <v>30</v>
      </c>
      <c r="Y6" s="145"/>
      <c r="Z6" s="473" t="s">
        <v>3547</v>
      </c>
      <c r="AA6" s="152" t="s">
        <v>6020</v>
      </c>
      <c r="AB6" s="88"/>
      <c r="AC6" s="88"/>
      <c r="AD6" s="88"/>
      <c r="AE6" s="88"/>
      <c r="AF6" s="88"/>
      <c r="AG6" s="88"/>
      <c r="AH6" s="88"/>
    </row>
    <row r="7" spans="1:34" ht="50.1" customHeight="1">
      <c r="A7" s="125">
        <v>3</v>
      </c>
      <c r="B7" s="125" t="s">
        <v>977</v>
      </c>
      <c r="C7" s="125" t="s">
        <v>3532</v>
      </c>
      <c r="D7" s="472" t="s">
        <v>3546</v>
      </c>
      <c r="E7" s="472" t="s">
        <v>3545</v>
      </c>
      <c r="F7" s="480" t="s">
        <v>3544</v>
      </c>
      <c r="G7" s="472" t="s">
        <v>3543</v>
      </c>
      <c r="H7" s="472" t="s">
        <v>587</v>
      </c>
      <c r="I7" s="315">
        <v>5100</v>
      </c>
      <c r="J7" s="315">
        <v>900</v>
      </c>
      <c r="K7" s="315">
        <v>180</v>
      </c>
      <c r="L7" s="314">
        <v>3000</v>
      </c>
      <c r="M7" s="314"/>
      <c r="N7" s="314">
        <v>1020</v>
      </c>
      <c r="O7" s="472" t="s">
        <v>35</v>
      </c>
      <c r="P7" s="472" t="s">
        <v>3542</v>
      </c>
      <c r="Q7" s="472" t="s">
        <v>46</v>
      </c>
      <c r="R7" s="472" t="s">
        <v>307</v>
      </c>
      <c r="S7" s="472" t="s">
        <v>36</v>
      </c>
      <c r="T7" s="472" t="s">
        <v>199</v>
      </c>
      <c r="U7" s="472" t="s">
        <v>3541</v>
      </c>
      <c r="V7" s="472" t="s">
        <v>38</v>
      </c>
      <c r="W7" s="314" t="s">
        <v>3540</v>
      </c>
      <c r="X7" s="314">
        <v>86</v>
      </c>
      <c r="Y7" s="314"/>
      <c r="Z7" s="472" t="s">
        <v>3539</v>
      </c>
      <c r="AA7" s="137" t="s">
        <v>3538</v>
      </c>
      <c r="AB7" s="88"/>
      <c r="AC7" s="88"/>
      <c r="AD7" s="88"/>
      <c r="AE7" s="88"/>
      <c r="AF7" s="88"/>
      <c r="AG7" s="88"/>
      <c r="AH7" s="88"/>
    </row>
    <row r="8" spans="1:34" ht="50.1" customHeight="1">
      <c r="A8" s="125">
        <v>4</v>
      </c>
      <c r="B8" s="125" t="s">
        <v>977</v>
      </c>
      <c r="C8" s="125" t="s">
        <v>3532</v>
      </c>
      <c r="D8" s="472" t="s">
        <v>3537</v>
      </c>
      <c r="E8" s="472" t="s">
        <v>3536</v>
      </c>
      <c r="F8" s="480" t="s">
        <v>3535</v>
      </c>
      <c r="G8" s="472" t="s">
        <v>3534</v>
      </c>
      <c r="H8" s="472" t="s">
        <v>100</v>
      </c>
      <c r="I8" s="314">
        <v>490</v>
      </c>
      <c r="J8" s="314"/>
      <c r="K8" s="314">
        <v>40</v>
      </c>
      <c r="L8" s="314">
        <v>450</v>
      </c>
      <c r="M8" s="314"/>
      <c r="N8" s="314"/>
      <c r="O8" s="472"/>
      <c r="P8" s="472"/>
      <c r="Q8" s="472" t="s">
        <v>6</v>
      </c>
      <c r="R8" s="472"/>
      <c r="S8" s="472" t="s">
        <v>36</v>
      </c>
      <c r="T8" s="472" t="s">
        <v>42</v>
      </c>
      <c r="U8" s="472"/>
      <c r="V8" s="472" t="s">
        <v>37</v>
      </c>
      <c r="W8" s="314">
        <v>53</v>
      </c>
      <c r="X8" s="314">
        <v>53</v>
      </c>
      <c r="Y8" s="314"/>
      <c r="Z8" s="472" t="s">
        <v>3533</v>
      </c>
      <c r="AA8" s="137" t="s">
        <v>1148</v>
      </c>
    </row>
    <row r="9" spans="1:34" ht="50.1" customHeight="1">
      <c r="A9" s="125">
        <v>5</v>
      </c>
      <c r="B9" s="489" t="s">
        <v>977</v>
      </c>
      <c r="C9" s="472" t="s">
        <v>3532</v>
      </c>
      <c r="D9" s="472" t="s">
        <v>3531</v>
      </c>
      <c r="E9" s="472" t="s">
        <v>1217</v>
      </c>
      <c r="F9" s="480" t="s">
        <v>3530</v>
      </c>
      <c r="G9" s="472" t="s">
        <v>3529</v>
      </c>
      <c r="H9" s="472" t="s">
        <v>304</v>
      </c>
      <c r="I9" s="314">
        <v>216</v>
      </c>
      <c r="J9" s="316"/>
      <c r="K9" s="316"/>
      <c r="L9" s="316">
        <v>216</v>
      </c>
      <c r="M9" s="316"/>
      <c r="N9" s="316"/>
      <c r="O9" s="103"/>
      <c r="P9" s="103"/>
      <c r="Q9" s="472" t="s">
        <v>46</v>
      </c>
      <c r="R9" s="472" t="s">
        <v>3528</v>
      </c>
      <c r="S9" s="472" t="s">
        <v>36</v>
      </c>
      <c r="T9" s="472" t="s">
        <v>42</v>
      </c>
      <c r="U9" s="472" t="s">
        <v>49</v>
      </c>
      <c r="V9" s="472" t="s">
        <v>38</v>
      </c>
      <c r="W9" s="314">
        <f>SUM(X9:Y9)</f>
        <v>100</v>
      </c>
      <c r="X9" s="314">
        <v>90</v>
      </c>
      <c r="Y9" s="314">
        <v>10</v>
      </c>
      <c r="Z9" s="472" t="s">
        <v>3527</v>
      </c>
      <c r="AA9" s="137" t="s">
        <v>6059</v>
      </c>
      <c r="AB9" s="88"/>
      <c r="AC9" s="88"/>
      <c r="AD9" s="88"/>
      <c r="AE9" s="88"/>
      <c r="AF9" s="88"/>
      <c r="AG9" s="88"/>
      <c r="AH9" s="88"/>
    </row>
    <row r="10" spans="1:34" ht="50.1" customHeight="1">
      <c r="A10" s="125">
        <v>6</v>
      </c>
      <c r="B10" s="125" t="s">
        <v>977</v>
      </c>
      <c r="C10" s="125" t="s">
        <v>3526</v>
      </c>
      <c r="D10" s="472" t="s">
        <v>3525</v>
      </c>
      <c r="E10" s="472" t="s">
        <v>236</v>
      </c>
      <c r="F10" s="480" t="s">
        <v>3524</v>
      </c>
      <c r="G10" s="472" t="s">
        <v>3523</v>
      </c>
      <c r="H10" s="472" t="s">
        <v>3522</v>
      </c>
      <c r="I10" s="314">
        <v>800</v>
      </c>
      <c r="J10" s="314"/>
      <c r="K10" s="314">
        <v>70</v>
      </c>
      <c r="L10" s="314">
        <v>730</v>
      </c>
      <c r="M10" s="314"/>
      <c r="N10" s="314"/>
      <c r="O10" s="472"/>
      <c r="P10" s="472"/>
      <c r="Q10" s="472" t="s">
        <v>98</v>
      </c>
      <c r="R10" s="472" t="s">
        <v>3521</v>
      </c>
      <c r="S10" s="472" t="s">
        <v>36</v>
      </c>
      <c r="T10" s="472" t="s">
        <v>42</v>
      </c>
      <c r="U10" s="472" t="s">
        <v>49</v>
      </c>
      <c r="V10" s="472" t="s">
        <v>343</v>
      </c>
      <c r="W10" s="314">
        <f>SUM(X10:Y10)</f>
        <v>96</v>
      </c>
      <c r="X10" s="314">
        <v>96</v>
      </c>
      <c r="Y10" s="314"/>
      <c r="Z10" s="472" t="s">
        <v>3520</v>
      </c>
      <c r="AA10" s="433" t="s">
        <v>1148</v>
      </c>
    </row>
    <row r="11" spans="1:34" ht="50.1" customHeight="1">
      <c r="A11" s="125">
        <v>7</v>
      </c>
      <c r="B11" s="125" t="s">
        <v>977</v>
      </c>
      <c r="C11" s="125" t="s">
        <v>978</v>
      </c>
      <c r="D11" s="472" t="s">
        <v>979</v>
      </c>
      <c r="E11" s="472" t="s">
        <v>3519</v>
      </c>
      <c r="F11" s="480" t="s">
        <v>3518</v>
      </c>
      <c r="G11" s="472" t="s">
        <v>3517</v>
      </c>
      <c r="H11" s="472" t="s">
        <v>3516</v>
      </c>
      <c r="I11" s="314">
        <v>300</v>
      </c>
      <c r="J11" s="314"/>
      <c r="K11" s="314"/>
      <c r="L11" s="314">
        <v>300</v>
      </c>
      <c r="M11" s="314"/>
      <c r="N11" s="314"/>
      <c r="O11" s="472"/>
      <c r="P11" s="472"/>
      <c r="Q11" s="472" t="s">
        <v>41</v>
      </c>
      <c r="R11" s="472" t="s">
        <v>980</v>
      </c>
      <c r="S11" s="472" t="s">
        <v>56</v>
      </c>
      <c r="T11" s="472" t="s">
        <v>83</v>
      </c>
      <c r="U11" s="472" t="s">
        <v>61</v>
      </c>
      <c r="V11" s="472" t="s">
        <v>343</v>
      </c>
      <c r="W11" s="314">
        <v>107</v>
      </c>
      <c r="X11" s="314">
        <v>107</v>
      </c>
      <c r="Y11" s="314"/>
      <c r="Z11" s="472" t="s">
        <v>3515</v>
      </c>
      <c r="AA11" s="137" t="s">
        <v>1148</v>
      </c>
      <c r="AB11" s="88"/>
      <c r="AC11" s="88"/>
      <c r="AD11" s="88"/>
      <c r="AE11" s="88"/>
      <c r="AF11" s="88"/>
      <c r="AG11" s="88"/>
      <c r="AH11" s="88"/>
    </row>
    <row r="12" spans="1:34" ht="50.1" customHeight="1">
      <c r="A12" s="125">
        <v>8</v>
      </c>
      <c r="B12" s="125" t="s">
        <v>977</v>
      </c>
      <c r="C12" s="125" t="s">
        <v>3503</v>
      </c>
      <c r="D12" s="472" t="s">
        <v>3514</v>
      </c>
      <c r="E12" s="472" t="s">
        <v>3513</v>
      </c>
      <c r="F12" s="480" t="s">
        <v>3512</v>
      </c>
      <c r="G12" s="472" t="s">
        <v>3511</v>
      </c>
      <c r="H12" s="472" t="s">
        <v>174</v>
      </c>
      <c r="I12" s="314">
        <v>950</v>
      </c>
      <c r="J12" s="314"/>
      <c r="K12" s="314">
        <v>50</v>
      </c>
      <c r="L12" s="314">
        <v>900</v>
      </c>
      <c r="M12" s="314"/>
      <c r="N12" s="314"/>
      <c r="O12" s="472"/>
      <c r="P12" s="472"/>
      <c r="Q12" s="472" t="s">
        <v>52</v>
      </c>
      <c r="R12" s="472" t="s">
        <v>3510</v>
      </c>
      <c r="S12" s="472" t="s">
        <v>36</v>
      </c>
      <c r="T12" s="472" t="s">
        <v>199</v>
      </c>
      <c r="U12" s="472" t="s">
        <v>49</v>
      </c>
      <c r="V12" s="472" t="s">
        <v>38</v>
      </c>
      <c r="W12" s="314">
        <f>SUM(X12:Y12)</f>
        <v>180</v>
      </c>
      <c r="X12" s="314">
        <v>180</v>
      </c>
      <c r="Y12" s="314"/>
      <c r="Z12" s="472" t="s">
        <v>64</v>
      </c>
      <c r="AA12" s="137" t="s">
        <v>1148</v>
      </c>
      <c r="AB12" s="88"/>
      <c r="AC12" s="88"/>
      <c r="AD12" s="88"/>
      <c r="AE12" s="88"/>
      <c r="AF12" s="88"/>
      <c r="AG12" s="88"/>
      <c r="AH12" s="88"/>
    </row>
    <row r="13" spans="1:34" ht="50.1" customHeight="1">
      <c r="A13" s="125">
        <v>9</v>
      </c>
      <c r="B13" s="125" t="s">
        <v>977</v>
      </c>
      <c r="C13" s="125" t="s">
        <v>981</v>
      </c>
      <c r="D13" s="472" t="s">
        <v>982</v>
      </c>
      <c r="E13" s="472" t="s">
        <v>3509</v>
      </c>
      <c r="F13" s="480" t="s">
        <v>3508</v>
      </c>
      <c r="G13" s="472" t="s">
        <v>983</v>
      </c>
      <c r="H13" s="472" t="s">
        <v>174</v>
      </c>
      <c r="I13" s="314">
        <v>1254</v>
      </c>
      <c r="J13" s="314"/>
      <c r="K13" s="314"/>
      <c r="L13" s="314">
        <v>1254</v>
      </c>
      <c r="M13" s="314"/>
      <c r="N13" s="314"/>
      <c r="O13" s="472"/>
      <c r="P13" s="472"/>
      <c r="Q13" s="472" t="s">
        <v>48</v>
      </c>
      <c r="R13" s="472" t="s">
        <v>963</v>
      </c>
      <c r="S13" s="472" t="s">
        <v>56</v>
      </c>
      <c r="T13" s="472" t="s">
        <v>55</v>
      </c>
      <c r="U13" s="472" t="s">
        <v>3507</v>
      </c>
      <c r="V13" s="472" t="s">
        <v>47</v>
      </c>
      <c r="W13" s="314">
        <v>710</v>
      </c>
      <c r="X13" s="314">
        <v>640</v>
      </c>
      <c r="Y13" s="314">
        <v>70</v>
      </c>
      <c r="Z13" s="472" t="s">
        <v>64</v>
      </c>
      <c r="AA13" s="141" t="s">
        <v>1148</v>
      </c>
    </row>
    <row r="14" spans="1:34" ht="50.1" customHeight="1">
      <c r="A14" s="125">
        <v>10</v>
      </c>
      <c r="B14" s="125" t="s">
        <v>977</v>
      </c>
      <c r="C14" s="125" t="s">
        <v>981</v>
      </c>
      <c r="D14" s="472" t="s">
        <v>984</v>
      </c>
      <c r="E14" s="472" t="s">
        <v>3506</v>
      </c>
      <c r="F14" s="480" t="s">
        <v>985</v>
      </c>
      <c r="G14" s="472" t="s">
        <v>3505</v>
      </c>
      <c r="H14" s="472" t="s">
        <v>3504</v>
      </c>
      <c r="I14" s="314">
        <v>50</v>
      </c>
      <c r="J14" s="314"/>
      <c r="K14" s="314"/>
      <c r="L14" s="314">
        <v>50</v>
      </c>
      <c r="M14" s="314"/>
      <c r="N14" s="314"/>
      <c r="O14" s="472"/>
      <c r="P14" s="472"/>
      <c r="Q14" s="472" t="s">
        <v>41</v>
      </c>
      <c r="R14" s="472" t="s">
        <v>986</v>
      </c>
      <c r="S14" s="472" t="s">
        <v>56</v>
      </c>
      <c r="T14" s="472" t="s">
        <v>750</v>
      </c>
      <c r="U14" s="472" t="s">
        <v>987</v>
      </c>
      <c r="V14" s="472" t="s">
        <v>37</v>
      </c>
      <c r="W14" s="314">
        <v>150</v>
      </c>
      <c r="X14" s="314">
        <v>150</v>
      </c>
      <c r="Y14" s="314"/>
      <c r="Z14" s="472" t="s">
        <v>988</v>
      </c>
      <c r="AA14" s="137" t="s">
        <v>1148</v>
      </c>
      <c r="AB14" s="88"/>
      <c r="AC14" s="88"/>
      <c r="AD14" s="88"/>
      <c r="AE14" s="88"/>
      <c r="AF14" s="88"/>
      <c r="AG14" s="88"/>
      <c r="AH14" s="88"/>
    </row>
    <row r="15" spans="1:34" ht="50.1" customHeight="1">
      <c r="A15" s="125">
        <v>11</v>
      </c>
      <c r="B15" s="125" t="s">
        <v>977</v>
      </c>
      <c r="C15" s="125" t="s">
        <v>3503</v>
      </c>
      <c r="D15" s="472" t="s">
        <v>3502</v>
      </c>
      <c r="E15" s="472" t="s">
        <v>1224</v>
      </c>
      <c r="F15" s="480" t="s">
        <v>3501</v>
      </c>
      <c r="G15" s="472" t="s">
        <v>3500</v>
      </c>
      <c r="H15" s="472" t="s">
        <v>40</v>
      </c>
      <c r="I15" s="314">
        <v>32</v>
      </c>
      <c r="J15" s="314"/>
      <c r="K15" s="314">
        <v>12</v>
      </c>
      <c r="L15" s="314">
        <v>20</v>
      </c>
      <c r="M15" s="314"/>
      <c r="N15" s="314"/>
      <c r="O15" s="472"/>
      <c r="P15" s="472"/>
      <c r="Q15" s="472" t="s">
        <v>48</v>
      </c>
      <c r="R15" s="472" t="s">
        <v>3499</v>
      </c>
      <c r="S15" s="472" t="s">
        <v>36</v>
      </c>
      <c r="T15" s="472" t="s">
        <v>68</v>
      </c>
      <c r="U15" s="472" t="s">
        <v>49</v>
      </c>
      <c r="V15" s="472" t="s">
        <v>38</v>
      </c>
      <c r="W15" s="314">
        <f>SUM(X15:Y15)</f>
        <v>2</v>
      </c>
      <c r="X15" s="314">
        <v>2</v>
      </c>
      <c r="Y15" s="314"/>
      <c r="Z15" s="472" t="s">
        <v>99</v>
      </c>
      <c r="AA15" s="141" t="s">
        <v>1148</v>
      </c>
      <c r="AB15" s="88"/>
      <c r="AC15" s="88"/>
      <c r="AD15" s="88"/>
      <c r="AE15" s="88"/>
      <c r="AF15" s="88"/>
      <c r="AG15" s="88"/>
      <c r="AH15" s="88"/>
    </row>
    <row r="16" spans="1:34" s="409" customFormat="1" ht="50.1" customHeight="1">
      <c r="A16" s="125">
        <v>12</v>
      </c>
      <c r="B16" s="321" t="s">
        <v>977</v>
      </c>
      <c r="C16" s="317" t="s">
        <v>3471</v>
      </c>
      <c r="D16" s="318" t="s">
        <v>3498</v>
      </c>
      <c r="E16" s="222" t="s">
        <v>3497</v>
      </c>
      <c r="F16" s="223" t="s">
        <v>3496</v>
      </c>
      <c r="G16" s="222" t="s">
        <v>3495</v>
      </c>
      <c r="H16" s="319" t="s">
        <v>1218</v>
      </c>
      <c r="I16" s="320">
        <v>470</v>
      </c>
      <c r="J16" s="320"/>
      <c r="K16" s="320">
        <v>50</v>
      </c>
      <c r="L16" s="320">
        <v>420</v>
      </c>
      <c r="M16" s="320"/>
      <c r="N16" s="320"/>
      <c r="O16" s="321"/>
      <c r="P16" s="321"/>
      <c r="Q16" s="317" t="s">
        <v>48</v>
      </c>
      <c r="R16" s="319" t="s">
        <v>3494</v>
      </c>
      <c r="S16" s="317" t="s">
        <v>36</v>
      </c>
      <c r="T16" s="317" t="s">
        <v>3464</v>
      </c>
      <c r="U16" s="319" t="s">
        <v>3493</v>
      </c>
      <c r="V16" s="317" t="s">
        <v>53</v>
      </c>
      <c r="W16" s="322">
        <f>SUM(X16:Y16)</f>
        <v>339</v>
      </c>
      <c r="X16" s="320">
        <v>337</v>
      </c>
      <c r="Y16" s="320">
        <v>2</v>
      </c>
      <c r="Z16" s="319" t="s">
        <v>3492</v>
      </c>
      <c r="AA16" s="408" t="s">
        <v>1148</v>
      </c>
    </row>
    <row r="17" spans="1:34" ht="50.1" customHeight="1">
      <c r="A17" s="125">
        <v>13</v>
      </c>
      <c r="B17" s="125" t="s">
        <v>977</v>
      </c>
      <c r="C17" s="125" t="s">
        <v>3471</v>
      </c>
      <c r="D17" s="125" t="s">
        <v>3491</v>
      </c>
      <c r="E17" s="472" t="s">
        <v>3490</v>
      </c>
      <c r="F17" s="480" t="s">
        <v>3489</v>
      </c>
      <c r="G17" s="472" t="s">
        <v>3488</v>
      </c>
      <c r="H17" s="472" t="s">
        <v>564</v>
      </c>
      <c r="I17" s="324">
        <v>250</v>
      </c>
      <c r="J17" s="324"/>
      <c r="K17" s="324"/>
      <c r="L17" s="324">
        <v>250</v>
      </c>
      <c r="M17" s="324"/>
      <c r="N17" s="324"/>
      <c r="O17" s="154"/>
      <c r="P17" s="154"/>
      <c r="Q17" s="125" t="s">
        <v>48</v>
      </c>
      <c r="R17" s="472" t="s">
        <v>3487</v>
      </c>
      <c r="S17" s="317" t="s">
        <v>36</v>
      </c>
      <c r="T17" s="317" t="s">
        <v>3464</v>
      </c>
      <c r="U17" s="125" t="s">
        <v>1292</v>
      </c>
      <c r="V17" s="125" t="s">
        <v>1292</v>
      </c>
      <c r="W17" s="322">
        <v>110</v>
      </c>
      <c r="X17" s="320">
        <v>110</v>
      </c>
      <c r="Y17" s="320"/>
      <c r="Z17" s="472" t="s">
        <v>3486</v>
      </c>
      <c r="AA17" s="141" t="s">
        <v>1148</v>
      </c>
      <c r="AB17" s="88"/>
      <c r="AC17" s="88"/>
      <c r="AD17" s="88"/>
      <c r="AE17" s="88"/>
      <c r="AF17" s="88"/>
      <c r="AG17" s="88"/>
      <c r="AH17" s="88"/>
    </row>
    <row r="18" spans="1:34" ht="50.1" customHeight="1">
      <c r="A18" s="125">
        <v>14</v>
      </c>
      <c r="B18" s="125" t="s">
        <v>977</v>
      </c>
      <c r="C18" s="125" t="s">
        <v>3471</v>
      </c>
      <c r="D18" s="472" t="s">
        <v>3485</v>
      </c>
      <c r="E18" s="472" t="s">
        <v>3484</v>
      </c>
      <c r="F18" s="480" t="s">
        <v>3483</v>
      </c>
      <c r="G18" s="472" t="s">
        <v>3482</v>
      </c>
      <c r="H18" s="472" t="s">
        <v>3481</v>
      </c>
      <c r="I18" s="324">
        <f>L18+N18</f>
        <v>235</v>
      </c>
      <c r="J18" s="324"/>
      <c r="K18" s="324"/>
      <c r="L18" s="324">
        <v>185</v>
      </c>
      <c r="M18" s="324"/>
      <c r="N18" s="324">
        <v>50</v>
      </c>
      <c r="O18" s="154"/>
      <c r="P18" s="154"/>
      <c r="Q18" s="125" t="s">
        <v>98</v>
      </c>
      <c r="R18" s="472" t="s">
        <v>3480</v>
      </c>
      <c r="S18" s="125" t="s">
        <v>36</v>
      </c>
      <c r="T18" s="125" t="s">
        <v>3464</v>
      </c>
      <c r="U18" s="472" t="s">
        <v>3479</v>
      </c>
      <c r="V18" s="125" t="s">
        <v>37</v>
      </c>
      <c r="W18" s="322">
        <v>10</v>
      </c>
      <c r="X18" s="320">
        <v>10</v>
      </c>
      <c r="Y18" s="320"/>
      <c r="Z18" s="472" t="s">
        <v>3478</v>
      </c>
      <c r="AA18" s="141" t="s">
        <v>1148</v>
      </c>
      <c r="AB18" s="88"/>
      <c r="AC18" s="88"/>
      <c r="AD18" s="88"/>
      <c r="AE18" s="88"/>
      <c r="AF18" s="88"/>
      <c r="AG18" s="88"/>
      <c r="AH18" s="88"/>
    </row>
    <row r="19" spans="1:34" s="3" customFormat="1" ht="50.1" customHeight="1">
      <c r="A19" s="125">
        <v>15</v>
      </c>
      <c r="B19" s="147" t="s">
        <v>977</v>
      </c>
      <c r="C19" s="147" t="s">
        <v>3471</v>
      </c>
      <c r="D19" s="114" t="s">
        <v>3477</v>
      </c>
      <c r="E19" s="472" t="s">
        <v>3476</v>
      </c>
      <c r="F19" s="480" t="s">
        <v>3475</v>
      </c>
      <c r="G19" s="472" t="s">
        <v>3474</v>
      </c>
      <c r="H19" s="114" t="s">
        <v>3157</v>
      </c>
      <c r="I19" s="227">
        <v>149</v>
      </c>
      <c r="J19" s="227"/>
      <c r="K19" s="227"/>
      <c r="L19" s="227">
        <v>149</v>
      </c>
      <c r="M19" s="227"/>
      <c r="N19" s="227"/>
      <c r="O19" s="149"/>
      <c r="P19" s="149"/>
      <c r="Q19" s="147" t="s">
        <v>52</v>
      </c>
      <c r="R19" s="114" t="s">
        <v>3473</v>
      </c>
      <c r="S19" s="147" t="s">
        <v>36</v>
      </c>
      <c r="T19" s="147" t="s">
        <v>3464</v>
      </c>
      <c r="U19" s="147" t="s">
        <v>1292</v>
      </c>
      <c r="V19" s="147" t="s">
        <v>1292</v>
      </c>
      <c r="W19" s="226">
        <f>SUM(X19:Y19)</f>
        <v>0</v>
      </c>
      <c r="X19" s="225"/>
      <c r="Y19" s="225"/>
      <c r="Z19" s="114" t="s">
        <v>3472</v>
      </c>
      <c r="AA19" s="151" t="s">
        <v>1148</v>
      </c>
      <c r="AB19" s="252"/>
      <c r="AC19" s="252"/>
      <c r="AD19" s="252"/>
      <c r="AE19" s="252"/>
      <c r="AF19" s="252"/>
      <c r="AG19" s="252"/>
      <c r="AH19" s="252"/>
    </row>
    <row r="20" spans="1:34" s="252" customFormat="1" ht="50.1" customHeight="1">
      <c r="A20" s="125">
        <v>16</v>
      </c>
      <c r="B20" s="125" t="s">
        <v>977</v>
      </c>
      <c r="C20" s="125" t="s">
        <v>3471</v>
      </c>
      <c r="D20" s="125" t="s">
        <v>3470</v>
      </c>
      <c r="E20" s="472" t="s">
        <v>3469</v>
      </c>
      <c r="F20" s="480" t="s">
        <v>3468</v>
      </c>
      <c r="G20" s="472" t="s">
        <v>3467</v>
      </c>
      <c r="H20" s="472" t="s">
        <v>3466</v>
      </c>
      <c r="I20" s="324">
        <v>526</v>
      </c>
      <c r="J20" s="324"/>
      <c r="K20" s="324"/>
      <c r="L20" s="324">
        <v>526</v>
      </c>
      <c r="M20" s="324"/>
      <c r="N20" s="324"/>
      <c r="O20" s="154"/>
      <c r="P20" s="154"/>
      <c r="Q20" s="125" t="s">
        <v>46</v>
      </c>
      <c r="R20" s="472" t="s">
        <v>3465</v>
      </c>
      <c r="S20" s="125" t="s">
        <v>36</v>
      </c>
      <c r="T20" s="125" t="s">
        <v>3464</v>
      </c>
      <c r="U20" s="472" t="s">
        <v>3463</v>
      </c>
      <c r="V20" s="125" t="s">
        <v>3462</v>
      </c>
      <c r="W20" s="314">
        <v>30</v>
      </c>
      <c r="X20" s="324">
        <v>30</v>
      </c>
      <c r="Y20" s="324"/>
      <c r="Z20" s="125" t="s">
        <v>3461</v>
      </c>
      <c r="AA20" s="141" t="s">
        <v>1148</v>
      </c>
      <c r="AB20" s="88"/>
      <c r="AC20" s="88"/>
      <c r="AD20" s="88"/>
      <c r="AE20" s="88"/>
      <c r="AF20" s="88"/>
      <c r="AG20" s="88"/>
      <c r="AH20" s="88"/>
    </row>
    <row r="21" spans="1:34" s="252" customFormat="1" ht="50.1" customHeight="1">
      <c r="A21" s="125">
        <v>17</v>
      </c>
      <c r="B21" s="125" t="s">
        <v>3316</v>
      </c>
      <c r="C21" s="125" t="s">
        <v>3439</v>
      </c>
      <c r="D21" s="125" t="s">
        <v>3460</v>
      </c>
      <c r="E21" s="472" t="s">
        <v>3459</v>
      </c>
      <c r="F21" s="480" t="s">
        <v>3458</v>
      </c>
      <c r="G21" s="472" t="s">
        <v>3436</v>
      </c>
      <c r="H21" s="472" t="s">
        <v>3457</v>
      </c>
      <c r="I21" s="325">
        <v>2185</v>
      </c>
      <c r="J21" s="324"/>
      <c r="K21" s="324">
        <v>500</v>
      </c>
      <c r="L21" s="325">
        <v>1485</v>
      </c>
      <c r="M21" s="324"/>
      <c r="N21" s="324">
        <v>200</v>
      </c>
      <c r="O21" s="154"/>
      <c r="P21" s="154"/>
      <c r="Q21" s="472" t="s">
        <v>46</v>
      </c>
      <c r="R21" s="472" t="s">
        <v>3456</v>
      </c>
      <c r="S21" s="472" t="s">
        <v>36</v>
      </c>
      <c r="T21" s="472" t="s">
        <v>42</v>
      </c>
      <c r="U21" s="472" t="s">
        <v>3455</v>
      </c>
      <c r="V21" s="472" t="s">
        <v>53</v>
      </c>
      <c r="W21" s="314">
        <f>SUM(X21:Y21)</f>
        <v>195</v>
      </c>
      <c r="X21" s="325">
        <v>195</v>
      </c>
      <c r="Y21" s="324" t="s">
        <v>43</v>
      </c>
      <c r="Z21" s="472" t="s">
        <v>844</v>
      </c>
      <c r="AA21" s="202" t="s">
        <v>6007</v>
      </c>
      <c r="AB21" s="88"/>
      <c r="AC21" s="88"/>
      <c r="AD21" s="88"/>
      <c r="AE21" s="88"/>
      <c r="AF21" s="88"/>
      <c r="AG21" s="88"/>
      <c r="AH21" s="88"/>
    </row>
    <row r="22" spans="1:34" s="252" customFormat="1" ht="50.1" customHeight="1">
      <c r="A22" s="125">
        <v>18</v>
      </c>
      <c r="B22" s="125" t="s">
        <v>3316</v>
      </c>
      <c r="C22" s="125" t="s">
        <v>3439</v>
      </c>
      <c r="D22" s="125" t="s">
        <v>3454</v>
      </c>
      <c r="E22" s="472" t="s">
        <v>1520</v>
      </c>
      <c r="F22" s="480" t="s">
        <v>3453</v>
      </c>
      <c r="G22" s="472" t="s">
        <v>3452</v>
      </c>
      <c r="H22" s="472" t="s">
        <v>3451</v>
      </c>
      <c r="I22" s="324">
        <v>509</v>
      </c>
      <c r="J22" s="324"/>
      <c r="K22" s="324">
        <v>40</v>
      </c>
      <c r="L22" s="324">
        <v>469</v>
      </c>
      <c r="M22" s="324"/>
      <c r="N22" s="324"/>
      <c r="O22" s="154"/>
      <c r="P22" s="154"/>
      <c r="Q22" s="472" t="s">
        <v>46</v>
      </c>
      <c r="R22" s="472" t="s">
        <v>3450</v>
      </c>
      <c r="S22" s="472" t="s">
        <v>36</v>
      </c>
      <c r="T22" s="472" t="s">
        <v>42</v>
      </c>
      <c r="U22" s="472" t="s">
        <v>1292</v>
      </c>
      <c r="V22" s="472" t="s">
        <v>53</v>
      </c>
      <c r="W22" s="315">
        <f>SUM(X22:Y22)</f>
        <v>64</v>
      </c>
      <c r="X22" s="325">
        <v>64</v>
      </c>
      <c r="Y22" s="324" t="s">
        <v>43</v>
      </c>
      <c r="Z22" s="472" t="s">
        <v>240</v>
      </c>
      <c r="AA22" s="141" t="s">
        <v>1148</v>
      </c>
    </row>
    <row r="23" spans="1:34" s="252" customFormat="1" ht="50.1" hidden="1" customHeight="1">
      <c r="A23" s="125">
        <v>19</v>
      </c>
      <c r="B23" s="125" t="s">
        <v>3316</v>
      </c>
      <c r="C23" s="125" t="s">
        <v>3439</v>
      </c>
      <c r="D23" s="472" t="s">
        <v>3449</v>
      </c>
      <c r="E23" s="472" t="s">
        <v>3448</v>
      </c>
      <c r="F23" s="480" t="s">
        <v>3447</v>
      </c>
      <c r="G23" s="472" t="s">
        <v>3436</v>
      </c>
      <c r="H23" s="472" t="s">
        <v>3446</v>
      </c>
      <c r="I23" s="324">
        <v>20</v>
      </c>
      <c r="J23" s="324"/>
      <c r="K23" s="324"/>
      <c r="L23" s="324">
        <v>20</v>
      </c>
      <c r="M23" s="324"/>
      <c r="N23" s="324"/>
      <c r="O23" s="154"/>
      <c r="P23" s="154"/>
      <c r="Q23" s="472" t="s">
        <v>5</v>
      </c>
      <c r="R23" s="472" t="s">
        <v>3445</v>
      </c>
      <c r="S23" s="472" t="s">
        <v>36</v>
      </c>
      <c r="T23" s="472" t="s">
        <v>68</v>
      </c>
      <c r="U23" s="472" t="s">
        <v>1292</v>
      </c>
      <c r="V23" s="472" t="s">
        <v>38</v>
      </c>
      <c r="W23" s="314">
        <f>SUM(X23:Y23)</f>
        <v>24</v>
      </c>
      <c r="X23" s="324">
        <v>24</v>
      </c>
      <c r="Y23" s="324" t="s">
        <v>43</v>
      </c>
      <c r="Z23" s="472" t="s">
        <v>240</v>
      </c>
      <c r="AA23" s="141"/>
    </row>
    <row r="24" spans="1:34" s="252" customFormat="1" ht="50.1" customHeight="1">
      <c r="A24" s="125">
        <v>20</v>
      </c>
      <c r="B24" s="125" t="s">
        <v>3316</v>
      </c>
      <c r="C24" s="125" t="s">
        <v>3439</v>
      </c>
      <c r="D24" s="125" t="s">
        <v>3444</v>
      </c>
      <c r="E24" s="472" t="s">
        <v>908</v>
      </c>
      <c r="F24" s="480" t="s">
        <v>3443</v>
      </c>
      <c r="G24" s="472" t="s">
        <v>3442</v>
      </c>
      <c r="H24" s="472" t="s">
        <v>3441</v>
      </c>
      <c r="I24" s="324">
        <v>15</v>
      </c>
      <c r="J24" s="324"/>
      <c r="K24" s="324"/>
      <c r="L24" s="324">
        <v>15</v>
      </c>
      <c r="M24" s="324"/>
      <c r="N24" s="324"/>
      <c r="O24" s="154"/>
      <c r="P24" s="154"/>
      <c r="Q24" s="472" t="s">
        <v>5</v>
      </c>
      <c r="R24" s="472" t="s">
        <v>3440</v>
      </c>
      <c r="S24" s="472" t="s">
        <v>36</v>
      </c>
      <c r="T24" s="472" t="s">
        <v>68</v>
      </c>
      <c r="U24" s="472" t="s">
        <v>1292</v>
      </c>
      <c r="V24" s="472" t="s">
        <v>38</v>
      </c>
      <c r="W24" s="314">
        <f>SUM(X24:Y24)</f>
        <v>197</v>
      </c>
      <c r="X24" s="324">
        <v>197</v>
      </c>
      <c r="Y24" s="324" t="s">
        <v>43</v>
      </c>
      <c r="Z24" s="472" t="s">
        <v>240</v>
      </c>
      <c r="AA24" s="137" t="s">
        <v>1148</v>
      </c>
      <c r="AB24" s="88"/>
      <c r="AC24" s="88"/>
      <c r="AD24" s="88"/>
      <c r="AE24" s="88"/>
      <c r="AF24" s="88"/>
      <c r="AG24" s="88"/>
      <c r="AH24" s="88"/>
    </row>
    <row r="25" spans="1:34" s="252" customFormat="1" ht="50.1" customHeight="1">
      <c r="A25" s="125">
        <v>21</v>
      </c>
      <c r="B25" s="125" t="s">
        <v>3316</v>
      </c>
      <c r="C25" s="125" t="s">
        <v>3439</v>
      </c>
      <c r="D25" s="472" t="s">
        <v>3438</v>
      </c>
      <c r="E25" s="472" t="s">
        <v>1522</v>
      </c>
      <c r="F25" s="480" t="s">
        <v>3437</v>
      </c>
      <c r="G25" s="472" t="s">
        <v>3436</v>
      </c>
      <c r="H25" s="472" t="s">
        <v>3435</v>
      </c>
      <c r="I25" s="324">
        <v>21</v>
      </c>
      <c r="J25" s="324"/>
      <c r="K25" s="324">
        <v>10</v>
      </c>
      <c r="L25" s="324">
        <v>11</v>
      </c>
      <c r="M25" s="324"/>
      <c r="N25" s="324"/>
      <c r="O25" s="154"/>
      <c r="P25" s="154"/>
      <c r="Q25" s="472" t="s">
        <v>48</v>
      </c>
      <c r="R25" s="472" t="s">
        <v>3434</v>
      </c>
      <c r="S25" s="472" t="s">
        <v>36</v>
      </c>
      <c r="T25" s="472" t="s">
        <v>68</v>
      </c>
      <c r="U25" s="472" t="s">
        <v>1292</v>
      </c>
      <c r="V25" s="472" t="s">
        <v>38</v>
      </c>
      <c r="W25" s="324">
        <v>3</v>
      </c>
      <c r="X25" s="324">
        <v>3</v>
      </c>
      <c r="Y25" s="324" t="s">
        <v>43</v>
      </c>
      <c r="Z25" s="472" t="s">
        <v>99</v>
      </c>
      <c r="AA25" s="141" t="s">
        <v>1148</v>
      </c>
      <c r="AB25" s="88"/>
      <c r="AC25" s="88"/>
      <c r="AD25" s="88"/>
      <c r="AE25" s="88"/>
      <c r="AF25" s="88"/>
      <c r="AG25" s="88"/>
      <c r="AH25" s="88"/>
    </row>
    <row r="26" spans="1:34" ht="50.1" customHeight="1">
      <c r="A26" s="125">
        <v>22</v>
      </c>
      <c r="B26" s="125" t="s">
        <v>3316</v>
      </c>
      <c r="C26" s="125" t="s">
        <v>3416</v>
      </c>
      <c r="D26" s="472" t="s">
        <v>3433</v>
      </c>
      <c r="E26" s="472" t="s">
        <v>1527</v>
      </c>
      <c r="F26" s="480" t="s">
        <v>3432</v>
      </c>
      <c r="G26" s="472" t="s">
        <v>3421</v>
      </c>
      <c r="H26" s="472" t="s">
        <v>1222</v>
      </c>
      <c r="I26" s="314">
        <v>163</v>
      </c>
      <c r="J26" s="314"/>
      <c r="K26" s="314"/>
      <c r="L26" s="314">
        <v>163</v>
      </c>
      <c r="M26" s="314"/>
      <c r="N26" s="314"/>
      <c r="O26" s="472"/>
      <c r="P26" s="472"/>
      <c r="Q26" s="472" t="s">
        <v>5</v>
      </c>
      <c r="R26" s="472" t="s">
        <v>3431</v>
      </c>
      <c r="S26" s="472" t="s">
        <v>36</v>
      </c>
      <c r="T26" s="472" t="s">
        <v>3430</v>
      </c>
      <c r="U26" s="472" t="s">
        <v>43</v>
      </c>
      <c r="V26" s="472" t="s">
        <v>38</v>
      </c>
      <c r="W26" s="314">
        <f>SUM(X26:Y26)</f>
        <v>60</v>
      </c>
      <c r="X26" s="314">
        <v>60</v>
      </c>
      <c r="Y26" s="314"/>
      <c r="Z26" s="472" t="s">
        <v>3429</v>
      </c>
      <c r="AA26" s="137" t="s">
        <v>1148</v>
      </c>
      <c r="AB26" s="88"/>
      <c r="AC26" s="88"/>
      <c r="AD26" s="88"/>
      <c r="AE26" s="88"/>
      <c r="AF26" s="88"/>
      <c r="AG26" s="88"/>
      <c r="AH26" s="88"/>
    </row>
    <row r="27" spans="1:34" ht="50.1" customHeight="1">
      <c r="A27" s="125">
        <v>23</v>
      </c>
      <c r="B27" s="125" t="s">
        <v>3316</v>
      </c>
      <c r="C27" s="125" t="s">
        <v>3416</v>
      </c>
      <c r="D27" s="472" t="s">
        <v>3428</v>
      </c>
      <c r="E27" s="472" t="s">
        <v>1526</v>
      </c>
      <c r="F27" s="480" t="s">
        <v>3427</v>
      </c>
      <c r="G27" s="472" t="s">
        <v>3421</v>
      </c>
      <c r="H27" s="472" t="s">
        <v>608</v>
      </c>
      <c r="I27" s="326">
        <v>50</v>
      </c>
      <c r="J27" s="326"/>
      <c r="K27" s="326">
        <v>12</v>
      </c>
      <c r="L27" s="326">
        <v>20</v>
      </c>
      <c r="M27" s="326"/>
      <c r="N27" s="314" t="s">
        <v>3426</v>
      </c>
      <c r="O27" s="472"/>
      <c r="P27" s="472"/>
      <c r="Q27" s="472" t="s">
        <v>6</v>
      </c>
      <c r="R27" s="472" t="s">
        <v>3425</v>
      </c>
      <c r="S27" s="472" t="s">
        <v>36</v>
      </c>
      <c r="T27" s="472" t="s">
        <v>42</v>
      </c>
      <c r="U27" s="472" t="s">
        <v>43</v>
      </c>
      <c r="V27" s="472" t="s">
        <v>3418</v>
      </c>
      <c r="W27" s="314">
        <f>SUM(X27:Y27)</f>
        <v>3</v>
      </c>
      <c r="X27" s="314">
        <v>3</v>
      </c>
      <c r="Y27" s="314"/>
      <c r="Z27" s="472" t="s">
        <v>3424</v>
      </c>
      <c r="AA27" s="137" t="s">
        <v>1148</v>
      </c>
      <c r="AB27" s="88"/>
      <c r="AC27" s="88"/>
      <c r="AD27" s="88"/>
      <c r="AE27" s="88"/>
      <c r="AF27" s="88"/>
      <c r="AG27" s="88"/>
      <c r="AH27" s="88"/>
    </row>
    <row r="28" spans="1:34" ht="50.1" customHeight="1">
      <c r="A28" s="125">
        <v>24</v>
      </c>
      <c r="B28" s="125" t="s">
        <v>3316</v>
      </c>
      <c r="C28" s="125" t="s">
        <v>3416</v>
      </c>
      <c r="D28" s="472" t="s">
        <v>3423</v>
      </c>
      <c r="E28" s="472" t="s">
        <v>1525</v>
      </c>
      <c r="F28" s="480" t="s">
        <v>3422</v>
      </c>
      <c r="G28" s="472" t="s">
        <v>3421</v>
      </c>
      <c r="H28" s="472" t="s">
        <v>1361</v>
      </c>
      <c r="I28" s="314">
        <v>61</v>
      </c>
      <c r="J28" s="314"/>
      <c r="K28" s="314">
        <v>10</v>
      </c>
      <c r="L28" s="314">
        <v>11</v>
      </c>
      <c r="M28" s="314"/>
      <c r="N28" s="314" t="s">
        <v>3420</v>
      </c>
      <c r="O28" s="472"/>
      <c r="P28" s="472"/>
      <c r="Q28" s="472" t="s">
        <v>6</v>
      </c>
      <c r="R28" s="472" t="s">
        <v>3419</v>
      </c>
      <c r="S28" s="472" t="s">
        <v>36</v>
      </c>
      <c r="T28" s="472" t="s">
        <v>68</v>
      </c>
      <c r="U28" s="472" t="s">
        <v>43</v>
      </c>
      <c r="V28" s="472" t="s">
        <v>3418</v>
      </c>
      <c r="W28" s="314">
        <f>SUM(X28:Y28)</f>
        <v>1</v>
      </c>
      <c r="X28" s="314">
        <v>1</v>
      </c>
      <c r="Y28" s="314"/>
      <c r="Z28" s="472" t="s">
        <v>3417</v>
      </c>
      <c r="AA28" s="141" t="s">
        <v>1148</v>
      </c>
      <c r="AB28" s="88"/>
      <c r="AC28" s="88"/>
      <c r="AD28" s="88"/>
      <c r="AE28" s="88"/>
      <c r="AF28" s="88"/>
      <c r="AG28" s="88"/>
      <c r="AH28" s="88"/>
    </row>
    <row r="29" spans="1:34" ht="50.1" customHeight="1">
      <c r="A29" s="125">
        <v>25</v>
      </c>
      <c r="B29" s="125" t="s">
        <v>3316</v>
      </c>
      <c r="C29" s="125" t="s">
        <v>3416</v>
      </c>
      <c r="D29" s="472" t="s">
        <v>3415</v>
      </c>
      <c r="E29" s="472" t="s">
        <v>1524</v>
      </c>
      <c r="F29" s="480" t="s">
        <v>3414</v>
      </c>
      <c r="G29" s="472" t="s">
        <v>3413</v>
      </c>
      <c r="H29" s="472" t="s">
        <v>321</v>
      </c>
      <c r="I29" s="326">
        <v>2520</v>
      </c>
      <c r="J29" s="326"/>
      <c r="K29" s="326">
        <v>10</v>
      </c>
      <c r="L29" s="326">
        <v>2420</v>
      </c>
      <c r="M29" s="326"/>
      <c r="N29" s="314"/>
      <c r="O29" s="472"/>
      <c r="P29" s="472"/>
      <c r="Q29" s="472" t="s">
        <v>98</v>
      </c>
      <c r="R29" s="472" t="s">
        <v>3412</v>
      </c>
      <c r="S29" s="472" t="s">
        <v>36</v>
      </c>
      <c r="T29" s="472" t="s">
        <v>246</v>
      </c>
      <c r="U29" s="472" t="s">
        <v>3411</v>
      </c>
      <c r="V29" s="472" t="s">
        <v>3410</v>
      </c>
      <c r="W29" s="314">
        <f>SUM(X29:Y29)</f>
        <v>714</v>
      </c>
      <c r="X29" s="314">
        <v>714</v>
      </c>
      <c r="Y29" s="314"/>
      <c r="Z29" s="472" t="s">
        <v>3409</v>
      </c>
      <c r="AA29" s="137" t="s">
        <v>6112</v>
      </c>
    </row>
    <row r="30" spans="1:34" s="252" customFormat="1" ht="50.1" customHeight="1">
      <c r="A30" s="125">
        <v>26</v>
      </c>
      <c r="B30" s="125" t="s">
        <v>977</v>
      </c>
      <c r="C30" s="125" t="s">
        <v>3390</v>
      </c>
      <c r="D30" s="125" t="s">
        <v>989</v>
      </c>
      <c r="E30" s="125" t="s">
        <v>3181</v>
      </c>
      <c r="F30" s="229" t="s">
        <v>990</v>
      </c>
      <c r="G30" s="472" t="s">
        <v>3408</v>
      </c>
      <c r="H30" s="472" t="s">
        <v>587</v>
      </c>
      <c r="I30" s="324">
        <f t="shared" ref="I30:I43" si="0">SUM(J30:N30)</f>
        <v>100</v>
      </c>
      <c r="J30" s="324"/>
      <c r="K30" s="324">
        <v>10</v>
      </c>
      <c r="L30" s="324">
        <v>50</v>
      </c>
      <c r="M30" s="324"/>
      <c r="N30" s="324">
        <v>40</v>
      </c>
      <c r="O30" s="154"/>
      <c r="P30" s="154"/>
      <c r="Q30" s="125" t="s">
        <v>41</v>
      </c>
      <c r="R30" s="125" t="s">
        <v>3407</v>
      </c>
      <c r="S30" s="125" t="s">
        <v>56</v>
      </c>
      <c r="T30" s="125" t="s">
        <v>55</v>
      </c>
      <c r="U30" s="125" t="s">
        <v>49</v>
      </c>
      <c r="V30" s="125" t="s">
        <v>38</v>
      </c>
      <c r="W30" s="314">
        <f t="shared" ref="W30:W35" si="1">+X30+Y30</f>
        <v>15</v>
      </c>
      <c r="X30" s="324">
        <v>15</v>
      </c>
      <c r="Y30" s="324"/>
      <c r="Z30" s="125" t="s">
        <v>240</v>
      </c>
      <c r="AA30" s="141" t="s">
        <v>1148</v>
      </c>
      <c r="AB30" s="88"/>
      <c r="AC30" s="88"/>
      <c r="AD30" s="88"/>
      <c r="AE30" s="88"/>
      <c r="AF30" s="88"/>
      <c r="AG30" s="88"/>
      <c r="AH30" s="88"/>
    </row>
    <row r="31" spans="1:34" s="252" customFormat="1" ht="50.1" customHeight="1">
      <c r="A31" s="125">
        <v>27</v>
      </c>
      <c r="B31" s="126" t="s">
        <v>977</v>
      </c>
      <c r="C31" s="125" t="s">
        <v>3390</v>
      </c>
      <c r="D31" s="125" t="s">
        <v>3406</v>
      </c>
      <c r="E31" s="472" t="s">
        <v>1217</v>
      </c>
      <c r="F31" s="229" t="s">
        <v>3405</v>
      </c>
      <c r="G31" s="472" t="s">
        <v>3404</v>
      </c>
      <c r="H31" s="472" t="s">
        <v>40</v>
      </c>
      <c r="I31" s="324">
        <f t="shared" si="0"/>
        <v>33</v>
      </c>
      <c r="J31" s="324"/>
      <c r="K31" s="324">
        <v>12</v>
      </c>
      <c r="L31" s="324">
        <v>20</v>
      </c>
      <c r="M31" s="324"/>
      <c r="N31" s="324">
        <v>1</v>
      </c>
      <c r="O31" s="154"/>
      <c r="P31" s="154"/>
      <c r="Q31" s="125" t="s">
        <v>46</v>
      </c>
      <c r="R31" s="125" t="s">
        <v>3394</v>
      </c>
      <c r="S31" s="125" t="s">
        <v>56</v>
      </c>
      <c r="T31" s="125" t="s">
        <v>3393</v>
      </c>
      <c r="U31" s="125" t="s">
        <v>49</v>
      </c>
      <c r="V31" s="125" t="s">
        <v>38</v>
      </c>
      <c r="W31" s="314">
        <f t="shared" si="1"/>
        <v>3.5</v>
      </c>
      <c r="X31" s="324">
        <v>3.5</v>
      </c>
      <c r="Y31" s="324"/>
      <c r="Z31" s="125" t="s">
        <v>99</v>
      </c>
      <c r="AA31" s="137" t="s">
        <v>3403</v>
      </c>
      <c r="AB31" s="88"/>
      <c r="AC31" s="88"/>
      <c r="AD31" s="88"/>
      <c r="AE31" s="88"/>
      <c r="AF31" s="88"/>
      <c r="AG31" s="88"/>
      <c r="AH31" s="88"/>
    </row>
    <row r="32" spans="1:34" s="252" customFormat="1" ht="50.1" customHeight="1">
      <c r="A32" s="125">
        <v>28</v>
      </c>
      <c r="B32" s="126" t="s">
        <v>977</v>
      </c>
      <c r="C32" s="125" t="s">
        <v>3390</v>
      </c>
      <c r="D32" s="125" t="s">
        <v>991</v>
      </c>
      <c r="E32" s="472" t="s">
        <v>3402</v>
      </c>
      <c r="F32" s="229" t="s">
        <v>992</v>
      </c>
      <c r="G32" s="472" t="s">
        <v>3401</v>
      </c>
      <c r="H32" s="472" t="s">
        <v>798</v>
      </c>
      <c r="I32" s="324">
        <f t="shared" si="0"/>
        <v>80</v>
      </c>
      <c r="J32" s="324"/>
      <c r="K32" s="324"/>
      <c r="L32" s="324">
        <v>80</v>
      </c>
      <c r="M32" s="324"/>
      <c r="N32" s="324"/>
      <c r="O32" s="154"/>
      <c r="P32" s="154"/>
      <c r="Q32" s="125" t="s">
        <v>7</v>
      </c>
      <c r="R32" s="125" t="s">
        <v>3400</v>
      </c>
      <c r="S32" s="125" t="s">
        <v>56</v>
      </c>
      <c r="T32" s="125" t="s">
        <v>55</v>
      </c>
      <c r="U32" s="125" t="s">
        <v>49</v>
      </c>
      <c r="V32" s="125" t="s">
        <v>38</v>
      </c>
      <c r="W32" s="314">
        <f t="shared" si="1"/>
        <v>15</v>
      </c>
      <c r="X32" s="324">
        <v>15</v>
      </c>
      <c r="Y32" s="324"/>
      <c r="Z32" s="472" t="s">
        <v>3399</v>
      </c>
      <c r="AA32" s="137" t="s">
        <v>1148</v>
      </c>
      <c r="AB32" s="88"/>
      <c r="AC32" s="88"/>
      <c r="AD32" s="88"/>
      <c r="AE32" s="88"/>
      <c r="AF32" s="88"/>
      <c r="AG32" s="88"/>
      <c r="AH32" s="88"/>
    </row>
    <row r="33" spans="1:34" s="252" customFormat="1" ht="50.1" customHeight="1">
      <c r="A33" s="125">
        <v>29</v>
      </c>
      <c r="B33" s="126" t="s">
        <v>977</v>
      </c>
      <c r="C33" s="125" t="s">
        <v>3390</v>
      </c>
      <c r="D33" s="125" t="s">
        <v>3398</v>
      </c>
      <c r="E33" s="472" t="s">
        <v>3397</v>
      </c>
      <c r="F33" s="229" t="s">
        <v>3396</v>
      </c>
      <c r="G33" s="472" t="s">
        <v>3395</v>
      </c>
      <c r="H33" s="472" t="s">
        <v>179</v>
      </c>
      <c r="I33" s="324">
        <f t="shared" si="0"/>
        <v>22</v>
      </c>
      <c r="J33" s="324"/>
      <c r="K33" s="324">
        <v>10</v>
      </c>
      <c r="L33" s="324">
        <v>11</v>
      </c>
      <c r="M33" s="324"/>
      <c r="N33" s="324">
        <v>1</v>
      </c>
      <c r="O33" s="154"/>
      <c r="P33" s="154"/>
      <c r="Q33" s="125" t="s">
        <v>7</v>
      </c>
      <c r="R33" s="125" t="s">
        <v>3394</v>
      </c>
      <c r="S33" s="125" t="s">
        <v>36</v>
      </c>
      <c r="T33" s="125" t="s">
        <v>3393</v>
      </c>
      <c r="U33" s="125" t="s">
        <v>49</v>
      </c>
      <c r="V33" s="125" t="s">
        <v>38</v>
      </c>
      <c r="W33" s="314">
        <f t="shared" si="1"/>
        <v>0</v>
      </c>
      <c r="X33" s="324"/>
      <c r="Y33" s="324"/>
      <c r="Z33" s="125" t="s">
        <v>99</v>
      </c>
      <c r="AA33" s="137" t="s">
        <v>6114</v>
      </c>
      <c r="AB33" s="88"/>
      <c r="AC33" s="88"/>
      <c r="AD33" s="88"/>
      <c r="AE33" s="88"/>
      <c r="AF33" s="88"/>
      <c r="AG33" s="88"/>
      <c r="AH33" s="88"/>
    </row>
    <row r="34" spans="1:34" s="252" customFormat="1" ht="50.1" customHeight="1">
      <c r="A34" s="125">
        <v>30</v>
      </c>
      <c r="B34" s="125" t="s">
        <v>977</v>
      </c>
      <c r="C34" s="125" t="s">
        <v>3390</v>
      </c>
      <c r="D34" s="125" t="s">
        <v>993</v>
      </c>
      <c r="E34" s="472" t="s">
        <v>1523</v>
      </c>
      <c r="F34" s="229" t="s">
        <v>994</v>
      </c>
      <c r="G34" s="472" t="s">
        <v>3392</v>
      </c>
      <c r="H34" s="472" t="s">
        <v>397</v>
      </c>
      <c r="I34" s="324">
        <f t="shared" si="0"/>
        <v>690</v>
      </c>
      <c r="J34" s="324"/>
      <c r="K34" s="324">
        <v>70</v>
      </c>
      <c r="L34" s="324">
        <v>620</v>
      </c>
      <c r="M34" s="324"/>
      <c r="N34" s="324"/>
      <c r="O34" s="154"/>
      <c r="P34" s="154"/>
      <c r="Q34" s="125" t="s">
        <v>50</v>
      </c>
      <c r="R34" s="125" t="s">
        <v>1294</v>
      </c>
      <c r="S34" s="125" t="s">
        <v>36</v>
      </c>
      <c r="T34" s="125" t="s">
        <v>3387</v>
      </c>
      <c r="U34" s="125" t="s">
        <v>49</v>
      </c>
      <c r="V34" s="125" t="s">
        <v>38</v>
      </c>
      <c r="W34" s="314">
        <f t="shared" si="1"/>
        <v>56.2</v>
      </c>
      <c r="X34" s="324">
        <v>56</v>
      </c>
      <c r="Y34" s="324">
        <v>0.2</v>
      </c>
      <c r="Z34" s="125" t="s">
        <v>3391</v>
      </c>
      <c r="AA34" s="141" t="s">
        <v>1148</v>
      </c>
    </row>
    <row r="35" spans="1:34" s="3" customFormat="1" ht="50.1" customHeight="1">
      <c r="A35" s="125">
        <v>31</v>
      </c>
      <c r="B35" s="147" t="s">
        <v>977</v>
      </c>
      <c r="C35" s="147" t="s">
        <v>3390</v>
      </c>
      <c r="D35" s="147" t="s">
        <v>995</v>
      </c>
      <c r="E35" s="472" t="s">
        <v>1439</v>
      </c>
      <c r="F35" s="229" t="s">
        <v>996</v>
      </c>
      <c r="G35" s="472" t="s">
        <v>3389</v>
      </c>
      <c r="H35" s="114" t="s">
        <v>826</v>
      </c>
      <c r="I35" s="227">
        <f t="shared" si="0"/>
        <v>100</v>
      </c>
      <c r="J35" s="227"/>
      <c r="K35" s="227"/>
      <c r="L35" s="227">
        <v>70</v>
      </c>
      <c r="M35" s="227"/>
      <c r="N35" s="227">
        <v>30</v>
      </c>
      <c r="O35" s="149"/>
      <c r="P35" s="149"/>
      <c r="Q35" s="147" t="s">
        <v>41</v>
      </c>
      <c r="R35" s="147" t="s">
        <v>3388</v>
      </c>
      <c r="S35" s="147" t="s">
        <v>56</v>
      </c>
      <c r="T35" s="147" t="s">
        <v>3387</v>
      </c>
      <c r="U35" s="147" t="s">
        <v>49</v>
      </c>
      <c r="V35" s="147" t="s">
        <v>38</v>
      </c>
      <c r="W35" s="145">
        <f t="shared" si="1"/>
        <v>42</v>
      </c>
      <c r="X35" s="227">
        <v>42</v>
      </c>
      <c r="Y35" s="227"/>
      <c r="Z35" s="147" t="s">
        <v>240</v>
      </c>
      <c r="AA35" s="151"/>
    </row>
    <row r="36" spans="1:34" ht="50.1" customHeight="1">
      <c r="A36" s="125">
        <v>32</v>
      </c>
      <c r="B36" s="125" t="s">
        <v>3316</v>
      </c>
      <c r="C36" s="125" t="s">
        <v>3371</v>
      </c>
      <c r="D36" s="472" t="s">
        <v>3386</v>
      </c>
      <c r="E36" s="472" t="s">
        <v>1522</v>
      </c>
      <c r="F36" s="480" t="s">
        <v>3385</v>
      </c>
      <c r="G36" s="472" t="s">
        <v>3384</v>
      </c>
      <c r="H36" s="472" t="s">
        <v>131</v>
      </c>
      <c r="I36" s="314">
        <f t="shared" si="0"/>
        <v>62</v>
      </c>
      <c r="J36" s="314">
        <v>0</v>
      </c>
      <c r="K36" s="314">
        <v>12</v>
      </c>
      <c r="L36" s="314">
        <v>50</v>
      </c>
      <c r="M36" s="314">
        <v>0</v>
      </c>
      <c r="N36" s="314">
        <v>0</v>
      </c>
      <c r="O36" s="472"/>
      <c r="P36" s="472"/>
      <c r="Q36" s="472" t="s">
        <v>41</v>
      </c>
      <c r="R36" s="472" t="s">
        <v>3383</v>
      </c>
      <c r="S36" s="472" t="s">
        <v>36</v>
      </c>
      <c r="T36" s="472" t="s">
        <v>42</v>
      </c>
      <c r="U36" s="472" t="s">
        <v>49</v>
      </c>
      <c r="V36" s="472" t="s">
        <v>53</v>
      </c>
      <c r="W36" s="314">
        <f t="shared" ref="W36:W47" si="2">SUM(X36:Y36)</f>
        <v>13</v>
      </c>
      <c r="X36" s="314">
        <v>13</v>
      </c>
      <c r="Y36" s="314">
        <v>0</v>
      </c>
      <c r="Z36" s="472" t="s">
        <v>240</v>
      </c>
      <c r="AA36" s="141" t="s">
        <v>1148</v>
      </c>
      <c r="AB36" s="88"/>
      <c r="AC36" s="88"/>
      <c r="AD36" s="88"/>
      <c r="AE36" s="88"/>
      <c r="AF36" s="88"/>
      <c r="AG36" s="88"/>
      <c r="AH36" s="88"/>
    </row>
    <row r="37" spans="1:34" ht="50.1" customHeight="1">
      <c r="A37" s="125">
        <v>33</v>
      </c>
      <c r="B37" s="125" t="s">
        <v>3316</v>
      </c>
      <c r="C37" s="125" t="s">
        <v>3371</v>
      </c>
      <c r="D37" s="472" t="s">
        <v>997</v>
      </c>
      <c r="E37" s="472" t="s">
        <v>3382</v>
      </c>
      <c r="F37" s="480" t="s">
        <v>3381</v>
      </c>
      <c r="G37" s="472" t="s">
        <v>3380</v>
      </c>
      <c r="H37" s="472" t="s">
        <v>488</v>
      </c>
      <c r="I37" s="314">
        <f t="shared" si="0"/>
        <v>10</v>
      </c>
      <c r="J37" s="314">
        <v>0</v>
      </c>
      <c r="K37" s="314">
        <v>0</v>
      </c>
      <c r="L37" s="314">
        <v>10</v>
      </c>
      <c r="M37" s="314">
        <v>0</v>
      </c>
      <c r="N37" s="314">
        <v>0</v>
      </c>
      <c r="O37" s="472"/>
      <c r="P37" s="472"/>
      <c r="Q37" s="472" t="s">
        <v>48</v>
      </c>
      <c r="R37" s="472" t="s">
        <v>3379</v>
      </c>
      <c r="S37" s="472" t="s">
        <v>36</v>
      </c>
      <c r="T37" s="472" t="s">
        <v>42</v>
      </c>
      <c r="U37" s="472" t="s">
        <v>49</v>
      </c>
      <c r="V37" s="472" t="s">
        <v>38</v>
      </c>
      <c r="W37" s="314">
        <f t="shared" si="2"/>
        <v>81</v>
      </c>
      <c r="X37" s="314">
        <v>81</v>
      </c>
      <c r="Y37" s="314">
        <v>0</v>
      </c>
      <c r="Z37" s="472" t="s">
        <v>2</v>
      </c>
      <c r="AA37" s="141" t="s">
        <v>1148</v>
      </c>
      <c r="AB37" s="88"/>
      <c r="AC37" s="88"/>
      <c r="AD37" s="88"/>
      <c r="AE37" s="88"/>
      <c r="AF37" s="88"/>
      <c r="AG37" s="88"/>
      <c r="AH37" s="88"/>
    </row>
    <row r="38" spans="1:34" s="1" customFormat="1" ht="50.1" customHeight="1">
      <c r="A38" s="126">
        <v>34</v>
      </c>
      <c r="B38" s="126" t="s">
        <v>3316</v>
      </c>
      <c r="C38" s="126" t="s">
        <v>3371</v>
      </c>
      <c r="D38" s="473" t="s">
        <v>998</v>
      </c>
      <c r="E38" s="127" t="s">
        <v>3378</v>
      </c>
      <c r="F38" s="480" t="s">
        <v>3377</v>
      </c>
      <c r="G38" s="472" t="s">
        <v>3376</v>
      </c>
      <c r="H38" s="473" t="s">
        <v>488</v>
      </c>
      <c r="I38" s="145">
        <f t="shared" si="0"/>
        <v>50</v>
      </c>
      <c r="J38" s="145">
        <v>0</v>
      </c>
      <c r="K38" s="145">
        <v>0</v>
      </c>
      <c r="L38" s="145">
        <v>50</v>
      </c>
      <c r="M38" s="145">
        <v>0</v>
      </c>
      <c r="N38" s="145">
        <v>0</v>
      </c>
      <c r="O38" s="473"/>
      <c r="P38" s="473"/>
      <c r="Q38" s="473" t="s">
        <v>41</v>
      </c>
      <c r="R38" s="473" t="s">
        <v>3375</v>
      </c>
      <c r="S38" s="473" t="s">
        <v>36</v>
      </c>
      <c r="T38" s="473" t="s">
        <v>42</v>
      </c>
      <c r="U38" s="473" t="s">
        <v>49</v>
      </c>
      <c r="V38" s="473" t="s">
        <v>53</v>
      </c>
      <c r="W38" s="145">
        <f t="shared" si="2"/>
        <v>3</v>
      </c>
      <c r="X38" s="145">
        <v>3</v>
      </c>
      <c r="Y38" s="145">
        <v>0</v>
      </c>
      <c r="Z38" s="473" t="s">
        <v>64</v>
      </c>
      <c r="AA38" s="151" t="s">
        <v>1148</v>
      </c>
      <c r="AB38" s="88"/>
      <c r="AC38" s="88"/>
      <c r="AD38" s="88"/>
      <c r="AE38" s="88"/>
      <c r="AF38" s="88"/>
      <c r="AG38" s="88"/>
      <c r="AH38" s="88"/>
    </row>
    <row r="39" spans="1:34" s="1" customFormat="1" ht="50.1" customHeight="1">
      <c r="A39" s="125">
        <v>35</v>
      </c>
      <c r="B39" s="126" t="s">
        <v>3316</v>
      </c>
      <c r="C39" s="126" t="s">
        <v>3371</v>
      </c>
      <c r="D39" s="473" t="s">
        <v>999</v>
      </c>
      <c r="E39" s="103" t="s">
        <v>39</v>
      </c>
      <c r="F39" s="480" t="s">
        <v>3374</v>
      </c>
      <c r="G39" s="472" t="s">
        <v>3373</v>
      </c>
      <c r="H39" s="473" t="s">
        <v>798</v>
      </c>
      <c r="I39" s="145">
        <f t="shared" si="0"/>
        <v>850</v>
      </c>
      <c r="J39" s="145">
        <v>0</v>
      </c>
      <c r="K39" s="145">
        <v>100</v>
      </c>
      <c r="L39" s="145">
        <v>750</v>
      </c>
      <c r="M39" s="145">
        <v>0</v>
      </c>
      <c r="N39" s="145">
        <v>0</v>
      </c>
      <c r="O39" s="473" t="s">
        <v>35</v>
      </c>
      <c r="P39" s="473" t="s">
        <v>156</v>
      </c>
      <c r="Q39" s="473" t="s">
        <v>46</v>
      </c>
      <c r="R39" s="473" t="s">
        <v>3372</v>
      </c>
      <c r="S39" s="473" t="s">
        <v>36</v>
      </c>
      <c r="T39" s="473" t="s">
        <v>42</v>
      </c>
      <c r="U39" s="473" t="s">
        <v>49</v>
      </c>
      <c r="V39" s="473" t="s">
        <v>53</v>
      </c>
      <c r="W39" s="145">
        <f t="shared" si="2"/>
        <v>215.3</v>
      </c>
      <c r="X39" s="145">
        <v>215</v>
      </c>
      <c r="Y39" s="145">
        <v>0.3</v>
      </c>
      <c r="Z39" s="473" t="s">
        <v>64</v>
      </c>
      <c r="AA39" s="433" t="s">
        <v>1148</v>
      </c>
      <c r="AB39" s="89"/>
      <c r="AC39" s="89"/>
      <c r="AD39" s="89"/>
      <c r="AE39" s="89"/>
      <c r="AF39" s="89"/>
      <c r="AG39" s="89"/>
      <c r="AH39" s="89"/>
    </row>
    <row r="40" spans="1:34" ht="50.1" customHeight="1">
      <c r="A40" s="125">
        <v>36</v>
      </c>
      <c r="B40" s="125" t="s">
        <v>3316</v>
      </c>
      <c r="C40" s="125" t="s">
        <v>3371</v>
      </c>
      <c r="D40" s="473" t="s">
        <v>1000</v>
      </c>
      <c r="E40" s="472" t="s">
        <v>3370</v>
      </c>
      <c r="F40" s="480" t="s">
        <v>3369</v>
      </c>
      <c r="G40" s="472" t="s">
        <v>3368</v>
      </c>
      <c r="H40" s="472" t="s">
        <v>40</v>
      </c>
      <c r="I40" s="314">
        <f t="shared" si="0"/>
        <v>50</v>
      </c>
      <c r="J40" s="314">
        <v>0</v>
      </c>
      <c r="K40" s="314">
        <v>10</v>
      </c>
      <c r="L40" s="314">
        <v>40</v>
      </c>
      <c r="M40" s="314">
        <v>0</v>
      </c>
      <c r="N40" s="314">
        <v>0</v>
      </c>
      <c r="O40" s="472"/>
      <c r="P40" s="472"/>
      <c r="Q40" s="472" t="s">
        <v>41</v>
      </c>
      <c r="R40" s="472" t="s">
        <v>3367</v>
      </c>
      <c r="S40" s="472" t="s">
        <v>36</v>
      </c>
      <c r="T40" s="472" t="s">
        <v>42</v>
      </c>
      <c r="U40" s="472" t="s">
        <v>49</v>
      </c>
      <c r="V40" s="472" t="s">
        <v>53</v>
      </c>
      <c r="W40" s="314">
        <f t="shared" si="2"/>
        <v>1</v>
      </c>
      <c r="X40" s="314">
        <v>1</v>
      </c>
      <c r="Y40" s="314">
        <v>0</v>
      </c>
      <c r="Z40" s="472" t="s">
        <v>1417</v>
      </c>
      <c r="AA40" s="137" t="s">
        <v>6164</v>
      </c>
    </row>
    <row r="41" spans="1:34" ht="50.1" customHeight="1">
      <c r="A41" s="125">
        <v>37</v>
      </c>
      <c r="B41" s="125" t="s">
        <v>977</v>
      </c>
      <c r="C41" s="125" t="s">
        <v>3353</v>
      </c>
      <c r="D41" s="153" t="s">
        <v>3366</v>
      </c>
      <c r="E41" s="472" t="s">
        <v>3365</v>
      </c>
      <c r="F41" s="480" t="s">
        <v>3364</v>
      </c>
      <c r="G41" s="472" t="s">
        <v>3363</v>
      </c>
      <c r="H41" s="472" t="s">
        <v>304</v>
      </c>
      <c r="I41" s="314">
        <f t="shared" si="0"/>
        <v>2000</v>
      </c>
      <c r="J41" s="314"/>
      <c r="K41" s="314">
        <v>100</v>
      </c>
      <c r="L41" s="314">
        <v>1900</v>
      </c>
      <c r="M41" s="314"/>
      <c r="N41" s="314"/>
      <c r="O41" s="472"/>
      <c r="P41" s="472"/>
      <c r="Q41" s="472" t="s">
        <v>48</v>
      </c>
      <c r="R41" s="472" t="s">
        <v>3362</v>
      </c>
      <c r="S41" s="472" t="s">
        <v>36</v>
      </c>
      <c r="T41" s="472" t="s">
        <v>246</v>
      </c>
      <c r="U41" s="472" t="s">
        <v>3356</v>
      </c>
      <c r="V41" s="472" t="s">
        <v>1292</v>
      </c>
      <c r="W41" s="314">
        <f t="shared" si="2"/>
        <v>135</v>
      </c>
      <c r="X41" s="314">
        <v>121</v>
      </c>
      <c r="Y41" s="314">
        <v>14</v>
      </c>
      <c r="Z41" s="472" t="s">
        <v>3361</v>
      </c>
      <c r="AA41" s="141" t="s">
        <v>1148</v>
      </c>
      <c r="AB41" s="88"/>
      <c r="AC41" s="88"/>
      <c r="AD41" s="88"/>
      <c r="AE41" s="88"/>
      <c r="AF41" s="88"/>
      <c r="AG41" s="88"/>
      <c r="AH41" s="88"/>
    </row>
    <row r="42" spans="1:34" ht="50.1" customHeight="1">
      <c r="A42" s="125">
        <v>38</v>
      </c>
      <c r="B42" s="125" t="s">
        <v>977</v>
      </c>
      <c r="C42" s="125" t="s">
        <v>3353</v>
      </c>
      <c r="D42" s="472" t="s">
        <v>3360</v>
      </c>
      <c r="E42" s="472" t="s">
        <v>3359</v>
      </c>
      <c r="F42" s="480" t="s">
        <v>3358</v>
      </c>
      <c r="G42" s="472" t="s">
        <v>3357</v>
      </c>
      <c r="H42" s="472" t="s">
        <v>367</v>
      </c>
      <c r="I42" s="314">
        <f t="shared" si="0"/>
        <v>850</v>
      </c>
      <c r="J42" s="314"/>
      <c r="K42" s="314">
        <v>130</v>
      </c>
      <c r="L42" s="314">
        <v>720</v>
      </c>
      <c r="M42" s="314"/>
      <c r="N42" s="314"/>
      <c r="O42" s="472"/>
      <c r="P42" s="472"/>
      <c r="Q42" s="472" t="s">
        <v>46</v>
      </c>
      <c r="R42" s="472" t="s">
        <v>307</v>
      </c>
      <c r="S42" s="472" t="s">
        <v>36</v>
      </c>
      <c r="T42" s="472" t="s">
        <v>199</v>
      </c>
      <c r="U42" s="472" t="s">
        <v>3356</v>
      </c>
      <c r="V42" s="472" t="s">
        <v>37</v>
      </c>
      <c r="W42" s="314">
        <f t="shared" si="2"/>
        <v>32</v>
      </c>
      <c r="X42" s="314">
        <v>32</v>
      </c>
      <c r="Y42" s="314"/>
      <c r="Z42" s="472" t="s">
        <v>3355</v>
      </c>
      <c r="AA42" s="137" t="s">
        <v>3354</v>
      </c>
      <c r="AB42" s="88"/>
      <c r="AC42" s="88"/>
      <c r="AD42" s="88"/>
      <c r="AE42" s="88"/>
      <c r="AF42" s="88"/>
      <c r="AG42" s="88"/>
      <c r="AH42" s="88"/>
    </row>
    <row r="43" spans="1:34" ht="50.1" customHeight="1">
      <c r="A43" s="125">
        <v>39</v>
      </c>
      <c r="B43" s="125" t="s">
        <v>3316</v>
      </c>
      <c r="C43" s="125" t="s">
        <v>3353</v>
      </c>
      <c r="D43" s="472" t="s">
        <v>3352</v>
      </c>
      <c r="E43" s="472" t="s">
        <v>1151</v>
      </c>
      <c r="F43" s="480" t="s">
        <v>3351</v>
      </c>
      <c r="G43" s="472" t="s">
        <v>3350</v>
      </c>
      <c r="H43" s="472" t="s">
        <v>40</v>
      </c>
      <c r="I43" s="314">
        <f t="shared" si="0"/>
        <v>32</v>
      </c>
      <c r="J43" s="314"/>
      <c r="K43" s="314">
        <v>12</v>
      </c>
      <c r="L43" s="314">
        <v>20</v>
      </c>
      <c r="M43" s="314"/>
      <c r="N43" s="314"/>
      <c r="O43" s="472"/>
      <c r="P43" s="472"/>
      <c r="Q43" s="472" t="s">
        <v>52</v>
      </c>
      <c r="R43" s="472" t="s">
        <v>3349</v>
      </c>
      <c r="S43" s="472" t="s">
        <v>36</v>
      </c>
      <c r="T43" s="472" t="s">
        <v>3348</v>
      </c>
      <c r="U43" s="472" t="s">
        <v>1292</v>
      </c>
      <c r="V43" s="472" t="s">
        <v>1292</v>
      </c>
      <c r="W43" s="314">
        <f t="shared" si="2"/>
        <v>2.4</v>
      </c>
      <c r="X43" s="314">
        <v>2.4</v>
      </c>
      <c r="Y43" s="314"/>
      <c r="Z43" s="472" t="s">
        <v>3347</v>
      </c>
      <c r="AA43" s="137" t="s">
        <v>1148</v>
      </c>
      <c r="AB43" s="88"/>
      <c r="AC43" s="88"/>
      <c r="AD43" s="88"/>
      <c r="AE43" s="88"/>
      <c r="AF43" s="88"/>
      <c r="AG43" s="88"/>
      <c r="AH43" s="88"/>
    </row>
    <row r="44" spans="1:34" ht="50.1" customHeight="1">
      <c r="A44" s="125">
        <v>40</v>
      </c>
      <c r="B44" s="125" t="s">
        <v>977</v>
      </c>
      <c r="C44" s="125" t="s">
        <v>3336</v>
      </c>
      <c r="D44" s="125" t="s">
        <v>3346</v>
      </c>
      <c r="E44" s="472" t="s">
        <v>1521</v>
      </c>
      <c r="F44" s="480" t="s">
        <v>3345</v>
      </c>
      <c r="G44" s="472" t="s">
        <v>3344</v>
      </c>
      <c r="H44" s="472" t="s">
        <v>100</v>
      </c>
      <c r="I44" s="324">
        <v>970</v>
      </c>
      <c r="J44" s="324">
        <v>0</v>
      </c>
      <c r="K44" s="324">
        <v>50</v>
      </c>
      <c r="L44" s="324">
        <v>920</v>
      </c>
      <c r="M44" s="324">
        <v>0</v>
      </c>
      <c r="N44" s="324">
        <v>0</v>
      </c>
      <c r="O44" s="125" t="s">
        <v>43</v>
      </c>
      <c r="P44" s="125" t="s">
        <v>43</v>
      </c>
      <c r="Q44" s="125" t="s">
        <v>41</v>
      </c>
      <c r="R44" s="125" t="s">
        <v>3343</v>
      </c>
      <c r="S44" s="125" t="s">
        <v>36</v>
      </c>
      <c r="T44" s="472" t="s">
        <v>3342</v>
      </c>
      <c r="U44" s="125" t="s">
        <v>1293</v>
      </c>
      <c r="V44" s="125" t="s">
        <v>38</v>
      </c>
      <c r="W44" s="314">
        <f t="shared" si="2"/>
        <v>159288</v>
      </c>
      <c r="X44" s="315">
        <v>159288</v>
      </c>
      <c r="Y44" s="324">
        <v>0</v>
      </c>
      <c r="Z44" s="125" t="s">
        <v>64</v>
      </c>
      <c r="AA44" s="141" t="s">
        <v>1148</v>
      </c>
    </row>
    <row r="45" spans="1:34" ht="50.1" customHeight="1">
      <c r="A45" s="125">
        <v>41</v>
      </c>
      <c r="B45" s="125" t="s">
        <v>3316</v>
      </c>
      <c r="C45" s="125" t="s">
        <v>3336</v>
      </c>
      <c r="D45" s="472" t="s">
        <v>3341</v>
      </c>
      <c r="E45" s="472" t="s">
        <v>3340</v>
      </c>
      <c r="F45" s="480" t="s">
        <v>3339</v>
      </c>
      <c r="G45" s="472" t="s">
        <v>3338</v>
      </c>
      <c r="H45" s="472" t="s">
        <v>564</v>
      </c>
      <c r="I45" s="314">
        <v>32</v>
      </c>
      <c r="J45" s="314">
        <v>0</v>
      </c>
      <c r="K45" s="314">
        <v>12</v>
      </c>
      <c r="L45" s="314">
        <v>20</v>
      </c>
      <c r="M45" s="314">
        <v>0</v>
      </c>
      <c r="N45" s="314">
        <v>0</v>
      </c>
      <c r="O45" s="472" t="s">
        <v>43</v>
      </c>
      <c r="P45" s="472" t="s">
        <v>43</v>
      </c>
      <c r="Q45" s="472" t="s">
        <v>50</v>
      </c>
      <c r="R45" s="472" t="s">
        <v>3337</v>
      </c>
      <c r="S45" s="472" t="s">
        <v>36</v>
      </c>
      <c r="T45" s="472" t="s">
        <v>464</v>
      </c>
      <c r="U45" s="472" t="s">
        <v>1293</v>
      </c>
      <c r="V45" s="125" t="s">
        <v>38</v>
      </c>
      <c r="W45" s="314">
        <f t="shared" si="2"/>
        <v>3000</v>
      </c>
      <c r="X45" s="315">
        <v>3000</v>
      </c>
      <c r="Y45" s="314">
        <v>0</v>
      </c>
      <c r="Z45" s="472" t="s">
        <v>64</v>
      </c>
      <c r="AA45" s="137" t="s">
        <v>1148</v>
      </c>
      <c r="AB45" s="88"/>
      <c r="AC45" s="88"/>
      <c r="AD45" s="88"/>
      <c r="AE45" s="88"/>
      <c r="AF45" s="88"/>
      <c r="AG45" s="88"/>
      <c r="AH45" s="88"/>
    </row>
    <row r="46" spans="1:34" ht="50.1" customHeight="1">
      <c r="A46" s="125">
        <v>42</v>
      </c>
      <c r="B46" s="125" t="s">
        <v>3316</v>
      </c>
      <c r="C46" s="125" t="s">
        <v>3336</v>
      </c>
      <c r="D46" s="472" t="s">
        <v>3335</v>
      </c>
      <c r="E46" s="472" t="s">
        <v>908</v>
      </c>
      <c r="F46" s="480" t="s">
        <v>3334</v>
      </c>
      <c r="G46" s="472" t="s">
        <v>3333</v>
      </c>
      <c r="H46" s="472" t="s">
        <v>179</v>
      </c>
      <c r="I46" s="314">
        <v>8</v>
      </c>
      <c r="J46" s="314">
        <v>0</v>
      </c>
      <c r="K46" s="314">
        <v>0</v>
      </c>
      <c r="L46" s="314">
        <v>8</v>
      </c>
      <c r="M46" s="314">
        <v>0</v>
      </c>
      <c r="N46" s="314">
        <v>0</v>
      </c>
      <c r="O46" s="472" t="s">
        <v>43</v>
      </c>
      <c r="P46" s="472" t="s">
        <v>43</v>
      </c>
      <c r="Q46" s="472" t="s">
        <v>50</v>
      </c>
      <c r="R46" s="472" t="s">
        <v>130</v>
      </c>
      <c r="S46" s="472" t="s">
        <v>36</v>
      </c>
      <c r="T46" s="472" t="s">
        <v>464</v>
      </c>
      <c r="U46" s="472" t="s">
        <v>1293</v>
      </c>
      <c r="V46" s="472" t="s">
        <v>38</v>
      </c>
      <c r="W46" s="314">
        <f t="shared" si="2"/>
        <v>0</v>
      </c>
      <c r="X46" s="314">
        <v>0</v>
      </c>
      <c r="Y46" s="314">
        <v>0</v>
      </c>
      <c r="Z46" s="472" t="s">
        <v>3332</v>
      </c>
      <c r="AA46" s="141" t="s">
        <v>1148</v>
      </c>
      <c r="AB46" s="88"/>
      <c r="AC46" s="88"/>
      <c r="AD46" s="88"/>
      <c r="AE46" s="88"/>
      <c r="AF46" s="88"/>
      <c r="AG46" s="88"/>
      <c r="AH46" s="88"/>
    </row>
    <row r="47" spans="1:34" s="1" customFormat="1" ht="50.1" customHeight="1">
      <c r="A47" s="125">
        <v>43</v>
      </c>
      <c r="B47" s="126" t="s">
        <v>977</v>
      </c>
      <c r="C47" s="126" t="s">
        <v>3331</v>
      </c>
      <c r="D47" s="473" t="s">
        <v>3330</v>
      </c>
      <c r="E47" s="472" t="s">
        <v>1520</v>
      </c>
      <c r="F47" s="480" t="s">
        <v>3329</v>
      </c>
      <c r="G47" s="472" t="s">
        <v>3328</v>
      </c>
      <c r="H47" s="473" t="s">
        <v>811</v>
      </c>
      <c r="I47" s="227">
        <f>SUM(J47:N47)</f>
        <v>528.79999999999995</v>
      </c>
      <c r="J47" s="227">
        <v>58.8</v>
      </c>
      <c r="K47" s="227">
        <v>70</v>
      </c>
      <c r="L47" s="227">
        <v>400</v>
      </c>
      <c r="M47" s="227"/>
      <c r="N47" s="227"/>
      <c r="O47" s="147" t="s">
        <v>35</v>
      </c>
      <c r="P47" s="147" t="s">
        <v>156</v>
      </c>
      <c r="Q47" s="147" t="s">
        <v>41</v>
      </c>
      <c r="R47" s="147" t="s">
        <v>3327</v>
      </c>
      <c r="S47" s="147" t="s">
        <v>36</v>
      </c>
      <c r="T47" s="147" t="s">
        <v>42</v>
      </c>
      <c r="U47" s="114" t="s">
        <v>3326</v>
      </c>
      <c r="V47" s="147" t="s">
        <v>53</v>
      </c>
      <c r="W47" s="145">
        <f t="shared" si="2"/>
        <v>256</v>
      </c>
      <c r="X47" s="227">
        <v>256</v>
      </c>
      <c r="Y47" s="227"/>
      <c r="Z47" s="147" t="s">
        <v>64</v>
      </c>
      <c r="AA47" s="151" t="s">
        <v>1148</v>
      </c>
      <c r="AB47" s="89"/>
      <c r="AC47" s="89"/>
      <c r="AD47" s="89"/>
      <c r="AE47" s="89"/>
      <c r="AF47" s="89"/>
      <c r="AG47" s="89"/>
      <c r="AH47" s="89"/>
    </row>
    <row r="48" spans="1:34" s="1" customFormat="1" ht="50.1" customHeight="1">
      <c r="A48" s="126">
        <v>44</v>
      </c>
      <c r="B48" s="126" t="s">
        <v>3316</v>
      </c>
      <c r="C48" s="126" t="s">
        <v>3315</v>
      </c>
      <c r="D48" s="473" t="s">
        <v>3325</v>
      </c>
      <c r="E48" s="472" t="s">
        <v>3324</v>
      </c>
      <c r="F48" s="480" t="s">
        <v>3323</v>
      </c>
      <c r="G48" s="472" t="s">
        <v>3322</v>
      </c>
      <c r="H48" s="473" t="s">
        <v>3321</v>
      </c>
      <c r="I48" s="145">
        <v>828.8</v>
      </c>
      <c r="J48" s="145">
        <v>58.8</v>
      </c>
      <c r="K48" s="145">
        <v>70</v>
      </c>
      <c r="L48" s="145">
        <v>700</v>
      </c>
      <c r="M48" s="145"/>
      <c r="N48" s="145"/>
      <c r="O48" s="473" t="s">
        <v>35</v>
      </c>
      <c r="P48" s="473" t="s">
        <v>156</v>
      </c>
      <c r="Q48" s="473" t="s">
        <v>6</v>
      </c>
      <c r="R48" s="473" t="s">
        <v>1294</v>
      </c>
      <c r="S48" s="473" t="s">
        <v>36</v>
      </c>
      <c r="T48" s="473" t="s">
        <v>42</v>
      </c>
      <c r="U48" s="473" t="s">
        <v>49</v>
      </c>
      <c r="V48" s="473" t="s">
        <v>53</v>
      </c>
      <c r="W48" s="145">
        <v>106</v>
      </c>
      <c r="X48" s="145">
        <v>104</v>
      </c>
      <c r="Y48" s="145">
        <v>2</v>
      </c>
      <c r="Z48" s="473" t="s">
        <v>3320</v>
      </c>
      <c r="AA48" s="151" t="s">
        <v>1148</v>
      </c>
      <c r="AB48" s="89"/>
      <c r="AC48" s="89"/>
      <c r="AD48" s="89"/>
      <c r="AE48" s="89"/>
      <c r="AF48" s="89"/>
      <c r="AG48" s="89"/>
      <c r="AH48" s="89"/>
    </row>
    <row r="49" spans="1:34" s="1" customFormat="1" ht="44.25" customHeight="1">
      <c r="A49" s="126">
        <v>45</v>
      </c>
      <c r="B49" s="126" t="s">
        <v>3316</v>
      </c>
      <c r="C49" s="126" t="s">
        <v>3315</v>
      </c>
      <c r="D49" s="473" t="s">
        <v>3319</v>
      </c>
      <c r="E49" s="472" t="s">
        <v>1018</v>
      </c>
      <c r="F49" s="480" t="s">
        <v>3318</v>
      </c>
      <c r="G49" s="472" t="s">
        <v>6175</v>
      </c>
      <c r="H49" s="473" t="s">
        <v>449</v>
      </c>
      <c r="I49" s="145">
        <f>SUM(J49:N49)</f>
        <v>36</v>
      </c>
      <c r="J49" s="145"/>
      <c r="K49" s="145">
        <v>12</v>
      </c>
      <c r="L49" s="145">
        <v>20</v>
      </c>
      <c r="M49" s="145"/>
      <c r="N49" s="145">
        <v>4</v>
      </c>
      <c r="O49" s="473"/>
      <c r="P49" s="473"/>
      <c r="Q49" s="473" t="s">
        <v>5</v>
      </c>
      <c r="R49" s="473" t="s">
        <v>5</v>
      </c>
      <c r="S49" s="473" t="s">
        <v>36</v>
      </c>
      <c r="T49" s="473" t="s">
        <v>1519</v>
      </c>
      <c r="U49" s="473" t="s">
        <v>49</v>
      </c>
      <c r="V49" s="473" t="s">
        <v>38</v>
      </c>
      <c r="W49" s="145">
        <v>1.5</v>
      </c>
      <c r="X49" s="145">
        <v>1.5</v>
      </c>
      <c r="Y49" s="145"/>
      <c r="Z49" s="473" t="s">
        <v>3317</v>
      </c>
      <c r="AA49" s="151"/>
      <c r="AB49" s="89"/>
      <c r="AC49" s="89"/>
      <c r="AD49" s="89"/>
      <c r="AE49" s="89"/>
      <c r="AF49" s="89"/>
      <c r="AG49" s="89"/>
      <c r="AH49" s="89"/>
    </row>
    <row r="50" spans="1:34" ht="50.1" customHeight="1">
      <c r="A50" s="125">
        <v>46</v>
      </c>
      <c r="B50" s="125" t="s">
        <v>3316</v>
      </c>
      <c r="C50" s="125" t="s">
        <v>3315</v>
      </c>
      <c r="D50" s="472" t="s">
        <v>3314</v>
      </c>
      <c r="E50" s="472" t="s">
        <v>908</v>
      </c>
      <c r="F50" s="480" t="s">
        <v>3313</v>
      </c>
      <c r="G50" s="472" t="s">
        <v>3312</v>
      </c>
      <c r="H50" s="472" t="s">
        <v>3311</v>
      </c>
      <c r="I50" s="314">
        <f>SUM(J50:N50)</f>
        <v>35</v>
      </c>
      <c r="J50" s="314"/>
      <c r="K50" s="314"/>
      <c r="L50" s="314">
        <v>30</v>
      </c>
      <c r="M50" s="314"/>
      <c r="N50" s="314">
        <v>5</v>
      </c>
      <c r="O50" s="472"/>
      <c r="P50" s="472"/>
      <c r="Q50" s="472" t="s">
        <v>5</v>
      </c>
      <c r="R50" s="472" t="s">
        <v>192</v>
      </c>
      <c r="S50" s="472" t="s">
        <v>36</v>
      </c>
      <c r="T50" s="472" t="s">
        <v>3310</v>
      </c>
      <c r="U50" s="472" t="s">
        <v>49</v>
      </c>
      <c r="V50" s="472" t="s">
        <v>38</v>
      </c>
      <c r="W50" s="314">
        <v>5</v>
      </c>
      <c r="X50" s="314">
        <v>5</v>
      </c>
      <c r="Y50" s="314"/>
      <c r="Z50" s="472" t="s">
        <v>3309</v>
      </c>
      <c r="AA50" s="141" t="s">
        <v>1148</v>
      </c>
      <c r="AB50" s="88"/>
      <c r="AC50" s="88"/>
      <c r="AD50" s="88"/>
      <c r="AE50" s="88"/>
      <c r="AF50" s="88"/>
      <c r="AG50" s="88"/>
      <c r="AH50" s="88"/>
    </row>
    <row r="51" spans="1:34" ht="50.1" customHeight="1">
      <c r="A51" s="125">
        <v>47</v>
      </c>
      <c r="B51" s="125" t="s">
        <v>977</v>
      </c>
      <c r="C51" s="125" t="s">
        <v>1001</v>
      </c>
      <c r="D51" s="472" t="s">
        <v>3308</v>
      </c>
      <c r="E51" s="472" t="s">
        <v>3307</v>
      </c>
      <c r="F51" s="480" t="s">
        <v>3306</v>
      </c>
      <c r="G51" s="472" t="s">
        <v>3305</v>
      </c>
      <c r="H51" s="472" t="s">
        <v>3203</v>
      </c>
      <c r="I51" s="314">
        <f>SUM(J51:N51)</f>
        <v>130</v>
      </c>
      <c r="J51" s="314"/>
      <c r="K51" s="314"/>
      <c r="L51" s="314"/>
      <c r="M51" s="314">
        <v>130</v>
      </c>
      <c r="N51" s="314"/>
      <c r="O51" s="472"/>
      <c r="P51" s="472"/>
      <c r="Q51" s="472" t="s">
        <v>48</v>
      </c>
      <c r="R51" s="472" t="s">
        <v>3304</v>
      </c>
      <c r="S51" s="472" t="s">
        <v>56</v>
      </c>
      <c r="T51" s="472" t="s">
        <v>42</v>
      </c>
      <c r="U51" s="472" t="s">
        <v>1292</v>
      </c>
      <c r="V51" s="472" t="s">
        <v>103</v>
      </c>
      <c r="W51" s="314">
        <f>SUM(X51:Y51)</f>
        <v>445</v>
      </c>
      <c r="X51" s="314">
        <v>445</v>
      </c>
      <c r="Y51" s="314"/>
      <c r="Z51" s="472" t="s">
        <v>3303</v>
      </c>
      <c r="AA51" s="137" t="s">
        <v>1148</v>
      </c>
      <c r="AB51" s="88"/>
      <c r="AC51" s="88"/>
      <c r="AD51" s="88"/>
      <c r="AE51" s="88"/>
      <c r="AF51" s="88"/>
      <c r="AG51" s="88"/>
      <c r="AH51" s="88"/>
    </row>
    <row r="52" spans="1:34" ht="50.1" customHeight="1">
      <c r="A52" s="125">
        <v>48</v>
      </c>
      <c r="B52" s="125" t="s">
        <v>977</v>
      </c>
      <c r="C52" s="125" t="s">
        <v>1001</v>
      </c>
      <c r="D52" s="153" t="s">
        <v>3302</v>
      </c>
      <c r="E52" s="472" t="s">
        <v>3301</v>
      </c>
      <c r="F52" s="480" t="s">
        <v>3300</v>
      </c>
      <c r="G52" s="472" t="s">
        <v>3299</v>
      </c>
      <c r="H52" s="472" t="s">
        <v>1232</v>
      </c>
      <c r="I52" s="314">
        <v>37</v>
      </c>
      <c r="J52" s="314"/>
      <c r="K52" s="314">
        <v>12</v>
      </c>
      <c r="L52" s="314"/>
      <c r="M52" s="314">
        <v>20</v>
      </c>
      <c r="N52" s="314"/>
      <c r="O52" s="472"/>
      <c r="P52" s="472"/>
      <c r="Q52" s="472" t="s">
        <v>6</v>
      </c>
      <c r="R52" s="472" t="s">
        <v>3298</v>
      </c>
      <c r="S52" s="472" t="s">
        <v>56</v>
      </c>
      <c r="T52" s="472" t="s">
        <v>42</v>
      </c>
      <c r="U52" s="472" t="s">
        <v>1292</v>
      </c>
      <c r="V52" s="472" t="s">
        <v>3274</v>
      </c>
      <c r="W52" s="314">
        <v>26</v>
      </c>
      <c r="X52" s="314">
        <v>26</v>
      </c>
      <c r="Y52" s="314"/>
      <c r="Z52" s="472" t="s">
        <v>3297</v>
      </c>
      <c r="AA52" s="137" t="s">
        <v>1148</v>
      </c>
      <c r="AB52" s="88"/>
      <c r="AC52" s="88"/>
      <c r="AD52" s="88"/>
      <c r="AE52" s="88"/>
      <c r="AF52" s="88"/>
      <c r="AG52" s="88"/>
      <c r="AH52" s="88"/>
    </row>
    <row r="53" spans="1:34" ht="50.1" customHeight="1">
      <c r="A53" s="125">
        <v>49</v>
      </c>
      <c r="B53" s="125" t="s">
        <v>977</v>
      </c>
      <c r="C53" s="125" t="s">
        <v>1001</v>
      </c>
      <c r="D53" s="472" t="s">
        <v>3296</v>
      </c>
      <c r="E53" s="472" t="s">
        <v>3295</v>
      </c>
      <c r="F53" s="480" t="s">
        <v>3294</v>
      </c>
      <c r="G53" s="472" t="s">
        <v>3293</v>
      </c>
      <c r="H53" s="472" t="s">
        <v>3292</v>
      </c>
      <c r="I53" s="314">
        <f>SUM(J53:N53)</f>
        <v>200</v>
      </c>
      <c r="J53" s="314"/>
      <c r="K53" s="314"/>
      <c r="L53" s="314"/>
      <c r="M53" s="314">
        <v>200</v>
      </c>
      <c r="N53" s="314"/>
      <c r="O53" s="472"/>
      <c r="P53" s="472"/>
      <c r="Q53" s="472" t="s">
        <v>41</v>
      </c>
      <c r="R53" s="472" t="s">
        <v>3291</v>
      </c>
      <c r="S53" s="472" t="s">
        <v>56</v>
      </c>
      <c r="T53" s="472" t="s">
        <v>42</v>
      </c>
      <c r="U53" s="472" t="s">
        <v>1292</v>
      </c>
      <c r="V53" s="472" t="s">
        <v>3274</v>
      </c>
      <c r="W53" s="314">
        <f>SUM(X53:Y53)</f>
        <v>160</v>
      </c>
      <c r="X53" s="314">
        <v>160</v>
      </c>
      <c r="Y53" s="314"/>
      <c r="Z53" s="472" t="s">
        <v>3290</v>
      </c>
      <c r="AA53" s="141" t="s">
        <v>1148</v>
      </c>
      <c r="AB53" s="88"/>
      <c r="AC53" s="88"/>
      <c r="AD53" s="88"/>
      <c r="AE53" s="88"/>
      <c r="AF53" s="88"/>
      <c r="AG53" s="88"/>
      <c r="AH53" s="88"/>
    </row>
    <row r="54" spans="1:34" ht="50.1" customHeight="1">
      <c r="A54" s="125">
        <v>50</v>
      </c>
      <c r="B54" s="125" t="s">
        <v>977</v>
      </c>
      <c r="C54" s="125" t="s">
        <v>1001</v>
      </c>
      <c r="D54" s="472" t="s">
        <v>3289</v>
      </c>
      <c r="E54" s="472" t="s">
        <v>1517</v>
      </c>
      <c r="F54" s="480" t="s">
        <v>3288</v>
      </c>
      <c r="G54" s="472" t="s">
        <v>3287</v>
      </c>
      <c r="H54" s="472" t="s">
        <v>3286</v>
      </c>
      <c r="I54" s="314">
        <f>SUM(J54:N54)</f>
        <v>120</v>
      </c>
      <c r="J54" s="314"/>
      <c r="K54" s="314"/>
      <c r="L54" s="314"/>
      <c r="M54" s="314">
        <v>120</v>
      </c>
      <c r="N54" s="314"/>
      <c r="O54" s="472"/>
      <c r="P54" s="472"/>
      <c r="Q54" s="472" t="s">
        <v>48</v>
      </c>
      <c r="R54" s="472" t="s">
        <v>3285</v>
      </c>
      <c r="S54" s="472" t="s">
        <v>56</v>
      </c>
      <c r="T54" s="472" t="s">
        <v>42</v>
      </c>
      <c r="U54" s="472" t="s">
        <v>1292</v>
      </c>
      <c r="V54" s="472" t="s">
        <v>1295</v>
      </c>
      <c r="W54" s="314">
        <f>SUM(X54:Y54)</f>
        <v>94</v>
      </c>
      <c r="X54" s="314">
        <v>94</v>
      </c>
      <c r="Y54" s="314"/>
      <c r="Z54" s="472" t="s">
        <v>3284</v>
      </c>
      <c r="AA54" s="137" t="s">
        <v>1148</v>
      </c>
      <c r="AB54" s="88"/>
      <c r="AC54" s="88"/>
      <c r="AD54" s="88"/>
      <c r="AE54" s="88"/>
      <c r="AF54" s="88"/>
      <c r="AG54" s="88"/>
      <c r="AH54" s="88"/>
    </row>
    <row r="55" spans="1:34" ht="50.1" customHeight="1">
      <c r="A55" s="125">
        <v>51</v>
      </c>
      <c r="B55" s="125" t="s">
        <v>977</v>
      </c>
      <c r="C55" s="125" t="s">
        <v>1001</v>
      </c>
      <c r="D55" s="472" t="s">
        <v>1002</v>
      </c>
      <c r="E55" s="472" t="s">
        <v>3283</v>
      </c>
      <c r="F55" s="480" t="s">
        <v>3282</v>
      </c>
      <c r="G55" s="472" t="s">
        <v>3281</v>
      </c>
      <c r="H55" s="472" t="s">
        <v>3025</v>
      </c>
      <c r="I55" s="314">
        <f>SUM(J55:N55)</f>
        <v>46</v>
      </c>
      <c r="J55" s="314"/>
      <c r="K55" s="314"/>
      <c r="L55" s="314"/>
      <c r="M55" s="314">
        <v>46</v>
      </c>
      <c r="N55" s="314"/>
      <c r="O55" s="472"/>
      <c r="P55" s="472"/>
      <c r="Q55" s="472" t="s">
        <v>41</v>
      </c>
      <c r="R55" s="472" t="s">
        <v>1280</v>
      </c>
      <c r="S55" s="472" t="s">
        <v>56</v>
      </c>
      <c r="T55" s="472" t="s">
        <v>83</v>
      </c>
      <c r="U55" s="472" t="s">
        <v>974</v>
      </c>
      <c r="V55" s="472" t="s">
        <v>1295</v>
      </c>
      <c r="W55" s="314">
        <f>SUM(X55:Y55)</f>
        <v>54</v>
      </c>
      <c r="X55" s="314">
        <v>54</v>
      </c>
      <c r="Y55" s="314"/>
      <c r="Z55" s="472" t="s">
        <v>3280</v>
      </c>
      <c r="AA55" s="141" t="s">
        <v>1148</v>
      </c>
      <c r="AB55" s="88"/>
      <c r="AC55" s="88"/>
      <c r="AD55" s="88"/>
      <c r="AE55" s="88"/>
      <c r="AF55" s="88"/>
      <c r="AG55" s="88"/>
      <c r="AH55" s="88"/>
    </row>
    <row r="56" spans="1:34" s="1" customFormat="1" ht="50.1" customHeight="1">
      <c r="A56" s="126">
        <v>52</v>
      </c>
      <c r="B56" s="126" t="s">
        <v>977</v>
      </c>
      <c r="C56" s="126" t="s">
        <v>1001</v>
      </c>
      <c r="D56" s="473" t="s">
        <v>1003</v>
      </c>
      <c r="E56" s="472" t="s">
        <v>3279</v>
      </c>
      <c r="F56" s="480" t="s">
        <v>3278</v>
      </c>
      <c r="G56" s="472" t="s">
        <v>3277</v>
      </c>
      <c r="H56" s="473" t="s">
        <v>3276</v>
      </c>
      <c r="I56" s="145">
        <f>SUM(J56:N56)</f>
        <v>760</v>
      </c>
      <c r="J56" s="145"/>
      <c r="K56" s="145">
        <v>50</v>
      </c>
      <c r="L56" s="145"/>
      <c r="M56" s="145">
        <v>710</v>
      </c>
      <c r="N56" s="145"/>
      <c r="O56" s="473"/>
      <c r="P56" s="473"/>
      <c r="Q56" s="473" t="s">
        <v>52</v>
      </c>
      <c r="R56" s="473" t="s">
        <v>3275</v>
      </c>
      <c r="S56" s="473" t="s">
        <v>56</v>
      </c>
      <c r="T56" s="473" t="s">
        <v>750</v>
      </c>
      <c r="U56" s="473" t="s">
        <v>1518</v>
      </c>
      <c r="V56" s="473" t="s">
        <v>3274</v>
      </c>
      <c r="W56" s="145">
        <f>SUM(X56:Y56)</f>
        <v>189</v>
      </c>
      <c r="X56" s="145">
        <v>185</v>
      </c>
      <c r="Y56" s="145">
        <v>4</v>
      </c>
      <c r="Z56" s="473" t="s">
        <v>3273</v>
      </c>
      <c r="AA56" s="152" t="s">
        <v>6163</v>
      </c>
      <c r="AB56" s="89"/>
      <c r="AC56" s="89"/>
      <c r="AD56" s="89"/>
      <c r="AE56" s="89"/>
      <c r="AF56" s="89"/>
      <c r="AG56" s="89"/>
      <c r="AH56" s="89"/>
    </row>
    <row r="57" spans="1:34" ht="50.1" customHeight="1">
      <c r="A57" s="125">
        <v>53</v>
      </c>
      <c r="B57" s="125" t="s">
        <v>977</v>
      </c>
      <c r="C57" s="125" t="s">
        <v>3257</v>
      </c>
      <c r="D57" s="472" t="s">
        <v>3272</v>
      </c>
      <c r="E57" s="472" t="s">
        <v>1296</v>
      </c>
      <c r="F57" s="480" t="s">
        <v>3271</v>
      </c>
      <c r="G57" s="472" t="s">
        <v>3270</v>
      </c>
      <c r="H57" s="472" t="s">
        <v>887</v>
      </c>
      <c r="I57" s="314">
        <v>950</v>
      </c>
      <c r="J57" s="314"/>
      <c r="K57" s="314">
        <v>105</v>
      </c>
      <c r="L57" s="314">
        <v>845</v>
      </c>
      <c r="M57" s="314"/>
      <c r="N57" s="314"/>
      <c r="O57" s="472"/>
      <c r="P57" s="472"/>
      <c r="Q57" s="472" t="s">
        <v>46</v>
      </c>
      <c r="R57" s="472" t="s">
        <v>99</v>
      </c>
      <c r="S57" s="472" t="s">
        <v>36</v>
      </c>
      <c r="T57" s="472" t="s">
        <v>42</v>
      </c>
      <c r="U57" s="472" t="s">
        <v>49</v>
      </c>
      <c r="V57" s="472" t="s">
        <v>38</v>
      </c>
      <c r="W57" s="314">
        <f>SUM(X57:Y57)</f>
        <v>153</v>
      </c>
      <c r="X57" s="314">
        <v>153</v>
      </c>
      <c r="Y57" s="314"/>
      <c r="Z57" s="472" t="s">
        <v>64</v>
      </c>
      <c r="AA57" s="137" t="s">
        <v>1148</v>
      </c>
      <c r="AB57" s="88"/>
      <c r="AC57" s="88"/>
      <c r="AD57" s="88"/>
      <c r="AE57" s="88"/>
      <c r="AF57" s="88"/>
      <c r="AG57" s="88"/>
      <c r="AH57" s="88"/>
    </row>
    <row r="58" spans="1:34" ht="50.1" customHeight="1">
      <c r="A58" s="125">
        <v>54</v>
      </c>
      <c r="B58" s="125" t="s">
        <v>977</v>
      </c>
      <c r="C58" s="125" t="s">
        <v>3257</v>
      </c>
      <c r="D58" s="472" t="s">
        <v>3269</v>
      </c>
      <c r="E58" s="472" t="s">
        <v>1517</v>
      </c>
      <c r="F58" s="480" t="s">
        <v>3268</v>
      </c>
      <c r="G58" s="472" t="s">
        <v>3267</v>
      </c>
      <c r="H58" s="472" t="s">
        <v>811</v>
      </c>
      <c r="I58" s="314">
        <v>32</v>
      </c>
      <c r="J58" s="314"/>
      <c r="K58" s="314">
        <v>12</v>
      </c>
      <c r="L58" s="314">
        <v>20</v>
      </c>
      <c r="M58" s="314"/>
      <c r="N58" s="314"/>
      <c r="O58" s="472"/>
      <c r="P58" s="472"/>
      <c r="Q58" s="472" t="s">
        <v>6</v>
      </c>
      <c r="R58" s="472" t="s">
        <v>3262</v>
      </c>
      <c r="S58" s="472" t="s">
        <v>36</v>
      </c>
      <c r="T58" s="472" t="s">
        <v>42</v>
      </c>
      <c r="U58" s="472" t="s">
        <v>49</v>
      </c>
      <c r="V58" s="472" t="s">
        <v>37</v>
      </c>
      <c r="W58" s="315">
        <v>7</v>
      </c>
      <c r="X58" s="315">
        <v>7</v>
      </c>
      <c r="Y58" s="314"/>
      <c r="Z58" s="472" t="s">
        <v>99</v>
      </c>
      <c r="AA58" s="141" t="s">
        <v>1148</v>
      </c>
      <c r="AB58" s="88"/>
      <c r="AC58" s="88"/>
      <c r="AD58" s="88"/>
      <c r="AE58" s="88"/>
      <c r="AF58" s="88"/>
      <c r="AG58" s="88"/>
      <c r="AH58" s="88"/>
    </row>
    <row r="59" spans="1:34" ht="50.1" customHeight="1">
      <c r="A59" s="125">
        <v>55</v>
      </c>
      <c r="B59" s="125" t="s">
        <v>977</v>
      </c>
      <c r="C59" s="125" t="s">
        <v>3257</v>
      </c>
      <c r="D59" s="472" t="s">
        <v>3266</v>
      </c>
      <c r="E59" s="472" t="s">
        <v>3265</v>
      </c>
      <c r="F59" s="480" t="s">
        <v>3264</v>
      </c>
      <c r="G59" s="472" t="s">
        <v>3263</v>
      </c>
      <c r="H59" s="472" t="s">
        <v>488</v>
      </c>
      <c r="I59" s="314">
        <v>15</v>
      </c>
      <c r="J59" s="314"/>
      <c r="K59" s="314"/>
      <c r="L59" s="314">
        <v>15</v>
      </c>
      <c r="M59" s="314"/>
      <c r="N59" s="314"/>
      <c r="O59" s="472"/>
      <c r="P59" s="472"/>
      <c r="Q59" s="472" t="s">
        <v>6</v>
      </c>
      <c r="R59" s="472" t="s">
        <v>3262</v>
      </c>
      <c r="S59" s="472" t="s">
        <v>36</v>
      </c>
      <c r="T59" s="472" t="s">
        <v>68</v>
      </c>
      <c r="U59" s="472" t="s">
        <v>49</v>
      </c>
      <c r="V59" s="472" t="s">
        <v>37</v>
      </c>
      <c r="W59" s="315">
        <v>4</v>
      </c>
      <c r="X59" s="315">
        <v>4</v>
      </c>
      <c r="Y59" s="314"/>
      <c r="Z59" s="472" t="s">
        <v>3261</v>
      </c>
      <c r="AA59" s="141" t="s">
        <v>1148</v>
      </c>
      <c r="AB59" s="88"/>
      <c r="AC59" s="88"/>
      <c r="AD59" s="88"/>
      <c r="AE59" s="88"/>
      <c r="AF59" s="88"/>
      <c r="AG59" s="88"/>
      <c r="AH59" s="88"/>
    </row>
    <row r="60" spans="1:34" ht="50.1" customHeight="1">
      <c r="A60" s="125">
        <v>56</v>
      </c>
      <c r="B60" s="125" t="s">
        <v>977</v>
      </c>
      <c r="C60" s="125" t="s">
        <v>3257</v>
      </c>
      <c r="D60" s="472" t="s">
        <v>3260</v>
      </c>
      <c r="E60" s="472" t="s">
        <v>942</v>
      </c>
      <c r="F60" s="480" t="s">
        <v>3259</v>
      </c>
      <c r="G60" s="472" t="s">
        <v>3258</v>
      </c>
      <c r="H60" s="472" t="s">
        <v>798</v>
      </c>
      <c r="I60" s="314">
        <v>30</v>
      </c>
      <c r="J60" s="314"/>
      <c r="K60" s="314"/>
      <c r="L60" s="314">
        <v>30</v>
      </c>
      <c r="M60" s="314"/>
      <c r="N60" s="314"/>
      <c r="O60" s="472"/>
      <c r="P60" s="472"/>
      <c r="Q60" s="472" t="s">
        <v>48</v>
      </c>
      <c r="R60" s="472" t="s">
        <v>130</v>
      </c>
      <c r="S60" s="472" t="s">
        <v>36</v>
      </c>
      <c r="T60" s="472" t="s">
        <v>42</v>
      </c>
      <c r="U60" s="472" t="s">
        <v>49</v>
      </c>
      <c r="V60" s="472" t="s">
        <v>37</v>
      </c>
      <c r="W60" s="314">
        <f>SUM(X60:Y60)</f>
        <v>20</v>
      </c>
      <c r="X60" s="314">
        <v>20</v>
      </c>
      <c r="Y60" s="314"/>
      <c r="Z60" s="472" t="s">
        <v>64</v>
      </c>
      <c r="AA60" s="141" t="s">
        <v>1148</v>
      </c>
      <c r="AB60" s="88"/>
      <c r="AC60" s="88"/>
      <c r="AD60" s="88"/>
      <c r="AE60" s="88"/>
      <c r="AF60" s="88"/>
      <c r="AG60" s="88"/>
      <c r="AH60" s="88"/>
    </row>
    <row r="61" spans="1:34" s="1" customFormat="1" ht="50.1" customHeight="1" thickBot="1">
      <c r="A61" s="126">
        <v>57</v>
      </c>
      <c r="B61" s="231" t="s">
        <v>977</v>
      </c>
      <c r="C61" s="231" t="s">
        <v>3257</v>
      </c>
      <c r="D61" s="232" t="s">
        <v>3256</v>
      </c>
      <c r="E61" s="233" t="s">
        <v>1439</v>
      </c>
      <c r="F61" s="234" t="s">
        <v>3255</v>
      </c>
      <c r="G61" s="233" t="s">
        <v>6162</v>
      </c>
      <c r="H61" s="232" t="s">
        <v>3254</v>
      </c>
      <c r="I61" s="235" t="s">
        <v>3253</v>
      </c>
      <c r="J61" s="235"/>
      <c r="K61" s="235"/>
      <c r="L61" s="235"/>
      <c r="M61" s="235"/>
      <c r="N61" s="235"/>
      <c r="O61" s="232"/>
      <c r="P61" s="232"/>
      <c r="Q61" s="232" t="s">
        <v>6</v>
      </c>
      <c r="R61" s="232" t="s">
        <v>3252</v>
      </c>
      <c r="S61" s="232" t="s">
        <v>36</v>
      </c>
      <c r="T61" s="232" t="s">
        <v>1216</v>
      </c>
      <c r="U61" s="232" t="s">
        <v>49</v>
      </c>
      <c r="V61" s="232" t="s">
        <v>38</v>
      </c>
      <c r="W61" s="235">
        <v>20</v>
      </c>
      <c r="X61" s="235">
        <v>19.5</v>
      </c>
      <c r="Y61" s="235">
        <v>0.5</v>
      </c>
      <c r="Z61" s="232" t="s">
        <v>240</v>
      </c>
      <c r="AA61" s="236"/>
    </row>
    <row r="62" spans="1:34" s="252" customFormat="1" ht="26.25" customHeight="1">
      <c r="A62" s="410"/>
      <c r="B62" s="410"/>
      <c r="C62" s="410"/>
      <c r="D62" s="411"/>
      <c r="E62" s="410"/>
      <c r="F62" s="411"/>
      <c r="G62" s="410"/>
      <c r="H62" s="410"/>
      <c r="I62" s="412"/>
      <c r="J62" s="413"/>
      <c r="K62" s="412"/>
      <c r="L62" s="412"/>
      <c r="M62" s="412"/>
      <c r="N62" s="412"/>
      <c r="O62" s="411"/>
      <c r="P62" s="411"/>
      <c r="Q62" s="410"/>
      <c r="R62" s="410"/>
      <c r="S62" s="410"/>
      <c r="T62" s="410"/>
      <c r="U62" s="410"/>
      <c r="V62" s="410"/>
      <c r="W62" s="412"/>
      <c r="X62" s="412"/>
      <c r="Y62" s="412"/>
      <c r="Z62" s="410"/>
      <c r="AA62" s="414"/>
      <c r="AB62"/>
      <c r="AC62"/>
      <c r="AD62"/>
      <c r="AE62"/>
      <c r="AF62"/>
    </row>
    <row r="63" spans="1:34" s="252" customFormat="1" ht="26.25" customHeight="1">
      <c r="A63" s="334"/>
      <c r="B63" s="334"/>
      <c r="C63" s="334"/>
      <c r="E63" s="334"/>
      <c r="G63" s="334"/>
      <c r="H63" s="334"/>
      <c r="I63" s="335"/>
      <c r="J63" s="336"/>
      <c r="K63" s="335"/>
      <c r="L63" s="335"/>
      <c r="M63" s="335"/>
      <c r="N63" s="335"/>
      <c r="Q63" s="334"/>
      <c r="R63" s="334"/>
      <c r="S63" s="334"/>
      <c r="T63" s="334"/>
      <c r="U63" s="334"/>
      <c r="V63" s="334"/>
      <c r="W63" s="335"/>
      <c r="X63" s="335"/>
      <c r="Y63" s="335"/>
      <c r="Z63" s="334"/>
      <c r="AA63" s="337"/>
      <c r="AB63"/>
      <c r="AC63"/>
      <c r="AD63"/>
      <c r="AE63"/>
      <c r="AF63"/>
    </row>
    <row r="64" spans="1:34" s="252" customFormat="1" ht="26.25" customHeight="1">
      <c r="A64" s="334"/>
      <c r="B64" s="334"/>
      <c r="C64" s="334"/>
      <c r="E64" s="334"/>
      <c r="G64" s="334"/>
      <c r="H64" s="334"/>
      <c r="I64" s="335"/>
      <c r="J64" s="336"/>
      <c r="K64" s="335"/>
      <c r="L64" s="335"/>
      <c r="M64" s="335"/>
      <c r="N64" s="335"/>
      <c r="P64" s="3"/>
      <c r="Q64" s="16"/>
      <c r="R64" s="16"/>
      <c r="S64" s="16"/>
      <c r="T64" s="16"/>
      <c r="U64" s="16"/>
      <c r="V64" s="16"/>
      <c r="W64" s="92"/>
      <c r="X64" s="92"/>
      <c r="Y64" s="92"/>
      <c r="Z64" s="16"/>
      <c r="AA64" s="337"/>
      <c r="AB64"/>
      <c r="AC64"/>
      <c r="AD64"/>
      <c r="AE64"/>
      <c r="AF64"/>
    </row>
    <row r="65" spans="1:32" s="252" customFormat="1" ht="26.25" customHeight="1">
      <c r="A65" s="334"/>
      <c r="B65" s="334"/>
      <c r="C65" s="334"/>
      <c r="E65" s="334"/>
      <c r="G65" s="334"/>
      <c r="H65" s="334"/>
      <c r="I65" s="335"/>
      <c r="J65" s="336"/>
      <c r="K65" s="335"/>
      <c r="L65" s="335"/>
      <c r="M65" s="335"/>
      <c r="N65" s="335"/>
      <c r="Q65" s="334"/>
      <c r="R65" s="334"/>
      <c r="S65" s="334"/>
      <c r="T65" s="334"/>
      <c r="U65" s="334"/>
      <c r="V65" s="334"/>
      <c r="W65" s="335"/>
      <c r="X65" s="335"/>
      <c r="Y65" s="335"/>
      <c r="Z65" s="334"/>
      <c r="AA65" s="337"/>
      <c r="AB65"/>
      <c r="AC65"/>
      <c r="AD65"/>
      <c r="AE65"/>
      <c r="AF65"/>
    </row>
    <row r="66" spans="1:32" s="252" customFormat="1" ht="26.25" customHeight="1">
      <c r="A66" s="334"/>
      <c r="B66" s="334"/>
      <c r="C66" s="334"/>
      <c r="E66" s="334"/>
      <c r="G66" s="334"/>
      <c r="H66" s="334"/>
      <c r="I66" s="335"/>
      <c r="J66" s="336"/>
      <c r="K66" s="335"/>
      <c r="L66" s="335"/>
      <c r="M66" s="335"/>
      <c r="N66" s="335"/>
      <c r="P66" s="3"/>
      <c r="Q66" s="16"/>
      <c r="R66" s="16"/>
      <c r="S66" s="16"/>
      <c r="T66" s="16"/>
      <c r="U66" s="16"/>
      <c r="V66" s="16"/>
      <c r="W66" s="92"/>
      <c r="X66" s="92"/>
      <c r="Y66" s="92"/>
      <c r="Z66" s="16"/>
      <c r="AA66" s="337"/>
      <c r="AB66"/>
      <c r="AC66"/>
      <c r="AD66"/>
      <c r="AE66"/>
      <c r="AF66"/>
    </row>
    <row r="67" spans="1:32" s="252" customFormat="1" ht="26.25" customHeight="1">
      <c r="A67" s="334"/>
      <c r="B67" s="334"/>
      <c r="C67" s="334"/>
      <c r="E67" s="334"/>
      <c r="G67" s="334"/>
      <c r="H67" s="334"/>
      <c r="I67" s="335"/>
      <c r="J67" s="336"/>
      <c r="K67" s="335"/>
      <c r="L67" s="335"/>
      <c r="M67" s="335"/>
      <c r="N67" s="335"/>
      <c r="Q67" s="334"/>
      <c r="R67" s="334"/>
      <c r="S67" s="334"/>
      <c r="T67" s="334"/>
      <c r="U67" s="334"/>
      <c r="V67" s="334"/>
      <c r="W67" s="335"/>
      <c r="X67" s="335"/>
      <c r="Y67" s="335"/>
      <c r="Z67" s="334"/>
      <c r="AA67" s="337"/>
      <c r="AB67"/>
      <c r="AC67"/>
      <c r="AD67"/>
      <c r="AE67"/>
      <c r="AF67"/>
    </row>
    <row r="68" spans="1:32" s="252" customFormat="1" ht="26.25" customHeight="1">
      <c r="A68" s="334"/>
      <c r="B68" s="334"/>
      <c r="C68" s="334"/>
      <c r="E68" s="334"/>
      <c r="G68" s="334"/>
      <c r="H68" s="334"/>
      <c r="I68" s="335"/>
      <c r="J68" s="336"/>
      <c r="K68" s="335"/>
      <c r="L68" s="335"/>
      <c r="M68" s="335"/>
      <c r="N68" s="335"/>
      <c r="Q68" s="334"/>
      <c r="R68" s="334"/>
      <c r="S68" s="334"/>
      <c r="T68" s="334"/>
      <c r="U68" s="334"/>
      <c r="V68" s="334"/>
      <c r="W68" s="335"/>
      <c r="X68" s="335"/>
      <c r="Y68" s="335"/>
      <c r="Z68" s="334"/>
      <c r="AA68" s="337"/>
    </row>
    <row r="69" spans="1:32" s="252" customFormat="1" ht="26.25" customHeight="1">
      <c r="A69" s="334"/>
      <c r="B69" s="334"/>
      <c r="C69" s="334"/>
      <c r="E69" s="334"/>
      <c r="G69" s="334"/>
      <c r="H69" s="334"/>
      <c r="I69" s="335"/>
      <c r="J69" s="336"/>
      <c r="K69" s="335"/>
      <c r="L69" s="335"/>
      <c r="M69" s="335"/>
      <c r="N69" s="335"/>
      <c r="P69" s="3"/>
      <c r="Q69" s="16"/>
      <c r="R69" s="16"/>
      <c r="S69" s="16"/>
      <c r="T69" s="16"/>
      <c r="U69" s="16"/>
      <c r="V69" s="16"/>
      <c r="W69" s="92"/>
      <c r="X69" s="92"/>
      <c r="Y69" s="92"/>
      <c r="Z69" s="16"/>
      <c r="AA69" s="337"/>
    </row>
    <row r="70" spans="1:32" s="252" customFormat="1" ht="26.25" customHeight="1">
      <c r="A70" s="334"/>
      <c r="B70" s="334"/>
      <c r="C70" s="334"/>
      <c r="E70" s="334"/>
      <c r="G70" s="334"/>
      <c r="H70" s="334"/>
      <c r="I70" s="335"/>
      <c r="J70" s="336"/>
      <c r="K70" s="335"/>
      <c r="L70" s="335"/>
      <c r="M70" s="335"/>
      <c r="N70" s="335"/>
      <c r="Q70" s="334"/>
      <c r="R70" s="334"/>
      <c r="S70" s="334"/>
      <c r="T70" s="334"/>
      <c r="U70" s="334"/>
      <c r="V70" s="334"/>
      <c r="W70" s="335"/>
      <c r="X70" s="335"/>
      <c r="Y70" s="335"/>
      <c r="Z70" s="334"/>
      <c r="AA70" s="337"/>
    </row>
    <row r="71" spans="1:32" s="252" customFormat="1" ht="26.25" customHeight="1">
      <c r="A71" s="334"/>
      <c r="B71" s="334"/>
      <c r="C71" s="334"/>
      <c r="E71" s="334"/>
      <c r="G71" s="334"/>
      <c r="H71" s="334"/>
      <c r="I71" s="335"/>
      <c r="J71" s="336"/>
      <c r="K71" s="335"/>
      <c r="L71" s="335"/>
      <c r="M71" s="335"/>
      <c r="N71" s="335"/>
      <c r="P71" s="3"/>
      <c r="Q71" s="16"/>
      <c r="R71" s="16"/>
      <c r="S71" s="16"/>
      <c r="T71" s="16"/>
      <c r="U71" s="16"/>
      <c r="V71" s="16"/>
      <c r="W71" s="92"/>
      <c r="X71" s="92"/>
      <c r="Y71" s="92"/>
      <c r="Z71" s="16"/>
      <c r="AA71" s="337"/>
    </row>
    <row r="72" spans="1:32" s="252" customFormat="1" ht="26.25" customHeight="1">
      <c r="A72" s="334"/>
      <c r="B72" s="334"/>
      <c r="C72" s="334"/>
      <c r="E72" s="334"/>
      <c r="G72" s="334"/>
      <c r="H72" s="334"/>
      <c r="I72" s="335"/>
      <c r="J72" s="336"/>
      <c r="K72" s="335"/>
      <c r="L72" s="335"/>
      <c r="M72" s="335"/>
      <c r="N72" s="335"/>
      <c r="P72" s="3"/>
      <c r="Q72" s="16"/>
      <c r="R72" s="16"/>
      <c r="S72" s="16"/>
      <c r="T72" s="16"/>
      <c r="U72" s="16"/>
      <c r="V72" s="16"/>
      <c r="W72" s="92"/>
      <c r="X72" s="92"/>
      <c r="Y72" s="92"/>
      <c r="Z72" s="16"/>
      <c r="AA72" s="337"/>
    </row>
    <row r="73" spans="1:32" s="252" customFormat="1" ht="26.25" customHeight="1">
      <c r="A73" s="334"/>
      <c r="B73" s="334"/>
      <c r="C73" s="334"/>
      <c r="E73" s="334"/>
      <c r="G73" s="334"/>
      <c r="H73" s="334"/>
      <c r="I73" s="335"/>
      <c r="J73" s="336"/>
      <c r="K73" s="335"/>
      <c r="L73" s="335"/>
      <c r="M73" s="335"/>
      <c r="N73" s="335"/>
      <c r="Q73" s="334"/>
      <c r="R73" s="334"/>
      <c r="S73" s="334"/>
      <c r="T73" s="334"/>
      <c r="U73" s="334"/>
      <c r="V73" s="334"/>
      <c r="W73" s="335"/>
      <c r="X73" s="335"/>
      <c r="Y73" s="335"/>
      <c r="Z73" s="334"/>
      <c r="AA73" s="337"/>
    </row>
    <row r="76" spans="1:32">
      <c r="P76" s="1"/>
      <c r="Q76" s="8"/>
      <c r="R76" s="8"/>
      <c r="S76" s="8"/>
      <c r="T76" s="8"/>
      <c r="U76" s="8"/>
      <c r="V76" s="8"/>
      <c r="W76" s="93"/>
      <c r="X76" s="93"/>
      <c r="Y76" s="93"/>
      <c r="Z76" s="8"/>
    </row>
    <row r="77" spans="1:32">
      <c r="P77" s="1"/>
      <c r="Q77" s="8"/>
      <c r="R77" s="8"/>
      <c r="S77" s="8"/>
      <c r="T77" s="8"/>
      <c r="U77" s="8"/>
      <c r="V77" s="8"/>
      <c r="W77" s="93"/>
      <c r="X77" s="93"/>
      <c r="Y77" s="93"/>
      <c r="Z77" s="8"/>
    </row>
    <row r="79" spans="1:32">
      <c r="P79" s="1"/>
      <c r="Q79" s="8"/>
      <c r="R79" s="8"/>
      <c r="S79" s="8"/>
      <c r="T79" s="8"/>
      <c r="U79" s="8"/>
      <c r="V79" s="8"/>
      <c r="W79" s="93"/>
      <c r="X79" s="93"/>
      <c r="Y79" s="93"/>
      <c r="Z79" s="8"/>
    </row>
    <row r="81" spans="16:26">
      <c r="P81" s="1"/>
      <c r="Q81" s="8"/>
      <c r="R81" s="8"/>
      <c r="S81" s="8"/>
      <c r="T81" s="8"/>
      <c r="U81" s="8"/>
      <c r="V81" s="8"/>
      <c r="W81" s="93"/>
      <c r="X81" s="93"/>
      <c r="Y81" s="93"/>
      <c r="Z81" s="8"/>
    </row>
    <row r="82" spans="16:26">
      <c r="P82" s="1"/>
      <c r="Q82" s="8"/>
      <c r="R82" s="8"/>
      <c r="S82" s="8"/>
      <c r="T82" s="8"/>
      <c r="U82" s="8"/>
      <c r="V82" s="8"/>
      <c r="W82" s="93"/>
      <c r="X82" s="93"/>
      <c r="Y82" s="93"/>
      <c r="Z82" s="8"/>
    </row>
    <row r="83" spans="16:26">
      <c r="P83" s="1"/>
      <c r="Q83" s="8"/>
      <c r="R83" s="8"/>
      <c r="S83" s="8"/>
      <c r="T83" s="8"/>
      <c r="U83" s="8"/>
      <c r="V83" s="8"/>
      <c r="W83" s="93"/>
      <c r="X83" s="93"/>
      <c r="Y83" s="93"/>
      <c r="Z83" s="8"/>
    </row>
    <row r="84" spans="16:26">
      <c r="P84" s="1"/>
      <c r="Q84" s="8"/>
      <c r="R84" s="8"/>
      <c r="S84" s="8"/>
      <c r="T84" s="8"/>
      <c r="U84" s="8"/>
      <c r="V84" s="8"/>
      <c r="W84" s="93"/>
      <c r="X84" s="93"/>
      <c r="Y84" s="93"/>
      <c r="Z84" s="8"/>
    </row>
  </sheetData>
  <autoFilter ref="A4:AA61">
    <filterColumn colId="4">
      <filters>
        <filter val="10.18~10.20._x000a_(3일간)"/>
        <filter val="10.21~10.26._x000a_(5일간)"/>
        <filter val="10.23~11.1_x000a_(10일간)"/>
        <filter val="10.3~10.18._x000a_(16일간)"/>
        <filter val="10.30~11.1._x000a_(3일간)"/>
        <filter val="10.7~10.11._x000a_(5일간)"/>
        <filter val="10.8~10.11._x000a_(4일간)"/>
        <filter val="10.8~11_x000a_(4일간)"/>
        <filter val="10.9~10.11_x000a_(3일간)"/>
        <filter val="10.9~10.11._x000a_(3일간)"/>
        <filter val="10월 중"/>
        <filter val="10월 중_x000a_(4일간)"/>
        <filter val="11.5~11.9._x000a_(5일간)"/>
        <filter val="11.6~11.8._x000a_(3일간)"/>
        <filter val="12월 중"/>
        <filter val="3.14~3.15._x000a_(2일간)"/>
        <filter val="3월 중"/>
        <filter val="4. 30~5.9_x000a_(10일간)"/>
        <filter val="4.1~4.12._x000a_(12일간)_x000a_10.21~11.1._x000a_(12일간)"/>
        <filter val="4.11~5.10._x000a_(30일간)"/>
        <filter val="4.18~5.10._x000a_(23일간)"/>
        <filter val="4.25~4.26._x000a_(2일간)"/>
        <filter val="4.3~4.5._x000a_(3일간)"/>
        <filter val="4.30~5.3_x000a_(4일간)"/>
        <filter val="4.30~5.5._x000a_(6일간)"/>
        <filter val="4.4~4.8._x000a_(5일간)"/>
        <filter val="4월 중"/>
        <filter val="4월 중_x000a_(2일간)"/>
        <filter val="5.11~5.18._x000a_(8일간)"/>
        <filter val="5.1-5.3"/>
        <filter val="5.16~5.17._x000a_(2일간)"/>
        <filter val="5.2.~5.5._x000a_(4일간)"/>
        <filter val="5.2~5.5._x000a_(4일간)"/>
        <filter val="5.3~5.5._x000a_(3일간)"/>
        <filter val="6.19~6.21._x000a_(3일간)"/>
        <filter val="6.25~6.26._x000a_(2일간)"/>
        <filter val="6.4~6.8._x000a_(5일간)"/>
        <filter val="6.5~6.7._x000a_(3일간)"/>
        <filter val="6월 중_x000a_(3일간)"/>
        <filter val="7.31.~8.4._x000a_(5일간)"/>
        <filter val="7.31~8.1._x000a_(2일간)"/>
        <filter val="8.1-8.2"/>
        <filter val="8.22~8.23._x000a_(2일간)"/>
        <filter val="8월 중_x000a_(2일간)"/>
        <filter val="9.18.~9.30._x000a_(13일간)"/>
        <filter val="9.26~9.27._x000a_(2일간)"/>
        <filter val="9.5~9.13._x000a_(9일간)"/>
        <filter val="9월 중"/>
        <filter val="9월 중_x000a_(2일간)"/>
      </filters>
    </filterColumn>
    <sortState ref="A5:AA66">
      <sortCondition ref="A4:A66"/>
    </sortState>
  </autoFilter>
  <mergeCells count="4">
    <mergeCell ref="A1:Y2"/>
    <mergeCell ref="I3:M3"/>
    <mergeCell ref="O3:P3"/>
    <mergeCell ref="W3:Y3"/>
  </mergeCells>
  <phoneticPr fontId="23" type="noConversion"/>
  <dataValidations count="9">
    <dataValidation type="list" allowBlank="1" showInputMessage="1" showErrorMessage="1" sqref="Q10:Q11">
      <formula1>$Q$8:$Q$13</formula1>
    </dataValidation>
    <dataValidation type="list" allowBlank="1" showInputMessage="1" showErrorMessage="1" sqref="Q41:Q46 B41:B46 B48:B60 Q48:Q60 B26:B35 Q26:Q35 Q9 Q5:Q7 Q12:Q24 Q8:R8 B5:B9 B12:B24">
      <formula1>#REF!</formula1>
    </dataValidation>
    <dataValidation type="list" allowBlank="1" showInputMessage="1" showErrorMessage="1" sqref="B36:B40 B47">
      <formula1>$B$7:$B$23</formula1>
    </dataValidation>
    <dataValidation type="list" allowBlank="1" showInputMessage="1" showErrorMessage="1" sqref="Q36:Q40 Q47">
      <formula1>$Q$7:$Q$12</formula1>
    </dataValidation>
    <dataValidation type="list" allowBlank="1" showInputMessage="1" showErrorMessage="1" sqref="Q61">
      <formula1>$Q$6:$Q$11</formula1>
    </dataValidation>
    <dataValidation type="list" allowBlank="1" showInputMessage="1" showErrorMessage="1" sqref="B61">
      <formula1>$B$6:$B$22</formula1>
    </dataValidation>
    <dataValidation type="list" allowBlank="1" showInputMessage="1" showErrorMessage="1" sqref="Q25">
      <formula1>$Q$12:$Q$17</formula1>
    </dataValidation>
    <dataValidation type="list" allowBlank="1" showInputMessage="1" showErrorMessage="1" sqref="B25">
      <formula1>$B$12:$B$25</formula1>
    </dataValidation>
    <dataValidation type="list" allowBlank="1" showInputMessage="1" showErrorMessage="1" sqref="B10:B11">
      <formula1>$B$8:$B$39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I144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4" customWidth="1"/>
    <col min="3" max="3" width="9.109375" style="332" customWidth="1"/>
    <col min="4" max="4" width="17.6640625" style="89" customWidth="1"/>
    <col min="5" max="5" width="12.109375" style="89" customWidth="1"/>
    <col min="6" max="6" width="42" style="89" customWidth="1"/>
    <col min="7" max="7" width="25.109375" style="334" customWidth="1"/>
    <col min="8" max="8" width="12.109375" style="89" customWidth="1"/>
    <col min="9" max="9" width="14.109375" style="89" customWidth="1"/>
    <col min="10" max="13" width="7.6640625" style="89" customWidth="1"/>
    <col min="14" max="14" width="10.109375" style="89" customWidth="1"/>
    <col min="15" max="15" width="30.109375" style="89" customWidth="1"/>
    <col min="16" max="17" width="12.77734375" style="89" customWidth="1"/>
    <col min="18" max="18" width="12.109375" style="89" customWidth="1"/>
    <col min="19" max="19" width="13.33203125" style="89" customWidth="1"/>
    <col min="20" max="20" width="12.77734375" style="89" customWidth="1"/>
    <col min="21" max="24" width="12.109375" style="89" customWidth="1"/>
    <col min="25" max="25" width="12.109375" style="334" customWidth="1"/>
    <col min="26" max="26" width="16.44140625" style="89" bestFit="1" customWidth="1"/>
    <col min="27" max="16384" width="8.88671875" style="89"/>
  </cols>
  <sheetData>
    <row r="1" spans="1:35" s="1" customFormat="1" ht="29.25" customHeigh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16"/>
    </row>
    <row r="2" spans="1:35" s="3" customFormat="1" ht="17.2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16"/>
    </row>
    <row r="3" spans="1:35" s="3" customFormat="1" ht="22.5" customHeight="1" thickBot="1">
      <c r="A3" s="4"/>
      <c r="B3" s="4"/>
      <c r="C3" s="4"/>
      <c r="D3" s="2"/>
      <c r="E3" s="2"/>
      <c r="F3" s="2"/>
      <c r="G3" s="4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2"/>
      <c r="AA3"/>
      <c r="AB3"/>
      <c r="AC3"/>
      <c r="AD3"/>
      <c r="AE3"/>
      <c r="AF3"/>
      <c r="AG3"/>
      <c r="AH3"/>
      <c r="AI3"/>
    </row>
    <row r="4" spans="1:35" s="1" customFormat="1" ht="56.1" customHeight="1">
      <c r="A4" s="210" t="s">
        <v>0</v>
      </c>
      <c r="B4" s="210" t="s">
        <v>134</v>
      </c>
      <c r="C4" s="210" t="s">
        <v>1</v>
      </c>
      <c r="D4" s="210" t="s">
        <v>135</v>
      </c>
      <c r="E4" s="211" t="s">
        <v>136</v>
      </c>
      <c r="F4" s="210" t="s">
        <v>137</v>
      </c>
      <c r="G4" s="211" t="s">
        <v>138</v>
      </c>
      <c r="H4" s="211" t="s">
        <v>3</v>
      </c>
      <c r="I4" s="211" t="s">
        <v>139</v>
      </c>
      <c r="J4" s="211" t="s">
        <v>140</v>
      </c>
      <c r="K4" s="211" t="s">
        <v>4</v>
      </c>
      <c r="L4" s="211" t="s">
        <v>141</v>
      </c>
      <c r="M4" s="211" t="s">
        <v>2</v>
      </c>
      <c r="N4" s="211" t="s">
        <v>142</v>
      </c>
      <c r="O4" s="211" t="s">
        <v>143</v>
      </c>
      <c r="P4" s="211" t="s">
        <v>3558</v>
      </c>
      <c r="Q4" s="211" t="s">
        <v>27</v>
      </c>
      <c r="R4" s="212" t="s">
        <v>144</v>
      </c>
      <c r="S4" s="212" t="s">
        <v>145</v>
      </c>
      <c r="T4" s="212" t="s">
        <v>146</v>
      </c>
      <c r="U4" s="212" t="s">
        <v>28</v>
      </c>
      <c r="V4" s="212" t="s">
        <v>33</v>
      </c>
      <c r="W4" s="212" t="s">
        <v>147</v>
      </c>
      <c r="X4" s="212" t="s">
        <v>148</v>
      </c>
      <c r="Y4" s="212" t="s">
        <v>30</v>
      </c>
      <c r="Z4" s="104" t="s">
        <v>1152</v>
      </c>
      <c r="AA4" s="88"/>
      <c r="AB4" s="88"/>
      <c r="AC4" s="88"/>
      <c r="AD4" s="88"/>
      <c r="AE4" s="88"/>
      <c r="AF4" s="88"/>
      <c r="AG4" s="88"/>
      <c r="AH4"/>
      <c r="AI4"/>
    </row>
    <row r="5" spans="1:35" ht="50.1" customHeight="1">
      <c r="A5" s="125">
        <v>1</v>
      </c>
      <c r="B5" s="125" t="s">
        <v>3566</v>
      </c>
      <c r="C5" s="125" t="s">
        <v>4206</v>
      </c>
      <c r="D5" s="472" t="s">
        <v>4211</v>
      </c>
      <c r="E5" s="472" t="s">
        <v>1527</v>
      </c>
      <c r="F5" s="480" t="s">
        <v>4210</v>
      </c>
      <c r="G5" s="472" t="s">
        <v>4209</v>
      </c>
      <c r="H5" s="472" t="s">
        <v>1508</v>
      </c>
      <c r="I5" s="314">
        <v>200</v>
      </c>
      <c r="J5" s="314">
        <v>0</v>
      </c>
      <c r="K5" s="314">
        <v>0</v>
      </c>
      <c r="L5" s="314">
        <v>200</v>
      </c>
      <c r="M5" s="314">
        <v>0</v>
      </c>
      <c r="N5" s="314"/>
      <c r="O5" s="472"/>
      <c r="P5" s="472" t="s">
        <v>7</v>
      </c>
      <c r="Q5" s="472" t="s">
        <v>4208</v>
      </c>
      <c r="R5" s="472" t="s">
        <v>36</v>
      </c>
      <c r="S5" s="472" t="s">
        <v>55</v>
      </c>
      <c r="T5" s="472" t="s">
        <v>49</v>
      </c>
      <c r="U5" s="472" t="s">
        <v>53</v>
      </c>
      <c r="V5" s="472">
        <v>25</v>
      </c>
      <c r="W5" s="314">
        <v>25</v>
      </c>
      <c r="X5" s="314"/>
      <c r="Y5" s="472" t="s">
        <v>4207</v>
      </c>
      <c r="Z5" s="137" t="s">
        <v>1148</v>
      </c>
      <c r="AA5" s="88"/>
      <c r="AB5" s="88"/>
      <c r="AC5" s="88"/>
      <c r="AD5" s="88"/>
      <c r="AE5" s="88"/>
      <c r="AF5" s="88"/>
      <c r="AG5" s="88"/>
      <c r="AH5"/>
      <c r="AI5"/>
    </row>
    <row r="6" spans="1:35" ht="50.1" customHeight="1">
      <c r="A6" s="125">
        <v>2</v>
      </c>
      <c r="B6" s="125" t="s">
        <v>3566</v>
      </c>
      <c r="C6" s="125" t="s">
        <v>4206</v>
      </c>
      <c r="D6" s="472" t="s">
        <v>4205</v>
      </c>
      <c r="E6" s="472" t="s">
        <v>1520</v>
      </c>
      <c r="F6" s="480" t="s">
        <v>4204</v>
      </c>
      <c r="G6" s="472" t="s">
        <v>4203</v>
      </c>
      <c r="H6" s="472" t="s">
        <v>414</v>
      </c>
      <c r="I6" s="314">
        <v>620</v>
      </c>
      <c r="J6" s="314">
        <v>0</v>
      </c>
      <c r="K6" s="314">
        <v>20</v>
      </c>
      <c r="L6" s="314">
        <v>600</v>
      </c>
      <c r="M6" s="314">
        <v>0</v>
      </c>
      <c r="N6" s="314"/>
      <c r="O6" s="472"/>
      <c r="P6" s="472" t="s">
        <v>98</v>
      </c>
      <c r="Q6" s="472" t="s">
        <v>4202</v>
      </c>
      <c r="R6" s="472" t="s">
        <v>36</v>
      </c>
      <c r="S6" s="472" t="s">
        <v>55</v>
      </c>
      <c r="T6" s="472" t="s">
        <v>49</v>
      </c>
      <c r="U6" s="472" t="s">
        <v>53</v>
      </c>
      <c r="V6" s="472">
        <v>386</v>
      </c>
      <c r="W6" s="314">
        <v>382</v>
      </c>
      <c r="X6" s="314">
        <v>4</v>
      </c>
      <c r="Y6" s="472" t="s">
        <v>4201</v>
      </c>
      <c r="Z6" s="137" t="s">
        <v>1148</v>
      </c>
    </row>
    <row r="7" spans="1:35" ht="50.1" customHeight="1">
      <c r="A7" s="125">
        <v>3</v>
      </c>
      <c r="B7" s="125" t="s">
        <v>3566</v>
      </c>
      <c r="C7" s="125" t="s">
        <v>4166</v>
      </c>
      <c r="D7" s="472" t="s">
        <v>4200</v>
      </c>
      <c r="E7" s="472" t="s">
        <v>4199</v>
      </c>
      <c r="F7" s="480" t="s">
        <v>4198</v>
      </c>
      <c r="G7" s="472" t="s">
        <v>4197</v>
      </c>
      <c r="H7" s="472" t="s">
        <v>4196</v>
      </c>
      <c r="I7" s="315">
        <v>104</v>
      </c>
      <c r="J7" s="315">
        <v>0</v>
      </c>
      <c r="K7" s="315">
        <v>0</v>
      </c>
      <c r="L7" s="314">
        <v>70</v>
      </c>
      <c r="M7" s="314">
        <v>34</v>
      </c>
      <c r="N7" s="314"/>
      <c r="O7" s="472"/>
      <c r="P7" s="472" t="s">
        <v>5</v>
      </c>
      <c r="Q7" s="472" t="s">
        <v>4195</v>
      </c>
      <c r="R7" s="472" t="s">
        <v>36</v>
      </c>
      <c r="S7" s="472" t="s">
        <v>464</v>
      </c>
      <c r="T7" s="472" t="s">
        <v>49</v>
      </c>
      <c r="U7" s="472" t="s">
        <v>53</v>
      </c>
      <c r="V7" s="472">
        <v>191</v>
      </c>
      <c r="W7" s="314">
        <v>191</v>
      </c>
      <c r="X7" s="314"/>
      <c r="Y7" s="472" t="s">
        <v>4194</v>
      </c>
      <c r="Z7" s="137" t="s">
        <v>1148</v>
      </c>
      <c r="AA7" s="88"/>
      <c r="AB7" s="88"/>
      <c r="AC7" s="88"/>
      <c r="AD7" s="88"/>
      <c r="AE7" s="88"/>
      <c r="AF7" s="88"/>
      <c r="AG7" s="88"/>
      <c r="AH7"/>
      <c r="AI7"/>
    </row>
    <row r="8" spans="1:35" ht="50.1" customHeight="1">
      <c r="A8" s="125">
        <v>4</v>
      </c>
      <c r="B8" s="125" t="s">
        <v>972</v>
      </c>
      <c r="C8" s="125" t="s">
        <v>4166</v>
      </c>
      <c r="D8" s="472" t="s">
        <v>4193</v>
      </c>
      <c r="E8" s="472" t="s">
        <v>1529</v>
      </c>
      <c r="F8" s="480" t="s">
        <v>4192</v>
      </c>
      <c r="G8" s="472" t="s">
        <v>4191</v>
      </c>
      <c r="H8" s="472" t="s">
        <v>4190</v>
      </c>
      <c r="I8" s="314">
        <f>SUM(J8:M8)</f>
        <v>1030</v>
      </c>
      <c r="J8" s="314">
        <v>0</v>
      </c>
      <c r="K8" s="314">
        <v>20</v>
      </c>
      <c r="L8" s="314">
        <v>950</v>
      </c>
      <c r="M8" s="314">
        <v>60</v>
      </c>
      <c r="N8" s="314"/>
      <c r="O8" s="472"/>
      <c r="P8" s="472" t="s">
        <v>52</v>
      </c>
      <c r="Q8" s="472" t="s">
        <v>4189</v>
      </c>
      <c r="R8" s="472" t="s">
        <v>36</v>
      </c>
      <c r="S8" s="472" t="s">
        <v>246</v>
      </c>
      <c r="T8" s="472" t="s">
        <v>4188</v>
      </c>
      <c r="U8" s="472" t="s">
        <v>53</v>
      </c>
      <c r="V8" s="472">
        <f>SUM(W8:X8)</f>
        <v>391</v>
      </c>
      <c r="W8" s="314">
        <v>391</v>
      </c>
      <c r="X8" s="314"/>
      <c r="Y8" s="472" t="s">
        <v>4187</v>
      </c>
      <c r="Z8" s="137" t="s">
        <v>1148</v>
      </c>
      <c r="AA8" s="88"/>
      <c r="AB8" s="88"/>
      <c r="AC8" s="88"/>
      <c r="AD8" s="88"/>
      <c r="AE8" s="88"/>
      <c r="AF8" s="88"/>
      <c r="AG8" s="88"/>
      <c r="AH8"/>
      <c r="AI8"/>
    </row>
    <row r="9" spans="1:35" ht="50.1" customHeight="1">
      <c r="A9" s="125">
        <v>5</v>
      </c>
      <c r="B9" s="125" t="s">
        <v>3566</v>
      </c>
      <c r="C9" s="472" t="s">
        <v>4166</v>
      </c>
      <c r="D9" s="472" t="s">
        <v>4186</v>
      </c>
      <c r="E9" s="472" t="s">
        <v>1466</v>
      </c>
      <c r="F9" s="480" t="s">
        <v>4185</v>
      </c>
      <c r="G9" s="472" t="s">
        <v>4184</v>
      </c>
      <c r="H9" s="472" t="s">
        <v>210</v>
      </c>
      <c r="I9" s="314">
        <v>48.4</v>
      </c>
      <c r="J9" s="316">
        <v>0</v>
      </c>
      <c r="K9" s="316">
        <v>42</v>
      </c>
      <c r="L9" s="316">
        <v>0</v>
      </c>
      <c r="M9" s="316">
        <v>6.4</v>
      </c>
      <c r="N9" s="316"/>
      <c r="O9" s="103"/>
      <c r="P9" s="103" t="s">
        <v>6</v>
      </c>
      <c r="Q9" s="472" t="s">
        <v>59</v>
      </c>
      <c r="R9" s="472" t="s">
        <v>36</v>
      </c>
      <c r="S9" s="472" t="s">
        <v>464</v>
      </c>
      <c r="T9" s="472" t="s">
        <v>49</v>
      </c>
      <c r="U9" s="472" t="s">
        <v>53</v>
      </c>
      <c r="V9" s="472">
        <f>SUM(W9:X9)</f>
        <v>3</v>
      </c>
      <c r="W9" s="314">
        <v>3</v>
      </c>
      <c r="X9" s="314"/>
      <c r="Y9" s="472" t="s">
        <v>4183</v>
      </c>
      <c r="Z9" s="137" t="s">
        <v>1148</v>
      </c>
      <c r="AA9" s="88"/>
      <c r="AB9" s="88"/>
      <c r="AC9" s="88"/>
      <c r="AD9" s="88"/>
      <c r="AE9" s="88"/>
      <c r="AF9" s="88"/>
      <c r="AG9" s="88"/>
      <c r="AH9"/>
      <c r="AI9"/>
    </row>
    <row r="10" spans="1:35" ht="50.1" customHeight="1">
      <c r="A10" s="125">
        <v>6</v>
      </c>
      <c r="B10" s="125" t="s">
        <v>3566</v>
      </c>
      <c r="C10" s="125" t="s">
        <v>4166</v>
      </c>
      <c r="D10" s="472" t="s">
        <v>4182</v>
      </c>
      <c r="E10" s="472" t="s">
        <v>1224</v>
      </c>
      <c r="F10" s="480" t="s">
        <v>4181</v>
      </c>
      <c r="G10" s="472" t="s">
        <v>4180</v>
      </c>
      <c r="H10" s="472" t="s">
        <v>1222</v>
      </c>
      <c r="I10" s="314">
        <v>76</v>
      </c>
      <c r="J10" s="314">
        <v>0</v>
      </c>
      <c r="K10" s="314">
        <v>66</v>
      </c>
      <c r="L10" s="314">
        <v>0</v>
      </c>
      <c r="M10" s="314">
        <v>10</v>
      </c>
      <c r="N10" s="314"/>
      <c r="O10" s="472"/>
      <c r="P10" s="472" t="s">
        <v>5</v>
      </c>
      <c r="Q10" s="472" t="s">
        <v>59</v>
      </c>
      <c r="R10" s="472" t="s">
        <v>36</v>
      </c>
      <c r="S10" s="472" t="s">
        <v>464</v>
      </c>
      <c r="T10" s="472" t="s">
        <v>49</v>
      </c>
      <c r="U10" s="472" t="s">
        <v>53</v>
      </c>
      <c r="V10" s="472">
        <f>SUM(W10:X10)</f>
        <v>14.5</v>
      </c>
      <c r="W10" s="314">
        <v>14.5</v>
      </c>
      <c r="X10" s="314"/>
      <c r="Y10" s="472" t="s">
        <v>4179</v>
      </c>
      <c r="Z10" s="137" t="s">
        <v>1148</v>
      </c>
      <c r="AA10" s="88"/>
      <c r="AB10" s="88"/>
      <c r="AC10" s="88"/>
      <c r="AD10" s="88"/>
      <c r="AE10" s="88"/>
      <c r="AF10" s="88"/>
      <c r="AG10" s="88"/>
      <c r="AH10"/>
      <c r="AI10"/>
    </row>
    <row r="11" spans="1:35" ht="50.1" customHeight="1">
      <c r="A11" s="125">
        <v>7</v>
      </c>
      <c r="B11" s="125" t="s">
        <v>972</v>
      </c>
      <c r="C11" s="125" t="s">
        <v>4166</v>
      </c>
      <c r="D11" s="472" t="s">
        <v>4178</v>
      </c>
      <c r="E11" s="472" t="s">
        <v>3729</v>
      </c>
      <c r="F11" s="480" t="s">
        <v>4177</v>
      </c>
      <c r="G11" s="472" t="s">
        <v>4176</v>
      </c>
      <c r="H11" s="472" t="s">
        <v>403</v>
      </c>
      <c r="I11" s="314">
        <f>SUM(J11:M11)</f>
        <v>300</v>
      </c>
      <c r="J11" s="314">
        <v>0</v>
      </c>
      <c r="K11" s="314">
        <v>0</v>
      </c>
      <c r="L11" s="314">
        <v>300</v>
      </c>
      <c r="M11" s="314">
        <v>0</v>
      </c>
      <c r="N11" s="314"/>
      <c r="O11" s="472"/>
      <c r="P11" s="472" t="s">
        <v>46</v>
      </c>
      <c r="Q11" s="472" t="s">
        <v>4175</v>
      </c>
      <c r="R11" s="472" t="s">
        <v>36</v>
      </c>
      <c r="S11" s="472" t="s">
        <v>464</v>
      </c>
      <c r="T11" s="472" t="s">
        <v>49</v>
      </c>
      <c r="U11" s="472" t="s">
        <v>53</v>
      </c>
      <c r="V11" s="472">
        <f>SUM(W11:X11)</f>
        <v>65</v>
      </c>
      <c r="W11" s="314">
        <v>65</v>
      </c>
      <c r="X11" s="314"/>
      <c r="Y11" s="472" t="s">
        <v>4174</v>
      </c>
      <c r="Z11" s="137" t="s">
        <v>1148</v>
      </c>
    </row>
    <row r="12" spans="1:35" ht="50.1" customHeight="1">
      <c r="A12" s="125">
        <v>8</v>
      </c>
      <c r="B12" s="125" t="s">
        <v>972</v>
      </c>
      <c r="C12" s="125" t="s">
        <v>4166</v>
      </c>
      <c r="D12" s="472" t="s">
        <v>4173</v>
      </c>
      <c r="E12" s="472" t="s">
        <v>886</v>
      </c>
      <c r="F12" s="480" t="s">
        <v>4172</v>
      </c>
      <c r="G12" s="472" t="s">
        <v>4171</v>
      </c>
      <c r="H12" s="472" t="s">
        <v>4170</v>
      </c>
      <c r="I12" s="314">
        <v>800</v>
      </c>
      <c r="J12" s="314">
        <v>0</v>
      </c>
      <c r="K12" s="314">
        <v>500</v>
      </c>
      <c r="L12" s="314">
        <v>300</v>
      </c>
      <c r="M12" s="314">
        <v>0</v>
      </c>
      <c r="N12" s="314"/>
      <c r="O12" s="472"/>
      <c r="P12" s="472" t="s">
        <v>41</v>
      </c>
      <c r="Q12" s="472" t="s">
        <v>4169</v>
      </c>
      <c r="R12" s="472" t="s">
        <v>4168</v>
      </c>
      <c r="S12" s="472" t="s">
        <v>199</v>
      </c>
      <c r="T12" s="472" t="s">
        <v>107</v>
      </c>
      <c r="U12" s="472" t="s">
        <v>53</v>
      </c>
      <c r="V12" s="472">
        <v>249</v>
      </c>
      <c r="W12" s="314">
        <v>249</v>
      </c>
      <c r="X12" s="314"/>
      <c r="Y12" s="472" t="s">
        <v>4167</v>
      </c>
      <c r="Z12" s="137" t="s">
        <v>1148</v>
      </c>
    </row>
    <row r="13" spans="1:35" ht="50.1" customHeight="1">
      <c r="A13" s="125">
        <v>9</v>
      </c>
      <c r="B13" s="125" t="s">
        <v>3566</v>
      </c>
      <c r="C13" s="125" t="s">
        <v>4166</v>
      </c>
      <c r="D13" s="472" t="s">
        <v>4165</v>
      </c>
      <c r="E13" s="472" t="s">
        <v>1542</v>
      </c>
      <c r="F13" s="480" t="s">
        <v>4164</v>
      </c>
      <c r="G13" s="472" t="s">
        <v>4163</v>
      </c>
      <c r="H13" s="472" t="s">
        <v>169</v>
      </c>
      <c r="I13" s="314">
        <v>72.599999999999994</v>
      </c>
      <c r="J13" s="314">
        <v>0</v>
      </c>
      <c r="K13" s="314">
        <v>0</v>
      </c>
      <c r="L13" s="314">
        <v>66</v>
      </c>
      <c r="M13" s="314">
        <v>6.6</v>
      </c>
      <c r="N13" s="314"/>
      <c r="O13" s="472"/>
      <c r="P13" s="472" t="s">
        <v>50</v>
      </c>
      <c r="Q13" s="472" t="s">
        <v>4162</v>
      </c>
      <c r="R13" s="472" t="s">
        <v>36</v>
      </c>
      <c r="S13" s="472" t="s">
        <v>464</v>
      </c>
      <c r="T13" s="472" t="s">
        <v>49</v>
      </c>
      <c r="U13" s="472" t="s">
        <v>53</v>
      </c>
      <c r="V13" s="472">
        <v>37.5</v>
      </c>
      <c r="W13" s="314">
        <v>37.5</v>
      </c>
      <c r="X13" s="314"/>
      <c r="Y13" s="472" t="s">
        <v>4161</v>
      </c>
      <c r="Z13" s="137"/>
    </row>
    <row r="14" spans="1:35" ht="50.1" customHeight="1">
      <c r="A14" s="125">
        <v>10</v>
      </c>
      <c r="B14" s="125" t="s">
        <v>3566</v>
      </c>
      <c r="C14" s="125" t="s">
        <v>4106</v>
      </c>
      <c r="D14" s="472" t="s">
        <v>4160</v>
      </c>
      <c r="E14" s="472" t="s">
        <v>4159</v>
      </c>
      <c r="F14" s="480" t="s">
        <v>4158</v>
      </c>
      <c r="G14" s="472" t="s">
        <v>4157</v>
      </c>
      <c r="H14" s="472" t="s">
        <v>179</v>
      </c>
      <c r="I14" s="314">
        <v>100</v>
      </c>
      <c r="J14" s="314">
        <v>0</v>
      </c>
      <c r="K14" s="314">
        <v>0</v>
      </c>
      <c r="L14" s="314">
        <v>100</v>
      </c>
      <c r="M14" s="314">
        <v>0</v>
      </c>
      <c r="N14" s="314"/>
      <c r="O14" s="472"/>
      <c r="P14" s="472" t="s">
        <v>5</v>
      </c>
      <c r="Q14" s="472" t="s">
        <v>130</v>
      </c>
      <c r="R14" s="472" t="s">
        <v>36</v>
      </c>
      <c r="S14" s="472" t="s">
        <v>55</v>
      </c>
      <c r="T14" s="472" t="s">
        <v>49</v>
      </c>
      <c r="U14" s="472" t="s">
        <v>507</v>
      </c>
      <c r="V14" s="472" t="s">
        <v>4156</v>
      </c>
      <c r="W14" s="314" t="s">
        <v>4156</v>
      </c>
      <c r="X14" s="314" t="s">
        <v>4156</v>
      </c>
      <c r="Y14" s="472" t="s">
        <v>4155</v>
      </c>
      <c r="Z14" s="137" t="s">
        <v>1148</v>
      </c>
      <c r="AA14" s="88"/>
      <c r="AB14" s="88"/>
      <c r="AC14" s="88"/>
      <c r="AD14" s="88"/>
      <c r="AE14" s="88"/>
      <c r="AF14" s="88"/>
      <c r="AG14" s="88"/>
      <c r="AH14"/>
      <c r="AI14"/>
    </row>
    <row r="15" spans="1:35" ht="50.1" customHeight="1">
      <c r="A15" s="125">
        <v>11</v>
      </c>
      <c r="B15" s="125" t="s">
        <v>3566</v>
      </c>
      <c r="C15" s="125" t="s">
        <v>4106</v>
      </c>
      <c r="D15" s="472" t="s">
        <v>4154</v>
      </c>
      <c r="E15" s="472" t="s">
        <v>4153</v>
      </c>
      <c r="F15" s="480" t="s">
        <v>4152</v>
      </c>
      <c r="G15" s="472" t="s">
        <v>4134</v>
      </c>
      <c r="H15" s="472" t="s">
        <v>40</v>
      </c>
      <c r="I15" s="314">
        <v>20</v>
      </c>
      <c r="J15" s="314">
        <v>0</v>
      </c>
      <c r="K15" s="314">
        <v>0</v>
      </c>
      <c r="L15" s="314">
        <v>20</v>
      </c>
      <c r="M15" s="314">
        <v>0</v>
      </c>
      <c r="N15" s="314"/>
      <c r="O15" s="472"/>
      <c r="P15" s="472" t="s">
        <v>5</v>
      </c>
      <c r="Q15" s="472" t="s">
        <v>4151</v>
      </c>
      <c r="R15" s="472" t="s">
        <v>36</v>
      </c>
      <c r="S15" s="472" t="s">
        <v>186</v>
      </c>
      <c r="T15" s="472" t="s">
        <v>49</v>
      </c>
      <c r="U15" s="472"/>
      <c r="V15" s="472">
        <f t="shared" ref="V15:V22" si="0">SUM(W15:X15)</f>
        <v>25</v>
      </c>
      <c r="W15" s="314">
        <v>25</v>
      </c>
      <c r="X15" s="314"/>
      <c r="Y15" s="472" t="s">
        <v>4133</v>
      </c>
      <c r="Z15" s="137" t="s">
        <v>1148</v>
      </c>
      <c r="AA15" s="88"/>
      <c r="AB15" s="88"/>
      <c r="AC15" s="88"/>
      <c r="AD15" s="88"/>
      <c r="AE15" s="88"/>
      <c r="AF15" s="88"/>
      <c r="AG15" s="88"/>
      <c r="AH15"/>
      <c r="AI15"/>
    </row>
    <row r="16" spans="1:35" ht="50.1" customHeight="1">
      <c r="A16" s="125">
        <v>12</v>
      </c>
      <c r="B16" s="317" t="s">
        <v>3566</v>
      </c>
      <c r="C16" s="317" t="s">
        <v>4106</v>
      </c>
      <c r="D16" s="318" t="s">
        <v>4150</v>
      </c>
      <c r="E16" s="222" t="s">
        <v>1444</v>
      </c>
      <c r="F16" s="223" t="s">
        <v>4149</v>
      </c>
      <c r="G16" s="222" t="s">
        <v>6176</v>
      </c>
      <c r="H16" s="319" t="s">
        <v>4148</v>
      </c>
      <c r="I16" s="320">
        <f>SUM(J16:M16)</f>
        <v>56</v>
      </c>
      <c r="J16" s="320">
        <v>0</v>
      </c>
      <c r="K16" s="320">
        <v>0</v>
      </c>
      <c r="L16" s="320">
        <v>10</v>
      </c>
      <c r="M16" s="320">
        <v>46</v>
      </c>
      <c r="N16" s="320"/>
      <c r="O16" s="321"/>
      <c r="P16" s="321" t="s">
        <v>48</v>
      </c>
      <c r="Q16" s="317" t="s">
        <v>4147</v>
      </c>
      <c r="R16" s="319" t="s">
        <v>36</v>
      </c>
      <c r="S16" s="317" t="s">
        <v>411</v>
      </c>
      <c r="T16" s="317" t="s">
        <v>49</v>
      </c>
      <c r="U16" s="319" t="s">
        <v>38</v>
      </c>
      <c r="V16" s="317">
        <f t="shared" si="0"/>
        <v>3</v>
      </c>
      <c r="W16" s="322">
        <v>3</v>
      </c>
      <c r="X16" s="320">
        <v>0</v>
      </c>
      <c r="Y16" s="317" t="s">
        <v>4146</v>
      </c>
      <c r="Z16" s="137" t="s">
        <v>1148</v>
      </c>
      <c r="AA16" s="88"/>
      <c r="AB16" s="88"/>
      <c r="AC16" s="88"/>
      <c r="AD16" s="88"/>
      <c r="AE16" s="88"/>
      <c r="AF16" s="88"/>
      <c r="AG16" s="88"/>
      <c r="AH16"/>
      <c r="AI16"/>
    </row>
    <row r="17" spans="1:35" ht="50.1" customHeight="1">
      <c r="A17" s="125">
        <v>13</v>
      </c>
      <c r="B17" s="125" t="s">
        <v>3566</v>
      </c>
      <c r="C17" s="125" t="s">
        <v>4106</v>
      </c>
      <c r="D17" s="472" t="s">
        <v>4145</v>
      </c>
      <c r="E17" s="472" t="s">
        <v>4144</v>
      </c>
      <c r="F17" s="480" t="s">
        <v>4131</v>
      </c>
      <c r="G17" s="472" t="s">
        <v>4130</v>
      </c>
      <c r="H17" s="472" t="s">
        <v>2819</v>
      </c>
      <c r="I17" s="324">
        <v>300</v>
      </c>
      <c r="J17" s="324">
        <v>0</v>
      </c>
      <c r="K17" s="324">
        <v>0</v>
      </c>
      <c r="L17" s="324">
        <v>0</v>
      </c>
      <c r="M17" s="324">
        <v>0</v>
      </c>
      <c r="N17" s="324" t="s">
        <v>35</v>
      </c>
      <c r="O17" s="154" t="s">
        <v>4129</v>
      </c>
      <c r="P17" s="154" t="s">
        <v>7</v>
      </c>
      <c r="Q17" s="125" t="s">
        <v>4143</v>
      </c>
      <c r="R17" s="472" t="s">
        <v>4127</v>
      </c>
      <c r="S17" s="317" t="s">
        <v>55</v>
      </c>
      <c r="T17" s="317" t="s">
        <v>49</v>
      </c>
      <c r="U17" s="125" t="s">
        <v>53</v>
      </c>
      <c r="V17" s="125">
        <f t="shared" si="0"/>
        <v>0</v>
      </c>
      <c r="W17" s="322"/>
      <c r="X17" s="320"/>
      <c r="Y17" s="319" t="s">
        <v>4142</v>
      </c>
      <c r="Z17" s="137" t="s">
        <v>4125</v>
      </c>
      <c r="AA17" s="88"/>
      <c r="AB17" s="88"/>
      <c r="AC17" s="88"/>
      <c r="AD17" s="88"/>
      <c r="AE17" s="88"/>
      <c r="AF17" s="88"/>
      <c r="AG17" s="88"/>
      <c r="AH17"/>
      <c r="AI17"/>
    </row>
    <row r="18" spans="1:35" ht="50.1" customHeight="1">
      <c r="A18" s="125">
        <v>14</v>
      </c>
      <c r="B18" s="125" t="s">
        <v>3566</v>
      </c>
      <c r="C18" s="125" t="s">
        <v>4106</v>
      </c>
      <c r="D18" s="472" t="s">
        <v>4141</v>
      </c>
      <c r="E18" s="472" t="s">
        <v>4140</v>
      </c>
      <c r="F18" s="480" t="s">
        <v>4139</v>
      </c>
      <c r="G18" s="472" t="s">
        <v>4138</v>
      </c>
      <c r="H18" s="472" t="s">
        <v>238</v>
      </c>
      <c r="I18" s="324">
        <v>78</v>
      </c>
      <c r="J18" s="324">
        <v>0</v>
      </c>
      <c r="K18" s="324">
        <v>0</v>
      </c>
      <c r="L18" s="324">
        <v>38</v>
      </c>
      <c r="M18" s="324">
        <v>40</v>
      </c>
      <c r="N18" s="324"/>
      <c r="O18" s="154"/>
      <c r="P18" s="154" t="s">
        <v>6</v>
      </c>
      <c r="Q18" s="125" t="s">
        <v>571</v>
      </c>
      <c r="R18" s="472" t="s">
        <v>36</v>
      </c>
      <c r="S18" s="125" t="s">
        <v>68</v>
      </c>
      <c r="T18" s="125" t="s">
        <v>49</v>
      </c>
      <c r="U18" s="472" t="s">
        <v>53</v>
      </c>
      <c r="V18" s="125">
        <f t="shared" si="0"/>
        <v>10</v>
      </c>
      <c r="W18" s="322">
        <v>10</v>
      </c>
      <c r="X18" s="320"/>
      <c r="Y18" s="317" t="s">
        <v>4137</v>
      </c>
      <c r="Z18" s="137" t="s">
        <v>1148</v>
      </c>
      <c r="AA18" s="88"/>
      <c r="AB18" s="88"/>
      <c r="AC18" s="88"/>
      <c r="AD18" s="88"/>
      <c r="AE18" s="88"/>
      <c r="AF18" s="88"/>
      <c r="AG18" s="88"/>
      <c r="AH18"/>
      <c r="AI18"/>
    </row>
    <row r="19" spans="1:35" ht="50.1" customHeight="1">
      <c r="A19" s="125">
        <v>15</v>
      </c>
      <c r="B19" s="125" t="s">
        <v>3566</v>
      </c>
      <c r="C19" s="125" t="s">
        <v>4106</v>
      </c>
      <c r="D19" s="472" t="s">
        <v>4136</v>
      </c>
      <c r="E19" s="472" t="s">
        <v>1521</v>
      </c>
      <c r="F19" s="480" t="s">
        <v>4135</v>
      </c>
      <c r="G19" s="472" t="s">
        <v>4134</v>
      </c>
      <c r="H19" s="472" t="s">
        <v>4080</v>
      </c>
      <c r="I19" s="324">
        <v>120</v>
      </c>
      <c r="J19" s="324">
        <v>0</v>
      </c>
      <c r="K19" s="324">
        <v>0</v>
      </c>
      <c r="L19" s="324">
        <v>120</v>
      </c>
      <c r="M19" s="324">
        <v>0</v>
      </c>
      <c r="N19" s="324"/>
      <c r="O19" s="154"/>
      <c r="P19" s="154" t="s">
        <v>5</v>
      </c>
      <c r="Q19" s="125" t="s">
        <v>3862</v>
      </c>
      <c r="R19" s="472" t="s">
        <v>36</v>
      </c>
      <c r="S19" s="125" t="s">
        <v>186</v>
      </c>
      <c r="T19" s="125" t="s">
        <v>49</v>
      </c>
      <c r="U19" s="125"/>
      <c r="V19" s="125">
        <f t="shared" si="0"/>
        <v>181</v>
      </c>
      <c r="W19" s="322">
        <v>180</v>
      </c>
      <c r="X19" s="320">
        <v>1</v>
      </c>
      <c r="Y19" s="317" t="s">
        <v>4133</v>
      </c>
      <c r="Z19" s="137" t="s">
        <v>1148</v>
      </c>
    </row>
    <row r="20" spans="1:35" ht="50.1" customHeight="1">
      <c r="A20" s="125">
        <v>16</v>
      </c>
      <c r="B20" s="125" t="s">
        <v>3566</v>
      </c>
      <c r="C20" s="125" t="s">
        <v>4106</v>
      </c>
      <c r="D20" s="472" t="s">
        <v>4132</v>
      </c>
      <c r="E20" s="472" t="s">
        <v>1217</v>
      </c>
      <c r="F20" s="480" t="s">
        <v>4131</v>
      </c>
      <c r="G20" s="472" t="s">
        <v>4130</v>
      </c>
      <c r="H20" s="472" t="s">
        <v>2819</v>
      </c>
      <c r="I20" s="324">
        <v>100</v>
      </c>
      <c r="J20" s="324">
        <v>0</v>
      </c>
      <c r="K20" s="324">
        <v>0</v>
      </c>
      <c r="L20" s="324">
        <v>0</v>
      </c>
      <c r="M20" s="324">
        <v>0</v>
      </c>
      <c r="N20" s="324" t="s">
        <v>35</v>
      </c>
      <c r="O20" s="154" t="s">
        <v>4129</v>
      </c>
      <c r="P20" s="154" t="s">
        <v>7</v>
      </c>
      <c r="Q20" s="125" t="s">
        <v>4128</v>
      </c>
      <c r="R20" s="472" t="s">
        <v>4127</v>
      </c>
      <c r="S20" s="125" t="s">
        <v>55</v>
      </c>
      <c r="T20" s="125" t="s">
        <v>49</v>
      </c>
      <c r="U20" s="472" t="s">
        <v>53</v>
      </c>
      <c r="V20" s="125">
        <f t="shared" si="0"/>
        <v>0</v>
      </c>
      <c r="W20" s="314"/>
      <c r="X20" s="324"/>
      <c r="Y20" s="472" t="s">
        <v>4126</v>
      </c>
      <c r="Z20" s="137" t="s">
        <v>4125</v>
      </c>
      <c r="AA20" s="88"/>
      <c r="AB20" s="88"/>
      <c r="AC20" s="88"/>
      <c r="AD20" s="88"/>
      <c r="AE20" s="88"/>
      <c r="AF20" s="88"/>
      <c r="AG20" s="88"/>
      <c r="AH20"/>
      <c r="AI20"/>
    </row>
    <row r="21" spans="1:35" ht="50.1" customHeight="1">
      <c r="A21" s="125">
        <v>17</v>
      </c>
      <c r="B21" s="125" t="s">
        <v>3566</v>
      </c>
      <c r="C21" s="125" t="s">
        <v>4106</v>
      </c>
      <c r="D21" s="472" t="s">
        <v>4124</v>
      </c>
      <c r="E21" s="472" t="s">
        <v>1217</v>
      </c>
      <c r="F21" s="480" t="s">
        <v>4123</v>
      </c>
      <c r="G21" s="472" t="s">
        <v>4122</v>
      </c>
      <c r="H21" s="472" t="s">
        <v>798</v>
      </c>
      <c r="I21" s="325">
        <v>420</v>
      </c>
      <c r="J21" s="324">
        <v>0</v>
      </c>
      <c r="K21" s="324">
        <v>20</v>
      </c>
      <c r="L21" s="325">
        <v>400</v>
      </c>
      <c r="M21" s="324">
        <v>0</v>
      </c>
      <c r="N21" s="324"/>
      <c r="O21" s="154"/>
      <c r="P21" s="154" t="s">
        <v>7</v>
      </c>
      <c r="Q21" s="472" t="s">
        <v>4121</v>
      </c>
      <c r="R21" s="472" t="s">
        <v>36</v>
      </c>
      <c r="S21" s="472" t="s">
        <v>55</v>
      </c>
      <c r="T21" s="472" t="s">
        <v>49</v>
      </c>
      <c r="U21" s="472" t="s">
        <v>53</v>
      </c>
      <c r="V21" s="472">
        <f t="shared" si="0"/>
        <v>418</v>
      </c>
      <c r="W21" s="314">
        <v>398</v>
      </c>
      <c r="X21" s="325">
        <v>20</v>
      </c>
      <c r="Y21" s="125" t="s">
        <v>4120</v>
      </c>
      <c r="Z21" s="137" t="s">
        <v>1148</v>
      </c>
      <c r="AA21" s="88"/>
      <c r="AB21" s="88"/>
      <c r="AC21" s="88"/>
      <c r="AD21" s="88"/>
      <c r="AE21" s="88"/>
      <c r="AF21" s="88"/>
      <c r="AG21" s="88"/>
      <c r="AH21"/>
      <c r="AI21"/>
    </row>
    <row r="22" spans="1:35" ht="50.1" customHeight="1">
      <c r="A22" s="125">
        <v>18</v>
      </c>
      <c r="B22" s="125" t="s">
        <v>3566</v>
      </c>
      <c r="C22" s="125" t="s">
        <v>4106</v>
      </c>
      <c r="D22" s="472" t="s">
        <v>4119</v>
      </c>
      <c r="E22" s="472" t="s">
        <v>4118</v>
      </c>
      <c r="F22" s="480" t="s">
        <v>4117</v>
      </c>
      <c r="G22" s="472" t="s">
        <v>4116</v>
      </c>
      <c r="H22" s="472" t="s">
        <v>4115</v>
      </c>
      <c r="I22" s="324">
        <f>SUM(J22:L22)</f>
        <v>18</v>
      </c>
      <c r="J22" s="324">
        <v>5</v>
      </c>
      <c r="K22" s="324">
        <v>1.5</v>
      </c>
      <c r="L22" s="324">
        <v>11.5</v>
      </c>
      <c r="M22" s="324">
        <v>0</v>
      </c>
      <c r="N22" s="324" t="s">
        <v>4114</v>
      </c>
      <c r="O22" s="154" t="s">
        <v>4113</v>
      </c>
      <c r="P22" s="154" t="s">
        <v>46</v>
      </c>
      <c r="Q22" s="472" t="s">
        <v>4112</v>
      </c>
      <c r="R22" s="472" t="s">
        <v>885</v>
      </c>
      <c r="S22" s="472" t="s">
        <v>55</v>
      </c>
      <c r="T22" s="472" t="s">
        <v>49</v>
      </c>
      <c r="U22" s="472" t="s">
        <v>53</v>
      </c>
      <c r="V22" s="472">
        <f t="shared" si="0"/>
        <v>600</v>
      </c>
      <c r="W22" s="315">
        <v>550</v>
      </c>
      <c r="X22" s="325">
        <v>50</v>
      </c>
      <c r="Y22" s="125" t="s">
        <v>4101</v>
      </c>
      <c r="Z22" s="137"/>
    </row>
    <row r="23" spans="1:35" ht="50.1" customHeight="1">
      <c r="A23" s="125">
        <v>19</v>
      </c>
      <c r="B23" s="125" t="s">
        <v>3566</v>
      </c>
      <c r="C23" s="125" t="s">
        <v>4106</v>
      </c>
      <c r="D23" s="472" t="s">
        <v>4111</v>
      </c>
      <c r="E23" s="472" t="s">
        <v>4110</v>
      </c>
      <c r="F23" s="480" t="s">
        <v>4109</v>
      </c>
      <c r="G23" s="472" t="s">
        <v>4108</v>
      </c>
      <c r="H23" s="472" t="s">
        <v>1550</v>
      </c>
      <c r="I23" s="324">
        <v>150</v>
      </c>
      <c r="J23" s="324">
        <v>0</v>
      </c>
      <c r="K23" s="324">
        <v>0</v>
      </c>
      <c r="L23" s="324">
        <v>150</v>
      </c>
      <c r="M23" s="324">
        <v>0</v>
      </c>
      <c r="N23" s="324"/>
      <c r="O23" s="154"/>
      <c r="P23" s="154" t="s">
        <v>52</v>
      </c>
      <c r="Q23" s="472" t="s">
        <v>4107</v>
      </c>
      <c r="R23" s="472" t="s">
        <v>36</v>
      </c>
      <c r="S23" s="472" t="s">
        <v>246</v>
      </c>
      <c r="T23" s="472" t="s">
        <v>49</v>
      </c>
      <c r="U23" s="472" t="s">
        <v>37</v>
      </c>
      <c r="V23" s="472">
        <v>135</v>
      </c>
      <c r="W23" s="314">
        <v>135</v>
      </c>
      <c r="X23" s="324"/>
      <c r="Y23" s="125" t="s">
        <v>844</v>
      </c>
      <c r="Z23" s="137" t="s">
        <v>1148</v>
      </c>
    </row>
    <row r="24" spans="1:35" ht="50.1" customHeight="1">
      <c r="A24" s="125">
        <v>20</v>
      </c>
      <c r="B24" s="125" t="s">
        <v>3566</v>
      </c>
      <c r="C24" s="125" t="s">
        <v>4106</v>
      </c>
      <c r="D24" s="126" t="s">
        <v>4105</v>
      </c>
      <c r="E24" s="472" t="s">
        <v>4104</v>
      </c>
      <c r="F24" s="480" t="s">
        <v>4103</v>
      </c>
      <c r="G24" s="472" t="s">
        <v>4102</v>
      </c>
      <c r="H24" s="472" t="s">
        <v>564</v>
      </c>
      <c r="I24" s="324">
        <v>240</v>
      </c>
      <c r="J24" s="324">
        <v>0</v>
      </c>
      <c r="K24" s="324">
        <v>0</v>
      </c>
      <c r="L24" s="324">
        <v>240</v>
      </c>
      <c r="M24" s="324">
        <v>0</v>
      </c>
      <c r="N24" s="324"/>
      <c r="O24" s="154"/>
      <c r="P24" s="154" t="s">
        <v>7</v>
      </c>
      <c r="Q24" s="472" t="s">
        <v>2857</v>
      </c>
      <c r="R24" s="472" t="s">
        <v>36</v>
      </c>
      <c r="S24" s="472" t="s">
        <v>55</v>
      </c>
      <c r="T24" s="472" t="s">
        <v>49</v>
      </c>
      <c r="U24" s="472" t="s">
        <v>53</v>
      </c>
      <c r="V24" s="472">
        <f>SUM(W24:X24)</f>
        <v>151</v>
      </c>
      <c r="W24" s="314">
        <v>150</v>
      </c>
      <c r="X24" s="324">
        <v>1</v>
      </c>
      <c r="Y24" s="125" t="s">
        <v>4101</v>
      </c>
      <c r="Z24" s="137" t="s">
        <v>6166</v>
      </c>
    </row>
    <row r="25" spans="1:35" ht="50.1" customHeight="1">
      <c r="A25" s="125">
        <v>21</v>
      </c>
      <c r="B25" s="125" t="s">
        <v>3566</v>
      </c>
      <c r="C25" s="125" t="s">
        <v>4091</v>
      </c>
      <c r="D25" s="472" t="s">
        <v>4100</v>
      </c>
      <c r="E25" s="472" t="s">
        <v>1018</v>
      </c>
      <c r="F25" s="480" t="s">
        <v>4099</v>
      </c>
      <c r="G25" s="472" t="s">
        <v>4098</v>
      </c>
      <c r="H25" s="472" t="s">
        <v>811</v>
      </c>
      <c r="I25" s="324">
        <v>590</v>
      </c>
      <c r="J25" s="324">
        <v>0</v>
      </c>
      <c r="K25" s="324">
        <v>0</v>
      </c>
      <c r="L25" s="324">
        <v>590</v>
      </c>
      <c r="M25" s="324">
        <v>0</v>
      </c>
      <c r="N25" s="324"/>
      <c r="O25" s="154"/>
      <c r="P25" s="154" t="s">
        <v>7</v>
      </c>
      <c r="Q25" s="472" t="s">
        <v>4097</v>
      </c>
      <c r="R25" s="472" t="s">
        <v>36</v>
      </c>
      <c r="S25" s="472" t="s">
        <v>42</v>
      </c>
      <c r="T25" s="472" t="s">
        <v>49</v>
      </c>
      <c r="U25" s="472" t="s">
        <v>38</v>
      </c>
      <c r="V25" s="472">
        <f>SUM(W25:X25)</f>
        <v>202.2</v>
      </c>
      <c r="W25" s="324">
        <v>200</v>
      </c>
      <c r="X25" s="324">
        <v>2.2000000000000002</v>
      </c>
      <c r="Y25" s="472" t="s">
        <v>4096</v>
      </c>
      <c r="Z25" s="137" t="s">
        <v>1148</v>
      </c>
    </row>
    <row r="26" spans="1:35" ht="50.1" customHeight="1">
      <c r="A26" s="125">
        <v>22</v>
      </c>
      <c r="B26" s="125" t="s">
        <v>3566</v>
      </c>
      <c r="C26" s="125" t="s">
        <v>4091</v>
      </c>
      <c r="D26" s="472" t="s">
        <v>4095</v>
      </c>
      <c r="E26" s="472" t="s">
        <v>908</v>
      </c>
      <c r="F26" s="480" t="s">
        <v>4094</v>
      </c>
      <c r="G26" s="472" t="s">
        <v>4093</v>
      </c>
      <c r="H26" s="472" t="s">
        <v>3902</v>
      </c>
      <c r="I26" s="324">
        <v>170</v>
      </c>
      <c r="J26" s="324">
        <v>0</v>
      </c>
      <c r="K26" s="324">
        <v>0</v>
      </c>
      <c r="L26" s="324">
        <v>170</v>
      </c>
      <c r="M26" s="324">
        <v>0</v>
      </c>
      <c r="N26" s="324"/>
      <c r="O26" s="154"/>
      <c r="P26" s="154" t="s">
        <v>6</v>
      </c>
      <c r="Q26" s="472" t="s">
        <v>3632</v>
      </c>
      <c r="R26" s="472" t="s">
        <v>36</v>
      </c>
      <c r="S26" s="472" t="s">
        <v>42</v>
      </c>
      <c r="T26" s="472" t="s">
        <v>49</v>
      </c>
      <c r="U26" s="472" t="s">
        <v>38</v>
      </c>
      <c r="V26" s="472">
        <v>65</v>
      </c>
      <c r="W26" s="324">
        <v>65</v>
      </c>
      <c r="X26" s="324" t="s">
        <v>43</v>
      </c>
      <c r="Y26" s="472" t="s">
        <v>4092</v>
      </c>
      <c r="Z26" s="137" t="s">
        <v>1148</v>
      </c>
      <c r="AA26" s="88"/>
      <c r="AB26" s="88"/>
      <c r="AC26" s="88"/>
      <c r="AD26" s="88"/>
      <c r="AE26" s="88"/>
      <c r="AF26" s="88"/>
      <c r="AG26" s="88"/>
      <c r="AH26"/>
      <c r="AI26"/>
    </row>
    <row r="27" spans="1:35" ht="50.1" customHeight="1">
      <c r="A27" s="125">
        <v>23</v>
      </c>
      <c r="B27" s="125" t="s">
        <v>3566</v>
      </c>
      <c r="C27" s="125" t="s">
        <v>4091</v>
      </c>
      <c r="D27" s="472" t="s">
        <v>4090</v>
      </c>
      <c r="E27" s="472" t="s">
        <v>1215</v>
      </c>
      <c r="F27" s="480" t="s">
        <v>4089</v>
      </c>
      <c r="G27" s="472" t="s">
        <v>4088</v>
      </c>
      <c r="H27" s="472" t="s">
        <v>40</v>
      </c>
      <c r="I27" s="324">
        <v>100</v>
      </c>
      <c r="J27" s="324">
        <v>0</v>
      </c>
      <c r="K27" s="324">
        <v>0</v>
      </c>
      <c r="L27" s="324">
        <v>100</v>
      </c>
      <c r="M27" s="324">
        <v>0</v>
      </c>
      <c r="N27" s="324"/>
      <c r="O27" s="154"/>
      <c r="P27" s="154" t="s">
        <v>7</v>
      </c>
      <c r="Q27" s="472" t="s">
        <v>4087</v>
      </c>
      <c r="R27" s="472" t="s">
        <v>36</v>
      </c>
      <c r="S27" s="472" t="s">
        <v>42</v>
      </c>
      <c r="T27" s="472" t="s">
        <v>49</v>
      </c>
      <c r="U27" s="472" t="s">
        <v>4086</v>
      </c>
      <c r="V27" s="472">
        <v>35</v>
      </c>
      <c r="W27" s="324">
        <v>35</v>
      </c>
      <c r="X27" s="324" t="s">
        <v>43</v>
      </c>
      <c r="Y27" s="472" t="s">
        <v>4085</v>
      </c>
      <c r="Z27" s="137" t="s">
        <v>1148</v>
      </c>
      <c r="AA27" s="88"/>
      <c r="AB27" s="88"/>
      <c r="AC27" s="88"/>
      <c r="AD27" s="88"/>
      <c r="AE27" s="88"/>
      <c r="AF27" s="88"/>
      <c r="AG27" s="88"/>
      <c r="AH27"/>
      <c r="AI27"/>
    </row>
    <row r="28" spans="1:35" ht="50.1" customHeight="1">
      <c r="A28" s="125">
        <v>24</v>
      </c>
      <c r="B28" s="125" t="s">
        <v>3566</v>
      </c>
      <c r="C28" s="125" t="s">
        <v>4072</v>
      </c>
      <c r="D28" s="472" t="s">
        <v>4084</v>
      </c>
      <c r="E28" s="472" t="s">
        <v>4083</v>
      </c>
      <c r="F28" s="480" t="s">
        <v>4082</v>
      </c>
      <c r="G28" s="472" t="s">
        <v>4081</v>
      </c>
      <c r="H28" s="472" t="s">
        <v>4080</v>
      </c>
      <c r="I28" s="324">
        <v>290</v>
      </c>
      <c r="J28" s="324">
        <v>0</v>
      </c>
      <c r="K28" s="324">
        <v>0</v>
      </c>
      <c r="L28" s="324">
        <v>290</v>
      </c>
      <c r="M28" s="324">
        <v>0</v>
      </c>
      <c r="N28" s="324"/>
      <c r="O28" s="154"/>
      <c r="P28" s="154" t="s">
        <v>48</v>
      </c>
      <c r="Q28" s="472" t="s">
        <v>4079</v>
      </c>
      <c r="R28" s="472" t="s">
        <v>36</v>
      </c>
      <c r="S28" s="472" t="s">
        <v>42</v>
      </c>
      <c r="T28" s="472" t="s">
        <v>543</v>
      </c>
      <c r="U28" s="472" t="s">
        <v>4066</v>
      </c>
      <c r="V28" s="472">
        <f>SUM(W28:X28)</f>
        <v>1342</v>
      </c>
      <c r="W28" s="324">
        <v>1332</v>
      </c>
      <c r="X28" s="324">
        <v>10</v>
      </c>
      <c r="Y28" s="125" t="s">
        <v>99</v>
      </c>
      <c r="Z28" s="137" t="s">
        <v>1148</v>
      </c>
      <c r="AA28" s="88"/>
      <c r="AB28" s="88"/>
      <c r="AC28" s="88"/>
      <c r="AD28" s="88"/>
      <c r="AE28" s="88"/>
      <c r="AF28" s="88"/>
      <c r="AG28" s="88"/>
      <c r="AH28"/>
      <c r="AI28"/>
    </row>
    <row r="29" spans="1:35" ht="50.1" customHeight="1">
      <c r="A29" s="125">
        <v>25</v>
      </c>
      <c r="B29" s="125" t="s">
        <v>3566</v>
      </c>
      <c r="C29" s="125" t="s">
        <v>4072</v>
      </c>
      <c r="D29" s="472" t="s">
        <v>4078</v>
      </c>
      <c r="E29" s="472" t="s">
        <v>1420</v>
      </c>
      <c r="F29" s="480" t="s">
        <v>4077</v>
      </c>
      <c r="G29" s="472" t="s">
        <v>4076</v>
      </c>
      <c r="H29" s="472" t="s">
        <v>414</v>
      </c>
      <c r="I29" s="324">
        <v>30</v>
      </c>
      <c r="J29" s="324">
        <v>0</v>
      </c>
      <c r="K29" s="324">
        <v>0</v>
      </c>
      <c r="L29" s="324">
        <v>30</v>
      </c>
      <c r="M29" s="324">
        <v>10</v>
      </c>
      <c r="N29" s="324"/>
      <c r="O29" s="154"/>
      <c r="P29" s="154" t="s">
        <v>48</v>
      </c>
      <c r="Q29" s="472" t="s">
        <v>541</v>
      </c>
      <c r="R29" s="472" t="s">
        <v>36</v>
      </c>
      <c r="S29" s="472" t="s">
        <v>42</v>
      </c>
      <c r="T29" s="472" t="s">
        <v>543</v>
      </c>
      <c r="U29" s="472" t="s">
        <v>4066</v>
      </c>
      <c r="V29" s="472">
        <f>SUM(W29:X29)</f>
        <v>3</v>
      </c>
      <c r="W29" s="324">
        <v>3</v>
      </c>
      <c r="X29" s="324"/>
      <c r="Y29" s="125" t="s">
        <v>2</v>
      </c>
      <c r="Z29" s="137" t="s">
        <v>1148</v>
      </c>
      <c r="AA29" s="88"/>
      <c r="AB29" s="88"/>
      <c r="AC29" s="88"/>
      <c r="AD29" s="88"/>
      <c r="AE29" s="88"/>
      <c r="AF29" s="88"/>
      <c r="AG29" s="88"/>
      <c r="AH29"/>
      <c r="AI29"/>
    </row>
    <row r="30" spans="1:35" ht="50.1" customHeight="1">
      <c r="A30" s="125">
        <v>26</v>
      </c>
      <c r="B30" s="125" t="s">
        <v>3566</v>
      </c>
      <c r="C30" s="125" t="s">
        <v>4072</v>
      </c>
      <c r="D30" s="472" t="s">
        <v>4075</v>
      </c>
      <c r="E30" s="472" t="s">
        <v>1219</v>
      </c>
      <c r="F30" s="480" t="s">
        <v>4074</v>
      </c>
      <c r="G30" s="472" t="s">
        <v>4073</v>
      </c>
      <c r="H30" s="472" t="s">
        <v>655</v>
      </c>
      <c r="I30" s="314">
        <v>65</v>
      </c>
      <c r="J30" s="314">
        <v>0</v>
      </c>
      <c r="K30" s="314">
        <v>0</v>
      </c>
      <c r="L30" s="314">
        <v>65</v>
      </c>
      <c r="M30" s="314">
        <v>0</v>
      </c>
      <c r="N30" s="314"/>
      <c r="O30" s="472"/>
      <c r="P30" s="472" t="s">
        <v>41</v>
      </c>
      <c r="Q30" s="472" t="s">
        <v>1412</v>
      </c>
      <c r="R30" s="472" t="s">
        <v>36</v>
      </c>
      <c r="S30" s="472" t="s">
        <v>42</v>
      </c>
      <c r="T30" s="472" t="s">
        <v>543</v>
      </c>
      <c r="U30" s="472" t="s">
        <v>4066</v>
      </c>
      <c r="V30" s="472">
        <f>SUM(W30:X30)</f>
        <v>50</v>
      </c>
      <c r="W30" s="314">
        <v>50</v>
      </c>
      <c r="X30" s="314"/>
      <c r="Y30" s="472" t="s">
        <v>59</v>
      </c>
      <c r="Z30" s="137" t="s">
        <v>1148</v>
      </c>
      <c r="AA30" s="88"/>
      <c r="AB30" s="88"/>
      <c r="AC30" s="88"/>
      <c r="AD30" s="88"/>
      <c r="AE30" s="88"/>
      <c r="AF30" s="88"/>
      <c r="AG30" s="88"/>
      <c r="AH30"/>
      <c r="AI30"/>
    </row>
    <row r="31" spans="1:35" ht="50.1" customHeight="1">
      <c r="A31" s="125">
        <v>27</v>
      </c>
      <c r="B31" s="125" t="s">
        <v>3566</v>
      </c>
      <c r="C31" s="125" t="s">
        <v>4072</v>
      </c>
      <c r="D31" s="472" t="s">
        <v>4071</v>
      </c>
      <c r="E31" s="472" t="s">
        <v>39</v>
      </c>
      <c r="F31" s="480" t="s">
        <v>4070</v>
      </c>
      <c r="G31" s="472" t="s">
        <v>4069</v>
      </c>
      <c r="H31" s="472" t="s">
        <v>4068</v>
      </c>
      <c r="I31" s="326">
        <v>90</v>
      </c>
      <c r="J31" s="326">
        <v>0</v>
      </c>
      <c r="K31" s="326">
        <v>0</v>
      </c>
      <c r="L31" s="326">
        <v>90</v>
      </c>
      <c r="M31" s="326">
        <v>0</v>
      </c>
      <c r="N31" s="314"/>
      <c r="O31" s="472"/>
      <c r="P31" s="472" t="s">
        <v>41</v>
      </c>
      <c r="Q31" s="472" t="s">
        <v>4067</v>
      </c>
      <c r="R31" s="472" t="s">
        <v>36</v>
      </c>
      <c r="S31" s="472" t="s">
        <v>42</v>
      </c>
      <c r="T31" s="472" t="s">
        <v>543</v>
      </c>
      <c r="U31" s="472" t="s">
        <v>4066</v>
      </c>
      <c r="V31" s="472" t="s">
        <v>4065</v>
      </c>
      <c r="W31" s="314"/>
      <c r="X31" s="314"/>
      <c r="Y31" s="472" t="s">
        <v>64</v>
      </c>
      <c r="Z31" s="137" t="s">
        <v>1148</v>
      </c>
    </row>
    <row r="32" spans="1:35" ht="50.1" customHeight="1">
      <c r="A32" s="125">
        <v>28</v>
      </c>
      <c r="B32" s="125" t="s">
        <v>3566</v>
      </c>
      <c r="C32" s="125" t="s">
        <v>4047</v>
      </c>
      <c r="D32" s="472" t="s">
        <v>4064</v>
      </c>
      <c r="E32" s="472" t="s">
        <v>942</v>
      </c>
      <c r="F32" s="480" t="s">
        <v>4063</v>
      </c>
      <c r="G32" s="472" t="s">
        <v>4062</v>
      </c>
      <c r="H32" s="472" t="s">
        <v>4061</v>
      </c>
      <c r="I32" s="314">
        <v>24</v>
      </c>
      <c r="J32" s="314">
        <v>0</v>
      </c>
      <c r="K32" s="314">
        <v>0</v>
      </c>
      <c r="L32" s="314">
        <v>20</v>
      </c>
      <c r="M32" s="314">
        <v>4</v>
      </c>
      <c r="N32" s="314"/>
      <c r="O32" s="472"/>
      <c r="P32" s="472" t="s">
        <v>6</v>
      </c>
      <c r="Q32" s="472" t="s">
        <v>130</v>
      </c>
      <c r="R32" s="472" t="s">
        <v>885</v>
      </c>
      <c r="S32" s="472" t="s">
        <v>68</v>
      </c>
      <c r="T32" s="472" t="s">
        <v>1292</v>
      </c>
      <c r="U32" s="472" t="s">
        <v>38</v>
      </c>
      <c r="V32" s="472">
        <f t="shared" ref="V32:V49" si="1">SUM(W32:X32)</f>
        <v>5</v>
      </c>
      <c r="W32" s="314">
        <v>5</v>
      </c>
      <c r="X32" s="314"/>
      <c r="Y32" s="472" t="s">
        <v>4060</v>
      </c>
      <c r="Z32" s="137" t="s">
        <v>1148</v>
      </c>
      <c r="AA32" s="88"/>
      <c r="AB32" s="88"/>
      <c r="AC32" s="88"/>
      <c r="AD32" s="88"/>
      <c r="AE32" s="88"/>
      <c r="AF32" s="88"/>
      <c r="AG32" s="88"/>
      <c r="AH32"/>
      <c r="AI32"/>
    </row>
    <row r="33" spans="1:35" ht="50.1" customHeight="1">
      <c r="A33" s="125">
        <v>29</v>
      </c>
      <c r="B33" s="125" t="s">
        <v>3566</v>
      </c>
      <c r="C33" s="125" t="s">
        <v>4047</v>
      </c>
      <c r="D33" s="472" t="s">
        <v>4059</v>
      </c>
      <c r="E33" s="472" t="s">
        <v>3459</v>
      </c>
      <c r="F33" s="480" t="s">
        <v>4058</v>
      </c>
      <c r="G33" s="472" t="s">
        <v>4057</v>
      </c>
      <c r="H33" s="472" t="s">
        <v>321</v>
      </c>
      <c r="I33" s="326">
        <v>678</v>
      </c>
      <c r="J33" s="326">
        <v>58</v>
      </c>
      <c r="K33" s="326">
        <v>0</v>
      </c>
      <c r="L33" s="326">
        <v>600</v>
      </c>
      <c r="M33" s="326">
        <v>20</v>
      </c>
      <c r="N33" s="314" t="s">
        <v>35</v>
      </c>
      <c r="O33" s="472" t="s">
        <v>156</v>
      </c>
      <c r="P33" s="472" t="s">
        <v>6</v>
      </c>
      <c r="Q33" s="472" t="s">
        <v>4056</v>
      </c>
      <c r="R33" s="472" t="s">
        <v>36</v>
      </c>
      <c r="S33" s="472" t="s">
        <v>246</v>
      </c>
      <c r="T33" s="472" t="s">
        <v>4055</v>
      </c>
      <c r="U33" s="472" t="s">
        <v>38</v>
      </c>
      <c r="V33" s="472">
        <f t="shared" si="1"/>
        <v>532</v>
      </c>
      <c r="W33" s="314">
        <v>529</v>
      </c>
      <c r="X33" s="314">
        <v>3</v>
      </c>
      <c r="Y33" s="472" t="s">
        <v>4054</v>
      </c>
      <c r="Z33" s="137" t="s">
        <v>1148</v>
      </c>
      <c r="AA33" s="88"/>
      <c r="AB33" s="88"/>
      <c r="AC33" s="88"/>
      <c r="AD33" s="88"/>
      <c r="AE33" s="88"/>
      <c r="AF33" s="88"/>
      <c r="AG33" s="88"/>
      <c r="AH33"/>
      <c r="AI33"/>
    </row>
    <row r="34" spans="1:35" ht="50.1" customHeight="1">
      <c r="A34" s="125">
        <v>30</v>
      </c>
      <c r="B34" s="125" t="s">
        <v>972</v>
      </c>
      <c r="C34" s="125" t="s">
        <v>4047</v>
      </c>
      <c r="D34" s="125" t="s">
        <v>4053</v>
      </c>
      <c r="E34" s="472" t="s">
        <v>886</v>
      </c>
      <c r="F34" s="229" t="s">
        <v>4052</v>
      </c>
      <c r="G34" s="472" t="s">
        <v>4051</v>
      </c>
      <c r="H34" s="472" t="s">
        <v>4050</v>
      </c>
      <c r="I34" s="324">
        <v>38</v>
      </c>
      <c r="J34" s="324">
        <v>0</v>
      </c>
      <c r="K34" s="324">
        <v>0</v>
      </c>
      <c r="L34" s="324">
        <v>35</v>
      </c>
      <c r="M34" s="324">
        <v>3</v>
      </c>
      <c r="N34" s="324"/>
      <c r="O34" s="154"/>
      <c r="P34" s="154" t="s">
        <v>41</v>
      </c>
      <c r="Q34" s="125" t="s">
        <v>4049</v>
      </c>
      <c r="R34" s="125" t="s">
        <v>885</v>
      </c>
      <c r="S34" s="125" t="s">
        <v>68</v>
      </c>
      <c r="T34" s="125" t="s">
        <v>1292</v>
      </c>
      <c r="U34" s="125" t="s">
        <v>38</v>
      </c>
      <c r="V34" s="125">
        <f t="shared" si="1"/>
        <v>10</v>
      </c>
      <c r="W34" s="314">
        <v>10</v>
      </c>
      <c r="X34" s="324"/>
      <c r="Y34" s="472" t="s">
        <v>4048</v>
      </c>
      <c r="Z34" s="141" t="s">
        <v>1148</v>
      </c>
    </row>
    <row r="35" spans="1:35" ht="50.1" customHeight="1">
      <c r="A35" s="125">
        <v>31</v>
      </c>
      <c r="B35" s="125" t="s">
        <v>972</v>
      </c>
      <c r="C35" s="125" t="s">
        <v>4047</v>
      </c>
      <c r="D35" s="125" t="s">
        <v>4046</v>
      </c>
      <c r="E35" s="472" t="s">
        <v>4045</v>
      </c>
      <c r="F35" s="480" t="s">
        <v>4044</v>
      </c>
      <c r="G35" s="472" t="s">
        <v>4043</v>
      </c>
      <c r="H35" s="472" t="s">
        <v>564</v>
      </c>
      <c r="I35" s="324">
        <v>252</v>
      </c>
      <c r="J35" s="324">
        <v>0</v>
      </c>
      <c r="K35" s="324">
        <v>0</v>
      </c>
      <c r="L35" s="324">
        <v>250</v>
      </c>
      <c r="M35" s="324">
        <v>2</v>
      </c>
      <c r="N35" s="324"/>
      <c r="O35" s="154"/>
      <c r="P35" s="154" t="s">
        <v>67</v>
      </c>
      <c r="Q35" s="125" t="s">
        <v>4042</v>
      </c>
      <c r="R35" s="125" t="s">
        <v>36</v>
      </c>
      <c r="S35" s="125" t="s">
        <v>68</v>
      </c>
      <c r="T35" s="125" t="s">
        <v>1292</v>
      </c>
      <c r="U35" s="125" t="s">
        <v>38</v>
      </c>
      <c r="V35" s="125">
        <f t="shared" si="1"/>
        <v>210</v>
      </c>
      <c r="W35" s="314">
        <v>210</v>
      </c>
      <c r="X35" s="324"/>
      <c r="Y35" s="472" t="s">
        <v>4041</v>
      </c>
      <c r="Z35" s="141" t="s">
        <v>1148</v>
      </c>
      <c r="AB35" s="490"/>
    </row>
    <row r="36" spans="1:35" ht="50.1" customHeight="1">
      <c r="A36" s="125">
        <v>32</v>
      </c>
      <c r="B36" s="125" t="s">
        <v>3566</v>
      </c>
      <c r="C36" s="125" t="s">
        <v>4030</v>
      </c>
      <c r="D36" s="125" t="s">
        <v>4040</v>
      </c>
      <c r="E36" s="472" t="s">
        <v>4039</v>
      </c>
      <c r="F36" s="480" t="s">
        <v>4038</v>
      </c>
      <c r="G36" s="472" t="s">
        <v>4037</v>
      </c>
      <c r="H36" s="472" t="s">
        <v>397</v>
      </c>
      <c r="I36" s="324">
        <v>520</v>
      </c>
      <c r="J36" s="324">
        <v>0</v>
      </c>
      <c r="K36" s="324">
        <v>20</v>
      </c>
      <c r="L36" s="324">
        <v>500</v>
      </c>
      <c r="M36" s="324">
        <v>0</v>
      </c>
      <c r="N36" s="324"/>
      <c r="O36" s="154"/>
      <c r="P36" s="154" t="s">
        <v>48</v>
      </c>
      <c r="Q36" s="125" t="s">
        <v>4036</v>
      </c>
      <c r="R36" s="125" t="s">
        <v>36</v>
      </c>
      <c r="S36" s="125" t="s">
        <v>55</v>
      </c>
      <c r="T36" s="125" t="s">
        <v>49</v>
      </c>
      <c r="U36" s="125" t="s">
        <v>38</v>
      </c>
      <c r="V36" s="125">
        <f t="shared" si="1"/>
        <v>226</v>
      </c>
      <c r="W36" s="314">
        <v>226</v>
      </c>
      <c r="X36" s="324"/>
      <c r="Y36" s="125" t="s">
        <v>4031</v>
      </c>
      <c r="Z36" s="137" t="s">
        <v>1148</v>
      </c>
      <c r="AA36" s="88"/>
      <c r="AB36" s="88"/>
      <c r="AC36" s="88"/>
      <c r="AD36" s="88"/>
      <c r="AE36" s="88"/>
      <c r="AF36" s="88"/>
      <c r="AG36" s="88"/>
      <c r="AH36"/>
      <c r="AI36"/>
    </row>
    <row r="37" spans="1:35" ht="50.1" customHeight="1">
      <c r="A37" s="125">
        <v>33</v>
      </c>
      <c r="B37" s="126" t="s">
        <v>972</v>
      </c>
      <c r="C37" s="125" t="s">
        <v>4030</v>
      </c>
      <c r="D37" s="125" t="s">
        <v>4035</v>
      </c>
      <c r="E37" s="472" t="s">
        <v>1520</v>
      </c>
      <c r="F37" s="480" t="s">
        <v>4034</v>
      </c>
      <c r="G37" s="472" t="s">
        <v>4033</v>
      </c>
      <c r="H37" s="472" t="s">
        <v>210</v>
      </c>
      <c r="I37" s="324">
        <v>300</v>
      </c>
      <c r="J37" s="324">
        <v>0</v>
      </c>
      <c r="K37" s="324">
        <v>0</v>
      </c>
      <c r="L37" s="324">
        <v>300</v>
      </c>
      <c r="M37" s="324">
        <v>0</v>
      </c>
      <c r="N37" s="324"/>
      <c r="O37" s="154"/>
      <c r="P37" s="154" t="s">
        <v>46</v>
      </c>
      <c r="Q37" s="125" t="s">
        <v>4032</v>
      </c>
      <c r="R37" s="125" t="s">
        <v>36</v>
      </c>
      <c r="S37" s="125" t="s">
        <v>42</v>
      </c>
      <c r="T37" s="125" t="s">
        <v>49</v>
      </c>
      <c r="U37" s="125" t="s">
        <v>38</v>
      </c>
      <c r="V37" s="125">
        <f t="shared" si="1"/>
        <v>30</v>
      </c>
      <c r="W37" s="314">
        <v>30</v>
      </c>
      <c r="X37" s="324"/>
      <c r="Y37" s="125" t="s">
        <v>4031</v>
      </c>
      <c r="Z37" s="141" t="s">
        <v>1148</v>
      </c>
    </row>
    <row r="38" spans="1:35" ht="50.1" customHeight="1">
      <c r="A38" s="125">
        <v>34</v>
      </c>
      <c r="B38" s="125" t="s">
        <v>972</v>
      </c>
      <c r="C38" s="125" t="s">
        <v>4030</v>
      </c>
      <c r="D38" s="125" t="s">
        <v>4029</v>
      </c>
      <c r="E38" s="472" t="s">
        <v>1549</v>
      </c>
      <c r="F38" s="480" t="s">
        <v>4028</v>
      </c>
      <c r="G38" s="472" t="s">
        <v>4027</v>
      </c>
      <c r="H38" s="472" t="s">
        <v>210</v>
      </c>
      <c r="I38" s="324">
        <v>50</v>
      </c>
      <c r="J38" s="324">
        <v>0</v>
      </c>
      <c r="K38" s="324">
        <v>0</v>
      </c>
      <c r="L38" s="324">
        <v>50</v>
      </c>
      <c r="M38" s="324">
        <v>0</v>
      </c>
      <c r="N38" s="324"/>
      <c r="O38" s="154"/>
      <c r="P38" s="154" t="s">
        <v>48</v>
      </c>
      <c r="Q38" s="125" t="s">
        <v>1548</v>
      </c>
      <c r="R38" s="125" t="s">
        <v>36</v>
      </c>
      <c r="S38" s="125" t="s">
        <v>42</v>
      </c>
      <c r="T38" s="125" t="s">
        <v>49</v>
      </c>
      <c r="U38" s="125" t="s">
        <v>38</v>
      </c>
      <c r="V38" s="125">
        <f t="shared" si="1"/>
        <v>20</v>
      </c>
      <c r="W38" s="314">
        <v>20</v>
      </c>
      <c r="X38" s="324"/>
      <c r="Y38" s="472" t="s">
        <v>4026</v>
      </c>
      <c r="Z38" s="141" t="s">
        <v>1148</v>
      </c>
      <c r="AA38" s="88"/>
      <c r="AB38" s="88"/>
      <c r="AC38" s="88"/>
      <c r="AD38" s="88"/>
      <c r="AE38" s="88"/>
      <c r="AF38" s="88"/>
      <c r="AG38" s="88"/>
      <c r="AH38"/>
      <c r="AI38"/>
    </row>
    <row r="39" spans="1:35" ht="50.1" customHeight="1">
      <c r="A39" s="125">
        <v>35</v>
      </c>
      <c r="B39" s="125" t="s">
        <v>3566</v>
      </c>
      <c r="C39" s="125" t="s">
        <v>1545</v>
      </c>
      <c r="D39" s="125" t="s">
        <v>4025</v>
      </c>
      <c r="E39" s="472" t="s">
        <v>4024</v>
      </c>
      <c r="F39" s="480" t="s">
        <v>4023</v>
      </c>
      <c r="G39" s="472" t="s">
        <v>4022</v>
      </c>
      <c r="H39" s="472" t="s">
        <v>285</v>
      </c>
      <c r="I39" s="324">
        <v>500</v>
      </c>
      <c r="J39" s="324">
        <v>0</v>
      </c>
      <c r="K39" s="324">
        <v>0</v>
      </c>
      <c r="L39" s="324">
        <v>500</v>
      </c>
      <c r="M39" s="324">
        <v>0</v>
      </c>
      <c r="N39" s="324"/>
      <c r="O39" s="154"/>
      <c r="P39" s="154" t="s">
        <v>5</v>
      </c>
      <c r="Q39" s="125" t="s">
        <v>588</v>
      </c>
      <c r="R39" s="125" t="s">
        <v>36</v>
      </c>
      <c r="S39" s="125" t="s">
        <v>42</v>
      </c>
      <c r="T39" s="125" t="s">
        <v>3990</v>
      </c>
      <c r="U39" s="125" t="s">
        <v>37</v>
      </c>
      <c r="V39" s="125">
        <f t="shared" si="1"/>
        <v>261</v>
      </c>
      <c r="W39" s="314">
        <v>261</v>
      </c>
      <c r="X39" s="324"/>
      <c r="Y39" s="472" t="s">
        <v>4021</v>
      </c>
      <c r="Z39" s="141" t="s">
        <v>1148</v>
      </c>
      <c r="AA39" s="88"/>
      <c r="AB39" s="88"/>
      <c r="AC39" s="88"/>
      <c r="AD39" s="88"/>
      <c r="AE39" s="88"/>
      <c r="AF39" s="88"/>
      <c r="AG39" s="88"/>
      <c r="AH39"/>
      <c r="AI39"/>
    </row>
    <row r="40" spans="1:35" ht="50.1" customHeight="1">
      <c r="A40" s="125">
        <v>36</v>
      </c>
      <c r="B40" s="125" t="s">
        <v>3566</v>
      </c>
      <c r="C40" s="125" t="s">
        <v>1545</v>
      </c>
      <c r="D40" s="472" t="s">
        <v>4020</v>
      </c>
      <c r="E40" s="472" t="s">
        <v>3708</v>
      </c>
      <c r="F40" s="480" t="s">
        <v>4019</v>
      </c>
      <c r="G40" s="472" t="s">
        <v>4018</v>
      </c>
      <c r="H40" s="472" t="s">
        <v>131</v>
      </c>
      <c r="I40" s="314">
        <v>35</v>
      </c>
      <c r="J40" s="314">
        <v>0</v>
      </c>
      <c r="K40" s="314">
        <v>0</v>
      </c>
      <c r="L40" s="314">
        <v>35</v>
      </c>
      <c r="M40" s="314">
        <v>0</v>
      </c>
      <c r="N40" s="314"/>
      <c r="O40" s="472"/>
      <c r="P40" s="472" t="s">
        <v>5</v>
      </c>
      <c r="Q40" s="472" t="s">
        <v>130</v>
      </c>
      <c r="R40" s="472" t="s">
        <v>36</v>
      </c>
      <c r="S40" s="472" t="s">
        <v>68</v>
      </c>
      <c r="T40" s="472" t="s">
        <v>3990</v>
      </c>
      <c r="U40" s="472" t="s">
        <v>37</v>
      </c>
      <c r="V40" s="472">
        <f t="shared" si="1"/>
        <v>30</v>
      </c>
      <c r="W40" s="314">
        <v>30</v>
      </c>
      <c r="X40" s="314"/>
      <c r="Y40" s="472" t="s">
        <v>4017</v>
      </c>
      <c r="Z40" s="137" t="s">
        <v>1148</v>
      </c>
      <c r="AA40" s="88"/>
      <c r="AB40" s="88"/>
      <c r="AC40" s="88"/>
      <c r="AD40" s="88"/>
      <c r="AE40" s="88"/>
      <c r="AF40" s="88"/>
      <c r="AG40" s="88"/>
      <c r="AH40"/>
      <c r="AI40"/>
    </row>
    <row r="41" spans="1:35" ht="50.1" customHeight="1">
      <c r="A41" s="125">
        <v>37</v>
      </c>
      <c r="B41" s="125" t="s">
        <v>3566</v>
      </c>
      <c r="C41" s="125" t="s">
        <v>1545</v>
      </c>
      <c r="D41" s="472" t="s">
        <v>4016</v>
      </c>
      <c r="E41" s="472" t="s">
        <v>1420</v>
      </c>
      <c r="F41" s="480" t="s">
        <v>4015</v>
      </c>
      <c r="G41" s="472" t="s">
        <v>4014</v>
      </c>
      <c r="H41" s="472" t="s">
        <v>4013</v>
      </c>
      <c r="I41" s="314">
        <v>335</v>
      </c>
      <c r="J41" s="314">
        <v>7</v>
      </c>
      <c r="K41" s="314">
        <v>0</v>
      </c>
      <c r="L41" s="314">
        <v>328</v>
      </c>
      <c r="M41" s="314">
        <v>0</v>
      </c>
      <c r="N41" s="314" t="s">
        <v>1430</v>
      </c>
      <c r="O41" s="472" t="s">
        <v>4012</v>
      </c>
      <c r="P41" s="472" t="s">
        <v>98</v>
      </c>
      <c r="Q41" s="472" t="s">
        <v>4011</v>
      </c>
      <c r="R41" s="472" t="s">
        <v>36</v>
      </c>
      <c r="S41" s="472" t="s">
        <v>42</v>
      </c>
      <c r="T41" s="472" t="s">
        <v>3990</v>
      </c>
      <c r="U41" s="472" t="s">
        <v>37</v>
      </c>
      <c r="V41" s="472">
        <f t="shared" si="1"/>
        <v>50</v>
      </c>
      <c r="W41" s="314">
        <v>50</v>
      </c>
      <c r="X41" s="314"/>
      <c r="Y41" s="472" t="s">
        <v>4010</v>
      </c>
      <c r="Z41" s="137" t="s">
        <v>1148</v>
      </c>
      <c r="AA41" s="88"/>
      <c r="AB41" s="88"/>
      <c r="AC41" s="88"/>
      <c r="AD41" s="88"/>
      <c r="AE41" s="88"/>
      <c r="AF41" s="88"/>
      <c r="AG41" s="88"/>
      <c r="AH41"/>
      <c r="AI41"/>
    </row>
    <row r="42" spans="1:35" ht="50.1" customHeight="1">
      <c r="A42" s="125">
        <v>38</v>
      </c>
      <c r="B42" s="125" t="s">
        <v>3566</v>
      </c>
      <c r="C42" s="125" t="s">
        <v>1545</v>
      </c>
      <c r="D42" s="472" t="s">
        <v>4009</v>
      </c>
      <c r="E42" s="103" t="s">
        <v>1151</v>
      </c>
      <c r="F42" s="480" t="s">
        <v>4008</v>
      </c>
      <c r="G42" s="472" t="s">
        <v>4007</v>
      </c>
      <c r="H42" s="472" t="s">
        <v>179</v>
      </c>
      <c r="I42" s="314">
        <v>400</v>
      </c>
      <c r="J42" s="314">
        <v>0</v>
      </c>
      <c r="K42" s="314">
        <v>0</v>
      </c>
      <c r="L42" s="314">
        <v>150</v>
      </c>
      <c r="M42" s="314">
        <v>250</v>
      </c>
      <c r="N42" s="314"/>
      <c r="O42" s="472"/>
      <c r="P42" s="472" t="s">
        <v>7</v>
      </c>
      <c r="Q42" s="472" t="s">
        <v>500</v>
      </c>
      <c r="R42" s="472" t="s">
        <v>36</v>
      </c>
      <c r="S42" s="472" t="s">
        <v>246</v>
      </c>
      <c r="T42" s="472" t="s">
        <v>3990</v>
      </c>
      <c r="U42" s="472" t="s">
        <v>37</v>
      </c>
      <c r="V42" s="472">
        <f t="shared" si="1"/>
        <v>0</v>
      </c>
      <c r="W42" s="314"/>
      <c r="X42" s="314"/>
      <c r="Y42" s="472" t="s">
        <v>4006</v>
      </c>
      <c r="Z42" s="137" t="s">
        <v>1148</v>
      </c>
      <c r="AA42" s="88"/>
      <c r="AB42" s="88"/>
      <c r="AC42" s="88"/>
      <c r="AD42" s="88"/>
      <c r="AE42" s="88"/>
      <c r="AF42" s="88"/>
      <c r="AG42" s="88"/>
      <c r="AH42"/>
      <c r="AI42"/>
    </row>
    <row r="43" spans="1:35" ht="50.1" customHeight="1">
      <c r="A43" s="125">
        <v>39</v>
      </c>
      <c r="B43" s="125" t="s">
        <v>3566</v>
      </c>
      <c r="C43" s="125" t="s">
        <v>1545</v>
      </c>
      <c r="D43" s="472" t="s">
        <v>4005</v>
      </c>
      <c r="E43" s="103" t="s">
        <v>1547</v>
      </c>
      <c r="F43" s="480" t="s">
        <v>4004</v>
      </c>
      <c r="G43" s="472" t="s">
        <v>4003</v>
      </c>
      <c r="H43" s="472" t="s">
        <v>1218</v>
      </c>
      <c r="I43" s="314">
        <v>180</v>
      </c>
      <c r="J43" s="314">
        <v>0</v>
      </c>
      <c r="K43" s="314">
        <v>100</v>
      </c>
      <c r="L43" s="314">
        <v>30</v>
      </c>
      <c r="M43" s="314">
        <v>50</v>
      </c>
      <c r="N43" s="314" t="s">
        <v>35</v>
      </c>
      <c r="O43" s="472" t="s">
        <v>4002</v>
      </c>
      <c r="P43" s="472" t="s">
        <v>98</v>
      </c>
      <c r="Q43" s="472" t="s">
        <v>4001</v>
      </c>
      <c r="R43" s="472" t="s">
        <v>36</v>
      </c>
      <c r="S43" s="472" t="s">
        <v>68</v>
      </c>
      <c r="T43" s="472" t="s">
        <v>3990</v>
      </c>
      <c r="U43" s="472" t="s">
        <v>37</v>
      </c>
      <c r="V43" s="472">
        <f t="shared" si="1"/>
        <v>300</v>
      </c>
      <c r="W43" s="314">
        <v>300</v>
      </c>
      <c r="X43" s="314"/>
      <c r="Y43" s="472" t="s">
        <v>4000</v>
      </c>
      <c r="Z43" s="137" t="s">
        <v>1148</v>
      </c>
      <c r="AA43" s="88"/>
      <c r="AB43" s="88"/>
      <c r="AC43" s="88"/>
      <c r="AD43" s="88"/>
      <c r="AE43" s="88"/>
      <c r="AF43" s="88"/>
      <c r="AG43" s="88"/>
      <c r="AH43"/>
      <c r="AI43"/>
    </row>
    <row r="44" spans="1:35" ht="50.1" customHeight="1">
      <c r="A44" s="125">
        <v>40</v>
      </c>
      <c r="B44" s="125" t="s">
        <v>3566</v>
      </c>
      <c r="C44" s="125" t="s">
        <v>1545</v>
      </c>
      <c r="D44" s="472" t="s">
        <v>3999</v>
      </c>
      <c r="E44" s="472" t="s">
        <v>3998</v>
      </c>
      <c r="F44" s="480" t="s">
        <v>3997</v>
      </c>
      <c r="G44" s="472" t="s">
        <v>3996</v>
      </c>
      <c r="H44" s="472" t="s">
        <v>108</v>
      </c>
      <c r="I44" s="314">
        <v>250</v>
      </c>
      <c r="J44" s="314">
        <v>0</v>
      </c>
      <c r="K44" s="314">
        <v>0</v>
      </c>
      <c r="L44" s="314">
        <v>250</v>
      </c>
      <c r="M44" s="314">
        <v>0</v>
      </c>
      <c r="N44" s="314"/>
      <c r="O44" s="472"/>
      <c r="P44" s="472" t="s">
        <v>7</v>
      </c>
      <c r="Q44" s="472" t="s">
        <v>1546</v>
      </c>
      <c r="R44" s="472" t="s">
        <v>36</v>
      </c>
      <c r="S44" s="472" t="s">
        <v>42</v>
      </c>
      <c r="T44" s="472" t="s">
        <v>3990</v>
      </c>
      <c r="U44" s="472" t="s">
        <v>37</v>
      </c>
      <c r="V44" s="472">
        <f t="shared" si="1"/>
        <v>80</v>
      </c>
      <c r="W44" s="314">
        <v>80</v>
      </c>
      <c r="X44" s="314"/>
      <c r="Y44" s="472" t="s">
        <v>3995</v>
      </c>
      <c r="Z44" s="137" t="s">
        <v>1148</v>
      </c>
    </row>
    <row r="45" spans="1:35" s="301" customFormat="1" ht="50.1" customHeight="1">
      <c r="A45" s="125">
        <v>41</v>
      </c>
      <c r="B45" s="125" t="s">
        <v>972</v>
      </c>
      <c r="C45" s="125" t="s">
        <v>1545</v>
      </c>
      <c r="D45" s="204" t="s">
        <v>3994</v>
      </c>
      <c r="E45" s="472" t="s">
        <v>1427</v>
      </c>
      <c r="F45" s="480" t="s">
        <v>3993</v>
      </c>
      <c r="G45" s="472" t="s">
        <v>6035</v>
      </c>
      <c r="H45" s="472" t="s">
        <v>3992</v>
      </c>
      <c r="I45" s="314">
        <v>120</v>
      </c>
      <c r="J45" s="314">
        <v>0</v>
      </c>
      <c r="K45" s="314">
        <v>0</v>
      </c>
      <c r="L45" s="314">
        <v>120</v>
      </c>
      <c r="M45" s="314">
        <v>0</v>
      </c>
      <c r="N45" s="314"/>
      <c r="O45" s="472"/>
      <c r="P45" s="472" t="s">
        <v>5</v>
      </c>
      <c r="Q45" s="472" t="s">
        <v>3991</v>
      </c>
      <c r="R45" s="472" t="s">
        <v>36</v>
      </c>
      <c r="S45" s="472" t="s">
        <v>68</v>
      </c>
      <c r="T45" s="472" t="s">
        <v>3990</v>
      </c>
      <c r="U45" s="472" t="s">
        <v>37</v>
      </c>
      <c r="V45" s="472">
        <f t="shared" si="1"/>
        <v>50</v>
      </c>
      <c r="W45" s="314">
        <v>50</v>
      </c>
      <c r="X45" s="314"/>
      <c r="Y45" s="472" t="s">
        <v>3989</v>
      </c>
      <c r="Z45" s="137" t="s">
        <v>1148</v>
      </c>
    </row>
    <row r="46" spans="1:35" s="301" customFormat="1" ht="50.1" hidden="1" customHeight="1">
      <c r="A46" s="125">
        <v>42</v>
      </c>
      <c r="B46" s="125" t="s">
        <v>972</v>
      </c>
      <c r="C46" s="125" t="s">
        <v>3969</v>
      </c>
      <c r="D46" s="472" t="s">
        <v>3988</v>
      </c>
      <c r="E46" s="472" t="s">
        <v>3987</v>
      </c>
      <c r="F46" s="480" t="s">
        <v>1544</v>
      </c>
      <c r="G46" s="472" t="s">
        <v>3986</v>
      </c>
      <c r="H46" s="472" t="s">
        <v>179</v>
      </c>
      <c r="I46" s="314">
        <v>80</v>
      </c>
      <c r="J46" s="314">
        <v>0</v>
      </c>
      <c r="K46" s="314">
        <v>0</v>
      </c>
      <c r="L46" s="314">
        <v>80</v>
      </c>
      <c r="M46" s="314">
        <v>0</v>
      </c>
      <c r="N46" s="314"/>
      <c r="O46" s="472"/>
      <c r="P46" s="472" t="s">
        <v>41</v>
      </c>
      <c r="Q46" s="472" t="s">
        <v>3985</v>
      </c>
      <c r="R46" s="472" t="s">
        <v>36</v>
      </c>
      <c r="S46" s="472" t="s">
        <v>3971</v>
      </c>
      <c r="T46" s="472" t="s">
        <v>49</v>
      </c>
      <c r="U46" s="472" t="s">
        <v>38</v>
      </c>
      <c r="V46" s="472">
        <f t="shared" si="1"/>
        <v>0</v>
      </c>
      <c r="W46" s="314"/>
      <c r="X46" s="314"/>
      <c r="Y46" s="472" t="s">
        <v>3984</v>
      </c>
      <c r="Z46" s="137" t="s">
        <v>1145</v>
      </c>
    </row>
    <row r="47" spans="1:35" s="301" customFormat="1" ht="50.1" customHeight="1">
      <c r="A47" s="125">
        <v>43</v>
      </c>
      <c r="B47" s="125" t="s">
        <v>972</v>
      </c>
      <c r="C47" s="125" t="s">
        <v>3969</v>
      </c>
      <c r="D47" s="125" t="s">
        <v>3983</v>
      </c>
      <c r="E47" s="472" t="s">
        <v>3708</v>
      </c>
      <c r="F47" s="480" t="s">
        <v>3982</v>
      </c>
      <c r="G47" s="472" t="s">
        <v>3981</v>
      </c>
      <c r="H47" s="472" t="s">
        <v>3061</v>
      </c>
      <c r="I47" s="324">
        <v>10</v>
      </c>
      <c r="J47" s="324">
        <v>0</v>
      </c>
      <c r="K47" s="324">
        <v>0</v>
      </c>
      <c r="L47" s="324">
        <v>10</v>
      </c>
      <c r="M47" s="324">
        <v>0</v>
      </c>
      <c r="N47" s="324"/>
      <c r="O47" s="125"/>
      <c r="P47" s="125" t="s">
        <v>5</v>
      </c>
      <c r="Q47" s="125" t="s">
        <v>192</v>
      </c>
      <c r="R47" s="125" t="s">
        <v>36</v>
      </c>
      <c r="S47" s="125" t="s">
        <v>3971</v>
      </c>
      <c r="T47" s="472" t="s">
        <v>49</v>
      </c>
      <c r="U47" s="125" t="s">
        <v>38</v>
      </c>
      <c r="V47" s="125">
        <f t="shared" si="1"/>
        <v>4000</v>
      </c>
      <c r="W47" s="314">
        <v>4000</v>
      </c>
      <c r="X47" s="315"/>
      <c r="Y47" s="472" t="s">
        <v>1543</v>
      </c>
      <c r="Z47" s="141" t="s">
        <v>1148</v>
      </c>
      <c r="AA47" s="88"/>
      <c r="AB47" s="88"/>
      <c r="AC47" s="88"/>
      <c r="AD47" s="88"/>
      <c r="AE47" s="88"/>
      <c r="AF47" s="88"/>
      <c r="AG47" s="88"/>
      <c r="AH47"/>
      <c r="AI47"/>
    </row>
    <row r="48" spans="1:35" s="301" customFormat="1" ht="50.1" customHeight="1">
      <c r="A48" s="125">
        <v>44</v>
      </c>
      <c r="B48" s="125" t="s">
        <v>3566</v>
      </c>
      <c r="C48" s="125" t="s">
        <v>3969</v>
      </c>
      <c r="D48" s="472" t="s">
        <v>3980</v>
      </c>
      <c r="E48" s="472" t="s">
        <v>1296</v>
      </c>
      <c r="F48" s="480" t="s">
        <v>3979</v>
      </c>
      <c r="G48" s="472" t="s">
        <v>3966</v>
      </c>
      <c r="H48" s="472" t="s">
        <v>3978</v>
      </c>
      <c r="I48" s="314">
        <v>350</v>
      </c>
      <c r="J48" s="314">
        <v>0</v>
      </c>
      <c r="K48" s="314">
        <v>0</v>
      </c>
      <c r="L48" s="314">
        <v>350</v>
      </c>
      <c r="M48" s="314">
        <v>0</v>
      </c>
      <c r="N48" s="314"/>
      <c r="O48" s="472"/>
      <c r="P48" s="472" t="s">
        <v>7</v>
      </c>
      <c r="Q48" s="472" t="s">
        <v>3977</v>
      </c>
      <c r="R48" s="472" t="s">
        <v>36</v>
      </c>
      <c r="S48" s="472" t="s">
        <v>464</v>
      </c>
      <c r="T48" s="472" t="s">
        <v>3964</v>
      </c>
      <c r="U48" s="472" t="s">
        <v>38</v>
      </c>
      <c r="V48" s="125">
        <f t="shared" si="1"/>
        <v>41246</v>
      </c>
      <c r="W48" s="314">
        <v>41246</v>
      </c>
      <c r="X48" s="315"/>
      <c r="Y48" s="472" t="s">
        <v>3976</v>
      </c>
      <c r="Z48" s="137" t="s">
        <v>1148</v>
      </c>
      <c r="AA48" s="88"/>
      <c r="AB48" s="88"/>
      <c r="AC48" s="88"/>
      <c r="AD48" s="88"/>
      <c r="AE48" s="88"/>
      <c r="AF48" s="88"/>
      <c r="AG48" s="88"/>
      <c r="AH48"/>
      <c r="AI48"/>
    </row>
    <row r="49" spans="1:35" s="301" customFormat="1" ht="54">
      <c r="A49" s="125">
        <v>45</v>
      </c>
      <c r="B49" s="125" t="s">
        <v>3566</v>
      </c>
      <c r="C49" s="125" t="s">
        <v>3969</v>
      </c>
      <c r="D49" s="472" t="s">
        <v>3975</v>
      </c>
      <c r="E49" s="472" t="s">
        <v>3905</v>
      </c>
      <c r="F49" s="480" t="s">
        <v>3974</v>
      </c>
      <c r="G49" s="472" t="s">
        <v>3973</v>
      </c>
      <c r="H49" s="472" t="s">
        <v>3945</v>
      </c>
      <c r="I49" s="314">
        <v>40</v>
      </c>
      <c r="J49" s="314">
        <v>0</v>
      </c>
      <c r="K49" s="314">
        <v>0</v>
      </c>
      <c r="L49" s="314">
        <v>40</v>
      </c>
      <c r="M49" s="314">
        <v>0</v>
      </c>
      <c r="N49" s="314"/>
      <c r="O49" s="472"/>
      <c r="P49" s="472" t="s">
        <v>6</v>
      </c>
      <c r="Q49" s="472" t="s">
        <v>3972</v>
      </c>
      <c r="R49" s="472" t="s">
        <v>36</v>
      </c>
      <c r="S49" s="472" t="s">
        <v>3971</v>
      </c>
      <c r="T49" s="472" t="s">
        <v>49</v>
      </c>
      <c r="U49" s="472" t="s">
        <v>38</v>
      </c>
      <c r="V49" s="472">
        <f t="shared" si="1"/>
        <v>20000</v>
      </c>
      <c r="W49" s="314">
        <v>20000</v>
      </c>
      <c r="X49" s="314"/>
      <c r="Y49" s="472" t="s">
        <v>3970</v>
      </c>
      <c r="Z49" s="137" t="s">
        <v>1148</v>
      </c>
      <c r="AA49" s="88"/>
      <c r="AB49" s="88"/>
      <c r="AC49" s="88"/>
      <c r="AD49" s="88"/>
      <c r="AE49" s="88"/>
      <c r="AF49" s="88"/>
      <c r="AG49" s="88"/>
      <c r="AH49"/>
      <c r="AI49"/>
    </row>
    <row r="50" spans="1:35" s="301" customFormat="1" ht="50.1" customHeight="1">
      <c r="A50" s="125">
        <v>46</v>
      </c>
      <c r="B50" s="125" t="s">
        <v>3566</v>
      </c>
      <c r="C50" s="125" t="s">
        <v>3969</v>
      </c>
      <c r="D50" s="472" t="s">
        <v>3968</v>
      </c>
      <c r="E50" s="472" t="s">
        <v>2821</v>
      </c>
      <c r="F50" s="480" t="s">
        <v>3967</v>
      </c>
      <c r="G50" s="472" t="s">
        <v>3966</v>
      </c>
      <c r="H50" s="472" t="s">
        <v>40</v>
      </c>
      <c r="I50" s="314">
        <v>640</v>
      </c>
      <c r="J50" s="314">
        <v>0</v>
      </c>
      <c r="K50" s="314">
        <v>0</v>
      </c>
      <c r="L50" s="314">
        <v>640</v>
      </c>
      <c r="M50" s="314">
        <v>0</v>
      </c>
      <c r="N50" s="314"/>
      <c r="O50" s="472"/>
      <c r="P50" s="472" t="s">
        <v>6</v>
      </c>
      <c r="Q50" s="472" t="s">
        <v>3965</v>
      </c>
      <c r="R50" s="472" t="s">
        <v>36</v>
      </c>
      <c r="S50" s="472" t="s">
        <v>464</v>
      </c>
      <c r="T50" s="472" t="s">
        <v>3964</v>
      </c>
      <c r="U50" s="472" t="s">
        <v>38</v>
      </c>
      <c r="V50" s="472">
        <v>71433</v>
      </c>
      <c r="W50" s="314">
        <v>71133</v>
      </c>
      <c r="X50" s="314">
        <v>300</v>
      </c>
      <c r="Y50" s="472" t="s">
        <v>3963</v>
      </c>
      <c r="Z50" s="137" t="s">
        <v>1148</v>
      </c>
    </row>
    <row r="51" spans="1:35" s="301" customFormat="1" ht="50.1" customHeight="1">
      <c r="A51" s="125">
        <v>47</v>
      </c>
      <c r="B51" s="125" t="s">
        <v>3566</v>
      </c>
      <c r="C51" s="125" t="s">
        <v>3940</v>
      </c>
      <c r="D51" s="472" t="s">
        <v>3962</v>
      </c>
      <c r="E51" s="472" t="s">
        <v>3961</v>
      </c>
      <c r="F51" s="480" t="s">
        <v>3960</v>
      </c>
      <c r="G51" s="472" t="s">
        <v>3959</v>
      </c>
      <c r="H51" s="472" t="s">
        <v>3958</v>
      </c>
      <c r="I51" s="324">
        <f t="shared" ref="I51:I56" si="2">J51+K51+L51</f>
        <v>758</v>
      </c>
      <c r="J51" s="324">
        <v>58</v>
      </c>
      <c r="K51" s="324">
        <v>0</v>
      </c>
      <c r="L51" s="324">
        <v>700</v>
      </c>
      <c r="M51" s="324">
        <v>0</v>
      </c>
      <c r="N51" s="324" t="s">
        <v>35</v>
      </c>
      <c r="O51" s="125" t="s">
        <v>156</v>
      </c>
      <c r="P51" s="125" t="s">
        <v>6</v>
      </c>
      <c r="Q51" s="125" t="s">
        <v>3957</v>
      </c>
      <c r="R51" s="125" t="s">
        <v>36</v>
      </c>
      <c r="S51" s="125" t="s">
        <v>1216</v>
      </c>
      <c r="T51" s="125" t="s">
        <v>49</v>
      </c>
      <c r="U51" s="472" t="s">
        <v>37</v>
      </c>
      <c r="V51" s="125">
        <v>392</v>
      </c>
      <c r="W51" s="314">
        <v>392</v>
      </c>
      <c r="X51" s="324"/>
      <c r="Y51" s="125" t="s">
        <v>64</v>
      </c>
      <c r="Z51" s="141" t="s">
        <v>1148</v>
      </c>
      <c r="AA51" s="88"/>
      <c r="AB51" s="88"/>
      <c r="AC51" s="88"/>
      <c r="AD51" s="88"/>
      <c r="AE51" s="88"/>
      <c r="AF51" s="88"/>
      <c r="AG51" s="88"/>
      <c r="AH51"/>
      <c r="AI51"/>
    </row>
    <row r="52" spans="1:35" s="301" customFormat="1" ht="50.1" customHeight="1">
      <c r="A52" s="125">
        <v>48</v>
      </c>
      <c r="B52" s="125" t="s">
        <v>3566</v>
      </c>
      <c r="C52" s="125" t="s">
        <v>3940</v>
      </c>
      <c r="D52" s="472" t="s">
        <v>3956</v>
      </c>
      <c r="E52" s="472" t="s">
        <v>1529</v>
      </c>
      <c r="F52" s="480" t="s">
        <v>3955</v>
      </c>
      <c r="G52" s="472" t="s">
        <v>3954</v>
      </c>
      <c r="H52" s="472" t="s">
        <v>312</v>
      </c>
      <c r="I52" s="314">
        <f t="shared" si="2"/>
        <v>475</v>
      </c>
      <c r="J52" s="314">
        <v>0</v>
      </c>
      <c r="K52" s="314">
        <v>0</v>
      </c>
      <c r="L52" s="314">
        <v>475</v>
      </c>
      <c r="M52" s="314">
        <v>0</v>
      </c>
      <c r="N52" s="314" t="s">
        <v>35</v>
      </c>
      <c r="O52" s="472" t="s">
        <v>156</v>
      </c>
      <c r="P52" s="472" t="s">
        <v>7</v>
      </c>
      <c r="Q52" s="472" t="s">
        <v>3953</v>
      </c>
      <c r="R52" s="472" t="s">
        <v>36</v>
      </c>
      <c r="S52" s="472" t="s">
        <v>186</v>
      </c>
      <c r="T52" s="472" t="s">
        <v>49</v>
      </c>
      <c r="U52" s="472" t="s">
        <v>37</v>
      </c>
      <c r="V52" s="472">
        <v>97</v>
      </c>
      <c r="W52" s="314">
        <v>97</v>
      </c>
      <c r="X52" s="314"/>
      <c r="Y52" s="472" t="s">
        <v>445</v>
      </c>
      <c r="Z52" s="137" t="s">
        <v>1148</v>
      </c>
      <c r="AA52" s="88"/>
      <c r="AB52" s="88"/>
      <c r="AC52" s="88"/>
      <c r="AD52" s="88"/>
      <c r="AE52" s="88"/>
      <c r="AF52" s="88"/>
      <c r="AG52" s="88"/>
      <c r="AH52"/>
      <c r="AI52"/>
    </row>
    <row r="53" spans="1:35" s="301" customFormat="1" ht="50.1" customHeight="1">
      <c r="A53" s="125">
        <v>49</v>
      </c>
      <c r="B53" s="125" t="s">
        <v>3566</v>
      </c>
      <c r="C53" s="125" t="s">
        <v>3940</v>
      </c>
      <c r="D53" s="472" t="s">
        <v>3952</v>
      </c>
      <c r="E53" s="472" t="s">
        <v>1151</v>
      </c>
      <c r="F53" s="480" t="s">
        <v>3951</v>
      </c>
      <c r="G53" s="472" t="s">
        <v>3950</v>
      </c>
      <c r="H53" s="472" t="s">
        <v>1465</v>
      </c>
      <c r="I53" s="314">
        <f t="shared" si="2"/>
        <v>55</v>
      </c>
      <c r="J53" s="314">
        <v>0</v>
      </c>
      <c r="K53" s="314">
        <v>0</v>
      </c>
      <c r="L53" s="314">
        <v>55</v>
      </c>
      <c r="M53" s="314">
        <v>0</v>
      </c>
      <c r="N53" s="314"/>
      <c r="O53" s="472"/>
      <c r="P53" s="472" t="s">
        <v>41</v>
      </c>
      <c r="Q53" s="472" t="s">
        <v>1412</v>
      </c>
      <c r="R53" s="472" t="s">
        <v>36</v>
      </c>
      <c r="S53" s="472" t="s">
        <v>1216</v>
      </c>
      <c r="T53" s="472" t="s">
        <v>49</v>
      </c>
      <c r="U53" s="472" t="s">
        <v>37</v>
      </c>
      <c r="V53" s="472">
        <v>28</v>
      </c>
      <c r="W53" s="314">
        <v>28</v>
      </c>
      <c r="X53" s="314"/>
      <c r="Y53" s="472" t="s">
        <v>59</v>
      </c>
      <c r="Z53" s="137" t="s">
        <v>1148</v>
      </c>
      <c r="AA53" s="88"/>
      <c r="AB53" s="88"/>
      <c r="AC53" s="88"/>
      <c r="AD53" s="88"/>
      <c r="AE53" s="88"/>
      <c r="AF53" s="88"/>
      <c r="AG53" s="88"/>
      <c r="AH53"/>
      <c r="AI53"/>
    </row>
    <row r="54" spans="1:35" s="301" customFormat="1" ht="50.1" customHeight="1">
      <c r="A54" s="125">
        <v>50</v>
      </c>
      <c r="B54" s="125" t="s">
        <v>3566</v>
      </c>
      <c r="C54" s="125" t="s">
        <v>3940</v>
      </c>
      <c r="D54" s="472" t="s">
        <v>3949</v>
      </c>
      <c r="E54" s="472" t="s">
        <v>3948</v>
      </c>
      <c r="F54" s="480" t="s">
        <v>3947</v>
      </c>
      <c r="G54" s="472" t="s">
        <v>3946</v>
      </c>
      <c r="H54" s="472" t="s">
        <v>3945</v>
      </c>
      <c r="I54" s="314">
        <f t="shared" si="2"/>
        <v>400</v>
      </c>
      <c r="J54" s="314">
        <v>0</v>
      </c>
      <c r="K54" s="314">
        <v>0</v>
      </c>
      <c r="L54" s="314">
        <v>400</v>
      </c>
      <c r="M54" s="314">
        <v>0</v>
      </c>
      <c r="N54" s="314"/>
      <c r="O54" s="472"/>
      <c r="P54" s="472" t="s">
        <v>41</v>
      </c>
      <c r="Q54" s="472" t="s">
        <v>3944</v>
      </c>
      <c r="R54" s="472" t="s">
        <v>36</v>
      </c>
      <c r="S54" s="472" t="s">
        <v>1216</v>
      </c>
      <c r="T54" s="472" t="s">
        <v>49</v>
      </c>
      <c r="U54" s="472" t="s">
        <v>37</v>
      </c>
      <c r="V54" s="472">
        <v>300</v>
      </c>
      <c r="W54" s="314">
        <v>300</v>
      </c>
      <c r="X54" s="314"/>
      <c r="Y54" s="472" t="s">
        <v>445</v>
      </c>
      <c r="Z54" s="137" t="s">
        <v>1148</v>
      </c>
    </row>
    <row r="55" spans="1:35" s="301" customFormat="1" ht="50.1" customHeight="1">
      <c r="A55" s="125">
        <v>51</v>
      </c>
      <c r="B55" s="125" t="s">
        <v>3566</v>
      </c>
      <c r="C55" s="125" t="s">
        <v>973</v>
      </c>
      <c r="D55" s="472" t="s">
        <v>3943</v>
      </c>
      <c r="E55" s="472" t="s">
        <v>3942</v>
      </c>
      <c r="F55" s="480" t="s">
        <v>3941</v>
      </c>
      <c r="G55" s="472" t="s">
        <v>3937</v>
      </c>
      <c r="H55" s="472" t="s">
        <v>2969</v>
      </c>
      <c r="I55" s="314">
        <f t="shared" si="2"/>
        <v>900</v>
      </c>
      <c r="J55" s="314">
        <v>0</v>
      </c>
      <c r="K55" s="314">
        <v>0</v>
      </c>
      <c r="L55" s="314">
        <v>900</v>
      </c>
      <c r="M55" s="314">
        <v>0</v>
      </c>
      <c r="N55" s="314"/>
      <c r="O55" s="472"/>
      <c r="P55" s="472" t="s">
        <v>50</v>
      </c>
      <c r="Q55" s="472" t="s">
        <v>274</v>
      </c>
      <c r="R55" s="472" t="s">
        <v>36</v>
      </c>
      <c r="S55" s="472" t="s">
        <v>186</v>
      </c>
      <c r="T55" s="472" t="s">
        <v>49</v>
      </c>
      <c r="U55" s="472" t="s">
        <v>38</v>
      </c>
      <c r="V55" s="472">
        <v>280</v>
      </c>
      <c r="W55" s="314">
        <v>280</v>
      </c>
      <c r="X55" s="314"/>
      <c r="Y55" s="472" t="s">
        <v>64</v>
      </c>
      <c r="Z55" s="137" t="s">
        <v>1148</v>
      </c>
    </row>
    <row r="56" spans="1:35" s="301" customFormat="1" ht="50.1" customHeight="1">
      <c r="A56" s="125">
        <v>52</v>
      </c>
      <c r="B56" s="125" t="s">
        <v>3566</v>
      </c>
      <c r="C56" s="125" t="s">
        <v>3940</v>
      </c>
      <c r="D56" s="153" t="s">
        <v>3939</v>
      </c>
      <c r="E56" s="472" t="s">
        <v>1542</v>
      </c>
      <c r="F56" s="480" t="s">
        <v>3938</v>
      </c>
      <c r="G56" s="472" t="s">
        <v>3937</v>
      </c>
      <c r="H56" s="472" t="s">
        <v>40</v>
      </c>
      <c r="I56" s="314">
        <f t="shared" si="2"/>
        <v>285</v>
      </c>
      <c r="J56" s="314">
        <v>0</v>
      </c>
      <c r="K56" s="314">
        <v>0</v>
      </c>
      <c r="L56" s="314">
        <v>285</v>
      </c>
      <c r="M56" s="314">
        <v>0</v>
      </c>
      <c r="N56" s="314"/>
      <c r="O56" s="472"/>
      <c r="P56" s="472" t="s">
        <v>50</v>
      </c>
      <c r="Q56" s="472" t="s">
        <v>3936</v>
      </c>
      <c r="R56" s="472" t="s">
        <v>36</v>
      </c>
      <c r="S56" s="472" t="s">
        <v>186</v>
      </c>
      <c r="T56" s="472" t="s">
        <v>49</v>
      </c>
      <c r="U56" s="472" t="s">
        <v>38</v>
      </c>
      <c r="V56" s="472">
        <f>SUM(W56:X56)</f>
        <v>150</v>
      </c>
      <c r="W56" s="314">
        <v>150</v>
      </c>
      <c r="X56" s="314"/>
      <c r="Y56" s="472" t="s">
        <v>59</v>
      </c>
      <c r="Z56" s="137" t="s">
        <v>1148</v>
      </c>
    </row>
    <row r="57" spans="1:35" s="301" customFormat="1" ht="50.1" customHeight="1">
      <c r="A57" s="125">
        <v>53</v>
      </c>
      <c r="B57" s="125" t="s">
        <v>3566</v>
      </c>
      <c r="C57" s="125" t="s">
        <v>3912</v>
      </c>
      <c r="D57" s="472" t="s">
        <v>3935</v>
      </c>
      <c r="E57" s="472" t="s">
        <v>3934</v>
      </c>
      <c r="F57" s="480" t="s">
        <v>3933</v>
      </c>
      <c r="G57" s="472" t="s">
        <v>3932</v>
      </c>
      <c r="H57" s="472" t="s">
        <v>367</v>
      </c>
      <c r="I57" s="314">
        <v>900</v>
      </c>
      <c r="J57" s="314">
        <v>0</v>
      </c>
      <c r="K57" s="314">
        <v>20</v>
      </c>
      <c r="L57" s="314">
        <v>880</v>
      </c>
      <c r="M57" s="314">
        <v>0</v>
      </c>
      <c r="N57" s="314"/>
      <c r="O57" s="472"/>
      <c r="P57" s="472" t="s">
        <v>5</v>
      </c>
      <c r="Q57" s="472" t="s">
        <v>2753</v>
      </c>
      <c r="R57" s="472" t="s">
        <v>36</v>
      </c>
      <c r="S57" s="472" t="s">
        <v>3931</v>
      </c>
      <c r="T57" s="472" t="s">
        <v>49</v>
      </c>
      <c r="U57" s="472" t="s">
        <v>38</v>
      </c>
      <c r="V57" s="472">
        <v>610</v>
      </c>
      <c r="W57" s="314">
        <v>610</v>
      </c>
      <c r="X57" s="314"/>
      <c r="Y57" s="472" t="s">
        <v>64</v>
      </c>
      <c r="Z57" s="137" t="s">
        <v>1148</v>
      </c>
    </row>
    <row r="58" spans="1:35" ht="50.1" customHeight="1">
      <c r="A58" s="125">
        <v>54</v>
      </c>
      <c r="B58" s="125" t="s">
        <v>3566</v>
      </c>
      <c r="C58" s="125" t="s">
        <v>3912</v>
      </c>
      <c r="D58" s="472" t="s">
        <v>3930</v>
      </c>
      <c r="E58" s="472" t="s">
        <v>942</v>
      </c>
      <c r="F58" s="480" t="s">
        <v>3929</v>
      </c>
      <c r="G58" s="472" t="s">
        <v>3928</v>
      </c>
      <c r="H58" s="472" t="s">
        <v>826</v>
      </c>
      <c r="I58" s="314">
        <v>100</v>
      </c>
      <c r="J58" s="314">
        <v>0</v>
      </c>
      <c r="K58" s="314">
        <v>0</v>
      </c>
      <c r="L58" s="314">
        <v>100</v>
      </c>
      <c r="M58" s="314">
        <v>0</v>
      </c>
      <c r="N58" s="314"/>
      <c r="O58" s="472"/>
      <c r="P58" s="472" t="s">
        <v>48</v>
      </c>
      <c r="Q58" s="472" t="s">
        <v>3927</v>
      </c>
      <c r="R58" s="472" t="s">
        <v>36</v>
      </c>
      <c r="S58" s="472" t="s">
        <v>42</v>
      </c>
      <c r="T58" s="472" t="s">
        <v>49</v>
      </c>
      <c r="U58" s="472" t="s">
        <v>38</v>
      </c>
      <c r="V58" s="472">
        <v>10.5</v>
      </c>
      <c r="W58" s="314">
        <v>10.5</v>
      </c>
      <c r="X58" s="314"/>
      <c r="Y58" s="472" t="s">
        <v>234</v>
      </c>
      <c r="Z58" s="137" t="s">
        <v>1148</v>
      </c>
      <c r="AA58" s="88"/>
      <c r="AB58" s="88"/>
      <c r="AC58" s="88"/>
      <c r="AD58" s="88"/>
      <c r="AE58" s="88"/>
      <c r="AF58" s="88"/>
      <c r="AG58" s="88"/>
      <c r="AH58"/>
      <c r="AI58"/>
    </row>
    <row r="59" spans="1:35" ht="50.1" customHeight="1">
      <c r="A59" s="125">
        <v>55</v>
      </c>
      <c r="B59" s="125" t="s">
        <v>3566</v>
      </c>
      <c r="C59" s="125" t="s">
        <v>3912</v>
      </c>
      <c r="D59" s="472" t="s">
        <v>3926</v>
      </c>
      <c r="E59" s="472" t="s">
        <v>3925</v>
      </c>
      <c r="F59" s="480" t="s">
        <v>3924</v>
      </c>
      <c r="G59" s="472" t="s">
        <v>3923</v>
      </c>
      <c r="H59" s="472" t="s">
        <v>798</v>
      </c>
      <c r="I59" s="314">
        <v>40</v>
      </c>
      <c r="J59" s="314">
        <v>0</v>
      </c>
      <c r="K59" s="314">
        <v>0</v>
      </c>
      <c r="L59" s="314">
        <v>40</v>
      </c>
      <c r="M59" s="314">
        <v>0</v>
      </c>
      <c r="N59" s="314"/>
      <c r="O59" s="472"/>
      <c r="P59" s="472" t="s">
        <v>48</v>
      </c>
      <c r="Q59" s="472" t="s">
        <v>3908</v>
      </c>
      <c r="R59" s="472" t="s">
        <v>36</v>
      </c>
      <c r="S59" s="472" t="s">
        <v>68</v>
      </c>
      <c r="T59" s="472" t="s">
        <v>49</v>
      </c>
      <c r="U59" s="472" t="s">
        <v>38</v>
      </c>
      <c r="V59" s="472">
        <v>3</v>
      </c>
      <c r="W59" s="314">
        <v>3</v>
      </c>
      <c r="X59" s="314"/>
      <c r="Y59" s="472" t="s">
        <v>64</v>
      </c>
      <c r="Z59" s="137" t="s">
        <v>1148</v>
      </c>
      <c r="AA59" s="88"/>
      <c r="AB59" s="88"/>
      <c r="AC59" s="88"/>
      <c r="AD59" s="88"/>
      <c r="AE59" s="88"/>
      <c r="AF59" s="88"/>
      <c r="AG59" s="88"/>
      <c r="AH59"/>
      <c r="AI59"/>
    </row>
    <row r="60" spans="1:35" ht="50.1" customHeight="1">
      <c r="A60" s="125">
        <v>56</v>
      </c>
      <c r="B60" s="125" t="s">
        <v>972</v>
      </c>
      <c r="C60" s="125" t="s">
        <v>3912</v>
      </c>
      <c r="D60" s="472" t="s">
        <v>3922</v>
      </c>
      <c r="E60" s="472" t="s">
        <v>54</v>
      </c>
      <c r="F60" s="480" t="s">
        <v>3921</v>
      </c>
      <c r="G60" s="472" t="s">
        <v>3920</v>
      </c>
      <c r="H60" s="472" t="s">
        <v>3919</v>
      </c>
      <c r="I60" s="314">
        <v>50</v>
      </c>
      <c r="J60" s="314">
        <v>0</v>
      </c>
      <c r="K60" s="314">
        <v>0</v>
      </c>
      <c r="L60" s="314">
        <v>50</v>
      </c>
      <c r="M60" s="314">
        <v>0</v>
      </c>
      <c r="N60" s="314"/>
      <c r="O60" s="472"/>
      <c r="P60" s="472" t="s">
        <v>48</v>
      </c>
      <c r="Q60" s="472" t="s">
        <v>3918</v>
      </c>
      <c r="R60" s="472" t="s">
        <v>36</v>
      </c>
      <c r="S60" s="472" t="s">
        <v>42</v>
      </c>
      <c r="T60" s="472" t="s">
        <v>49</v>
      </c>
      <c r="U60" s="472" t="s">
        <v>38</v>
      </c>
      <c r="V60" s="472">
        <v>1.5</v>
      </c>
      <c r="W60" s="314">
        <v>1.5</v>
      </c>
      <c r="X60" s="314"/>
      <c r="Y60" s="472" t="s">
        <v>3917</v>
      </c>
      <c r="Z60" s="137" t="s">
        <v>1148</v>
      </c>
    </row>
    <row r="61" spans="1:35" ht="50.1" customHeight="1">
      <c r="A61" s="125">
        <v>57</v>
      </c>
      <c r="B61" s="125" t="s">
        <v>3566</v>
      </c>
      <c r="C61" s="125" t="s">
        <v>3912</v>
      </c>
      <c r="D61" s="472" t="s">
        <v>3916</v>
      </c>
      <c r="E61" s="472" t="s">
        <v>1297</v>
      </c>
      <c r="F61" s="480" t="s">
        <v>3915</v>
      </c>
      <c r="G61" s="472" t="s">
        <v>3914</v>
      </c>
      <c r="H61" s="472" t="s">
        <v>169</v>
      </c>
      <c r="I61" s="314">
        <v>90</v>
      </c>
      <c r="J61" s="314">
        <v>0</v>
      </c>
      <c r="K61" s="314">
        <v>0</v>
      </c>
      <c r="L61" s="314">
        <v>90</v>
      </c>
      <c r="M61" s="314">
        <v>0</v>
      </c>
      <c r="N61" s="314"/>
      <c r="O61" s="472"/>
      <c r="P61" s="472" t="s">
        <v>46</v>
      </c>
      <c r="Q61" s="472" t="s">
        <v>3913</v>
      </c>
      <c r="R61" s="472" t="s">
        <v>36</v>
      </c>
      <c r="S61" s="472" t="s">
        <v>42</v>
      </c>
      <c r="T61" s="472" t="s">
        <v>49</v>
      </c>
      <c r="U61" s="472" t="s">
        <v>38</v>
      </c>
      <c r="V61" s="472">
        <v>11</v>
      </c>
      <c r="W61" s="314">
        <v>11</v>
      </c>
      <c r="X61" s="314"/>
      <c r="Y61" s="472" t="s">
        <v>844</v>
      </c>
      <c r="Z61" s="137" t="s">
        <v>1148</v>
      </c>
      <c r="AA61" s="88"/>
      <c r="AB61" s="88"/>
      <c r="AC61" s="88"/>
      <c r="AD61" s="88"/>
      <c r="AE61" s="88"/>
      <c r="AF61" s="88"/>
      <c r="AG61" s="88"/>
      <c r="AH61"/>
      <c r="AI61"/>
    </row>
    <row r="62" spans="1:35" ht="50.1" customHeight="1">
      <c r="A62" s="125">
        <v>58</v>
      </c>
      <c r="B62" s="125" t="s">
        <v>3566</v>
      </c>
      <c r="C62" s="125" t="s">
        <v>3912</v>
      </c>
      <c r="D62" s="472" t="s">
        <v>3911</v>
      </c>
      <c r="E62" s="472" t="s">
        <v>1297</v>
      </c>
      <c r="F62" s="480" t="s">
        <v>3910</v>
      </c>
      <c r="G62" s="472" t="s">
        <v>3909</v>
      </c>
      <c r="H62" s="472" t="s">
        <v>321</v>
      </c>
      <c r="I62" s="314">
        <v>15</v>
      </c>
      <c r="J62" s="314">
        <v>0</v>
      </c>
      <c r="K62" s="314">
        <v>0</v>
      </c>
      <c r="L62" s="314">
        <v>15</v>
      </c>
      <c r="M62" s="314">
        <v>0</v>
      </c>
      <c r="N62" s="314"/>
      <c r="O62" s="472"/>
      <c r="P62" s="472" t="s">
        <v>48</v>
      </c>
      <c r="Q62" s="472" t="s">
        <v>3908</v>
      </c>
      <c r="R62" s="472" t="s">
        <v>36</v>
      </c>
      <c r="S62" s="472" t="s">
        <v>68</v>
      </c>
      <c r="T62" s="472" t="s">
        <v>49</v>
      </c>
      <c r="U62" s="472" t="s">
        <v>38</v>
      </c>
      <c r="V62" s="472">
        <v>0.5</v>
      </c>
      <c r="W62" s="315">
        <v>0.5</v>
      </c>
      <c r="X62" s="315"/>
      <c r="Y62" s="472" t="s">
        <v>3907</v>
      </c>
      <c r="Z62" s="137" t="s">
        <v>1148</v>
      </c>
      <c r="AA62" s="88"/>
      <c r="AB62" s="88"/>
      <c r="AC62" s="88"/>
      <c r="AD62" s="88"/>
      <c r="AE62" s="88"/>
      <c r="AF62" s="88"/>
      <c r="AG62" s="88"/>
      <c r="AH62"/>
      <c r="AI62"/>
    </row>
    <row r="63" spans="1:35" ht="50.1" customHeight="1">
      <c r="A63" s="125">
        <v>59</v>
      </c>
      <c r="B63" s="125" t="s">
        <v>3566</v>
      </c>
      <c r="C63" s="125" t="s">
        <v>3888</v>
      </c>
      <c r="D63" s="472" t="s">
        <v>3906</v>
      </c>
      <c r="E63" s="472" t="s">
        <v>3905</v>
      </c>
      <c r="F63" s="480" t="s">
        <v>3904</v>
      </c>
      <c r="G63" s="472" t="s">
        <v>3903</v>
      </c>
      <c r="H63" s="472" t="s">
        <v>3902</v>
      </c>
      <c r="I63" s="314">
        <v>72</v>
      </c>
      <c r="J63" s="314">
        <v>0</v>
      </c>
      <c r="K63" s="314">
        <v>0</v>
      </c>
      <c r="L63" s="314">
        <v>50</v>
      </c>
      <c r="M63" s="314">
        <v>22</v>
      </c>
      <c r="N63" s="314"/>
      <c r="O63" s="472"/>
      <c r="P63" s="472" t="s">
        <v>6</v>
      </c>
      <c r="Q63" s="472" t="s">
        <v>3901</v>
      </c>
      <c r="R63" s="472" t="s">
        <v>36</v>
      </c>
      <c r="S63" s="472" t="s">
        <v>42</v>
      </c>
      <c r="T63" s="472" t="s">
        <v>49</v>
      </c>
      <c r="U63" s="472" t="s">
        <v>37</v>
      </c>
      <c r="V63" s="472">
        <f>SUM(W63:X63)</f>
        <v>20</v>
      </c>
      <c r="W63" s="315">
        <v>20</v>
      </c>
      <c r="X63" s="315"/>
      <c r="Y63" s="472" t="s">
        <v>3889</v>
      </c>
      <c r="Z63" s="137" t="s">
        <v>1148</v>
      </c>
      <c r="AA63" s="88"/>
      <c r="AB63" s="88"/>
      <c r="AC63" s="88"/>
      <c r="AD63" s="88"/>
      <c r="AE63" s="88"/>
      <c r="AF63" s="88"/>
      <c r="AG63" s="88"/>
      <c r="AH63"/>
      <c r="AI63"/>
    </row>
    <row r="64" spans="1:35" ht="50.1" customHeight="1">
      <c r="A64" s="125">
        <v>60</v>
      </c>
      <c r="B64" s="125" t="s">
        <v>3566</v>
      </c>
      <c r="C64" s="125" t="s">
        <v>3888</v>
      </c>
      <c r="D64" s="472" t="s">
        <v>3900</v>
      </c>
      <c r="E64" s="472" t="s">
        <v>1541</v>
      </c>
      <c r="F64" s="480" t="s">
        <v>3899</v>
      </c>
      <c r="G64" s="472" t="s">
        <v>3898</v>
      </c>
      <c r="H64" s="472" t="s">
        <v>1222</v>
      </c>
      <c r="I64" s="314">
        <v>1558</v>
      </c>
      <c r="J64" s="314">
        <v>58</v>
      </c>
      <c r="K64" s="314">
        <v>0</v>
      </c>
      <c r="L64" s="314">
        <v>1500</v>
      </c>
      <c r="M64" s="314">
        <v>0</v>
      </c>
      <c r="N64" s="314" t="s">
        <v>35</v>
      </c>
      <c r="O64" s="472" t="s">
        <v>156</v>
      </c>
      <c r="P64" s="472" t="s">
        <v>5</v>
      </c>
      <c r="Q64" s="472" t="s">
        <v>1540</v>
      </c>
      <c r="R64" s="472" t="s">
        <v>36</v>
      </c>
      <c r="S64" s="472" t="s">
        <v>42</v>
      </c>
      <c r="T64" s="472" t="s">
        <v>49</v>
      </c>
      <c r="U64" s="472" t="s">
        <v>3882</v>
      </c>
      <c r="V64" s="472">
        <f>SUM(W64:X64)</f>
        <v>485</v>
      </c>
      <c r="W64" s="314">
        <v>474</v>
      </c>
      <c r="X64" s="314">
        <v>11</v>
      </c>
      <c r="Y64" s="472" t="s">
        <v>812</v>
      </c>
      <c r="Z64" s="137" t="s">
        <v>1148</v>
      </c>
      <c r="AA64" s="88"/>
      <c r="AB64" s="88"/>
      <c r="AC64" s="88"/>
      <c r="AD64" s="88"/>
      <c r="AE64" s="88"/>
      <c r="AF64" s="88"/>
      <c r="AG64" s="88"/>
      <c r="AH64"/>
      <c r="AI64"/>
    </row>
    <row r="65" spans="1:35" ht="50.1" customHeight="1">
      <c r="A65" s="125">
        <v>61</v>
      </c>
      <c r="B65" s="125" t="s">
        <v>3566</v>
      </c>
      <c r="C65" s="125" t="s">
        <v>3888</v>
      </c>
      <c r="D65" s="472" t="s">
        <v>3897</v>
      </c>
      <c r="E65" s="472" t="s">
        <v>1219</v>
      </c>
      <c r="F65" s="480" t="s">
        <v>3896</v>
      </c>
      <c r="G65" s="472" t="s">
        <v>3895</v>
      </c>
      <c r="H65" s="472" t="s">
        <v>3894</v>
      </c>
      <c r="I65" s="314">
        <v>51</v>
      </c>
      <c r="J65" s="314">
        <v>0</v>
      </c>
      <c r="K65" s="314">
        <v>0</v>
      </c>
      <c r="L65" s="314">
        <v>36</v>
      </c>
      <c r="M65" s="314">
        <v>15</v>
      </c>
      <c r="N65" s="314"/>
      <c r="O65" s="472"/>
      <c r="P65" s="472" t="s">
        <v>6</v>
      </c>
      <c r="Q65" s="472" t="s">
        <v>3893</v>
      </c>
      <c r="R65" s="472" t="s">
        <v>36</v>
      </c>
      <c r="S65" s="472" t="s">
        <v>42</v>
      </c>
      <c r="T65" s="472" t="s">
        <v>49</v>
      </c>
      <c r="U65" s="472" t="s">
        <v>37</v>
      </c>
      <c r="V65" s="472">
        <f>SUM(W65:X65)</f>
        <v>5</v>
      </c>
      <c r="W65" s="314">
        <v>5</v>
      </c>
      <c r="X65" s="314"/>
      <c r="Y65" s="472" t="s">
        <v>240</v>
      </c>
      <c r="Z65" s="137" t="s">
        <v>1148</v>
      </c>
      <c r="AA65" s="88"/>
      <c r="AB65" s="88"/>
      <c r="AC65" s="88"/>
      <c r="AD65" s="88"/>
      <c r="AE65" s="88"/>
      <c r="AF65" s="88"/>
      <c r="AG65" s="88"/>
      <c r="AH65"/>
      <c r="AI65"/>
    </row>
    <row r="66" spans="1:35" ht="50.1" customHeight="1">
      <c r="A66" s="125">
        <v>62</v>
      </c>
      <c r="B66" s="327" t="s">
        <v>3566</v>
      </c>
      <c r="C66" s="327" t="s">
        <v>3888</v>
      </c>
      <c r="D66" s="478" t="s">
        <v>3892</v>
      </c>
      <c r="E66" s="478" t="s">
        <v>1418</v>
      </c>
      <c r="F66" s="207" t="s">
        <v>3891</v>
      </c>
      <c r="G66" s="478" t="s">
        <v>3890</v>
      </c>
      <c r="H66" s="478" t="s">
        <v>1374</v>
      </c>
      <c r="I66" s="328">
        <v>115</v>
      </c>
      <c r="J66" s="328">
        <v>0</v>
      </c>
      <c r="K66" s="328">
        <v>0</v>
      </c>
      <c r="L66" s="328">
        <v>105</v>
      </c>
      <c r="M66" s="328">
        <v>10</v>
      </c>
      <c r="N66" s="328"/>
      <c r="O66" s="478"/>
      <c r="P66" s="478" t="s">
        <v>7</v>
      </c>
      <c r="Q66" s="478" t="s">
        <v>1539</v>
      </c>
      <c r="R66" s="478" t="s">
        <v>36</v>
      </c>
      <c r="S66" s="478" t="s">
        <v>42</v>
      </c>
      <c r="T66" s="478" t="s">
        <v>49</v>
      </c>
      <c r="U66" s="478" t="s">
        <v>37</v>
      </c>
      <c r="V66" s="478">
        <f>SUM(W66:X66)</f>
        <v>30</v>
      </c>
      <c r="W66" s="328">
        <v>30</v>
      </c>
      <c r="X66" s="328"/>
      <c r="Y66" s="478" t="s">
        <v>3889</v>
      </c>
      <c r="Z66" s="205" t="s">
        <v>1148</v>
      </c>
      <c r="AA66" s="88"/>
      <c r="AB66" s="88"/>
      <c r="AC66" s="88"/>
      <c r="AD66" s="88"/>
      <c r="AE66" s="88"/>
      <c r="AF66" s="88"/>
      <c r="AG66" s="88"/>
      <c r="AH66"/>
      <c r="AI66"/>
    </row>
    <row r="67" spans="1:35" ht="50.1" customHeight="1">
      <c r="A67" s="125">
        <v>63</v>
      </c>
      <c r="B67" s="125" t="s">
        <v>3566</v>
      </c>
      <c r="C67" s="125" t="s">
        <v>3888</v>
      </c>
      <c r="D67" s="472" t="s">
        <v>3887</v>
      </c>
      <c r="E67" s="472" t="s">
        <v>54</v>
      </c>
      <c r="F67" s="480" t="s">
        <v>3886</v>
      </c>
      <c r="G67" s="472" t="s">
        <v>3885</v>
      </c>
      <c r="H67" s="472" t="s">
        <v>3884</v>
      </c>
      <c r="I67" s="314">
        <v>20</v>
      </c>
      <c r="J67" s="314">
        <v>0</v>
      </c>
      <c r="K67" s="314">
        <v>0</v>
      </c>
      <c r="L67" s="314">
        <v>20</v>
      </c>
      <c r="M67" s="314">
        <v>0</v>
      </c>
      <c r="N67" s="314"/>
      <c r="O67" s="472"/>
      <c r="P67" s="472" t="s">
        <v>6</v>
      </c>
      <c r="Q67" s="472" t="s">
        <v>3883</v>
      </c>
      <c r="R67" s="472" t="s">
        <v>36</v>
      </c>
      <c r="S67" s="472" t="s">
        <v>1298</v>
      </c>
      <c r="T67" s="472" t="s">
        <v>49</v>
      </c>
      <c r="U67" s="472" t="s">
        <v>3882</v>
      </c>
      <c r="V67" s="472">
        <f>SUM(W67:X67)</f>
        <v>5</v>
      </c>
      <c r="W67" s="314">
        <v>5</v>
      </c>
      <c r="X67" s="314"/>
      <c r="Y67" s="472" t="s">
        <v>240</v>
      </c>
      <c r="Z67" s="137" t="s">
        <v>1148</v>
      </c>
    </row>
    <row r="68" spans="1:35" ht="67.5">
      <c r="A68" s="125">
        <v>64</v>
      </c>
      <c r="B68" s="125" t="s">
        <v>3566</v>
      </c>
      <c r="C68" s="125" t="s">
        <v>3867</v>
      </c>
      <c r="D68" s="472" t="s">
        <v>3881</v>
      </c>
      <c r="E68" s="472" t="s">
        <v>908</v>
      </c>
      <c r="F68" s="480" t="s">
        <v>3880</v>
      </c>
      <c r="G68" s="472" t="s">
        <v>3879</v>
      </c>
      <c r="H68" s="472" t="s">
        <v>403</v>
      </c>
      <c r="I68" s="315">
        <v>25</v>
      </c>
      <c r="J68" s="315">
        <v>0</v>
      </c>
      <c r="K68" s="315">
        <v>0</v>
      </c>
      <c r="L68" s="314">
        <v>25</v>
      </c>
      <c r="M68" s="314">
        <v>0</v>
      </c>
      <c r="N68" s="314"/>
      <c r="O68" s="472"/>
      <c r="P68" s="472" t="s">
        <v>5</v>
      </c>
      <c r="Q68" s="472" t="s">
        <v>130</v>
      </c>
      <c r="R68" s="472" t="s">
        <v>36</v>
      </c>
      <c r="S68" s="472"/>
      <c r="T68" s="472"/>
      <c r="U68" s="472" t="s">
        <v>37</v>
      </c>
      <c r="V68" s="472">
        <v>27</v>
      </c>
      <c r="W68" s="314"/>
      <c r="X68" s="314"/>
      <c r="Y68" s="472" t="s">
        <v>3878</v>
      </c>
      <c r="Z68" s="137" t="s">
        <v>1148</v>
      </c>
      <c r="AA68" s="88"/>
      <c r="AB68" s="88"/>
      <c r="AC68" s="88"/>
      <c r="AD68" s="88"/>
      <c r="AE68" s="88"/>
      <c r="AF68" s="88"/>
      <c r="AG68" s="88"/>
      <c r="AH68"/>
      <c r="AI68"/>
    </row>
    <row r="69" spans="1:35" ht="50.1" customHeight="1">
      <c r="A69" s="125">
        <v>65</v>
      </c>
      <c r="B69" s="125" t="s">
        <v>3566</v>
      </c>
      <c r="C69" s="125" t="s">
        <v>3867</v>
      </c>
      <c r="D69" s="472" t="s">
        <v>3877</v>
      </c>
      <c r="E69" s="472" t="s">
        <v>3876</v>
      </c>
      <c r="F69" s="480" t="s">
        <v>3875</v>
      </c>
      <c r="G69" s="472" t="s">
        <v>3870</v>
      </c>
      <c r="H69" s="472" t="s">
        <v>312</v>
      </c>
      <c r="I69" s="314">
        <v>250</v>
      </c>
      <c r="J69" s="314">
        <v>0</v>
      </c>
      <c r="K69" s="314">
        <v>0</v>
      </c>
      <c r="L69" s="314">
        <v>250</v>
      </c>
      <c r="M69" s="314">
        <v>0</v>
      </c>
      <c r="N69" s="314"/>
      <c r="O69" s="472"/>
      <c r="P69" s="472" t="s">
        <v>98</v>
      </c>
      <c r="Q69" s="472" t="s">
        <v>3874</v>
      </c>
      <c r="R69" s="472" t="s">
        <v>36</v>
      </c>
      <c r="S69" s="472"/>
      <c r="T69" s="472"/>
      <c r="U69" s="472" t="s">
        <v>3861</v>
      </c>
      <c r="V69" s="472">
        <v>30</v>
      </c>
      <c r="W69" s="314"/>
      <c r="X69" s="314"/>
      <c r="Y69" s="472" t="s">
        <v>3874</v>
      </c>
      <c r="Z69" s="137" t="s">
        <v>1148</v>
      </c>
      <c r="AA69" s="88"/>
      <c r="AB69" s="88"/>
      <c r="AC69" s="88"/>
      <c r="AD69" s="88"/>
      <c r="AE69" s="88"/>
      <c r="AF69" s="88"/>
      <c r="AG69" s="88"/>
      <c r="AH69"/>
      <c r="AI69"/>
    </row>
    <row r="70" spans="1:35" ht="50.1" customHeight="1">
      <c r="A70" s="125">
        <v>66</v>
      </c>
      <c r="B70" s="125" t="s">
        <v>3566</v>
      </c>
      <c r="C70" s="472" t="s">
        <v>3867</v>
      </c>
      <c r="D70" s="472" t="s">
        <v>3873</v>
      </c>
      <c r="E70" s="472" t="s">
        <v>3872</v>
      </c>
      <c r="F70" s="480" t="s">
        <v>3871</v>
      </c>
      <c r="G70" s="472" t="s">
        <v>3870</v>
      </c>
      <c r="H70" s="472" t="s">
        <v>2812</v>
      </c>
      <c r="I70" s="314">
        <v>1000</v>
      </c>
      <c r="J70" s="316">
        <v>0</v>
      </c>
      <c r="K70" s="316">
        <v>0</v>
      </c>
      <c r="L70" s="316">
        <v>1000</v>
      </c>
      <c r="M70" s="316">
        <v>0</v>
      </c>
      <c r="N70" s="316"/>
      <c r="O70" s="103"/>
      <c r="P70" s="103" t="s">
        <v>6</v>
      </c>
      <c r="Q70" s="472" t="s">
        <v>3869</v>
      </c>
      <c r="R70" s="472" t="s">
        <v>36</v>
      </c>
      <c r="S70" s="472"/>
      <c r="T70" s="472"/>
      <c r="U70" s="472" t="s">
        <v>3861</v>
      </c>
      <c r="V70" s="472">
        <v>180</v>
      </c>
      <c r="W70" s="314"/>
      <c r="X70" s="314"/>
      <c r="Y70" s="472" t="s">
        <v>3868</v>
      </c>
      <c r="Z70" s="137" t="s">
        <v>1148</v>
      </c>
    </row>
    <row r="71" spans="1:35" ht="50.1" customHeight="1">
      <c r="A71" s="125">
        <v>67</v>
      </c>
      <c r="B71" s="125" t="s">
        <v>3566</v>
      </c>
      <c r="C71" s="125" t="s">
        <v>3867</v>
      </c>
      <c r="D71" s="472" t="s">
        <v>3866</v>
      </c>
      <c r="E71" s="472" t="s">
        <v>3865</v>
      </c>
      <c r="F71" s="480" t="s">
        <v>3864</v>
      </c>
      <c r="G71" s="472" t="s">
        <v>3863</v>
      </c>
      <c r="H71" s="472" t="s">
        <v>798</v>
      </c>
      <c r="I71" s="314">
        <v>500</v>
      </c>
      <c r="J71" s="314">
        <v>0</v>
      </c>
      <c r="K71" s="314">
        <v>0</v>
      </c>
      <c r="L71" s="314">
        <v>500</v>
      </c>
      <c r="M71" s="314">
        <v>0</v>
      </c>
      <c r="N71" s="314"/>
      <c r="O71" s="472"/>
      <c r="P71" s="472" t="s">
        <v>5</v>
      </c>
      <c r="Q71" s="472" t="s">
        <v>3862</v>
      </c>
      <c r="R71" s="472" t="s">
        <v>36</v>
      </c>
      <c r="S71" s="472"/>
      <c r="T71" s="472"/>
      <c r="U71" s="472" t="s">
        <v>3861</v>
      </c>
      <c r="V71" s="472">
        <v>88</v>
      </c>
      <c r="W71" s="314"/>
      <c r="X71" s="314"/>
      <c r="Y71" s="472" t="s">
        <v>3860</v>
      </c>
      <c r="Z71" s="137" t="s">
        <v>1148</v>
      </c>
    </row>
    <row r="72" spans="1:35" ht="50.1" customHeight="1">
      <c r="A72" s="125">
        <v>68</v>
      </c>
      <c r="B72" s="125" t="s">
        <v>3566</v>
      </c>
      <c r="C72" s="125" t="s">
        <v>3819</v>
      </c>
      <c r="D72" s="472" t="s">
        <v>1538</v>
      </c>
      <c r="E72" s="472" t="s">
        <v>3859</v>
      </c>
      <c r="F72" s="480" t="s">
        <v>3858</v>
      </c>
      <c r="G72" s="472" t="s">
        <v>3857</v>
      </c>
      <c r="H72" s="472" t="s">
        <v>3856</v>
      </c>
      <c r="I72" s="314">
        <v>60</v>
      </c>
      <c r="J72" s="314">
        <v>0</v>
      </c>
      <c r="K72" s="314">
        <v>0</v>
      </c>
      <c r="L72" s="314">
        <v>60</v>
      </c>
      <c r="M72" s="314">
        <v>0</v>
      </c>
      <c r="N72" s="314"/>
      <c r="O72" s="472"/>
      <c r="P72" s="472" t="s">
        <v>5</v>
      </c>
      <c r="Q72" s="472" t="s">
        <v>1537</v>
      </c>
      <c r="R72" s="472" t="s">
        <v>36</v>
      </c>
      <c r="S72" s="472" t="s">
        <v>1277</v>
      </c>
      <c r="T72" s="472" t="s">
        <v>49</v>
      </c>
      <c r="U72" s="472" t="s">
        <v>37</v>
      </c>
      <c r="V72" s="472">
        <v>5</v>
      </c>
      <c r="W72" s="314">
        <v>50</v>
      </c>
      <c r="X72" s="314">
        <v>0</v>
      </c>
      <c r="Y72" s="472" t="s">
        <v>3855</v>
      </c>
      <c r="Z72" s="137" t="s">
        <v>1148</v>
      </c>
      <c r="AA72" s="88"/>
      <c r="AB72" s="88"/>
      <c r="AC72" s="88"/>
      <c r="AD72" s="88"/>
      <c r="AE72" s="88"/>
      <c r="AF72" s="88"/>
      <c r="AG72" s="88"/>
      <c r="AH72"/>
      <c r="AI72"/>
    </row>
    <row r="73" spans="1:35" ht="50.1" customHeight="1">
      <c r="A73" s="125">
        <v>69</v>
      </c>
      <c r="B73" s="125" t="s">
        <v>3566</v>
      </c>
      <c r="C73" s="125" t="s">
        <v>3819</v>
      </c>
      <c r="D73" s="472" t="s">
        <v>3854</v>
      </c>
      <c r="E73" s="472" t="s">
        <v>942</v>
      </c>
      <c r="F73" s="480" t="s">
        <v>3853</v>
      </c>
      <c r="G73" s="472" t="s">
        <v>3852</v>
      </c>
      <c r="H73" s="472" t="s">
        <v>1508</v>
      </c>
      <c r="I73" s="314">
        <v>30</v>
      </c>
      <c r="J73" s="314">
        <v>0</v>
      </c>
      <c r="K73" s="314">
        <v>0</v>
      </c>
      <c r="L73" s="314">
        <v>30</v>
      </c>
      <c r="M73" s="314">
        <v>0</v>
      </c>
      <c r="N73" s="314"/>
      <c r="O73" s="472"/>
      <c r="P73" s="472" t="s">
        <v>5</v>
      </c>
      <c r="Q73" s="472" t="s">
        <v>541</v>
      </c>
      <c r="R73" s="472" t="s">
        <v>36</v>
      </c>
      <c r="S73" s="472" t="s">
        <v>1277</v>
      </c>
      <c r="T73" s="472" t="s">
        <v>49</v>
      </c>
      <c r="U73" s="472" t="s">
        <v>37</v>
      </c>
      <c r="V73" s="472">
        <v>5</v>
      </c>
      <c r="W73" s="314">
        <v>5</v>
      </c>
      <c r="X73" s="314">
        <v>0</v>
      </c>
      <c r="Y73" s="472" t="s">
        <v>3851</v>
      </c>
      <c r="Z73" s="137" t="s">
        <v>1148</v>
      </c>
      <c r="AA73" s="88"/>
      <c r="AB73" s="88"/>
      <c r="AC73" s="88"/>
      <c r="AD73" s="88"/>
      <c r="AE73" s="88"/>
      <c r="AF73" s="88"/>
      <c r="AG73" s="88"/>
      <c r="AH73"/>
      <c r="AI73"/>
    </row>
    <row r="74" spans="1:35" ht="50.1" customHeight="1">
      <c r="A74" s="125">
        <v>70</v>
      </c>
      <c r="B74" s="125" t="s">
        <v>3566</v>
      </c>
      <c r="C74" s="125" t="s">
        <v>3819</v>
      </c>
      <c r="D74" s="472" t="s">
        <v>3850</v>
      </c>
      <c r="E74" s="472" t="s">
        <v>3849</v>
      </c>
      <c r="F74" s="480" t="s">
        <v>3848</v>
      </c>
      <c r="G74" s="472" t="s">
        <v>3847</v>
      </c>
      <c r="H74" s="472" t="s">
        <v>40</v>
      </c>
      <c r="I74" s="314">
        <v>20</v>
      </c>
      <c r="J74" s="314">
        <v>0</v>
      </c>
      <c r="K74" s="314">
        <v>0</v>
      </c>
      <c r="L74" s="314">
        <v>20</v>
      </c>
      <c r="M74" s="314">
        <v>0</v>
      </c>
      <c r="N74" s="314"/>
      <c r="O74" s="472"/>
      <c r="P74" s="472" t="s">
        <v>5</v>
      </c>
      <c r="Q74" s="472" t="s">
        <v>3419</v>
      </c>
      <c r="R74" s="472" t="s">
        <v>36</v>
      </c>
      <c r="S74" s="472" t="s">
        <v>3846</v>
      </c>
      <c r="T74" s="472" t="s">
        <v>107</v>
      </c>
      <c r="U74" s="472" t="s">
        <v>53</v>
      </c>
      <c r="V74" s="472">
        <v>5</v>
      </c>
      <c r="W74" s="314">
        <v>5</v>
      </c>
      <c r="X74" s="314">
        <v>0</v>
      </c>
      <c r="Y74" s="472" t="s">
        <v>3845</v>
      </c>
      <c r="Z74" s="429" t="s">
        <v>1148</v>
      </c>
      <c r="AA74" s="88"/>
      <c r="AB74" s="88"/>
      <c r="AC74" s="88"/>
      <c r="AD74" s="88"/>
      <c r="AE74" s="88"/>
      <c r="AF74" s="88"/>
      <c r="AG74" s="88"/>
      <c r="AH74"/>
      <c r="AI74"/>
    </row>
    <row r="75" spans="1:35" ht="50.1" customHeight="1">
      <c r="A75" s="125">
        <v>71</v>
      </c>
      <c r="B75" s="125" t="s">
        <v>3566</v>
      </c>
      <c r="C75" s="125" t="s">
        <v>3819</v>
      </c>
      <c r="D75" s="472" t="s">
        <v>3844</v>
      </c>
      <c r="E75" s="472" t="s">
        <v>1215</v>
      </c>
      <c r="F75" s="480" t="s">
        <v>3843</v>
      </c>
      <c r="G75" s="472" t="s">
        <v>3832</v>
      </c>
      <c r="H75" s="472" t="s">
        <v>179</v>
      </c>
      <c r="I75" s="314" t="s">
        <v>3842</v>
      </c>
      <c r="J75" s="314">
        <v>0</v>
      </c>
      <c r="K75" s="314">
        <v>0</v>
      </c>
      <c r="L75" s="314">
        <v>0</v>
      </c>
      <c r="M75" s="314">
        <v>0</v>
      </c>
      <c r="N75" s="314"/>
      <c r="O75" s="472"/>
      <c r="P75" s="472" t="s">
        <v>5</v>
      </c>
      <c r="Q75" s="472" t="s">
        <v>3841</v>
      </c>
      <c r="R75" s="472" t="s">
        <v>36</v>
      </c>
      <c r="S75" s="472" t="s">
        <v>38</v>
      </c>
      <c r="T75" s="472" t="s">
        <v>49</v>
      </c>
      <c r="U75" s="472" t="s">
        <v>405</v>
      </c>
      <c r="V75" s="472">
        <f>SUM(W75:X75)</f>
        <v>0</v>
      </c>
      <c r="W75" s="314"/>
      <c r="X75" s="314"/>
      <c r="Y75" s="472" t="s">
        <v>3840</v>
      </c>
      <c r="Z75" s="137" t="s">
        <v>1148</v>
      </c>
      <c r="AA75" s="88"/>
      <c r="AB75" s="88"/>
      <c r="AC75" s="88"/>
      <c r="AD75" s="88"/>
      <c r="AE75" s="88"/>
      <c r="AF75" s="88"/>
      <c r="AG75" s="88"/>
      <c r="AH75"/>
      <c r="AI75"/>
    </row>
    <row r="76" spans="1:35" ht="50.1" customHeight="1">
      <c r="A76" s="125">
        <v>72</v>
      </c>
      <c r="B76" s="125" t="s">
        <v>3566</v>
      </c>
      <c r="C76" s="125" t="s">
        <v>3819</v>
      </c>
      <c r="D76" s="472" t="s">
        <v>3839</v>
      </c>
      <c r="E76" s="472" t="s">
        <v>3838</v>
      </c>
      <c r="F76" s="480" t="s">
        <v>3837</v>
      </c>
      <c r="G76" s="472" t="s">
        <v>3836</v>
      </c>
      <c r="H76" s="472" t="s">
        <v>40</v>
      </c>
      <c r="I76" s="314">
        <v>0</v>
      </c>
      <c r="J76" s="314">
        <v>0</v>
      </c>
      <c r="K76" s="314">
        <v>0</v>
      </c>
      <c r="L76" s="314">
        <v>0</v>
      </c>
      <c r="M76" s="314">
        <v>0</v>
      </c>
      <c r="N76" s="314"/>
      <c r="O76" s="472"/>
      <c r="P76" s="472" t="s">
        <v>5</v>
      </c>
      <c r="Q76" s="472" t="s">
        <v>3616</v>
      </c>
      <c r="R76" s="472" t="s">
        <v>36</v>
      </c>
      <c r="S76" s="472" t="s">
        <v>3821</v>
      </c>
      <c r="T76" s="472" t="s">
        <v>107</v>
      </c>
      <c r="U76" s="472" t="s">
        <v>405</v>
      </c>
      <c r="V76" s="472">
        <v>33</v>
      </c>
      <c r="W76" s="314">
        <v>33</v>
      </c>
      <c r="X76" s="314">
        <v>0</v>
      </c>
      <c r="Y76" s="472" t="s">
        <v>3820</v>
      </c>
      <c r="Z76" s="137" t="s">
        <v>1148</v>
      </c>
      <c r="AA76" s="88"/>
      <c r="AB76" s="88"/>
      <c r="AC76" s="88"/>
      <c r="AD76" s="88"/>
      <c r="AE76" s="88"/>
      <c r="AF76" s="88"/>
      <c r="AG76" s="88"/>
      <c r="AH76"/>
      <c r="AI76"/>
    </row>
    <row r="77" spans="1:35" ht="50.1" customHeight="1">
      <c r="A77" s="125">
        <v>73</v>
      </c>
      <c r="B77" s="317" t="s">
        <v>3566</v>
      </c>
      <c r="C77" s="317" t="s">
        <v>3819</v>
      </c>
      <c r="D77" s="318" t="s">
        <v>3835</v>
      </c>
      <c r="E77" s="222" t="s">
        <v>3834</v>
      </c>
      <c r="F77" s="223" t="s">
        <v>3833</v>
      </c>
      <c r="G77" s="222" t="s">
        <v>3832</v>
      </c>
      <c r="H77" s="319" t="s">
        <v>40</v>
      </c>
      <c r="I77" s="320">
        <v>290</v>
      </c>
      <c r="J77" s="320">
        <v>0</v>
      </c>
      <c r="K77" s="320">
        <v>0</v>
      </c>
      <c r="L77" s="320">
        <v>290</v>
      </c>
      <c r="M77" s="320">
        <v>0</v>
      </c>
      <c r="N77" s="320"/>
      <c r="O77" s="321"/>
      <c r="P77" s="321" t="s">
        <v>48</v>
      </c>
      <c r="Q77" s="317" t="s">
        <v>1536</v>
      </c>
      <c r="R77" s="319" t="s">
        <v>36</v>
      </c>
      <c r="S77" s="317" t="s">
        <v>38</v>
      </c>
      <c r="T77" s="317" t="s">
        <v>49</v>
      </c>
      <c r="U77" s="319" t="s">
        <v>405</v>
      </c>
      <c r="V77" s="317">
        <v>5</v>
      </c>
      <c r="W77" s="322">
        <v>5</v>
      </c>
      <c r="X77" s="320">
        <v>0</v>
      </c>
      <c r="Y77" s="317" t="s">
        <v>3831</v>
      </c>
      <c r="Z77" s="323" t="s">
        <v>1148</v>
      </c>
      <c r="AA77" s="88"/>
      <c r="AB77" s="88"/>
      <c r="AC77" s="88"/>
      <c r="AD77" s="88"/>
      <c r="AE77" s="88"/>
      <c r="AF77" s="88"/>
      <c r="AG77" s="88"/>
      <c r="AH77"/>
      <c r="AI77"/>
    </row>
    <row r="78" spans="1:35" ht="50.1" customHeight="1">
      <c r="A78" s="125">
        <v>74</v>
      </c>
      <c r="B78" s="125" t="s">
        <v>3566</v>
      </c>
      <c r="C78" s="125" t="s">
        <v>3819</v>
      </c>
      <c r="D78" s="125" t="s">
        <v>3830</v>
      </c>
      <c r="E78" s="472" t="s">
        <v>1466</v>
      </c>
      <c r="F78" s="480" t="s">
        <v>3829</v>
      </c>
      <c r="G78" s="472" t="s">
        <v>3828</v>
      </c>
      <c r="H78" s="472" t="s">
        <v>40</v>
      </c>
      <c r="I78" s="324">
        <v>300</v>
      </c>
      <c r="J78" s="324">
        <v>0</v>
      </c>
      <c r="K78" s="324">
        <v>0</v>
      </c>
      <c r="L78" s="324">
        <v>300</v>
      </c>
      <c r="M78" s="324">
        <v>0</v>
      </c>
      <c r="N78" s="324"/>
      <c r="O78" s="154"/>
      <c r="P78" s="154" t="s">
        <v>5</v>
      </c>
      <c r="Q78" s="125" t="s">
        <v>1536</v>
      </c>
      <c r="R78" s="472" t="s">
        <v>36</v>
      </c>
      <c r="S78" s="317" t="s">
        <v>38</v>
      </c>
      <c r="T78" s="317" t="s">
        <v>49</v>
      </c>
      <c r="U78" s="125" t="s">
        <v>405</v>
      </c>
      <c r="V78" s="125">
        <v>5</v>
      </c>
      <c r="W78" s="322">
        <v>5</v>
      </c>
      <c r="X78" s="320">
        <v>0</v>
      </c>
      <c r="Y78" s="317" t="s">
        <v>3827</v>
      </c>
      <c r="Z78" s="137" t="s">
        <v>1148</v>
      </c>
      <c r="AA78" s="88"/>
      <c r="AB78" s="88"/>
      <c r="AC78" s="88"/>
      <c r="AD78" s="88"/>
      <c r="AE78" s="88"/>
      <c r="AF78" s="88"/>
      <c r="AG78" s="88"/>
      <c r="AH78"/>
      <c r="AI78"/>
    </row>
    <row r="79" spans="1:35" ht="50.1" customHeight="1">
      <c r="A79" s="125">
        <v>75</v>
      </c>
      <c r="B79" s="125" t="s">
        <v>3566</v>
      </c>
      <c r="C79" s="125" t="s">
        <v>3819</v>
      </c>
      <c r="D79" s="472" t="s">
        <v>3826</v>
      </c>
      <c r="E79" s="472" t="s">
        <v>3825</v>
      </c>
      <c r="F79" s="480" t="s">
        <v>3824</v>
      </c>
      <c r="G79" s="472" t="s">
        <v>3823</v>
      </c>
      <c r="H79" s="472" t="s">
        <v>40</v>
      </c>
      <c r="I79" s="324">
        <v>0</v>
      </c>
      <c r="J79" s="324">
        <v>0</v>
      </c>
      <c r="K79" s="324">
        <v>0</v>
      </c>
      <c r="L79" s="324">
        <v>0</v>
      </c>
      <c r="M79" s="324">
        <v>0</v>
      </c>
      <c r="N79" s="324"/>
      <c r="O79" s="154"/>
      <c r="P79" s="154" t="s">
        <v>5</v>
      </c>
      <c r="Q79" s="125" t="s">
        <v>3822</v>
      </c>
      <c r="R79" s="472" t="s">
        <v>36</v>
      </c>
      <c r="S79" s="125" t="s">
        <v>3821</v>
      </c>
      <c r="T79" s="125" t="s">
        <v>107</v>
      </c>
      <c r="U79" s="472" t="s">
        <v>405</v>
      </c>
      <c r="V79" s="125">
        <v>15</v>
      </c>
      <c r="W79" s="322">
        <v>15</v>
      </c>
      <c r="X79" s="320">
        <v>0</v>
      </c>
      <c r="Y79" s="317" t="s">
        <v>3820</v>
      </c>
      <c r="Z79" s="137" t="s">
        <v>1148</v>
      </c>
      <c r="AA79" s="88"/>
      <c r="AB79" s="88"/>
      <c r="AC79" s="88"/>
      <c r="AD79" s="88"/>
      <c r="AE79" s="88"/>
      <c r="AF79" s="88"/>
      <c r="AG79" s="88"/>
      <c r="AH79"/>
      <c r="AI79"/>
    </row>
    <row r="80" spans="1:35" ht="50.1" customHeight="1">
      <c r="A80" s="125">
        <v>76</v>
      </c>
      <c r="B80" s="125" t="s">
        <v>3566</v>
      </c>
      <c r="C80" s="125" t="s">
        <v>3819</v>
      </c>
      <c r="D80" s="473" t="s">
        <v>3818</v>
      </c>
      <c r="E80" s="472" t="s">
        <v>2821</v>
      </c>
      <c r="F80" s="480" t="s">
        <v>3817</v>
      </c>
      <c r="G80" s="472" t="s">
        <v>3816</v>
      </c>
      <c r="H80" s="472" t="s">
        <v>40</v>
      </c>
      <c r="I80" s="324">
        <v>600</v>
      </c>
      <c r="J80" s="324">
        <v>0</v>
      </c>
      <c r="K80" s="324">
        <v>0</v>
      </c>
      <c r="L80" s="324">
        <v>600</v>
      </c>
      <c r="M80" s="324">
        <v>0</v>
      </c>
      <c r="N80" s="324"/>
      <c r="O80" s="154"/>
      <c r="P80" s="154" t="s">
        <v>6</v>
      </c>
      <c r="Q80" s="125" t="s">
        <v>3815</v>
      </c>
      <c r="R80" s="472" t="s">
        <v>36</v>
      </c>
      <c r="S80" s="125" t="s">
        <v>1277</v>
      </c>
      <c r="T80" s="125" t="s">
        <v>49</v>
      </c>
      <c r="U80" s="125" t="s">
        <v>37</v>
      </c>
      <c r="V80" s="125">
        <v>136</v>
      </c>
      <c r="W80" s="322">
        <v>135</v>
      </c>
      <c r="X80" s="320">
        <v>1</v>
      </c>
      <c r="Y80" s="319" t="s">
        <v>3814</v>
      </c>
      <c r="Z80" s="137" t="s">
        <v>6165</v>
      </c>
    </row>
    <row r="81" spans="1:35" ht="50.1" customHeight="1">
      <c r="A81" s="125">
        <v>77</v>
      </c>
      <c r="B81" s="125" t="s">
        <v>3566</v>
      </c>
      <c r="C81" s="125" t="s">
        <v>3801</v>
      </c>
      <c r="D81" s="125" t="s">
        <v>3813</v>
      </c>
      <c r="E81" s="472" t="s">
        <v>1535</v>
      </c>
      <c r="F81" s="480" t="s">
        <v>3812</v>
      </c>
      <c r="G81" s="472" t="s">
        <v>3807</v>
      </c>
      <c r="H81" s="472" t="s">
        <v>522</v>
      </c>
      <c r="I81" s="324">
        <v>950</v>
      </c>
      <c r="J81" s="324">
        <v>58.8</v>
      </c>
      <c r="K81" s="324">
        <v>0</v>
      </c>
      <c r="L81" s="324">
        <v>891.2</v>
      </c>
      <c r="M81" s="324">
        <v>0</v>
      </c>
      <c r="N81" s="324" t="s">
        <v>35</v>
      </c>
      <c r="O81" s="154" t="s">
        <v>156</v>
      </c>
      <c r="P81" s="154" t="s">
        <v>7</v>
      </c>
      <c r="Q81" s="125" t="s">
        <v>3811</v>
      </c>
      <c r="R81" s="472" t="s">
        <v>36</v>
      </c>
      <c r="S81" s="125" t="s">
        <v>42</v>
      </c>
      <c r="T81" s="125" t="s">
        <v>49</v>
      </c>
      <c r="U81" s="472" t="s">
        <v>38</v>
      </c>
      <c r="V81" s="125">
        <v>285</v>
      </c>
      <c r="W81" s="314">
        <v>274</v>
      </c>
      <c r="X81" s="324">
        <v>11</v>
      </c>
      <c r="Y81" s="125" t="s">
        <v>495</v>
      </c>
      <c r="Z81" s="141" t="s">
        <v>1148</v>
      </c>
      <c r="AA81" s="88"/>
      <c r="AB81" s="88"/>
      <c r="AC81" s="88"/>
      <c r="AD81" s="88"/>
      <c r="AE81" s="88"/>
      <c r="AF81" s="88"/>
      <c r="AG81" s="88"/>
      <c r="AH81"/>
      <c r="AI81"/>
    </row>
    <row r="82" spans="1:35" ht="50.1" customHeight="1">
      <c r="A82" s="125">
        <v>78</v>
      </c>
      <c r="B82" s="125" t="s">
        <v>3566</v>
      </c>
      <c r="C82" s="125" t="s">
        <v>3801</v>
      </c>
      <c r="D82" s="125" t="s">
        <v>3810</v>
      </c>
      <c r="E82" s="472" t="s">
        <v>3809</v>
      </c>
      <c r="F82" s="480" t="s">
        <v>3808</v>
      </c>
      <c r="G82" s="472" t="s">
        <v>3807</v>
      </c>
      <c r="H82" s="472" t="s">
        <v>488</v>
      </c>
      <c r="I82" s="325">
        <v>300</v>
      </c>
      <c r="J82" s="324">
        <v>0</v>
      </c>
      <c r="K82" s="324">
        <v>0</v>
      </c>
      <c r="L82" s="325">
        <v>300</v>
      </c>
      <c r="M82" s="324">
        <v>0</v>
      </c>
      <c r="N82" s="324"/>
      <c r="O82" s="154"/>
      <c r="P82" s="154" t="s">
        <v>5</v>
      </c>
      <c r="Q82" s="472" t="s">
        <v>2753</v>
      </c>
      <c r="R82" s="472" t="s">
        <v>36</v>
      </c>
      <c r="S82" s="472" t="s">
        <v>3806</v>
      </c>
      <c r="T82" s="472" t="s">
        <v>49</v>
      </c>
      <c r="U82" s="472" t="s">
        <v>38</v>
      </c>
      <c r="V82" s="472">
        <f>SUM(W82:X82)</f>
        <v>300</v>
      </c>
      <c r="W82" s="314">
        <v>300</v>
      </c>
      <c r="X82" s="325"/>
      <c r="Y82" s="125" t="s">
        <v>495</v>
      </c>
      <c r="Z82" s="137" t="s">
        <v>1148</v>
      </c>
    </row>
    <row r="83" spans="1:35" ht="50.1" customHeight="1">
      <c r="A83" s="125">
        <v>79</v>
      </c>
      <c r="B83" s="125" t="s">
        <v>3566</v>
      </c>
      <c r="C83" s="125" t="s">
        <v>3801</v>
      </c>
      <c r="D83" s="125" t="s">
        <v>3805</v>
      </c>
      <c r="E83" s="472" t="s">
        <v>1018</v>
      </c>
      <c r="F83" s="480" t="s">
        <v>3804</v>
      </c>
      <c r="G83" s="472" t="s">
        <v>3803</v>
      </c>
      <c r="H83" s="472" t="s">
        <v>811</v>
      </c>
      <c r="I83" s="324">
        <v>150</v>
      </c>
      <c r="J83" s="324">
        <v>0</v>
      </c>
      <c r="K83" s="324">
        <v>0</v>
      </c>
      <c r="L83" s="324">
        <v>150</v>
      </c>
      <c r="M83" s="324">
        <v>0</v>
      </c>
      <c r="N83" s="324"/>
      <c r="O83" s="154"/>
      <c r="P83" s="154" t="s">
        <v>52</v>
      </c>
      <c r="Q83" s="472" t="s">
        <v>3802</v>
      </c>
      <c r="R83" s="472" t="s">
        <v>36</v>
      </c>
      <c r="S83" s="472" t="s">
        <v>42</v>
      </c>
      <c r="T83" s="472" t="s">
        <v>49</v>
      </c>
      <c r="U83" s="472" t="s">
        <v>38</v>
      </c>
      <c r="V83" s="472">
        <v>50</v>
      </c>
      <c r="W83" s="315"/>
      <c r="X83" s="325"/>
      <c r="Y83" s="125" t="s">
        <v>1371</v>
      </c>
      <c r="Z83" s="137" t="s">
        <v>1148</v>
      </c>
    </row>
    <row r="84" spans="1:35" ht="50.1" customHeight="1">
      <c r="A84" s="125">
        <v>80</v>
      </c>
      <c r="B84" s="125" t="s">
        <v>3566</v>
      </c>
      <c r="C84" s="125" t="s">
        <v>3801</v>
      </c>
      <c r="D84" s="472" t="s">
        <v>3800</v>
      </c>
      <c r="E84" s="472" t="s">
        <v>1217</v>
      </c>
      <c r="F84" s="480" t="s">
        <v>3799</v>
      </c>
      <c r="G84" s="472" t="s">
        <v>3798</v>
      </c>
      <c r="H84" s="472" t="s">
        <v>3797</v>
      </c>
      <c r="I84" s="324">
        <v>180</v>
      </c>
      <c r="J84" s="324">
        <v>0</v>
      </c>
      <c r="K84" s="324">
        <v>0</v>
      </c>
      <c r="L84" s="324">
        <v>100</v>
      </c>
      <c r="M84" s="324">
        <v>80</v>
      </c>
      <c r="N84" s="324"/>
      <c r="O84" s="154"/>
      <c r="P84" s="154" t="s">
        <v>41</v>
      </c>
      <c r="Q84" s="472" t="s">
        <v>3796</v>
      </c>
      <c r="R84" s="472" t="s">
        <v>36</v>
      </c>
      <c r="S84" s="472" t="s">
        <v>42</v>
      </c>
      <c r="T84" s="472" t="s">
        <v>49</v>
      </c>
      <c r="U84" s="472" t="s">
        <v>38</v>
      </c>
      <c r="V84" s="472">
        <v>30</v>
      </c>
      <c r="W84" s="314">
        <v>30</v>
      </c>
      <c r="X84" s="324"/>
      <c r="Y84" s="125" t="s">
        <v>507</v>
      </c>
      <c r="Z84" s="137" t="s">
        <v>1148</v>
      </c>
      <c r="AA84" s="88"/>
      <c r="AB84" s="88"/>
      <c r="AC84" s="88"/>
      <c r="AD84" s="88"/>
      <c r="AE84" s="88"/>
      <c r="AF84" s="88"/>
      <c r="AG84" s="88"/>
      <c r="AH84"/>
      <c r="AI84"/>
    </row>
    <row r="85" spans="1:35" ht="50.1" customHeight="1">
      <c r="A85" s="125">
        <v>81</v>
      </c>
      <c r="B85" s="125" t="s">
        <v>3566</v>
      </c>
      <c r="C85" s="125" t="s">
        <v>3786</v>
      </c>
      <c r="D85" s="125" t="s">
        <v>3795</v>
      </c>
      <c r="E85" s="472" t="s">
        <v>1534</v>
      </c>
      <c r="F85" s="480" t="s">
        <v>3794</v>
      </c>
      <c r="G85" s="472" t="s">
        <v>3789</v>
      </c>
      <c r="H85" s="472" t="s">
        <v>304</v>
      </c>
      <c r="I85" s="324">
        <v>720</v>
      </c>
      <c r="J85" s="324">
        <v>0</v>
      </c>
      <c r="K85" s="324">
        <v>20</v>
      </c>
      <c r="L85" s="324">
        <v>700</v>
      </c>
      <c r="M85" s="324">
        <v>0</v>
      </c>
      <c r="N85" s="324"/>
      <c r="O85" s="154"/>
      <c r="P85" s="154" t="s">
        <v>5</v>
      </c>
      <c r="Q85" s="472" t="s">
        <v>3793</v>
      </c>
      <c r="R85" s="472" t="s">
        <v>36</v>
      </c>
      <c r="S85" s="472" t="s">
        <v>42</v>
      </c>
      <c r="T85" s="472" t="s">
        <v>49</v>
      </c>
      <c r="U85" s="472"/>
      <c r="V85" s="472">
        <f t="shared" ref="V85:V90" si="3">SUM(W85:X85)</f>
        <v>168</v>
      </c>
      <c r="W85" s="314">
        <v>167</v>
      </c>
      <c r="X85" s="324">
        <v>1</v>
      </c>
      <c r="Y85" s="125" t="s">
        <v>3792</v>
      </c>
      <c r="Z85" s="137" t="s">
        <v>1148</v>
      </c>
      <c r="AA85" s="88"/>
      <c r="AB85" s="88"/>
      <c r="AC85" s="88"/>
      <c r="AD85" s="88"/>
      <c r="AE85" s="88"/>
      <c r="AF85" s="88"/>
      <c r="AG85" s="88"/>
      <c r="AH85"/>
      <c r="AI85"/>
    </row>
    <row r="86" spans="1:35" ht="50.1" customHeight="1">
      <c r="A86" s="125">
        <v>82</v>
      </c>
      <c r="B86" s="125" t="s">
        <v>3566</v>
      </c>
      <c r="C86" s="125" t="s">
        <v>3786</v>
      </c>
      <c r="D86" s="472" t="s">
        <v>3791</v>
      </c>
      <c r="E86" s="472" t="s">
        <v>1517</v>
      </c>
      <c r="F86" s="480" t="s">
        <v>3790</v>
      </c>
      <c r="G86" s="472" t="s">
        <v>3789</v>
      </c>
      <c r="H86" s="472" t="s">
        <v>367</v>
      </c>
      <c r="I86" s="324">
        <v>500</v>
      </c>
      <c r="J86" s="324">
        <v>0</v>
      </c>
      <c r="K86" s="324">
        <v>0</v>
      </c>
      <c r="L86" s="324">
        <v>500</v>
      </c>
      <c r="M86" s="324">
        <v>0</v>
      </c>
      <c r="N86" s="324"/>
      <c r="O86" s="154"/>
      <c r="P86" s="154" t="s">
        <v>5</v>
      </c>
      <c r="Q86" s="472" t="s">
        <v>3788</v>
      </c>
      <c r="R86" s="472" t="s">
        <v>36</v>
      </c>
      <c r="S86" s="472" t="s">
        <v>42</v>
      </c>
      <c r="T86" s="472" t="s">
        <v>49</v>
      </c>
      <c r="U86" s="472"/>
      <c r="V86" s="472">
        <f t="shared" si="3"/>
        <v>84</v>
      </c>
      <c r="W86" s="324">
        <v>83</v>
      </c>
      <c r="X86" s="324">
        <v>1</v>
      </c>
      <c r="Y86" s="125" t="s">
        <v>3787</v>
      </c>
      <c r="Z86" s="137" t="s">
        <v>1148</v>
      </c>
      <c r="AA86" s="88"/>
      <c r="AB86" s="88"/>
      <c r="AC86" s="88"/>
      <c r="AD86" s="88"/>
      <c r="AE86" s="88"/>
      <c r="AF86" s="88"/>
      <c r="AG86" s="88"/>
      <c r="AH86"/>
      <c r="AI86"/>
    </row>
    <row r="87" spans="1:35" ht="50.1" customHeight="1">
      <c r="A87" s="125">
        <v>83</v>
      </c>
      <c r="B87" s="125" t="s">
        <v>3566</v>
      </c>
      <c r="C87" s="125" t="s">
        <v>3786</v>
      </c>
      <c r="D87" s="472" t="s">
        <v>3785</v>
      </c>
      <c r="E87" s="472" t="s">
        <v>1219</v>
      </c>
      <c r="F87" s="480" t="s">
        <v>3784</v>
      </c>
      <c r="G87" s="472" t="s">
        <v>3783</v>
      </c>
      <c r="H87" s="472" t="s">
        <v>40</v>
      </c>
      <c r="I87" s="324">
        <v>550</v>
      </c>
      <c r="J87" s="324">
        <v>0</v>
      </c>
      <c r="K87" s="324">
        <v>0</v>
      </c>
      <c r="L87" s="324">
        <v>550</v>
      </c>
      <c r="M87" s="324">
        <v>0</v>
      </c>
      <c r="N87" s="324"/>
      <c r="O87" s="154"/>
      <c r="P87" s="154" t="s">
        <v>31</v>
      </c>
      <c r="Q87" s="472" t="s">
        <v>3782</v>
      </c>
      <c r="R87" s="472" t="s">
        <v>36</v>
      </c>
      <c r="S87" s="472" t="s">
        <v>55</v>
      </c>
      <c r="T87" s="472" t="s">
        <v>49</v>
      </c>
      <c r="U87" s="472"/>
      <c r="V87" s="472">
        <f t="shared" si="3"/>
        <v>167</v>
      </c>
      <c r="W87" s="324">
        <v>167</v>
      </c>
      <c r="X87" s="324"/>
      <c r="Y87" s="125" t="s">
        <v>3781</v>
      </c>
      <c r="Z87" s="137" t="s">
        <v>1148</v>
      </c>
      <c r="AA87" s="88"/>
      <c r="AB87" s="88"/>
      <c r="AC87" s="88"/>
      <c r="AD87" s="88"/>
      <c r="AE87" s="88"/>
      <c r="AF87" s="88"/>
      <c r="AG87" s="88"/>
      <c r="AH87"/>
      <c r="AI87"/>
    </row>
    <row r="88" spans="1:35" ht="50.1" customHeight="1">
      <c r="A88" s="125">
        <v>84</v>
      </c>
      <c r="B88" s="125" t="s">
        <v>3566</v>
      </c>
      <c r="C88" s="125" t="s">
        <v>3766</v>
      </c>
      <c r="D88" s="472" t="s">
        <v>3780</v>
      </c>
      <c r="E88" s="472" t="s">
        <v>3779</v>
      </c>
      <c r="F88" s="480" t="s">
        <v>3778</v>
      </c>
      <c r="G88" s="472" t="s">
        <v>3777</v>
      </c>
      <c r="H88" s="472" t="s">
        <v>321</v>
      </c>
      <c r="I88" s="324">
        <f>SUM(J88:M88)</f>
        <v>1000</v>
      </c>
      <c r="J88" s="324">
        <v>0</v>
      </c>
      <c r="K88" s="324">
        <v>0</v>
      </c>
      <c r="L88" s="324">
        <v>1000</v>
      </c>
      <c r="M88" s="324">
        <v>0</v>
      </c>
      <c r="N88" s="324"/>
      <c r="O88" s="154"/>
      <c r="P88" s="154" t="s">
        <v>5</v>
      </c>
      <c r="Q88" s="472" t="s">
        <v>3776</v>
      </c>
      <c r="R88" s="472" t="s">
        <v>36</v>
      </c>
      <c r="S88" s="472" t="s">
        <v>42</v>
      </c>
      <c r="T88" s="472" t="s">
        <v>1292</v>
      </c>
      <c r="U88" s="472" t="s">
        <v>38</v>
      </c>
      <c r="V88" s="472">
        <f t="shared" si="3"/>
        <v>310</v>
      </c>
      <c r="W88" s="324">
        <v>310</v>
      </c>
      <c r="X88" s="324"/>
      <c r="Y88" s="125" t="s">
        <v>3771</v>
      </c>
      <c r="Z88" s="141" t="s">
        <v>1148</v>
      </c>
      <c r="AA88" s="88"/>
      <c r="AB88" s="88"/>
      <c r="AC88" s="88"/>
      <c r="AD88" s="88"/>
      <c r="AE88" s="88"/>
      <c r="AF88" s="88"/>
      <c r="AG88" s="88"/>
      <c r="AH88"/>
      <c r="AI88"/>
    </row>
    <row r="89" spans="1:35" ht="50.1" customHeight="1">
      <c r="A89" s="125">
        <v>85</v>
      </c>
      <c r="B89" s="126" t="s">
        <v>3566</v>
      </c>
      <c r="C89" s="125" t="s">
        <v>3766</v>
      </c>
      <c r="D89" s="473" t="s">
        <v>3775</v>
      </c>
      <c r="E89" s="472" t="s">
        <v>3774</v>
      </c>
      <c r="F89" s="480" t="s">
        <v>3773</v>
      </c>
      <c r="G89" s="472" t="s">
        <v>3772</v>
      </c>
      <c r="H89" s="472" t="s">
        <v>174</v>
      </c>
      <c r="I89" s="324">
        <f>SUM(J89:M89)</f>
        <v>800</v>
      </c>
      <c r="J89" s="324">
        <v>0</v>
      </c>
      <c r="K89" s="324">
        <v>0</v>
      </c>
      <c r="L89" s="324">
        <v>800</v>
      </c>
      <c r="M89" s="324">
        <v>0</v>
      </c>
      <c r="N89" s="324"/>
      <c r="O89" s="154"/>
      <c r="P89" s="154" t="s">
        <v>48</v>
      </c>
      <c r="Q89" s="472" t="s">
        <v>2753</v>
      </c>
      <c r="R89" s="472" t="s">
        <v>36</v>
      </c>
      <c r="S89" s="472" t="s">
        <v>42</v>
      </c>
      <c r="T89" s="472" t="s">
        <v>1292</v>
      </c>
      <c r="U89" s="472" t="s">
        <v>38</v>
      </c>
      <c r="V89" s="472">
        <f t="shared" si="3"/>
        <v>270</v>
      </c>
      <c r="W89" s="324">
        <v>270</v>
      </c>
      <c r="X89" s="324"/>
      <c r="Y89" s="125" t="s">
        <v>3771</v>
      </c>
      <c r="Z89" s="137" t="s">
        <v>1148</v>
      </c>
    </row>
    <row r="90" spans="1:35" ht="50.1" customHeight="1">
      <c r="A90" s="125">
        <v>86</v>
      </c>
      <c r="B90" s="125" t="s">
        <v>3566</v>
      </c>
      <c r="C90" s="125" t="s">
        <v>3766</v>
      </c>
      <c r="D90" s="472" t="s">
        <v>3770</v>
      </c>
      <c r="E90" s="472" t="s">
        <v>1533</v>
      </c>
      <c r="F90" s="480" t="s">
        <v>1532</v>
      </c>
      <c r="G90" s="472" t="s">
        <v>3769</v>
      </c>
      <c r="H90" s="472" t="s">
        <v>587</v>
      </c>
      <c r="I90" s="324">
        <f>SUM(J90:M90)</f>
        <v>60</v>
      </c>
      <c r="J90" s="324">
        <v>0</v>
      </c>
      <c r="K90" s="324">
        <v>0</v>
      </c>
      <c r="L90" s="324">
        <v>60</v>
      </c>
      <c r="M90" s="324">
        <v>0</v>
      </c>
      <c r="N90" s="324"/>
      <c r="O90" s="154"/>
      <c r="P90" s="154" t="s">
        <v>48</v>
      </c>
      <c r="Q90" s="472" t="s">
        <v>3768</v>
      </c>
      <c r="R90" s="472" t="s">
        <v>36</v>
      </c>
      <c r="S90" s="472" t="s">
        <v>42</v>
      </c>
      <c r="T90" s="472" t="s">
        <v>1292</v>
      </c>
      <c r="U90" s="472" t="s">
        <v>38</v>
      </c>
      <c r="V90" s="472">
        <f t="shared" si="3"/>
        <v>5</v>
      </c>
      <c r="W90" s="324">
        <v>5</v>
      </c>
      <c r="X90" s="324"/>
      <c r="Y90" s="125" t="s">
        <v>3767</v>
      </c>
      <c r="Z90" s="137" t="s">
        <v>1148</v>
      </c>
      <c r="AA90" s="88"/>
      <c r="AB90" s="88"/>
      <c r="AC90" s="88"/>
      <c r="AD90" s="88"/>
      <c r="AE90" s="88"/>
      <c r="AF90" s="88"/>
      <c r="AG90" s="88"/>
      <c r="AH90"/>
      <c r="AI90"/>
    </row>
    <row r="91" spans="1:35" ht="50.1" customHeight="1">
      <c r="A91" s="125">
        <v>87</v>
      </c>
      <c r="B91" s="125" t="s">
        <v>3566</v>
      </c>
      <c r="C91" s="125" t="s">
        <v>3766</v>
      </c>
      <c r="D91" s="472" t="s">
        <v>3765</v>
      </c>
      <c r="E91" s="472" t="s">
        <v>3764</v>
      </c>
      <c r="F91" s="480" t="s">
        <v>3763</v>
      </c>
      <c r="G91" s="472" t="s">
        <v>3762</v>
      </c>
      <c r="H91" s="472" t="s">
        <v>131</v>
      </c>
      <c r="I91" s="314">
        <v>50</v>
      </c>
      <c r="J91" s="314">
        <v>0</v>
      </c>
      <c r="K91" s="314">
        <v>0</v>
      </c>
      <c r="L91" s="314">
        <v>50</v>
      </c>
      <c r="M91" s="314">
        <v>0</v>
      </c>
      <c r="N91" s="314"/>
      <c r="O91" s="472"/>
      <c r="P91" s="472" t="s">
        <v>41</v>
      </c>
      <c r="Q91" s="472" t="s">
        <v>3761</v>
      </c>
      <c r="R91" s="472" t="s">
        <v>36</v>
      </c>
      <c r="S91" s="472" t="s">
        <v>42</v>
      </c>
      <c r="T91" s="472" t="s">
        <v>1292</v>
      </c>
      <c r="U91" s="472" t="s">
        <v>38</v>
      </c>
      <c r="V91" s="472">
        <v>50</v>
      </c>
      <c r="W91" s="314">
        <v>50</v>
      </c>
      <c r="X91" s="314"/>
      <c r="Y91" s="472" t="s">
        <v>3760</v>
      </c>
      <c r="Z91" s="137"/>
      <c r="AA91" s="88"/>
      <c r="AB91" s="88"/>
      <c r="AC91" s="88"/>
      <c r="AD91" s="88"/>
      <c r="AE91" s="88"/>
      <c r="AF91" s="88"/>
      <c r="AG91" s="88"/>
      <c r="AH91"/>
      <c r="AI91"/>
    </row>
    <row r="92" spans="1:35" ht="50.1" customHeight="1">
      <c r="A92" s="125">
        <v>88</v>
      </c>
      <c r="B92" s="125" t="s">
        <v>3566</v>
      </c>
      <c r="C92" s="125" t="s">
        <v>3731</v>
      </c>
      <c r="D92" s="472" t="s">
        <v>3759</v>
      </c>
      <c r="E92" s="472" t="s">
        <v>1531</v>
      </c>
      <c r="F92" s="480" t="s">
        <v>3758</v>
      </c>
      <c r="G92" s="472" t="s">
        <v>3757</v>
      </c>
      <c r="H92" s="472" t="s">
        <v>3756</v>
      </c>
      <c r="I92" s="326">
        <v>153</v>
      </c>
      <c r="J92" s="326">
        <v>0</v>
      </c>
      <c r="K92" s="326">
        <v>0</v>
      </c>
      <c r="L92" s="326">
        <v>63</v>
      </c>
      <c r="M92" s="326">
        <v>90</v>
      </c>
      <c r="N92" s="314"/>
      <c r="O92" s="472"/>
      <c r="P92" s="472" t="s">
        <v>6</v>
      </c>
      <c r="Q92" s="472" t="s">
        <v>1530</v>
      </c>
      <c r="R92" s="472" t="s">
        <v>36</v>
      </c>
      <c r="S92" s="472" t="s">
        <v>42</v>
      </c>
      <c r="T92" s="472"/>
      <c r="U92" s="472" t="s">
        <v>38</v>
      </c>
      <c r="V92" s="472">
        <f t="shared" ref="V92:V97" si="4">SUM(W92:X92)</f>
        <v>80</v>
      </c>
      <c r="W92" s="314">
        <v>80</v>
      </c>
      <c r="X92" s="314"/>
      <c r="Y92" s="472" t="s">
        <v>3755</v>
      </c>
      <c r="Z92" s="137" t="s">
        <v>1148</v>
      </c>
      <c r="AA92" s="88"/>
      <c r="AB92" s="88"/>
      <c r="AC92" s="88"/>
      <c r="AD92" s="88"/>
      <c r="AE92" s="88"/>
      <c r="AF92" s="88"/>
      <c r="AG92" s="88"/>
      <c r="AH92"/>
      <c r="AI92"/>
    </row>
    <row r="93" spans="1:35" ht="50.1" customHeight="1">
      <c r="A93" s="125">
        <v>89</v>
      </c>
      <c r="B93" s="125" t="s">
        <v>3566</v>
      </c>
      <c r="C93" s="125" t="s">
        <v>3731</v>
      </c>
      <c r="D93" s="472" t="s">
        <v>3754</v>
      </c>
      <c r="E93" s="472" t="s">
        <v>1529</v>
      </c>
      <c r="F93" s="480" t="s">
        <v>3753</v>
      </c>
      <c r="G93" s="472" t="s">
        <v>3752</v>
      </c>
      <c r="H93" s="472" t="s">
        <v>485</v>
      </c>
      <c r="I93" s="314">
        <v>70</v>
      </c>
      <c r="J93" s="314">
        <v>0</v>
      </c>
      <c r="K93" s="314">
        <v>0</v>
      </c>
      <c r="L93" s="314">
        <v>50</v>
      </c>
      <c r="M93" s="314">
        <v>20</v>
      </c>
      <c r="N93" s="314"/>
      <c r="O93" s="472"/>
      <c r="P93" s="472" t="s">
        <v>5</v>
      </c>
      <c r="Q93" s="472" t="s">
        <v>3419</v>
      </c>
      <c r="R93" s="472" t="s">
        <v>36</v>
      </c>
      <c r="S93" s="472" t="s">
        <v>42</v>
      </c>
      <c r="T93" s="472"/>
      <c r="U93" s="472" t="s">
        <v>38</v>
      </c>
      <c r="V93" s="472">
        <f t="shared" si="4"/>
        <v>28</v>
      </c>
      <c r="W93" s="314">
        <v>28</v>
      </c>
      <c r="X93" s="314"/>
      <c r="Y93" s="472" t="s">
        <v>3751</v>
      </c>
      <c r="Z93" s="137" t="s">
        <v>1148</v>
      </c>
      <c r="AA93" s="88"/>
      <c r="AB93" s="88"/>
      <c r="AC93" s="88"/>
      <c r="AD93" s="88"/>
      <c r="AE93" s="88"/>
      <c r="AF93" s="88"/>
      <c r="AG93" s="88"/>
      <c r="AH93"/>
      <c r="AI93"/>
    </row>
    <row r="94" spans="1:35" ht="50.1" customHeight="1">
      <c r="A94" s="125">
        <v>90</v>
      </c>
      <c r="B94" s="125" t="s">
        <v>3566</v>
      </c>
      <c r="C94" s="125" t="s">
        <v>3731</v>
      </c>
      <c r="D94" s="472" t="s">
        <v>3750</v>
      </c>
      <c r="E94" s="472" t="s">
        <v>3749</v>
      </c>
      <c r="F94" s="480" t="s">
        <v>3748</v>
      </c>
      <c r="G94" s="472" t="s">
        <v>3747</v>
      </c>
      <c r="H94" s="472" t="s">
        <v>3746</v>
      </c>
      <c r="I94" s="326">
        <v>390</v>
      </c>
      <c r="J94" s="326">
        <v>0</v>
      </c>
      <c r="K94" s="326">
        <v>0</v>
      </c>
      <c r="L94" s="326">
        <v>250</v>
      </c>
      <c r="M94" s="326">
        <v>160</v>
      </c>
      <c r="N94" s="314"/>
      <c r="O94" s="472"/>
      <c r="P94" s="472" t="s">
        <v>7</v>
      </c>
      <c r="Q94" s="472" t="s">
        <v>3745</v>
      </c>
      <c r="R94" s="472" t="s">
        <v>36</v>
      </c>
      <c r="S94" s="472" t="s">
        <v>246</v>
      </c>
      <c r="T94" s="472" t="s">
        <v>107</v>
      </c>
      <c r="U94" s="472" t="s">
        <v>38</v>
      </c>
      <c r="V94" s="472">
        <f t="shared" si="4"/>
        <v>105</v>
      </c>
      <c r="W94" s="314">
        <v>105</v>
      </c>
      <c r="X94" s="314"/>
      <c r="Y94" s="472" t="s">
        <v>3744</v>
      </c>
      <c r="Z94" s="137" t="s">
        <v>1148</v>
      </c>
      <c r="AA94" s="88"/>
      <c r="AB94" s="88"/>
      <c r="AC94" s="88"/>
      <c r="AD94" s="88"/>
      <c r="AE94" s="88"/>
      <c r="AF94" s="88"/>
      <c r="AG94" s="88"/>
      <c r="AH94"/>
      <c r="AI94"/>
    </row>
    <row r="95" spans="1:35" ht="50.1" customHeight="1">
      <c r="A95" s="125">
        <v>91</v>
      </c>
      <c r="B95" s="125" t="s">
        <v>3566</v>
      </c>
      <c r="C95" s="125" t="s">
        <v>3731</v>
      </c>
      <c r="D95" s="125" t="s">
        <v>3743</v>
      </c>
      <c r="E95" s="472" t="s">
        <v>3742</v>
      </c>
      <c r="F95" s="480" t="s">
        <v>3741</v>
      </c>
      <c r="G95" s="472" t="s">
        <v>3740</v>
      </c>
      <c r="H95" s="472" t="s">
        <v>1315</v>
      </c>
      <c r="I95" s="324">
        <v>84</v>
      </c>
      <c r="J95" s="324">
        <v>0</v>
      </c>
      <c r="K95" s="324">
        <v>0</v>
      </c>
      <c r="L95" s="324">
        <v>64</v>
      </c>
      <c r="M95" s="324">
        <v>20</v>
      </c>
      <c r="N95" s="324"/>
      <c r="O95" s="154"/>
      <c r="P95" s="154" t="s">
        <v>5</v>
      </c>
      <c r="Q95" s="125" t="s">
        <v>3739</v>
      </c>
      <c r="R95" s="125" t="s">
        <v>36</v>
      </c>
      <c r="S95" s="125" t="s">
        <v>42</v>
      </c>
      <c r="T95" s="125"/>
      <c r="U95" s="125" t="s">
        <v>38</v>
      </c>
      <c r="V95" s="125">
        <f t="shared" si="4"/>
        <v>25</v>
      </c>
      <c r="W95" s="314">
        <v>25</v>
      </c>
      <c r="X95" s="324"/>
      <c r="Y95" s="472" t="s">
        <v>3738</v>
      </c>
      <c r="Z95" s="141" t="s">
        <v>1148</v>
      </c>
      <c r="AA95" s="88"/>
      <c r="AB95" s="88"/>
      <c r="AC95" s="88"/>
      <c r="AD95" s="88"/>
      <c r="AE95" s="88"/>
      <c r="AF95" s="88"/>
      <c r="AG95" s="88"/>
      <c r="AH95"/>
      <c r="AI95"/>
    </row>
    <row r="96" spans="1:35" ht="50.1" customHeight="1">
      <c r="A96" s="125">
        <v>92</v>
      </c>
      <c r="B96" s="125" t="s">
        <v>972</v>
      </c>
      <c r="C96" s="125" t="s">
        <v>3731</v>
      </c>
      <c r="D96" s="125" t="s">
        <v>3737</v>
      </c>
      <c r="E96" s="472" t="s">
        <v>3736</v>
      </c>
      <c r="F96" s="480" t="s">
        <v>3735</v>
      </c>
      <c r="G96" s="472" t="s">
        <v>3734</v>
      </c>
      <c r="H96" s="472" t="s">
        <v>210</v>
      </c>
      <c r="I96" s="324">
        <v>450</v>
      </c>
      <c r="J96" s="324">
        <v>0</v>
      </c>
      <c r="K96" s="324">
        <v>20</v>
      </c>
      <c r="L96" s="324">
        <v>358</v>
      </c>
      <c r="M96" s="324">
        <v>72</v>
      </c>
      <c r="N96" s="324"/>
      <c r="O96" s="154"/>
      <c r="P96" s="154" t="s">
        <v>5</v>
      </c>
      <c r="Q96" s="125" t="s">
        <v>3733</v>
      </c>
      <c r="R96" s="125" t="s">
        <v>36</v>
      </c>
      <c r="S96" s="125" t="s">
        <v>42</v>
      </c>
      <c r="T96" s="125"/>
      <c r="U96" s="125" t="s">
        <v>38</v>
      </c>
      <c r="V96" s="125">
        <f t="shared" si="4"/>
        <v>234</v>
      </c>
      <c r="W96" s="314">
        <v>234</v>
      </c>
      <c r="X96" s="324"/>
      <c r="Y96" s="472" t="s">
        <v>3732</v>
      </c>
      <c r="Z96" s="141" t="s">
        <v>1148</v>
      </c>
      <c r="AA96" s="88"/>
      <c r="AB96" s="88"/>
      <c r="AC96" s="88"/>
      <c r="AD96" s="88"/>
      <c r="AE96" s="88"/>
      <c r="AF96" s="88"/>
      <c r="AG96" s="88"/>
      <c r="AH96"/>
      <c r="AI96"/>
    </row>
    <row r="97" spans="1:35" ht="50.1" customHeight="1">
      <c r="A97" s="125">
        <v>93</v>
      </c>
      <c r="B97" s="125" t="s">
        <v>3566</v>
      </c>
      <c r="C97" s="125" t="s">
        <v>3731</v>
      </c>
      <c r="D97" s="472" t="s">
        <v>3730</v>
      </c>
      <c r="E97" s="472" t="s">
        <v>3729</v>
      </c>
      <c r="F97" s="480" t="s">
        <v>3728</v>
      </c>
      <c r="G97" s="472" t="s">
        <v>3727</v>
      </c>
      <c r="H97" s="472" t="s">
        <v>1361</v>
      </c>
      <c r="I97" s="324">
        <v>104</v>
      </c>
      <c r="J97" s="324">
        <v>0</v>
      </c>
      <c r="K97" s="324">
        <v>0</v>
      </c>
      <c r="L97" s="324">
        <v>54</v>
      </c>
      <c r="M97" s="324">
        <v>50</v>
      </c>
      <c r="N97" s="324"/>
      <c r="O97" s="154"/>
      <c r="P97" s="154" t="s">
        <v>5</v>
      </c>
      <c r="Q97" s="125" t="s">
        <v>3726</v>
      </c>
      <c r="R97" s="125" t="s">
        <v>36</v>
      </c>
      <c r="S97" s="125" t="s">
        <v>42</v>
      </c>
      <c r="T97" s="125"/>
      <c r="U97" s="125" t="s">
        <v>38</v>
      </c>
      <c r="V97" s="125">
        <f t="shared" si="4"/>
        <v>0</v>
      </c>
      <c r="W97" s="314" t="s">
        <v>3725</v>
      </c>
      <c r="X97" s="324"/>
      <c r="Y97" s="472" t="s">
        <v>3724</v>
      </c>
      <c r="Z97" s="137" t="s">
        <v>1148</v>
      </c>
    </row>
    <row r="98" spans="1:35" ht="50.1" customHeight="1">
      <c r="A98" s="125">
        <v>94</v>
      </c>
      <c r="B98" s="125" t="s">
        <v>972</v>
      </c>
      <c r="C98" s="125" t="s">
        <v>3702</v>
      </c>
      <c r="D98" s="125" t="s">
        <v>3723</v>
      </c>
      <c r="E98" s="472" t="s">
        <v>3722</v>
      </c>
      <c r="F98" s="480" t="s">
        <v>3721</v>
      </c>
      <c r="G98" s="472" t="s">
        <v>1528</v>
      </c>
      <c r="H98" s="472" t="s">
        <v>3698</v>
      </c>
      <c r="I98" s="324">
        <v>310</v>
      </c>
      <c r="J98" s="324">
        <v>0</v>
      </c>
      <c r="K98" s="324">
        <v>20</v>
      </c>
      <c r="L98" s="324">
        <v>290</v>
      </c>
      <c r="M98" s="324">
        <v>0</v>
      </c>
      <c r="N98" s="324"/>
      <c r="O98" s="154"/>
      <c r="P98" s="154" t="s">
        <v>48</v>
      </c>
      <c r="Q98" s="125" t="s">
        <v>3720</v>
      </c>
      <c r="R98" s="125" t="s">
        <v>36</v>
      </c>
      <c r="S98" s="125" t="s">
        <v>42</v>
      </c>
      <c r="T98" s="125" t="s">
        <v>1292</v>
      </c>
      <c r="U98" s="125" t="s">
        <v>38</v>
      </c>
      <c r="V98" s="125">
        <v>1000</v>
      </c>
      <c r="W98" s="314">
        <v>1000</v>
      </c>
      <c r="X98" s="324"/>
      <c r="Y98" s="125" t="s">
        <v>3719</v>
      </c>
      <c r="Z98" s="141" t="s">
        <v>1148</v>
      </c>
    </row>
    <row r="99" spans="1:35" ht="50.1" customHeight="1">
      <c r="A99" s="125">
        <v>95</v>
      </c>
      <c r="B99" s="125" t="s">
        <v>972</v>
      </c>
      <c r="C99" s="125" t="s">
        <v>3702</v>
      </c>
      <c r="D99" s="472" t="s">
        <v>3718</v>
      </c>
      <c r="E99" s="472" t="s">
        <v>1215</v>
      </c>
      <c r="F99" s="229" t="s">
        <v>3717</v>
      </c>
      <c r="G99" s="472" t="s">
        <v>3712</v>
      </c>
      <c r="H99" s="472" t="s">
        <v>285</v>
      </c>
      <c r="I99" s="324">
        <v>295</v>
      </c>
      <c r="J99" s="324">
        <v>0</v>
      </c>
      <c r="K99" s="324">
        <v>0</v>
      </c>
      <c r="L99" s="324">
        <v>295</v>
      </c>
      <c r="M99" s="324">
        <v>0</v>
      </c>
      <c r="N99" s="324"/>
      <c r="O99" s="154"/>
      <c r="P99" s="154" t="s">
        <v>48</v>
      </c>
      <c r="Q99" s="125" t="s">
        <v>3716</v>
      </c>
      <c r="R99" s="125" t="s">
        <v>36</v>
      </c>
      <c r="S99" s="125" t="s">
        <v>42</v>
      </c>
      <c r="T99" s="125" t="s">
        <v>1292</v>
      </c>
      <c r="U99" s="125" t="s">
        <v>38</v>
      </c>
      <c r="V99" s="125">
        <v>170</v>
      </c>
      <c r="W99" s="314">
        <v>170</v>
      </c>
      <c r="X99" s="324"/>
      <c r="Y99" s="472" t="s">
        <v>3715</v>
      </c>
      <c r="Z99" s="141" t="s">
        <v>1148</v>
      </c>
      <c r="AA99" s="88"/>
      <c r="AB99" s="88"/>
      <c r="AC99" s="88"/>
      <c r="AD99" s="88"/>
      <c r="AE99" s="88"/>
      <c r="AF99" s="88"/>
      <c r="AG99" s="88"/>
      <c r="AH99"/>
      <c r="AI99"/>
    </row>
    <row r="100" spans="1:35" ht="50.1" customHeight="1">
      <c r="A100" s="125">
        <v>96</v>
      </c>
      <c r="B100" s="125" t="s">
        <v>3566</v>
      </c>
      <c r="C100" s="125" t="s">
        <v>3702</v>
      </c>
      <c r="D100" s="125" t="s">
        <v>3714</v>
      </c>
      <c r="E100" s="472" t="s">
        <v>2922</v>
      </c>
      <c r="F100" s="229" t="s">
        <v>3713</v>
      </c>
      <c r="G100" s="472" t="s">
        <v>3712</v>
      </c>
      <c r="H100" s="472" t="s">
        <v>1508</v>
      </c>
      <c r="I100" s="324">
        <v>120</v>
      </c>
      <c r="J100" s="324">
        <v>0</v>
      </c>
      <c r="K100" s="324">
        <v>0</v>
      </c>
      <c r="L100" s="324">
        <v>120</v>
      </c>
      <c r="M100" s="324">
        <v>0</v>
      </c>
      <c r="N100" s="324"/>
      <c r="O100" s="154"/>
      <c r="P100" s="154" t="s">
        <v>5</v>
      </c>
      <c r="Q100" s="125" t="s">
        <v>3711</v>
      </c>
      <c r="R100" s="125" t="s">
        <v>36</v>
      </c>
      <c r="S100" s="125" t="s">
        <v>42</v>
      </c>
      <c r="T100" s="125" t="s">
        <v>1292</v>
      </c>
      <c r="U100" s="125" t="s">
        <v>38</v>
      </c>
      <c r="V100" s="125" t="s">
        <v>3704</v>
      </c>
      <c r="W100" s="314"/>
      <c r="X100" s="324"/>
      <c r="Y100" s="125" t="s">
        <v>3710</v>
      </c>
      <c r="Z100" s="141" t="s">
        <v>1148</v>
      </c>
    </row>
    <row r="101" spans="1:35" ht="50.1" customHeight="1">
      <c r="A101" s="125">
        <v>97</v>
      </c>
      <c r="B101" s="125" t="s">
        <v>3566</v>
      </c>
      <c r="C101" s="125" t="s">
        <v>3702</v>
      </c>
      <c r="D101" s="472" t="s">
        <v>3709</v>
      </c>
      <c r="E101" s="472" t="s">
        <v>3708</v>
      </c>
      <c r="F101" s="480" t="s">
        <v>3707</v>
      </c>
      <c r="G101" s="472" t="s">
        <v>3706</v>
      </c>
      <c r="H101" s="472" t="s">
        <v>608</v>
      </c>
      <c r="I101" s="314">
        <v>20</v>
      </c>
      <c r="J101" s="314">
        <v>0</v>
      </c>
      <c r="K101" s="314">
        <v>0</v>
      </c>
      <c r="L101" s="314">
        <v>20</v>
      </c>
      <c r="M101" s="314">
        <v>0</v>
      </c>
      <c r="N101" s="314"/>
      <c r="O101" s="472"/>
      <c r="P101" s="472" t="s">
        <v>6</v>
      </c>
      <c r="Q101" s="472" t="s">
        <v>3705</v>
      </c>
      <c r="R101" s="472" t="s">
        <v>36</v>
      </c>
      <c r="S101" s="472" t="s">
        <v>42</v>
      </c>
      <c r="T101" s="472" t="s">
        <v>1292</v>
      </c>
      <c r="U101" s="472" t="s">
        <v>38</v>
      </c>
      <c r="V101" s="472" t="s">
        <v>3704</v>
      </c>
      <c r="W101" s="314"/>
      <c r="X101" s="314"/>
      <c r="Y101" s="472" t="s">
        <v>3703</v>
      </c>
      <c r="Z101" s="137" t="s">
        <v>1148</v>
      </c>
      <c r="AA101" s="88"/>
      <c r="AB101" s="88"/>
      <c r="AC101" s="88"/>
      <c r="AD101" s="88"/>
      <c r="AE101" s="88"/>
      <c r="AF101" s="88"/>
      <c r="AG101" s="88"/>
      <c r="AH101"/>
      <c r="AI101"/>
    </row>
    <row r="102" spans="1:35" ht="50.1" customHeight="1">
      <c r="A102" s="125">
        <v>98</v>
      </c>
      <c r="B102" s="125" t="s">
        <v>3566</v>
      </c>
      <c r="C102" s="125" t="s">
        <v>3702</v>
      </c>
      <c r="D102" s="472" t="s">
        <v>3701</v>
      </c>
      <c r="E102" s="103" t="s">
        <v>942</v>
      </c>
      <c r="F102" s="480" t="s">
        <v>3700</v>
      </c>
      <c r="G102" s="472" t="s">
        <v>3699</v>
      </c>
      <c r="H102" s="472" t="s">
        <v>3698</v>
      </c>
      <c r="I102" s="314">
        <v>60</v>
      </c>
      <c r="J102" s="314">
        <v>0</v>
      </c>
      <c r="K102" s="314">
        <v>0</v>
      </c>
      <c r="L102" s="314">
        <v>60</v>
      </c>
      <c r="M102" s="314">
        <v>0</v>
      </c>
      <c r="N102" s="314"/>
      <c r="O102" s="472"/>
      <c r="P102" s="472" t="s">
        <v>5</v>
      </c>
      <c r="Q102" s="472" t="s">
        <v>286</v>
      </c>
      <c r="R102" s="472" t="s">
        <v>36</v>
      </c>
      <c r="S102" s="472" t="s">
        <v>186</v>
      </c>
      <c r="T102" s="472" t="s">
        <v>1292</v>
      </c>
      <c r="U102" s="472" t="s">
        <v>38</v>
      </c>
      <c r="V102" s="472">
        <v>9</v>
      </c>
      <c r="W102" s="314"/>
      <c r="X102" s="314"/>
      <c r="Y102" s="472" t="s">
        <v>3697</v>
      </c>
      <c r="Z102" s="137" t="s">
        <v>1148</v>
      </c>
      <c r="AA102" s="88"/>
      <c r="AB102" s="88"/>
      <c r="AC102" s="88"/>
      <c r="AD102" s="88"/>
      <c r="AE102" s="88"/>
      <c r="AF102" s="88"/>
      <c r="AG102" s="88"/>
      <c r="AH102"/>
      <c r="AI102"/>
    </row>
    <row r="103" spans="1:35" ht="50.1" customHeight="1">
      <c r="A103" s="125">
        <v>99</v>
      </c>
      <c r="B103" s="125" t="s">
        <v>3566</v>
      </c>
      <c r="C103" s="125" t="s">
        <v>3677</v>
      </c>
      <c r="D103" s="472" t="s">
        <v>3696</v>
      </c>
      <c r="E103" s="103" t="s">
        <v>1296</v>
      </c>
      <c r="F103" s="480" t="s">
        <v>3695</v>
      </c>
      <c r="G103" s="472" t="s">
        <v>3694</v>
      </c>
      <c r="H103" s="472" t="s">
        <v>3693</v>
      </c>
      <c r="I103" s="314">
        <f>SUM(J103:M103)</f>
        <v>785</v>
      </c>
      <c r="J103" s="314">
        <v>0</v>
      </c>
      <c r="K103" s="314">
        <v>0</v>
      </c>
      <c r="L103" s="314">
        <v>785</v>
      </c>
      <c r="M103" s="314">
        <v>0</v>
      </c>
      <c r="N103" s="314"/>
      <c r="O103" s="472"/>
      <c r="P103" s="472" t="s">
        <v>98</v>
      </c>
      <c r="Q103" s="472" t="s">
        <v>3692</v>
      </c>
      <c r="R103" s="472" t="s">
        <v>36</v>
      </c>
      <c r="S103" s="472" t="s">
        <v>1277</v>
      </c>
      <c r="T103" s="472" t="s">
        <v>49</v>
      </c>
      <c r="U103" s="472" t="s">
        <v>3672</v>
      </c>
      <c r="V103" s="472">
        <f t="shared" ref="V103:V109" si="5">SUM(W103:X103)</f>
        <v>156</v>
      </c>
      <c r="W103" s="314">
        <v>156</v>
      </c>
      <c r="X103" s="314"/>
      <c r="Y103" s="472" t="s">
        <v>3691</v>
      </c>
      <c r="Z103" s="137" t="s">
        <v>1148</v>
      </c>
      <c r="AA103" s="88"/>
      <c r="AB103" s="88"/>
      <c r="AC103" s="88"/>
      <c r="AD103" s="88"/>
      <c r="AE103" s="88"/>
      <c r="AF103" s="88"/>
      <c r="AG103" s="88"/>
      <c r="AH103"/>
      <c r="AI103"/>
    </row>
    <row r="104" spans="1:35" ht="50.1" customHeight="1">
      <c r="A104" s="125">
        <v>100</v>
      </c>
      <c r="B104" s="125" t="s">
        <v>3566</v>
      </c>
      <c r="C104" s="125" t="s">
        <v>3677</v>
      </c>
      <c r="D104" s="472" t="s">
        <v>3690</v>
      </c>
      <c r="E104" s="472" t="s">
        <v>3689</v>
      </c>
      <c r="F104" s="480" t="s">
        <v>3688</v>
      </c>
      <c r="G104" s="472" t="s">
        <v>3687</v>
      </c>
      <c r="H104" s="472" t="s">
        <v>488</v>
      </c>
      <c r="I104" s="314">
        <f>SUM(J104:M104)</f>
        <v>250</v>
      </c>
      <c r="J104" s="314">
        <v>0</v>
      </c>
      <c r="K104" s="314">
        <v>0</v>
      </c>
      <c r="L104" s="314">
        <v>250</v>
      </c>
      <c r="M104" s="314">
        <v>0</v>
      </c>
      <c r="N104" s="314"/>
      <c r="O104" s="472"/>
      <c r="P104" s="472" t="s">
        <v>5</v>
      </c>
      <c r="Q104" s="472" t="s">
        <v>3686</v>
      </c>
      <c r="R104" s="472" t="s">
        <v>36</v>
      </c>
      <c r="S104" s="472" t="s">
        <v>1277</v>
      </c>
      <c r="T104" s="472" t="s">
        <v>49</v>
      </c>
      <c r="U104" s="472" t="s">
        <v>3672</v>
      </c>
      <c r="V104" s="472">
        <f t="shared" si="5"/>
        <v>85</v>
      </c>
      <c r="W104" s="314">
        <v>85</v>
      </c>
      <c r="X104" s="314"/>
      <c r="Y104" s="472" t="s">
        <v>3685</v>
      </c>
      <c r="Z104" s="137" t="s">
        <v>1148</v>
      </c>
      <c r="AA104" s="88"/>
      <c r="AB104" s="88"/>
      <c r="AC104" s="88"/>
      <c r="AD104" s="88"/>
      <c r="AE104" s="88"/>
      <c r="AF104" s="88"/>
      <c r="AG104" s="88"/>
      <c r="AH104"/>
      <c r="AI104"/>
    </row>
    <row r="105" spans="1:35" ht="50.1" customHeight="1">
      <c r="A105" s="125">
        <v>101</v>
      </c>
      <c r="B105" s="125" t="s">
        <v>3566</v>
      </c>
      <c r="C105" s="125" t="s">
        <v>3677</v>
      </c>
      <c r="D105" s="153" t="s">
        <v>3684</v>
      </c>
      <c r="E105" s="472" t="s">
        <v>3683</v>
      </c>
      <c r="F105" s="480" t="s">
        <v>3682</v>
      </c>
      <c r="G105" s="472" t="s">
        <v>3681</v>
      </c>
      <c r="H105" s="472" t="s">
        <v>798</v>
      </c>
      <c r="I105" s="314">
        <f>SUM(J105:M105)</f>
        <v>250</v>
      </c>
      <c r="J105" s="314">
        <v>0</v>
      </c>
      <c r="K105" s="314">
        <v>0</v>
      </c>
      <c r="L105" s="314">
        <v>250</v>
      </c>
      <c r="M105" s="314">
        <v>0</v>
      </c>
      <c r="N105" s="314"/>
      <c r="O105" s="472"/>
      <c r="P105" s="472" t="s">
        <v>7</v>
      </c>
      <c r="Q105" s="472" t="s">
        <v>3680</v>
      </c>
      <c r="R105" s="472" t="s">
        <v>36</v>
      </c>
      <c r="S105" s="472" t="s">
        <v>3679</v>
      </c>
      <c r="T105" s="472" t="s">
        <v>49</v>
      </c>
      <c r="U105" s="472" t="s">
        <v>3672</v>
      </c>
      <c r="V105" s="472">
        <f t="shared" si="5"/>
        <v>10</v>
      </c>
      <c r="W105" s="314">
        <v>10</v>
      </c>
      <c r="X105" s="314"/>
      <c r="Y105" s="472" t="s">
        <v>64</v>
      </c>
      <c r="Z105" s="137" t="s">
        <v>3678</v>
      </c>
      <c r="AA105" s="88"/>
      <c r="AB105" s="88"/>
      <c r="AC105" s="88"/>
      <c r="AD105" s="88"/>
      <c r="AE105" s="88"/>
      <c r="AF105" s="88"/>
      <c r="AG105" s="88"/>
      <c r="AH105"/>
      <c r="AI105"/>
    </row>
    <row r="106" spans="1:35" ht="50.1" customHeight="1">
      <c r="A106" s="125">
        <v>102</v>
      </c>
      <c r="B106" s="125" t="s">
        <v>3566</v>
      </c>
      <c r="C106" s="125" t="s">
        <v>3677</v>
      </c>
      <c r="D106" s="473" t="s">
        <v>3676</v>
      </c>
      <c r="E106" s="472" t="s">
        <v>1018</v>
      </c>
      <c r="F106" s="480" t="s">
        <v>3675</v>
      </c>
      <c r="G106" s="472" t="s">
        <v>3674</v>
      </c>
      <c r="H106" s="472" t="s">
        <v>811</v>
      </c>
      <c r="I106" s="314">
        <f>SUM(J106:M106)</f>
        <v>280</v>
      </c>
      <c r="J106" s="314">
        <v>0</v>
      </c>
      <c r="K106" s="314">
        <v>0</v>
      </c>
      <c r="L106" s="314">
        <v>280</v>
      </c>
      <c r="M106" s="314">
        <v>0</v>
      </c>
      <c r="N106" s="314"/>
      <c r="O106" s="472"/>
      <c r="P106" s="472" t="s">
        <v>7</v>
      </c>
      <c r="Q106" s="472" t="s">
        <v>3673</v>
      </c>
      <c r="R106" s="472" t="s">
        <v>36</v>
      </c>
      <c r="S106" s="472" t="s">
        <v>1277</v>
      </c>
      <c r="T106" s="472" t="s">
        <v>49</v>
      </c>
      <c r="U106" s="472" t="s">
        <v>3672</v>
      </c>
      <c r="V106" s="472">
        <f t="shared" si="5"/>
        <v>61</v>
      </c>
      <c r="W106" s="314">
        <v>61</v>
      </c>
      <c r="X106" s="314"/>
      <c r="Y106" s="472" t="s">
        <v>3671</v>
      </c>
      <c r="Z106" s="137" t="s">
        <v>6085</v>
      </c>
      <c r="AB106" s="490"/>
    </row>
    <row r="107" spans="1:35" ht="50.1" customHeight="1">
      <c r="A107" s="125">
        <v>103</v>
      </c>
      <c r="B107" s="125" t="s">
        <v>3566</v>
      </c>
      <c r="C107" s="125" t="s">
        <v>3656</v>
      </c>
      <c r="D107" s="472" t="s">
        <v>3670</v>
      </c>
      <c r="E107" s="472" t="s">
        <v>3669</v>
      </c>
      <c r="F107" s="480" t="s">
        <v>3668</v>
      </c>
      <c r="G107" s="472" t="s">
        <v>3667</v>
      </c>
      <c r="H107" s="472" t="s">
        <v>3666</v>
      </c>
      <c r="I107" s="314">
        <v>800</v>
      </c>
      <c r="J107" s="314">
        <v>0</v>
      </c>
      <c r="K107" s="314">
        <v>0</v>
      </c>
      <c r="L107" s="314">
        <v>800</v>
      </c>
      <c r="M107" s="314">
        <v>0</v>
      </c>
      <c r="N107" s="314"/>
      <c r="O107" s="472"/>
      <c r="P107" s="472" t="s">
        <v>48</v>
      </c>
      <c r="Q107" s="472" t="s">
        <v>3665</v>
      </c>
      <c r="R107" s="472" t="s">
        <v>36</v>
      </c>
      <c r="S107" s="472" t="s">
        <v>246</v>
      </c>
      <c r="T107" s="472" t="s">
        <v>3664</v>
      </c>
      <c r="U107" s="472" t="s">
        <v>38</v>
      </c>
      <c r="V107" s="472">
        <f t="shared" si="5"/>
        <v>535558</v>
      </c>
      <c r="W107" s="314">
        <v>508031</v>
      </c>
      <c r="X107" s="314">
        <v>27527</v>
      </c>
      <c r="Y107" s="472" t="s">
        <v>3663</v>
      </c>
      <c r="Z107" s="137" t="s">
        <v>1148</v>
      </c>
      <c r="AA107" s="88"/>
      <c r="AB107" s="88"/>
      <c r="AC107" s="88"/>
      <c r="AD107" s="88"/>
      <c r="AE107" s="88"/>
      <c r="AF107" s="88"/>
      <c r="AG107" s="88"/>
      <c r="AH107"/>
      <c r="AI107"/>
    </row>
    <row r="108" spans="1:35" ht="50.1" customHeight="1">
      <c r="A108" s="125">
        <v>104</v>
      </c>
      <c r="B108" s="125" t="s">
        <v>3566</v>
      </c>
      <c r="C108" s="125" t="s">
        <v>3656</v>
      </c>
      <c r="D108" s="472" t="s">
        <v>3662</v>
      </c>
      <c r="E108" s="472" t="s">
        <v>3661</v>
      </c>
      <c r="F108" s="480" t="s">
        <v>3660</v>
      </c>
      <c r="G108" s="472" t="s">
        <v>3659</v>
      </c>
      <c r="H108" s="472" t="s">
        <v>1016</v>
      </c>
      <c r="I108" s="324">
        <v>100</v>
      </c>
      <c r="J108" s="324">
        <v>0</v>
      </c>
      <c r="K108" s="324">
        <v>0</v>
      </c>
      <c r="L108" s="324">
        <v>100</v>
      </c>
      <c r="M108" s="324">
        <v>0</v>
      </c>
      <c r="N108" s="324"/>
      <c r="O108" s="125"/>
      <c r="P108" s="125" t="s">
        <v>6</v>
      </c>
      <c r="Q108" s="125" t="s">
        <v>3658</v>
      </c>
      <c r="R108" s="125" t="s">
        <v>36</v>
      </c>
      <c r="S108" s="125" t="s">
        <v>186</v>
      </c>
      <c r="T108" s="472" t="s">
        <v>49</v>
      </c>
      <c r="U108" s="125" t="s">
        <v>38</v>
      </c>
      <c r="V108" s="125">
        <f t="shared" si="5"/>
        <v>47136</v>
      </c>
      <c r="W108" s="314">
        <v>46690</v>
      </c>
      <c r="X108" s="315">
        <v>446</v>
      </c>
      <c r="Y108" s="125" t="s">
        <v>3657</v>
      </c>
      <c r="Z108" s="141" t="s">
        <v>1148</v>
      </c>
      <c r="AA108" s="88"/>
      <c r="AB108" s="88"/>
      <c r="AC108" s="88"/>
      <c r="AD108" s="88"/>
      <c r="AE108" s="88"/>
      <c r="AF108" s="88"/>
      <c r="AG108" s="88"/>
      <c r="AH108"/>
      <c r="AI108"/>
    </row>
    <row r="109" spans="1:35" ht="50.1" customHeight="1">
      <c r="A109" s="125">
        <v>105</v>
      </c>
      <c r="B109" s="125" t="s">
        <v>3566</v>
      </c>
      <c r="C109" s="125" t="s">
        <v>3656</v>
      </c>
      <c r="D109" s="472" t="s">
        <v>3655</v>
      </c>
      <c r="E109" s="472" t="s">
        <v>1018</v>
      </c>
      <c r="F109" s="480" t="s">
        <v>3654</v>
      </c>
      <c r="G109" s="472" t="s">
        <v>3653</v>
      </c>
      <c r="H109" s="472" t="s">
        <v>1016</v>
      </c>
      <c r="I109" s="314">
        <v>100</v>
      </c>
      <c r="J109" s="314">
        <v>0</v>
      </c>
      <c r="K109" s="314">
        <v>0</v>
      </c>
      <c r="L109" s="314">
        <v>100</v>
      </c>
      <c r="M109" s="314">
        <v>0</v>
      </c>
      <c r="N109" s="314"/>
      <c r="O109" s="472"/>
      <c r="P109" s="472" t="s">
        <v>7</v>
      </c>
      <c r="Q109" s="472" t="s">
        <v>3652</v>
      </c>
      <c r="R109" s="472" t="s">
        <v>36</v>
      </c>
      <c r="S109" s="472" t="s">
        <v>246</v>
      </c>
      <c r="T109" s="472" t="s">
        <v>3651</v>
      </c>
      <c r="U109" s="472" t="s">
        <v>38</v>
      </c>
      <c r="V109" s="125">
        <f t="shared" si="5"/>
        <v>30000</v>
      </c>
      <c r="W109" s="314">
        <v>30000</v>
      </c>
      <c r="X109" s="315">
        <v>0</v>
      </c>
      <c r="Y109" s="472" t="s">
        <v>3650</v>
      </c>
      <c r="Z109" s="137" t="s">
        <v>1148</v>
      </c>
    </row>
    <row r="110" spans="1:35" ht="50.1" customHeight="1">
      <c r="A110" s="125">
        <v>106</v>
      </c>
      <c r="B110" s="125" t="s">
        <v>3566</v>
      </c>
      <c r="C110" s="125" t="s">
        <v>3565</v>
      </c>
      <c r="D110" s="472" t="s">
        <v>3649</v>
      </c>
      <c r="E110" s="472" t="s">
        <v>3648</v>
      </c>
      <c r="F110" s="480" t="s">
        <v>3647</v>
      </c>
      <c r="G110" s="472" t="s">
        <v>3646</v>
      </c>
      <c r="H110" s="472" t="s">
        <v>1222</v>
      </c>
      <c r="I110" s="314">
        <v>90</v>
      </c>
      <c r="J110" s="314">
        <v>0</v>
      </c>
      <c r="K110" s="314">
        <v>0</v>
      </c>
      <c r="L110" s="314">
        <v>90</v>
      </c>
      <c r="M110" s="314">
        <v>0</v>
      </c>
      <c r="N110" s="314"/>
      <c r="O110" s="472"/>
      <c r="P110" s="472" t="s">
        <v>5</v>
      </c>
      <c r="Q110" s="472" t="s">
        <v>2774</v>
      </c>
      <c r="R110" s="472" t="s">
        <v>36</v>
      </c>
      <c r="S110" s="472" t="s">
        <v>1277</v>
      </c>
      <c r="T110" s="472" t="s">
        <v>49</v>
      </c>
      <c r="U110" s="472" t="s">
        <v>38</v>
      </c>
      <c r="V110" s="472">
        <v>36</v>
      </c>
      <c r="W110" s="314">
        <v>36</v>
      </c>
      <c r="X110" s="314"/>
      <c r="Y110" s="472" t="s">
        <v>3645</v>
      </c>
      <c r="Z110" s="137" t="s">
        <v>1148</v>
      </c>
      <c r="AA110" s="88"/>
      <c r="AB110" s="88"/>
      <c r="AC110" s="88"/>
      <c r="AD110" s="88"/>
      <c r="AE110" s="88"/>
      <c r="AF110" s="88"/>
      <c r="AG110" s="88"/>
      <c r="AH110"/>
      <c r="AI110"/>
    </row>
    <row r="111" spans="1:35" ht="50.1" customHeight="1">
      <c r="A111" s="125">
        <v>107</v>
      </c>
      <c r="B111" s="125" t="s">
        <v>3566</v>
      </c>
      <c r="C111" s="125" t="s">
        <v>3565</v>
      </c>
      <c r="D111" s="472" t="s">
        <v>3644</v>
      </c>
      <c r="E111" s="472" t="s">
        <v>3643</v>
      </c>
      <c r="F111" s="480" t="s">
        <v>3642</v>
      </c>
      <c r="G111" s="472" t="s">
        <v>3641</v>
      </c>
      <c r="H111" s="472" t="s">
        <v>179</v>
      </c>
      <c r="I111" s="314">
        <v>50</v>
      </c>
      <c r="J111" s="314">
        <v>0</v>
      </c>
      <c r="K111" s="314">
        <v>0</v>
      </c>
      <c r="L111" s="314">
        <v>50</v>
      </c>
      <c r="M111" s="314">
        <v>0</v>
      </c>
      <c r="N111" s="314"/>
      <c r="O111" s="472"/>
      <c r="P111" s="472" t="s">
        <v>5</v>
      </c>
      <c r="Q111" s="472" t="s">
        <v>599</v>
      </c>
      <c r="R111" s="472" t="s">
        <v>36</v>
      </c>
      <c r="S111" s="472" t="s">
        <v>42</v>
      </c>
      <c r="T111" s="472"/>
      <c r="U111" s="472" t="s">
        <v>38</v>
      </c>
      <c r="V111" s="472">
        <v>0</v>
      </c>
      <c r="W111" s="314"/>
      <c r="X111" s="314"/>
      <c r="Y111" s="472" t="s">
        <v>3640</v>
      </c>
      <c r="Z111" s="137" t="s">
        <v>1148</v>
      </c>
      <c r="AA111" s="88"/>
      <c r="AB111" s="88"/>
      <c r="AC111" s="88"/>
      <c r="AD111" s="88"/>
      <c r="AE111" s="88"/>
      <c r="AF111" s="88"/>
      <c r="AG111" s="88"/>
      <c r="AH111"/>
      <c r="AI111"/>
    </row>
    <row r="112" spans="1:35" ht="50.1" customHeight="1">
      <c r="A112" s="125">
        <v>108</v>
      </c>
      <c r="B112" s="125" t="s">
        <v>3566</v>
      </c>
      <c r="C112" s="125" t="s">
        <v>3565</v>
      </c>
      <c r="D112" s="472" t="s">
        <v>3639</v>
      </c>
      <c r="E112" s="472" t="s">
        <v>1215</v>
      </c>
      <c r="F112" s="480" t="s">
        <v>3638</v>
      </c>
      <c r="G112" s="472" t="s">
        <v>3623</v>
      </c>
      <c r="H112" s="472" t="s">
        <v>179</v>
      </c>
      <c r="I112" s="324">
        <v>80</v>
      </c>
      <c r="J112" s="324">
        <v>0</v>
      </c>
      <c r="K112" s="324">
        <v>0</v>
      </c>
      <c r="L112" s="324">
        <v>80</v>
      </c>
      <c r="M112" s="324">
        <v>0</v>
      </c>
      <c r="N112" s="324"/>
      <c r="O112" s="125"/>
      <c r="P112" s="125" t="s">
        <v>7</v>
      </c>
      <c r="Q112" s="125" t="s">
        <v>3637</v>
      </c>
      <c r="R112" s="125" t="s">
        <v>36</v>
      </c>
      <c r="S112" s="125" t="s">
        <v>3565</v>
      </c>
      <c r="T112" s="125" t="s">
        <v>49</v>
      </c>
      <c r="U112" s="472" t="s">
        <v>38</v>
      </c>
      <c r="V112" s="125">
        <v>0</v>
      </c>
      <c r="W112" s="314"/>
      <c r="X112" s="324"/>
      <c r="Y112" s="125" t="s">
        <v>3636</v>
      </c>
      <c r="Z112" s="141" t="s">
        <v>1148</v>
      </c>
      <c r="AA112" s="88"/>
      <c r="AB112" s="88"/>
      <c r="AC112" s="88"/>
      <c r="AD112" s="88"/>
      <c r="AE112" s="88"/>
      <c r="AF112" s="88"/>
      <c r="AG112" s="88"/>
      <c r="AH112"/>
      <c r="AI112"/>
    </row>
    <row r="113" spans="1:35" ht="50.1" customHeight="1">
      <c r="A113" s="125">
        <v>109</v>
      </c>
      <c r="B113" s="125" t="s">
        <v>3566</v>
      </c>
      <c r="C113" s="125" t="s">
        <v>3565</v>
      </c>
      <c r="D113" s="472" t="s">
        <v>3635</v>
      </c>
      <c r="E113" s="472" t="s">
        <v>1215</v>
      </c>
      <c r="F113" s="480" t="s">
        <v>3634</v>
      </c>
      <c r="G113" s="472" t="s">
        <v>3633</v>
      </c>
      <c r="H113" s="472" t="s">
        <v>3606</v>
      </c>
      <c r="I113" s="314">
        <v>55</v>
      </c>
      <c r="J113" s="314">
        <v>0</v>
      </c>
      <c r="K113" s="314">
        <v>0</v>
      </c>
      <c r="L113" s="314">
        <v>55</v>
      </c>
      <c r="M113" s="314">
        <v>0</v>
      </c>
      <c r="N113" s="314"/>
      <c r="O113" s="472"/>
      <c r="P113" s="472" t="s">
        <v>6</v>
      </c>
      <c r="Q113" s="472" t="s">
        <v>3632</v>
      </c>
      <c r="R113" s="472" t="s">
        <v>36</v>
      </c>
      <c r="S113" s="472" t="s">
        <v>3568</v>
      </c>
      <c r="T113" s="472" t="s">
        <v>1292</v>
      </c>
      <c r="U113" s="472" t="s">
        <v>38</v>
      </c>
      <c r="V113" s="472">
        <v>1</v>
      </c>
      <c r="W113" s="314">
        <v>1</v>
      </c>
      <c r="X113" s="314"/>
      <c r="Y113" s="472" t="s">
        <v>3574</v>
      </c>
      <c r="Z113" s="137" t="s">
        <v>1148</v>
      </c>
      <c r="AA113" s="88"/>
      <c r="AB113" s="88"/>
      <c r="AC113" s="88"/>
      <c r="AD113" s="88"/>
      <c r="AE113" s="88"/>
      <c r="AF113" s="88"/>
      <c r="AG113" s="88"/>
      <c r="AH113"/>
      <c r="AI113"/>
    </row>
    <row r="114" spans="1:35" ht="50.1" customHeight="1">
      <c r="A114" s="125">
        <v>110</v>
      </c>
      <c r="B114" s="125" t="s">
        <v>3566</v>
      </c>
      <c r="C114" s="125" t="s">
        <v>3565</v>
      </c>
      <c r="D114" s="472" t="s">
        <v>3631</v>
      </c>
      <c r="E114" s="472" t="s">
        <v>1215</v>
      </c>
      <c r="F114" s="480" t="s">
        <v>3630</v>
      </c>
      <c r="G114" s="472" t="s">
        <v>3629</v>
      </c>
      <c r="H114" s="472" t="s">
        <v>3628</v>
      </c>
      <c r="I114" s="314">
        <v>60</v>
      </c>
      <c r="J114" s="314">
        <v>0</v>
      </c>
      <c r="K114" s="314">
        <v>0</v>
      </c>
      <c r="L114" s="314">
        <v>60</v>
      </c>
      <c r="M114" s="314">
        <v>0</v>
      </c>
      <c r="N114" s="314"/>
      <c r="O114" s="472"/>
      <c r="P114" s="472" t="s">
        <v>6</v>
      </c>
      <c r="Q114" s="472" t="s">
        <v>3627</v>
      </c>
      <c r="R114" s="472" t="s">
        <v>36</v>
      </c>
      <c r="S114" s="472" t="s">
        <v>3568</v>
      </c>
      <c r="T114" s="472" t="s">
        <v>1292</v>
      </c>
      <c r="U114" s="472" t="s">
        <v>38</v>
      </c>
      <c r="V114" s="472">
        <v>10</v>
      </c>
      <c r="W114" s="314">
        <v>10</v>
      </c>
      <c r="X114" s="314"/>
      <c r="Y114" s="472" t="s">
        <v>3574</v>
      </c>
      <c r="Z114" s="137" t="s">
        <v>1148</v>
      </c>
      <c r="AA114" s="88"/>
      <c r="AB114" s="88"/>
      <c r="AC114" s="88"/>
      <c r="AD114" s="88"/>
      <c r="AE114" s="88"/>
      <c r="AF114" s="88"/>
      <c r="AG114" s="88"/>
      <c r="AH114"/>
      <c r="AI114"/>
    </row>
    <row r="115" spans="1:35" ht="50.1" customHeight="1">
      <c r="A115" s="125">
        <v>111</v>
      </c>
      <c r="B115" s="125" t="s">
        <v>3566</v>
      </c>
      <c r="C115" s="125" t="s">
        <v>3565</v>
      </c>
      <c r="D115" s="472" t="s">
        <v>3626</v>
      </c>
      <c r="E115" s="472" t="s">
        <v>3625</v>
      </c>
      <c r="F115" s="480" t="s">
        <v>3624</v>
      </c>
      <c r="G115" s="472" t="s">
        <v>3623</v>
      </c>
      <c r="H115" s="472" t="s">
        <v>179</v>
      </c>
      <c r="I115" s="314">
        <v>300</v>
      </c>
      <c r="J115" s="314">
        <v>0</v>
      </c>
      <c r="K115" s="314">
        <v>150</v>
      </c>
      <c r="L115" s="314">
        <v>150</v>
      </c>
      <c r="M115" s="314">
        <v>0</v>
      </c>
      <c r="N115" s="314"/>
      <c r="O115" s="472"/>
      <c r="P115" s="472" t="s">
        <v>67</v>
      </c>
      <c r="Q115" s="472" t="s">
        <v>3622</v>
      </c>
      <c r="R115" s="472" t="s">
        <v>36</v>
      </c>
      <c r="S115" s="472" t="s">
        <v>3565</v>
      </c>
      <c r="T115" s="472" t="s">
        <v>49</v>
      </c>
      <c r="U115" s="472" t="s">
        <v>38</v>
      </c>
      <c r="V115" s="472">
        <v>0</v>
      </c>
      <c r="W115" s="314"/>
      <c r="X115" s="314"/>
      <c r="Y115" s="472" t="s">
        <v>3621</v>
      </c>
      <c r="Z115" s="137" t="s">
        <v>1148</v>
      </c>
      <c r="AA115" s="88"/>
      <c r="AB115" s="88"/>
      <c r="AC115" s="88"/>
      <c r="AD115" s="88"/>
      <c r="AE115" s="88"/>
      <c r="AF115" s="88"/>
      <c r="AG115" s="88"/>
      <c r="AH115"/>
      <c r="AI115"/>
    </row>
    <row r="116" spans="1:35" ht="50.1" customHeight="1">
      <c r="A116" s="125">
        <v>112</v>
      </c>
      <c r="B116" s="125" t="s">
        <v>3566</v>
      </c>
      <c r="C116" s="125" t="s">
        <v>3565</v>
      </c>
      <c r="D116" s="472" t="s">
        <v>3620</v>
      </c>
      <c r="E116" s="472" t="s">
        <v>3619</v>
      </c>
      <c r="F116" s="480" t="s">
        <v>3618</v>
      </c>
      <c r="G116" s="472" t="s">
        <v>3617</v>
      </c>
      <c r="H116" s="472" t="s">
        <v>40</v>
      </c>
      <c r="I116" s="314">
        <v>90</v>
      </c>
      <c r="J116" s="314">
        <v>0</v>
      </c>
      <c r="K116" s="314">
        <v>0</v>
      </c>
      <c r="L116" s="314">
        <v>90</v>
      </c>
      <c r="M116" s="314">
        <v>0</v>
      </c>
      <c r="N116" s="314"/>
      <c r="O116" s="472"/>
      <c r="P116" s="472" t="s">
        <v>48</v>
      </c>
      <c r="Q116" s="472" t="s">
        <v>3616</v>
      </c>
      <c r="R116" s="472" t="s">
        <v>36</v>
      </c>
      <c r="S116" s="472" t="s">
        <v>42</v>
      </c>
      <c r="T116" s="472" t="s">
        <v>49</v>
      </c>
      <c r="U116" s="472" t="s">
        <v>3615</v>
      </c>
      <c r="V116" s="472">
        <v>20</v>
      </c>
      <c r="W116" s="314">
        <v>20</v>
      </c>
      <c r="X116" s="314"/>
      <c r="Y116" s="472" t="s">
        <v>3614</v>
      </c>
      <c r="Z116" s="137" t="s">
        <v>1148</v>
      </c>
      <c r="AA116" s="88"/>
      <c r="AB116" s="88"/>
      <c r="AC116" s="88"/>
      <c r="AD116" s="88"/>
      <c r="AE116" s="88"/>
      <c r="AF116" s="88"/>
      <c r="AG116" s="88"/>
      <c r="AH116"/>
      <c r="AI116"/>
    </row>
    <row r="117" spans="1:35" ht="50.1" customHeight="1">
      <c r="A117" s="125">
        <v>113</v>
      </c>
      <c r="B117" s="125" t="s">
        <v>3566</v>
      </c>
      <c r="C117" s="125" t="s">
        <v>3565</v>
      </c>
      <c r="D117" s="153" t="s">
        <v>3613</v>
      </c>
      <c r="E117" s="472" t="s">
        <v>3603</v>
      </c>
      <c r="F117" s="480" t="s">
        <v>3612</v>
      </c>
      <c r="G117" s="472" t="s">
        <v>3611</v>
      </c>
      <c r="H117" s="472" t="s">
        <v>3585</v>
      </c>
      <c r="I117" s="314">
        <v>50</v>
      </c>
      <c r="J117" s="314">
        <v>0</v>
      </c>
      <c r="K117" s="314">
        <v>0</v>
      </c>
      <c r="L117" s="314">
        <v>50</v>
      </c>
      <c r="M117" s="314">
        <v>0</v>
      </c>
      <c r="N117" s="314"/>
      <c r="O117" s="472"/>
      <c r="P117" s="472" t="s">
        <v>6</v>
      </c>
      <c r="Q117" s="472" t="s">
        <v>3610</v>
      </c>
      <c r="R117" s="472" t="s">
        <v>36</v>
      </c>
      <c r="S117" s="472" t="s">
        <v>3568</v>
      </c>
      <c r="T117" s="472" t="s">
        <v>1292</v>
      </c>
      <c r="U117" s="472" t="s">
        <v>38</v>
      </c>
      <c r="V117" s="472">
        <v>1</v>
      </c>
      <c r="W117" s="314">
        <v>1</v>
      </c>
      <c r="X117" s="314"/>
      <c r="Y117" s="472" t="s">
        <v>3574</v>
      </c>
      <c r="Z117" s="137" t="s">
        <v>1148</v>
      </c>
      <c r="AA117" s="88"/>
      <c r="AB117" s="88"/>
      <c r="AC117" s="88"/>
      <c r="AD117" s="88"/>
      <c r="AE117" s="88"/>
      <c r="AF117" s="88"/>
      <c r="AG117" s="88"/>
      <c r="AH117"/>
      <c r="AI117"/>
    </row>
    <row r="118" spans="1:35" ht="50.1" customHeight="1">
      <c r="A118" s="125">
        <v>114</v>
      </c>
      <c r="B118" s="125" t="s">
        <v>3566</v>
      </c>
      <c r="C118" s="125" t="s">
        <v>3565</v>
      </c>
      <c r="D118" s="472" t="s">
        <v>3609</v>
      </c>
      <c r="E118" s="472" t="s">
        <v>3603</v>
      </c>
      <c r="F118" s="480" t="s">
        <v>3608</v>
      </c>
      <c r="G118" s="472" t="s">
        <v>3607</v>
      </c>
      <c r="H118" s="472" t="s">
        <v>3606</v>
      </c>
      <c r="I118" s="314">
        <v>60</v>
      </c>
      <c r="J118" s="314">
        <v>0</v>
      </c>
      <c r="K118" s="314">
        <v>0</v>
      </c>
      <c r="L118" s="314">
        <v>60</v>
      </c>
      <c r="M118" s="314">
        <v>0</v>
      </c>
      <c r="N118" s="314"/>
      <c r="O118" s="472"/>
      <c r="P118" s="472" t="s">
        <v>6</v>
      </c>
      <c r="Q118" s="472" t="s">
        <v>3605</v>
      </c>
      <c r="R118" s="472" t="s">
        <v>36</v>
      </c>
      <c r="S118" s="472" t="s">
        <v>3568</v>
      </c>
      <c r="T118" s="472" t="s">
        <v>1292</v>
      </c>
      <c r="U118" s="472" t="s">
        <v>38</v>
      </c>
      <c r="V118" s="472">
        <v>4</v>
      </c>
      <c r="W118" s="314">
        <v>4</v>
      </c>
      <c r="X118" s="314"/>
      <c r="Y118" s="472" t="s">
        <v>3574</v>
      </c>
      <c r="Z118" s="137" t="s">
        <v>1148</v>
      </c>
      <c r="AA118" s="88"/>
      <c r="AB118" s="88"/>
      <c r="AC118" s="88"/>
      <c r="AD118" s="88"/>
      <c r="AE118" s="88"/>
      <c r="AF118" s="88"/>
      <c r="AG118" s="88"/>
      <c r="AH118"/>
      <c r="AI118"/>
    </row>
    <row r="119" spans="1:35" ht="50.1" customHeight="1">
      <c r="A119" s="125">
        <v>115</v>
      </c>
      <c r="B119" s="125" t="s">
        <v>3566</v>
      </c>
      <c r="C119" s="125" t="s">
        <v>3565</v>
      </c>
      <c r="D119" s="472" t="s">
        <v>3604</v>
      </c>
      <c r="E119" s="472" t="s">
        <v>3603</v>
      </c>
      <c r="F119" s="480" t="s">
        <v>3602</v>
      </c>
      <c r="G119" s="472" t="s">
        <v>3601</v>
      </c>
      <c r="H119" s="472" t="s">
        <v>3600</v>
      </c>
      <c r="I119" s="314">
        <v>45</v>
      </c>
      <c r="J119" s="314">
        <v>0</v>
      </c>
      <c r="K119" s="314">
        <v>0</v>
      </c>
      <c r="L119" s="314">
        <v>45</v>
      </c>
      <c r="M119" s="314">
        <v>0</v>
      </c>
      <c r="N119" s="314"/>
      <c r="O119" s="472"/>
      <c r="P119" s="472" t="s">
        <v>6</v>
      </c>
      <c r="Q119" s="472" t="s">
        <v>3599</v>
      </c>
      <c r="R119" s="472" t="s">
        <v>36</v>
      </c>
      <c r="S119" s="472" t="s">
        <v>3568</v>
      </c>
      <c r="T119" s="472" t="s">
        <v>1292</v>
      </c>
      <c r="U119" s="472" t="s">
        <v>38</v>
      </c>
      <c r="V119" s="472">
        <v>3</v>
      </c>
      <c r="W119" s="314">
        <v>3</v>
      </c>
      <c r="X119" s="314"/>
      <c r="Y119" s="472" t="s">
        <v>3574</v>
      </c>
      <c r="Z119" s="137" t="s">
        <v>1148</v>
      </c>
      <c r="AA119" s="88"/>
      <c r="AB119" s="88"/>
      <c r="AC119" s="88"/>
      <c r="AD119" s="88"/>
      <c r="AE119" s="88"/>
      <c r="AF119" s="88"/>
      <c r="AG119" s="88"/>
      <c r="AH119"/>
      <c r="AI119"/>
    </row>
    <row r="120" spans="1:35" ht="50.1" customHeight="1">
      <c r="A120" s="125">
        <v>116</v>
      </c>
      <c r="B120" s="125" t="s">
        <v>3566</v>
      </c>
      <c r="C120" s="125" t="s">
        <v>3565</v>
      </c>
      <c r="D120" s="472" t="s">
        <v>3598</v>
      </c>
      <c r="E120" s="472" t="s">
        <v>3597</v>
      </c>
      <c r="F120" s="480" t="s">
        <v>3596</v>
      </c>
      <c r="G120" s="472" t="s">
        <v>3595</v>
      </c>
      <c r="H120" s="472" t="s">
        <v>3594</v>
      </c>
      <c r="I120" s="314">
        <v>45</v>
      </c>
      <c r="J120" s="314">
        <v>0</v>
      </c>
      <c r="K120" s="314">
        <v>0</v>
      </c>
      <c r="L120" s="314">
        <v>45</v>
      </c>
      <c r="M120" s="314">
        <v>0</v>
      </c>
      <c r="N120" s="314"/>
      <c r="O120" s="472"/>
      <c r="P120" s="472" t="s">
        <v>6</v>
      </c>
      <c r="Q120" s="472" t="s">
        <v>3593</v>
      </c>
      <c r="R120" s="472" t="s">
        <v>36</v>
      </c>
      <c r="S120" s="472" t="s">
        <v>42</v>
      </c>
      <c r="T120" s="472" t="s">
        <v>53</v>
      </c>
      <c r="U120" s="472">
        <v>0.6</v>
      </c>
      <c r="V120" s="472">
        <v>0.6</v>
      </c>
      <c r="W120" s="314"/>
      <c r="X120" s="314" t="s">
        <v>976</v>
      </c>
      <c r="Y120" s="472" t="s">
        <v>3561</v>
      </c>
      <c r="Z120" s="137" t="s">
        <v>1148</v>
      </c>
      <c r="AA120" s="88"/>
      <c r="AB120" s="88"/>
      <c r="AC120" s="88"/>
      <c r="AD120" s="88"/>
      <c r="AE120" s="88"/>
      <c r="AF120" s="88"/>
      <c r="AG120" s="88"/>
      <c r="AH120"/>
      <c r="AI120"/>
    </row>
    <row r="121" spans="1:35" ht="50.1" customHeight="1">
      <c r="A121" s="125">
        <v>117</v>
      </c>
      <c r="B121" s="125" t="s">
        <v>972</v>
      </c>
      <c r="C121" s="125" t="s">
        <v>3565</v>
      </c>
      <c r="D121" s="472" t="s">
        <v>3592</v>
      </c>
      <c r="E121" s="472" t="s">
        <v>1444</v>
      </c>
      <c r="F121" s="480" t="s">
        <v>3591</v>
      </c>
      <c r="G121" s="472" t="s">
        <v>3590</v>
      </c>
      <c r="H121" s="472" t="s">
        <v>100</v>
      </c>
      <c r="I121" s="314">
        <v>50</v>
      </c>
      <c r="J121" s="314">
        <v>0</v>
      </c>
      <c r="K121" s="314">
        <v>0</v>
      </c>
      <c r="L121" s="314">
        <v>50</v>
      </c>
      <c r="M121" s="314">
        <v>0</v>
      </c>
      <c r="N121" s="314"/>
      <c r="O121" s="472"/>
      <c r="P121" s="472" t="s">
        <v>6</v>
      </c>
      <c r="Q121" s="472" t="s">
        <v>3589</v>
      </c>
      <c r="R121" s="472" t="s">
        <v>36</v>
      </c>
      <c r="S121" s="472" t="s">
        <v>3568</v>
      </c>
      <c r="T121" s="472" t="s">
        <v>1292</v>
      </c>
      <c r="U121" s="472" t="s">
        <v>38</v>
      </c>
      <c r="V121" s="472">
        <v>4</v>
      </c>
      <c r="W121" s="314">
        <v>4</v>
      </c>
      <c r="X121" s="314"/>
      <c r="Y121" s="472" t="s">
        <v>3574</v>
      </c>
      <c r="Z121" s="137" t="s">
        <v>1148</v>
      </c>
      <c r="AA121" s="88"/>
      <c r="AB121" s="88"/>
      <c r="AC121" s="88"/>
      <c r="AD121" s="88"/>
      <c r="AE121" s="88"/>
      <c r="AF121" s="88"/>
      <c r="AG121" s="88"/>
      <c r="AH121"/>
      <c r="AI121"/>
    </row>
    <row r="122" spans="1:35" ht="50.1" customHeight="1">
      <c r="A122" s="125">
        <v>118</v>
      </c>
      <c r="B122" s="125" t="s">
        <v>3566</v>
      </c>
      <c r="C122" s="125" t="s">
        <v>3565</v>
      </c>
      <c r="D122" s="472" t="s">
        <v>3588</v>
      </c>
      <c r="E122" s="472" t="s">
        <v>1217</v>
      </c>
      <c r="F122" s="480" t="s">
        <v>3587</v>
      </c>
      <c r="G122" s="472" t="s">
        <v>3586</v>
      </c>
      <c r="H122" s="472" t="s">
        <v>3585</v>
      </c>
      <c r="I122" s="314">
        <v>70</v>
      </c>
      <c r="J122" s="314">
        <v>0</v>
      </c>
      <c r="K122" s="314">
        <v>0</v>
      </c>
      <c r="L122" s="314">
        <v>70</v>
      </c>
      <c r="M122" s="314">
        <v>0</v>
      </c>
      <c r="N122" s="314"/>
      <c r="O122" s="472"/>
      <c r="P122" s="472" t="s">
        <v>6</v>
      </c>
      <c r="Q122" s="472" t="s">
        <v>3584</v>
      </c>
      <c r="R122" s="472" t="s">
        <v>36</v>
      </c>
      <c r="S122" s="472" t="s">
        <v>3568</v>
      </c>
      <c r="T122" s="472" t="s">
        <v>1292</v>
      </c>
      <c r="U122" s="472" t="s">
        <v>38</v>
      </c>
      <c r="V122" s="472">
        <v>5</v>
      </c>
      <c r="W122" s="314">
        <v>5</v>
      </c>
      <c r="X122" s="314"/>
      <c r="Y122" s="472" t="s">
        <v>220</v>
      </c>
      <c r="Z122" s="137" t="s">
        <v>1148</v>
      </c>
      <c r="AA122" s="88"/>
      <c r="AB122" s="88"/>
      <c r="AC122" s="88"/>
      <c r="AD122" s="88"/>
      <c r="AE122" s="88"/>
      <c r="AF122" s="88"/>
      <c r="AG122" s="88"/>
      <c r="AH122"/>
      <c r="AI122"/>
    </row>
    <row r="123" spans="1:35" ht="50.1" customHeight="1">
      <c r="A123" s="125">
        <v>119</v>
      </c>
      <c r="B123" s="125" t="s">
        <v>3566</v>
      </c>
      <c r="C123" s="125" t="s">
        <v>3565</v>
      </c>
      <c r="D123" s="472" t="s">
        <v>3583</v>
      </c>
      <c r="E123" s="472" t="s">
        <v>1217</v>
      </c>
      <c r="F123" s="480" t="s">
        <v>3582</v>
      </c>
      <c r="G123" s="472" t="s">
        <v>3581</v>
      </c>
      <c r="H123" s="472" t="s">
        <v>3580</v>
      </c>
      <c r="I123" s="314">
        <v>50</v>
      </c>
      <c r="J123" s="314">
        <v>0</v>
      </c>
      <c r="K123" s="314">
        <v>0</v>
      </c>
      <c r="L123" s="314">
        <v>50</v>
      </c>
      <c r="M123" s="314">
        <v>0</v>
      </c>
      <c r="N123" s="314"/>
      <c r="O123" s="472"/>
      <c r="P123" s="472" t="s">
        <v>6</v>
      </c>
      <c r="Q123" s="472" t="s">
        <v>3579</v>
      </c>
      <c r="R123" s="472" t="s">
        <v>36</v>
      </c>
      <c r="S123" s="472" t="s">
        <v>3568</v>
      </c>
      <c r="T123" s="472" t="s">
        <v>1292</v>
      </c>
      <c r="U123" s="472" t="s">
        <v>38</v>
      </c>
      <c r="V123" s="472">
        <v>3</v>
      </c>
      <c r="W123" s="315">
        <v>3</v>
      </c>
      <c r="X123" s="315"/>
      <c r="Y123" s="472" t="s">
        <v>3574</v>
      </c>
      <c r="Z123" s="137" t="s">
        <v>1148</v>
      </c>
      <c r="AA123" s="88"/>
      <c r="AB123" s="88"/>
      <c r="AC123" s="88"/>
      <c r="AD123" s="88"/>
      <c r="AE123" s="88"/>
      <c r="AF123" s="88"/>
      <c r="AG123" s="88"/>
      <c r="AH123"/>
      <c r="AI123"/>
    </row>
    <row r="124" spans="1:35" ht="50.1" customHeight="1">
      <c r="A124" s="125">
        <v>120</v>
      </c>
      <c r="B124" s="125" t="s">
        <v>3566</v>
      </c>
      <c r="C124" s="125" t="s">
        <v>3565</v>
      </c>
      <c r="D124" s="472" t="s">
        <v>3578</v>
      </c>
      <c r="E124" s="472" t="s">
        <v>1217</v>
      </c>
      <c r="F124" s="480" t="s">
        <v>3577</v>
      </c>
      <c r="G124" s="472" t="s">
        <v>3576</v>
      </c>
      <c r="H124" s="472" t="s">
        <v>420</v>
      </c>
      <c r="I124" s="314">
        <v>50</v>
      </c>
      <c r="J124" s="314">
        <v>0</v>
      </c>
      <c r="K124" s="314">
        <v>0</v>
      </c>
      <c r="L124" s="314">
        <v>50</v>
      </c>
      <c r="M124" s="314">
        <v>0</v>
      </c>
      <c r="N124" s="314"/>
      <c r="O124" s="472"/>
      <c r="P124" s="472" t="s">
        <v>6</v>
      </c>
      <c r="Q124" s="472" t="s">
        <v>3575</v>
      </c>
      <c r="R124" s="472" t="s">
        <v>36</v>
      </c>
      <c r="S124" s="472" t="s">
        <v>3568</v>
      </c>
      <c r="T124" s="472" t="s">
        <v>1292</v>
      </c>
      <c r="U124" s="472" t="s">
        <v>38</v>
      </c>
      <c r="V124" s="472">
        <v>0</v>
      </c>
      <c r="W124" s="315">
        <v>0</v>
      </c>
      <c r="X124" s="315"/>
      <c r="Y124" s="472" t="s">
        <v>3574</v>
      </c>
      <c r="Z124" s="137" t="s">
        <v>1148</v>
      </c>
      <c r="AA124" s="88"/>
      <c r="AB124" s="88"/>
      <c r="AC124" s="88"/>
      <c r="AD124" s="88"/>
      <c r="AE124" s="88"/>
      <c r="AF124" s="88"/>
      <c r="AG124" s="88"/>
      <c r="AH124"/>
      <c r="AI124"/>
    </row>
    <row r="125" spans="1:35" ht="50.1" customHeight="1">
      <c r="A125" s="125">
        <v>121</v>
      </c>
      <c r="B125" s="125" t="s">
        <v>3566</v>
      </c>
      <c r="C125" s="125" t="s">
        <v>3565</v>
      </c>
      <c r="D125" s="472" t="s">
        <v>3573</v>
      </c>
      <c r="E125" s="472" t="s">
        <v>1018</v>
      </c>
      <c r="F125" s="480" t="s">
        <v>3572</v>
      </c>
      <c r="G125" s="472" t="s">
        <v>3571</v>
      </c>
      <c r="H125" s="472" t="s">
        <v>3570</v>
      </c>
      <c r="I125" s="314">
        <v>45</v>
      </c>
      <c r="J125" s="314">
        <v>0</v>
      </c>
      <c r="K125" s="314">
        <v>0</v>
      </c>
      <c r="L125" s="314">
        <v>45</v>
      </c>
      <c r="M125" s="314">
        <v>0</v>
      </c>
      <c r="N125" s="314"/>
      <c r="O125" s="472"/>
      <c r="P125" s="472" t="s">
        <v>6</v>
      </c>
      <c r="Q125" s="472" t="s">
        <v>3569</v>
      </c>
      <c r="R125" s="472" t="s">
        <v>36</v>
      </c>
      <c r="S125" s="472" t="s">
        <v>3568</v>
      </c>
      <c r="T125" s="472" t="s">
        <v>1292</v>
      </c>
      <c r="U125" s="472" t="s">
        <v>38</v>
      </c>
      <c r="V125" s="472">
        <v>2</v>
      </c>
      <c r="W125" s="314">
        <v>2</v>
      </c>
      <c r="X125" s="314"/>
      <c r="Y125" s="472" t="s">
        <v>3567</v>
      </c>
      <c r="Z125" s="137" t="s">
        <v>1148</v>
      </c>
    </row>
    <row r="126" spans="1:35" ht="50.1" customHeight="1" thickBot="1">
      <c r="A126" s="125">
        <v>122</v>
      </c>
      <c r="B126" s="329" t="s">
        <v>3566</v>
      </c>
      <c r="C126" s="329" t="s">
        <v>3565</v>
      </c>
      <c r="D126" s="233" t="s">
        <v>3564</v>
      </c>
      <c r="E126" s="233" t="s">
        <v>1523</v>
      </c>
      <c r="F126" s="234" t="s">
        <v>3563</v>
      </c>
      <c r="G126" s="233" t="s">
        <v>3562</v>
      </c>
      <c r="H126" s="233" t="s">
        <v>564</v>
      </c>
      <c r="I126" s="330">
        <v>20</v>
      </c>
      <c r="J126" s="330">
        <v>0</v>
      </c>
      <c r="K126" s="330">
        <v>0</v>
      </c>
      <c r="L126" s="330">
        <v>20</v>
      </c>
      <c r="M126" s="330">
        <v>0</v>
      </c>
      <c r="N126" s="330"/>
      <c r="O126" s="233"/>
      <c r="P126" s="233" t="s">
        <v>6</v>
      </c>
      <c r="Q126" s="233" t="s">
        <v>1294</v>
      </c>
      <c r="R126" s="233" t="s">
        <v>36</v>
      </c>
      <c r="S126" s="233" t="s">
        <v>42</v>
      </c>
      <c r="T126" s="233" t="s">
        <v>53</v>
      </c>
      <c r="U126" s="233">
        <v>0.6</v>
      </c>
      <c r="V126" s="233">
        <v>0.6</v>
      </c>
      <c r="W126" s="330"/>
      <c r="X126" s="330" t="s">
        <v>976</v>
      </c>
      <c r="Y126" s="194" t="s">
        <v>3561</v>
      </c>
      <c r="Z126" s="137" t="s">
        <v>1148</v>
      </c>
    </row>
    <row r="127" spans="1:35" s="252" customFormat="1">
      <c r="A127" s="334"/>
      <c r="B127" s="334"/>
      <c r="C127" s="334"/>
      <c r="G127" s="334"/>
      <c r="Y127" s="334"/>
      <c r="AA127" s="88"/>
      <c r="AB127" s="88"/>
      <c r="AC127" s="88"/>
      <c r="AD127" s="88"/>
      <c r="AE127" s="88"/>
      <c r="AF127" s="88"/>
      <c r="AG127" s="88"/>
      <c r="AH127"/>
      <c r="AI127"/>
    </row>
    <row r="128" spans="1:35" s="252" customFormat="1">
      <c r="A128" s="334"/>
      <c r="B128" s="334"/>
      <c r="C128" s="334"/>
      <c r="G128" s="334"/>
      <c r="Y128" s="334"/>
    </row>
    <row r="129" spans="1:25" s="252" customFormat="1">
      <c r="A129" s="334"/>
      <c r="B129" s="334"/>
      <c r="C129" s="334"/>
      <c r="G129" s="334"/>
      <c r="Y129" s="334"/>
    </row>
    <row r="130" spans="1:25" s="252" customFormat="1">
      <c r="A130" s="334"/>
      <c r="B130" s="334"/>
      <c r="C130" s="334"/>
      <c r="G130" s="334"/>
      <c r="Y130" s="334"/>
    </row>
    <row r="131" spans="1:25" s="252" customFormat="1">
      <c r="A131" s="334"/>
      <c r="B131" s="334"/>
      <c r="C131" s="334"/>
      <c r="G131" s="334"/>
      <c r="Y131" s="334"/>
    </row>
    <row r="132" spans="1:25" s="252" customFormat="1">
      <c r="A132" s="334"/>
      <c r="B132" s="334"/>
      <c r="C132" s="334"/>
      <c r="G132" s="334"/>
      <c r="Y132" s="334"/>
    </row>
    <row r="133" spans="1:25" s="252" customFormat="1">
      <c r="A133" s="334"/>
      <c r="B133" s="334"/>
      <c r="C133" s="334"/>
      <c r="G133" s="334"/>
      <c r="Y133" s="334"/>
    </row>
    <row r="134" spans="1:25" s="252" customFormat="1">
      <c r="A134" s="334"/>
      <c r="B134" s="334"/>
      <c r="C134" s="334"/>
      <c r="G134" s="334"/>
      <c r="Y134" s="334"/>
    </row>
    <row r="135" spans="1:25" s="252" customFormat="1">
      <c r="A135" s="334"/>
      <c r="B135" s="334"/>
      <c r="C135" s="334"/>
      <c r="G135" s="334"/>
      <c r="Y135" s="334"/>
    </row>
    <row r="136" spans="1:25" s="252" customFormat="1">
      <c r="A136" s="334"/>
      <c r="B136" s="334"/>
      <c r="C136" s="334"/>
      <c r="G136" s="334"/>
      <c r="Y136" s="334"/>
    </row>
    <row r="137" spans="1:25" s="252" customFormat="1">
      <c r="A137" s="334"/>
      <c r="B137" s="334"/>
      <c r="C137" s="334"/>
      <c r="G137" s="334"/>
      <c r="Y137" s="334"/>
    </row>
    <row r="138" spans="1:25" s="252" customFormat="1">
      <c r="A138" s="334"/>
      <c r="B138" s="334"/>
      <c r="C138" s="334"/>
      <c r="G138" s="334"/>
      <c r="Y138" s="334"/>
    </row>
    <row r="139" spans="1:25" s="252" customFormat="1">
      <c r="A139" s="334"/>
      <c r="B139" s="334"/>
      <c r="C139" s="334"/>
      <c r="G139" s="334"/>
      <c r="Y139" s="334"/>
    </row>
    <row r="140" spans="1:25" s="252" customFormat="1">
      <c r="A140" s="334"/>
      <c r="B140" s="334"/>
      <c r="C140" s="334"/>
      <c r="G140" s="334"/>
      <c r="Y140" s="334"/>
    </row>
    <row r="141" spans="1:25" s="252" customFormat="1">
      <c r="A141" s="334"/>
      <c r="B141" s="334"/>
      <c r="C141" s="334"/>
      <c r="G141" s="334"/>
      <c r="Y141" s="334"/>
    </row>
    <row r="142" spans="1:25" s="252" customFormat="1">
      <c r="A142" s="334"/>
      <c r="B142" s="334"/>
      <c r="C142" s="334"/>
      <c r="G142" s="334"/>
      <c r="Y142" s="334"/>
    </row>
    <row r="143" spans="1:25" s="252" customFormat="1">
      <c r="A143" s="334"/>
      <c r="B143" s="334"/>
      <c r="C143" s="334"/>
      <c r="G143" s="334"/>
      <c r="Y143" s="334"/>
    </row>
    <row r="144" spans="1:25" s="252" customFormat="1">
      <c r="A144" s="334"/>
      <c r="B144" s="334"/>
      <c r="C144" s="334"/>
      <c r="G144" s="334"/>
      <c r="Y144" s="334"/>
    </row>
  </sheetData>
  <autoFilter ref="A4:Z126">
    <filterColumn colId="4">
      <filters>
        <filter val="10.16~10.25._x000a_(10일간)"/>
        <filter val="10.16~11.1._x000a_(17일간)"/>
        <filter val="10.23~10.25._x000a_(3일간)"/>
        <filter val="10.23~11.1._x000a_(10일간)"/>
        <filter val="10.3~10.4._x000a_(2일간)"/>
        <filter val="10.30~11.1._x000a_(3일간)"/>
        <filter val="10.8~10.11._x000a_(4일간)"/>
        <filter val="10.8~10.13._x000a_(6일간)"/>
        <filter val="10.9~10.11._x000a_(3일간)"/>
        <filter val="10~11월 중"/>
        <filter val="10월 중"/>
        <filter val="10월 중_x000a_(10일간)"/>
        <filter val="10월 중_x000a_(17일간)"/>
        <filter val="10월 중_x000a_(2일간)"/>
        <filter val="10월 중_x000a_(3일간)"/>
        <filter val="10월 중_x000a_(4일간)"/>
        <filter val="10월 중_x000a_(7일간)"/>
        <filter val="11월 중"/>
        <filter val="11월 중_x000a_(2일간)"/>
        <filter val="11월 중_x000a_(3일간)"/>
        <filter val="11월 중_x000a_(4일간)"/>
        <filter val="11월~2월 중"/>
        <filter val="12.31~1.1._x000a_(2일간)"/>
        <filter val="12월 중_x000a_(15일간)"/>
        <filter val="12월 중_x000a_(30일간)"/>
        <filter val="3.14~3.22._x000a_(9일간)"/>
        <filter val="3.27~3.29._x000a_(3일간)"/>
        <filter val="3.28~3.29._x000a_(2일간)"/>
        <filter val="3.30~4.5._x000a_(7일간)"/>
        <filter val="3.6~3.15._x000a_(10일간)"/>
        <filter val="3월 중_x000a_(2일간)"/>
        <filter val="3월 중_x000a_(2주간)"/>
        <filter val="4.17~4.19._x000a_(3일간)"/>
        <filter val="4.2~4.5._x000a_(4일간)"/>
        <filter val="4.27~4.31._x000a_(5일간)"/>
        <filter val="4.29~5.10._x000a_(12일간)"/>
        <filter val="4.29~5.3._x000a_(5일간)"/>
        <filter val="4.3.~4.5._x000a_(3일간 예정)"/>
        <filter val="4.3~4.5._x000a_(3일간)"/>
        <filter val="4.30~5.5._x000a_(6일간)"/>
        <filter val="4.4~5.5._x000a_(32일간)"/>
        <filter val="4.8~4.11._x000a_(4일간)"/>
        <filter val="4월 중"/>
        <filter val="4월 중_x000a_(10일간)"/>
        <filter val="4월 중_x000a_(2일간)"/>
        <filter val="4월 중_x000a_(3일간)"/>
        <filter val="5.1~5.3._x000a_(3일간)"/>
        <filter val="5.1~5.5._x000a_(5일간)"/>
        <filter val="5.2~5.3_x000a_(2일간)"/>
        <filter val="5.2~5.3._x000a_(2일간)"/>
        <filter val="5.2~5.5._x000a_(4일간)"/>
        <filter val="5.22~6.7._x000a_(17일간)"/>
        <filter val="5.3.~5.5._x000a_(3일간)"/>
        <filter val="5~6월 중"/>
        <filter val="5월 중"/>
        <filter val="5월 중_x000a_(2일간)"/>
        <filter val="5월 중_x000a_(4일간)"/>
        <filter val="6.1~6.30._x000a_(30일간)"/>
        <filter val="6.19 ~6.20._x000a_(2일간)"/>
        <filter val="6.24~6.28._x000a_(5일간)"/>
        <filter val="6.5~7.19_x000a_(1달간)"/>
        <filter val="6~9월 중_x000a_(매주 토요일)"/>
        <filter val="6월 중"/>
        <filter val="6월 중_x000a_(3일간)"/>
        <filter val="7.16 ~7.19."/>
        <filter val="7.25~8.2._x000a_(9일간)"/>
        <filter val="7월 중"/>
        <filter val="7월 중_x000a_(2주간)"/>
        <filter val="7월 중_x000a_(4일간)"/>
        <filter val="8.1.~8.2._x000a_(2일간)"/>
        <filter val="8.28~8.30._x000a_(3일간)"/>
        <filter val="8월 중_x000a_(2일간)"/>
        <filter val="8월 중_x000a_(3일간)"/>
        <filter val="9.18~9.27._x000a_(10일간)"/>
        <filter val="9.19~9.20._x000a_(2일간)"/>
        <filter val="9.25~9.27._x000a_(3일간)"/>
        <filter val="9~10월 중_x000a_(3일간)"/>
        <filter val="9월 중"/>
        <filter val="9월 중_x000a_(1달간)"/>
        <filter val="9월 중_x000a_(2일간)"/>
        <filter val="9월 중_x000a_(3일간)"/>
        <filter val="9월 중_x000a_(7일간)"/>
      </filters>
    </filterColumn>
    <sortState ref="A5:Z128">
      <sortCondition ref="A4:A128"/>
    </sortState>
  </autoFilter>
  <mergeCells count="4">
    <mergeCell ref="A1:X2"/>
    <mergeCell ref="I3:M3"/>
    <mergeCell ref="N3:O3"/>
    <mergeCell ref="V3:X3"/>
  </mergeCells>
  <phoneticPr fontId="23" type="noConversion"/>
  <dataValidations count="20">
    <dataValidation type="list" allowBlank="1" showInputMessage="1" showErrorMessage="1" sqref="P5:P6">
      <formula1>$P$8:$P$13</formula1>
    </dataValidation>
    <dataValidation type="list" allowBlank="1" showInputMessage="1" showErrorMessage="1" sqref="B25:B27 B39:B45">
      <formula1>$B$12:$B$29</formula1>
    </dataValidation>
    <dataValidation type="list" allowBlank="1" showInputMessage="1" showErrorMessage="1" sqref="P25:P27 P39:P45">
      <formula1>$P$12:$P$13</formula1>
    </dataValidation>
    <dataValidation type="list" allowBlank="1" showInputMessage="1" showErrorMessage="1" sqref="B81:B84">
      <formula1>$B$127:$B$130</formula1>
    </dataValidation>
    <dataValidation type="list" allowBlank="1" showInputMessage="1" showErrorMessage="1" sqref="B85:B87 B103:B109">
      <formula1>$B$127:$B$133</formula1>
    </dataValidation>
    <dataValidation type="list" allowBlank="1" showInputMessage="1" showErrorMessage="1" sqref="B110:B126">
      <formula1>$B$127:$B$135</formula1>
    </dataValidation>
    <dataValidation type="list" allowBlank="1" showInputMessage="1" showErrorMessage="1" sqref="B5">
      <formula1>$B$8:$B$25</formula1>
    </dataValidation>
    <dataValidation type="list" allowBlank="1" showInputMessage="1" showErrorMessage="1" sqref="B18">
      <formula1>$B$14:$B$18</formula1>
    </dataValidation>
    <dataValidation type="list" allowBlank="1" showInputMessage="1" showErrorMessage="1" sqref="B22">
      <formula1>$B$6:$B$18</formula1>
    </dataValidation>
    <dataValidation type="list" allowBlank="1" showInputMessage="1" showErrorMessage="1" sqref="P16">
      <formula1>$P$19:$P$23</formula1>
    </dataValidation>
    <dataValidation type="list" allowBlank="1" showInputMessage="1" showErrorMessage="1" sqref="B16">
      <formula1>$B$19:$B$34</formula1>
    </dataValidation>
    <dataValidation type="list" allowBlank="1" showInputMessage="1" showErrorMessage="1" sqref="P23 V126 V120 P121:P125 P7:P13 B7:B13 B28:B38 P28:P38 B88:B102 P73:P119 B46:B67 P46:P71">
      <formula1>#REF!</formula1>
    </dataValidation>
    <dataValidation type="list" allowBlank="1" showInputMessage="1" showErrorMessage="1" sqref="P18">
      <formula1>$P$7:$P$12</formula1>
    </dataValidation>
    <dataValidation type="list" allowBlank="1" showInputMessage="1" showErrorMessage="1" sqref="P22">
      <formula1>$P$6:$P$10</formula1>
    </dataValidation>
    <dataValidation type="list" allowBlank="1" showInputMessage="1" showErrorMessage="1" sqref="P15 P19">
      <formula1>$P$7:$P$10</formula1>
    </dataValidation>
    <dataValidation type="list" allowBlank="1" showInputMessage="1" showErrorMessage="1" sqref="P17 P20">
      <formula1>$P$23:$P$28</formula1>
    </dataValidation>
    <dataValidation type="list" allowBlank="1" showInputMessage="1" showErrorMessage="1" sqref="B17 B20">
      <formula1>$B$23:$B$39</formula1>
    </dataValidation>
    <dataValidation type="list" allowBlank="1" showInputMessage="1" showErrorMessage="1" sqref="P14">
      <formula1>$P$19:$P$24</formula1>
    </dataValidation>
    <dataValidation type="list" allowBlank="1" showInputMessage="1" showErrorMessage="1" sqref="B14:B15 B23:B24 B19 B21">
      <formula1>$B$22:$B$38</formula1>
    </dataValidation>
    <dataValidation type="list" allowBlank="1" showInputMessage="1" showErrorMessage="1" sqref="P21 P24">
      <formula1>$P$22:$P$27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F138"/>
  <sheetViews>
    <sheetView zoomScale="70" zoomScaleNormal="70" workbookViewId="0">
      <selection sqref="A1:X2"/>
    </sheetView>
  </sheetViews>
  <sheetFormatPr defaultColWidth="8.88671875" defaultRowHeight="13.5"/>
  <cols>
    <col min="1" max="1" width="5.109375" style="332" customWidth="1"/>
    <col min="2" max="2" width="12.33203125" style="332" customWidth="1"/>
    <col min="3" max="3" width="9.109375" style="332" customWidth="1"/>
    <col min="4" max="4" width="17.6640625" style="89" customWidth="1"/>
    <col min="5" max="5" width="12.109375" style="89" customWidth="1"/>
    <col min="6" max="6" width="42" style="89" customWidth="1"/>
    <col min="7" max="7" width="25.109375" style="89" customWidth="1"/>
    <col min="8" max="8" width="12.21875" style="89" customWidth="1"/>
    <col min="9" max="9" width="14.21875" style="89" customWidth="1"/>
    <col min="10" max="13" width="7.6640625" style="89" customWidth="1"/>
    <col min="14" max="14" width="10.21875" style="89" customWidth="1"/>
    <col min="15" max="15" width="30.21875" style="89" customWidth="1"/>
    <col min="16" max="17" width="12.77734375" style="89" customWidth="1"/>
    <col min="18" max="18" width="12.21875" style="89" customWidth="1"/>
    <col min="19" max="19" width="13.33203125" style="89" customWidth="1"/>
    <col min="20" max="20" width="12.77734375" style="89" customWidth="1"/>
    <col min="21" max="25" width="12.21875" style="89" customWidth="1"/>
    <col min="26" max="26" width="26.109375" style="89" customWidth="1"/>
    <col min="27" max="27" width="11.33203125" style="89" bestFit="1" customWidth="1"/>
    <col min="28" max="16384" width="8.88671875" style="89"/>
  </cols>
  <sheetData>
    <row r="1" spans="1:32" s="1" customFormat="1" ht="29.25" customHeigh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</row>
    <row r="2" spans="1:32" s="3" customFormat="1" ht="17.2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</row>
    <row r="3" spans="1:32" s="3" customFormat="1" ht="22.5" customHeight="1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  <c r="AA3"/>
      <c r="AB3"/>
      <c r="AC3"/>
      <c r="AD3"/>
      <c r="AE3"/>
      <c r="AF3"/>
    </row>
    <row r="4" spans="1:32" s="1" customFormat="1" ht="59.45" customHeight="1">
      <c r="A4" s="210" t="s">
        <v>0</v>
      </c>
      <c r="B4" s="210" t="s">
        <v>134</v>
      </c>
      <c r="C4" s="210" t="s">
        <v>1</v>
      </c>
      <c r="D4" s="210" t="s">
        <v>135</v>
      </c>
      <c r="E4" s="211" t="s">
        <v>136</v>
      </c>
      <c r="F4" s="210" t="s">
        <v>137</v>
      </c>
      <c r="G4" s="211" t="s">
        <v>138</v>
      </c>
      <c r="H4" s="211" t="s">
        <v>3</v>
      </c>
      <c r="I4" s="211" t="s">
        <v>139</v>
      </c>
      <c r="J4" s="211" t="s">
        <v>140</v>
      </c>
      <c r="K4" s="211" t="s">
        <v>4</v>
      </c>
      <c r="L4" s="211" t="s">
        <v>141</v>
      </c>
      <c r="M4" s="211" t="s">
        <v>2</v>
      </c>
      <c r="N4" s="211" t="s">
        <v>142</v>
      </c>
      <c r="O4" s="211" t="s">
        <v>143</v>
      </c>
      <c r="P4" s="211" t="s">
        <v>29</v>
      </c>
      <c r="Q4" s="211" t="s">
        <v>27</v>
      </c>
      <c r="R4" s="212" t="s">
        <v>144</v>
      </c>
      <c r="S4" s="212" t="s">
        <v>145</v>
      </c>
      <c r="T4" s="212" t="s">
        <v>146</v>
      </c>
      <c r="U4" s="212" t="s">
        <v>28</v>
      </c>
      <c r="V4" s="212" t="s">
        <v>33</v>
      </c>
      <c r="W4" s="212" t="s">
        <v>147</v>
      </c>
      <c r="X4" s="212" t="s">
        <v>148</v>
      </c>
      <c r="Y4" s="212" t="s">
        <v>30</v>
      </c>
      <c r="Z4" s="104" t="s">
        <v>1152</v>
      </c>
      <c r="AA4"/>
      <c r="AB4"/>
      <c r="AC4"/>
      <c r="AD4"/>
      <c r="AE4"/>
      <c r="AF4"/>
    </row>
    <row r="5" spans="1:32" ht="50.1" customHeight="1">
      <c r="A5" s="125">
        <v>1</v>
      </c>
      <c r="B5" s="125" t="s">
        <v>875</v>
      </c>
      <c r="C5" s="125" t="s">
        <v>1984</v>
      </c>
      <c r="D5" s="444" t="s">
        <v>2011</v>
      </c>
      <c r="E5" s="444" t="s">
        <v>2010</v>
      </c>
      <c r="F5" s="446" t="s">
        <v>2009</v>
      </c>
      <c r="G5" s="444" t="s">
        <v>2004</v>
      </c>
      <c r="H5" s="444" t="s">
        <v>174</v>
      </c>
      <c r="I5" s="314">
        <v>917</v>
      </c>
      <c r="J5" s="314">
        <v>58</v>
      </c>
      <c r="K5" s="314">
        <v>859</v>
      </c>
      <c r="L5" s="314"/>
      <c r="M5" s="314"/>
      <c r="N5" s="314" t="s">
        <v>44</v>
      </c>
      <c r="O5" s="444" t="s">
        <v>45</v>
      </c>
      <c r="P5" s="444" t="s">
        <v>7</v>
      </c>
      <c r="Q5" s="444" t="s">
        <v>2008</v>
      </c>
      <c r="R5" s="444" t="s">
        <v>36</v>
      </c>
      <c r="S5" s="444" t="s">
        <v>199</v>
      </c>
      <c r="T5" s="444" t="s">
        <v>2007</v>
      </c>
      <c r="U5" s="444" t="s">
        <v>37</v>
      </c>
      <c r="V5" s="444">
        <v>331</v>
      </c>
      <c r="W5" s="314">
        <v>330</v>
      </c>
      <c r="X5" s="314">
        <v>1</v>
      </c>
      <c r="Y5" s="444" t="s">
        <v>812</v>
      </c>
      <c r="Z5" s="137" t="s">
        <v>1148</v>
      </c>
      <c r="AA5"/>
      <c r="AB5"/>
      <c r="AC5"/>
      <c r="AD5"/>
      <c r="AE5"/>
      <c r="AF5"/>
    </row>
    <row r="6" spans="1:32" ht="50.1" customHeight="1">
      <c r="A6" s="125">
        <v>2</v>
      </c>
      <c r="B6" s="125" t="s">
        <v>875</v>
      </c>
      <c r="C6" s="125" t="s">
        <v>1984</v>
      </c>
      <c r="D6" s="444" t="s">
        <v>2006</v>
      </c>
      <c r="E6" s="444" t="s">
        <v>1542</v>
      </c>
      <c r="F6" s="446" t="s">
        <v>2005</v>
      </c>
      <c r="G6" s="444" t="s">
        <v>2004</v>
      </c>
      <c r="H6" s="444" t="s">
        <v>321</v>
      </c>
      <c r="I6" s="314">
        <v>295</v>
      </c>
      <c r="J6" s="314"/>
      <c r="K6" s="314">
        <v>295</v>
      </c>
      <c r="L6" s="314"/>
      <c r="M6" s="314"/>
      <c r="N6" s="314"/>
      <c r="O6" s="444"/>
      <c r="P6" s="444" t="s">
        <v>7</v>
      </c>
      <c r="Q6" s="444" t="s">
        <v>1276</v>
      </c>
      <c r="R6" s="444" t="s">
        <v>36</v>
      </c>
      <c r="S6" s="444" t="s">
        <v>199</v>
      </c>
      <c r="T6" s="444" t="s">
        <v>1986</v>
      </c>
      <c r="U6" s="444" t="s">
        <v>37</v>
      </c>
      <c r="V6" s="444">
        <v>210</v>
      </c>
      <c r="W6" s="314">
        <v>210</v>
      </c>
      <c r="X6" s="314"/>
      <c r="Y6" s="444" t="s">
        <v>2003</v>
      </c>
      <c r="Z6" s="137"/>
    </row>
    <row r="7" spans="1:32" ht="50.1" customHeight="1">
      <c r="A7" s="125">
        <v>3</v>
      </c>
      <c r="B7" s="125" t="s">
        <v>875</v>
      </c>
      <c r="C7" s="125" t="s">
        <v>1984</v>
      </c>
      <c r="D7" s="444" t="s">
        <v>2002</v>
      </c>
      <c r="E7" s="444" t="s">
        <v>1713</v>
      </c>
      <c r="F7" s="446" t="s">
        <v>2001</v>
      </c>
      <c r="G7" s="444" t="s">
        <v>2000</v>
      </c>
      <c r="H7" s="444" t="s">
        <v>564</v>
      </c>
      <c r="I7" s="315">
        <v>500</v>
      </c>
      <c r="J7" s="315"/>
      <c r="K7" s="315">
        <v>500</v>
      </c>
      <c r="L7" s="314"/>
      <c r="M7" s="314"/>
      <c r="N7" s="314"/>
      <c r="O7" s="444"/>
      <c r="P7" s="444" t="s">
        <v>7</v>
      </c>
      <c r="Q7" s="444" t="s">
        <v>1999</v>
      </c>
      <c r="R7" s="444" t="s">
        <v>36</v>
      </c>
      <c r="S7" s="444" t="s">
        <v>186</v>
      </c>
      <c r="T7" s="444"/>
      <c r="U7" s="444" t="s">
        <v>53</v>
      </c>
      <c r="V7" s="444">
        <v>106</v>
      </c>
      <c r="W7" s="314">
        <v>106</v>
      </c>
      <c r="X7" s="314"/>
      <c r="Y7" s="444" t="s">
        <v>1998</v>
      </c>
      <c r="Z7" s="137" t="s">
        <v>1148</v>
      </c>
      <c r="AA7"/>
      <c r="AB7"/>
      <c r="AC7"/>
      <c r="AD7"/>
      <c r="AE7"/>
      <c r="AF7"/>
    </row>
    <row r="8" spans="1:32" ht="50.1" customHeight="1">
      <c r="A8" s="125">
        <v>4</v>
      </c>
      <c r="B8" s="125" t="s">
        <v>1004</v>
      </c>
      <c r="C8" s="125" t="s">
        <v>1984</v>
      </c>
      <c r="D8" s="444" t="s">
        <v>1997</v>
      </c>
      <c r="E8" s="444" t="s">
        <v>1224</v>
      </c>
      <c r="F8" s="446" t="s">
        <v>1996</v>
      </c>
      <c r="G8" s="444" t="s">
        <v>2708</v>
      </c>
      <c r="H8" s="444" t="s">
        <v>1358</v>
      </c>
      <c r="I8" s="314">
        <v>100</v>
      </c>
      <c r="J8" s="314"/>
      <c r="K8" s="314">
        <v>100</v>
      </c>
      <c r="L8" s="314"/>
      <c r="M8" s="314"/>
      <c r="N8" s="314"/>
      <c r="O8" s="444"/>
      <c r="P8" s="444" t="s">
        <v>50</v>
      </c>
      <c r="Q8" s="444" t="s">
        <v>1995</v>
      </c>
      <c r="R8" s="444" t="s">
        <v>36</v>
      </c>
      <c r="S8" s="444" t="s">
        <v>1979</v>
      </c>
      <c r="T8" s="444"/>
      <c r="U8" s="444" t="s">
        <v>37</v>
      </c>
      <c r="V8" s="444">
        <v>10</v>
      </c>
      <c r="W8" s="314">
        <v>10</v>
      </c>
      <c r="X8" s="314"/>
      <c r="Y8" s="444" t="s">
        <v>812</v>
      </c>
      <c r="Z8" s="137" t="s">
        <v>1148</v>
      </c>
      <c r="AA8"/>
      <c r="AB8"/>
      <c r="AC8"/>
      <c r="AD8"/>
      <c r="AE8"/>
      <c r="AF8"/>
    </row>
    <row r="9" spans="1:32" ht="50.1" customHeight="1">
      <c r="A9" s="125">
        <v>5</v>
      </c>
      <c r="B9" s="125" t="s">
        <v>875</v>
      </c>
      <c r="C9" s="444" t="s">
        <v>1984</v>
      </c>
      <c r="D9" s="444" t="s">
        <v>1994</v>
      </c>
      <c r="E9" s="444" t="s">
        <v>1529</v>
      </c>
      <c r="F9" s="446" t="s">
        <v>1993</v>
      </c>
      <c r="G9" s="444" t="s">
        <v>1992</v>
      </c>
      <c r="H9" s="444" t="s">
        <v>1232</v>
      </c>
      <c r="I9" s="314">
        <v>220</v>
      </c>
      <c r="J9" s="316"/>
      <c r="K9" s="316">
        <v>220</v>
      </c>
      <c r="L9" s="316"/>
      <c r="M9" s="316"/>
      <c r="N9" s="316"/>
      <c r="O9" s="103"/>
      <c r="P9" s="103" t="s">
        <v>7</v>
      </c>
      <c r="Q9" s="444" t="s">
        <v>1359</v>
      </c>
      <c r="R9" s="444" t="s">
        <v>36</v>
      </c>
      <c r="S9" s="444" t="s">
        <v>199</v>
      </c>
      <c r="T9" s="444" t="s">
        <v>1991</v>
      </c>
      <c r="U9" s="444" t="s">
        <v>37</v>
      </c>
      <c r="V9" s="444">
        <v>100</v>
      </c>
      <c r="W9" s="314">
        <v>100</v>
      </c>
      <c r="X9" s="314"/>
      <c r="Y9" s="444" t="s">
        <v>445</v>
      </c>
      <c r="Z9" s="137" t="s">
        <v>1148</v>
      </c>
      <c r="AA9"/>
      <c r="AB9"/>
      <c r="AC9"/>
      <c r="AD9"/>
      <c r="AE9"/>
      <c r="AF9"/>
    </row>
    <row r="10" spans="1:32" ht="50.1" customHeight="1">
      <c r="A10" s="125">
        <v>6</v>
      </c>
      <c r="B10" s="125" t="s">
        <v>875</v>
      </c>
      <c r="C10" s="125" t="s">
        <v>1984</v>
      </c>
      <c r="D10" s="444" t="s">
        <v>1990</v>
      </c>
      <c r="E10" s="444" t="s">
        <v>1989</v>
      </c>
      <c r="F10" s="446" t="s">
        <v>1988</v>
      </c>
      <c r="G10" s="444" t="s">
        <v>2713</v>
      </c>
      <c r="H10" s="444" t="s">
        <v>1428</v>
      </c>
      <c r="I10" s="314">
        <v>900</v>
      </c>
      <c r="J10" s="314"/>
      <c r="K10" s="314">
        <v>900</v>
      </c>
      <c r="L10" s="314"/>
      <c r="M10" s="314"/>
      <c r="N10" s="314"/>
      <c r="O10" s="444"/>
      <c r="P10" s="444" t="s">
        <v>7</v>
      </c>
      <c r="Q10" s="444" t="s">
        <v>1987</v>
      </c>
      <c r="R10" s="444" t="s">
        <v>36</v>
      </c>
      <c r="S10" s="444" t="s">
        <v>199</v>
      </c>
      <c r="T10" s="444" t="s">
        <v>1986</v>
      </c>
      <c r="U10" s="444" t="s">
        <v>37</v>
      </c>
      <c r="V10" s="444">
        <v>300</v>
      </c>
      <c r="W10" s="314">
        <v>300</v>
      </c>
      <c r="X10" s="314"/>
      <c r="Y10" s="444" t="s">
        <v>1985</v>
      </c>
      <c r="Z10" s="137" t="s">
        <v>6113</v>
      </c>
      <c r="AA10"/>
      <c r="AB10"/>
      <c r="AC10"/>
      <c r="AD10"/>
      <c r="AE10"/>
      <c r="AF10"/>
    </row>
    <row r="11" spans="1:32" ht="50.1" customHeight="1">
      <c r="A11" s="125">
        <v>7</v>
      </c>
      <c r="B11" s="125" t="s">
        <v>1004</v>
      </c>
      <c r="C11" s="125" t="s">
        <v>1984</v>
      </c>
      <c r="D11" s="444" t="s">
        <v>1983</v>
      </c>
      <c r="E11" s="444" t="s">
        <v>1982</v>
      </c>
      <c r="F11" s="446" t="s">
        <v>1981</v>
      </c>
      <c r="G11" s="444" t="s">
        <v>1980</v>
      </c>
      <c r="H11" s="444" t="s">
        <v>449</v>
      </c>
      <c r="I11" s="314">
        <v>40</v>
      </c>
      <c r="J11" s="314"/>
      <c r="K11" s="314">
        <v>40</v>
      </c>
      <c r="L11" s="314"/>
      <c r="M11" s="314"/>
      <c r="N11" s="314"/>
      <c r="O11" s="444"/>
      <c r="P11" s="444" t="s">
        <v>41</v>
      </c>
      <c r="Q11" s="444" t="s">
        <v>1571</v>
      </c>
      <c r="R11" s="444" t="s">
        <v>36</v>
      </c>
      <c r="S11" s="444" t="s">
        <v>1979</v>
      </c>
      <c r="T11" s="444"/>
      <c r="U11" s="444" t="s">
        <v>37</v>
      </c>
      <c r="V11" s="444">
        <v>30</v>
      </c>
      <c r="W11" s="314">
        <v>30</v>
      </c>
      <c r="X11" s="314"/>
      <c r="Y11" s="444" t="s">
        <v>240</v>
      </c>
      <c r="Z11" s="137" t="s">
        <v>1148</v>
      </c>
      <c r="AA11"/>
      <c r="AB11"/>
      <c r="AC11"/>
      <c r="AD11"/>
      <c r="AE11"/>
      <c r="AF11"/>
    </row>
    <row r="12" spans="1:32" ht="50.1" customHeight="1">
      <c r="A12" s="125">
        <v>8</v>
      </c>
      <c r="B12" s="125" t="s">
        <v>1004</v>
      </c>
      <c r="C12" s="125" t="s">
        <v>1964</v>
      </c>
      <c r="D12" s="444" t="s">
        <v>1978</v>
      </c>
      <c r="E12" s="444" t="s">
        <v>908</v>
      </c>
      <c r="F12" s="446" t="s">
        <v>1977</v>
      </c>
      <c r="G12" s="444" t="s">
        <v>1976</v>
      </c>
      <c r="H12" s="444" t="s">
        <v>210</v>
      </c>
      <c r="I12" s="314">
        <v>112</v>
      </c>
      <c r="J12" s="314">
        <v>0</v>
      </c>
      <c r="K12" s="314">
        <v>21</v>
      </c>
      <c r="L12" s="314">
        <v>56</v>
      </c>
      <c r="M12" s="314">
        <v>35</v>
      </c>
      <c r="N12" s="314"/>
      <c r="O12" s="444"/>
      <c r="P12" s="444" t="s">
        <v>46</v>
      </c>
      <c r="Q12" s="444" t="s">
        <v>523</v>
      </c>
      <c r="R12" s="444" t="s">
        <v>36</v>
      </c>
      <c r="S12" s="444" t="s">
        <v>68</v>
      </c>
      <c r="T12" s="444" t="s">
        <v>1292</v>
      </c>
      <c r="U12" s="444" t="s">
        <v>37</v>
      </c>
      <c r="V12" s="444">
        <v>73</v>
      </c>
      <c r="W12" s="314">
        <v>73</v>
      </c>
      <c r="X12" s="314"/>
      <c r="Y12" s="444" t="s">
        <v>64</v>
      </c>
      <c r="Z12" s="202" t="s">
        <v>6167</v>
      </c>
      <c r="AA12"/>
      <c r="AB12"/>
      <c r="AC12"/>
      <c r="AD12"/>
      <c r="AE12"/>
      <c r="AF12"/>
    </row>
    <row r="13" spans="1:32" ht="50.1" customHeight="1">
      <c r="A13" s="125">
        <v>9</v>
      </c>
      <c r="B13" s="125" t="s">
        <v>875</v>
      </c>
      <c r="C13" s="125" t="s">
        <v>1964</v>
      </c>
      <c r="D13" s="444" t="s">
        <v>1975</v>
      </c>
      <c r="E13" s="444" t="s">
        <v>1974</v>
      </c>
      <c r="F13" s="446" t="s">
        <v>1973</v>
      </c>
      <c r="G13" s="444" t="s">
        <v>1972</v>
      </c>
      <c r="H13" s="444" t="s">
        <v>1443</v>
      </c>
      <c r="I13" s="314">
        <v>125</v>
      </c>
      <c r="J13" s="314"/>
      <c r="K13" s="314"/>
      <c r="L13" s="314">
        <v>125</v>
      </c>
      <c r="M13" s="314"/>
      <c r="N13" s="314"/>
      <c r="O13" s="444"/>
      <c r="P13" s="444" t="s">
        <v>41</v>
      </c>
      <c r="Q13" s="444" t="s">
        <v>1971</v>
      </c>
      <c r="R13" s="444" t="s">
        <v>36</v>
      </c>
      <c r="S13" s="444" t="s">
        <v>246</v>
      </c>
      <c r="T13" s="444" t="s">
        <v>1292</v>
      </c>
      <c r="U13" s="444" t="s">
        <v>38</v>
      </c>
      <c r="V13" s="444">
        <v>0</v>
      </c>
      <c r="W13" s="314"/>
      <c r="X13" s="314"/>
      <c r="Y13" s="444" t="s">
        <v>1970</v>
      </c>
      <c r="Z13" s="137" t="s">
        <v>2725</v>
      </c>
    </row>
    <row r="14" spans="1:32" ht="50.1" customHeight="1">
      <c r="A14" s="125">
        <v>10</v>
      </c>
      <c r="B14" s="125" t="s">
        <v>875</v>
      </c>
      <c r="C14" s="125" t="s">
        <v>1964</v>
      </c>
      <c r="D14" s="444" t="s">
        <v>1969</v>
      </c>
      <c r="E14" s="444" t="s">
        <v>1968</v>
      </c>
      <c r="F14" s="446" t="s">
        <v>1967</v>
      </c>
      <c r="G14" s="444" t="s">
        <v>1966</v>
      </c>
      <c r="H14" s="444" t="s">
        <v>1123</v>
      </c>
      <c r="I14" s="314">
        <v>290</v>
      </c>
      <c r="J14" s="314"/>
      <c r="K14" s="314"/>
      <c r="L14" s="314">
        <v>290</v>
      </c>
      <c r="M14" s="314"/>
      <c r="N14" s="314"/>
      <c r="O14" s="444"/>
      <c r="P14" s="444" t="s">
        <v>2</v>
      </c>
      <c r="Q14" s="444" t="s">
        <v>130</v>
      </c>
      <c r="R14" s="444" t="s">
        <v>36</v>
      </c>
      <c r="S14" s="444"/>
      <c r="T14" s="444" t="s">
        <v>1292</v>
      </c>
      <c r="U14" s="444" t="s">
        <v>37</v>
      </c>
      <c r="V14" s="444">
        <v>320</v>
      </c>
      <c r="W14" s="314">
        <v>320</v>
      </c>
      <c r="X14" s="314"/>
      <c r="Y14" s="444" t="s">
        <v>1965</v>
      </c>
      <c r="Z14" s="137" t="s">
        <v>1148</v>
      </c>
      <c r="AA14"/>
      <c r="AB14"/>
      <c r="AC14"/>
      <c r="AD14"/>
      <c r="AE14"/>
      <c r="AF14"/>
    </row>
    <row r="15" spans="1:32" ht="50.1" customHeight="1">
      <c r="A15" s="125">
        <v>11</v>
      </c>
      <c r="B15" s="125" t="s">
        <v>875</v>
      </c>
      <c r="C15" s="125" t="s">
        <v>1964</v>
      </c>
      <c r="D15" s="444" t="s">
        <v>1963</v>
      </c>
      <c r="E15" s="444" t="s">
        <v>1924</v>
      </c>
      <c r="F15" s="446" t="s">
        <v>1962</v>
      </c>
      <c r="G15" s="444" t="s">
        <v>1961</v>
      </c>
      <c r="H15" s="444" t="s">
        <v>1960</v>
      </c>
      <c r="I15" s="314">
        <v>2950</v>
      </c>
      <c r="J15" s="314"/>
      <c r="K15" s="314">
        <v>2950</v>
      </c>
      <c r="L15" s="314"/>
      <c r="M15" s="314"/>
      <c r="N15" s="314"/>
      <c r="O15" s="444"/>
      <c r="P15" s="444" t="s">
        <v>7</v>
      </c>
      <c r="Q15" s="444" t="s">
        <v>1959</v>
      </c>
      <c r="R15" s="444" t="s">
        <v>36</v>
      </c>
      <c r="S15" s="444" t="s">
        <v>1958</v>
      </c>
      <c r="T15" s="444"/>
      <c r="U15" s="444" t="s">
        <v>103</v>
      </c>
      <c r="V15" s="444">
        <v>536</v>
      </c>
      <c r="W15" s="314">
        <v>526</v>
      </c>
      <c r="X15" s="314">
        <v>10</v>
      </c>
      <c r="Y15" s="444" t="s">
        <v>1957</v>
      </c>
      <c r="Z15" s="137" t="s">
        <v>2724</v>
      </c>
    </row>
    <row r="16" spans="1:32" ht="50.1" customHeight="1">
      <c r="A16" s="125">
        <v>12</v>
      </c>
      <c r="B16" s="317" t="s">
        <v>875</v>
      </c>
      <c r="C16" s="317" t="s">
        <v>1951</v>
      </c>
      <c r="D16" s="318" t="s">
        <v>1956</v>
      </c>
      <c r="E16" s="222" t="s">
        <v>1534</v>
      </c>
      <c r="F16" s="223" t="s">
        <v>1955</v>
      </c>
      <c r="G16" s="222" t="s">
        <v>1954</v>
      </c>
      <c r="H16" s="319" t="s">
        <v>552</v>
      </c>
      <c r="I16" s="320">
        <v>600</v>
      </c>
      <c r="J16" s="320"/>
      <c r="K16" s="320">
        <v>600</v>
      </c>
      <c r="L16" s="320"/>
      <c r="M16" s="320"/>
      <c r="N16" s="320"/>
      <c r="O16" s="321"/>
      <c r="P16" s="321" t="s">
        <v>41</v>
      </c>
      <c r="Q16" s="317" t="s">
        <v>1953</v>
      </c>
      <c r="R16" s="319" t="s">
        <v>36</v>
      </c>
      <c r="S16" s="317" t="s">
        <v>42</v>
      </c>
      <c r="T16" s="317" t="s">
        <v>49</v>
      </c>
      <c r="U16" s="319" t="s">
        <v>53</v>
      </c>
      <c r="V16" s="317">
        <f>SUM(W16:X16)</f>
        <v>30</v>
      </c>
      <c r="W16" s="322">
        <v>30</v>
      </c>
      <c r="X16" s="320"/>
      <c r="Y16" s="317" t="s">
        <v>1952</v>
      </c>
      <c r="Z16" s="323" t="s">
        <v>1148</v>
      </c>
      <c r="AA16"/>
      <c r="AB16"/>
      <c r="AC16"/>
      <c r="AD16"/>
      <c r="AE16"/>
      <c r="AF16"/>
    </row>
    <row r="17" spans="1:32" ht="50.1" customHeight="1">
      <c r="A17" s="125">
        <v>13</v>
      </c>
      <c r="B17" s="125" t="s">
        <v>875</v>
      </c>
      <c r="C17" s="125" t="s">
        <v>1951</v>
      </c>
      <c r="D17" s="444" t="s">
        <v>1950</v>
      </c>
      <c r="E17" s="444" t="s">
        <v>1949</v>
      </c>
      <c r="F17" s="446" t="s">
        <v>1948</v>
      </c>
      <c r="G17" s="444" t="s">
        <v>1947</v>
      </c>
      <c r="H17" s="444" t="s">
        <v>1503</v>
      </c>
      <c r="I17" s="324">
        <v>400</v>
      </c>
      <c r="J17" s="324"/>
      <c r="K17" s="324">
        <v>400</v>
      </c>
      <c r="L17" s="324"/>
      <c r="M17" s="324"/>
      <c r="N17" s="324"/>
      <c r="O17" s="154"/>
      <c r="P17" s="154" t="s">
        <v>7</v>
      </c>
      <c r="Q17" s="125" t="s">
        <v>1470</v>
      </c>
      <c r="R17" s="444" t="s">
        <v>36</v>
      </c>
      <c r="S17" s="317" t="s">
        <v>42</v>
      </c>
      <c r="T17" s="317" t="s">
        <v>1946</v>
      </c>
      <c r="U17" s="125" t="s">
        <v>37</v>
      </c>
      <c r="V17" s="125">
        <f>SUM(W17:X17)</f>
        <v>24</v>
      </c>
      <c r="W17" s="322">
        <v>24</v>
      </c>
      <c r="X17" s="320"/>
      <c r="Y17" s="319" t="s">
        <v>1945</v>
      </c>
      <c r="Z17" s="137" t="s">
        <v>1148</v>
      </c>
      <c r="AA17"/>
      <c r="AB17"/>
      <c r="AC17"/>
      <c r="AD17"/>
      <c r="AE17"/>
      <c r="AF17"/>
    </row>
    <row r="18" spans="1:32" ht="49.9" hidden="1" customHeight="1">
      <c r="A18" s="125">
        <v>14</v>
      </c>
      <c r="B18" s="125" t="s">
        <v>875</v>
      </c>
      <c r="C18" s="125" t="s">
        <v>1932</v>
      </c>
      <c r="D18" s="444" t="s">
        <v>1944</v>
      </c>
      <c r="E18" s="444" t="s">
        <v>1943</v>
      </c>
      <c r="F18" s="446" t="s">
        <v>1942</v>
      </c>
      <c r="G18" s="444" t="s">
        <v>1928</v>
      </c>
      <c r="H18" s="444" t="s">
        <v>1941</v>
      </c>
      <c r="I18" s="324">
        <v>175</v>
      </c>
      <c r="J18" s="324"/>
      <c r="K18" s="324">
        <v>25</v>
      </c>
      <c r="L18" s="324">
        <v>120</v>
      </c>
      <c r="M18" s="324">
        <v>30</v>
      </c>
      <c r="N18" s="324"/>
      <c r="O18" s="154"/>
      <c r="P18" s="154" t="s">
        <v>5</v>
      </c>
      <c r="Q18" s="125" t="s">
        <v>1940</v>
      </c>
      <c r="R18" s="444" t="s">
        <v>36</v>
      </c>
      <c r="S18" s="125" t="s">
        <v>199</v>
      </c>
      <c r="T18" s="125" t="s">
        <v>1926</v>
      </c>
      <c r="U18" s="444" t="s">
        <v>53</v>
      </c>
      <c r="V18" s="125">
        <f>SUM(W18:X18)</f>
        <v>319</v>
      </c>
      <c r="W18" s="322">
        <v>319</v>
      </c>
      <c r="X18" s="320" t="s">
        <v>43</v>
      </c>
      <c r="Y18" s="317" t="s">
        <v>812</v>
      </c>
      <c r="Z18" s="137" t="s">
        <v>1148</v>
      </c>
    </row>
    <row r="19" spans="1:32" ht="50.1" customHeight="1">
      <c r="A19" s="125">
        <v>15</v>
      </c>
      <c r="B19" s="125" t="s">
        <v>875</v>
      </c>
      <c r="C19" s="125" t="s">
        <v>1932</v>
      </c>
      <c r="D19" s="444" t="s">
        <v>1939</v>
      </c>
      <c r="E19" s="444" t="s">
        <v>908</v>
      </c>
      <c r="F19" s="446" t="s">
        <v>1938</v>
      </c>
      <c r="G19" s="444" t="s">
        <v>1937</v>
      </c>
      <c r="H19" s="444" t="s">
        <v>887</v>
      </c>
      <c r="I19" s="324">
        <v>115</v>
      </c>
      <c r="J19" s="324"/>
      <c r="K19" s="324"/>
      <c r="L19" s="324">
        <v>90</v>
      </c>
      <c r="M19" s="324">
        <v>25</v>
      </c>
      <c r="N19" s="324"/>
      <c r="O19" s="154"/>
      <c r="P19" s="154" t="s">
        <v>5</v>
      </c>
      <c r="Q19" s="125" t="s">
        <v>130</v>
      </c>
      <c r="R19" s="444" t="s">
        <v>36</v>
      </c>
      <c r="S19" s="125" t="s">
        <v>199</v>
      </c>
      <c r="T19" s="125" t="s">
        <v>1926</v>
      </c>
      <c r="U19" s="125" t="s">
        <v>37</v>
      </c>
      <c r="V19" s="125" t="s">
        <v>43</v>
      </c>
      <c r="W19" s="322" t="s">
        <v>43</v>
      </c>
      <c r="X19" s="320" t="s">
        <v>43</v>
      </c>
      <c r="Y19" s="317" t="s">
        <v>1371</v>
      </c>
      <c r="Z19" s="137" t="s">
        <v>1148</v>
      </c>
      <c r="AA19"/>
      <c r="AB19"/>
      <c r="AC19"/>
      <c r="AD19"/>
      <c r="AE19"/>
      <c r="AF19"/>
    </row>
    <row r="20" spans="1:32" ht="50.1" customHeight="1">
      <c r="A20" s="125">
        <v>16</v>
      </c>
      <c r="B20" s="125" t="s">
        <v>875</v>
      </c>
      <c r="C20" s="125" t="s">
        <v>1932</v>
      </c>
      <c r="D20" s="444" t="s">
        <v>1936</v>
      </c>
      <c r="E20" s="444" t="s">
        <v>1467</v>
      </c>
      <c r="F20" s="446" t="s">
        <v>1935</v>
      </c>
      <c r="G20" s="444" t="s">
        <v>1934</v>
      </c>
      <c r="H20" s="444" t="s">
        <v>1374</v>
      </c>
      <c r="I20" s="324">
        <v>300</v>
      </c>
      <c r="J20" s="324">
        <v>80</v>
      </c>
      <c r="K20" s="324">
        <v>60</v>
      </c>
      <c r="L20" s="324">
        <v>160</v>
      </c>
      <c r="M20" s="324">
        <v>0</v>
      </c>
      <c r="N20" s="324" t="s">
        <v>1430</v>
      </c>
      <c r="O20" s="154" t="s">
        <v>1933</v>
      </c>
      <c r="P20" s="154" t="s">
        <v>7</v>
      </c>
      <c r="Q20" s="125" t="s">
        <v>1421</v>
      </c>
      <c r="R20" s="444" t="s">
        <v>36</v>
      </c>
      <c r="S20" s="125" t="s">
        <v>199</v>
      </c>
      <c r="T20" s="125" t="s">
        <v>1926</v>
      </c>
      <c r="U20" s="444" t="s">
        <v>37</v>
      </c>
      <c r="V20" s="125">
        <v>210</v>
      </c>
      <c r="W20" s="314">
        <v>210</v>
      </c>
      <c r="X20" s="324" t="s">
        <v>43</v>
      </c>
      <c r="Y20" s="444" t="s">
        <v>844</v>
      </c>
      <c r="Z20" s="137" t="s">
        <v>2717</v>
      </c>
      <c r="AA20"/>
      <c r="AB20"/>
      <c r="AC20"/>
      <c r="AD20"/>
      <c r="AE20"/>
      <c r="AF20"/>
    </row>
    <row r="21" spans="1:32" ht="50.1" customHeight="1">
      <c r="A21" s="125">
        <v>17</v>
      </c>
      <c r="B21" s="125" t="s">
        <v>875</v>
      </c>
      <c r="C21" s="125" t="s">
        <v>1932</v>
      </c>
      <c r="D21" s="444" t="s">
        <v>1931</v>
      </c>
      <c r="E21" s="444" t="s">
        <v>1930</v>
      </c>
      <c r="F21" s="446" t="s">
        <v>1929</v>
      </c>
      <c r="G21" s="444" t="s">
        <v>1928</v>
      </c>
      <c r="H21" s="444" t="s">
        <v>522</v>
      </c>
      <c r="I21" s="325">
        <v>1300</v>
      </c>
      <c r="J21" s="324"/>
      <c r="K21" s="324">
        <v>300</v>
      </c>
      <c r="L21" s="325">
        <v>700</v>
      </c>
      <c r="M21" s="324">
        <v>300</v>
      </c>
      <c r="N21" s="324"/>
      <c r="O21" s="154"/>
      <c r="P21" s="154" t="s">
        <v>7</v>
      </c>
      <c r="Q21" s="444" t="s">
        <v>1927</v>
      </c>
      <c r="R21" s="444" t="s">
        <v>36</v>
      </c>
      <c r="S21" s="444" t="s">
        <v>199</v>
      </c>
      <c r="T21" s="444" t="s">
        <v>1926</v>
      </c>
      <c r="U21" s="444" t="s">
        <v>53</v>
      </c>
      <c r="V21" s="444">
        <v>1020</v>
      </c>
      <c r="W21" s="314">
        <v>959</v>
      </c>
      <c r="X21" s="325">
        <v>61</v>
      </c>
      <c r="Y21" s="125" t="s">
        <v>240</v>
      </c>
      <c r="Z21" s="137" t="s">
        <v>1148</v>
      </c>
      <c r="AA21"/>
      <c r="AB21"/>
      <c r="AC21"/>
      <c r="AD21"/>
      <c r="AE21"/>
      <c r="AF21"/>
    </row>
    <row r="22" spans="1:32" ht="50.1" customHeight="1">
      <c r="A22" s="125">
        <v>18</v>
      </c>
      <c r="B22" s="125" t="s">
        <v>875</v>
      </c>
      <c r="C22" s="125" t="s">
        <v>1886</v>
      </c>
      <c r="D22" s="444" t="s">
        <v>1925</v>
      </c>
      <c r="E22" s="444" t="s">
        <v>1924</v>
      </c>
      <c r="F22" s="446" t="s">
        <v>1923</v>
      </c>
      <c r="G22" s="451" t="s">
        <v>1922</v>
      </c>
      <c r="H22" s="444" t="s">
        <v>1779</v>
      </c>
      <c r="I22" s="324">
        <v>150</v>
      </c>
      <c r="J22" s="324"/>
      <c r="K22" s="324"/>
      <c r="L22" s="324">
        <v>150</v>
      </c>
      <c r="M22" s="324"/>
      <c r="N22" s="324"/>
      <c r="O22" s="154"/>
      <c r="P22" s="154" t="s">
        <v>786</v>
      </c>
      <c r="Q22" s="444" t="s">
        <v>1921</v>
      </c>
      <c r="R22" s="444" t="s">
        <v>1275</v>
      </c>
      <c r="S22" s="444" t="s">
        <v>1920</v>
      </c>
      <c r="T22" s="444" t="s">
        <v>49</v>
      </c>
      <c r="U22" s="444" t="s">
        <v>356</v>
      </c>
      <c r="V22" s="444">
        <v>10</v>
      </c>
      <c r="W22" s="315">
        <v>10</v>
      </c>
      <c r="X22" s="325"/>
      <c r="Y22" s="125" t="s">
        <v>1919</v>
      </c>
      <c r="Z22" s="137" t="s">
        <v>2724</v>
      </c>
      <c r="AA22"/>
    </row>
    <row r="23" spans="1:32" s="1" customFormat="1" ht="50.1" customHeight="1">
      <c r="A23" s="125">
        <v>19</v>
      </c>
      <c r="B23" s="147" t="s">
        <v>875</v>
      </c>
      <c r="C23" s="147" t="s">
        <v>1886</v>
      </c>
      <c r="D23" s="452" t="s">
        <v>1918</v>
      </c>
      <c r="E23" s="444" t="s">
        <v>1917</v>
      </c>
      <c r="F23" s="446" t="s">
        <v>1916</v>
      </c>
      <c r="G23" s="463" t="s">
        <v>6086</v>
      </c>
      <c r="H23" s="114" t="s">
        <v>1915</v>
      </c>
      <c r="I23" s="227">
        <v>108</v>
      </c>
      <c r="J23" s="227"/>
      <c r="K23" s="227">
        <v>27</v>
      </c>
      <c r="L23" s="227">
        <v>63</v>
      </c>
      <c r="M23" s="227">
        <v>18</v>
      </c>
      <c r="N23" s="227"/>
      <c r="O23" s="149"/>
      <c r="P23" s="149" t="s">
        <v>46</v>
      </c>
      <c r="Q23" s="114"/>
      <c r="R23" s="114" t="s">
        <v>36</v>
      </c>
      <c r="S23" s="114" t="s">
        <v>246</v>
      </c>
      <c r="T23" s="114"/>
      <c r="U23" s="114" t="s">
        <v>38</v>
      </c>
      <c r="V23" s="114"/>
      <c r="W23" s="145"/>
      <c r="X23" s="227"/>
      <c r="Y23" s="147" t="s">
        <v>1914</v>
      </c>
      <c r="Z23" s="202" t="s">
        <v>6063</v>
      </c>
      <c r="AA23"/>
    </row>
    <row r="24" spans="1:32" ht="50.1" customHeight="1">
      <c r="A24" s="125">
        <v>20</v>
      </c>
      <c r="B24" s="125" t="s">
        <v>875</v>
      </c>
      <c r="C24" s="125" t="s">
        <v>1886</v>
      </c>
      <c r="D24" s="126" t="s">
        <v>1913</v>
      </c>
      <c r="E24" s="444" t="s">
        <v>1619</v>
      </c>
      <c r="F24" s="446" t="s">
        <v>1912</v>
      </c>
      <c r="G24" s="103" t="s">
        <v>1911</v>
      </c>
      <c r="H24" s="444" t="s">
        <v>403</v>
      </c>
      <c r="I24" s="324">
        <v>77</v>
      </c>
      <c r="J24" s="324"/>
      <c r="K24" s="324">
        <v>23</v>
      </c>
      <c r="L24" s="324">
        <v>54</v>
      </c>
      <c r="M24" s="324"/>
      <c r="N24" s="324"/>
      <c r="O24" s="154"/>
      <c r="P24" s="154" t="s">
        <v>7</v>
      </c>
      <c r="Q24" s="444" t="s">
        <v>534</v>
      </c>
      <c r="R24" s="444" t="s">
        <v>36</v>
      </c>
      <c r="S24" s="444" t="s">
        <v>246</v>
      </c>
      <c r="T24" s="444"/>
      <c r="U24" s="444" t="s">
        <v>38</v>
      </c>
      <c r="V24" s="444">
        <v>2</v>
      </c>
      <c r="W24" s="314">
        <v>2</v>
      </c>
      <c r="X24" s="324"/>
      <c r="Y24" s="125" t="s">
        <v>507</v>
      </c>
      <c r="Z24" s="202" t="s">
        <v>6003</v>
      </c>
      <c r="AA24"/>
      <c r="AB24"/>
      <c r="AC24"/>
      <c r="AD24"/>
      <c r="AE24"/>
      <c r="AF24"/>
    </row>
    <row r="25" spans="1:32" ht="50.1" customHeight="1">
      <c r="A25" s="125">
        <v>21</v>
      </c>
      <c r="B25" s="125" t="s">
        <v>875</v>
      </c>
      <c r="C25" s="125" t="s">
        <v>1886</v>
      </c>
      <c r="D25" s="444" t="s">
        <v>1910</v>
      </c>
      <c r="E25" s="444" t="s">
        <v>2707</v>
      </c>
      <c r="F25" s="446" t="s">
        <v>1909</v>
      </c>
      <c r="G25" s="444" t="s">
        <v>1908</v>
      </c>
      <c r="H25" s="444" t="s">
        <v>1358</v>
      </c>
      <c r="I25" s="324">
        <v>76</v>
      </c>
      <c r="J25" s="324"/>
      <c r="K25" s="324" t="s">
        <v>102</v>
      </c>
      <c r="L25" s="324">
        <v>76</v>
      </c>
      <c r="M25" s="324"/>
      <c r="N25" s="324"/>
      <c r="O25" s="154"/>
      <c r="P25" s="154" t="s">
        <v>7</v>
      </c>
      <c r="Q25" s="444" t="s">
        <v>1907</v>
      </c>
      <c r="R25" s="444" t="s">
        <v>36</v>
      </c>
      <c r="S25" s="444" t="s">
        <v>246</v>
      </c>
      <c r="T25" s="444"/>
      <c r="U25" s="444" t="s">
        <v>38</v>
      </c>
      <c r="V25" s="444">
        <v>1.5</v>
      </c>
      <c r="W25" s="324">
        <v>1.5</v>
      </c>
      <c r="X25" s="324">
        <v>0</v>
      </c>
      <c r="Y25" s="444" t="s">
        <v>507</v>
      </c>
      <c r="Z25" s="137" t="s">
        <v>6060</v>
      </c>
      <c r="AA25"/>
      <c r="AB25"/>
      <c r="AC25"/>
      <c r="AD25"/>
      <c r="AE25"/>
      <c r="AF25"/>
    </row>
    <row r="26" spans="1:32" ht="50.1" customHeight="1">
      <c r="A26" s="125">
        <v>22</v>
      </c>
      <c r="B26" s="125" t="s">
        <v>875</v>
      </c>
      <c r="C26" s="125" t="s">
        <v>1886</v>
      </c>
      <c r="D26" s="444" t="s">
        <v>1906</v>
      </c>
      <c r="E26" s="444" t="s">
        <v>1891</v>
      </c>
      <c r="F26" s="446" t="s">
        <v>1905</v>
      </c>
      <c r="G26" s="444" t="s">
        <v>1904</v>
      </c>
      <c r="H26" s="444" t="s">
        <v>1431</v>
      </c>
      <c r="I26" s="324">
        <v>45</v>
      </c>
      <c r="J26" s="324"/>
      <c r="K26" s="324">
        <v>16</v>
      </c>
      <c r="L26" s="324">
        <v>29</v>
      </c>
      <c r="M26" s="324"/>
      <c r="N26" s="324"/>
      <c r="O26" s="154"/>
      <c r="P26" s="154" t="s">
        <v>7</v>
      </c>
      <c r="Q26" s="444" t="s">
        <v>1903</v>
      </c>
      <c r="R26" s="444" t="s">
        <v>36</v>
      </c>
      <c r="S26" s="444" t="s">
        <v>246</v>
      </c>
      <c r="T26" s="444"/>
      <c r="U26" s="444" t="s">
        <v>38</v>
      </c>
      <c r="V26" s="444">
        <v>4.5999999999999996</v>
      </c>
      <c r="W26" s="324">
        <v>4.5999999999999996</v>
      </c>
      <c r="X26" s="324"/>
      <c r="Y26" s="444" t="s">
        <v>1902</v>
      </c>
      <c r="Z26" s="202" t="s">
        <v>6124</v>
      </c>
      <c r="AA26"/>
      <c r="AB26"/>
      <c r="AC26"/>
      <c r="AD26"/>
      <c r="AE26"/>
      <c r="AF26"/>
    </row>
    <row r="27" spans="1:32" ht="50.1" customHeight="1">
      <c r="A27" s="125">
        <v>23</v>
      </c>
      <c r="B27" s="125" t="s">
        <v>875</v>
      </c>
      <c r="C27" s="125" t="s">
        <v>1886</v>
      </c>
      <c r="D27" s="444" t="s">
        <v>1901</v>
      </c>
      <c r="E27" s="444" t="s">
        <v>1018</v>
      </c>
      <c r="F27" s="446" t="s">
        <v>1900</v>
      </c>
      <c r="G27" s="444" t="s">
        <v>6031</v>
      </c>
      <c r="H27" s="444" t="s">
        <v>449</v>
      </c>
      <c r="I27" s="324">
        <v>86</v>
      </c>
      <c r="J27" s="324"/>
      <c r="K27" s="324">
        <v>30</v>
      </c>
      <c r="L27" s="324">
        <v>56</v>
      </c>
      <c r="M27" s="324"/>
      <c r="N27" s="324"/>
      <c r="O27" s="154"/>
      <c r="P27" s="154" t="s">
        <v>7</v>
      </c>
      <c r="Q27" s="444" t="s">
        <v>1899</v>
      </c>
      <c r="R27" s="444" t="s">
        <v>1898</v>
      </c>
      <c r="S27" s="444" t="s">
        <v>246</v>
      </c>
      <c r="T27" s="444"/>
      <c r="U27" s="444" t="s">
        <v>38</v>
      </c>
      <c r="V27" s="444">
        <v>3</v>
      </c>
      <c r="W27" s="324">
        <v>3</v>
      </c>
      <c r="X27" s="324"/>
      <c r="Y27" s="444" t="s">
        <v>1897</v>
      </c>
      <c r="Z27" s="202" t="s">
        <v>6115</v>
      </c>
      <c r="AA27"/>
    </row>
    <row r="28" spans="1:32" ht="50.1" customHeight="1">
      <c r="A28" s="125">
        <v>24</v>
      </c>
      <c r="B28" s="125" t="s">
        <v>875</v>
      </c>
      <c r="C28" s="125" t="s">
        <v>1886</v>
      </c>
      <c r="D28" s="444" t="s">
        <v>1896</v>
      </c>
      <c r="E28" s="444" t="s">
        <v>1895</v>
      </c>
      <c r="F28" s="446" t="s">
        <v>1894</v>
      </c>
      <c r="G28" s="444" t="s">
        <v>1893</v>
      </c>
      <c r="H28" s="444" t="s">
        <v>664</v>
      </c>
      <c r="I28" s="324">
        <v>20</v>
      </c>
      <c r="J28" s="324"/>
      <c r="K28" s="324"/>
      <c r="L28" s="324">
        <v>20</v>
      </c>
      <c r="M28" s="324"/>
      <c r="N28" s="324"/>
      <c r="O28" s="154"/>
      <c r="P28" s="154" t="s">
        <v>48</v>
      </c>
      <c r="Q28" s="444" t="s">
        <v>1548</v>
      </c>
      <c r="R28" s="444" t="s">
        <v>36</v>
      </c>
      <c r="S28" s="444" t="s">
        <v>68</v>
      </c>
      <c r="T28" s="444"/>
      <c r="U28" s="444" t="s">
        <v>38</v>
      </c>
      <c r="V28" s="444">
        <v>0</v>
      </c>
      <c r="W28" s="324"/>
      <c r="X28" s="324"/>
      <c r="Y28" s="125" t="s">
        <v>1863</v>
      </c>
      <c r="Z28" s="137" t="s">
        <v>1148</v>
      </c>
      <c r="AA28"/>
      <c r="AB28"/>
      <c r="AC28"/>
      <c r="AD28"/>
      <c r="AE28"/>
      <c r="AF28"/>
    </row>
    <row r="29" spans="1:32" ht="50.1" customHeight="1">
      <c r="A29" s="125">
        <v>25</v>
      </c>
      <c r="B29" s="125" t="s">
        <v>875</v>
      </c>
      <c r="C29" s="125" t="s">
        <v>1886</v>
      </c>
      <c r="D29" s="444" t="s">
        <v>1892</v>
      </c>
      <c r="E29" s="444" t="s">
        <v>1891</v>
      </c>
      <c r="F29" s="446" t="s">
        <v>1890</v>
      </c>
      <c r="G29" s="444" t="s">
        <v>1889</v>
      </c>
      <c r="H29" s="444" t="s">
        <v>804</v>
      </c>
      <c r="I29" s="324">
        <v>20</v>
      </c>
      <c r="J29" s="324"/>
      <c r="K29" s="324"/>
      <c r="L29" s="324">
        <v>20</v>
      </c>
      <c r="M29" s="324"/>
      <c r="N29" s="324"/>
      <c r="O29" s="154"/>
      <c r="P29" s="154" t="s">
        <v>48</v>
      </c>
      <c r="Q29" s="444" t="s">
        <v>1888</v>
      </c>
      <c r="R29" s="444" t="s">
        <v>36</v>
      </c>
      <c r="S29" s="444" t="s">
        <v>68</v>
      </c>
      <c r="T29" s="444"/>
      <c r="U29" s="444" t="s">
        <v>38</v>
      </c>
      <c r="V29" s="444">
        <v>0</v>
      </c>
      <c r="W29" s="324"/>
      <c r="X29" s="324"/>
      <c r="Y29" s="444" t="s">
        <v>1887</v>
      </c>
      <c r="Z29" s="137" t="s">
        <v>1148</v>
      </c>
      <c r="AA29"/>
      <c r="AB29"/>
      <c r="AC29"/>
      <c r="AD29"/>
      <c r="AE29"/>
      <c r="AF29"/>
    </row>
    <row r="30" spans="1:32" ht="50.1" customHeight="1">
      <c r="A30" s="125">
        <v>26</v>
      </c>
      <c r="B30" s="125" t="s">
        <v>875</v>
      </c>
      <c r="C30" s="125" t="s">
        <v>1886</v>
      </c>
      <c r="D30" s="444" t="s">
        <v>1885</v>
      </c>
      <c r="E30" s="444" t="s">
        <v>507</v>
      </c>
      <c r="F30" s="446" t="s">
        <v>1884</v>
      </c>
      <c r="G30" s="444" t="s">
        <v>1883</v>
      </c>
      <c r="H30" s="444" t="s">
        <v>1882</v>
      </c>
      <c r="I30" s="314">
        <v>20</v>
      </c>
      <c r="J30" s="314"/>
      <c r="K30" s="314"/>
      <c r="L30" s="314">
        <v>20</v>
      </c>
      <c r="M30" s="314"/>
      <c r="N30" s="314"/>
      <c r="O30" s="444"/>
      <c r="P30" s="444" t="s">
        <v>48</v>
      </c>
      <c r="Q30" s="444" t="s">
        <v>130</v>
      </c>
      <c r="R30" s="444" t="s">
        <v>36</v>
      </c>
      <c r="S30" s="444" t="s">
        <v>68</v>
      </c>
      <c r="T30" s="444"/>
      <c r="U30" s="444" t="s">
        <v>38</v>
      </c>
      <c r="V30" s="444">
        <v>15</v>
      </c>
      <c r="W30" s="314">
        <v>15</v>
      </c>
      <c r="X30" s="314"/>
      <c r="Y30" s="444" t="s">
        <v>1881</v>
      </c>
      <c r="Z30" s="137" t="s">
        <v>1148</v>
      </c>
      <c r="AA30"/>
      <c r="AB30"/>
      <c r="AC30"/>
      <c r="AD30"/>
      <c r="AE30"/>
      <c r="AF30"/>
    </row>
    <row r="31" spans="1:32" ht="50.1" customHeight="1">
      <c r="A31" s="125">
        <v>27</v>
      </c>
      <c r="B31" s="125" t="s">
        <v>875</v>
      </c>
      <c r="C31" s="125" t="s">
        <v>1862</v>
      </c>
      <c r="D31" s="444" t="s">
        <v>1880</v>
      </c>
      <c r="E31" s="444" t="s">
        <v>1296</v>
      </c>
      <c r="F31" s="446" t="s">
        <v>1879</v>
      </c>
      <c r="G31" s="444" t="s">
        <v>2693</v>
      </c>
      <c r="H31" s="444" t="s">
        <v>1222</v>
      </c>
      <c r="I31" s="326">
        <f>SUM(J31:M31)</f>
        <v>600</v>
      </c>
      <c r="J31" s="326"/>
      <c r="K31" s="326"/>
      <c r="L31" s="326">
        <v>600</v>
      </c>
      <c r="M31" s="326"/>
      <c r="N31" s="314"/>
      <c r="O31" s="444"/>
      <c r="P31" s="444" t="s">
        <v>52</v>
      </c>
      <c r="Q31" s="444" t="s">
        <v>1878</v>
      </c>
      <c r="R31" s="444" t="s">
        <v>36</v>
      </c>
      <c r="S31" s="444" t="s">
        <v>199</v>
      </c>
      <c r="T31" s="444" t="s">
        <v>1857</v>
      </c>
      <c r="U31" s="444" t="s">
        <v>38</v>
      </c>
      <c r="V31" s="444">
        <f t="shared" ref="V31:V39" si="0">SUM(W31:X31)</f>
        <v>107</v>
      </c>
      <c r="W31" s="314">
        <v>107</v>
      </c>
      <c r="X31" s="314"/>
      <c r="Y31" s="444" t="s">
        <v>1877</v>
      </c>
      <c r="Z31" s="137" t="s">
        <v>1148</v>
      </c>
      <c r="AA31"/>
      <c r="AB31"/>
      <c r="AC31"/>
      <c r="AD31"/>
      <c r="AE31"/>
      <c r="AF31"/>
    </row>
    <row r="32" spans="1:32" ht="50.1" customHeight="1">
      <c r="A32" s="125">
        <v>28</v>
      </c>
      <c r="B32" s="125" t="s">
        <v>875</v>
      </c>
      <c r="C32" s="125" t="s">
        <v>1862</v>
      </c>
      <c r="D32" s="444" t="s">
        <v>1876</v>
      </c>
      <c r="E32" s="444" t="s">
        <v>1875</v>
      </c>
      <c r="F32" s="446" t="s">
        <v>1874</v>
      </c>
      <c r="G32" s="444" t="s">
        <v>1858</v>
      </c>
      <c r="H32" s="444" t="s">
        <v>312</v>
      </c>
      <c r="I32" s="314">
        <f>SUM(J32:M32)</f>
        <v>200</v>
      </c>
      <c r="J32" s="314"/>
      <c r="K32" s="314"/>
      <c r="L32" s="314">
        <v>200</v>
      </c>
      <c r="M32" s="314"/>
      <c r="N32" s="314"/>
      <c r="O32" s="444"/>
      <c r="P32" s="444" t="s">
        <v>5</v>
      </c>
      <c r="Q32" s="444" t="s">
        <v>1873</v>
      </c>
      <c r="R32" s="444" t="s">
        <v>36</v>
      </c>
      <c r="S32" s="444" t="s">
        <v>199</v>
      </c>
      <c r="T32" s="444" t="s">
        <v>1857</v>
      </c>
      <c r="U32" s="444" t="s">
        <v>38</v>
      </c>
      <c r="V32" s="444">
        <f t="shared" si="0"/>
        <v>18</v>
      </c>
      <c r="W32" s="314">
        <v>18</v>
      </c>
      <c r="X32" s="314"/>
      <c r="Y32" s="444" t="s">
        <v>1872</v>
      </c>
      <c r="Z32" s="137" t="s">
        <v>1148</v>
      </c>
      <c r="AA32"/>
      <c r="AB32"/>
      <c r="AC32"/>
      <c r="AD32"/>
      <c r="AE32"/>
      <c r="AF32"/>
    </row>
    <row r="33" spans="1:32" ht="50.1" customHeight="1">
      <c r="A33" s="125">
        <v>29</v>
      </c>
      <c r="B33" s="125" t="s">
        <v>875</v>
      </c>
      <c r="C33" s="125" t="s">
        <v>1862</v>
      </c>
      <c r="D33" s="444" t="s">
        <v>1871</v>
      </c>
      <c r="E33" s="444" t="s">
        <v>1870</v>
      </c>
      <c r="F33" s="446" t="s">
        <v>1869</v>
      </c>
      <c r="G33" s="444" t="s">
        <v>1858</v>
      </c>
      <c r="H33" s="444" t="s">
        <v>1218</v>
      </c>
      <c r="I33" s="326">
        <f>SUM(J33:M33)</f>
        <v>90</v>
      </c>
      <c r="J33" s="326"/>
      <c r="K33" s="326"/>
      <c r="L33" s="326">
        <v>90</v>
      </c>
      <c r="M33" s="326"/>
      <c r="N33" s="314"/>
      <c r="O33" s="444"/>
      <c r="P33" s="444" t="s">
        <v>98</v>
      </c>
      <c r="Q33" s="444" t="s">
        <v>1868</v>
      </c>
      <c r="R33" s="444" t="s">
        <v>36</v>
      </c>
      <c r="S33" s="444" t="s">
        <v>199</v>
      </c>
      <c r="T33" s="444" t="s">
        <v>1857</v>
      </c>
      <c r="U33" s="444" t="s">
        <v>38</v>
      </c>
      <c r="V33" s="444">
        <f t="shared" si="0"/>
        <v>11</v>
      </c>
      <c r="W33" s="314">
        <v>11</v>
      </c>
      <c r="X33" s="314"/>
      <c r="Y33" s="444" t="s">
        <v>99</v>
      </c>
      <c r="Z33" s="202" t="s">
        <v>6064</v>
      </c>
      <c r="AA33"/>
    </row>
    <row r="34" spans="1:32" ht="50.1" customHeight="1">
      <c r="A34" s="125">
        <v>30</v>
      </c>
      <c r="B34" s="125" t="s">
        <v>1004</v>
      </c>
      <c r="C34" s="125" t="s">
        <v>1862</v>
      </c>
      <c r="D34" s="125" t="s">
        <v>1867</v>
      </c>
      <c r="E34" s="444" t="s">
        <v>1436</v>
      </c>
      <c r="F34" s="446" t="s">
        <v>1866</v>
      </c>
      <c r="G34" s="444" t="s">
        <v>1865</v>
      </c>
      <c r="H34" s="444" t="s">
        <v>312</v>
      </c>
      <c r="I34" s="324">
        <f>SUM(J34:M34)</f>
        <v>1000</v>
      </c>
      <c r="J34" s="324"/>
      <c r="K34" s="324" t="s">
        <v>621</v>
      </c>
      <c r="L34" s="324">
        <v>900</v>
      </c>
      <c r="M34" s="324">
        <v>100</v>
      </c>
      <c r="N34" s="324"/>
      <c r="O34" s="154"/>
      <c r="P34" s="154" t="s">
        <v>41</v>
      </c>
      <c r="Q34" s="125" t="s">
        <v>582</v>
      </c>
      <c r="R34" s="125" t="s">
        <v>36</v>
      </c>
      <c r="S34" s="125" t="s">
        <v>42</v>
      </c>
      <c r="T34" s="125" t="s">
        <v>1864</v>
      </c>
      <c r="U34" s="125" t="s">
        <v>38</v>
      </c>
      <c r="V34" s="125">
        <f t="shared" si="0"/>
        <v>365</v>
      </c>
      <c r="W34" s="314">
        <v>365</v>
      </c>
      <c r="X34" s="324"/>
      <c r="Y34" s="444" t="s">
        <v>1863</v>
      </c>
      <c r="Z34" s="202" t="s">
        <v>6116</v>
      </c>
    </row>
    <row r="35" spans="1:32" s="1" customFormat="1" ht="50.1" customHeight="1">
      <c r="A35" s="125">
        <v>31</v>
      </c>
      <c r="B35" s="147" t="s">
        <v>1004</v>
      </c>
      <c r="C35" s="147" t="s">
        <v>1862</v>
      </c>
      <c r="D35" s="147" t="s">
        <v>1861</v>
      </c>
      <c r="E35" s="444" t="s">
        <v>1860</v>
      </c>
      <c r="F35" s="446" t="s">
        <v>1859</v>
      </c>
      <c r="G35" s="444" t="s">
        <v>1858</v>
      </c>
      <c r="H35" s="114" t="s">
        <v>564</v>
      </c>
      <c r="I35" s="227">
        <f>SUM(J35:M35)</f>
        <v>250</v>
      </c>
      <c r="J35" s="227"/>
      <c r="K35" s="227"/>
      <c r="L35" s="227">
        <v>250</v>
      </c>
      <c r="M35" s="227"/>
      <c r="N35" s="227"/>
      <c r="O35" s="149"/>
      <c r="P35" s="149" t="s">
        <v>41</v>
      </c>
      <c r="Q35" s="147" t="s">
        <v>1772</v>
      </c>
      <c r="R35" s="147" t="s">
        <v>36</v>
      </c>
      <c r="S35" s="147" t="s">
        <v>199</v>
      </c>
      <c r="T35" s="147" t="s">
        <v>1857</v>
      </c>
      <c r="U35" s="147" t="s">
        <v>38</v>
      </c>
      <c r="V35" s="147">
        <f t="shared" si="0"/>
        <v>84</v>
      </c>
      <c r="W35" s="145">
        <v>84</v>
      </c>
      <c r="X35" s="227"/>
      <c r="Y35" s="114" t="s">
        <v>507</v>
      </c>
      <c r="Z35" s="152" t="s">
        <v>1148</v>
      </c>
    </row>
    <row r="36" spans="1:32" ht="50.1" customHeight="1">
      <c r="A36" s="125">
        <v>32</v>
      </c>
      <c r="B36" s="125" t="s">
        <v>875</v>
      </c>
      <c r="C36" s="125" t="s">
        <v>1837</v>
      </c>
      <c r="D36" s="125" t="s">
        <v>1856</v>
      </c>
      <c r="E36" s="444" t="s">
        <v>1855</v>
      </c>
      <c r="F36" s="446" t="s">
        <v>1854</v>
      </c>
      <c r="G36" s="444" t="s">
        <v>1853</v>
      </c>
      <c r="H36" s="444" t="s">
        <v>174</v>
      </c>
      <c r="I36" s="324">
        <v>280</v>
      </c>
      <c r="J36" s="324"/>
      <c r="K36" s="324"/>
      <c r="L36" s="324">
        <v>280</v>
      </c>
      <c r="M36" s="324"/>
      <c r="N36" s="324"/>
      <c r="O36" s="154"/>
      <c r="P36" s="154" t="s">
        <v>67</v>
      </c>
      <c r="Q36" s="125" t="s">
        <v>1852</v>
      </c>
      <c r="R36" s="125" t="s">
        <v>36</v>
      </c>
      <c r="S36" s="125" t="s">
        <v>1277</v>
      </c>
      <c r="T36" s="125" t="s">
        <v>1292</v>
      </c>
      <c r="U36" s="125" t="s">
        <v>37</v>
      </c>
      <c r="V36" s="125">
        <f t="shared" si="0"/>
        <v>50.5</v>
      </c>
      <c r="W36" s="314">
        <v>50.5</v>
      </c>
      <c r="X36" s="324"/>
      <c r="Y36" s="444" t="s">
        <v>1851</v>
      </c>
      <c r="Z36" s="202" t="s">
        <v>6030</v>
      </c>
      <c r="AA36"/>
      <c r="AB36"/>
      <c r="AC36"/>
      <c r="AD36"/>
      <c r="AE36"/>
      <c r="AF36"/>
    </row>
    <row r="37" spans="1:32" ht="50.1" customHeight="1">
      <c r="A37" s="125">
        <v>33</v>
      </c>
      <c r="B37" s="125" t="s">
        <v>1004</v>
      </c>
      <c r="C37" s="125" t="s">
        <v>1837</v>
      </c>
      <c r="D37" s="125" t="s">
        <v>1850</v>
      </c>
      <c r="E37" s="444" t="s">
        <v>1219</v>
      </c>
      <c r="F37" s="446" t="s">
        <v>1849</v>
      </c>
      <c r="G37" s="444" t="s">
        <v>1848</v>
      </c>
      <c r="H37" s="444" t="s">
        <v>244</v>
      </c>
      <c r="I37" s="324">
        <v>610</v>
      </c>
      <c r="J37" s="324"/>
      <c r="K37" s="324">
        <v>110</v>
      </c>
      <c r="L37" s="324">
        <v>500</v>
      </c>
      <c r="M37" s="324"/>
      <c r="N37" s="324"/>
      <c r="O37" s="154"/>
      <c r="P37" s="149" t="s">
        <v>6</v>
      </c>
      <c r="Q37" s="147" t="s">
        <v>1847</v>
      </c>
      <c r="R37" s="147" t="s">
        <v>36</v>
      </c>
      <c r="S37" s="147" t="s">
        <v>42</v>
      </c>
      <c r="T37" s="147" t="s">
        <v>1292</v>
      </c>
      <c r="U37" s="147" t="s">
        <v>37</v>
      </c>
      <c r="V37" s="147">
        <f t="shared" si="0"/>
        <v>55</v>
      </c>
      <c r="W37" s="145">
        <v>55</v>
      </c>
      <c r="X37" s="227"/>
      <c r="Y37" s="147" t="s">
        <v>507</v>
      </c>
      <c r="Z37" s="137" t="s">
        <v>1148</v>
      </c>
      <c r="AA37"/>
      <c r="AB37"/>
      <c r="AC37"/>
      <c r="AD37"/>
      <c r="AE37"/>
      <c r="AF37"/>
    </row>
    <row r="38" spans="1:32" s="1" customFormat="1" ht="50.1" customHeight="1">
      <c r="A38" s="125">
        <v>34</v>
      </c>
      <c r="B38" s="147" t="s">
        <v>1004</v>
      </c>
      <c r="C38" s="147" t="s">
        <v>1837</v>
      </c>
      <c r="D38" s="147" t="s">
        <v>1846</v>
      </c>
      <c r="E38" s="444" t="s">
        <v>1219</v>
      </c>
      <c r="F38" s="446" t="s">
        <v>1845</v>
      </c>
      <c r="G38" s="444" t="s">
        <v>1844</v>
      </c>
      <c r="H38" s="114" t="s">
        <v>1843</v>
      </c>
      <c r="I38" s="227">
        <v>140</v>
      </c>
      <c r="J38" s="227"/>
      <c r="K38" s="227"/>
      <c r="L38" s="227">
        <v>140</v>
      </c>
      <c r="M38" s="227"/>
      <c r="N38" s="227"/>
      <c r="O38" s="149"/>
      <c r="P38" s="149" t="s">
        <v>6</v>
      </c>
      <c r="Q38" s="147" t="s">
        <v>1842</v>
      </c>
      <c r="R38" s="147" t="s">
        <v>36</v>
      </c>
      <c r="S38" s="147" t="s">
        <v>42</v>
      </c>
      <c r="T38" s="147" t="s">
        <v>1292</v>
      </c>
      <c r="U38" s="147" t="s">
        <v>37</v>
      </c>
      <c r="V38" s="147">
        <f t="shared" si="0"/>
        <v>55</v>
      </c>
      <c r="W38" s="145">
        <v>55</v>
      </c>
      <c r="X38" s="227"/>
      <c r="Y38" s="114" t="s">
        <v>507</v>
      </c>
      <c r="Z38" s="137" t="s">
        <v>1148</v>
      </c>
      <c r="AA38"/>
      <c r="AB38"/>
      <c r="AC38"/>
      <c r="AD38"/>
      <c r="AE38"/>
      <c r="AF38"/>
    </row>
    <row r="39" spans="1:32" s="1" customFormat="1" ht="50.1" customHeight="1">
      <c r="A39" s="125">
        <v>35</v>
      </c>
      <c r="B39" s="147" t="s">
        <v>875</v>
      </c>
      <c r="C39" s="147" t="s">
        <v>1837</v>
      </c>
      <c r="D39" s="147" t="s">
        <v>1299</v>
      </c>
      <c r="E39" s="444" t="s">
        <v>1619</v>
      </c>
      <c r="F39" s="446" t="s">
        <v>1841</v>
      </c>
      <c r="G39" s="444" t="s">
        <v>1840</v>
      </c>
      <c r="H39" s="114" t="s">
        <v>1839</v>
      </c>
      <c r="I39" s="227">
        <v>160</v>
      </c>
      <c r="J39" s="227"/>
      <c r="K39" s="227"/>
      <c r="L39" s="227">
        <v>160</v>
      </c>
      <c r="M39" s="227"/>
      <c r="N39" s="227"/>
      <c r="O39" s="149"/>
      <c r="P39" s="149" t="s">
        <v>7</v>
      </c>
      <c r="Q39" s="147" t="s">
        <v>7</v>
      </c>
      <c r="R39" s="147" t="s">
        <v>36</v>
      </c>
      <c r="S39" s="147" t="s">
        <v>1277</v>
      </c>
      <c r="T39" s="147" t="s">
        <v>1292</v>
      </c>
      <c r="U39" s="147" t="s">
        <v>37</v>
      </c>
      <c r="V39" s="147">
        <f t="shared" si="0"/>
        <v>60</v>
      </c>
      <c r="W39" s="145">
        <v>60</v>
      </c>
      <c r="X39" s="227"/>
      <c r="Y39" s="114" t="s">
        <v>1838</v>
      </c>
      <c r="Z39" s="151" t="s">
        <v>2720</v>
      </c>
      <c r="AA39"/>
      <c r="AB39"/>
      <c r="AC39"/>
      <c r="AD39"/>
      <c r="AE39"/>
      <c r="AF39"/>
    </row>
    <row r="40" spans="1:32" ht="50.1" customHeight="1">
      <c r="A40" s="125">
        <v>36</v>
      </c>
      <c r="B40" s="125" t="s">
        <v>875</v>
      </c>
      <c r="C40" s="125" t="s">
        <v>1837</v>
      </c>
      <c r="D40" s="444" t="s">
        <v>1836</v>
      </c>
      <c r="E40" s="444" t="s">
        <v>1619</v>
      </c>
      <c r="F40" s="446" t="s">
        <v>1835</v>
      </c>
      <c r="G40" s="444" t="s">
        <v>1834</v>
      </c>
      <c r="H40" s="444" t="s">
        <v>367</v>
      </c>
      <c r="I40" s="314">
        <v>70</v>
      </c>
      <c r="J40" s="314"/>
      <c r="K40" s="314"/>
      <c r="L40" s="314">
        <v>70</v>
      </c>
      <c r="M40" s="314"/>
      <c r="N40" s="314"/>
      <c r="O40" s="444"/>
      <c r="P40" s="444" t="s">
        <v>6</v>
      </c>
      <c r="Q40" s="444" t="s">
        <v>1442</v>
      </c>
      <c r="R40" s="444" t="s">
        <v>36</v>
      </c>
      <c r="S40" s="444" t="s">
        <v>246</v>
      </c>
      <c r="T40" s="444" t="s">
        <v>1292</v>
      </c>
      <c r="U40" s="444" t="s">
        <v>37</v>
      </c>
      <c r="V40" s="444">
        <v>7</v>
      </c>
      <c r="W40" s="314">
        <v>6.5</v>
      </c>
      <c r="X40" s="314">
        <v>0.5</v>
      </c>
      <c r="Y40" s="444" t="s">
        <v>1833</v>
      </c>
      <c r="Z40" s="137" t="s">
        <v>2720</v>
      </c>
      <c r="AA40"/>
      <c r="AB40"/>
      <c r="AC40"/>
      <c r="AD40"/>
      <c r="AE40"/>
      <c r="AF40"/>
    </row>
    <row r="41" spans="1:32" ht="50.1" customHeight="1">
      <c r="A41" s="125">
        <v>37</v>
      </c>
      <c r="B41" s="125" t="s">
        <v>875</v>
      </c>
      <c r="C41" s="125" t="s">
        <v>1806</v>
      </c>
      <c r="D41" s="444" t="s">
        <v>1832</v>
      </c>
      <c r="E41" s="444" t="s">
        <v>1219</v>
      </c>
      <c r="F41" s="446" t="s">
        <v>1831</v>
      </c>
      <c r="G41" s="444" t="s">
        <v>1830</v>
      </c>
      <c r="H41" s="444">
        <v>2007</v>
      </c>
      <c r="I41" s="314">
        <v>800</v>
      </c>
      <c r="J41" s="314"/>
      <c r="K41" s="314">
        <v>800</v>
      </c>
      <c r="L41" s="314"/>
      <c r="M41" s="314"/>
      <c r="N41" s="314"/>
      <c r="O41" s="444"/>
      <c r="P41" s="444" t="s">
        <v>7</v>
      </c>
      <c r="Q41" s="444" t="s">
        <v>1829</v>
      </c>
      <c r="R41" s="444" t="s">
        <v>36</v>
      </c>
      <c r="S41" s="444" t="s">
        <v>42</v>
      </c>
      <c r="T41" s="444" t="s">
        <v>1293</v>
      </c>
      <c r="U41" s="444" t="s">
        <v>38</v>
      </c>
      <c r="V41" s="444" t="s">
        <v>43</v>
      </c>
      <c r="W41" s="314" t="s">
        <v>43</v>
      </c>
      <c r="X41" s="314" t="s">
        <v>43</v>
      </c>
      <c r="Y41" s="444" t="s">
        <v>1828</v>
      </c>
      <c r="Z41" s="137" t="s">
        <v>1148</v>
      </c>
      <c r="AA41"/>
      <c r="AB41"/>
      <c r="AC41"/>
      <c r="AD41"/>
      <c r="AE41"/>
      <c r="AF41"/>
    </row>
    <row r="42" spans="1:32" ht="50.1" customHeight="1">
      <c r="A42" s="125">
        <v>38</v>
      </c>
      <c r="B42" s="125" t="s">
        <v>875</v>
      </c>
      <c r="C42" s="125" t="s">
        <v>1806</v>
      </c>
      <c r="D42" s="444" t="s">
        <v>1827</v>
      </c>
      <c r="E42" s="103" t="s">
        <v>1217</v>
      </c>
      <c r="F42" s="446" t="s">
        <v>1826</v>
      </c>
      <c r="G42" s="444" t="s">
        <v>1825</v>
      </c>
      <c r="H42" s="444" t="s">
        <v>1824</v>
      </c>
      <c r="I42" s="314">
        <v>60</v>
      </c>
      <c r="J42" s="314"/>
      <c r="K42" s="314"/>
      <c r="L42" s="314">
        <v>60</v>
      </c>
      <c r="M42" s="314"/>
      <c r="N42" s="314"/>
      <c r="O42" s="444"/>
      <c r="P42" s="444" t="s">
        <v>6</v>
      </c>
      <c r="Q42" s="444" t="s">
        <v>1294</v>
      </c>
      <c r="R42" s="444" t="s">
        <v>885</v>
      </c>
      <c r="S42" s="444" t="s">
        <v>246</v>
      </c>
      <c r="T42" s="444" t="s">
        <v>49</v>
      </c>
      <c r="U42" s="444" t="s">
        <v>53</v>
      </c>
      <c r="V42" s="444">
        <f>SUM(W42:X42)</f>
        <v>10</v>
      </c>
      <c r="W42" s="314">
        <v>10</v>
      </c>
      <c r="X42" s="314"/>
      <c r="Y42" s="444" t="s">
        <v>64</v>
      </c>
      <c r="Z42" s="137" t="s">
        <v>1148</v>
      </c>
      <c r="AA42"/>
      <c r="AB42"/>
      <c r="AC42"/>
      <c r="AD42"/>
      <c r="AE42"/>
      <c r="AF42"/>
    </row>
    <row r="43" spans="1:32" ht="50.1" customHeight="1">
      <c r="A43" s="125">
        <v>39</v>
      </c>
      <c r="B43" s="125" t="s">
        <v>875</v>
      </c>
      <c r="C43" s="125" t="s">
        <v>1806</v>
      </c>
      <c r="D43" s="444" t="s">
        <v>1823</v>
      </c>
      <c r="E43" s="444" t="s">
        <v>1822</v>
      </c>
      <c r="F43" s="446" t="s">
        <v>1821</v>
      </c>
      <c r="G43" s="444" t="s">
        <v>1820</v>
      </c>
      <c r="H43" s="444" t="s">
        <v>485</v>
      </c>
      <c r="I43" s="314">
        <v>50</v>
      </c>
      <c r="J43" s="314"/>
      <c r="K43" s="314"/>
      <c r="L43" s="314"/>
      <c r="M43" s="314">
        <v>50</v>
      </c>
      <c r="N43" s="314"/>
      <c r="O43" s="444"/>
      <c r="P43" s="444" t="s">
        <v>6</v>
      </c>
      <c r="Q43" s="444" t="s">
        <v>1476</v>
      </c>
      <c r="R43" s="444" t="s">
        <v>36</v>
      </c>
      <c r="S43" s="444" t="s">
        <v>42</v>
      </c>
      <c r="T43" s="444" t="s">
        <v>1292</v>
      </c>
      <c r="U43" s="444" t="s">
        <v>38</v>
      </c>
      <c r="V43" s="444">
        <f>SUM(W43:X43)</f>
        <v>138</v>
      </c>
      <c r="W43" s="314">
        <v>138</v>
      </c>
      <c r="X43" s="314"/>
      <c r="Y43" s="444" t="s">
        <v>64</v>
      </c>
      <c r="Z43" s="137"/>
    </row>
    <row r="44" spans="1:32" ht="50.1" customHeight="1">
      <c r="A44" s="125">
        <v>40</v>
      </c>
      <c r="B44" s="125" t="s">
        <v>875</v>
      </c>
      <c r="C44" s="125" t="s">
        <v>1806</v>
      </c>
      <c r="D44" s="153" t="s">
        <v>1819</v>
      </c>
      <c r="E44" s="444" t="s">
        <v>1818</v>
      </c>
      <c r="F44" s="446" t="s">
        <v>1817</v>
      </c>
      <c r="G44" s="444" t="s">
        <v>1816</v>
      </c>
      <c r="H44" s="444" t="s">
        <v>321</v>
      </c>
      <c r="I44" s="314">
        <v>70</v>
      </c>
      <c r="J44" s="314"/>
      <c r="K44" s="314">
        <v>70</v>
      </c>
      <c r="L44" s="314"/>
      <c r="M44" s="314"/>
      <c r="N44" s="314"/>
      <c r="O44" s="444"/>
      <c r="P44" s="444" t="s">
        <v>7</v>
      </c>
      <c r="Q44" s="444" t="s">
        <v>500</v>
      </c>
      <c r="R44" s="444" t="s">
        <v>36</v>
      </c>
      <c r="S44" s="444" t="s">
        <v>566</v>
      </c>
      <c r="T44" s="444" t="s">
        <v>49</v>
      </c>
      <c r="U44" s="444" t="s">
        <v>38</v>
      </c>
      <c r="V44" s="444">
        <f>SUM(W44:X44)</f>
        <v>5</v>
      </c>
      <c r="W44" s="314">
        <v>5</v>
      </c>
      <c r="X44" s="314"/>
      <c r="Y44" s="444" t="s">
        <v>64</v>
      </c>
      <c r="Z44" s="137" t="s">
        <v>6026</v>
      </c>
      <c r="AA44"/>
      <c r="AB44"/>
      <c r="AC44"/>
      <c r="AD44"/>
      <c r="AE44"/>
      <c r="AF44"/>
    </row>
    <row r="45" spans="1:32" ht="50.1" customHeight="1">
      <c r="A45" s="125">
        <v>41</v>
      </c>
      <c r="B45" s="125" t="s">
        <v>1004</v>
      </c>
      <c r="C45" s="125" t="s">
        <v>1806</v>
      </c>
      <c r="D45" s="444" t="s">
        <v>1815</v>
      </c>
      <c r="E45" s="444" t="s">
        <v>1814</v>
      </c>
      <c r="F45" s="446" t="s">
        <v>1813</v>
      </c>
      <c r="G45" s="444" t="s">
        <v>1812</v>
      </c>
      <c r="H45" s="444" t="s">
        <v>798</v>
      </c>
      <c r="I45" s="314">
        <v>50</v>
      </c>
      <c r="J45" s="314"/>
      <c r="K45" s="314">
        <v>50</v>
      </c>
      <c r="L45" s="314"/>
      <c r="M45" s="314"/>
      <c r="N45" s="314"/>
      <c r="O45" s="444"/>
      <c r="P45" s="444" t="s">
        <v>6</v>
      </c>
      <c r="Q45" s="444" t="s">
        <v>1811</v>
      </c>
      <c r="R45" s="444" t="s">
        <v>36</v>
      </c>
      <c r="S45" s="444" t="s">
        <v>42</v>
      </c>
      <c r="T45" s="444" t="s">
        <v>43</v>
      </c>
      <c r="U45" s="444" t="s">
        <v>38</v>
      </c>
      <c r="V45" s="444">
        <f>SUM(W45:X45)</f>
        <v>6.1</v>
      </c>
      <c r="W45" s="314">
        <v>6</v>
      </c>
      <c r="X45" s="314">
        <v>0.1</v>
      </c>
      <c r="Y45" s="444" t="s">
        <v>1300</v>
      </c>
      <c r="Z45" s="137" t="s">
        <v>1148</v>
      </c>
      <c r="AA45"/>
      <c r="AB45"/>
      <c r="AC45"/>
      <c r="AD45"/>
      <c r="AE45"/>
      <c r="AF45"/>
    </row>
    <row r="46" spans="1:32" ht="50.1" customHeight="1">
      <c r="A46" s="125">
        <v>42</v>
      </c>
      <c r="B46" s="125" t="s">
        <v>875</v>
      </c>
      <c r="C46" s="125" t="s">
        <v>1806</v>
      </c>
      <c r="D46" s="444" t="s">
        <v>1810</v>
      </c>
      <c r="E46" s="444" t="s">
        <v>1526</v>
      </c>
      <c r="F46" s="446" t="s">
        <v>1809</v>
      </c>
      <c r="G46" s="444" t="s">
        <v>1808</v>
      </c>
      <c r="H46" s="444" t="s">
        <v>179</v>
      </c>
      <c r="I46" s="314">
        <v>20</v>
      </c>
      <c r="J46" s="314"/>
      <c r="K46" s="314">
        <v>20</v>
      </c>
      <c r="L46" s="314"/>
      <c r="M46" s="314"/>
      <c r="N46" s="314"/>
      <c r="O46" s="444"/>
      <c r="P46" s="444" t="s">
        <v>6</v>
      </c>
      <c r="Q46" s="444" t="s">
        <v>1807</v>
      </c>
      <c r="R46" s="444" t="s">
        <v>36</v>
      </c>
      <c r="S46" s="444" t="s">
        <v>42</v>
      </c>
      <c r="T46" s="444" t="s">
        <v>43</v>
      </c>
      <c r="U46" s="444" t="s">
        <v>38</v>
      </c>
      <c r="V46" s="444" t="s">
        <v>43</v>
      </c>
      <c r="W46" s="314" t="s">
        <v>43</v>
      </c>
      <c r="X46" s="314" t="s">
        <v>43</v>
      </c>
      <c r="Y46" s="444" t="s">
        <v>1300</v>
      </c>
      <c r="Z46" s="137" t="s">
        <v>1148</v>
      </c>
      <c r="AA46"/>
      <c r="AB46"/>
      <c r="AC46"/>
      <c r="AD46"/>
      <c r="AE46"/>
      <c r="AF46"/>
    </row>
    <row r="47" spans="1:32" s="1" customFormat="1" ht="50.1" customHeight="1">
      <c r="A47" s="125">
        <v>43</v>
      </c>
      <c r="B47" s="147" t="s">
        <v>875</v>
      </c>
      <c r="C47" s="147" t="s">
        <v>1806</v>
      </c>
      <c r="D47" s="147" t="s">
        <v>1805</v>
      </c>
      <c r="E47" s="444" t="s">
        <v>1804</v>
      </c>
      <c r="F47" s="446" t="s">
        <v>1803</v>
      </c>
      <c r="G47" s="444" t="s">
        <v>1802</v>
      </c>
      <c r="H47" s="114" t="s">
        <v>811</v>
      </c>
      <c r="I47" s="227">
        <v>50</v>
      </c>
      <c r="J47" s="227"/>
      <c r="K47" s="227"/>
      <c r="L47" s="227">
        <v>50</v>
      </c>
      <c r="M47" s="227"/>
      <c r="N47" s="227"/>
      <c r="O47" s="147" t="s">
        <v>469</v>
      </c>
      <c r="P47" s="147" t="s">
        <v>7</v>
      </c>
      <c r="Q47" s="147" t="s">
        <v>1801</v>
      </c>
      <c r="R47" s="147" t="s">
        <v>36</v>
      </c>
      <c r="S47" s="147" t="s">
        <v>1800</v>
      </c>
      <c r="T47" s="114" t="s">
        <v>1292</v>
      </c>
      <c r="U47" s="147" t="s">
        <v>1799</v>
      </c>
      <c r="V47" s="147">
        <v>5</v>
      </c>
      <c r="W47" s="145">
        <v>5</v>
      </c>
      <c r="X47" s="230"/>
      <c r="Y47" s="114" t="s">
        <v>1798</v>
      </c>
      <c r="Z47" s="151" t="s">
        <v>1148</v>
      </c>
      <c r="AA47"/>
      <c r="AB47"/>
      <c r="AC47"/>
      <c r="AD47"/>
      <c r="AE47"/>
      <c r="AF47"/>
    </row>
    <row r="48" spans="1:32" ht="50.1" customHeight="1">
      <c r="A48" s="125">
        <v>44</v>
      </c>
      <c r="B48" s="125" t="s">
        <v>875</v>
      </c>
      <c r="C48" s="125" t="s">
        <v>1769</v>
      </c>
      <c r="D48" s="444" t="s">
        <v>1797</v>
      </c>
      <c r="E48" s="444" t="s">
        <v>1796</v>
      </c>
      <c r="F48" s="446" t="s">
        <v>1795</v>
      </c>
      <c r="G48" s="444" t="s">
        <v>1794</v>
      </c>
      <c r="H48" s="444" t="s">
        <v>426</v>
      </c>
      <c r="I48" s="314">
        <f>SUM(J48:L48)</f>
        <v>1100</v>
      </c>
      <c r="J48" s="314"/>
      <c r="K48" s="314">
        <v>612</v>
      </c>
      <c r="L48" s="314">
        <v>488</v>
      </c>
      <c r="M48" s="314" t="s">
        <v>43</v>
      </c>
      <c r="N48" s="314"/>
      <c r="O48" s="445"/>
      <c r="P48" s="445" t="s">
        <v>7</v>
      </c>
      <c r="Q48" s="445" t="s">
        <v>1793</v>
      </c>
      <c r="R48" s="445" t="s">
        <v>36</v>
      </c>
      <c r="S48" s="445" t="s">
        <v>1792</v>
      </c>
      <c r="T48" s="445" t="s">
        <v>1791</v>
      </c>
      <c r="U48" s="445" t="s">
        <v>343</v>
      </c>
      <c r="V48" s="147">
        <f>SUM(W48:X48)</f>
        <v>216</v>
      </c>
      <c r="W48" s="145">
        <v>212</v>
      </c>
      <c r="X48" s="218">
        <v>4</v>
      </c>
      <c r="Y48" s="445" t="s">
        <v>1790</v>
      </c>
      <c r="Z48" s="202" t="s">
        <v>6125</v>
      </c>
      <c r="AA48"/>
      <c r="AB48"/>
      <c r="AC48"/>
      <c r="AD48"/>
      <c r="AE48"/>
      <c r="AF48"/>
    </row>
    <row r="49" spans="1:32" s="1" customFormat="1" ht="50.1" customHeight="1">
      <c r="A49" s="125">
        <v>45</v>
      </c>
      <c r="B49" s="126" t="s">
        <v>875</v>
      </c>
      <c r="C49" s="126" t="s">
        <v>1769</v>
      </c>
      <c r="D49" s="445" t="s">
        <v>1789</v>
      </c>
      <c r="E49" s="444" t="s">
        <v>1217</v>
      </c>
      <c r="F49" s="446" t="s">
        <v>1788</v>
      </c>
      <c r="G49" s="444" t="s">
        <v>2706</v>
      </c>
      <c r="H49" s="445" t="s">
        <v>1354</v>
      </c>
      <c r="I49" s="145">
        <v>210</v>
      </c>
      <c r="J49" s="145">
        <v>0</v>
      </c>
      <c r="K49" s="145">
        <v>0</v>
      </c>
      <c r="L49" s="145">
        <v>210</v>
      </c>
      <c r="M49" s="145">
        <v>0</v>
      </c>
      <c r="N49" s="145"/>
      <c r="O49" s="445"/>
      <c r="P49" s="445" t="s">
        <v>6</v>
      </c>
      <c r="Q49" s="445" t="s">
        <v>1787</v>
      </c>
      <c r="R49" s="445" t="s">
        <v>36</v>
      </c>
      <c r="S49" s="445" t="s">
        <v>199</v>
      </c>
      <c r="T49" s="445" t="s">
        <v>1786</v>
      </c>
      <c r="U49" s="445" t="s">
        <v>1785</v>
      </c>
      <c r="V49" s="445">
        <f>SUM(W49:X49)</f>
        <v>30</v>
      </c>
      <c r="W49" s="145">
        <v>30</v>
      </c>
      <c r="X49" s="145">
        <v>0</v>
      </c>
      <c r="Y49" s="445" t="s">
        <v>1784</v>
      </c>
      <c r="Z49" s="202" t="s">
        <v>6019</v>
      </c>
      <c r="AA49"/>
      <c r="AB49"/>
      <c r="AC49"/>
      <c r="AD49"/>
      <c r="AE49"/>
      <c r="AF49"/>
    </row>
    <row r="50" spans="1:32" ht="50.1" customHeight="1">
      <c r="A50" s="125">
        <v>46</v>
      </c>
      <c r="B50" s="125" t="s">
        <v>875</v>
      </c>
      <c r="C50" s="125" t="s">
        <v>1769</v>
      </c>
      <c r="D50" s="444" t="s">
        <v>1783</v>
      </c>
      <c r="E50" s="444" t="s">
        <v>1782</v>
      </c>
      <c r="F50" s="446" t="s">
        <v>1781</v>
      </c>
      <c r="G50" s="444" t="s">
        <v>1780</v>
      </c>
      <c r="H50" s="444" t="s">
        <v>1779</v>
      </c>
      <c r="I50" s="314">
        <v>200</v>
      </c>
      <c r="J50" s="314"/>
      <c r="K50" s="314">
        <v>60</v>
      </c>
      <c r="L50" s="314">
        <v>140</v>
      </c>
      <c r="M50" s="314"/>
      <c r="N50" s="314"/>
      <c r="O50" s="444"/>
      <c r="P50" s="445" t="s">
        <v>7</v>
      </c>
      <c r="Q50" s="445" t="s">
        <v>1778</v>
      </c>
      <c r="R50" s="445" t="s">
        <v>36</v>
      </c>
      <c r="S50" s="445" t="s">
        <v>246</v>
      </c>
      <c r="T50" s="445" t="s">
        <v>1777</v>
      </c>
      <c r="U50" s="445" t="s">
        <v>38</v>
      </c>
      <c r="V50" s="445">
        <v>4</v>
      </c>
      <c r="W50" s="145">
        <v>4</v>
      </c>
      <c r="X50" s="145">
        <v>0</v>
      </c>
      <c r="Y50" s="445" t="s">
        <v>1455</v>
      </c>
      <c r="Z50" s="202" t="s">
        <v>1148</v>
      </c>
      <c r="AA50"/>
      <c r="AB50"/>
      <c r="AC50"/>
      <c r="AD50"/>
      <c r="AE50"/>
      <c r="AF50"/>
    </row>
    <row r="51" spans="1:32" ht="50.1" customHeight="1">
      <c r="A51" s="125">
        <v>47</v>
      </c>
      <c r="B51" s="125" t="s">
        <v>875</v>
      </c>
      <c r="C51" s="125" t="s">
        <v>1769</v>
      </c>
      <c r="D51" s="444" t="s">
        <v>1776</v>
      </c>
      <c r="E51" s="444" t="s">
        <v>1018</v>
      </c>
      <c r="F51" s="446" t="s">
        <v>1775</v>
      </c>
      <c r="G51" s="444" t="s">
        <v>1774</v>
      </c>
      <c r="H51" s="444" t="s">
        <v>1773</v>
      </c>
      <c r="I51" s="324">
        <v>400</v>
      </c>
      <c r="J51" s="324"/>
      <c r="K51" s="324">
        <v>360</v>
      </c>
      <c r="L51" s="324"/>
      <c r="M51" s="324">
        <v>40</v>
      </c>
      <c r="N51" s="324"/>
      <c r="O51" s="125"/>
      <c r="P51" s="147" t="s">
        <v>6</v>
      </c>
      <c r="Q51" s="147" t="s">
        <v>1772</v>
      </c>
      <c r="R51" s="147" t="s">
        <v>36</v>
      </c>
      <c r="S51" s="147" t="s">
        <v>199</v>
      </c>
      <c r="T51" s="147" t="s">
        <v>1771</v>
      </c>
      <c r="U51" s="114" t="s">
        <v>37</v>
      </c>
      <c r="V51" s="147">
        <f>SUM(W51:X51)</f>
        <v>350</v>
      </c>
      <c r="W51" s="145">
        <v>350</v>
      </c>
      <c r="X51" s="227"/>
      <c r="Y51" s="147" t="s">
        <v>1770</v>
      </c>
      <c r="Z51" s="152" t="s">
        <v>6117</v>
      </c>
    </row>
    <row r="52" spans="1:32" ht="50.1" customHeight="1">
      <c r="A52" s="125">
        <v>48</v>
      </c>
      <c r="B52" s="125" t="s">
        <v>875</v>
      </c>
      <c r="C52" s="125" t="s">
        <v>1769</v>
      </c>
      <c r="D52" s="444" t="s">
        <v>1301</v>
      </c>
      <c r="E52" s="444" t="s">
        <v>1768</v>
      </c>
      <c r="F52" s="446" t="s">
        <v>1767</v>
      </c>
      <c r="G52" s="444" t="s">
        <v>1766</v>
      </c>
      <c r="H52" s="444" t="s">
        <v>1765</v>
      </c>
      <c r="I52" s="314">
        <v>210</v>
      </c>
      <c r="J52" s="314"/>
      <c r="K52" s="314"/>
      <c r="L52" s="314">
        <v>210</v>
      </c>
      <c r="M52" s="314"/>
      <c r="N52" s="314"/>
      <c r="O52" s="444"/>
      <c r="P52" s="444" t="s">
        <v>6</v>
      </c>
      <c r="Q52" s="444" t="s">
        <v>1764</v>
      </c>
      <c r="R52" s="444" t="s">
        <v>36</v>
      </c>
      <c r="S52" s="444" t="s">
        <v>42</v>
      </c>
      <c r="T52" s="444" t="s">
        <v>1293</v>
      </c>
      <c r="U52" s="444" t="s">
        <v>37</v>
      </c>
      <c r="V52" s="444">
        <f>SUM(W52:X52)</f>
        <v>50</v>
      </c>
      <c r="W52" s="314">
        <v>50</v>
      </c>
      <c r="X52" s="314"/>
      <c r="Y52" s="444" t="s">
        <v>1371</v>
      </c>
      <c r="Z52" s="137" t="s">
        <v>6121</v>
      </c>
      <c r="AA52"/>
      <c r="AB52"/>
      <c r="AC52"/>
      <c r="AD52"/>
      <c r="AE52"/>
      <c r="AF52"/>
    </row>
    <row r="53" spans="1:32" ht="50.1" customHeight="1">
      <c r="A53" s="125">
        <v>49</v>
      </c>
      <c r="B53" s="125" t="s">
        <v>875</v>
      </c>
      <c r="C53" s="125" t="s">
        <v>1751</v>
      </c>
      <c r="D53" s="444" t="s">
        <v>1763</v>
      </c>
      <c r="E53" s="444" t="s">
        <v>1762</v>
      </c>
      <c r="F53" s="446" t="s">
        <v>1761</v>
      </c>
      <c r="G53" s="444" t="s">
        <v>1760</v>
      </c>
      <c r="H53" s="444" t="s">
        <v>1759</v>
      </c>
      <c r="I53" s="314">
        <v>550</v>
      </c>
      <c r="J53" s="314">
        <v>0</v>
      </c>
      <c r="K53" s="314">
        <v>165</v>
      </c>
      <c r="L53" s="314">
        <v>385</v>
      </c>
      <c r="M53" s="314">
        <v>0</v>
      </c>
      <c r="N53" s="314"/>
      <c r="O53" s="444"/>
      <c r="P53" s="444" t="s">
        <v>52</v>
      </c>
      <c r="Q53" s="444" t="s">
        <v>1758</v>
      </c>
      <c r="R53" s="444" t="s">
        <v>36</v>
      </c>
      <c r="S53" s="444" t="s">
        <v>246</v>
      </c>
      <c r="T53" s="444" t="s">
        <v>1475</v>
      </c>
      <c r="U53" s="444" t="s">
        <v>37</v>
      </c>
      <c r="V53" s="444">
        <f>SUM(W53:X53)</f>
        <v>100</v>
      </c>
      <c r="W53" s="314">
        <v>100</v>
      </c>
      <c r="X53" s="314"/>
      <c r="Y53" s="444" t="s">
        <v>234</v>
      </c>
      <c r="Z53" s="137" t="s">
        <v>1148</v>
      </c>
      <c r="AA53"/>
      <c r="AB53"/>
      <c r="AC53"/>
      <c r="AD53"/>
      <c r="AE53"/>
      <c r="AF53"/>
    </row>
    <row r="54" spans="1:32" ht="50.1" customHeight="1">
      <c r="A54" s="125">
        <v>50</v>
      </c>
      <c r="B54" s="125" t="s">
        <v>875</v>
      </c>
      <c r="C54" s="125" t="s">
        <v>1751</v>
      </c>
      <c r="D54" s="444" t="s">
        <v>1757</v>
      </c>
      <c r="E54" s="444" t="s">
        <v>1224</v>
      </c>
      <c r="F54" s="446" t="s">
        <v>1756</v>
      </c>
      <c r="G54" s="444" t="s">
        <v>1755</v>
      </c>
      <c r="H54" s="444" t="s">
        <v>1754</v>
      </c>
      <c r="I54" s="314">
        <v>230</v>
      </c>
      <c r="J54" s="314">
        <v>0</v>
      </c>
      <c r="K54" s="314">
        <v>10</v>
      </c>
      <c r="L54" s="314">
        <v>220</v>
      </c>
      <c r="M54" s="314">
        <v>0</v>
      </c>
      <c r="N54" s="314"/>
      <c r="O54" s="444"/>
      <c r="P54" s="444" t="s">
        <v>48</v>
      </c>
      <c r="Q54" s="444" t="s">
        <v>1753</v>
      </c>
      <c r="R54" s="444" t="s">
        <v>36</v>
      </c>
      <c r="S54" s="444" t="s">
        <v>42</v>
      </c>
      <c r="T54" s="444" t="s">
        <v>49</v>
      </c>
      <c r="U54" s="444" t="s">
        <v>37</v>
      </c>
      <c r="V54" s="444">
        <v>30</v>
      </c>
      <c r="W54" s="314">
        <v>30</v>
      </c>
      <c r="X54" s="314"/>
      <c r="Y54" s="444" t="s">
        <v>1752</v>
      </c>
      <c r="Z54" s="137" t="s">
        <v>2716</v>
      </c>
      <c r="AA54"/>
      <c r="AB54"/>
      <c r="AC54"/>
      <c r="AD54"/>
      <c r="AE54"/>
      <c r="AF54"/>
    </row>
    <row r="55" spans="1:32" ht="50.1" customHeight="1">
      <c r="A55" s="125">
        <v>51</v>
      </c>
      <c r="B55" s="125" t="s">
        <v>875</v>
      </c>
      <c r="C55" s="125" t="s">
        <v>1751</v>
      </c>
      <c r="D55" s="444" t="s">
        <v>1750</v>
      </c>
      <c r="E55" s="444" t="s">
        <v>886</v>
      </c>
      <c r="F55" s="446" t="s">
        <v>1749</v>
      </c>
      <c r="G55" s="444" t="s">
        <v>1748</v>
      </c>
      <c r="H55" s="444" t="s">
        <v>1747</v>
      </c>
      <c r="I55" s="314">
        <v>170</v>
      </c>
      <c r="J55" s="314">
        <v>0</v>
      </c>
      <c r="K55" s="314">
        <v>0</v>
      </c>
      <c r="L55" s="314">
        <v>170</v>
      </c>
      <c r="M55" s="314">
        <v>0</v>
      </c>
      <c r="N55" s="314"/>
      <c r="O55" s="444"/>
      <c r="P55" s="444" t="s">
        <v>41</v>
      </c>
      <c r="Q55" s="444" t="s">
        <v>1746</v>
      </c>
      <c r="R55" s="444" t="s">
        <v>36</v>
      </c>
      <c r="S55" s="444" t="s">
        <v>507</v>
      </c>
      <c r="T55" s="444"/>
      <c r="U55" s="444"/>
      <c r="V55" s="444">
        <f>SUM(W55:X55)</f>
        <v>100</v>
      </c>
      <c r="W55" s="314">
        <v>100</v>
      </c>
      <c r="X55" s="314"/>
      <c r="Y55" s="444" t="s">
        <v>240</v>
      </c>
      <c r="Z55" s="137" t="s">
        <v>2725</v>
      </c>
    </row>
    <row r="56" spans="1:32" ht="50.1" customHeight="1">
      <c r="A56" s="125">
        <v>52</v>
      </c>
      <c r="B56" s="125" t="s">
        <v>875</v>
      </c>
      <c r="C56" s="125" t="s">
        <v>1742</v>
      </c>
      <c r="D56" s="153" t="s">
        <v>1302</v>
      </c>
      <c r="E56" s="444" t="s">
        <v>942</v>
      </c>
      <c r="F56" s="446" t="s">
        <v>1745</v>
      </c>
      <c r="G56" s="444" t="s">
        <v>1744</v>
      </c>
      <c r="H56" s="444" t="s">
        <v>1426</v>
      </c>
      <c r="I56" s="314">
        <v>50</v>
      </c>
      <c r="J56" s="314"/>
      <c r="K56" s="314"/>
      <c r="L56" s="314">
        <v>50</v>
      </c>
      <c r="M56" s="314"/>
      <c r="N56" s="314"/>
      <c r="O56" s="444"/>
      <c r="P56" s="444" t="s">
        <v>46</v>
      </c>
      <c r="Q56" s="444" t="s">
        <v>1743</v>
      </c>
      <c r="R56" s="444" t="s">
        <v>2</v>
      </c>
      <c r="S56" s="444" t="s">
        <v>55</v>
      </c>
      <c r="T56" s="444" t="s">
        <v>49</v>
      </c>
      <c r="U56" s="444" t="s">
        <v>38</v>
      </c>
      <c r="V56" s="444">
        <v>0</v>
      </c>
      <c r="W56" s="314"/>
      <c r="X56" s="314"/>
      <c r="Y56" s="444" t="s">
        <v>64</v>
      </c>
      <c r="Z56" s="137"/>
      <c r="AA56"/>
      <c r="AB56"/>
      <c r="AC56"/>
      <c r="AD56"/>
      <c r="AE56"/>
      <c r="AF56"/>
    </row>
    <row r="57" spans="1:32" ht="75.75" customHeight="1">
      <c r="A57" s="125">
        <v>53</v>
      </c>
      <c r="B57" s="125" t="s">
        <v>875</v>
      </c>
      <c r="C57" s="125" t="s">
        <v>1742</v>
      </c>
      <c r="D57" s="444" t="s">
        <v>1741</v>
      </c>
      <c r="E57" s="444" t="s">
        <v>1151</v>
      </c>
      <c r="F57" s="446" t="s">
        <v>1740</v>
      </c>
      <c r="G57" s="444" t="s">
        <v>1739</v>
      </c>
      <c r="H57" s="444" t="s">
        <v>1426</v>
      </c>
      <c r="I57" s="314">
        <v>150</v>
      </c>
      <c r="J57" s="314"/>
      <c r="K57" s="314"/>
      <c r="L57" s="314">
        <v>150</v>
      </c>
      <c r="M57" s="314"/>
      <c r="N57" s="314"/>
      <c r="O57" s="444"/>
      <c r="P57" s="445" t="s">
        <v>7</v>
      </c>
      <c r="Q57" s="445" t="s">
        <v>1738</v>
      </c>
      <c r="R57" s="445" t="s">
        <v>2</v>
      </c>
      <c r="S57" s="445" t="s">
        <v>55</v>
      </c>
      <c r="T57" s="445" t="s">
        <v>49</v>
      </c>
      <c r="U57" s="445" t="s">
        <v>38</v>
      </c>
      <c r="V57" s="445">
        <v>0</v>
      </c>
      <c r="W57" s="145"/>
      <c r="X57" s="145"/>
      <c r="Y57" s="445" t="s">
        <v>1737</v>
      </c>
      <c r="Z57" s="202" t="s">
        <v>1148</v>
      </c>
      <c r="AA57"/>
      <c r="AB57"/>
      <c r="AC57"/>
      <c r="AD57"/>
      <c r="AE57"/>
      <c r="AF57"/>
    </row>
    <row r="58" spans="1:32" ht="50.1" customHeight="1">
      <c r="A58" s="125">
        <v>54</v>
      </c>
      <c r="B58" s="125" t="s">
        <v>875</v>
      </c>
      <c r="C58" s="125" t="s">
        <v>1731</v>
      </c>
      <c r="D58" s="444" t="s">
        <v>1736</v>
      </c>
      <c r="E58" s="444" t="s">
        <v>1628</v>
      </c>
      <c r="F58" s="446" t="s">
        <v>1735</v>
      </c>
      <c r="G58" s="444" t="s">
        <v>1734</v>
      </c>
      <c r="H58" s="444" t="s">
        <v>485</v>
      </c>
      <c r="I58" s="314">
        <v>430</v>
      </c>
      <c r="J58" s="314">
        <v>0</v>
      </c>
      <c r="K58" s="314">
        <v>130</v>
      </c>
      <c r="L58" s="314">
        <v>300</v>
      </c>
      <c r="M58" s="314">
        <v>0</v>
      </c>
      <c r="N58" s="314"/>
      <c r="O58" s="444"/>
      <c r="P58" s="444" t="s">
        <v>46</v>
      </c>
      <c r="Q58" s="444" t="s">
        <v>1733</v>
      </c>
      <c r="R58" s="444" t="s">
        <v>36</v>
      </c>
      <c r="S58" s="444" t="s">
        <v>42</v>
      </c>
      <c r="T58" s="444" t="s">
        <v>49</v>
      </c>
      <c r="U58" s="444" t="s">
        <v>38</v>
      </c>
      <c r="V58" s="444">
        <v>75.099999999999994</v>
      </c>
      <c r="W58" s="314">
        <v>75</v>
      </c>
      <c r="X58" s="314">
        <v>0.1</v>
      </c>
      <c r="Y58" s="444" t="s">
        <v>1732</v>
      </c>
      <c r="Z58" s="202" t="s">
        <v>1148</v>
      </c>
      <c r="AA58"/>
      <c r="AB58"/>
      <c r="AC58"/>
      <c r="AD58"/>
      <c r="AE58"/>
      <c r="AF58"/>
    </row>
    <row r="59" spans="1:32" ht="50.1" customHeight="1">
      <c r="A59" s="125">
        <v>55</v>
      </c>
      <c r="B59" s="125" t="s">
        <v>875</v>
      </c>
      <c r="C59" s="125" t="s">
        <v>1731</v>
      </c>
      <c r="D59" s="444" t="s">
        <v>1730</v>
      </c>
      <c r="E59" s="444" t="s">
        <v>1729</v>
      </c>
      <c r="F59" s="446" t="s">
        <v>1728</v>
      </c>
      <c r="G59" s="444" t="s">
        <v>1727</v>
      </c>
      <c r="H59" s="444" t="s">
        <v>1443</v>
      </c>
      <c r="I59" s="314" t="s">
        <v>1006</v>
      </c>
      <c r="J59" s="314">
        <v>0</v>
      </c>
      <c r="K59" s="314" t="s">
        <v>860</v>
      </c>
      <c r="L59" s="314">
        <v>800</v>
      </c>
      <c r="M59" s="314">
        <v>0</v>
      </c>
      <c r="N59" s="314"/>
      <c r="O59" s="444"/>
      <c r="P59" s="444" t="s">
        <v>41</v>
      </c>
      <c r="Q59" s="444" t="s">
        <v>1473</v>
      </c>
      <c r="R59" s="444" t="s">
        <v>36</v>
      </c>
      <c r="S59" s="444" t="s">
        <v>42</v>
      </c>
      <c r="T59" s="444" t="s">
        <v>49</v>
      </c>
      <c r="U59" s="444" t="s">
        <v>38</v>
      </c>
      <c r="V59" s="444">
        <v>40</v>
      </c>
      <c r="W59" s="314">
        <v>40</v>
      </c>
      <c r="X59" s="314">
        <v>0</v>
      </c>
      <c r="Y59" s="444" t="s">
        <v>1726</v>
      </c>
      <c r="Z59" s="137" t="s">
        <v>2725</v>
      </c>
    </row>
    <row r="60" spans="1:32" ht="50.1" customHeight="1">
      <c r="A60" s="125">
        <v>56</v>
      </c>
      <c r="B60" s="125" t="s">
        <v>1004</v>
      </c>
      <c r="C60" s="125" t="s">
        <v>1725</v>
      </c>
      <c r="D60" s="444" t="s">
        <v>1724</v>
      </c>
      <c r="E60" s="444" t="s">
        <v>1723</v>
      </c>
      <c r="F60" s="446" t="s">
        <v>1722</v>
      </c>
      <c r="G60" s="444" t="s">
        <v>1721</v>
      </c>
      <c r="H60" s="444" t="s">
        <v>1465</v>
      </c>
      <c r="I60" s="314">
        <v>717</v>
      </c>
      <c r="J60" s="314">
        <v>58</v>
      </c>
      <c r="K60" s="314">
        <v>58</v>
      </c>
      <c r="L60" s="314">
        <v>600</v>
      </c>
      <c r="M60" s="314">
        <v>0</v>
      </c>
      <c r="N60" s="314" t="s">
        <v>35</v>
      </c>
      <c r="O60" s="444" t="s">
        <v>156</v>
      </c>
      <c r="P60" s="444" t="s">
        <v>46</v>
      </c>
      <c r="Q60" s="444" t="s">
        <v>1720</v>
      </c>
      <c r="R60" s="444" t="s">
        <v>36</v>
      </c>
      <c r="S60" s="444" t="s">
        <v>42</v>
      </c>
      <c r="T60" s="444" t="s">
        <v>1719</v>
      </c>
      <c r="U60" s="444" t="s">
        <v>38</v>
      </c>
      <c r="V60" s="444">
        <f t="shared" ref="V60:V65" si="1">SUM(W60:X60)</f>
        <v>171</v>
      </c>
      <c r="W60" s="314">
        <v>170</v>
      </c>
      <c r="X60" s="314">
        <v>1</v>
      </c>
      <c r="Y60" s="444" t="s">
        <v>812</v>
      </c>
      <c r="Z60" s="202" t="s">
        <v>6064</v>
      </c>
    </row>
    <row r="61" spans="1:32" ht="50.1" customHeight="1">
      <c r="A61" s="125">
        <v>57</v>
      </c>
      <c r="B61" s="125" t="s">
        <v>875</v>
      </c>
      <c r="C61" s="125" t="s">
        <v>1699</v>
      </c>
      <c r="D61" s="444" t="s">
        <v>1718</v>
      </c>
      <c r="E61" s="444" t="s">
        <v>1717</v>
      </c>
      <c r="F61" s="446" t="s">
        <v>1716</v>
      </c>
      <c r="G61" s="444" t="s">
        <v>1706</v>
      </c>
      <c r="H61" s="444" t="s">
        <v>131</v>
      </c>
      <c r="I61" s="314">
        <v>530</v>
      </c>
      <c r="J61" s="314"/>
      <c r="K61" s="314">
        <v>30</v>
      </c>
      <c r="L61" s="314">
        <v>500</v>
      </c>
      <c r="M61" s="314"/>
      <c r="N61" s="314"/>
      <c r="O61" s="444"/>
      <c r="P61" s="444" t="s">
        <v>41</v>
      </c>
      <c r="Q61" s="444" t="s">
        <v>1715</v>
      </c>
      <c r="R61" s="444" t="s">
        <v>36</v>
      </c>
      <c r="S61" s="444" t="s">
        <v>199</v>
      </c>
      <c r="T61" s="444" t="s">
        <v>1700</v>
      </c>
      <c r="U61" s="444" t="s">
        <v>1692</v>
      </c>
      <c r="V61" s="444">
        <f t="shared" si="1"/>
        <v>116</v>
      </c>
      <c r="W61" s="314">
        <v>116</v>
      </c>
      <c r="X61" s="314"/>
      <c r="Y61" s="444" t="s">
        <v>357</v>
      </c>
      <c r="Z61" s="137" t="s">
        <v>1148</v>
      </c>
      <c r="AA61"/>
      <c r="AB61"/>
      <c r="AC61"/>
      <c r="AD61"/>
      <c r="AE61"/>
      <c r="AF61"/>
    </row>
    <row r="62" spans="1:32" ht="50.1" customHeight="1">
      <c r="A62" s="125">
        <v>58</v>
      </c>
      <c r="B62" s="125" t="s">
        <v>875</v>
      </c>
      <c r="C62" s="125" t="s">
        <v>1699</v>
      </c>
      <c r="D62" s="444" t="s">
        <v>1714</v>
      </c>
      <c r="E62" s="444" t="s">
        <v>1713</v>
      </c>
      <c r="F62" s="446" t="s">
        <v>1712</v>
      </c>
      <c r="G62" s="444" t="s">
        <v>2694</v>
      </c>
      <c r="H62" s="444" t="s">
        <v>100</v>
      </c>
      <c r="I62" s="314">
        <v>80</v>
      </c>
      <c r="J62" s="314"/>
      <c r="K62" s="314">
        <v>16</v>
      </c>
      <c r="L62" s="314">
        <v>64</v>
      </c>
      <c r="M62" s="314"/>
      <c r="N62" s="314"/>
      <c r="O62" s="444"/>
      <c r="P62" s="444" t="s">
        <v>46</v>
      </c>
      <c r="Q62" s="444" t="s">
        <v>1711</v>
      </c>
      <c r="R62" s="444" t="s">
        <v>36</v>
      </c>
      <c r="S62" s="444" t="s">
        <v>246</v>
      </c>
      <c r="T62" s="444" t="s">
        <v>1710</v>
      </c>
      <c r="U62" s="444" t="s">
        <v>1692</v>
      </c>
      <c r="V62" s="444">
        <f t="shared" si="1"/>
        <v>10</v>
      </c>
      <c r="W62" s="315">
        <v>10</v>
      </c>
      <c r="X62" s="315"/>
      <c r="Y62" s="444" t="s">
        <v>99</v>
      </c>
      <c r="Z62" s="137" t="s">
        <v>6126</v>
      </c>
      <c r="AA62"/>
      <c r="AB62"/>
      <c r="AC62"/>
      <c r="AD62"/>
      <c r="AE62"/>
      <c r="AF62"/>
    </row>
    <row r="63" spans="1:32" ht="50.1" customHeight="1">
      <c r="A63" s="125">
        <v>59</v>
      </c>
      <c r="B63" s="125" t="s">
        <v>875</v>
      </c>
      <c r="C63" s="125" t="s">
        <v>1699</v>
      </c>
      <c r="D63" s="460" t="s">
        <v>1709</v>
      </c>
      <c r="E63" s="444" t="s">
        <v>1708</v>
      </c>
      <c r="F63" s="446" t="s">
        <v>1707</v>
      </c>
      <c r="G63" s="444" t="s">
        <v>1706</v>
      </c>
      <c r="H63" s="444" t="s">
        <v>40</v>
      </c>
      <c r="I63" s="314">
        <v>40</v>
      </c>
      <c r="J63" s="314"/>
      <c r="K63" s="314"/>
      <c r="L63" s="314">
        <v>40</v>
      </c>
      <c r="M63" s="314"/>
      <c r="N63" s="314"/>
      <c r="O63" s="444"/>
      <c r="P63" s="444" t="s">
        <v>31</v>
      </c>
      <c r="Q63" s="444" t="s">
        <v>1705</v>
      </c>
      <c r="R63" s="444" t="s">
        <v>36</v>
      </c>
      <c r="S63" s="444" t="s">
        <v>199</v>
      </c>
      <c r="T63" s="444" t="s">
        <v>1700</v>
      </c>
      <c r="U63" s="444" t="s">
        <v>1692</v>
      </c>
      <c r="V63" s="444">
        <f t="shared" si="1"/>
        <v>3</v>
      </c>
      <c r="W63" s="315">
        <v>3</v>
      </c>
      <c r="X63" s="315"/>
      <c r="Y63" s="444" t="s">
        <v>1417</v>
      </c>
      <c r="Z63" s="137" t="s">
        <v>1148</v>
      </c>
      <c r="AA63"/>
      <c r="AB63"/>
      <c r="AC63"/>
      <c r="AD63"/>
      <c r="AE63"/>
      <c r="AF63"/>
    </row>
    <row r="64" spans="1:32" ht="50.1" customHeight="1">
      <c r="A64" s="125">
        <v>60</v>
      </c>
      <c r="B64" s="125" t="s">
        <v>875</v>
      </c>
      <c r="C64" s="125" t="s">
        <v>1699</v>
      </c>
      <c r="D64" s="444" t="s">
        <v>1704</v>
      </c>
      <c r="E64" s="444" t="s">
        <v>1703</v>
      </c>
      <c r="F64" s="446" t="s">
        <v>1702</v>
      </c>
      <c r="G64" s="444" t="s">
        <v>1701</v>
      </c>
      <c r="H64" s="444" t="s">
        <v>100</v>
      </c>
      <c r="I64" s="314">
        <v>400</v>
      </c>
      <c r="J64" s="314"/>
      <c r="K64" s="314"/>
      <c r="L64" s="314">
        <v>400</v>
      </c>
      <c r="M64" s="314"/>
      <c r="N64" s="314"/>
      <c r="O64" s="444"/>
      <c r="P64" s="445" t="s">
        <v>6</v>
      </c>
      <c r="Q64" s="445" t="s">
        <v>1280</v>
      </c>
      <c r="R64" s="445" t="s">
        <v>36</v>
      </c>
      <c r="S64" s="445" t="s">
        <v>199</v>
      </c>
      <c r="T64" s="445" t="s">
        <v>1700</v>
      </c>
      <c r="U64" s="445" t="s">
        <v>53</v>
      </c>
      <c r="V64" s="445">
        <f t="shared" si="1"/>
        <v>120</v>
      </c>
      <c r="W64" s="145">
        <v>110</v>
      </c>
      <c r="X64" s="145">
        <v>10</v>
      </c>
      <c r="Y64" s="445" t="s">
        <v>240</v>
      </c>
      <c r="Z64" s="205" t="s">
        <v>1148</v>
      </c>
      <c r="AA64"/>
      <c r="AB64"/>
      <c r="AC64"/>
      <c r="AD64"/>
      <c r="AE64"/>
      <c r="AF64"/>
    </row>
    <row r="65" spans="1:32" ht="50.1" customHeight="1">
      <c r="A65" s="125">
        <v>61</v>
      </c>
      <c r="B65" s="125" t="s">
        <v>875</v>
      </c>
      <c r="C65" s="125" t="s">
        <v>1699</v>
      </c>
      <c r="D65" s="460" t="s">
        <v>1698</v>
      </c>
      <c r="E65" s="444" t="s">
        <v>1697</v>
      </c>
      <c r="F65" s="446" t="s">
        <v>1696</v>
      </c>
      <c r="G65" s="444" t="s">
        <v>1695</v>
      </c>
      <c r="H65" s="444" t="s">
        <v>1361</v>
      </c>
      <c r="I65" s="314">
        <v>100</v>
      </c>
      <c r="J65" s="314"/>
      <c r="K65" s="314"/>
      <c r="L65" s="314">
        <v>100</v>
      </c>
      <c r="M65" s="314"/>
      <c r="N65" s="314"/>
      <c r="O65" s="444"/>
      <c r="P65" s="444" t="s">
        <v>98</v>
      </c>
      <c r="Q65" s="444" t="s">
        <v>1694</v>
      </c>
      <c r="R65" s="444" t="s">
        <v>36</v>
      </c>
      <c r="S65" s="444" t="s">
        <v>199</v>
      </c>
      <c r="T65" s="444" t="s">
        <v>1693</v>
      </c>
      <c r="U65" s="444" t="s">
        <v>1692</v>
      </c>
      <c r="V65" s="444">
        <f t="shared" si="1"/>
        <v>6</v>
      </c>
      <c r="W65" s="314">
        <v>6</v>
      </c>
      <c r="X65" s="314"/>
      <c r="Y65" s="444" t="s">
        <v>1691</v>
      </c>
      <c r="Z65" s="137" t="s">
        <v>6002</v>
      </c>
    </row>
    <row r="66" spans="1:32" ht="50.1" customHeight="1">
      <c r="A66" s="125">
        <v>62</v>
      </c>
      <c r="B66" s="327" t="s">
        <v>875</v>
      </c>
      <c r="C66" s="327" t="s">
        <v>1676</v>
      </c>
      <c r="D66" s="206" t="s">
        <v>1690</v>
      </c>
      <c r="E66" s="206" t="s">
        <v>1689</v>
      </c>
      <c r="F66" s="207" t="s">
        <v>1688</v>
      </c>
      <c r="G66" s="206" t="s">
        <v>1687</v>
      </c>
      <c r="H66" s="206" t="s">
        <v>312</v>
      </c>
      <c r="I66" s="328">
        <v>600</v>
      </c>
      <c r="J66" s="328">
        <v>0</v>
      </c>
      <c r="K66" s="328" t="s">
        <v>1686</v>
      </c>
      <c r="L66" s="328">
        <v>600</v>
      </c>
      <c r="M66" s="328">
        <v>0</v>
      </c>
      <c r="N66" s="328"/>
      <c r="O66" s="206"/>
      <c r="P66" s="206" t="s">
        <v>6</v>
      </c>
      <c r="Q66" s="206" t="s">
        <v>1571</v>
      </c>
      <c r="R66" s="206" t="s">
        <v>36</v>
      </c>
      <c r="S66" s="206" t="s">
        <v>42</v>
      </c>
      <c r="T66" s="206" t="s">
        <v>1292</v>
      </c>
      <c r="U66" s="206" t="s">
        <v>37</v>
      </c>
      <c r="V66" s="206">
        <v>79</v>
      </c>
      <c r="W66" s="328">
        <v>79</v>
      </c>
      <c r="X66" s="328">
        <v>0</v>
      </c>
      <c r="Y66" s="206" t="s">
        <v>64</v>
      </c>
      <c r="Z66" s="462" t="s">
        <v>6127</v>
      </c>
      <c r="AA66"/>
      <c r="AB66"/>
      <c r="AC66"/>
      <c r="AD66"/>
      <c r="AE66"/>
      <c r="AF66"/>
    </row>
    <row r="67" spans="1:32" ht="50.1" customHeight="1">
      <c r="A67" s="125">
        <v>63</v>
      </c>
      <c r="B67" s="125" t="s">
        <v>875</v>
      </c>
      <c r="C67" s="125" t="s">
        <v>1676</v>
      </c>
      <c r="D67" s="444" t="s">
        <v>1685</v>
      </c>
      <c r="E67" s="444" t="s">
        <v>1684</v>
      </c>
      <c r="F67" s="446" t="s">
        <v>1683</v>
      </c>
      <c r="G67" s="444" t="s">
        <v>1682</v>
      </c>
      <c r="H67" s="444" t="s">
        <v>278</v>
      </c>
      <c r="I67" s="314">
        <v>120</v>
      </c>
      <c r="J67" s="314">
        <v>0</v>
      </c>
      <c r="K67" s="314">
        <v>30</v>
      </c>
      <c r="L67" s="314">
        <v>90</v>
      </c>
      <c r="M67" s="314">
        <v>0</v>
      </c>
      <c r="N67" s="314"/>
      <c r="O67" s="444"/>
      <c r="P67" s="444" t="s">
        <v>6</v>
      </c>
      <c r="Q67" s="444" t="s">
        <v>1681</v>
      </c>
      <c r="R67" s="444" t="s">
        <v>36</v>
      </c>
      <c r="S67" s="444" t="s">
        <v>464</v>
      </c>
      <c r="T67" s="444" t="s">
        <v>1292</v>
      </c>
      <c r="U67" s="444" t="s">
        <v>37</v>
      </c>
      <c r="V67" s="444">
        <v>50</v>
      </c>
      <c r="W67" s="314">
        <v>50</v>
      </c>
      <c r="X67" s="314">
        <v>0</v>
      </c>
      <c r="Y67" s="444" t="s">
        <v>1680</v>
      </c>
      <c r="Z67" s="205" t="s">
        <v>1148</v>
      </c>
      <c r="AA67"/>
      <c r="AB67"/>
      <c r="AC67"/>
      <c r="AD67"/>
      <c r="AE67"/>
      <c r="AF67"/>
    </row>
    <row r="68" spans="1:32" ht="50.1" customHeight="1">
      <c r="A68" s="125">
        <v>64</v>
      </c>
      <c r="B68" s="125" t="s">
        <v>875</v>
      </c>
      <c r="C68" s="125" t="s">
        <v>1676</v>
      </c>
      <c r="D68" s="444" t="s">
        <v>1679</v>
      </c>
      <c r="E68" s="444" t="s">
        <v>1444</v>
      </c>
      <c r="F68" s="446" t="s">
        <v>1678</v>
      </c>
      <c r="G68" s="444" t="s">
        <v>1677</v>
      </c>
      <c r="H68" s="444" t="s">
        <v>285</v>
      </c>
      <c r="I68" s="315">
        <v>150</v>
      </c>
      <c r="J68" s="315">
        <v>0</v>
      </c>
      <c r="K68" s="315">
        <v>30</v>
      </c>
      <c r="L68" s="314">
        <v>120</v>
      </c>
      <c r="M68" s="314">
        <v>0</v>
      </c>
      <c r="N68" s="314"/>
      <c r="O68" s="444"/>
      <c r="P68" s="444" t="s">
        <v>6</v>
      </c>
      <c r="Q68" s="444" t="s">
        <v>1579</v>
      </c>
      <c r="R68" s="444" t="s">
        <v>36</v>
      </c>
      <c r="S68" s="444" t="s">
        <v>931</v>
      </c>
      <c r="T68" s="444" t="s">
        <v>974</v>
      </c>
      <c r="U68" s="444" t="s">
        <v>37</v>
      </c>
      <c r="V68" s="444">
        <v>11</v>
      </c>
      <c r="W68" s="314">
        <v>11</v>
      </c>
      <c r="X68" s="314">
        <v>0</v>
      </c>
      <c r="Y68" s="444" t="s">
        <v>64</v>
      </c>
      <c r="Z68" s="137" t="s">
        <v>1148</v>
      </c>
      <c r="AA68"/>
      <c r="AB68"/>
      <c r="AC68"/>
      <c r="AD68"/>
      <c r="AE68"/>
      <c r="AF68"/>
    </row>
    <row r="69" spans="1:32" ht="50.1" customHeight="1">
      <c r="A69" s="125">
        <v>65</v>
      </c>
      <c r="B69" s="125" t="s">
        <v>875</v>
      </c>
      <c r="C69" s="125" t="s">
        <v>1676</v>
      </c>
      <c r="D69" s="444" t="s">
        <v>1675</v>
      </c>
      <c r="E69" s="444" t="s">
        <v>1542</v>
      </c>
      <c r="F69" s="446" t="s">
        <v>1674</v>
      </c>
      <c r="G69" s="444" t="s">
        <v>1673</v>
      </c>
      <c r="H69" s="444" t="s">
        <v>169</v>
      </c>
      <c r="I69" s="314">
        <v>300</v>
      </c>
      <c r="J69" s="314">
        <v>0</v>
      </c>
      <c r="K69" s="314">
        <v>100</v>
      </c>
      <c r="L69" s="314">
        <v>200</v>
      </c>
      <c r="M69" s="314">
        <v>0</v>
      </c>
      <c r="N69" s="314"/>
      <c r="O69" s="444"/>
      <c r="P69" s="444" t="s">
        <v>31</v>
      </c>
      <c r="Q69" s="444" t="s">
        <v>1276</v>
      </c>
      <c r="R69" s="444" t="s">
        <v>36</v>
      </c>
      <c r="S69" s="444" t="s">
        <v>931</v>
      </c>
      <c r="T69" s="444" t="s">
        <v>974</v>
      </c>
      <c r="U69" s="444" t="s">
        <v>37</v>
      </c>
      <c r="V69" s="444">
        <v>130</v>
      </c>
      <c r="W69" s="314">
        <v>130</v>
      </c>
      <c r="X69" s="314">
        <v>0</v>
      </c>
      <c r="Y69" s="444" t="s">
        <v>64</v>
      </c>
      <c r="Z69" s="137" t="s">
        <v>6133</v>
      </c>
    </row>
    <row r="70" spans="1:32" ht="50.1" customHeight="1">
      <c r="A70" s="125">
        <v>66</v>
      </c>
      <c r="B70" s="125" t="s">
        <v>875</v>
      </c>
      <c r="C70" s="444" t="s">
        <v>1660</v>
      </c>
      <c r="D70" s="444" t="s">
        <v>1672</v>
      </c>
      <c r="E70" s="444" t="s">
        <v>1671</v>
      </c>
      <c r="F70" s="446" t="s">
        <v>1670</v>
      </c>
      <c r="G70" s="444" t="s">
        <v>1303</v>
      </c>
      <c r="H70" s="444" t="s">
        <v>1669</v>
      </c>
      <c r="I70" s="314">
        <v>350</v>
      </c>
      <c r="J70" s="316"/>
      <c r="K70" s="316"/>
      <c r="L70" s="316">
        <v>350</v>
      </c>
      <c r="M70" s="316"/>
      <c r="N70" s="316"/>
      <c r="O70" s="103"/>
      <c r="P70" s="103" t="s">
        <v>98</v>
      </c>
      <c r="Q70" s="444" t="s">
        <v>1668</v>
      </c>
      <c r="R70" s="444" t="s">
        <v>36</v>
      </c>
      <c r="S70" s="444" t="s">
        <v>369</v>
      </c>
      <c r="T70" s="444"/>
      <c r="U70" s="444" t="s">
        <v>356</v>
      </c>
      <c r="V70" s="444">
        <f>SUM(W70:X70)</f>
        <v>320</v>
      </c>
      <c r="W70" s="314">
        <v>320</v>
      </c>
      <c r="X70" s="314"/>
      <c r="Y70" s="444" t="s">
        <v>1667</v>
      </c>
      <c r="Z70" s="137" t="s">
        <v>1148</v>
      </c>
      <c r="AA70"/>
      <c r="AB70"/>
      <c r="AC70"/>
      <c r="AD70"/>
      <c r="AE70"/>
      <c r="AF70"/>
    </row>
    <row r="71" spans="1:32" ht="50.1" customHeight="1">
      <c r="A71" s="125">
        <v>67</v>
      </c>
      <c r="B71" s="125" t="s">
        <v>875</v>
      </c>
      <c r="C71" s="125" t="s">
        <v>1660</v>
      </c>
      <c r="D71" s="444" t="s">
        <v>1666</v>
      </c>
      <c r="E71" s="444" t="s">
        <v>1665</v>
      </c>
      <c r="F71" s="446" t="s">
        <v>1664</v>
      </c>
      <c r="G71" s="444" t="s">
        <v>1663</v>
      </c>
      <c r="H71" s="444" t="s">
        <v>1662</v>
      </c>
      <c r="I71" s="314">
        <v>400</v>
      </c>
      <c r="J71" s="314"/>
      <c r="K71" s="314"/>
      <c r="L71" s="314">
        <v>400</v>
      </c>
      <c r="M71" s="314"/>
      <c r="N71" s="314"/>
      <c r="O71" s="444"/>
      <c r="P71" s="445" t="s">
        <v>6</v>
      </c>
      <c r="Q71" s="445" t="s">
        <v>1661</v>
      </c>
      <c r="R71" s="445" t="s">
        <v>36</v>
      </c>
      <c r="S71" s="445" t="s">
        <v>369</v>
      </c>
      <c r="T71" s="445"/>
      <c r="U71" s="445" t="s">
        <v>356</v>
      </c>
      <c r="V71" s="445">
        <f>SUM(W71:X71)</f>
        <v>380</v>
      </c>
      <c r="W71" s="145">
        <v>380</v>
      </c>
      <c r="X71" s="145"/>
      <c r="Y71" s="445" t="s">
        <v>1654</v>
      </c>
      <c r="Z71" s="202" t="s">
        <v>2725</v>
      </c>
    </row>
    <row r="72" spans="1:32" ht="50.1" customHeight="1">
      <c r="A72" s="125">
        <v>68</v>
      </c>
      <c r="B72" s="125" t="s">
        <v>875</v>
      </c>
      <c r="C72" s="125" t="s">
        <v>1660</v>
      </c>
      <c r="D72" s="444" t="s">
        <v>1659</v>
      </c>
      <c r="E72" s="444" t="s">
        <v>549</v>
      </c>
      <c r="F72" s="446" t="s">
        <v>1658</v>
      </c>
      <c r="G72" s="444" t="s">
        <v>1657</v>
      </c>
      <c r="H72" s="444" t="s">
        <v>184</v>
      </c>
      <c r="I72" s="314">
        <v>650</v>
      </c>
      <c r="J72" s="314"/>
      <c r="K72" s="314">
        <v>218</v>
      </c>
      <c r="L72" s="314">
        <v>432</v>
      </c>
      <c r="M72" s="314"/>
      <c r="N72" s="314"/>
      <c r="O72" s="444"/>
      <c r="P72" s="445" t="s">
        <v>7</v>
      </c>
      <c r="Q72" s="445" t="s">
        <v>1656</v>
      </c>
      <c r="R72" s="445" t="s">
        <v>36</v>
      </c>
      <c r="S72" s="445" t="s">
        <v>1655</v>
      </c>
      <c r="T72" s="445"/>
      <c r="U72" s="445" t="s">
        <v>356</v>
      </c>
      <c r="V72" s="445">
        <f>SUM(W72:X72)</f>
        <v>380</v>
      </c>
      <c r="W72" s="145">
        <v>380</v>
      </c>
      <c r="X72" s="145"/>
      <c r="Y72" s="445" t="s">
        <v>1654</v>
      </c>
      <c r="Z72" s="202" t="s">
        <v>2725</v>
      </c>
    </row>
    <row r="73" spans="1:32" ht="50.1" customHeight="1">
      <c r="A73" s="125">
        <v>69</v>
      </c>
      <c r="B73" s="125" t="s">
        <v>875</v>
      </c>
      <c r="C73" s="125" t="s">
        <v>1653</v>
      </c>
      <c r="D73" s="444" t="s">
        <v>1652</v>
      </c>
      <c r="E73" s="444" t="s">
        <v>1535</v>
      </c>
      <c r="F73" s="446" t="s">
        <v>1651</v>
      </c>
      <c r="G73" s="444" t="s">
        <v>1650</v>
      </c>
      <c r="H73" s="444" t="s">
        <v>131</v>
      </c>
      <c r="I73" s="314">
        <v>890</v>
      </c>
      <c r="J73" s="314"/>
      <c r="K73" s="314"/>
      <c r="L73" s="314">
        <v>890</v>
      </c>
      <c r="M73" s="314"/>
      <c r="N73" s="314"/>
      <c r="O73" s="444"/>
      <c r="P73" s="444" t="s">
        <v>98</v>
      </c>
      <c r="Q73" s="444" t="s">
        <v>1304</v>
      </c>
      <c r="R73" s="444" t="s">
        <v>36</v>
      </c>
      <c r="S73" s="444" t="s">
        <v>246</v>
      </c>
      <c r="T73" s="444" t="s">
        <v>1649</v>
      </c>
      <c r="U73" s="444"/>
      <c r="V73" s="444">
        <v>0</v>
      </c>
      <c r="W73" s="314"/>
      <c r="X73" s="314"/>
      <c r="Y73" s="444" t="s">
        <v>1648</v>
      </c>
      <c r="Z73" s="137" t="s">
        <v>1148</v>
      </c>
      <c r="AA73"/>
      <c r="AB73"/>
      <c r="AC73"/>
      <c r="AD73"/>
      <c r="AE73"/>
      <c r="AF73"/>
    </row>
    <row r="74" spans="1:32" ht="50.1" customHeight="1">
      <c r="A74" s="125">
        <v>70</v>
      </c>
      <c r="B74" s="125" t="s">
        <v>875</v>
      </c>
      <c r="C74" s="125" t="s">
        <v>1642</v>
      </c>
      <c r="D74" s="444" t="s">
        <v>1647</v>
      </c>
      <c r="E74" s="444" t="s">
        <v>1646</v>
      </c>
      <c r="F74" s="446" t="s">
        <v>1645</v>
      </c>
      <c r="G74" s="444" t="s">
        <v>1644</v>
      </c>
      <c r="H74" s="444" t="s">
        <v>485</v>
      </c>
      <c r="I74" s="314">
        <v>1150</v>
      </c>
      <c r="J74" s="314"/>
      <c r="K74" s="314"/>
      <c r="L74" s="314">
        <v>1150</v>
      </c>
      <c r="M74" s="314"/>
      <c r="N74" s="314"/>
      <c r="O74" s="444"/>
      <c r="P74" s="444" t="s">
        <v>7</v>
      </c>
      <c r="Q74" s="444" t="s">
        <v>1643</v>
      </c>
      <c r="R74" s="444" t="s">
        <v>36</v>
      </c>
      <c r="S74" s="444" t="s">
        <v>42</v>
      </c>
      <c r="T74" s="444" t="s">
        <v>49</v>
      </c>
      <c r="U74" s="444" t="s">
        <v>53</v>
      </c>
      <c r="V74" s="444">
        <f>SUM(W74:X74)</f>
        <v>50</v>
      </c>
      <c r="W74" s="314">
        <v>50</v>
      </c>
      <c r="X74" s="314"/>
      <c r="Y74" s="444" t="s">
        <v>64</v>
      </c>
      <c r="Z74" s="137" t="s">
        <v>1148</v>
      </c>
      <c r="AA74"/>
      <c r="AB74"/>
      <c r="AC74"/>
      <c r="AD74"/>
      <c r="AE74"/>
      <c r="AF74"/>
    </row>
    <row r="75" spans="1:32" ht="50.1" customHeight="1">
      <c r="A75" s="125">
        <v>71</v>
      </c>
      <c r="B75" s="125" t="s">
        <v>875</v>
      </c>
      <c r="C75" s="125" t="s">
        <v>1642</v>
      </c>
      <c r="D75" s="444" t="s">
        <v>1641</v>
      </c>
      <c r="E75" s="444" t="s">
        <v>1640</v>
      </c>
      <c r="F75" s="446" t="s">
        <v>1639</v>
      </c>
      <c r="G75" s="444" t="s">
        <v>2726</v>
      </c>
      <c r="H75" s="444" t="s">
        <v>1638</v>
      </c>
      <c r="I75" s="314">
        <v>100</v>
      </c>
      <c r="J75" s="314"/>
      <c r="K75" s="314"/>
      <c r="L75" s="314">
        <v>100</v>
      </c>
      <c r="M75" s="314"/>
      <c r="N75" s="314"/>
      <c r="O75" s="444"/>
      <c r="P75" s="444" t="s">
        <v>6</v>
      </c>
      <c r="Q75" s="444" t="s">
        <v>1637</v>
      </c>
      <c r="R75" s="444" t="s">
        <v>36</v>
      </c>
      <c r="S75" s="444" t="s">
        <v>42</v>
      </c>
      <c r="T75" s="444" t="s">
        <v>49</v>
      </c>
      <c r="U75" s="444" t="s">
        <v>53</v>
      </c>
      <c r="V75" s="444">
        <f>SUM(W75:X75)</f>
        <v>20</v>
      </c>
      <c r="W75" s="314">
        <v>20</v>
      </c>
      <c r="X75" s="314"/>
      <c r="Y75" s="444" t="s">
        <v>64</v>
      </c>
      <c r="Z75" s="137" t="s">
        <v>2725</v>
      </c>
    </row>
    <row r="76" spans="1:32" ht="50.1" customHeight="1">
      <c r="A76" s="125">
        <v>72</v>
      </c>
      <c r="B76" s="125" t="s">
        <v>875</v>
      </c>
      <c r="C76" s="125" t="s">
        <v>1621</v>
      </c>
      <c r="D76" s="444" t="s">
        <v>1636</v>
      </c>
      <c r="E76" s="444" t="s">
        <v>1418</v>
      </c>
      <c r="F76" s="446" t="s">
        <v>1635</v>
      </c>
      <c r="G76" s="444" t="s">
        <v>1634</v>
      </c>
      <c r="H76" s="444" t="s">
        <v>1357</v>
      </c>
      <c r="I76" s="314">
        <v>1800</v>
      </c>
      <c r="J76" s="314"/>
      <c r="K76" s="314">
        <v>1044</v>
      </c>
      <c r="L76" s="314">
        <v>756</v>
      </c>
      <c r="M76" s="314"/>
      <c r="N76" s="314"/>
      <c r="O76" s="444"/>
      <c r="P76" s="445" t="s">
        <v>7</v>
      </c>
      <c r="Q76" s="445" t="s">
        <v>1633</v>
      </c>
      <c r="R76" s="445" t="s">
        <v>36</v>
      </c>
      <c r="S76" s="445" t="s">
        <v>464</v>
      </c>
      <c r="T76" s="445" t="s">
        <v>49</v>
      </c>
      <c r="U76" s="445" t="s">
        <v>37</v>
      </c>
      <c r="V76" s="445">
        <v>350</v>
      </c>
      <c r="W76" s="145">
        <v>350</v>
      </c>
      <c r="X76" s="145"/>
      <c r="Y76" s="445" t="s">
        <v>812</v>
      </c>
      <c r="Z76" s="202" t="s">
        <v>1148</v>
      </c>
      <c r="AA76"/>
      <c r="AB76"/>
      <c r="AC76"/>
      <c r="AD76"/>
      <c r="AE76"/>
      <c r="AF76"/>
    </row>
    <row r="77" spans="1:32" ht="50.1" customHeight="1">
      <c r="A77" s="125">
        <v>73</v>
      </c>
      <c r="B77" s="317" t="s">
        <v>875</v>
      </c>
      <c r="C77" s="317" t="s">
        <v>1621</v>
      </c>
      <c r="D77" s="318" t="s">
        <v>1632</v>
      </c>
      <c r="E77" s="222" t="s">
        <v>1469</v>
      </c>
      <c r="F77" s="223" t="s">
        <v>507</v>
      </c>
      <c r="G77" s="222" t="s">
        <v>1631</v>
      </c>
      <c r="H77" s="319" t="s">
        <v>1016</v>
      </c>
      <c r="I77" s="320">
        <v>96</v>
      </c>
      <c r="J77" s="320"/>
      <c r="K77" s="320">
        <v>29</v>
      </c>
      <c r="L77" s="320">
        <v>67</v>
      </c>
      <c r="M77" s="320"/>
      <c r="N77" s="320"/>
      <c r="O77" s="321"/>
      <c r="P77" s="220" t="s">
        <v>46</v>
      </c>
      <c r="Q77" s="221" t="s">
        <v>1630</v>
      </c>
      <c r="R77" s="224" t="s">
        <v>36</v>
      </c>
      <c r="S77" s="221">
        <v>0</v>
      </c>
      <c r="T77" s="221" t="s">
        <v>49</v>
      </c>
      <c r="U77" s="224" t="s">
        <v>37</v>
      </c>
      <c r="V77" s="221">
        <v>19</v>
      </c>
      <c r="W77" s="226">
        <v>19</v>
      </c>
      <c r="X77" s="225"/>
      <c r="Y77" s="221" t="s">
        <v>507</v>
      </c>
      <c r="Z77" s="237" t="s">
        <v>1148</v>
      </c>
      <c r="AA77"/>
      <c r="AB77"/>
      <c r="AC77"/>
      <c r="AD77"/>
      <c r="AE77"/>
      <c r="AF77"/>
    </row>
    <row r="78" spans="1:32" ht="50.1" customHeight="1">
      <c r="A78" s="125">
        <v>74</v>
      </c>
      <c r="B78" s="125" t="s">
        <v>875</v>
      </c>
      <c r="C78" s="125" t="s">
        <v>1621</v>
      </c>
      <c r="D78" s="125" t="s">
        <v>1629</v>
      </c>
      <c r="E78" s="444" t="s">
        <v>1628</v>
      </c>
      <c r="F78" s="446" t="s">
        <v>1627</v>
      </c>
      <c r="G78" s="444" t="s">
        <v>1626</v>
      </c>
      <c r="H78" s="444" t="s">
        <v>1625</v>
      </c>
      <c r="I78" s="324">
        <v>61</v>
      </c>
      <c r="J78" s="324"/>
      <c r="K78" s="324"/>
      <c r="L78" s="324">
        <v>61</v>
      </c>
      <c r="M78" s="324"/>
      <c r="N78" s="324"/>
      <c r="O78" s="154"/>
      <c r="P78" s="154" t="s">
        <v>31</v>
      </c>
      <c r="Q78" s="125" t="s">
        <v>1624</v>
      </c>
      <c r="R78" s="444" t="s">
        <v>36</v>
      </c>
      <c r="S78" s="317" t="s">
        <v>1623</v>
      </c>
      <c r="T78" s="317" t="s">
        <v>1292</v>
      </c>
      <c r="U78" s="125" t="s">
        <v>1292</v>
      </c>
      <c r="V78" s="125">
        <v>5</v>
      </c>
      <c r="W78" s="322">
        <v>5</v>
      </c>
      <c r="X78" s="320"/>
      <c r="Y78" s="319" t="s">
        <v>1622</v>
      </c>
      <c r="Z78" s="137" t="s">
        <v>1148</v>
      </c>
      <c r="AA78"/>
      <c r="AB78"/>
      <c r="AC78"/>
      <c r="AD78"/>
      <c r="AE78"/>
      <c r="AF78"/>
    </row>
    <row r="79" spans="1:32" ht="50.1" customHeight="1">
      <c r="A79" s="125">
        <v>75</v>
      </c>
      <c r="B79" s="125" t="s">
        <v>875</v>
      </c>
      <c r="C79" s="125" t="s">
        <v>1621</v>
      </c>
      <c r="D79" s="444" t="s">
        <v>1620</v>
      </c>
      <c r="E79" s="444" t="s">
        <v>1619</v>
      </c>
      <c r="F79" s="446" t="s">
        <v>1618</v>
      </c>
      <c r="G79" s="444" t="s">
        <v>1617</v>
      </c>
      <c r="H79" s="444" t="s">
        <v>1616</v>
      </c>
      <c r="I79" s="324">
        <v>61</v>
      </c>
      <c r="J79" s="324">
        <v>13</v>
      </c>
      <c r="K79" s="324">
        <v>4</v>
      </c>
      <c r="L79" s="324">
        <v>44</v>
      </c>
      <c r="M79" s="324"/>
      <c r="N79" s="324"/>
      <c r="O79" s="154" t="s">
        <v>1007</v>
      </c>
      <c r="P79" s="149" t="s">
        <v>31</v>
      </c>
      <c r="Q79" s="147" t="s">
        <v>1615</v>
      </c>
      <c r="R79" s="114" t="s">
        <v>36</v>
      </c>
      <c r="S79" s="147" t="s">
        <v>1614</v>
      </c>
      <c r="T79" s="147" t="s">
        <v>1292</v>
      </c>
      <c r="U79" s="114" t="s">
        <v>37</v>
      </c>
      <c r="V79" s="147">
        <v>2</v>
      </c>
      <c r="W79" s="226">
        <v>2</v>
      </c>
      <c r="X79" s="225"/>
      <c r="Y79" s="221" t="s">
        <v>1613</v>
      </c>
      <c r="Z79" s="152" t="s">
        <v>1148</v>
      </c>
      <c r="AA79"/>
      <c r="AB79"/>
      <c r="AC79"/>
      <c r="AD79"/>
      <c r="AE79"/>
      <c r="AF79"/>
    </row>
    <row r="80" spans="1:32" ht="50.1" customHeight="1">
      <c r="A80" s="125">
        <v>76</v>
      </c>
      <c r="B80" s="125" t="s">
        <v>875</v>
      </c>
      <c r="C80" s="125" t="s">
        <v>1588</v>
      </c>
      <c r="D80" s="444" t="s">
        <v>1612</v>
      </c>
      <c r="E80" s="444" t="s">
        <v>1611</v>
      </c>
      <c r="F80" s="446" t="s">
        <v>1610</v>
      </c>
      <c r="G80" s="444" t="s">
        <v>1609</v>
      </c>
      <c r="H80" s="444" t="s">
        <v>1608</v>
      </c>
      <c r="I80" s="324">
        <v>6500</v>
      </c>
      <c r="J80" s="324"/>
      <c r="K80" s="324"/>
      <c r="L80" s="324">
        <v>6500</v>
      </c>
      <c r="M80" s="324"/>
      <c r="N80" s="324"/>
      <c r="O80" s="154"/>
      <c r="P80" s="154" t="s">
        <v>5</v>
      </c>
      <c r="Q80" s="125" t="s">
        <v>1607</v>
      </c>
      <c r="R80" s="444" t="s">
        <v>1606</v>
      </c>
      <c r="S80" s="125" t="s">
        <v>199</v>
      </c>
      <c r="T80" s="125" t="s">
        <v>107</v>
      </c>
      <c r="U80" s="125" t="s">
        <v>37</v>
      </c>
      <c r="V80" s="125">
        <f t="shared" ref="V80:V90" si="2">SUM(W80:X80)</f>
        <v>0</v>
      </c>
      <c r="W80" s="322"/>
      <c r="X80" s="320"/>
      <c r="Y80" s="319" t="s">
        <v>1605</v>
      </c>
      <c r="Z80" s="137" t="s">
        <v>1148</v>
      </c>
      <c r="AA80"/>
      <c r="AB80"/>
      <c r="AC80"/>
      <c r="AD80"/>
      <c r="AE80"/>
      <c r="AF80"/>
    </row>
    <row r="81" spans="1:32" ht="50.1" customHeight="1">
      <c r="A81" s="125">
        <v>77</v>
      </c>
      <c r="B81" s="125" t="s">
        <v>875</v>
      </c>
      <c r="C81" s="125" t="s">
        <v>1588</v>
      </c>
      <c r="D81" s="125" t="s">
        <v>1604</v>
      </c>
      <c r="E81" s="444" t="s">
        <v>886</v>
      </c>
      <c r="F81" s="446" t="s">
        <v>1603</v>
      </c>
      <c r="G81" s="444" t="s">
        <v>2727</v>
      </c>
      <c r="H81" s="444" t="s">
        <v>321</v>
      </c>
      <c r="I81" s="324">
        <f>SUM(J81:M81)</f>
        <v>300</v>
      </c>
      <c r="J81" s="324"/>
      <c r="K81" s="324"/>
      <c r="L81" s="324">
        <v>300</v>
      </c>
      <c r="M81" s="324"/>
      <c r="N81" s="324"/>
      <c r="O81" s="154"/>
      <c r="P81" s="149" t="s">
        <v>6</v>
      </c>
      <c r="Q81" s="147" t="s">
        <v>1602</v>
      </c>
      <c r="R81" s="114" t="s">
        <v>36</v>
      </c>
      <c r="S81" s="147" t="s">
        <v>42</v>
      </c>
      <c r="T81" s="147" t="s">
        <v>49</v>
      </c>
      <c r="U81" s="114" t="s">
        <v>37</v>
      </c>
      <c r="V81" s="147">
        <f t="shared" si="2"/>
        <v>105</v>
      </c>
      <c r="W81" s="145">
        <v>100</v>
      </c>
      <c r="X81" s="227">
        <v>5</v>
      </c>
      <c r="Y81" s="147" t="s">
        <v>507</v>
      </c>
      <c r="Z81" s="151" t="s">
        <v>2725</v>
      </c>
    </row>
    <row r="82" spans="1:32" ht="50.1" customHeight="1">
      <c r="A82" s="125">
        <v>78</v>
      </c>
      <c r="B82" s="125" t="s">
        <v>875</v>
      </c>
      <c r="C82" s="125" t="s">
        <v>1588</v>
      </c>
      <c r="D82" s="452" t="s">
        <v>1601</v>
      </c>
      <c r="E82" s="444" t="s">
        <v>54</v>
      </c>
      <c r="F82" s="446" t="s">
        <v>1600</v>
      </c>
      <c r="G82" s="444" t="s">
        <v>1599</v>
      </c>
      <c r="H82" s="444" t="s">
        <v>420</v>
      </c>
      <c r="I82" s="325">
        <v>200</v>
      </c>
      <c r="J82" s="324"/>
      <c r="K82" s="324">
        <v>30</v>
      </c>
      <c r="L82" s="325">
        <v>170</v>
      </c>
      <c r="M82" s="324"/>
      <c r="N82" s="324"/>
      <c r="O82" s="154"/>
      <c r="P82" s="149" t="s">
        <v>2</v>
      </c>
      <c r="Q82" s="114" t="s">
        <v>1598</v>
      </c>
      <c r="R82" s="114" t="s">
        <v>36</v>
      </c>
      <c r="S82" s="114" t="s">
        <v>1596</v>
      </c>
      <c r="T82" s="114" t="s">
        <v>1597</v>
      </c>
      <c r="U82" s="114" t="s">
        <v>1596</v>
      </c>
      <c r="V82" s="114">
        <f t="shared" si="2"/>
        <v>2</v>
      </c>
      <c r="W82" s="145">
        <v>2</v>
      </c>
      <c r="X82" s="228"/>
      <c r="Y82" s="114" t="s">
        <v>1595</v>
      </c>
      <c r="Z82" s="152" t="s">
        <v>6029</v>
      </c>
    </row>
    <row r="83" spans="1:32" ht="50.1" customHeight="1">
      <c r="A83" s="125">
        <v>79</v>
      </c>
      <c r="B83" s="125" t="s">
        <v>875</v>
      </c>
      <c r="C83" s="125" t="s">
        <v>1588</v>
      </c>
      <c r="D83" s="125" t="s">
        <v>1594</v>
      </c>
      <c r="E83" s="444" t="s">
        <v>1593</v>
      </c>
      <c r="F83" s="446" t="s">
        <v>1592</v>
      </c>
      <c r="G83" s="444" t="s">
        <v>1591</v>
      </c>
      <c r="H83" s="444" t="s">
        <v>552</v>
      </c>
      <c r="I83" s="324">
        <v>150</v>
      </c>
      <c r="J83" s="324"/>
      <c r="K83" s="324"/>
      <c r="L83" s="324">
        <v>150</v>
      </c>
      <c r="M83" s="324"/>
      <c r="N83" s="324"/>
      <c r="O83" s="154"/>
      <c r="P83" s="149" t="s">
        <v>52</v>
      </c>
      <c r="Q83" s="114" t="s">
        <v>1590</v>
      </c>
      <c r="R83" s="114" t="s">
        <v>36</v>
      </c>
      <c r="S83" s="114" t="s">
        <v>55</v>
      </c>
      <c r="T83" s="114" t="s">
        <v>507</v>
      </c>
      <c r="U83" s="114"/>
      <c r="V83" s="114">
        <f t="shared" si="2"/>
        <v>60</v>
      </c>
      <c r="W83" s="218">
        <v>60</v>
      </c>
      <c r="X83" s="228"/>
      <c r="Y83" s="114" t="s">
        <v>1589</v>
      </c>
      <c r="Z83" s="152" t="s">
        <v>2728</v>
      </c>
    </row>
    <row r="84" spans="1:32" ht="50.1" customHeight="1">
      <c r="A84" s="125">
        <v>80</v>
      </c>
      <c r="B84" s="125" t="s">
        <v>875</v>
      </c>
      <c r="C84" s="125" t="s">
        <v>1588</v>
      </c>
      <c r="D84" s="444" t="s">
        <v>1587</v>
      </c>
      <c r="E84" s="444" t="s">
        <v>1409</v>
      </c>
      <c r="F84" s="446" t="s">
        <v>1586</v>
      </c>
      <c r="G84" s="444" t="s">
        <v>1585</v>
      </c>
      <c r="H84" s="444" t="s">
        <v>1584</v>
      </c>
      <c r="I84" s="324">
        <f>SUM(J84:M84)</f>
        <v>100</v>
      </c>
      <c r="J84" s="324"/>
      <c r="K84" s="324">
        <v>30</v>
      </c>
      <c r="L84" s="324">
        <v>70</v>
      </c>
      <c r="M84" s="324"/>
      <c r="N84" s="324"/>
      <c r="O84" s="154"/>
      <c r="P84" s="149" t="s">
        <v>41</v>
      </c>
      <c r="Q84" s="114" t="s">
        <v>1583</v>
      </c>
      <c r="R84" s="114" t="s">
        <v>36</v>
      </c>
      <c r="S84" s="114" t="s">
        <v>42</v>
      </c>
      <c r="T84" s="114" t="s">
        <v>49</v>
      </c>
      <c r="U84" s="114" t="s">
        <v>37</v>
      </c>
      <c r="V84" s="114">
        <f t="shared" si="2"/>
        <v>17</v>
      </c>
      <c r="W84" s="145">
        <v>17</v>
      </c>
      <c r="X84" s="227">
        <v>0</v>
      </c>
      <c r="Y84" s="147" t="s">
        <v>1582</v>
      </c>
      <c r="Z84" s="137" t="s">
        <v>2709</v>
      </c>
      <c r="AA84"/>
      <c r="AB84"/>
      <c r="AC84"/>
      <c r="AD84"/>
      <c r="AE84"/>
      <c r="AF84"/>
    </row>
    <row r="85" spans="1:32" ht="50.1" customHeight="1">
      <c r="A85" s="125">
        <v>81</v>
      </c>
      <c r="B85" s="125" t="s">
        <v>875</v>
      </c>
      <c r="C85" s="125" t="s">
        <v>1578</v>
      </c>
      <c r="D85" s="125" t="s">
        <v>1581</v>
      </c>
      <c r="E85" s="444" t="s">
        <v>1541</v>
      </c>
      <c r="F85" s="446" t="s">
        <v>1580</v>
      </c>
      <c r="G85" s="444" t="s">
        <v>1575</v>
      </c>
      <c r="H85" s="444" t="s">
        <v>285</v>
      </c>
      <c r="I85" s="324">
        <f>SUM(J85:L85)</f>
        <v>1880.6</v>
      </c>
      <c r="J85" s="324">
        <v>58.8</v>
      </c>
      <c r="K85" s="324">
        <v>58.8</v>
      </c>
      <c r="L85" s="324">
        <v>1763</v>
      </c>
      <c r="M85" s="324"/>
      <c r="N85" s="324" t="s">
        <v>35</v>
      </c>
      <c r="O85" s="154" t="s">
        <v>156</v>
      </c>
      <c r="P85" s="154" t="s">
        <v>5</v>
      </c>
      <c r="Q85" s="444" t="s">
        <v>1579</v>
      </c>
      <c r="R85" s="444" t="s">
        <v>36</v>
      </c>
      <c r="S85" s="444" t="s">
        <v>199</v>
      </c>
      <c r="T85" s="444" t="s">
        <v>1434</v>
      </c>
      <c r="U85" s="444" t="s">
        <v>53</v>
      </c>
      <c r="V85" s="444">
        <f t="shared" si="2"/>
        <v>445</v>
      </c>
      <c r="W85" s="314">
        <v>445</v>
      </c>
      <c r="X85" s="324" t="s">
        <v>43</v>
      </c>
      <c r="Y85" s="125" t="s">
        <v>812</v>
      </c>
      <c r="Z85" s="137" t="s">
        <v>2721</v>
      </c>
      <c r="AA85"/>
      <c r="AB85"/>
      <c r="AC85"/>
      <c r="AD85"/>
      <c r="AE85"/>
      <c r="AF85"/>
    </row>
    <row r="86" spans="1:32" ht="50.1" customHeight="1">
      <c r="A86" s="125">
        <v>82</v>
      </c>
      <c r="B86" s="125" t="s">
        <v>875</v>
      </c>
      <c r="C86" s="125" t="s">
        <v>1578</v>
      </c>
      <c r="D86" s="444" t="s">
        <v>1577</v>
      </c>
      <c r="E86" s="444" t="s">
        <v>1520</v>
      </c>
      <c r="F86" s="446" t="s">
        <v>1576</v>
      </c>
      <c r="G86" s="444" t="s">
        <v>1575</v>
      </c>
      <c r="H86" s="444" t="s">
        <v>522</v>
      </c>
      <c r="I86" s="324">
        <v>561</v>
      </c>
      <c r="J86" s="324"/>
      <c r="K86" s="324"/>
      <c r="L86" s="324">
        <v>561</v>
      </c>
      <c r="M86" s="324"/>
      <c r="N86" s="324"/>
      <c r="O86" s="154"/>
      <c r="P86" s="154" t="s">
        <v>6</v>
      </c>
      <c r="Q86" s="444" t="s">
        <v>1566</v>
      </c>
      <c r="R86" s="444" t="s">
        <v>36</v>
      </c>
      <c r="S86" s="444" t="s">
        <v>199</v>
      </c>
      <c r="T86" s="444" t="s">
        <v>1434</v>
      </c>
      <c r="U86" s="444" t="s">
        <v>53</v>
      </c>
      <c r="V86" s="444">
        <f t="shared" si="2"/>
        <v>218</v>
      </c>
      <c r="W86" s="324">
        <v>218</v>
      </c>
      <c r="X86" s="324" t="s">
        <v>43</v>
      </c>
      <c r="Y86" s="125" t="s">
        <v>812</v>
      </c>
      <c r="Z86" s="137" t="s">
        <v>6002</v>
      </c>
    </row>
    <row r="87" spans="1:32" ht="50.1" customHeight="1">
      <c r="A87" s="125">
        <v>83</v>
      </c>
      <c r="B87" s="125" t="s">
        <v>875</v>
      </c>
      <c r="C87" s="125" t="s">
        <v>1564</v>
      </c>
      <c r="D87" s="444" t="s">
        <v>1574</v>
      </c>
      <c r="E87" s="444" t="s">
        <v>1573</v>
      </c>
      <c r="F87" s="446" t="s">
        <v>1572</v>
      </c>
      <c r="G87" s="444" t="s">
        <v>1560</v>
      </c>
      <c r="H87" s="444" t="s">
        <v>1474</v>
      </c>
      <c r="I87" s="324">
        <v>350</v>
      </c>
      <c r="J87" s="324"/>
      <c r="K87" s="324"/>
      <c r="L87" s="324">
        <v>350</v>
      </c>
      <c r="M87" s="324"/>
      <c r="N87" s="324"/>
      <c r="O87" s="154"/>
      <c r="P87" s="154" t="s">
        <v>6</v>
      </c>
      <c r="Q87" s="444" t="s">
        <v>1571</v>
      </c>
      <c r="R87" s="444" t="s">
        <v>36</v>
      </c>
      <c r="S87" s="444" t="s">
        <v>42</v>
      </c>
      <c r="T87" s="444" t="s">
        <v>1558</v>
      </c>
      <c r="U87" s="444" t="s">
        <v>38</v>
      </c>
      <c r="V87" s="444">
        <f t="shared" si="2"/>
        <v>420</v>
      </c>
      <c r="W87" s="324">
        <v>420</v>
      </c>
      <c r="X87" s="324"/>
      <c r="Y87" s="125" t="s">
        <v>240</v>
      </c>
      <c r="Z87" s="137" t="s">
        <v>1148</v>
      </c>
      <c r="AA87"/>
      <c r="AB87"/>
      <c r="AC87"/>
      <c r="AD87"/>
      <c r="AE87"/>
      <c r="AF87"/>
    </row>
    <row r="88" spans="1:32" ht="50.1" customHeight="1">
      <c r="A88" s="125">
        <v>84</v>
      </c>
      <c r="B88" s="125" t="s">
        <v>875</v>
      </c>
      <c r="C88" s="125" t="s">
        <v>1564</v>
      </c>
      <c r="D88" s="452" t="s">
        <v>1570</v>
      </c>
      <c r="E88" s="444" t="s">
        <v>1549</v>
      </c>
      <c r="F88" s="446" t="s">
        <v>1569</v>
      </c>
      <c r="G88" s="444" t="s">
        <v>1568</v>
      </c>
      <c r="H88" s="444" t="s">
        <v>1567</v>
      </c>
      <c r="I88" s="324">
        <v>220</v>
      </c>
      <c r="J88" s="324"/>
      <c r="K88" s="324"/>
      <c r="L88" s="324">
        <v>220</v>
      </c>
      <c r="M88" s="324"/>
      <c r="N88" s="324"/>
      <c r="O88" s="154"/>
      <c r="P88" s="154" t="s">
        <v>6</v>
      </c>
      <c r="Q88" s="444" t="s">
        <v>1566</v>
      </c>
      <c r="R88" s="444" t="s">
        <v>36</v>
      </c>
      <c r="S88" s="444" t="s">
        <v>42</v>
      </c>
      <c r="T88" s="444" t="s">
        <v>1558</v>
      </c>
      <c r="U88" s="444" t="s">
        <v>38</v>
      </c>
      <c r="V88" s="444">
        <f t="shared" si="2"/>
        <v>0</v>
      </c>
      <c r="W88" s="324"/>
      <c r="X88" s="324"/>
      <c r="Y88" s="444" t="s">
        <v>1565</v>
      </c>
      <c r="Z88" s="137" t="s">
        <v>6002</v>
      </c>
      <c r="AA88"/>
      <c r="AB88"/>
      <c r="AC88"/>
      <c r="AD88"/>
      <c r="AE88"/>
      <c r="AF88"/>
    </row>
    <row r="89" spans="1:32" ht="50.1" customHeight="1">
      <c r="A89" s="125">
        <v>85</v>
      </c>
      <c r="B89" s="125" t="s">
        <v>875</v>
      </c>
      <c r="C89" s="125" t="s">
        <v>1564</v>
      </c>
      <c r="D89" s="444" t="s">
        <v>1563</v>
      </c>
      <c r="E89" s="444" t="s">
        <v>1562</v>
      </c>
      <c r="F89" s="446" t="s">
        <v>1561</v>
      </c>
      <c r="G89" s="444" t="s">
        <v>1560</v>
      </c>
      <c r="H89" s="444" t="s">
        <v>1559</v>
      </c>
      <c r="I89" s="324">
        <v>200</v>
      </c>
      <c r="J89" s="324"/>
      <c r="K89" s="324"/>
      <c r="L89" s="324">
        <v>200</v>
      </c>
      <c r="M89" s="324"/>
      <c r="N89" s="324"/>
      <c r="O89" s="154"/>
      <c r="P89" s="154" t="s">
        <v>41</v>
      </c>
      <c r="Q89" s="444" t="s">
        <v>1305</v>
      </c>
      <c r="R89" s="444" t="s">
        <v>36</v>
      </c>
      <c r="S89" s="444" t="s">
        <v>42</v>
      </c>
      <c r="T89" s="444" t="s">
        <v>1558</v>
      </c>
      <c r="U89" s="444" t="s">
        <v>38</v>
      </c>
      <c r="V89" s="444">
        <f t="shared" si="2"/>
        <v>70</v>
      </c>
      <c r="W89" s="324">
        <v>70</v>
      </c>
      <c r="X89" s="324"/>
      <c r="Y89" s="125" t="s">
        <v>240</v>
      </c>
      <c r="Z89" s="137"/>
    </row>
    <row r="90" spans="1:32" ht="50.1" customHeight="1" thickBot="1">
      <c r="A90" s="125">
        <v>86</v>
      </c>
      <c r="B90" s="193" t="s">
        <v>875</v>
      </c>
      <c r="C90" s="193" t="s">
        <v>1557</v>
      </c>
      <c r="D90" s="194" t="s">
        <v>1556</v>
      </c>
      <c r="E90" s="194" t="s">
        <v>1555</v>
      </c>
      <c r="F90" s="238" t="s">
        <v>1554</v>
      </c>
      <c r="G90" s="194" t="s">
        <v>1553</v>
      </c>
      <c r="H90" s="194" t="s">
        <v>210</v>
      </c>
      <c r="I90" s="333">
        <v>200</v>
      </c>
      <c r="J90" s="333"/>
      <c r="K90" s="333"/>
      <c r="L90" s="333">
        <v>200</v>
      </c>
      <c r="M90" s="333"/>
      <c r="N90" s="333"/>
      <c r="O90" s="198"/>
      <c r="P90" s="198" t="s">
        <v>41</v>
      </c>
      <c r="Q90" s="194" t="s">
        <v>1552</v>
      </c>
      <c r="R90" s="194" t="s">
        <v>36</v>
      </c>
      <c r="S90" s="194" t="s">
        <v>42</v>
      </c>
      <c r="T90" s="194"/>
      <c r="U90" s="194" t="s">
        <v>1290</v>
      </c>
      <c r="V90" s="194">
        <f t="shared" si="2"/>
        <v>10</v>
      </c>
      <c r="W90" s="333">
        <v>10</v>
      </c>
      <c r="X90" s="333">
        <v>0</v>
      </c>
      <c r="Y90" s="193" t="s">
        <v>1551</v>
      </c>
      <c r="Z90" s="256" t="s">
        <v>1148</v>
      </c>
      <c r="AA90"/>
      <c r="AB90"/>
      <c r="AC90"/>
      <c r="AD90"/>
      <c r="AE90"/>
      <c r="AF90"/>
    </row>
    <row r="91" spans="1:32">
      <c r="A91" s="239"/>
      <c r="B91" s="239"/>
      <c r="C91" s="239"/>
      <c r="D91" s="240"/>
      <c r="E91" s="240"/>
      <c r="F91" s="241"/>
      <c r="G91" s="240"/>
      <c r="H91" s="240"/>
      <c r="I91" s="242"/>
      <c r="J91" s="242"/>
      <c r="K91" s="242"/>
      <c r="L91" s="242"/>
      <c r="M91" s="242"/>
      <c r="N91" s="242"/>
      <c r="O91" s="240"/>
      <c r="P91" s="240"/>
      <c r="Q91" s="240"/>
      <c r="R91" s="240"/>
      <c r="S91" s="240"/>
      <c r="T91" s="240"/>
      <c r="U91" s="240"/>
      <c r="V91" s="240"/>
      <c r="W91" s="242"/>
      <c r="X91" s="242"/>
      <c r="Y91" s="240"/>
      <c r="Z91" s="243"/>
      <c r="AA91"/>
      <c r="AB91"/>
      <c r="AC91"/>
      <c r="AD91"/>
      <c r="AE91"/>
    </row>
    <row r="92" spans="1:32">
      <c r="A92" s="239"/>
      <c r="B92" s="239"/>
      <c r="C92" s="239"/>
      <c r="D92" s="240"/>
      <c r="E92" s="240"/>
      <c r="F92" s="241"/>
      <c r="G92" s="240"/>
      <c r="H92" s="240"/>
      <c r="I92" s="244"/>
      <c r="J92" s="244"/>
      <c r="K92" s="244"/>
      <c r="L92" s="244"/>
      <c r="M92" s="244"/>
      <c r="N92" s="242"/>
      <c r="O92" s="240"/>
      <c r="P92" s="240"/>
      <c r="Q92" s="240"/>
      <c r="R92" s="240"/>
      <c r="S92" s="240"/>
      <c r="T92" s="240"/>
      <c r="U92" s="240"/>
      <c r="V92" s="240"/>
      <c r="W92" s="242"/>
      <c r="X92" s="242"/>
      <c r="Y92" s="240"/>
      <c r="Z92" s="243"/>
      <c r="AA92"/>
      <c r="AB92"/>
      <c r="AC92"/>
      <c r="AD92"/>
      <c r="AE92"/>
    </row>
    <row r="93" spans="1:32">
      <c r="A93" s="239"/>
      <c r="B93" s="239"/>
      <c r="C93" s="239"/>
      <c r="D93" s="240"/>
      <c r="E93" s="240"/>
      <c r="F93" s="241"/>
      <c r="G93" s="240"/>
      <c r="H93" s="240"/>
      <c r="I93" s="242"/>
      <c r="J93" s="242"/>
      <c r="K93" s="242"/>
      <c r="L93" s="242"/>
      <c r="M93" s="242"/>
      <c r="N93" s="242"/>
      <c r="O93" s="240"/>
      <c r="P93" s="240"/>
      <c r="Q93" s="240"/>
      <c r="R93" s="240"/>
      <c r="S93" s="240"/>
      <c r="T93" s="240"/>
      <c r="U93" s="240"/>
      <c r="V93" s="240"/>
      <c r="W93" s="242"/>
      <c r="X93" s="242"/>
      <c r="Y93" s="240"/>
      <c r="Z93" s="243"/>
      <c r="AA93"/>
      <c r="AB93"/>
      <c r="AC93"/>
      <c r="AD93"/>
      <c r="AE93"/>
    </row>
    <row r="94" spans="1:32" s="245" customFormat="1">
      <c r="A94" s="239"/>
      <c r="B94" s="239"/>
      <c r="C94" s="239"/>
      <c r="D94" s="240"/>
      <c r="E94" s="240"/>
      <c r="F94" s="241"/>
      <c r="G94" s="240"/>
      <c r="H94" s="240"/>
      <c r="I94" s="244"/>
      <c r="J94" s="244"/>
      <c r="K94" s="244"/>
      <c r="L94" s="244"/>
      <c r="M94" s="244"/>
      <c r="N94" s="242"/>
      <c r="O94" s="240"/>
      <c r="P94" s="240"/>
      <c r="Q94" s="240"/>
      <c r="R94" s="240"/>
      <c r="S94" s="240"/>
      <c r="T94" s="240"/>
      <c r="U94" s="240"/>
      <c r="V94" s="240"/>
      <c r="W94" s="242"/>
      <c r="X94" s="242"/>
      <c r="Y94" s="240"/>
      <c r="Z94" s="243"/>
      <c r="AA94"/>
      <c r="AB94"/>
      <c r="AC94"/>
      <c r="AD94"/>
      <c r="AE94"/>
    </row>
    <row r="95" spans="1:32" s="245" customFormat="1">
      <c r="A95" s="239"/>
      <c r="B95" s="239"/>
      <c r="C95" s="239"/>
      <c r="D95" s="239"/>
      <c r="E95" s="240"/>
      <c r="F95" s="241"/>
      <c r="G95" s="240"/>
      <c r="H95" s="240"/>
      <c r="I95" s="246"/>
      <c r="J95" s="246"/>
      <c r="K95" s="246"/>
      <c r="L95" s="246"/>
      <c r="M95" s="246"/>
      <c r="N95" s="246"/>
      <c r="O95" s="247"/>
      <c r="P95" s="247"/>
      <c r="Q95" s="239"/>
      <c r="R95" s="239"/>
      <c r="S95" s="239"/>
      <c r="T95" s="239"/>
      <c r="U95" s="239"/>
      <c r="V95" s="239"/>
      <c r="W95" s="242"/>
      <c r="X95" s="246"/>
      <c r="Y95" s="240"/>
      <c r="Z95" s="248"/>
      <c r="AA95"/>
      <c r="AB95"/>
      <c r="AC95"/>
      <c r="AD95"/>
      <c r="AE95"/>
    </row>
    <row r="96" spans="1:32" s="245" customFormat="1">
      <c r="A96" s="239"/>
      <c r="B96" s="239"/>
      <c r="C96" s="239"/>
      <c r="D96" s="239"/>
      <c r="E96" s="240"/>
      <c r="F96" s="241"/>
      <c r="G96" s="240"/>
      <c r="H96" s="240"/>
      <c r="I96" s="246"/>
      <c r="J96" s="246"/>
      <c r="K96" s="246"/>
      <c r="L96" s="246"/>
      <c r="M96" s="246"/>
      <c r="N96" s="246"/>
      <c r="O96" s="247"/>
      <c r="P96" s="247"/>
      <c r="Q96" s="239"/>
      <c r="R96" s="239"/>
      <c r="S96" s="239"/>
      <c r="T96" s="239"/>
      <c r="U96" s="239"/>
      <c r="V96" s="239"/>
      <c r="W96" s="242"/>
      <c r="X96" s="246"/>
      <c r="Y96" s="240"/>
      <c r="Z96" s="248"/>
      <c r="AA96"/>
      <c r="AB96"/>
      <c r="AC96"/>
      <c r="AD96"/>
      <c r="AE96"/>
    </row>
    <row r="97" spans="1:31" s="245" customFormat="1">
      <c r="A97" s="239"/>
      <c r="B97" s="239"/>
      <c r="C97" s="239"/>
      <c r="D97" s="239"/>
      <c r="E97" s="240"/>
      <c r="F97" s="241"/>
      <c r="G97" s="240"/>
      <c r="H97" s="240"/>
      <c r="I97" s="246"/>
      <c r="J97" s="246"/>
      <c r="K97" s="246"/>
      <c r="L97" s="246"/>
      <c r="M97" s="246"/>
      <c r="N97" s="246"/>
      <c r="O97" s="247"/>
      <c r="P97" s="247"/>
      <c r="Q97" s="239"/>
      <c r="R97" s="239"/>
      <c r="S97" s="239"/>
      <c r="T97" s="239"/>
      <c r="U97" s="239"/>
      <c r="V97" s="239"/>
      <c r="W97" s="242"/>
      <c r="X97" s="246"/>
      <c r="Y97" s="240"/>
      <c r="Z97" s="243"/>
      <c r="AA97"/>
      <c r="AB97"/>
      <c r="AC97"/>
      <c r="AD97"/>
      <c r="AE97"/>
    </row>
    <row r="98" spans="1:31" s="245" customFormat="1">
      <c r="A98" s="239"/>
      <c r="B98" s="239"/>
      <c r="C98" s="239"/>
      <c r="D98" s="239"/>
      <c r="E98" s="240"/>
      <c r="F98" s="241"/>
      <c r="G98" s="240"/>
      <c r="H98" s="240"/>
      <c r="I98" s="246"/>
      <c r="J98" s="246"/>
      <c r="K98" s="246"/>
      <c r="L98" s="246"/>
      <c r="M98" s="246"/>
      <c r="N98" s="246"/>
      <c r="O98" s="247"/>
      <c r="P98" s="247"/>
      <c r="Q98" s="239"/>
      <c r="R98" s="239"/>
      <c r="S98" s="239"/>
      <c r="T98" s="239"/>
      <c r="U98" s="239"/>
      <c r="V98" s="239"/>
      <c r="W98" s="242"/>
      <c r="X98" s="246"/>
      <c r="Y98" s="239"/>
      <c r="Z98" s="248"/>
    </row>
    <row r="99" spans="1:31" s="245" customFormat="1">
      <c r="A99" s="239"/>
      <c r="B99" s="239"/>
      <c r="C99" s="239"/>
      <c r="D99" s="240"/>
      <c r="E99" s="240"/>
      <c r="F99" s="249"/>
      <c r="G99" s="240"/>
      <c r="H99" s="240"/>
      <c r="I99" s="246"/>
      <c r="J99" s="246"/>
      <c r="K99" s="246"/>
      <c r="L99" s="246"/>
      <c r="M99" s="246"/>
      <c r="N99" s="246"/>
      <c r="O99" s="247"/>
      <c r="P99" s="247"/>
      <c r="Q99" s="239"/>
      <c r="R99" s="239"/>
      <c r="S99" s="239"/>
      <c r="T99" s="239"/>
      <c r="U99" s="239"/>
      <c r="V99" s="239"/>
      <c r="W99" s="242"/>
      <c r="X99" s="246"/>
      <c r="Y99" s="240"/>
      <c r="Z99" s="248"/>
    </row>
    <row r="100" spans="1:31" s="245" customFormat="1">
      <c r="A100" s="239"/>
      <c r="B100" s="239"/>
      <c r="C100" s="239"/>
      <c r="D100" s="239"/>
      <c r="E100" s="240"/>
      <c r="F100" s="249"/>
      <c r="G100" s="240"/>
      <c r="H100" s="240"/>
      <c r="I100" s="246"/>
      <c r="J100" s="246"/>
      <c r="K100" s="246"/>
      <c r="L100" s="246"/>
      <c r="M100" s="246"/>
      <c r="N100" s="246"/>
      <c r="O100" s="247"/>
      <c r="P100" s="247"/>
      <c r="Q100" s="239"/>
      <c r="R100" s="239"/>
      <c r="S100" s="239"/>
      <c r="T100" s="239"/>
      <c r="U100" s="239"/>
      <c r="V100" s="239"/>
      <c r="W100" s="242"/>
      <c r="X100" s="246"/>
      <c r="Y100" s="239"/>
      <c r="Z100" s="248"/>
    </row>
    <row r="101" spans="1:31" s="245" customFormat="1">
      <c r="A101" s="239"/>
      <c r="B101" s="239"/>
      <c r="C101" s="239"/>
      <c r="D101" s="240"/>
      <c r="E101" s="240"/>
      <c r="F101" s="241"/>
      <c r="G101" s="240"/>
      <c r="H101" s="240"/>
      <c r="I101" s="242"/>
      <c r="J101" s="242"/>
      <c r="K101" s="242"/>
      <c r="L101" s="242"/>
      <c r="M101" s="242"/>
      <c r="N101" s="242"/>
      <c r="O101" s="240"/>
      <c r="P101" s="240"/>
      <c r="Q101" s="240"/>
      <c r="R101" s="240"/>
      <c r="S101" s="240"/>
      <c r="T101" s="240"/>
      <c r="U101" s="240"/>
      <c r="V101" s="240"/>
      <c r="W101" s="242"/>
      <c r="X101" s="242"/>
      <c r="Y101" s="240"/>
      <c r="Z101" s="243"/>
    </row>
    <row r="102" spans="1:31" s="245" customFormat="1">
      <c r="A102" s="239"/>
      <c r="B102" s="239"/>
      <c r="C102" s="239"/>
      <c r="D102" s="240"/>
      <c r="E102" s="240"/>
      <c r="F102" s="241"/>
      <c r="G102" s="240"/>
      <c r="H102" s="240"/>
      <c r="I102" s="242"/>
      <c r="J102" s="242"/>
      <c r="K102" s="242"/>
      <c r="L102" s="242"/>
      <c r="M102" s="242"/>
      <c r="N102" s="242"/>
      <c r="O102" s="240"/>
      <c r="P102" s="240"/>
      <c r="Q102" s="240"/>
      <c r="R102" s="240"/>
      <c r="S102" s="240"/>
      <c r="T102" s="240"/>
      <c r="U102" s="240"/>
      <c r="V102" s="240"/>
      <c r="W102" s="242"/>
      <c r="X102" s="242"/>
      <c r="Y102" s="240"/>
      <c r="Z102" s="243"/>
    </row>
    <row r="103" spans="1:31" s="245" customFormat="1">
      <c r="A103" s="239"/>
      <c r="B103" s="239"/>
      <c r="C103" s="239"/>
      <c r="D103" s="240"/>
      <c r="E103" s="250"/>
      <c r="F103" s="241"/>
      <c r="G103" s="240"/>
      <c r="H103" s="240"/>
      <c r="I103" s="242"/>
      <c r="J103" s="242"/>
      <c r="K103" s="242"/>
      <c r="L103" s="242"/>
      <c r="M103" s="242"/>
      <c r="N103" s="242"/>
      <c r="O103" s="240"/>
      <c r="P103" s="240"/>
      <c r="Q103" s="240"/>
      <c r="R103" s="240"/>
      <c r="S103" s="240"/>
      <c r="T103" s="240"/>
      <c r="U103" s="240"/>
      <c r="V103" s="240"/>
      <c r="W103" s="242"/>
      <c r="X103" s="242"/>
      <c r="Y103" s="240"/>
      <c r="Z103" s="243"/>
    </row>
    <row r="104" spans="1:31" s="245" customFormat="1">
      <c r="A104" s="239"/>
      <c r="B104" s="239"/>
      <c r="C104" s="239"/>
      <c r="D104" s="240"/>
      <c r="E104" s="250"/>
      <c r="F104" s="241"/>
      <c r="G104" s="240"/>
      <c r="H104" s="240"/>
      <c r="I104" s="242"/>
      <c r="J104" s="242"/>
      <c r="K104" s="242"/>
      <c r="L104" s="242"/>
      <c r="M104" s="242"/>
      <c r="N104" s="242"/>
      <c r="O104" s="240"/>
      <c r="P104" s="240"/>
      <c r="Q104" s="240"/>
      <c r="R104" s="240"/>
      <c r="S104" s="240"/>
      <c r="T104" s="240"/>
      <c r="U104" s="240"/>
      <c r="V104" s="240"/>
      <c r="W104" s="242"/>
      <c r="X104" s="242"/>
      <c r="Y104" s="240"/>
      <c r="Z104" s="243"/>
    </row>
    <row r="105" spans="1:31" s="245" customFormat="1">
      <c r="A105" s="239"/>
      <c r="B105" s="239"/>
      <c r="C105" s="239"/>
      <c r="D105" s="240"/>
      <c r="E105" s="240"/>
      <c r="F105" s="241"/>
      <c r="G105" s="240"/>
      <c r="H105" s="240"/>
      <c r="I105" s="242"/>
      <c r="J105" s="242"/>
      <c r="K105" s="242"/>
      <c r="L105" s="242"/>
      <c r="M105" s="242"/>
      <c r="N105" s="242"/>
      <c r="O105" s="240"/>
      <c r="P105" s="240"/>
      <c r="Q105" s="240"/>
      <c r="R105" s="240"/>
      <c r="S105" s="240"/>
      <c r="T105" s="240"/>
      <c r="U105" s="240"/>
      <c r="V105" s="240"/>
      <c r="W105" s="242"/>
      <c r="X105" s="242"/>
      <c r="Y105" s="240"/>
      <c r="Z105" s="243"/>
    </row>
    <row r="106" spans="1:31" s="245" customFormat="1">
      <c r="A106" s="239"/>
      <c r="B106" s="239"/>
      <c r="C106" s="239"/>
      <c r="D106" s="251"/>
      <c r="E106" s="240"/>
      <c r="F106" s="241"/>
      <c r="G106" s="240"/>
      <c r="H106" s="240"/>
      <c r="I106" s="242"/>
      <c r="J106" s="242"/>
      <c r="K106" s="242"/>
      <c r="L106" s="242"/>
      <c r="M106" s="242"/>
      <c r="N106" s="242"/>
      <c r="O106" s="240"/>
      <c r="P106" s="240"/>
      <c r="Q106" s="240"/>
      <c r="R106" s="240"/>
      <c r="S106" s="240"/>
      <c r="T106" s="240"/>
      <c r="U106" s="240"/>
      <c r="V106" s="240"/>
      <c r="W106" s="242"/>
      <c r="X106" s="242"/>
      <c r="Y106" s="240"/>
      <c r="Z106" s="243"/>
    </row>
    <row r="107" spans="1:31" s="245" customFormat="1">
      <c r="A107" s="239"/>
      <c r="B107" s="239"/>
      <c r="C107" s="239"/>
      <c r="D107" s="240"/>
      <c r="E107" s="240"/>
      <c r="F107" s="241"/>
      <c r="G107" s="240"/>
      <c r="H107" s="240"/>
      <c r="I107" s="242"/>
      <c r="J107" s="242"/>
      <c r="K107" s="242"/>
      <c r="L107" s="242"/>
      <c r="M107" s="242"/>
      <c r="N107" s="242"/>
      <c r="O107" s="240"/>
      <c r="P107" s="240"/>
      <c r="Q107" s="240"/>
      <c r="R107" s="240"/>
      <c r="S107" s="240"/>
      <c r="T107" s="240"/>
      <c r="U107" s="240"/>
      <c r="V107" s="240"/>
      <c r="W107" s="242"/>
      <c r="X107" s="242"/>
      <c r="Y107" s="240"/>
      <c r="Z107" s="243"/>
    </row>
    <row r="108" spans="1:31" s="252" customFormat="1">
      <c r="A108" s="239"/>
      <c r="B108" s="239"/>
      <c r="C108" s="239"/>
      <c r="D108" s="240"/>
      <c r="E108" s="240"/>
      <c r="F108" s="241"/>
      <c r="G108" s="240"/>
      <c r="H108" s="240"/>
      <c r="I108" s="242"/>
      <c r="J108" s="242"/>
      <c r="K108" s="242"/>
      <c r="L108" s="242"/>
      <c r="M108" s="242"/>
      <c r="N108" s="242"/>
      <c r="O108" s="240"/>
      <c r="P108" s="240"/>
      <c r="Q108" s="240"/>
      <c r="R108" s="240"/>
      <c r="S108" s="240"/>
      <c r="T108" s="240"/>
      <c r="U108" s="240"/>
      <c r="V108" s="240"/>
      <c r="W108" s="242"/>
      <c r="X108" s="242"/>
      <c r="Y108" s="240"/>
      <c r="Z108" s="243"/>
    </row>
    <row r="109" spans="1:31" s="252" customFormat="1">
      <c r="A109" s="239"/>
      <c r="B109" s="239"/>
      <c r="C109" s="239"/>
      <c r="D109" s="240"/>
      <c r="E109" s="240"/>
      <c r="F109" s="241"/>
      <c r="G109" s="240"/>
      <c r="H109" s="240"/>
      <c r="I109" s="246"/>
      <c r="J109" s="246"/>
      <c r="K109" s="246"/>
      <c r="L109" s="246"/>
      <c r="M109" s="246"/>
      <c r="N109" s="246"/>
      <c r="O109" s="239"/>
      <c r="P109" s="239"/>
      <c r="Q109" s="239"/>
      <c r="R109" s="239"/>
      <c r="S109" s="239"/>
      <c r="T109" s="240"/>
      <c r="U109" s="239"/>
      <c r="V109" s="239"/>
      <c r="W109" s="242"/>
      <c r="X109" s="253"/>
      <c r="Y109" s="239"/>
      <c r="Z109" s="248"/>
    </row>
    <row r="110" spans="1:31" s="252" customFormat="1">
      <c r="A110" s="239"/>
      <c r="B110" s="239"/>
      <c r="C110" s="239"/>
      <c r="D110" s="240"/>
      <c r="E110" s="240"/>
      <c r="F110" s="241"/>
      <c r="G110" s="240"/>
      <c r="H110" s="240"/>
      <c r="I110" s="242"/>
      <c r="J110" s="242"/>
      <c r="K110" s="242"/>
      <c r="L110" s="242"/>
      <c r="M110" s="242"/>
      <c r="N110" s="242"/>
      <c r="O110" s="240"/>
      <c r="P110" s="240"/>
      <c r="Q110" s="240"/>
      <c r="R110" s="240"/>
      <c r="S110" s="240"/>
      <c r="T110" s="240"/>
      <c r="U110" s="240"/>
      <c r="V110" s="239"/>
      <c r="W110" s="242"/>
      <c r="X110" s="253"/>
      <c r="Y110" s="240"/>
      <c r="Z110" s="243"/>
    </row>
    <row r="111" spans="1:31" s="252" customFormat="1">
      <c r="A111" s="239"/>
      <c r="B111" s="239"/>
      <c r="C111" s="239"/>
      <c r="D111" s="240"/>
      <c r="E111" s="240"/>
      <c r="F111" s="241"/>
      <c r="G111" s="240"/>
      <c r="H111" s="240"/>
      <c r="I111" s="242"/>
      <c r="J111" s="242"/>
      <c r="K111" s="242"/>
      <c r="L111" s="242"/>
      <c r="M111" s="242"/>
      <c r="N111" s="242"/>
      <c r="O111" s="240"/>
      <c r="P111" s="240"/>
      <c r="Q111" s="240"/>
      <c r="R111" s="240"/>
      <c r="S111" s="240"/>
      <c r="T111" s="240"/>
      <c r="U111" s="240"/>
      <c r="V111" s="240"/>
      <c r="W111" s="242"/>
      <c r="X111" s="242"/>
      <c r="Y111" s="240"/>
      <c r="Z111" s="243"/>
    </row>
    <row r="112" spans="1:31" s="252" customFormat="1">
      <c r="A112" s="239"/>
      <c r="B112" s="239"/>
      <c r="C112" s="239"/>
      <c r="D112" s="240"/>
      <c r="E112" s="240"/>
      <c r="F112" s="241"/>
      <c r="G112" s="240"/>
      <c r="H112" s="240"/>
      <c r="I112" s="242"/>
      <c r="J112" s="242"/>
      <c r="K112" s="242"/>
      <c r="L112" s="242"/>
      <c r="M112" s="242"/>
      <c r="N112" s="242"/>
      <c r="O112" s="240"/>
      <c r="P112" s="240"/>
      <c r="Q112" s="240"/>
      <c r="R112" s="240"/>
      <c r="S112" s="240"/>
      <c r="T112" s="240"/>
      <c r="U112" s="240"/>
      <c r="V112" s="240"/>
      <c r="W112" s="242"/>
      <c r="X112" s="242"/>
      <c r="Y112" s="240"/>
      <c r="Z112" s="243"/>
    </row>
    <row r="113" spans="1:26" s="252" customFormat="1">
      <c r="A113" s="239"/>
      <c r="B113" s="239"/>
      <c r="C113" s="239"/>
      <c r="D113" s="240"/>
      <c r="E113" s="240"/>
      <c r="F113" s="241"/>
      <c r="G113" s="240"/>
      <c r="H113" s="240"/>
      <c r="I113" s="246"/>
      <c r="J113" s="246"/>
      <c r="K113" s="246"/>
      <c r="L113" s="246"/>
      <c r="M113" s="246"/>
      <c r="N113" s="246"/>
      <c r="O113" s="239"/>
      <c r="P113" s="239"/>
      <c r="Q113" s="239"/>
      <c r="R113" s="239"/>
      <c r="S113" s="239"/>
      <c r="T113" s="239"/>
      <c r="U113" s="240"/>
      <c r="V113" s="239"/>
      <c r="W113" s="242"/>
      <c r="X113" s="246"/>
      <c r="Y113" s="239"/>
      <c r="Z113" s="248"/>
    </row>
    <row r="114" spans="1:26" s="252" customFormat="1">
      <c r="A114" s="239"/>
      <c r="B114" s="239"/>
      <c r="C114" s="239"/>
      <c r="D114" s="240"/>
      <c r="E114" s="240"/>
      <c r="F114" s="241"/>
      <c r="G114" s="240"/>
      <c r="H114" s="240"/>
      <c r="I114" s="242"/>
      <c r="J114" s="242"/>
      <c r="K114" s="242"/>
      <c r="L114" s="242"/>
      <c r="M114" s="242"/>
      <c r="N114" s="242"/>
      <c r="O114" s="240"/>
      <c r="P114" s="240"/>
      <c r="Q114" s="240"/>
      <c r="R114" s="240"/>
      <c r="S114" s="240"/>
      <c r="T114" s="240"/>
      <c r="U114" s="240"/>
      <c r="V114" s="240"/>
      <c r="W114" s="242"/>
      <c r="X114" s="242"/>
      <c r="Y114" s="240"/>
      <c r="Z114" s="243"/>
    </row>
    <row r="115" spans="1:26" s="252" customFormat="1">
      <c r="A115" s="239"/>
      <c r="B115" s="239"/>
      <c r="C115" s="239"/>
      <c r="D115" s="240"/>
      <c r="E115" s="240"/>
      <c r="F115" s="241"/>
      <c r="G115" s="240"/>
      <c r="H115" s="240"/>
      <c r="I115" s="242"/>
      <c r="J115" s="242"/>
      <c r="K115" s="242"/>
      <c r="L115" s="242"/>
      <c r="M115" s="242"/>
      <c r="N115" s="242"/>
      <c r="O115" s="240"/>
      <c r="P115" s="240"/>
      <c r="Q115" s="240"/>
      <c r="R115" s="240"/>
      <c r="S115" s="240"/>
      <c r="T115" s="240"/>
      <c r="U115" s="240"/>
      <c r="V115" s="240"/>
      <c r="W115" s="242"/>
      <c r="X115" s="242"/>
      <c r="Y115" s="240"/>
      <c r="Z115" s="243"/>
    </row>
    <row r="116" spans="1:26" s="252" customFormat="1">
      <c r="A116" s="239"/>
      <c r="B116" s="239"/>
      <c r="C116" s="239"/>
      <c r="D116" s="240"/>
      <c r="E116" s="240"/>
      <c r="F116" s="241"/>
      <c r="G116" s="240"/>
      <c r="H116" s="240"/>
      <c r="I116" s="242"/>
      <c r="J116" s="242"/>
      <c r="K116" s="242"/>
      <c r="L116" s="242"/>
      <c r="M116" s="242"/>
      <c r="N116" s="242"/>
      <c r="O116" s="240"/>
      <c r="P116" s="240"/>
      <c r="Q116" s="240"/>
      <c r="R116" s="240"/>
      <c r="S116" s="240"/>
      <c r="T116" s="240"/>
      <c r="U116" s="240"/>
      <c r="V116" s="240"/>
      <c r="W116" s="242"/>
      <c r="X116" s="242"/>
      <c r="Y116" s="240"/>
      <c r="Z116" s="243"/>
    </row>
    <row r="117" spans="1:26" s="252" customFormat="1">
      <c r="A117" s="239"/>
      <c r="B117" s="239"/>
      <c r="C117" s="239"/>
      <c r="D117" s="240"/>
      <c r="E117" s="240"/>
      <c r="F117" s="241"/>
      <c r="G117" s="240"/>
      <c r="H117" s="240"/>
      <c r="I117" s="242"/>
      <c r="J117" s="242"/>
      <c r="K117" s="242"/>
      <c r="L117" s="242"/>
      <c r="M117" s="242"/>
      <c r="N117" s="242"/>
      <c r="O117" s="240"/>
      <c r="P117" s="240"/>
      <c r="Q117" s="240"/>
      <c r="R117" s="240"/>
      <c r="S117" s="240"/>
      <c r="T117" s="240"/>
      <c r="U117" s="240"/>
      <c r="V117" s="240"/>
      <c r="W117" s="242"/>
      <c r="X117" s="242"/>
      <c r="Y117" s="240"/>
      <c r="Z117" s="243"/>
    </row>
    <row r="118" spans="1:26" s="252" customFormat="1">
      <c r="A118" s="239"/>
      <c r="B118" s="239"/>
      <c r="C118" s="239"/>
      <c r="D118" s="251"/>
      <c r="E118" s="240"/>
      <c r="F118" s="241"/>
      <c r="G118" s="240"/>
      <c r="H118" s="240"/>
      <c r="I118" s="242"/>
      <c r="J118" s="242"/>
      <c r="K118" s="242"/>
      <c r="L118" s="242"/>
      <c r="M118" s="242"/>
      <c r="N118" s="242"/>
      <c r="O118" s="240"/>
      <c r="P118" s="240"/>
      <c r="Q118" s="240"/>
      <c r="R118" s="240"/>
      <c r="S118" s="240"/>
      <c r="T118" s="240"/>
      <c r="U118" s="240"/>
      <c r="V118" s="240"/>
      <c r="W118" s="242"/>
      <c r="X118" s="242"/>
      <c r="Y118" s="240"/>
      <c r="Z118" s="243"/>
    </row>
    <row r="119" spans="1:26" s="252" customFormat="1">
      <c r="A119" s="239"/>
      <c r="B119" s="239"/>
      <c r="C119" s="239"/>
      <c r="D119" s="240"/>
      <c r="E119" s="240"/>
      <c r="F119" s="241"/>
      <c r="G119" s="240"/>
      <c r="H119" s="240"/>
      <c r="I119" s="242"/>
      <c r="J119" s="242"/>
      <c r="K119" s="242"/>
      <c r="L119" s="242"/>
      <c r="M119" s="242"/>
      <c r="N119" s="242"/>
      <c r="O119" s="240"/>
      <c r="P119" s="240"/>
      <c r="Q119" s="240"/>
      <c r="R119" s="240"/>
      <c r="S119" s="240"/>
      <c r="T119" s="240"/>
      <c r="U119" s="240"/>
      <c r="V119" s="240"/>
      <c r="W119" s="242"/>
      <c r="X119" s="242"/>
      <c r="Y119" s="240"/>
      <c r="Z119" s="243"/>
    </row>
    <row r="120" spans="1:26" s="252" customFormat="1">
      <c r="A120" s="239"/>
      <c r="B120" s="239"/>
      <c r="C120" s="239"/>
      <c r="D120" s="240"/>
      <c r="E120" s="240"/>
      <c r="F120" s="241"/>
      <c r="G120" s="240"/>
      <c r="H120" s="240"/>
      <c r="I120" s="242"/>
      <c r="J120" s="242"/>
      <c r="K120" s="242"/>
      <c r="L120" s="242"/>
      <c r="M120" s="242"/>
      <c r="N120" s="242"/>
      <c r="O120" s="240"/>
      <c r="P120" s="240"/>
      <c r="Q120" s="240"/>
      <c r="R120" s="240"/>
      <c r="S120" s="240"/>
      <c r="T120" s="240"/>
      <c r="U120" s="240"/>
      <c r="V120" s="240"/>
      <c r="W120" s="242"/>
      <c r="X120" s="242"/>
      <c r="Y120" s="240"/>
      <c r="Z120" s="243"/>
    </row>
    <row r="121" spans="1:26" s="252" customFormat="1">
      <c r="A121" s="239"/>
      <c r="B121" s="239"/>
      <c r="C121" s="239"/>
      <c r="D121" s="240"/>
      <c r="E121" s="240"/>
      <c r="F121" s="241"/>
      <c r="G121" s="240"/>
      <c r="H121" s="240"/>
      <c r="I121" s="242"/>
      <c r="J121" s="242"/>
      <c r="K121" s="242"/>
      <c r="L121" s="242"/>
      <c r="M121" s="242"/>
      <c r="N121" s="242"/>
      <c r="O121" s="240"/>
      <c r="P121" s="240"/>
      <c r="Q121" s="240"/>
      <c r="R121" s="240"/>
      <c r="S121" s="240"/>
      <c r="T121" s="240"/>
      <c r="U121" s="240"/>
      <c r="V121" s="240"/>
      <c r="W121" s="242"/>
      <c r="X121" s="242"/>
      <c r="Y121" s="240"/>
      <c r="Z121" s="243"/>
    </row>
    <row r="122" spans="1:26" s="252" customFormat="1">
      <c r="A122" s="239"/>
      <c r="B122" s="239"/>
      <c r="C122" s="239"/>
      <c r="D122" s="240"/>
      <c r="E122" s="240"/>
      <c r="F122" s="241"/>
      <c r="G122" s="240"/>
      <c r="H122" s="240"/>
      <c r="I122" s="242"/>
      <c r="J122" s="242"/>
      <c r="K122" s="242"/>
      <c r="L122" s="242"/>
      <c r="M122" s="242"/>
      <c r="N122" s="242"/>
      <c r="O122" s="240"/>
      <c r="P122" s="240"/>
      <c r="Q122" s="240"/>
      <c r="R122" s="240"/>
      <c r="S122" s="240"/>
      <c r="T122" s="240"/>
      <c r="U122" s="240"/>
      <c r="V122" s="240"/>
      <c r="W122" s="242"/>
      <c r="X122" s="242"/>
      <c r="Y122" s="240"/>
      <c r="Z122" s="243"/>
    </row>
    <row r="123" spans="1:26" s="252" customFormat="1">
      <c r="A123" s="239"/>
      <c r="B123" s="239"/>
      <c r="C123" s="239"/>
      <c r="D123" s="240"/>
      <c r="E123" s="240"/>
      <c r="F123" s="241"/>
      <c r="G123" s="240"/>
      <c r="H123" s="240"/>
      <c r="I123" s="242"/>
      <c r="J123" s="242"/>
      <c r="K123" s="242"/>
      <c r="L123" s="242"/>
      <c r="M123" s="242"/>
      <c r="N123" s="242"/>
      <c r="O123" s="240"/>
      <c r="P123" s="240"/>
      <c r="Q123" s="240"/>
      <c r="R123" s="240"/>
      <c r="S123" s="240"/>
      <c r="T123" s="240"/>
      <c r="U123" s="240"/>
      <c r="V123" s="240"/>
      <c r="W123" s="242"/>
      <c r="X123" s="242"/>
      <c r="Y123" s="240"/>
      <c r="Z123" s="243"/>
    </row>
    <row r="124" spans="1:26" s="252" customFormat="1">
      <c r="A124" s="239"/>
      <c r="B124" s="239"/>
      <c r="C124" s="239"/>
      <c r="D124" s="240"/>
      <c r="E124" s="240"/>
      <c r="F124" s="241"/>
      <c r="G124" s="240"/>
      <c r="H124" s="240"/>
      <c r="I124" s="242"/>
      <c r="J124" s="242"/>
      <c r="K124" s="242"/>
      <c r="L124" s="242"/>
      <c r="M124" s="242"/>
      <c r="N124" s="242"/>
      <c r="O124" s="240"/>
      <c r="P124" s="240"/>
      <c r="Q124" s="240"/>
      <c r="R124" s="240"/>
      <c r="S124" s="240"/>
      <c r="T124" s="240"/>
      <c r="U124" s="240"/>
      <c r="V124" s="240"/>
      <c r="W124" s="253"/>
      <c r="X124" s="253"/>
      <c r="Y124" s="240"/>
      <c r="Z124" s="243"/>
    </row>
    <row r="125" spans="1:26" s="252" customFormat="1">
      <c r="A125" s="239"/>
      <c r="B125" s="239"/>
      <c r="C125" s="239"/>
      <c r="D125" s="240"/>
      <c r="E125" s="240"/>
      <c r="F125" s="241"/>
      <c r="G125" s="240"/>
      <c r="H125" s="240"/>
      <c r="I125" s="242"/>
      <c r="J125" s="242"/>
      <c r="K125" s="242"/>
      <c r="L125" s="242"/>
      <c r="M125" s="242"/>
      <c r="N125" s="242"/>
      <c r="O125" s="240"/>
      <c r="P125" s="240"/>
      <c r="Q125" s="240"/>
      <c r="R125" s="240"/>
      <c r="S125" s="240"/>
      <c r="T125" s="240"/>
      <c r="U125" s="240"/>
      <c r="V125" s="240"/>
      <c r="W125" s="253"/>
      <c r="X125" s="253"/>
      <c r="Y125" s="240"/>
      <c r="Z125" s="243"/>
    </row>
    <row r="126" spans="1:26" s="252" customFormat="1">
      <c r="A126" s="239"/>
      <c r="B126" s="239"/>
      <c r="C126" s="239"/>
      <c r="D126" s="240"/>
      <c r="E126" s="240"/>
      <c r="F126" s="241"/>
      <c r="G126" s="240"/>
      <c r="H126" s="240"/>
      <c r="I126" s="242"/>
      <c r="J126" s="242"/>
      <c r="K126" s="242"/>
      <c r="L126" s="242"/>
      <c r="M126" s="242"/>
      <c r="N126" s="242"/>
      <c r="O126" s="240"/>
      <c r="P126" s="240"/>
      <c r="Q126" s="240"/>
      <c r="R126" s="240"/>
      <c r="S126" s="240"/>
      <c r="T126" s="240"/>
      <c r="U126" s="240"/>
      <c r="V126" s="240"/>
      <c r="W126" s="242"/>
      <c r="X126" s="242"/>
      <c r="Y126" s="240"/>
      <c r="Z126" s="243"/>
    </row>
    <row r="127" spans="1:26">
      <c r="A127" s="239"/>
      <c r="B127" s="239"/>
      <c r="C127" s="239"/>
      <c r="D127" s="240"/>
      <c r="E127" s="240"/>
      <c r="F127" s="241"/>
      <c r="G127" s="240"/>
      <c r="H127" s="240"/>
      <c r="I127" s="242"/>
      <c r="J127" s="242"/>
      <c r="K127" s="242"/>
      <c r="L127" s="242"/>
      <c r="M127" s="242"/>
      <c r="N127" s="242"/>
      <c r="O127" s="240"/>
      <c r="P127" s="240"/>
      <c r="Q127" s="240"/>
      <c r="R127" s="240"/>
      <c r="S127" s="240"/>
      <c r="T127" s="240"/>
      <c r="U127" s="240"/>
      <c r="V127" s="240"/>
      <c r="W127" s="242"/>
      <c r="X127" s="242"/>
      <c r="Y127" s="240"/>
      <c r="Z127" s="243"/>
    </row>
    <row r="128" spans="1:26">
      <c r="A128" s="254"/>
      <c r="B128" s="254"/>
      <c r="C128" s="254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</row>
    <row r="129" spans="1:26">
      <c r="A129" s="254"/>
      <c r="B129" s="254"/>
      <c r="C129" s="254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</row>
    <row r="130" spans="1:26">
      <c r="A130" s="254"/>
      <c r="B130" s="254"/>
      <c r="C130" s="254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</row>
    <row r="131" spans="1:26">
      <c r="A131" s="254"/>
      <c r="B131" s="254"/>
      <c r="C131" s="254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</row>
    <row r="132" spans="1:26">
      <c r="A132" s="254"/>
      <c r="B132" s="254"/>
      <c r="C132" s="254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</row>
    <row r="133" spans="1:26">
      <c r="A133" s="254"/>
      <c r="B133" s="254"/>
      <c r="C133" s="254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</row>
    <row r="134" spans="1:26">
      <c r="A134" s="254"/>
      <c r="B134" s="254"/>
      <c r="C134" s="254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</row>
    <row r="135" spans="1:26">
      <c r="A135" s="254"/>
      <c r="B135" s="254"/>
      <c r="C135" s="254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</row>
    <row r="136" spans="1:26">
      <c r="A136" s="254"/>
      <c r="B136" s="254"/>
      <c r="C136" s="254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</row>
    <row r="137" spans="1:26">
      <c r="A137" s="254"/>
      <c r="B137" s="254"/>
      <c r="C137" s="254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</row>
    <row r="138" spans="1:26">
      <c r="A138" s="254"/>
      <c r="B138" s="254"/>
      <c r="C138" s="254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</row>
  </sheetData>
  <autoFilter ref="A4:Z90">
    <filterColumn colId="4">
      <filters>
        <filter val="10.1~10.3._x000a_(3일간)"/>
        <filter val="10.10~10.11._x000a_(2일간)"/>
        <filter val="10.16~10.18_x000a_(3일간)"/>
        <filter val="10.16~10.18._x000a_(3일간)"/>
        <filter val="10.17~10.18._x000a_(2일간)"/>
        <filter val="10.24~10.25._x000a_(2일간)"/>
        <filter val="10.24~11.1._x000a_(9일간)"/>
        <filter val="10.28~11.1._x000a_(5일간)"/>
        <filter val="10.5~10.6._x000a_(2일간)"/>
        <filter val="10.8~10.11._x000a_(4일간)"/>
        <filter val="10.8~10.14._x000a_(3일간)"/>
        <filter val="10.8~10.14._x000a_(7일간)"/>
        <filter val="10월 중"/>
        <filter val="10월 중_x000a_(2일간)"/>
        <filter val="10월 중_x000a_(3일)"/>
        <filter val="10월 중_x000a_(3일간)"/>
        <filter val="10월 중_x000a_(9일간)"/>
        <filter val="12.11~12.13._x000a_(3일간)"/>
        <filter val="12.24~12.27._x000a_(4일간)"/>
        <filter val="12.31~1.1._x000a_(2일간)"/>
        <filter val="2.20~2.23._x000a_(4일간)"/>
        <filter val="2.27~3.1._x000a_(4일간)"/>
        <filter val="2.28~3.1._x000a_(3일)"/>
        <filter val="4.2~4.5._x000a_(4일간)"/>
        <filter val="4.25~4.26._x000a_(2일간)"/>
        <filter val="4월 중"/>
        <filter val="4월 중_x000a_(2일간)"/>
        <filter val="4월 중_x000a_(4일간)"/>
        <filter val="4월 중_x000a_(미정)"/>
        <filter val="5.1~5.10._x000a_(10일간)"/>
        <filter val="5.1~5.17._x000a_(17일간)"/>
        <filter val="5.1~5.3._x000a_(3일간)"/>
        <filter val="5.14~5.17._x000a_(4일간)"/>
        <filter val="5.2~5.5._x000a_(4일간)"/>
        <filter val="5.29~5.31._x000a_(3일간)"/>
        <filter val="5.30~5.31._x000a_(2일간)"/>
        <filter val="5.7~5.10._x000a_(4일간)"/>
        <filter val="5.9~5.10._x000a_(2일간)"/>
        <filter val="5~10월 중"/>
        <filter val="5월 중_x000a_(2일)"/>
        <filter val="5월 중_x000a_(3일간)"/>
        <filter val="6.13~6.14._x000a_(2일간)"/>
        <filter val="6.25~6.28._x000a_(4일간)"/>
        <filter val="6~7월 중"/>
        <filter val="6월 중_x000a_(3일)"/>
        <filter val="7.24~7.26_x000a_(3일간)"/>
        <filter val="7.24~7.26._x000a_(3일간)"/>
        <filter val="7.25~8.2._x000a_(9일간)"/>
        <filter val="7.30~8.1._x000a_(3일간)"/>
        <filter val="7~8월 중"/>
        <filter val="7월 중"/>
        <filter val="7월 중_x000a_(10일간)"/>
        <filter val="7월 중_x000a_(2일)"/>
        <filter val="7월 중_x000a_(4일간)"/>
        <filter val="8월 중"/>
        <filter val="8월 중_x000a_(2일간)"/>
        <filter val="9.19~10.10._x000a_(22일간)"/>
        <filter val="9.25~10.4._x000a_(10일간)"/>
        <filter val="9.25~9.27._x000a_(3일간)"/>
        <filter val="9~10월 중"/>
        <filter val="9~10월 중_x000a_(3일간)"/>
        <filter val="9월 중"/>
        <filter val="9월 중 _x000a_(3일간)"/>
        <filter val="9월 중_x000a_(2일간)"/>
        <filter val="9월 중_x000a_(3일간)"/>
        <filter val="9월~10월 중_x000a_(2일간)"/>
        <filter val="미정"/>
      </filters>
    </filterColumn>
    <sortState ref="A5:Z91">
      <sortCondition ref="A4:A91"/>
    </sortState>
  </autoFilter>
  <mergeCells count="4">
    <mergeCell ref="A1:X2"/>
    <mergeCell ref="I3:M3"/>
    <mergeCell ref="N3:O3"/>
    <mergeCell ref="V3:X3"/>
  </mergeCells>
  <phoneticPr fontId="23" type="noConversion"/>
  <dataValidations disablePrompts="1" count="18">
    <dataValidation type="list" allowBlank="1" showInputMessage="1" showErrorMessage="1" sqref="B49">
      <formula1>$B$95:$B$108</formula1>
    </dataValidation>
    <dataValidation type="list" allowBlank="1" showInputMessage="1" showErrorMessage="1" sqref="B60 B47 B51 B42">
      <formula1>$B$93:$B$107</formula1>
    </dataValidation>
    <dataValidation type="list" allowBlank="1" showInputMessage="1" showErrorMessage="1" sqref="B5:B15 B22:B30 B45:B46 B43 B50 B52 B58:B59 B70:B73 B76:B79 B85:B90">
      <formula1>$B$94:$B$107</formula1>
    </dataValidation>
    <dataValidation type="list" allowBlank="1" showInputMessage="1" showErrorMessage="1" sqref="P61:P65">
      <formula1>$P$91:$P$94</formula1>
    </dataValidation>
    <dataValidation type="list" allowBlank="1" showInputMessage="1" showErrorMessage="1" sqref="B61 B63">
      <formula1>$B$91:$B$105</formula1>
    </dataValidation>
    <dataValidation type="list" allowBlank="1" showInputMessage="1" showErrorMessage="1" sqref="B62 B64:B65">
      <formula1>$B$91:$B$101</formula1>
    </dataValidation>
    <dataValidation type="list" allowBlank="1" showInputMessage="1" showErrorMessage="1" sqref="B81 B84">
      <formula1>$B$7:$B$8</formula1>
    </dataValidation>
    <dataValidation type="list" allowBlank="1" showInputMessage="1" showErrorMessage="1" sqref="B82:B83">
      <formula1>$B$6:$B$6</formula1>
    </dataValidation>
    <dataValidation type="list" allowBlank="1" showInputMessage="1" showErrorMessage="1" sqref="P82:P83">
      <formula1>$P$6:$P$6</formula1>
    </dataValidation>
    <dataValidation type="list" allowBlank="1" showInputMessage="1" showErrorMessage="1" sqref="P48:P49">
      <formula1>$P$95:$P$100</formula1>
    </dataValidation>
    <dataValidation type="list" allowBlank="1" showInputMessage="1" showErrorMessage="1" sqref="B48">
      <formula1>$B$7:$B$21</formula1>
    </dataValidation>
    <dataValidation type="list" allowBlank="1" showInputMessage="1" showErrorMessage="1" sqref="P47 P60 P51 P42">
      <formula1>$P$93:$P$98</formula1>
    </dataValidation>
    <dataValidation type="list" allowBlank="1" showInputMessage="1" showErrorMessage="1" sqref="P31:P35">
      <formula1>$P$9:$P$14</formula1>
    </dataValidation>
    <dataValidation type="list" allowBlank="1" showInputMessage="1" showErrorMessage="1" sqref="B31:B40">
      <formula1>$B$9:$B$23</formula1>
    </dataValidation>
    <dataValidation type="list" allowBlank="1" showInputMessage="1" showErrorMessage="1" sqref="B18:B21 P18:P21 B74:B75 P74:P75 P80:P81 P84 B80 P53:P55 B53:B57 P36:P40">
      <formula1>#REF!</formula1>
    </dataValidation>
    <dataValidation type="list" allowBlank="1" showInputMessage="1" showErrorMessage="1" sqref="P16:P17 P66:P69 P44 P41">
      <formula1>$P$91:$P$96</formula1>
    </dataValidation>
    <dataValidation type="list" allowBlank="1" showInputMessage="1" showErrorMessage="1" sqref="B16:B17 B66:B69 B44 B41">
      <formula1>$B$91:$B$107</formula1>
    </dataValidation>
    <dataValidation type="list" allowBlank="1" showInputMessage="1" showErrorMessage="1" sqref="P5:P15 P85:P90 P76:P79 P70:P73 P56:P59 P52 P50 P43 P45:P46 P22:P30">
      <formula1>$P$94:$P$99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G100"/>
  <sheetViews>
    <sheetView zoomScale="70" zoomScaleNormal="70" workbookViewId="0">
      <selection sqref="A1:X2"/>
    </sheetView>
  </sheetViews>
  <sheetFormatPr defaultColWidth="8.88671875" defaultRowHeight="13.5"/>
  <cols>
    <col min="1" max="1" width="7" style="88" customWidth="1"/>
    <col min="2" max="3" width="8.88671875" style="88"/>
    <col min="4" max="4" width="20.5546875" style="88" bestFit="1" customWidth="1"/>
    <col min="5" max="5" width="11.77734375" style="88" customWidth="1"/>
    <col min="6" max="6" width="36.109375" style="88" customWidth="1"/>
    <col min="7" max="7" width="24.44140625" style="88" customWidth="1"/>
    <col min="8" max="8" width="9.77734375" style="88" customWidth="1"/>
    <col min="9" max="13" width="8.88671875" style="88" customWidth="1"/>
    <col min="14" max="14" width="11.5546875" style="88" customWidth="1"/>
    <col min="15" max="15" width="14.109375" style="88" customWidth="1"/>
    <col min="16" max="18" width="8.88671875" style="88" customWidth="1"/>
    <col min="19" max="19" width="10.6640625" style="88" customWidth="1"/>
    <col min="20" max="23" width="8.88671875" style="88" customWidth="1"/>
    <col min="24" max="24" width="5.88671875" style="88" customWidth="1"/>
    <col min="25" max="25" width="10.88671875" style="88" customWidth="1"/>
    <col min="26" max="26" width="20" style="88" customWidth="1"/>
    <col min="27" max="27" width="17.6640625" style="88" customWidth="1"/>
    <col min="28" max="28" width="8.88671875" style="88"/>
    <col min="29" max="29" width="10.44140625" style="88" bestFit="1" customWidth="1"/>
    <col min="30" max="16384" width="8.88671875" style="88"/>
  </cols>
  <sheetData>
    <row r="1" spans="1:33" customForma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1"/>
    </row>
    <row r="2" spans="1:33" customFormat="1" ht="14.25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3"/>
    </row>
    <row r="3" spans="1:33" customFormat="1" ht="17.25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53"/>
      <c r="Q3" s="54"/>
      <c r="R3" s="55"/>
      <c r="S3" s="55"/>
      <c r="T3" s="55"/>
      <c r="U3" s="55"/>
      <c r="V3" s="518" t="s">
        <v>133</v>
      </c>
      <c r="W3" s="519"/>
      <c r="X3" s="520"/>
      <c r="Y3" s="55"/>
    </row>
    <row r="4" spans="1:33" customFormat="1" ht="57">
      <c r="A4" s="210" t="s">
        <v>0</v>
      </c>
      <c r="B4" s="210" t="s">
        <v>134</v>
      </c>
      <c r="C4" s="210" t="s">
        <v>1</v>
      </c>
      <c r="D4" s="210" t="s">
        <v>135</v>
      </c>
      <c r="E4" s="211" t="s">
        <v>136</v>
      </c>
      <c r="F4" s="210" t="s">
        <v>137</v>
      </c>
      <c r="G4" s="211" t="s">
        <v>138</v>
      </c>
      <c r="H4" s="211" t="s">
        <v>3</v>
      </c>
      <c r="I4" s="211" t="s">
        <v>139</v>
      </c>
      <c r="J4" s="211" t="s">
        <v>140</v>
      </c>
      <c r="K4" s="211" t="s">
        <v>4</v>
      </c>
      <c r="L4" s="211" t="s">
        <v>141</v>
      </c>
      <c r="M4" s="211" t="s">
        <v>2</v>
      </c>
      <c r="N4" s="211" t="s">
        <v>142</v>
      </c>
      <c r="O4" s="211" t="s">
        <v>143</v>
      </c>
      <c r="P4" s="211" t="s">
        <v>29</v>
      </c>
      <c r="Q4" s="211" t="s">
        <v>27</v>
      </c>
      <c r="R4" s="212" t="s">
        <v>144</v>
      </c>
      <c r="S4" s="212" t="s">
        <v>145</v>
      </c>
      <c r="T4" s="212" t="s">
        <v>146</v>
      </c>
      <c r="U4" s="212" t="s">
        <v>28</v>
      </c>
      <c r="V4" s="212" t="s">
        <v>33</v>
      </c>
      <c r="W4" s="212" t="s">
        <v>147</v>
      </c>
      <c r="X4" s="212" t="s">
        <v>148</v>
      </c>
      <c r="Y4" s="212" t="s">
        <v>30</v>
      </c>
      <c r="Z4" s="104" t="s">
        <v>1152</v>
      </c>
    </row>
    <row r="5" spans="1:33" ht="59.25" customHeight="1">
      <c r="A5" s="125">
        <v>1</v>
      </c>
      <c r="B5" s="125" t="s">
        <v>1306</v>
      </c>
      <c r="C5" s="125" t="s">
        <v>2457</v>
      </c>
      <c r="D5" s="453" t="s">
        <v>2486</v>
      </c>
      <c r="E5" s="453" t="s">
        <v>2485</v>
      </c>
      <c r="F5" s="455" t="s">
        <v>2484</v>
      </c>
      <c r="G5" s="453" t="s">
        <v>2483</v>
      </c>
      <c r="H5" s="453" t="s">
        <v>2482</v>
      </c>
      <c r="I5" s="314">
        <f t="shared" ref="I5:I36" si="0">SUM(J5:M5)</f>
        <v>1673</v>
      </c>
      <c r="J5" s="314">
        <v>0</v>
      </c>
      <c r="K5" s="314">
        <v>0</v>
      </c>
      <c r="L5" s="314">
        <v>1673</v>
      </c>
      <c r="M5" s="314">
        <v>0</v>
      </c>
      <c r="N5" s="314"/>
      <c r="O5" s="453"/>
      <c r="P5" s="453" t="s">
        <v>7</v>
      </c>
      <c r="Q5" s="453" t="s">
        <v>2481</v>
      </c>
      <c r="R5" s="453" t="s">
        <v>36</v>
      </c>
      <c r="S5" s="453" t="s">
        <v>42</v>
      </c>
      <c r="T5" s="453" t="s">
        <v>2480</v>
      </c>
      <c r="U5" s="453" t="s">
        <v>37</v>
      </c>
      <c r="V5" s="453">
        <f t="shared" ref="V5:V12" si="1">SUM(W5:X5)</f>
        <v>4128</v>
      </c>
      <c r="W5" s="314">
        <v>3682</v>
      </c>
      <c r="X5" s="314">
        <v>446</v>
      </c>
      <c r="Y5" s="453" t="s">
        <v>445</v>
      </c>
      <c r="Z5" s="137" t="s">
        <v>1148</v>
      </c>
      <c r="AA5"/>
      <c r="AB5"/>
      <c r="AC5"/>
      <c r="AD5"/>
      <c r="AE5"/>
      <c r="AF5"/>
      <c r="AG5"/>
    </row>
    <row r="6" spans="1:33" ht="54">
      <c r="A6" s="125">
        <v>2</v>
      </c>
      <c r="B6" s="125" t="s">
        <v>1306</v>
      </c>
      <c r="C6" s="125" t="s">
        <v>2457</v>
      </c>
      <c r="D6" s="453" t="s">
        <v>2479</v>
      </c>
      <c r="E6" s="453" t="s">
        <v>2478</v>
      </c>
      <c r="F6" s="455" t="s">
        <v>2477</v>
      </c>
      <c r="G6" s="453" t="s">
        <v>2476</v>
      </c>
      <c r="H6" s="453" t="s">
        <v>2475</v>
      </c>
      <c r="I6" s="314">
        <f t="shared" si="0"/>
        <v>140</v>
      </c>
      <c r="J6" s="314">
        <v>0</v>
      </c>
      <c r="K6" s="314">
        <v>20</v>
      </c>
      <c r="L6" s="314">
        <v>80</v>
      </c>
      <c r="M6" s="314">
        <v>40</v>
      </c>
      <c r="N6" s="314"/>
      <c r="O6" s="453"/>
      <c r="P6" s="453" t="s">
        <v>6</v>
      </c>
      <c r="Q6" s="453" t="s">
        <v>2474</v>
      </c>
      <c r="R6" s="453" t="s">
        <v>36</v>
      </c>
      <c r="S6" s="453" t="s">
        <v>42</v>
      </c>
      <c r="T6" s="453" t="s">
        <v>2473</v>
      </c>
      <c r="U6" s="453" t="s">
        <v>37</v>
      </c>
      <c r="V6" s="453">
        <f t="shared" si="1"/>
        <v>300</v>
      </c>
      <c r="W6" s="314">
        <v>300</v>
      </c>
      <c r="X6" s="314"/>
      <c r="Y6" s="453" t="s">
        <v>99</v>
      </c>
      <c r="Z6" s="137" t="s">
        <v>1148</v>
      </c>
      <c r="AA6"/>
      <c r="AB6"/>
      <c r="AC6"/>
      <c r="AD6"/>
      <c r="AE6"/>
      <c r="AF6"/>
      <c r="AG6"/>
    </row>
    <row r="7" spans="1:33" ht="50.1" customHeight="1">
      <c r="A7" s="125">
        <v>3</v>
      </c>
      <c r="B7" s="125" t="s">
        <v>1306</v>
      </c>
      <c r="C7" s="125" t="s">
        <v>2457</v>
      </c>
      <c r="D7" s="453" t="s">
        <v>2472</v>
      </c>
      <c r="E7" s="453" t="s">
        <v>1009</v>
      </c>
      <c r="F7" s="455" t="s">
        <v>2471</v>
      </c>
      <c r="G7" s="453" t="s">
        <v>2470</v>
      </c>
      <c r="H7" s="453" t="s">
        <v>397</v>
      </c>
      <c r="I7" s="315">
        <f t="shared" si="0"/>
        <v>1650</v>
      </c>
      <c r="J7" s="315">
        <v>0</v>
      </c>
      <c r="K7" s="315">
        <v>0</v>
      </c>
      <c r="L7" s="314">
        <v>1650</v>
      </c>
      <c r="M7" s="314">
        <v>0</v>
      </c>
      <c r="N7" s="314"/>
      <c r="O7" s="453"/>
      <c r="P7" s="454" t="s">
        <v>7</v>
      </c>
      <c r="Q7" s="454" t="s">
        <v>2469</v>
      </c>
      <c r="R7" s="454" t="s">
        <v>36</v>
      </c>
      <c r="S7" s="454" t="s">
        <v>68</v>
      </c>
      <c r="T7" s="454"/>
      <c r="U7" s="454" t="s">
        <v>37</v>
      </c>
      <c r="V7" s="454">
        <f t="shared" si="1"/>
        <v>17</v>
      </c>
      <c r="W7" s="145">
        <v>16</v>
      </c>
      <c r="X7" s="145">
        <v>1</v>
      </c>
      <c r="Y7" s="454" t="s">
        <v>220</v>
      </c>
      <c r="Z7" s="202" t="s">
        <v>1148</v>
      </c>
      <c r="AA7"/>
      <c r="AB7"/>
      <c r="AC7"/>
      <c r="AD7"/>
      <c r="AE7"/>
      <c r="AF7"/>
      <c r="AG7"/>
    </row>
    <row r="8" spans="1:33" ht="50.1" customHeight="1">
      <c r="A8" s="125">
        <v>4</v>
      </c>
      <c r="B8" s="125" t="s">
        <v>1008</v>
      </c>
      <c r="C8" s="125" t="s">
        <v>2457</v>
      </c>
      <c r="D8" s="453" t="s">
        <v>2468</v>
      </c>
      <c r="E8" s="453" t="s">
        <v>2467</v>
      </c>
      <c r="F8" s="455" t="s">
        <v>2466</v>
      </c>
      <c r="G8" s="453" t="s">
        <v>2465</v>
      </c>
      <c r="H8" s="453" t="s">
        <v>1474</v>
      </c>
      <c r="I8" s="314">
        <f t="shared" si="0"/>
        <v>1242</v>
      </c>
      <c r="J8" s="314">
        <v>0</v>
      </c>
      <c r="K8" s="314">
        <v>0</v>
      </c>
      <c r="L8" s="314">
        <v>1242</v>
      </c>
      <c r="M8" s="314">
        <v>0</v>
      </c>
      <c r="N8" s="314"/>
      <c r="O8" s="453"/>
      <c r="P8" s="453" t="s">
        <v>7</v>
      </c>
      <c r="Q8" s="453" t="s">
        <v>2464</v>
      </c>
      <c r="R8" s="453" t="s">
        <v>36</v>
      </c>
      <c r="S8" s="453" t="s">
        <v>42</v>
      </c>
      <c r="T8" s="453" t="s">
        <v>2463</v>
      </c>
      <c r="U8" s="453" t="s">
        <v>2462</v>
      </c>
      <c r="V8" s="453">
        <f t="shared" si="1"/>
        <v>2116</v>
      </c>
      <c r="W8" s="314">
        <v>2075</v>
      </c>
      <c r="X8" s="314">
        <v>41</v>
      </c>
      <c r="Y8" s="453" t="s">
        <v>2461</v>
      </c>
      <c r="Z8" s="137" t="s">
        <v>6004</v>
      </c>
    </row>
    <row r="9" spans="1:33" ht="50.1" customHeight="1">
      <c r="A9" s="125">
        <v>5</v>
      </c>
      <c r="B9" s="125" t="s">
        <v>1306</v>
      </c>
      <c r="C9" s="453" t="s">
        <v>2457</v>
      </c>
      <c r="D9" s="453" t="s">
        <v>2460</v>
      </c>
      <c r="E9" s="453" t="s">
        <v>1870</v>
      </c>
      <c r="F9" s="455" t="s">
        <v>2459</v>
      </c>
      <c r="G9" s="453" t="s">
        <v>2737</v>
      </c>
      <c r="H9" s="453" t="s">
        <v>655</v>
      </c>
      <c r="I9" s="314">
        <f t="shared" si="0"/>
        <v>118</v>
      </c>
      <c r="J9" s="316">
        <v>0</v>
      </c>
      <c r="K9" s="316">
        <v>8</v>
      </c>
      <c r="L9" s="316">
        <v>100</v>
      </c>
      <c r="M9" s="316">
        <v>10</v>
      </c>
      <c r="N9" s="316"/>
      <c r="O9" s="103"/>
      <c r="P9" s="103" t="s">
        <v>31</v>
      </c>
      <c r="Q9" s="453" t="s">
        <v>2458</v>
      </c>
      <c r="R9" s="453" t="s">
        <v>36</v>
      </c>
      <c r="S9" s="453" t="s">
        <v>68</v>
      </c>
      <c r="T9" s="453" t="s">
        <v>49</v>
      </c>
      <c r="U9" s="453" t="s">
        <v>53</v>
      </c>
      <c r="V9" s="453">
        <f t="shared" si="1"/>
        <v>30</v>
      </c>
      <c r="W9" s="314">
        <v>30</v>
      </c>
      <c r="X9" s="314"/>
      <c r="Y9" s="453" t="s">
        <v>64</v>
      </c>
      <c r="Z9" s="137" t="s">
        <v>6002</v>
      </c>
    </row>
    <row r="10" spans="1:33" ht="50.1" customHeight="1">
      <c r="A10" s="125">
        <v>6</v>
      </c>
      <c r="B10" s="125" t="s">
        <v>1306</v>
      </c>
      <c r="C10" s="125" t="s">
        <v>2457</v>
      </c>
      <c r="D10" s="453" t="s">
        <v>2456</v>
      </c>
      <c r="E10" s="453" t="s">
        <v>886</v>
      </c>
      <c r="F10" s="455" t="s">
        <v>2455</v>
      </c>
      <c r="G10" s="453" t="s">
        <v>2736</v>
      </c>
      <c r="H10" s="453" t="s">
        <v>2454</v>
      </c>
      <c r="I10" s="314">
        <f t="shared" si="0"/>
        <v>198</v>
      </c>
      <c r="J10" s="314">
        <v>0</v>
      </c>
      <c r="K10" s="314">
        <v>90</v>
      </c>
      <c r="L10" s="314">
        <v>90</v>
      </c>
      <c r="M10" s="314">
        <v>18</v>
      </c>
      <c r="N10" s="314"/>
      <c r="O10" s="453"/>
      <c r="P10" s="453" t="s">
        <v>7</v>
      </c>
      <c r="Q10" s="453" t="s">
        <v>1505</v>
      </c>
      <c r="R10" s="453" t="s">
        <v>36</v>
      </c>
      <c r="S10" s="453" t="s">
        <v>2453</v>
      </c>
      <c r="T10" s="453"/>
      <c r="U10" s="453"/>
      <c r="V10" s="453">
        <f t="shared" si="1"/>
        <v>140</v>
      </c>
      <c r="W10" s="314">
        <v>137</v>
      </c>
      <c r="X10" s="314">
        <v>3</v>
      </c>
      <c r="Y10" s="453" t="s">
        <v>64</v>
      </c>
      <c r="Z10" s="137" t="s">
        <v>6002</v>
      </c>
    </row>
    <row r="11" spans="1:33" ht="50.1" customHeight="1">
      <c r="A11" s="125">
        <v>7</v>
      </c>
      <c r="B11" s="125" t="s">
        <v>1008</v>
      </c>
      <c r="C11" s="125" t="s">
        <v>2424</v>
      </c>
      <c r="D11" s="453" t="s">
        <v>2452</v>
      </c>
      <c r="E11" s="453" t="s">
        <v>2451</v>
      </c>
      <c r="F11" s="455" t="s">
        <v>2450</v>
      </c>
      <c r="G11" s="453" t="s">
        <v>2449</v>
      </c>
      <c r="H11" s="453" t="s">
        <v>40</v>
      </c>
      <c r="I11" s="314">
        <f t="shared" si="0"/>
        <v>110</v>
      </c>
      <c r="J11" s="314">
        <v>0</v>
      </c>
      <c r="K11" s="314">
        <v>0</v>
      </c>
      <c r="L11" s="314">
        <v>100</v>
      </c>
      <c r="M11" s="314">
        <v>10</v>
      </c>
      <c r="N11" s="314"/>
      <c r="O11" s="453"/>
      <c r="P11" s="453" t="s">
        <v>50</v>
      </c>
      <c r="Q11" s="453" t="s">
        <v>2448</v>
      </c>
      <c r="R11" s="453" t="s">
        <v>36</v>
      </c>
      <c r="S11" s="453" t="s">
        <v>68</v>
      </c>
      <c r="T11" s="453" t="s">
        <v>61</v>
      </c>
      <c r="U11" s="453" t="s">
        <v>37</v>
      </c>
      <c r="V11" s="453">
        <f t="shared" si="1"/>
        <v>1</v>
      </c>
      <c r="W11" s="314">
        <v>1</v>
      </c>
      <c r="X11" s="314"/>
      <c r="Y11" s="453" t="s">
        <v>240</v>
      </c>
      <c r="Z11" s="137" t="s">
        <v>1148</v>
      </c>
      <c r="AA11"/>
      <c r="AB11"/>
      <c r="AC11"/>
      <c r="AD11"/>
      <c r="AE11"/>
      <c r="AF11"/>
      <c r="AG11"/>
    </row>
    <row r="12" spans="1:33" ht="50.1" customHeight="1">
      <c r="A12" s="125">
        <v>8</v>
      </c>
      <c r="B12" s="125" t="s">
        <v>1008</v>
      </c>
      <c r="C12" s="125" t="s">
        <v>2424</v>
      </c>
      <c r="D12" s="453" t="s">
        <v>2447</v>
      </c>
      <c r="E12" s="453" t="s">
        <v>1409</v>
      </c>
      <c r="F12" s="455" t="s">
        <v>2446</v>
      </c>
      <c r="G12" s="453" t="s">
        <v>2445</v>
      </c>
      <c r="H12" s="453" t="s">
        <v>1285</v>
      </c>
      <c r="I12" s="314">
        <f t="shared" si="0"/>
        <v>747</v>
      </c>
      <c r="J12" s="314">
        <v>0</v>
      </c>
      <c r="K12" s="314">
        <v>0</v>
      </c>
      <c r="L12" s="314">
        <v>700</v>
      </c>
      <c r="M12" s="314">
        <v>47</v>
      </c>
      <c r="N12" s="314"/>
      <c r="O12" s="453"/>
      <c r="P12" s="453" t="s">
        <v>52</v>
      </c>
      <c r="Q12" s="453" t="s">
        <v>2444</v>
      </c>
      <c r="R12" s="453" t="s">
        <v>36</v>
      </c>
      <c r="S12" s="453" t="s">
        <v>199</v>
      </c>
      <c r="T12" s="453" t="s">
        <v>107</v>
      </c>
      <c r="U12" s="453" t="s">
        <v>38</v>
      </c>
      <c r="V12" s="453">
        <f t="shared" si="1"/>
        <v>123</v>
      </c>
      <c r="W12" s="314">
        <v>123</v>
      </c>
      <c r="X12" s="314"/>
      <c r="Y12" s="453" t="s">
        <v>844</v>
      </c>
      <c r="Z12" s="137" t="s">
        <v>1148</v>
      </c>
      <c r="AA12"/>
      <c r="AB12"/>
      <c r="AC12"/>
      <c r="AD12"/>
      <c r="AE12"/>
      <c r="AF12"/>
      <c r="AG12"/>
    </row>
    <row r="13" spans="1:33" ht="50.1" customHeight="1">
      <c r="A13" s="125">
        <v>9</v>
      </c>
      <c r="B13" s="125" t="s">
        <v>1306</v>
      </c>
      <c r="C13" s="125" t="s">
        <v>2424</v>
      </c>
      <c r="D13" s="453" t="s">
        <v>2443</v>
      </c>
      <c r="E13" s="453" t="s">
        <v>1467</v>
      </c>
      <c r="F13" s="455" t="s">
        <v>2442</v>
      </c>
      <c r="G13" s="453" t="s">
        <v>6177</v>
      </c>
      <c r="H13" s="453" t="s">
        <v>40</v>
      </c>
      <c r="I13" s="314">
        <f t="shared" si="0"/>
        <v>290</v>
      </c>
      <c r="J13" s="314">
        <v>0</v>
      </c>
      <c r="K13" s="314">
        <v>0</v>
      </c>
      <c r="L13" s="314">
        <v>290</v>
      </c>
      <c r="M13" s="314">
        <v>0</v>
      </c>
      <c r="N13" s="314"/>
      <c r="O13" s="453"/>
      <c r="P13" s="453" t="s">
        <v>46</v>
      </c>
      <c r="Q13" s="453" t="s">
        <v>1540</v>
      </c>
      <c r="R13" s="453" t="s">
        <v>36</v>
      </c>
      <c r="S13" s="453" t="s">
        <v>199</v>
      </c>
      <c r="T13" s="453" t="s">
        <v>49</v>
      </c>
      <c r="U13" s="453" t="s">
        <v>38</v>
      </c>
      <c r="V13" s="453"/>
      <c r="W13" s="314"/>
      <c r="X13" s="314"/>
      <c r="Y13" s="453" t="s">
        <v>812</v>
      </c>
      <c r="Z13" s="137" t="s">
        <v>1148</v>
      </c>
      <c r="AA13"/>
      <c r="AB13"/>
      <c r="AC13"/>
      <c r="AD13"/>
      <c r="AE13"/>
      <c r="AF13"/>
      <c r="AG13"/>
    </row>
    <row r="14" spans="1:33" ht="50.1" customHeight="1">
      <c r="A14" s="125">
        <v>10</v>
      </c>
      <c r="B14" s="125" t="s">
        <v>1306</v>
      </c>
      <c r="C14" s="125" t="s">
        <v>2424</v>
      </c>
      <c r="D14" s="453" t="s">
        <v>2441</v>
      </c>
      <c r="E14" s="453" t="s">
        <v>2430</v>
      </c>
      <c r="F14" s="455" t="s">
        <v>2440</v>
      </c>
      <c r="G14" s="453" t="s">
        <v>5995</v>
      </c>
      <c r="H14" s="453" t="s">
        <v>1474</v>
      </c>
      <c r="I14" s="314">
        <f t="shared" si="0"/>
        <v>3750</v>
      </c>
      <c r="J14" s="314">
        <v>0</v>
      </c>
      <c r="K14" s="314">
        <v>100</v>
      </c>
      <c r="L14" s="314">
        <v>2300</v>
      </c>
      <c r="M14" s="314">
        <v>1350</v>
      </c>
      <c r="N14" s="314"/>
      <c r="O14" s="453"/>
      <c r="P14" s="453" t="s">
        <v>98</v>
      </c>
      <c r="Q14" s="453" t="s">
        <v>2439</v>
      </c>
      <c r="R14" s="453" t="s">
        <v>36</v>
      </c>
      <c r="S14" s="453" t="s">
        <v>681</v>
      </c>
      <c r="T14" s="453" t="s">
        <v>2438</v>
      </c>
      <c r="U14" s="453" t="s">
        <v>38</v>
      </c>
      <c r="V14" s="453">
        <f t="shared" ref="V14:V61" si="2">SUM(W14:X14)</f>
        <v>1443</v>
      </c>
      <c r="W14" s="314">
        <v>1441</v>
      </c>
      <c r="X14" s="314">
        <v>2</v>
      </c>
      <c r="Y14" s="453" t="s">
        <v>2432</v>
      </c>
      <c r="Z14" s="137" t="s">
        <v>1148</v>
      </c>
    </row>
    <row r="15" spans="1:33" ht="50.1" customHeight="1">
      <c r="A15" s="125">
        <v>11</v>
      </c>
      <c r="B15" s="125" t="s">
        <v>1306</v>
      </c>
      <c r="C15" s="125" t="s">
        <v>2424</v>
      </c>
      <c r="D15" s="453" t="s">
        <v>2437</v>
      </c>
      <c r="E15" s="453" t="s">
        <v>2430</v>
      </c>
      <c r="F15" s="455" t="s">
        <v>2436</v>
      </c>
      <c r="G15" s="453" t="s">
        <v>2435</v>
      </c>
      <c r="H15" s="453" t="s">
        <v>2434</v>
      </c>
      <c r="I15" s="314">
        <f t="shared" si="0"/>
        <v>2165</v>
      </c>
      <c r="J15" s="314">
        <v>0</v>
      </c>
      <c r="K15" s="314">
        <v>55</v>
      </c>
      <c r="L15" s="314">
        <v>1455</v>
      </c>
      <c r="M15" s="314">
        <v>655</v>
      </c>
      <c r="N15" s="314"/>
      <c r="O15" s="453"/>
      <c r="P15" s="453" t="s">
        <v>7</v>
      </c>
      <c r="Q15" s="453" t="s">
        <v>2433</v>
      </c>
      <c r="R15" s="453" t="s">
        <v>36</v>
      </c>
      <c r="S15" s="453" t="s">
        <v>246</v>
      </c>
      <c r="T15" s="453" t="s">
        <v>106</v>
      </c>
      <c r="U15" s="453" t="s">
        <v>47</v>
      </c>
      <c r="V15" s="453">
        <f t="shared" si="2"/>
        <v>505</v>
      </c>
      <c r="W15" s="314">
        <v>504</v>
      </c>
      <c r="X15" s="314">
        <v>1</v>
      </c>
      <c r="Y15" s="453" t="s">
        <v>2432</v>
      </c>
      <c r="Z15" s="137" t="s">
        <v>1148</v>
      </c>
    </row>
    <row r="16" spans="1:33" ht="50.1" customHeight="1">
      <c r="A16" s="125">
        <v>12</v>
      </c>
      <c r="B16" s="317" t="s">
        <v>1306</v>
      </c>
      <c r="C16" s="317" t="s">
        <v>2424</v>
      </c>
      <c r="D16" s="318" t="s">
        <v>2431</v>
      </c>
      <c r="E16" s="453" t="s">
        <v>2430</v>
      </c>
      <c r="F16" s="223" t="s">
        <v>2429</v>
      </c>
      <c r="G16" s="222" t="s">
        <v>2428</v>
      </c>
      <c r="H16" s="319" t="s">
        <v>480</v>
      </c>
      <c r="I16" s="320">
        <f t="shared" si="0"/>
        <v>1200</v>
      </c>
      <c r="J16" s="320">
        <v>700</v>
      </c>
      <c r="K16" s="320">
        <v>200</v>
      </c>
      <c r="L16" s="320">
        <v>200</v>
      </c>
      <c r="M16" s="320">
        <v>100</v>
      </c>
      <c r="N16" s="320" t="s">
        <v>44</v>
      </c>
      <c r="O16" s="321" t="s">
        <v>1010</v>
      </c>
      <c r="P16" s="321" t="s">
        <v>46</v>
      </c>
      <c r="Q16" s="317" t="s">
        <v>2427</v>
      </c>
      <c r="R16" s="319" t="s">
        <v>36</v>
      </c>
      <c r="S16" s="317" t="s">
        <v>246</v>
      </c>
      <c r="T16" s="317" t="s">
        <v>2426</v>
      </c>
      <c r="U16" s="319" t="s">
        <v>53</v>
      </c>
      <c r="V16" s="317">
        <f t="shared" si="2"/>
        <v>762</v>
      </c>
      <c r="W16" s="322">
        <v>760</v>
      </c>
      <c r="X16" s="320">
        <v>2</v>
      </c>
      <c r="Y16" s="317" t="s">
        <v>2425</v>
      </c>
      <c r="Z16" s="323" t="s">
        <v>1148</v>
      </c>
    </row>
    <row r="17" spans="1:33" ht="50.1" customHeight="1">
      <c r="A17" s="125">
        <v>13</v>
      </c>
      <c r="B17" s="125" t="s">
        <v>1306</v>
      </c>
      <c r="C17" s="125" t="s">
        <v>2424</v>
      </c>
      <c r="D17" s="453" t="s">
        <v>2423</v>
      </c>
      <c r="E17" s="453" t="s">
        <v>2422</v>
      </c>
      <c r="F17" s="455" t="s">
        <v>2421</v>
      </c>
      <c r="G17" s="453" t="s">
        <v>2420</v>
      </c>
      <c r="H17" s="453" t="s">
        <v>798</v>
      </c>
      <c r="I17" s="324">
        <f t="shared" si="0"/>
        <v>110</v>
      </c>
      <c r="J17" s="324">
        <v>0</v>
      </c>
      <c r="K17" s="324">
        <v>0</v>
      </c>
      <c r="L17" s="324">
        <v>100</v>
      </c>
      <c r="M17" s="324">
        <v>10</v>
      </c>
      <c r="N17" s="324"/>
      <c r="O17" s="154"/>
      <c r="P17" s="154" t="s">
        <v>31</v>
      </c>
      <c r="Q17" s="125" t="s">
        <v>2419</v>
      </c>
      <c r="R17" s="453" t="s">
        <v>36</v>
      </c>
      <c r="S17" s="317" t="s">
        <v>42</v>
      </c>
      <c r="T17" s="317" t="s">
        <v>49</v>
      </c>
      <c r="U17" s="125" t="s">
        <v>37</v>
      </c>
      <c r="V17" s="125">
        <f t="shared" si="2"/>
        <v>2</v>
      </c>
      <c r="W17" s="322">
        <v>2</v>
      </c>
      <c r="X17" s="320"/>
      <c r="Y17" s="319" t="s">
        <v>240</v>
      </c>
      <c r="Z17" s="137" t="s">
        <v>6122</v>
      </c>
    </row>
    <row r="18" spans="1:33" ht="54">
      <c r="A18" s="125">
        <v>14</v>
      </c>
      <c r="B18" s="125" t="s">
        <v>1306</v>
      </c>
      <c r="C18" s="125" t="s">
        <v>2389</v>
      </c>
      <c r="D18" s="453" t="s">
        <v>2418</v>
      </c>
      <c r="E18" s="453" t="s">
        <v>2417</v>
      </c>
      <c r="F18" s="455" t="s">
        <v>2416</v>
      </c>
      <c r="G18" s="453" t="s">
        <v>2415</v>
      </c>
      <c r="H18" s="453" t="s">
        <v>1474</v>
      </c>
      <c r="I18" s="324">
        <f t="shared" si="0"/>
        <v>1410</v>
      </c>
      <c r="J18" s="324">
        <v>0</v>
      </c>
      <c r="K18" s="324">
        <v>200</v>
      </c>
      <c r="L18" s="324">
        <v>1210</v>
      </c>
      <c r="M18" s="324">
        <v>0</v>
      </c>
      <c r="N18" s="324"/>
      <c r="O18" s="154"/>
      <c r="P18" s="154" t="s">
        <v>7</v>
      </c>
      <c r="Q18" s="125" t="s">
        <v>2414</v>
      </c>
      <c r="R18" s="453" t="s">
        <v>36</v>
      </c>
      <c r="S18" s="125" t="s">
        <v>199</v>
      </c>
      <c r="T18" s="125" t="s">
        <v>2413</v>
      </c>
      <c r="U18" s="453" t="s">
        <v>38</v>
      </c>
      <c r="V18" s="125">
        <f t="shared" si="2"/>
        <v>13.4</v>
      </c>
      <c r="W18" s="322">
        <v>13.4</v>
      </c>
      <c r="X18" s="320"/>
      <c r="Y18" s="317" t="s">
        <v>1307</v>
      </c>
      <c r="Z18" s="137" t="s">
        <v>1148</v>
      </c>
      <c r="AA18"/>
      <c r="AB18"/>
      <c r="AC18"/>
      <c r="AD18"/>
      <c r="AE18"/>
      <c r="AF18"/>
      <c r="AG18"/>
    </row>
    <row r="19" spans="1:33" ht="67.5">
      <c r="A19" s="125">
        <v>15</v>
      </c>
      <c r="B19" s="125" t="s">
        <v>1306</v>
      </c>
      <c r="C19" s="125" t="s">
        <v>2389</v>
      </c>
      <c r="D19" s="453" t="s">
        <v>2412</v>
      </c>
      <c r="E19" s="453" t="s">
        <v>2411</v>
      </c>
      <c r="F19" s="455" t="s">
        <v>2410</v>
      </c>
      <c r="G19" s="453" t="s">
        <v>2409</v>
      </c>
      <c r="H19" s="453" t="s">
        <v>499</v>
      </c>
      <c r="I19" s="324">
        <f t="shared" si="0"/>
        <v>50</v>
      </c>
      <c r="J19" s="324">
        <v>0</v>
      </c>
      <c r="K19" s="324">
        <v>0</v>
      </c>
      <c r="L19" s="324">
        <v>34</v>
      </c>
      <c r="M19" s="324">
        <v>16</v>
      </c>
      <c r="N19" s="324"/>
      <c r="O19" s="154"/>
      <c r="P19" s="154" t="s">
        <v>7</v>
      </c>
      <c r="Q19" s="125" t="s">
        <v>130</v>
      </c>
      <c r="R19" s="453" t="s">
        <v>36</v>
      </c>
      <c r="S19" s="125" t="s">
        <v>42</v>
      </c>
      <c r="T19" s="125" t="s">
        <v>1279</v>
      </c>
      <c r="U19" s="125" t="s">
        <v>38</v>
      </c>
      <c r="V19" s="125">
        <f t="shared" si="2"/>
        <v>23</v>
      </c>
      <c r="W19" s="322">
        <v>21</v>
      </c>
      <c r="X19" s="320">
        <v>2</v>
      </c>
      <c r="Y19" s="317" t="s">
        <v>240</v>
      </c>
      <c r="Z19" s="137" t="s">
        <v>1148</v>
      </c>
      <c r="AA19"/>
      <c r="AB19"/>
      <c r="AC19"/>
      <c r="AD19"/>
      <c r="AE19"/>
      <c r="AF19"/>
      <c r="AG19"/>
    </row>
    <row r="20" spans="1:33" ht="50.1" customHeight="1">
      <c r="A20" s="125">
        <v>16</v>
      </c>
      <c r="B20" s="125" t="s">
        <v>1306</v>
      </c>
      <c r="C20" s="125" t="s">
        <v>2389</v>
      </c>
      <c r="D20" s="453" t="s">
        <v>2408</v>
      </c>
      <c r="E20" s="453" t="s">
        <v>2407</v>
      </c>
      <c r="F20" s="455" t="s">
        <v>2406</v>
      </c>
      <c r="G20" s="453" t="s">
        <v>2405</v>
      </c>
      <c r="H20" s="453" t="s">
        <v>40</v>
      </c>
      <c r="I20" s="324">
        <f t="shared" si="0"/>
        <v>70</v>
      </c>
      <c r="J20" s="324">
        <v>0</v>
      </c>
      <c r="K20" s="324">
        <v>0</v>
      </c>
      <c r="L20" s="324">
        <v>70</v>
      </c>
      <c r="M20" s="324">
        <v>0</v>
      </c>
      <c r="N20" s="324"/>
      <c r="O20" s="154"/>
      <c r="P20" s="154" t="s">
        <v>7</v>
      </c>
      <c r="Q20" s="125" t="s">
        <v>2404</v>
      </c>
      <c r="R20" s="453" t="s">
        <v>36</v>
      </c>
      <c r="S20" s="125" t="s">
        <v>2403</v>
      </c>
      <c r="T20" s="125" t="s">
        <v>1372</v>
      </c>
      <c r="U20" s="453" t="s">
        <v>38</v>
      </c>
      <c r="V20" s="125">
        <f t="shared" si="2"/>
        <v>6</v>
      </c>
      <c r="W20" s="314">
        <v>3</v>
      </c>
      <c r="X20" s="324">
        <v>3</v>
      </c>
      <c r="Y20" s="453" t="s">
        <v>1308</v>
      </c>
      <c r="Z20" s="141" t="s">
        <v>1148</v>
      </c>
      <c r="AA20"/>
      <c r="AB20"/>
      <c r="AC20"/>
      <c r="AD20"/>
      <c r="AE20"/>
      <c r="AF20"/>
      <c r="AG20"/>
    </row>
    <row r="21" spans="1:33" ht="50.1" customHeight="1">
      <c r="A21" s="125">
        <v>17</v>
      </c>
      <c r="B21" s="125" t="s">
        <v>1306</v>
      </c>
      <c r="C21" s="125" t="s">
        <v>2389</v>
      </c>
      <c r="D21" s="453" t="s">
        <v>2402</v>
      </c>
      <c r="E21" s="453" t="s">
        <v>1814</v>
      </c>
      <c r="F21" s="455" t="s">
        <v>2401</v>
      </c>
      <c r="G21" s="453" t="s">
        <v>2400</v>
      </c>
      <c r="H21" s="453" t="s">
        <v>480</v>
      </c>
      <c r="I21" s="325">
        <f t="shared" si="0"/>
        <v>37</v>
      </c>
      <c r="J21" s="324">
        <v>0</v>
      </c>
      <c r="K21" s="324">
        <v>0</v>
      </c>
      <c r="L21" s="325">
        <v>22</v>
      </c>
      <c r="M21" s="324">
        <v>15</v>
      </c>
      <c r="N21" s="324"/>
      <c r="O21" s="154"/>
      <c r="P21" s="154" t="s">
        <v>7</v>
      </c>
      <c r="Q21" s="453" t="s">
        <v>59</v>
      </c>
      <c r="R21" s="453" t="s">
        <v>36</v>
      </c>
      <c r="S21" s="453" t="s">
        <v>1278</v>
      </c>
      <c r="T21" s="453" t="s">
        <v>1279</v>
      </c>
      <c r="U21" s="453" t="s">
        <v>38</v>
      </c>
      <c r="V21" s="453">
        <f t="shared" si="2"/>
        <v>2</v>
      </c>
      <c r="W21" s="314">
        <v>2</v>
      </c>
      <c r="X21" s="325"/>
      <c r="Y21" s="125" t="s">
        <v>99</v>
      </c>
      <c r="Z21" s="137" t="s">
        <v>1148</v>
      </c>
      <c r="AA21"/>
      <c r="AB21"/>
      <c r="AC21"/>
      <c r="AD21"/>
      <c r="AE21"/>
      <c r="AF21"/>
      <c r="AG21"/>
    </row>
    <row r="22" spans="1:33" ht="50.1" customHeight="1">
      <c r="A22" s="125">
        <v>18</v>
      </c>
      <c r="B22" s="125" t="s">
        <v>1306</v>
      </c>
      <c r="C22" s="125" t="s">
        <v>2389</v>
      </c>
      <c r="D22" s="453" t="s">
        <v>2399</v>
      </c>
      <c r="E22" s="453" t="s">
        <v>2398</v>
      </c>
      <c r="F22" s="455" t="s">
        <v>2397</v>
      </c>
      <c r="G22" s="453" t="s">
        <v>2396</v>
      </c>
      <c r="H22" s="453" t="s">
        <v>1509</v>
      </c>
      <c r="I22" s="324">
        <f t="shared" si="0"/>
        <v>1138</v>
      </c>
      <c r="J22" s="324">
        <v>59</v>
      </c>
      <c r="K22" s="324">
        <v>59</v>
      </c>
      <c r="L22" s="324">
        <v>1020</v>
      </c>
      <c r="M22" s="324">
        <v>0</v>
      </c>
      <c r="N22" s="324" t="s">
        <v>35</v>
      </c>
      <c r="O22" s="154" t="s">
        <v>156</v>
      </c>
      <c r="P22" s="154" t="s">
        <v>98</v>
      </c>
      <c r="Q22" s="453" t="s">
        <v>2395</v>
      </c>
      <c r="R22" s="453" t="s">
        <v>36</v>
      </c>
      <c r="S22" s="453" t="s">
        <v>199</v>
      </c>
      <c r="T22" s="453" t="s">
        <v>1434</v>
      </c>
      <c r="U22" s="453" t="s">
        <v>38</v>
      </c>
      <c r="V22" s="453">
        <f t="shared" si="2"/>
        <v>426</v>
      </c>
      <c r="W22" s="315">
        <v>300</v>
      </c>
      <c r="X22" s="325">
        <v>126</v>
      </c>
      <c r="Y22" s="125" t="s">
        <v>445</v>
      </c>
      <c r="Z22" s="137" t="s">
        <v>1148</v>
      </c>
      <c r="AA22"/>
      <c r="AB22"/>
      <c r="AC22"/>
      <c r="AD22"/>
      <c r="AE22"/>
      <c r="AF22"/>
      <c r="AG22"/>
    </row>
    <row r="23" spans="1:33" customFormat="1" ht="50.1" customHeight="1">
      <c r="A23" s="126">
        <v>19</v>
      </c>
      <c r="B23" s="147" t="s">
        <v>1306</v>
      </c>
      <c r="C23" s="147" t="s">
        <v>2389</v>
      </c>
      <c r="D23" s="114" t="s">
        <v>2394</v>
      </c>
      <c r="E23" s="453" t="s">
        <v>6027</v>
      </c>
      <c r="F23" s="455" t="s">
        <v>2393</v>
      </c>
      <c r="G23" s="453" t="s">
        <v>2392</v>
      </c>
      <c r="H23" s="114" t="s">
        <v>1550</v>
      </c>
      <c r="I23" s="227">
        <f t="shared" si="0"/>
        <v>67</v>
      </c>
      <c r="J23" s="227">
        <v>0</v>
      </c>
      <c r="K23" s="227">
        <v>0</v>
      </c>
      <c r="L23" s="227">
        <v>22</v>
      </c>
      <c r="M23" s="227">
        <v>45</v>
      </c>
      <c r="N23" s="227"/>
      <c r="O23" s="149"/>
      <c r="P23" s="149" t="s">
        <v>46</v>
      </c>
      <c r="Q23" s="114" t="s">
        <v>2391</v>
      </c>
      <c r="R23" s="114" t="s">
        <v>36</v>
      </c>
      <c r="S23" s="114" t="s">
        <v>2390</v>
      </c>
      <c r="T23" s="114" t="s">
        <v>1279</v>
      </c>
      <c r="U23" s="114" t="s">
        <v>38</v>
      </c>
      <c r="V23" s="114">
        <f t="shared" si="2"/>
        <v>8</v>
      </c>
      <c r="W23" s="145">
        <v>4</v>
      </c>
      <c r="X23" s="227">
        <v>4</v>
      </c>
      <c r="Y23" s="147" t="s">
        <v>59</v>
      </c>
      <c r="Z23" s="202" t="s">
        <v>6121</v>
      </c>
    </row>
    <row r="24" spans="1:33" ht="50.1" customHeight="1">
      <c r="A24" s="125">
        <v>20</v>
      </c>
      <c r="B24" s="125" t="s">
        <v>1306</v>
      </c>
      <c r="C24" s="125" t="s">
        <v>2389</v>
      </c>
      <c r="D24" s="125" t="s">
        <v>2388</v>
      </c>
      <c r="E24" s="453" t="s">
        <v>1309</v>
      </c>
      <c r="F24" s="455" t="s">
        <v>2387</v>
      </c>
      <c r="G24" s="453" t="s">
        <v>2386</v>
      </c>
      <c r="H24" s="453" t="s">
        <v>238</v>
      </c>
      <c r="I24" s="324">
        <f t="shared" si="0"/>
        <v>55</v>
      </c>
      <c r="J24" s="324">
        <v>0</v>
      </c>
      <c r="K24" s="324">
        <v>0</v>
      </c>
      <c r="L24" s="324">
        <v>22</v>
      </c>
      <c r="M24" s="324">
        <v>33</v>
      </c>
      <c r="N24" s="324"/>
      <c r="O24" s="154"/>
      <c r="P24" s="154" t="s">
        <v>7</v>
      </c>
      <c r="Q24" s="453" t="s">
        <v>2385</v>
      </c>
      <c r="R24" s="453" t="s">
        <v>36</v>
      </c>
      <c r="S24" s="453" t="s">
        <v>1278</v>
      </c>
      <c r="T24" s="453" t="s">
        <v>1279</v>
      </c>
      <c r="U24" s="453" t="s">
        <v>38</v>
      </c>
      <c r="V24" s="453">
        <f t="shared" si="2"/>
        <v>4</v>
      </c>
      <c r="W24" s="314">
        <v>2</v>
      </c>
      <c r="X24" s="324">
        <v>2</v>
      </c>
      <c r="Y24" s="125" t="s">
        <v>59</v>
      </c>
      <c r="Z24" s="137" t="s">
        <v>6065</v>
      </c>
    </row>
    <row r="25" spans="1:33" ht="54">
      <c r="A25" s="125">
        <v>21</v>
      </c>
      <c r="B25" s="125" t="s">
        <v>1306</v>
      </c>
      <c r="C25" s="125" t="s">
        <v>2359</v>
      </c>
      <c r="D25" s="453" t="s">
        <v>2384</v>
      </c>
      <c r="E25" s="453" t="s">
        <v>2383</v>
      </c>
      <c r="F25" s="455" t="s">
        <v>2382</v>
      </c>
      <c r="G25" s="453" t="s">
        <v>2381</v>
      </c>
      <c r="H25" s="453" t="s">
        <v>1374</v>
      </c>
      <c r="I25" s="324">
        <f t="shared" si="0"/>
        <v>30</v>
      </c>
      <c r="J25" s="324">
        <v>0</v>
      </c>
      <c r="K25" s="324">
        <v>0</v>
      </c>
      <c r="L25" s="324">
        <v>20</v>
      </c>
      <c r="M25" s="324">
        <v>10</v>
      </c>
      <c r="N25" s="324"/>
      <c r="O25" s="154"/>
      <c r="P25" s="154" t="s">
        <v>7</v>
      </c>
      <c r="Q25" s="453" t="s">
        <v>130</v>
      </c>
      <c r="R25" s="453" t="s">
        <v>36</v>
      </c>
      <c r="S25" s="453" t="s">
        <v>42</v>
      </c>
      <c r="T25" s="453" t="s">
        <v>49</v>
      </c>
      <c r="U25" s="453" t="s">
        <v>38</v>
      </c>
      <c r="V25" s="453">
        <f t="shared" si="2"/>
        <v>70</v>
      </c>
      <c r="W25" s="324">
        <v>69</v>
      </c>
      <c r="X25" s="324">
        <v>1</v>
      </c>
      <c r="Y25" s="453" t="s">
        <v>64</v>
      </c>
      <c r="Z25" s="137" t="s">
        <v>1148</v>
      </c>
      <c r="AA25"/>
      <c r="AB25"/>
      <c r="AC25"/>
      <c r="AD25"/>
      <c r="AE25"/>
      <c r="AF25"/>
      <c r="AG25"/>
    </row>
    <row r="26" spans="1:33" ht="58.5" customHeight="1">
      <c r="A26" s="125">
        <v>22</v>
      </c>
      <c r="B26" s="125" t="s">
        <v>1306</v>
      </c>
      <c r="C26" s="125" t="s">
        <v>2359</v>
      </c>
      <c r="D26" s="453" t="s">
        <v>2380</v>
      </c>
      <c r="E26" s="453" t="s">
        <v>1531</v>
      </c>
      <c r="F26" s="455" t="s">
        <v>2379</v>
      </c>
      <c r="G26" s="453" t="s">
        <v>2378</v>
      </c>
      <c r="H26" s="453" t="s">
        <v>414</v>
      </c>
      <c r="I26" s="324">
        <f t="shared" si="0"/>
        <v>210</v>
      </c>
      <c r="J26" s="324">
        <v>0</v>
      </c>
      <c r="K26" s="324">
        <v>0</v>
      </c>
      <c r="L26" s="324">
        <v>200</v>
      </c>
      <c r="M26" s="324">
        <v>10</v>
      </c>
      <c r="N26" s="324"/>
      <c r="O26" s="154"/>
      <c r="P26" s="154" t="s">
        <v>6</v>
      </c>
      <c r="Q26" s="453" t="s">
        <v>2377</v>
      </c>
      <c r="R26" s="453" t="s">
        <v>36</v>
      </c>
      <c r="S26" s="453" t="s">
        <v>42</v>
      </c>
      <c r="T26" s="453" t="s">
        <v>49</v>
      </c>
      <c r="U26" s="453" t="s">
        <v>38</v>
      </c>
      <c r="V26" s="453">
        <f t="shared" si="2"/>
        <v>240</v>
      </c>
      <c r="W26" s="324">
        <v>240</v>
      </c>
      <c r="X26" s="324"/>
      <c r="Y26" s="453" t="s">
        <v>99</v>
      </c>
      <c r="Z26" s="137" t="s">
        <v>1148</v>
      </c>
      <c r="AA26"/>
      <c r="AB26"/>
      <c r="AC26"/>
      <c r="AD26"/>
      <c r="AE26"/>
      <c r="AF26"/>
      <c r="AG26"/>
    </row>
    <row r="27" spans="1:33" ht="50.1" customHeight="1">
      <c r="A27" s="125">
        <v>23</v>
      </c>
      <c r="B27" s="125" t="s">
        <v>1306</v>
      </c>
      <c r="C27" s="125" t="s">
        <v>2359</v>
      </c>
      <c r="D27" s="453" t="s">
        <v>2376</v>
      </c>
      <c r="E27" s="453" t="s">
        <v>1444</v>
      </c>
      <c r="F27" s="455" t="s">
        <v>2375</v>
      </c>
      <c r="G27" s="453" t="s">
        <v>2374</v>
      </c>
      <c r="H27" s="453" t="s">
        <v>1285</v>
      </c>
      <c r="I27" s="324">
        <f t="shared" si="0"/>
        <v>145</v>
      </c>
      <c r="J27" s="324">
        <v>0</v>
      </c>
      <c r="K27" s="324">
        <v>10</v>
      </c>
      <c r="L27" s="324">
        <v>115</v>
      </c>
      <c r="M27" s="324">
        <v>20</v>
      </c>
      <c r="N27" s="324"/>
      <c r="O27" s="154"/>
      <c r="P27" s="154" t="s">
        <v>6</v>
      </c>
      <c r="Q27" s="453" t="s">
        <v>1412</v>
      </c>
      <c r="R27" s="453" t="s">
        <v>36</v>
      </c>
      <c r="S27" s="453" t="s">
        <v>42</v>
      </c>
      <c r="T27" s="453" t="s">
        <v>49</v>
      </c>
      <c r="U27" s="453" t="s">
        <v>38</v>
      </c>
      <c r="V27" s="453">
        <f t="shared" si="2"/>
        <v>210</v>
      </c>
      <c r="W27" s="324">
        <v>210</v>
      </c>
      <c r="X27" s="324"/>
      <c r="Y27" s="453" t="s">
        <v>99</v>
      </c>
      <c r="Z27" s="137" t="s">
        <v>1148</v>
      </c>
      <c r="AA27"/>
      <c r="AB27"/>
      <c r="AC27"/>
      <c r="AD27"/>
      <c r="AE27"/>
      <c r="AF27"/>
      <c r="AG27"/>
    </row>
    <row r="28" spans="1:33" ht="50.1" customHeight="1">
      <c r="A28" s="125">
        <v>24</v>
      </c>
      <c r="B28" s="125" t="s">
        <v>1306</v>
      </c>
      <c r="C28" s="125" t="s">
        <v>2359</v>
      </c>
      <c r="D28" s="453" t="s">
        <v>2373</v>
      </c>
      <c r="E28" s="453" t="s">
        <v>1464</v>
      </c>
      <c r="F28" s="455" t="s">
        <v>2372</v>
      </c>
      <c r="G28" s="453" t="s">
        <v>2371</v>
      </c>
      <c r="H28" s="453" t="s">
        <v>218</v>
      </c>
      <c r="I28" s="324">
        <f t="shared" si="0"/>
        <v>461</v>
      </c>
      <c r="J28" s="324">
        <v>0</v>
      </c>
      <c r="K28" s="324">
        <v>0</v>
      </c>
      <c r="L28" s="324">
        <v>461</v>
      </c>
      <c r="M28" s="324">
        <v>0</v>
      </c>
      <c r="N28" s="324"/>
      <c r="O28" s="154"/>
      <c r="P28" s="154" t="s">
        <v>46</v>
      </c>
      <c r="Q28" s="453" t="s">
        <v>2370</v>
      </c>
      <c r="R28" s="453" t="s">
        <v>36</v>
      </c>
      <c r="S28" s="453" t="s">
        <v>199</v>
      </c>
      <c r="T28" s="453" t="s">
        <v>2369</v>
      </c>
      <c r="U28" s="453" t="s">
        <v>38</v>
      </c>
      <c r="V28" s="453">
        <f t="shared" si="2"/>
        <v>198</v>
      </c>
      <c r="W28" s="324">
        <v>198</v>
      </c>
      <c r="X28" s="324"/>
      <c r="Y28" s="125" t="s">
        <v>240</v>
      </c>
      <c r="Z28" s="137" t="s">
        <v>1148</v>
      </c>
      <c r="AA28"/>
      <c r="AB28"/>
      <c r="AC28"/>
      <c r="AD28"/>
      <c r="AE28"/>
      <c r="AF28"/>
      <c r="AG28"/>
    </row>
    <row r="29" spans="1:33" ht="50.1" customHeight="1">
      <c r="A29" s="125">
        <v>25</v>
      </c>
      <c r="B29" s="125" t="s">
        <v>1306</v>
      </c>
      <c r="C29" s="125" t="s">
        <v>2359</v>
      </c>
      <c r="D29" s="453" t="s">
        <v>2368</v>
      </c>
      <c r="E29" s="453" t="s">
        <v>2367</v>
      </c>
      <c r="F29" s="455" t="s">
        <v>2366</v>
      </c>
      <c r="G29" s="453" t="s">
        <v>2695</v>
      </c>
      <c r="H29" s="453" t="s">
        <v>826</v>
      </c>
      <c r="I29" s="324">
        <f t="shared" si="0"/>
        <v>86</v>
      </c>
      <c r="J29" s="324">
        <v>0</v>
      </c>
      <c r="K29" s="324">
        <v>0</v>
      </c>
      <c r="L29" s="324">
        <v>52</v>
      </c>
      <c r="M29" s="324">
        <v>34</v>
      </c>
      <c r="N29" s="324"/>
      <c r="O29" s="154"/>
      <c r="P29" s="154" t="s">
        <v>7</v>
      </c>
      <c r="Q29" s="453" t="s">
        <v>2365</v>
      </c>
      <c r="R29" s="453" t="s">
        <v>36</v>
      </c>
      <c r="S29" s="453" t="s">
        <v>604</v>
      </c>
      <c r="T29" s="453"/>
      <c r="U29" s="453" t="s">
        <v>53</v>
      </c>
      <c r="V29" s="453">
        <f t="shared" si="2"/>
        <v>5</v>
      </c>
      <c r="W29" s="324">
        <v>5</v>
      </c>
      <c r="X29" s="324"/>
      <c r="Y29" s="125" t="s">
        <v>2</v>
      </c>
      <c r="Z29" s="137" t="s">
        <v>1148</v>
      </c>
      <c r="AA29"/>
      <c r="AB29"/>
      <c r="AC29"/>
      <c r="AD29"/>
      <c r="AE29"/>
      <c r="AF29"/>
      <c r="AG29"/>
    </row>
    <row r="30" spans="1:33" ht="50.1" customHeight="1">
      <c r="A30" s="125">
        <v>26</v>
      </c>
      <c r="B30" s="125" t="s">
        <v>1306</v>
      </c>
      <c r="C30" s="125" t="s">
        <v>2359</v>
      </c>
      <c r="D30" s="453" t="s">
        <v>2364</v>
      </c>
      <c r="E30" s="453" t="s">
        <v>1224</v>
      </c>
      <c r="F30" s="455" t="s">
        <v>2363</v>
      </c>
      <c r="G30" s="453" t="s">
        <v>2710</v>
      </c>
      <c r="H30" s="453" t="s">
        <v>811</v>
      </c>
      <c r="I30" s="314">
        <f t="shared" si="0"/>
        <v>120</v>
      </c>
      <c r="J30" s="314">
        <v>10</v>
      </c>
      <c r="K30" s="314">
        <v>0</v>
      </c>
      <c r="L30" s="314">
        <v>30</v>
      </c>
      <c r="M30" s="314">
        <v>80</v>
      </c>
      <c r="N30" s="314" t="s">
        <v>2362</v>
      </c>
      <c r="O30" s="453" t="s">
        <v>2361</v>
      </c>
      <c r="P30" s="453" t="s">
        <v>98</v>
      </c>
      <c r="Q30" s="453" t="s">
        <v>2360</v>
      </c>
      <c r="R30" s="453" t="s">
        <v>36</v>
      </c>
      <c r="S30" s="453" t="s">
        <v>369</v>
      </c>
      <c r="T30" s="453" t="s">
        <v>1292</v>
      </c>
      <c r="U30" s="453" t="s">
        <v>38</v>
      </c>
      <c r="V30" s="453">
        <f t="shared" si="2"/>
        <v>5</v>
      </c>
      <c r="W30" s="314">
        <v>5</v>
      </c>
      <c r="X30" s="314"/>
      <c r="Y30" s="453" t="s">
        <v>220</v>
      </c>
      <c r="Z30" s="202"/>
      <c r="AB30"/>
      <c r="AC30"/>
      <c r="AD30"/>
      <c r="AE30"/>
      <c r="AF30"/>
      <c r="AG30"/>
    </row>
    <row r="31" spans="1:33" ht="50.1" customHeight="1">
      <c r="A31" s="125">
        <v>27</v>
      </c>
      <c r="B31" s="125" t="s">
        <v>1306</v>
      </c>
      <c r="C31" s="125" t="s">
        <v>2359</v>
      </c>
      <c r="D31" s="453" t="s">
        <v>2358</v>
      </c>
      <c r="E31" s="453" t="s">
        <v>2357</v>
      </c>
      <c r="F31" s="455" t="s">
        <v>2356</v>
      </c>
      <c r="G31" s="453" t="s">
        <v>2355</v>
      </c>
      <c r="H31" s="453" t="s">
        <v>278</v>
      </c>
      <c r="I31" s="326">
        <f t="shared" si="0"/>
        <v>270</v>
      </c>
      <c r="J31" s="326">
        <v>0</v>
      </c>
      <c r="K31" s="326">
        <v>0</v>
      </c>
      <c r="L31" s="326">
        <v>270</v>
      </c>
      <c r="M31" s="326">
        <v>0</v>
      </c>
      <c r="N31" s="314"/>
      <c r="O31" s="453"/>
      <c r="P31" s="453" t="s">
        <v>41</v>
      </c>
      <c r="Q31" s="453" t="s">
        <v>2354</v>
      </c>
      <c r="R31" s="453" t="s">
        <v>36</v>
      </c>
      <c r="S31" s="453" t="s">
        <v>369</v>
      </c>
      <c r="T31" s="453" t="s">
        <v>49</v>
      </c>
      <c r="U31" s="453" t="s">
        <v>38</v>
      </c>
      <c r="V31" s="453">
        <f t="shared" si="2"/>
        <v>95</v>
      </c>
      <c r="W31" s="314">
        <v>95</v>
      </c>
      <c r="X31" s="314"/>
      <c r="Y31" s="453" t="s">
        <v>240</v>
      </c>
      <c r="Z31" s="137" t="s">
        <v>1148</v>
      </c>
    </row>
    <row r="32" spans="1:33" ht="50.1" customHeight="1">
      <c r="A32" s="125">
        <v>28</v>
      </c>
      <c r="B32" s="125" t="s">
        <v>1306</v>
      </c>
      <c r="C32" s="125" t="s">
        <v>2323</v>
      </c>
      <c r="D32" s="453" t="s">
        <v>2353</v>
      </c>
      <c r="E32" s="453" t="s">
        <v>2352</v>
      </c>
      <c r="F32" s="455" t="s">
        <v>2351</v>
      </c>
      <c r="G32" s="453" t="s">
        <v>2350</v>
      </c>
      <c r="H32" s="453" t="s">
        <v>2349</v>
      </c>
      <c r="I32" s="314">
        <f t="shared" si="0"/>
        <v>900</v>
      </c>
      <c r="J32" s="314">
        <v>0</v>
      </c>
      <c r="K32" s="314">
        <v>0</v>
      </c>
      <c r="L32" s="314">
        <v>800</v>
      </c>
      <c r="M32" s="314">
        <v>100</v>
      </c>
      <c r="N32" s="314"/>
      <c r="O32" s="453"/>
      <c r="P32" s="453" t="s">
        <v>98</v>
      </c>
      <c r="Q32" s="453" t="s">
        <v>2348</v>
      </c>
      <c r="R32" s="453" t="s">
        <v>36</v>
      </c>
      <c r="S32" s="453" t="s">
        <v>246</v>
      </c>
      <c r="T32" s="453" t="s">
        <v>2347</v>
      </c>
      <c r="U32" s="453" t="s">
        <v>53</v>
      </c>
      <c r="V32" s="453">
        <f t="shared" si="2"/>
        <v>249</v>
      </c>
      <c r="W32" s="314">
        <v>243</v>
      </c>
      <c r="X32" s="314">
        <v>6</v>
      </c>
      <c r="Y32" s="453" t="s">
        <v>2346</v>
      </c>
      <c r="Z32" s="137" t="s">
        <v>1148</v>
      </c>
      <c r="AA32"/>
      <c r="AB32"/>
      <c r="AC32"/>
      <c r="AD32"/>
      <c r="AE32"/>
      <c r="AF32"/>
      <c r="AG32"/>
    </row>
    <row r="33" spans="1:33" ht="50.1" customHeight="1">
      <c r="A33" s="125">
        <v>29</v>
      </c>
      <c r="B33" s="125" t="s">
        <v>1306</v>
      </c>
      <c r="C33" s="125" t="s">
        <v>2323</v>
      </c>
      <c r="D33" s="453" t="s">
        <v>2345</v>
      </c>
      <c r="E33" s="453" t="s">
        <v>2344</v>
      </c>
      <c r="F33" s="455" t="s">
        <v>2343</v>
      </c>
      <c r="G33" s="453" t="s">
        <v>2342</v>
      </c>
      <c r="H33" s="453" t="s">
        <v>403</v>
      </c>
      <c r="I33" s="326">
        <f t="shared" si="0"/>
        <v>30.5</v>
      </c>
      <c r="J33" s="326">
        <v>0</v>
      </c>
      <c r="K33" s="326">
        <v>0</v>
      </c>
      <c r="L33" s="326">
        <v>7.5</v>
      </c>
      <c r="M33" s="326">
        <v>23</v>
      </c>
      <c r="N33" s="314"/>
      <c r="O33" s="453"/>
      <c r="P33" s="453" t="s">
        <v>7</v>
      </c>
      <c r="Q33" s="453" t="s">
        <v>2341</v>
      </c>
      <c r="R33" s="453" t="s">
        <v>36</v>
      </c>
      <c r="S33" s="453" t="s">
        <v>42</v>
      </c>
      <c r="T33" s="453" t="s">
        <v>49</v>
      </c>
      <c r="U33" s="453" t="s">
        <v>2340</v>
      </c>
      <c r="V33" s="453">
        <f t="shared" si="2"/>
        <v>3</v>
      </c>
      <c r="W33" s="314">
        <v>3</v>
      </c>
      <c r="X33" s="314"/>
      <c r="Y33" s="453" t="s">
        <v>2339</v>
      </c>
      <c r="Z33" s="137" t="s">
        <v>1148</v>
      </c>
      <c r="AA33"/>
      <c r="AB33"/>
      <c r="AC33"/>
      <c r="AD33"/>
      <c r="AE33"/>
      <c r="AF33"/>
      <c r="AG33"/>
    </row>
    <row r="34" spans="1:33" ht="50.1" customHeight="1">
      <c r="A34" s="125">
        <v>30</v>
      </c>
      <c r="B34" s="125" t="s">
        <v>1306</v>
      </c>
      <c r="C34" s="125" t="s">
        <v>2323</v>
      </c>
      <c r="D34" s="125" t="s">
        <v>2338</v>
      </c>
      <c r="E34" s="453" t="s">
        <v>1697</v>
      </c>
      <c r="F34" s="455" t="s">
        <v>2337</v>
      </c>
      <c r="G34" s="453" t="s">
        <v>2336</v>
      </c>
      <c r="H34" s="453" t="s">
        <v>2335</v>
      </c>
      <c r="I34" s="324">
        <f t="shared" si="0"/>
        <v>136</v>
      </c>
      <c r="J34" s="324">
        <v>0</v>
      </c>
      <c r="K34" s="324">
        <v>0</v>
      </c>
      <c r="L34" s="324">
        <v>136</v>
      </c>
      <c r="M34" s="324">
        <v>0</v>
      </c>
      <c r="N34" s="324"/>
      <c r="O34" s="154"/>
      <c r="P34" s="154" t="s">
        <v>7</v>
      </c>
      <c r="Q34" s="125" t="s">
        <v>2334</v>
      </c>
      <c r="R34" s="125" t="s">
        <v>36</v>
      </c>
      <c r="S34" s="125" t="s">
        <v>42</v>
      </c>
      <c r="T34" s="125"/>
      <c r="U34" s="125" t="s">
        <v>38</v>
      </c>
      <c r="V34" s="125">
        <f t="shared" si="2"/>
        <v>50</v>
      </c>
      <c r="W34" s="314">
        <v>40</v>
      </c>
      <c r="X34" s="324">
        <v>10</v>
      </c>
      <c r="Y34" s="453" t="s">
        <v>844</v>
      </c>
      <c r="Z34" s="141" t="s">
        <v>1148</v>
      </c>
    </row>
    <row r="35" spans="1:33" customFormat="1" ht="50.1" customHeight="1">
      <c r="A35" s="126">
        <v>31</v>
      </c>
      <c r="B35" s="147" t="s">
        <v>1008</v>
      </c>
      <c r="C35" s="147" t="s">
        <v>2323</v>
      </c>
      <c r="D35" s="147" t="s">
        <v>2333</v>
      </c>
      <c r="E35" s="453" t="s">
        <v>2332</v>
      </c>
      <c r="F35" s="455" t="s">
        <v>2331</v>
      </c>
      <c r="G35" s="453" t="s">
        <v>2330</v>
      </c>
      <c r="H35" s="114" t="s">
        <v>1508</v>
      </c>
      <c r="I35" s="227">
        <f t="shared" si="0"/>
        <v>307</v>
      </c>
      <c r="J35" s="227">
        <v>0</v>
      </c>
      <c r="K35" s="227">
        <v>0</v>
      </c>
      <c r="L35" s="227">
        <v>307</v>
      </c>
      <c r="M35" s="227">
        <v>0</v>
      </c>
      <c r="N35" s="227"/>
      <c r="O35" s="149"/>
      <c r="P35" s="149" t="s">
        <v>41</v>
      </c>
      <c r="Q35" s="147" t="s">
        <v>2329</v>
      </c>
      <c r="R35" s="147" t="s">
        <v>36</v>
      </c>
      <c r="S35" s="147"/>
      <c r="T35" s="147"/>
      <c r="U35" s="147"/>
      <c r="V35" s="147">
        <f t="shared" si="2"/>
        <v>494</v>
      </c>
      <c r="W35" s="145">
        <v>494</v>
      </c>
      <c r="X35" s="227"/>
      <c r="Y35" s="114" t="s">
        <v>2328</v>
      </c>
      <c r="Z35" s="202" t="s">
        <v>6121</v>
      </c>
    </row>
    <row r="36" spans="1:33" ht="50.1" customHeight="1">
      <c r="A36" s="125">
        <v>32</v>
      </c>
      <c r="B36" s="125" t="s">
        <v>1306</v>
      </c>
      <c r="C36" s="125" t="s">
        <v>2323</v>
      </c>
      <c r="D36" s="125" t="s">
        <v>2327</v>
      </c>
      <c r="E36" s="453" t="s">
        <v>886</v>
      </c>
      <c r="F36" s="455" t="s">
        <v>2326</v>
      </c>
      <c r="G36" s="453" t="s">
        <v>2325</v>
      </c>
      <c r="H36" s="453" t="s">
        <v>1638</v>
      </c>
      <c r="I36" s="324">
        <f t="shared" si="0"/>
        <v>285</v>
      </c>
      <c r="J36" s="324">
        <v>0</v>
      </c>
      <c r="K36" s="324">
        <v>0</v>
      </c>
      <c r="L36" s="324">
        <v>285</v>
      </c>
      <c r="M36" s="324">
        <v>0</v>
      </c>
      <c r="N36" s="324"/>
      <c r="O36" s="154"/>
      <c r="P36" s="154" t="s">
        <v>52</v>
      </c>
      <c r="Q36" s="125" t="s">
        <v>2324</v>
      </c>
      <c r="R36" s="125" t="s">
        <v>36</v>
      </c>
      <c r="S36" s="125" t="s">
        <v>199</v>
      </c>
      <c r="T36" s="125" t="s">
        <v>49</v>
      </c>
      <c r="U36" s="125" t="s">
        <v>2320</v>
      </c>
      <c r="V36" s="125">
        <f t="shared" si="2"/>
        <v>3</v>
      </c>
      <c r="W36" s="314">
        <v>3</v>
      </c>
      <c r="X36" s="324"/>
      <c r="Y36" s="453" t="s">
        <v>844</v>
      </c>
      <c r="Z36" s="137" t="s">
        <v>1148</v>
      </c>
    </row>
    <row r="37" spans="1:33" ht="50.1" customHeight="1">
      <c r="A37" s="125">
        <v>33</v>
      </c>
      <c r="B37" s="125" t="s">
        <v>1008</v>
      </c>
      <c r="C37" s="125" t="s">
        <v>2323</v>
      </c>
      <c r="D37" s="125" t="s">
        <v>2322</v>
      </c>
      <c r="E37" s="453" t="s">
        <v>1439</v>
      </c>
      <c r="F37" s="455" t="s">
        <v>2321</v>
      </c>
      <c r="G37" s="453" t="s">
        <v>6129</v>
      </c>
      <c r="H37" s="453" t="s">
        <v>1457</v>
      </c>
      <c r="I37" s="324">
        <f t="shared" ref="I37:I68" si="3">SUM(J37:M37)</f>
        <v>20</v>
      </c>
      <c r="J37" s="324">
        <v>0</v>
      </c>
      <c r="K37" s="324">
        <v>0</v>
      </c>
      <c r="L37" s="324">
        <v>20</v>
      </c>
      <c r="M37" s="324">
        <v>0</v>
      </c>
      <c r="N37" s="324"/>
      <c r="O37" s="154"/>
      <c r="P37" s="149" t="s">
        <v>7</v>
      </c>
      <c r="Q37" s="147" t="s">
        <v>1360</v>
      </c>
      <c r="R37" s="147" t="s">
        <v>36</v>
      </c>
      <c r="S37" s="147" t="s">
        <v>42</v>
      </c>
      <c r="T37" s="147" t="s">
        <v>49</v>
      </c>
      <c r="U37" s="147" t="s">
        <v>2320</v>
      </c>
      <c r="V37" s="147">
        <f t="shared" si="2"/>
        <v>12</v>
      </c>
      <c r="W37" s="145">
        <v>5</v>
      </c>
      <c r="X37" s="227">
        <v>7</v>
      </c>
      <c r="Y37" s="147" t="s">
        <v>1307</v>
      </c>
      <c r="Z37" s="152" t="s">
        <v>6130</v>
      </c>
    </row>
    <row r="38" spans="1:33" ht="67.5">
      <c r="A38" s="125">
        <v>34</v>
      </c>
      <c r="B38" s="125" t="s">
        <v>1306</v>
      </c>
      <c r="C38" s="125" t="s">
        <v>2303</v>
      </c>
      <c r="D38" s="125" t="s">
        <v>2319</v>
      </c>
      <c r="E38" s="453" t="s">
        <v>1646</v>
      </c>
      <c r="F38" s="455" t="s">
        <v>2318</v>
      </c>
      <c r="G38" s="453" t="s">
        <v>2317</v>
      </c>
      <c r="H38" s="453" t="s">
        <v>2316</v>
      </c>
      <c r="I38" s="227">
        <f t="shared" si="3"/>
        <v>2218</v>
      </c>
      <c r="J38" s="227">
        <v>59</v>
      </c>
      <c r="K38" s="227">
        <v>59</v>
      </c>
      <c r="L38" s="227">
        <v>2100</v>
      </c>
      <c r="M38" s="227">
        <v>0</v>
      </c>
      <c r="N38" s="227" t="s">
        <v>35</v>
      </c>
      <c r="O38" s="149" t="s">
        <v>156</v>
      </c>
      <c r="P38" s="149" t="s">
        <v>98</v>
      </c>
      <c r="Q38" s="147" t="s">
        <v>2315</v>
      </c>
      <c r="R38" s="147" t="s">
        <v>36</v>
      </c>
      <c r="S38" s="147" t="s">
        <v>199</v>
      </c>
      <c r="T38" s="147" t="s">
        <v>2314</v>
      </c>
      <c r="U38" s="147" t="s">
        <v>37</v>
      </c>
      <c r="V38" s="147">
        <f t="shared" si="2"/>
        <v>430</v>
      </c>
      <c r="W38" s="145">
        <v>430</v>
      </c>
      <c r="X38" s="227"/>
      <c r="Y38" s="114" t="s">
        <v>812</v>
      </c>
      <c r="Z38" s="137" t="s">
        <v>1148</v>
      </c>
      <c r="AA38"/>
      <c r="AB38"/>
      <c r="AC38"/>
      <c r="AD38"/>
      <c r="AE38"/>
      <c r="AF38"/>
      <c r="AG38"/>
    </row>
    <row r="39" spans="1:33" customFormat="1" ht="60.75" customHeight="1">
      <c r="A39" s="126">
        <v>35</v>
      </c>
      <c r="B39" s="147" t="s">
        <v>1306</v>
      </c>
      <c r="C39" s="147" t="s">
        <v>2303</v>
      </c>
      <c r="D39" s="147" t="s">
        <v>2313</v>
      </c>
      <c r="E39" s="453" t="s">
        <v>1467</v>
      </c>
      <c r="F39" s="455" t="s">
        <v>5996</v>
      </c>
      <c r="G39" s="453" t="s">
        <v>2312</v>
      </c>
      <c r="H39" s="114" t="s">
        <v>210</v>
      </c>
      <c r="I39" s="227">
        <f t="shared" si="3"/>
        <v>900</v>
      </c>
      <c r="J39" s="227">
        <v>0</v>
      </c>
      <c r="K39" s="227">
        <v>400</v>
      </c>
      <c r="L39" s="227">
        <v>500</v>
      </c>
      <c r="M39" s="227">
        <v>0</v>
      </c>
      <c r="N39" s="227"/>
      <c r="O39" s="149"/>
      <c r="P39" s="149" t="s">
        <v>7</v>
      </c>
      <c r="Q39" s="147" t="s">
        <v>1470</v>
      </c>
      <c r="R39" s="147" t="s">
        <v>36</v>
      </c>
      <c r="S39" s="147" t="s">
        <v>464</v>
      </c>
      <c r="T39" s="147" t="s">
        <v>49</v>
      </c>
      <c r="U39" s="147" t="s">
        <v>38</v>
      </c>
      <c r="V39" s="147">
        <f t="shared" si="2"/>
        <v>14</v>
      </c>
      <c r="W39" s="145">
        <v>14</v>
      </c>
      <c r="X39" s="227"/>
      <c r="Y39" s="114" t="s">
        <v>2311</v>
      </c>
      <c r="Z39" s="152" t="s">
        <v>2722</v>
      </c>
    </row>
    <row r="40" spans="1:33" ht="50.1" customHeight="1">
      <c r="A40" s="125">
        <v>36</v>
      </c>
      <c r="B40" s="125" t="s">
        <v>1306</v>
      </c>
      <c r="C40" s="125" t="s">
        <v>2303</v>
      </c>
      <c r="D40" s="453" t="s">
        <v>2310</v>
      </c>
      <c r="E40" s="453" t="s">
        <v>549</v>
      </c>
      <c r="F40" s="455" t="s">
        <v>2309</v>
      </c>
      <c r="G40" s="453" t="s">
        <v>2308</v>
      </c>
      <c r="H40" s="453" t="s">
        <v>1222</v>
      </c>
      <c r="I40" s="314">
        <f t="shared" si="3"/>
        <v>20</v>
      </c>
      <c r="J40" s="314">
        <v>0</v>
      </c>
      <c r="K40" s="314">
        <v>20</v>
      </c>
      <c r="L40" s="314">
        <v>0</v>
      </c>
      <c r="M40" s="314">
        <v>0</v>
      </c>
      <c r="N40" s="314"/>
      <c r="O40" s="453"/>
      <c r="P40" s="453" t="s">
        <v>6</v>
      </c>
      <c r="Q40" s="453" t="s">
        <v>1746</v>
      </c>
      <c r="R40" s="453" t="s">
        <v>36</v>
      </c>
      <c r="S40" s="453" t="s">
        <v>42</v>
      </c>
      <c r="T40" s="453" t="s">
        <v>49</v>
      </c>
      <c r="U40" s="453" t="s">
        <v>37</v>
      </c>
      <c r="V40" s="453">
        <f t="shared" si="2"/>
        <v>7</v>
      </c>
      <c r="W40" s="314">
        <v>7</v>
      </c>
      <c r="X40" s="314"/>
      <c r="Y40" s="453" t="s">
        <v>99</v>
      </c>
      <c r="Z40" s="202" t="s">
        <v>1148</v>
      </c>
    </row>
    <row r="41" spans="1:33" ht="50.1" customHeight="1">
      <c r="A41" s="125">
        <v>37</v>
      </c>
      <c r="B41" s="125" t="s">
        <v>1306</v>
      </c>
      <c r="C41" s="125" t="s">
        <v>2303</v>
      </c>
      <c r="D41" s="453" t="s">
        <v>2307</v>
      </c>
      <c r="E41" s="453" t="s">
        <v>1439</v>
      </c>
      <c r="F41" s="455" t="s">
        <v>2306</v>
      </c>
      <c r="G41" s="453" t="s">
        <v>6131</v>
      </c>
      <c r="H41" s="453" t="s">
        <v>2305</v>
      </c>
      <c r="I41" s="314">
        <f t="shared" si="3"/>
        <v>11</v>
      </c>
      <c r="J41" s="314">
        <v>0</v>
      </c>
      <c r="K41" s="314">
        <v>4</v>
      </c>
      <c r="L41" s="314">
        <v>7</v>
      </c>
      <c r="M41" s="314">
        <v>0</v>
      </c>
      <c r="N41" s="314"/>
      <c r="O41" s="453"/>
      <c r="P41" s="453" t="s">
        <v>6</v>
      </c>
      <c r="Q41" s="453" t="s">
        <v>2304</v>
      </c>
      <c r="R41" s="453" t="s">
        <v>36</v>
      </c>
      <c r="S41" s="453" t="s">
        <v>1979</v>
      </c>
      <c r="T41" s="453" t="s">
        <v>2297</v>
      </c>
      <c r="U41" s="453" t="s">
        <v>53</v>
      </c>
      <c r="V41" s="453">
        <f t="shared" si="2"/>
        <v>20</v>
      </c>
      <c r="W41" s="314">
        <v>20</v>
      </c>
      <c r="X41" s="314"/>
      <c r="Y41" s="453" t="s">
        <v>2</v>
      </c>
      <c r="Z41" s="137" t="s">
        <v>6121</v>
      </c>
    </row>
    <row r="42" spans="1:33" ht="50.1" customHeight="1">
      <c r="A42" s="125">
        <v>38</v>
      </c>
      <c r="B42" s="125" t="s">
        <v>1306</v>
      </c>
      <c r="C42" s="125" t="s">
        <v>2303</v>
      </c>
      <c r="D42" s="453" t="s">
        <v>2302</v>
      </c>
      <c r="E42" s="453" t="s">
        <v>1439</v>
      </c>
      <c r="F42" s="455" t="s">
        <v>2301</v>
      </c>
      <c r="G42" s="453" t="s">
        <v>2300</v>
      </c>
      <c r="H42" s="453" t="s">
        <v>2299</v>
      </c>
      <c r="I42" s="314">
        <f t="shared" si="3"/>
        <v>22</v>
      </c>
      <c r="J42" s="314">
        <v>0</v>
      </c>
      <c r="K42" s="314">
        <v>7</v>
      </c>
      <c r="L42" s="314">
        <v>15</v>
      </c>
      <c r="M42" s="314">
        <v>0</v>
      </c>
      <c r="N42" s="314"/>
      <c r="O42" s="453"/>
      <c r="P42" s="453" t="s">
        <v>6</v>
      </c>
      <c r="Q42" s="453" t="s">
        <v>2298</v>
      </c>
      <c r="R42" s="453" t="s">
        <v>36</v>
      </c>
      <c r="S42" s="453" t="s">
        <v>1979</v>
      </c>
      <c r="T42" s="453" t="s">
        <v>2297</v>
      </c>
      <c r="U42" s="453" t="s">
        <v>53</v>
      </c>
      <c r="V42" s="453">
        <f t="shared" si="2"/>
        <v>8</v>
      </c>
      <c r="W42" s="314">
        <v>8</v>
      </c>
      <c r="X42" s="314"/>
      <c r="Y42" s="453" t="s">
        <v>64</v>
      </c>
      <c r="Z42" s="202"/>
    </row>
    <row r="43" spans="1:33" ht="50.1" customHeight="1">
      <c r="A43" s="125">
        <v>39</v>
      </c>
      <c r="B43" s="125" t="s">
        <v>1306</v>
      </c>
      <c r="C43" s="125" t="s">
        <v>2269</v>
      </c>
      <c r="D43" s="453" t="s">
        <v>2296</v>
      </c>
      <c r="E43" s="103" t="s">
        <v>1517</v>
      </c>
      <c r="F43" s="455" t="s">
        <v>2295</v>
      </c>
      <c r="G43" s="453" t="s">
        <v>2294</v>
      </c>
      <c r="H43" s="453" t="s">
        <v>2293</v>
      </c>
      <c r="I43" s="314">
        <f t="shared" si="3"/>
        <v>230</v>
      </c>
      <c r="J43" s="314">
        <v>0</v>
      </c>
      <c r="K43" s="314">
        <v>0</v>
      </c>
      <c r="L43" s="314">
        <v>230</v>
      </c>
      <c r="M43" s="314">
        <v>0</v>
      </c>
      <c r="N43" s="314"/>
      <c r="O43" s="453"/>
      <c r="P43" s="453" t="s">
        <v>7</v>
      </c>
      <c r="Q43" s="453" t="s">
        <v>2292</v>
      </c>
      <c r="R43" s="453" t="s">
        <v>36</v>
      </c>
      <c r="S43" s="453" t="s">
        <v>55</v>
      </c>
      <c r="T43" s="453" t="s">
        <v>49</v>
      </c>
      <c r="U43" s="453" t="s">
        <v>53</v>
      </c>
      <c r="V43" s="453">
        <f t="shared" si="2"/>
        <v>40</v>
      </c>
      <c r="W43" s="314">
        <v>40</v>
      </c>
      <c r="X43" s="314"/>
      <c r="Y43" s="453" t="s">
        <v>1371</v>
      </c>
      <c r="Z43" s="137" t="s">
        <v>1148</v>
      </c>
      <c r="AA43"/>
      <c r="AB43"/>
      <c r="AC43"/>
      <c r="AD43"/>
      <c r="AE43"/>
      <c r="AF43"/>
      <c r="AG43"/>
    </row>
    <row r="44" spans="1:33" ht="50.1" customHeight="1">
      <c r="A44" s="125">
        <v>40</v>
      </c>
      <c r="B44" s="125" t="s">
        <v>1306</v>
      </c>
      <c r="C44" s="125" t="s">
        <v>2269</v>
      </c>
      <c r="D44" s="453" t="s">
        <v>2291</v>
      </c>
      <c r="E44" s="453" t="s">
        <v>2290</v>
      </c>
      <c r="F44" s="455" t="s">
        <v>2289</v>
      </c>
      <c r="G44" s="453" t="s">
        <v>2288</v>
      </c>
      <c r="H44" s="453" t="s">
        <v>2287</v>
      </c>
      <c r="I44" s="314">
        <f t="shared" si="3"/>
        <v>648</v>
      </c>
      <c r="J44" s="314">
        <v>0</v>
      </c>
      <c r="K44" s="314">
        <v>480</v>
      </c>
      <c r="L44" s="314">
        <v>36</v>
      </c>
      <c r="M44" s="314">
        <v>132</v>
      </c>
      <c r="N44" s="314"/>
      <c r="O44" s="453"/>
      <c r="P44" s="453" t="s">
        <v>31</v>
      </c>
      <c r="Q44" s="453" t="s">
        <v>2286</v>
      </c>
      <c r="R44" s="453" t="s">
        <v>36</v>
      </c>
      <c r="S44" s="453" t="s">
        <v>55</v>
      </c>
      <c r="T44" s="453" t="s">
        <v>1292</v>
      </c>
      <c r="U44" s="453" t="s">
        <v>53</v>
      </c>
      <c r="V44" s="453">
        <f t="shared" si="2"/>
        <v>217</v>
      </c>
      <c r="W44" s="314">
        <v>217</v>
      </c>
      <c r="X44" s="314"/>
      <c r="Y44" s="453" t="s">
        <v>64</v>
      </c>
      <c r="Z44" s="137" t="s">
        <v>1148</v>
      </c>
      <c r="AA44"/>
      <c r="AB44"/>
      <c r="AC44"/>
      <c r="AD44"/>
      <c r="AE44"/>
      <c r="AF44"/>
      <c r="AG44"/>
    </row>
    <row r="45" spans="1:33" ht="50.1" customHeight="1">
      <c r="A45" s="125">
        <v>41</v>
      </c>
      <c r="B45" s="125" t="s">
        <v>1306</v>
      </c>
      <c r="C45" s="125" t="s">
        <v>2269</v>
      </c>
      <c r="D45" s="153" t="s">
        <v>2285</v>
      </c>
      <c r="E45" s="453" t="s">
        <v>2284</v>
      </c>
      <c r="F45" s="455" t="s">
        <v>2283</v>
      </c>
      <c r="G45" s="453" t="s">
        <v>2282</v>
      </c>
      <c r="H45" s="453" t="s">
        <v>564</v>
      </c>
      <c r="I45" s="314">
        <f t="shared" si="3"/>
        <v>63</v>
      </c>
      <c r="J45" s="314">
        <v>0</v>
      </c>
      <c r="K45" s="314">
        <v>0</v>
      </c>
      <c r="L45" s="314">
        <v>63</v>
      </c>
      <c r="M45" s="314">
        <v>0</v>
      </c>
      <c r="N45" s="314"/>
      <c r="O45" s="453"/>
      <c r="P45" s="453" t="s">
        <v>31</v>
      </c>
      <c r="Q45" s="453" t="s">
        <v>2281</v>
      </c>
      <c r="R45" s="453" t="s">
        <v>36</v>
      </c>
      <c r="S45" s="453" t="s">
        <v>68</v>
      </c>
      <c r="T45" s="453" t="s">
        <v>49</v>
      </c>
      <c r="U45" s="453" t="s">
        <v>2280</v>
      </c>
      <c r="V45" s="453">
        <f t="shared" si="2"/>
        <v>6</v>
      </c>
      <c r="W45" s="314">
        <v>6</v>
      </c>
      <c r="X45" s="314"/>
      <c r="Y45" s="453" t="s">
        <v>64</v>
      </c>
      <c r="Z45" s="137" t="s">
        <v>1148</v>
      </c>
      <c r="AA45"/>
      <c r="AB45"/>
      <c r="AC45"/>
      <c r="AD45"/>
      <c r="AE45"/>
      <c r="AF45"/>
      <c r="AG45"/>
    </row>
    <row r="46" spans="1:33" ht="50.1" customHeight="1">
      <c r="A46" s="125">
        <v>42</v>
      </c>
      <c r="B46" s="125" t="s">
        <v>1008</v>
      </c>
      <c r="C46" s="125" t="s">
        <v>2269</v>
      </c>
      <c r="D46" s="453" t="s">
        <v>2279</v>
      </c>
      <c r="E46" s="453" t="s">
        <v>1547</v>
      </c>
      <c r="F46" s="455" t="s">
        <v>2278</v>
      </c>
      <c r="G46" s="453" t="s">
        <v>2718</v>
      </c>
      <c r="H46" s="453" t="s">
        <v>397</v>
      </c>
      <c r="I46" s="314">
        <f t="shared" si="3"/>
        <v>180</v>
      </c>
      <c r="J46" s="314">
        <v>0</v>
      </c>
      <c r="K46" s="314">
        <v>0</v>
      </c>
      <c r="L46" s="314">
        <v>180</v>
      </c>
      <c r="M46" s="314">
        <v>0</v>
      </c>
      <c r="N46" s="314"/>
      <c r="O46" s="453"/>
      <c r="P46" s="453" t="s">
        <v>7</v>
      </c>
      <c r="Q46" s="453" t="s">
        <v>1548</v>
      </c>
      <c r="R46" s="453" t="s">
        <v>36</v>
      </c>
      <c r="S46" s="453" t="s">
        <v>42</v>
      </c>
      <c r="T46" s="453" t="s">
        <v>2277</v>
      </c>
      <c r="U46" s="453" t="s">
        <v>53</v>
      </c>
      <c r="V46" s="453">
        <f t="shared" si="2"/>
        <v>4.9000000000000004</v>
      </c>
      <c r="W46" s="314">
        <v>4.9000000000000004</v>
      </c>
      <c r="X46" s="314"/>
      <c r="Y46" s="453" t="s">
        <v>99</v>
      </c>
      <c r="Z46" s="137" t="s">
        <v>1148</v>
      </c>
      <c r="AA46"/>
      <c r="AB46"/>
      <c r="AC46"/>
      <c r="AD46"/>
      <c r="AE46"/>
      <c r="AF46"/>
      <c r="AG46"/>
    </row>
    <row r="47" spans="1:33" customFormat="1" ht="50.1" customHeight="1">
      <c r="A47" s="126">
        <v>43</v>
      </c>
      <c r="B47" s="126" t="s">
        <v>1306</v>
      </c>
      <c r="C47" s="126" t="s">
        <v>2269</v>
      </c>
      <c r="D47" s="454" t="s">
        <v>2276</v>
      </c>
      <c r="E47" s="453" t="s">
        <v>2275</v>
      </c>
      <c r="F47" s="455" t="s">
        <v>2274</v>
      </c>
      <c r="G47" s="453" t="s">
        <v>2273</v>
      </c>
      <c r="H47" s="454" t="s">
        <v>414</v>
      </c>
      <c r="I47" s="145">
        <f t="shared" si="3"/>
        <v>332</v>
      </c>
      <c r="J47" s="145">
        <v>0</v>
      </c>
      <c r="K47" s="145">
        <v>0</v>
      </c>
      <c r="L47" s="145">
        <v>332</v>
      </c>
      <c r="M47" s="145">
        <v>0</v>
      </c>
      <c r="N47" s="145"/>
      <c r="O47" s="454"/>
      <c r="P47" s="454" t="s">
        <v>2272</v>
      </c>
      <c r="Q47" s="454" t="s">
        <v>2271</v>
      </c>
      <c r="R47" s="454" t="s">
        <v>36</v>
      </c>
      <c r="S47" s="454" t="s">
        <v>2270</v>
      </c>
      <c r="T47" s="454" t="s">
        <v>49</v>
      </c>
      <c r="U47" s="454" t="s">
        <v>38</v>
      </c>
      <c r="V47" s="454">
        <f t="shared" si="2"/>
        <v>320</v>
      </c>
      <c r="W47" s="145">
        <v>314</v>
      </c>
      <c r="X47" s="145">
        <v>6</v>
      </c>
      <c r="Y47" s="454" t="s">
        <v>2</v>
      </c>
      <c r="Z47" s="202" t="s">
        <v>2746</v>
      </c>
    </row>
    <row r="48" spans="1:33" customFormat="1" ht="50.1" customHeight="1">
      <c r="A48" s="126">
        <v>44</v>
      </c>
      <c r="B48" s="147" t="s">
        <v>1306</v>
      </c>
      <c r="C48" s="147" t="s">
        <v>2269</v>
      </c>
      <c r="D48" s="147" t="s">
        <v>2268</v>
      </c>
      <c r="E48" s="453" t="s">
        <v>1410</v>
      </c>
      <c r="F48" s="455" t="s">
        <v>2267</v>
      </c>
      <c r="G48" s="453" t="s">
        <v>2266</v>
      </c>
      <c r="H48" s="114" t="s">
        <v>2265</v>
      </c>
      <c r="I48" s="227">
        <f t="shared" si="3"/>
        <v>80</v>
      </c>
      <c r="J48" s="227">
        <v>0</v>
      </c>
      <c r="K48" s="227">
        <v>10</v>
      </c>
      <c r="L48" s="227">
        <v>40</v>
      </c>
      <c r="M48" s="227">
        <v>30</v>
      </c>
      <c r="N48" s="227"/>
      <c r="O48" s="147"/>
      <c r="P48" s="147" t="s">
        <v>6</v>
      </c>
      <c r="Q48" s="147" t="s">
        <v>2264</v>
      </c>
      <c r="R48" s="147" t="s">
        <v>36</v>
      </c>
      <c r="S48" s="147" t="s">
        <v>42</v>
      </c>
      <c r="T48" s="114" t="s">
        <v>49</v>
      </c>
      <c r="U48" s="147" t="s">
        <v>53</v>
      </c>
      <c r="V48" s="147">
        <f t="shared" si="2"/>
        <v>32</v>
      </c>
      <c r="W48" s="145">
        <v>32</v>
      </c>
      <c r="X48" s="230"/>
      <c r="Y48" s="114" t="s">
        <v>99</v>
      </c>
      <c r="Z48" s="152" t="s">
        <v>6132</v>
      </c>
    </row>
    <row r="49" spans="1:33" ht="50.1" customHeight="1">
      <c r="A49" s="125">
        <v>45</v>
      </c>
      <c r="B49" s="125" t="s">
        <v>1306</v>
      </c>
      <c r="C49" s="125" t="s">
        <v>2250</v>
      </c>
      <c r="D49" s="453" t="s">
        <v>2263</v>
      </c>
      <c r="E49" s="453" t="s">
        <v>1522</v>
      </c>
      <c r="F49" s="455" t="s">
        <v>2262</v>
      </c>
      <c r="G49" s="453" t="s">
        <v>2261</v>
      </c>
      <c r="H49" s="453" t="s">
        <v>1429</v>
      </c>
      <c r="I49" s="314">
        <f t="shared" si="3"/>
        <v>225</v>
      </c>
      <c r="J49" s="314">
        <v>0</v>
      </c>
      <c r="K49" s="314">
        <v>0</v>
      </c>
      <c r="L49" s="314">
        <v>225</v>
      </c>
      <c r="M49" s="314">
        <v>0</v>
      </c>
      <c r="N49" s="314"/>
      <c r="O49" s="453"/>
      <c r="P49" s="453" t="s">
        <v>6</v>
      </c>
      <c r="Q49" s="453" t="s">
        <v>1537</v>
      </c>
      <c r="R49" s="453" t="s">
        <v>36</v>
      </c>
      <c r="S49" s="453" t="s">
        <v>42</v>
      </c>
      <c r="T49" s="453" t="s">
        <v>2260</v>
      </c>
      <c r="U49" s="453" t="s">
        <v>38</v>
      </c>
      <c r="V49" s="125">
        <f t="shared" si="2"/>
        <v>200</v>
      </c>
      <c r="W49" s="314">
        <v>200</v>
      </c>
      <c r="X49" s="315"/>
      <c r="Y49" s="453" t="s">
        <v>240</v>
      </c>
      <c r="Z49" s="137" t="s">
        <v>1148</v>
      </c>
      <c r="AA49"/>
      <c r="AB49"/>
      <c r="AC49"/>
      <c r="AD49"/>
      <c r="AE49"/>
      <c r="AF49"/>
      <c r="AG49"/>
    </row>
    <row r="50" spans="1:33" ht="50.1" customHeight="1">
      <c r="A50" s="125">
        <v>46</v>
      </c>
      <c r="B50" s="125" t="s">
        <v>1306</v>
      </c>
      <c r="C50" s="125" t="s">
        <v>2250</v>
      </c>
      <c r="D50" s="453" t="s">
        <v>2259</v>
      </c>
      <c r="E50" s="453" t="s">
        <v>1423</v>
      </c>
      <c r="F50" s="455" t="s">
        <v>2258</v>
      </c>
      <c r="G50" s="453" t="s">
        <v>2257</v>
      </c>
      <c r="H50" s="453" t="s">
        <v>367</v>
      </c>
      <c r="I50" s="314">
        <f t="shared" si="3"/>
        <v>44</v>
      </c>
      <c r="J50" s="314">
        <v>0</v>
      </c>
      <c r="K50" s="314">
        <v>0</v>
      </c>
      <c r="L50" s="314">
        <v>44</v>
      </c>
      <c r="M50" s="314">
        <v>0</v>
      </c>
      <c r="N50" s="314"/>
      <c r="O50" s="453"/>
      <c r="P50" s="453" t="s">
        <v>31</v>
      </c>
      <c r="Q50" s="453" t="s">
        <v>2256</v>
      </c>
      <c r="R50" s="453" t="s">
        <v>36</v>
      </c>
      <c r="S50" s="453" t="s">
        <v>1298</v>
      </c>
      <c r="T50" s="453" t="s">
        <v>49</v>
      </c>
      <c r="U50" s="453" t="s">
        <v>38</v>
      </c>
      <c r="V50" s="453">
        <f t="shared" si="2"/>
        <v>5</v>
      </c>
      <c r="W50" s="314">
        <v>5</v>
      </c>
      <c r="X50" s="314"/>
      <c r="Y50" s="453" t="s">
        <v>64</v>
      </c>
      <c r="Z50" s="137" t="s">
        <v>1148</v>
      </c>
      <c r="AA50"/>
      <c r="AB50"/>
      <c r="AC50"/>
      <c r="AD50"/>
      <c r="AE50"/>
      <c r="AF50"/>
      <c r="AG50"/>
    </row>
    <row r="51" spans="1:33" ht="50.1" customHeight="1">
      <c r="A51" s="125">
        <v>47</v>
      </c>
      <c r="B51" s="125" t="s">
        <v>1306</v>
      </c>
      <c r="C51" s="125" t="s">
        <v>2250</v>
      </c>
      <c r="D51" s="453" t="s">
        <v>2255</v>
      </c>
      <c r="E51" s="453" t="s">
        <v>1297</v>
      </c>
      <c r="F51" s="455" t="s">
        <v>2254</v>
      </c>
      <c r="G51" s="453" t="s">
        <v>2253</v>
      </c>
      <c r="H51" s="453" t="s">
        <v>811</v>
      </c>
      <c r="I51" s="314">
        <f t="shared" si="3"/>
        <v>400</v>
      </c>
      <c r="J51" s="314">
        <v>0</v>
      </c>
      <c r="K51" s="314">
        <v>0</v>
      </c>
      <c r="L51" s="314">
        <v>400</v>
      </c>
      <c r="M51" s="314">
        <v>0</v>
      </c>
      <c r="N51" s="314"/>
      <c r="O51" s="453"/>
      <c r="P51" s="454" t="s">
        <v>31</v>
      </c>
      <c r="Q51" s="454" t="s">
        <v>2252</v>
      </c>
      <c r="R51" s="454" t="s">
        <v>36</v>
      </c>
      <c r="S51" s="454" t="s">
        <v>42</v>
      </c>
      <c r="T51" s="454" t="s">
        <v>2251</v>
      </c>
      <c r="U51" s="454" t="s">
        <v>38</v>
      </c>
      <c r="V51" s="454">
        <f t="shared" si="2"/>
        <v>30</v>
      </c>
      <c r="W51" s="145">
        <v>28</v>
      </c>
      <c r="X51" s="145">
        <v>2</v>
      </c>
      <c r="Y51" s="454" t="s">
        <v>220</v>
      </c>
      <c r="Z51" s="137" t="s">
        <v>1148</v>
      </c>
      <c r="AA51"/>
      <c r="AB51"/>
      <c r="AC51"/>
      <c r="AD51"/>
      <c r="AE51"/>
      <c r="AF51"/>
      <c r="AG51"/>
    </row>
    <row r="52" spans="1:33" ht="50.1" customHeight="1">
      <c r="A52" s="125">
        <v>48</v>
      </c>
      <c r="B52" s="125" t="s">
        <v>1306</v>
      </c>
      <c r="C52" s="125" t="s">
        <v>2250</v>
      </c>
      <c r="D52" s="453" t="s">
        <v>2249</v>
      </c>
      <c r="E52" s="453" t="s">
        <v>886</v>
      </c>
      <c r="F52" s="455" t="s">
        <v>2248</v>
      </c>
      <c r="G52" s="453" t="s">
        <v>2247</v>
      </c>
      <c r="H52" s="453" t="s">
        <v>2246</v>
      </c>
      <c r="I52" s="324">
        <f t="shared" si="3"/>
        <v>855</v>
      </c>
      <c r="J52" s="324">
        <v>0</v>
      </c>
      <c r="K52" s="324">
        <v>0</v>
      </c>
      <c r="L52" s="324">
        <v>605</v>
      </c>
      <c r="M52" s="324">
        <v>250</v>
      </c>
      <c r="N52" s="324"/>
      <c r="O52" s="125"/>
      <c r="P52" s="125" t="s">
        <v>7</v>
      </c>
      <c r="Q52" s="125" t="s">
        <v>1505</v>
      </c>
      <c r="R52" s="125" t="s">
        <v>36</v>
      </c>
      <c r="S52" s="125" t="s">
        <v>42</v>
      </c>
      <c r="T52" s="125" t="s">
        <v>2245</v>
      </c>
      <c r="U52" s="453" t="s">
        <v>38</v>
      </c>
      <c r="V52" s="125">
        <f t="shared" si="2"/>
        <v>390</v>
      </c>
      <c r="W52" s="314">
        <v>388</v>
      </c>
      <c r="X52" s="324">
        <v>2</v>
      </c>
      <c r="Y52" s="125" t="s">
        <v>2244</v>
      </c>
      <c r="Z52" s="141" t="s">
        <v>1148</v>
      </c>
    </row>
    <row r="53" spans="1:33" ht="50.1" customHeight="1">
      <c r="A53" s="125">
        <v>49</v>
      </c>
      <c r="B53" s="125" t="s">
        <v>1306</v>
      </c>
      <c r="C53" s="125" t="s">
        <v>2243</v>
      </c>
      <c r="D53" s="453" t="s">
        <v>2242</v>
      </c>
      <c r="E53" s="453" t="s">
        <v>2206</v>
      </c>
      <c r="F53" s="455" t="s">
        <v>2241</v>
      </c>
      <c r="G53" s="453" t="s">
        <v>2240</v>
      </c>
      <c r="H53" s="453" t="s">
        <v>2239</v>
      </c>
      <c r="I53" s="314">
        <f t="shared" si="3"/>
        <v>625</v>
      </c>
      <c r="J53" s="314">
        <v>0</v>
      </c>
      <c r="K53" s="314">
        <v>0</v>
      </c>
      <c r="L53" s="314">
        <v>610</v>
      </c>
      <c r="M53" s="314">
        <v>15</v>
      </c>
      <c r="N53" s="314"/>
      <c r="O53" s="453"/>
      <c r="P53" s="453" t="s">
        <v>98</v>
      </c>
      <c r="Q53" s="453" t="s">
        <v>2238</v>
      </c>
      <c r="R53" s="453" t="s">
        <v>36</v>
      </c>
      <c r="S53" s="453" t="s">
        <v>246</v>
      </c>
      <c r="T53" s="453" t="s">
        <v>2237</v>
      </c>
      <c r="U53" s="453" t="s">
        <v>38</v>
      </c>
      <c r="V53" s="453">
        <f t="shared" si="2"/>
        <v>71</v>
      </c>
      <c r="W53" s="314">
        <v>70</v>
      </c>
      <c r="X53" s="314">
        <v>1</v>
      </c>
      <c r="Y53" s="453" t="s">
        <v>64</v>
      </c>
      <c r="Z53" s="137" t="s">
        <v>1148</v>
      </c>
      <c r="AA53"/>
      <c r="AB53"/>
      <c r="AC53"/>
      <c r="AD53"/>
      <c r="AE53"/>
      <c r="AF53"/>
      <c r="AG53"/>
    </row>
    <row r="54" spans="1:33" ht="50.1" hidden="1" customHeight="1">
      <c r="A54" s="125">
        <v>50</v>
      </c>
      <c r="B54" s="125" t="s">
        <v>1306</v>
      </c>
      <c r="C54" s="125" t="s">
        <v>2224</v>
      </c>
      <c r="D54" s="453" t="s">
        <v>2236</v>
      </c>
      <c r="E54" s="453" t="s">
        <v>2235</v>
      </c>
      <c r="F54" s="455" t="s">
        <v>2234</v>
      </c>
      <c r="G54" s="453" t="s">
        <v>2233</v>
      </c>
      <c r="H54" s="453" t="s">
        <v>1016</v>
      </c>
      <c r="I54" s="314">
        <f t="shared" si="3"/>
        <v>60</v>
      </c>
      <c r="J54" s="314">
        <v>0</v>
      </c>
      <c r="K54" s="314">
        <v>0</v>
      </c>
      <c r="L54" s="314">
        <v>50</v>
      </c>
      <c r="M54" s="314">
        <v>10</v>
      </c>
      <c r="N54" s="314"/>
      <c r="O54" s="453"/>
      <c r="P54" s="453" t="s">
        <v>48</v>
      </c>
      <c r="Q54" s="453" t="s">
        <v>1476</v>
      </c>
      <c r="R54" s="453" t="s">
        <v>36</v>
      </c>
      <c r="S54" s="453" t="s">
        <v>2232</v>
      </c>
      <c r="T54" s="453" t="s">
        <v>1292</v>
      </c>
      <c r="U54" s="453" t="s">
        <v>1293</v>
      </c>
      <c r="V54" s="453">
        <f t="shared" si="2"/>
        <v>2.8</v>
      </c>
      <c r="W54" s="314">
        <v>2.8</v>
      </c>
      <c r="X54" s="314"/>
      <c r="Y54" s="453" t="s">
        <v>220</v>
      </c>
      <c r="Z54" s="137"/>
    </row>
    <row r="55" spans="1:33" ht="50.1" customHeight="1">
      <c r="A55" s="125">
        <v>51</v>
      </c>
      <c r="B55" s="125" t="s">
        <v>1306</v>
      </c>
      <c r="C55" s="125" t="s">
        <v>2224</v>
      </c>
      <c r="D55" s="453" t="s">
        <v>2231</v>
      </c>
      <c r="E55" s="453" t="s">
        <v>908</v>
      </c>
      <c r="F55" s="455" t="s">
        <v>2230</v>
      </c>
      <c r="G55" s="453" t="s">
        <v>2229</v>
      </c>
      <c r="H55" s="453" t="s">
        <v>2228</v>
      </c>
      <c r="I55" s="314">
        <f t="shared" si="3"/>
        <v>500</v>
      </c>
      <c r="J55" s="314">
        <v>0</v>
      </c>
      <c r="K55" s="314">
        <v>0</v>
      </c>
      <c r="L55" s="314">
        <v>500</v>
      </c>
      <c r="M55" s="314">
        <v>0</v>
      </c>
      <c r="N55" s="314"/>
      <c r="O55" s="453"/>
      <c r="P55" s="453" t="s">
        <v>98</v>
      </c>
      <c r="Q55" s="453" t="s">
        <v>2227</v>
      </c>
      <c r="R55" s="453" t="s">
        <v>2226</v>
      </c>
      <c r="S55" s="453" t="s">
        <v>1356</v>
      </c>
      <c r="T55" s="453" t="s">
        <v>1293</v>
      </c>
      <c r="U55" s="453" t="s">
        <v>1292</v>
      </c>
      <c r="V55" s="453">
        <f t="shared" si="2"/>
        <v>63</v>
      </c>
      <c r="W55" s="314">
        <v>62</v>
      </c>
      <c r="X55" s="314">
        <v>1</v>
      </c>
      <c r="Y55" s="453" t="s">
        <v>2225</v>
      </c>
      <c r="Z55" s="137" t="s">
        <v>1148</v>
      </c>
      <c r="AA55"/>
      <c r="AB55"/>
      <c r="AC55"/>
      <c r="AD55"/>
      <c r="AE55"/>
      <c r="AF55"/>
      <c r="AG55"/>
    </row>
    <row r="56" spans="1:33" customFormat="1" ht="50.1" customHeight="1">
      <c r="A56" s="126">
        <v>52</v>
      </c>
      <c r="B56" s="126" t="s">
        <v>1306</v>
      </c>
      <c r="C56" s="126" t="s">
        <v>2224</v>
      </c>
      <c r="D56" s="454" t="s">
        <v>2223</v>
      </c>
      <c r="E56" s="453" t="s">
        <v>2222</v>
      </c>
      <c r="F56" s="455" t="s">
        <v>2221</v>
      </c>
      <c r="G56" s="453" t="s">
        <v>2703</v>
      </c>
      <c r="H56" s="454" t="s">
        <v>367</v>
      </c>
      <c r="I56" s="145">
        <f t="shared" si="3"/>
        <v>100</v>
      </c>
      <c r="J56" s="145">
        <v>0</v>
      </c>
      <c r="K56" s="145">
        <v>0</v>
      </c>
      <c r="L56" s="145">
        <v>0</v>
      </c>
      <c r="M56" s="145">
        <v>100</v>
      </c>
      <c r="N56" s="145"/>
      <c r="O56" s="454"/>
      <c r="P56" s="454" t="s">
        <v>48</v>
      </c>
      <c r="Q56" s="454" t="s">
        <v>2220</v>
      </c>
      <c r="R56" s="454" t="s">
        <v>36</v>
      </c>
      <c r="S56" s="454" t="s">
        <v>2219</v>
      </c>
      <c r="T56" s="454" t="s">
        <v>1292</v>
      </c>
      <c r="U56" s="454" t="s">
        <v>1292</v>
      </c>
      <c r="V56" s="454">
        <f t="shared" si="2"/>
        <v>73</v>
      </c>
      <c r="W56" s="145">
        <v>73</v>
      </c>
      <c r="X56" s="145"/>
      <c r="Y56" s="454" t="s">
        <v>99</v>
      </c>
      <c r="Z56" s="202" t="s">
        <v>1148</v>
      </c>
    </row>
    <row r="57" spans="1:33" ht="50.1" customHeight="1">
      <c r="A57" s="125">
        <v>53</v>
      </c>
      <c r="B57" s="125" t="s">
        <v>1306</v>
      </c>
      <c r="C57" s="125" t="s">
        <v>2197</v>
      </c>
      <c r="D57" s="153" t="s">
        <v>2218</v>
      </c>
      <c r="E57" s="453" t="s">
        <v>2217</v>
      </c>
      <c r="F57" s="455" t="s">
        <v>2216</v>
      </c>
      <c r="G57" s="453" t="s">
        <v>2696</v>
      </c>
      <c r="H57" s="453" t="s">
        <v>2215</v>
      </c>
      <c r="I57" s="314">
        <f t="shared" si="3"/>
        <v>140</v>
      </c>
      <c r="J57" s="314">
        <v>0</v>
      </c>
      <c r="K57" s="314">
        <v>20</v>
      </c>
      <c r="L57" s="314">
        <v>120</v>
      </c>
      <c r="M57" s="314">
        <v>0</v>
      </c>
      <c r="N57" s="314"/>
      <c r="O57" s="453"/>
      <c r="P57" s="453" t="s">
        <v>98</v>
      </c>
      <c r="Q57" s="453" t="s">
        <v>2214</v>
      </c>
      <c r="R57" s="453" t="s">
        <v>36</v>
      </c>
      <c r="S57" s="453" t="s">
        <v>246</v>
      </c>
      <c r="T57" s="453" t="s">
        <v>2213</v>
      </c>
      <c r="U57" s="453" t="s">
        <v>37</v>
      </c>
      <c r="V57" s="453">
        <f t="shared" si="2"/>
        <v>30</v>
      </c>
      <c r="W57" s="314">
        <v>30</v>
      </c>
      <c r="X57" s="314"/>
      <c r="Y57" s="453" t="s">
        <v>99</v>
      </c>
      <c r="Z57" s="202"/>
      <c r="AA57"/>
      <c r="AB57"/>
      <c r="AC57"/>
      <c r="AD57"/>
      <c r="AE57"/>
      <c r="AF57"/>
      <c r="AG57"/>
    </row>
    <row r="58" spans="1:33" ht="50.1" customHeight="1">
      <c r="A58" s="125">
        <v>54</v>
      </c>
      <c r="B58" s="125" t="s">
        <v>1306</v>
      </c>
      <c r="C58" s="125" t="s">
        <v>2197</v>
      </c>
      <c r="D58" s="453" t="s">
        <v>2212</v>
      </c>
      <c r="E58" s="453" t="s">
        <v>1527</v>
      </c>
      <c r="F58" s="455" t="s">
        <v>2211</v>
      </c>
      <c r="G58" s="453" t="s">
        <v>2210</v>
      </c>
      <c r="H58" s="453" t="s">
        <v>2209</v>
      </c>
      <c r="I58" s="314">
        <f t="shared" si="3"/>
        <v>135</v>
      </c>
      <c r="J58" s="314">
        <v>0</v>
      </c>
      <c r="K58" s="314">
        <v>15</v>
      </c>
      <c r="L58" s="314">
        <v>120</v>
      </c>
      <c r="M58" s="314">
        <v>0</v>
      </c>
      <c r="N58" s="314"/>
      <c r="O58" s="453"/>
      <c r="P58" s="453" t="s">
        <v>98</v>
      </c>
      <c r="Q58" s="453" t="s">
        <v>2208</v>
      </c>
      <c r="R58" s="453" t="s">
        <v>36</v>
      </c>
      <c r="S58" s="453" t="s">
        <v>42</v>
      </c>
      <c r="T58" s="453" t="s">
        <v>2203</v>
      </c>
      <c r="U58" s="453" t="s">
        <v>37</v>
      </c>
      <c r="V58" s="453">
        <f t="shared" si="2"/>
        <v>35</v>
      </c>
      <c r="W58" s="314">
        <v>35</v>
      </c>
      <c r="X58" s="314"/>
      <c r="Y58" s="453" t="s">
        <v>240</v>
      </c>
      <c r="Z58" s="137" t="s">
        <v>1148</v>
      </c>
      <c r="AA58"/>
      <c r="AB58"/>
      <c r="AC58"/>
      <c r="AD58"/>
      <c r="AE58"/>
      <c r="AF58"/>
      <c r="AG58"/>
    </row>
    <row r="59" spans="1:33" ht="50.1" customHeight="1">
      <c r="A59" s="125">
        <v>55</v>
      </c>
      <c r="B59" s="125" t="s">
        <v>1306</v>
      </c>
      <c r="C59" s="125" t="s">
        <v>2197</v>
      </c>
      <c r="D59" s="453" t="s">
        <v>2207</v>
      </c>
      <c r="E59" s="453" t="s">
        <v>2206</v>
      </c>
      <c r="F59" s="455" t="s">
        <v>2205</v>
      </c>
      <c r="G59" s="453" t="s">
        <v>2204</v>
      </c>
      <c r="H59" s="453" t="s">
        <v>480</v>
      </c>
      <c r="I59" s="314">
        <f t="shared" si="3"/>
        <v>396</v>
      </c>
      <c r="J59" s="314">
        <v>0</v>
      </c>
      <c r="K59" s="314">
        <v>0</v>
      </c>
      <c r="L59" s="314">
        <v>396</v>
      </c>
      <c r="M59" s="314">
        <v>0</v>
      </c>
      <c r="N59" s="314"/>
      <c r="O59" s="453"/>
      <c r="P59" s="453" t="s">
        <v>5</v>
      </c>
      <c r="Q59" s="453" t="s">
        <v>599</v>
      </c>
      <c r="R59" s="453" t="s">
        <v>36</v>
      </c>
      <c r="S59" s="453" t="s">
        <v>42</v>
      </c>
      <c r="T59" s="453" t="s">
        <v>2203</v>
      </c>
      <c r="U59" s="453" t="s">
        <v>37</v>
      </c>
      <c r="V59" s="453">
        <f t="shared" si="2"/>
        <v>1260</v>
      </c>
      <c r="W59" s="314">
        <v>1260</v>
      </c>
      <c r="X59" s="314"/>
      <c r="Y59" s="453" t="s">
        <v>812</v>
      </c>
      <c r="Z59" s="137" t="s">
        <v>1148</v>
      </c>
      <c r="AA59"/>
      <c r="AB59"/>
      <c r="AC59"/>
      <c r="AD59"/>
      <c r="AE59"/>
      <c r="AF59"/>
      <c r="AG59"/>
    </row>
    <row r="60" spans="1:33" ht="50.1" customHeight="1">
      <c r="A60" s="125">
        <v>56</v>
      </c>
      <c r="B60" s="125" t="s">
        <v>1306</v>
      </c>
      <c r="C60" s="125" t="s">
        <v>2197</v>
      </c>
      <c r="D60" s="453" t="s">
        <v>2202</v>
      </c>
      <c r="E60" s="453" t="s">
        <v>886</v>
      </c>
      <c r="F60" s="455" t="s">
        <v>2201</v>
      </c>
      <c r="G60" s="453" t="s">
        <v>2200</v>
      </c>
      <c r="H60" s="453" t="s">
        <v>2199</v>
      </c>
      <c r="I60" s="314">
        <f t="shared" si="3"/>
        <v>140</v>
      </c>
      <c r="J60" s="314">
        <v>0</v>
      </c>
      <c r="K60" s="314">
        <v>8</v>
      </c>
      <c r="L60" s="314">
        <v>132</v>
      </c>
      <c r="M60" s="314">
        <v>0</v>
      </c>
      <c r="N60" s="314"/>
      <c r="O60" s="453"/>
      <c r="P60" s="453" t="s">
        <v>7</v>
      </c>
      <c r="Q60" s="453" t="s">
        <v>2198</v>
      </c>
      <c r="R60" s="453" t="s">
        <v>36</v>
      </c>
      <c r="S60" s="453" t="s">
        <v>246</v>
      </c>
      <c r="T60" s="453" t="s">
        <v>49</v>
      </c>
      <c r="U60" s="453" t="s">
        <v>37</v>
      </c>
      <c r="V60" s="453">
        <f t="shared" si="2"/>
        <v>5</v>
      </c>
      <c r="W60" s="314">
        <v>5</v>
      </c>
      <c r="X60" s="314"/>
      <c r="Y60" s="453" t="s">
        <v>812</v>
      </c>
      <c r="Z60" s="137" t="s">
        <v>1148</v>
      </c>
    </row>
    <row r="61" spans="1:33" customFormat="1" ht="50.1" customHeight="1">
      <c r="A61" s="126">
        <v>57</v>
      </c>
      <c r="B61" s="126" t="s">
        <v>1306</v>
      </c>
      <c r="C61" s="126" t="s">
        <v>2197</v>
      </c>
      <c r="D61" s="454" t="s">
        <v>2196</v>
      </c>
      <c r="E61" s="453" t="s">
        <v>54</v>
      </c>
      <c r="F61" s="455" t="s">
        <v>2195</v>
      </c>
      <c r="G61" s="453" t="s">
        <v>2194</v>
      </c>
      <c r="H61" s="454" t="s">
        <v>480</v>
      </c>
      <c r="I61" s="145">
        <f t="shared" si="3"/>
        <v>120</v>
      </c>
      <c r="J61" s="145">
        <v>0</v>
      </c>
      <c r="K61" s="145">
        <v>0</v>
      </c>
      <c r="L61" s="145">
        <v>120</v>
      </c>
      <c r="M61" s="145">
        <v>0</v>
      </c>
      <c r="N61" s="145"/>
      <c r="O61" s="454"/>
      <c r="P61" s="454" t="s">
        <v>6</v>
      </c>
      <c r="Q61" s="454" t="s">
        <v>2193</v>
      </c>
      <c r="R61" s="454" t="s">
        <v>36</v>
      </c>
      <c r="S61" s="454" t="s">
        <v>42</v>
      </c>
      <c r="T61" s="454" t="s">
        <v>49</v>
      </c>
      <c r="U61" s="454" t="s">
        <v>37</v>
      </c>
      <c r="V61" s="454">
        <f t="shared" si="2"/>
        <v>5</v>
      </c>
      <c r="W61" s="145">
        <v>5</v>
      </c>
      <c r="X61" s="145"/>
      <c r="Y61" s="454" t="s">
        <v>507</v>
      </c>
      <c r="Z61" s="137" t="s">
        <v>1148</v>
      </c>
    </row>
    <row r="62" spans="1:33" ht="50.1" customHeight="1">
      <c r="A62" s="125">
        <v>58</v>
      </c>
      <c r="B62" s="125" t="s">
        <v>1306</v>
      </c>
      <c r="C62" s="125" t="s">
        <v>1452</v>
      </c>
      <c r="D62" s="453" t="s">
        <v>2192</v>
      </c>
      <c r="E62" s="453" t="s">
        <v>2191</v>
      </c>
      <c r="F62" s="455" t="s">
        <v>2190</v>
      </c>
      <c r="G62" s="453" t="s">
        <v>2189</v>
      </c>
      <c r="H62" s="453" t="s">
        <v>2188</v>
      </c>
      <c r="I62" s="314">
        <f t="shared" si="3"/>
        <v>6100</v>
      </c>
      <c r="J62" s="314">
        <v>0</v>
      </c>
      <c r="K62" s="314">
        <v>0</v>
      </c>
      <c r="L62" s="314">
        <v>6100</v>
      </c>
      <c r="M62" s="314">
        <v>0</v>
      </c>
      <c r="N62" s="314"/>
      <c r="O62" s="453"/>
      <c r="P62" s="453" t="s">
        <v>98</v>
      </c>
      <c r="Q62" s="453" t="s">
        <v>2187</v>
      </c>
      <c r="R62" s="453" t="s">
        <v>2186</v>
      </c>
      <c r="S62" s="453" t="s">
        <v>665</v>
      </c>
      <c r="T62" s="453" t="s">
        <v>49</v>
      </c>
      <c r="U62" s="453" t="s">
        <v>37</v>
      </c>
      <c r="V62" s="453"/>
      <c r="W62" s="314"/>
      <c r="X62" s="314"/>
      <c r="Y62" s="453" t="s">
        <v>2185</v>
      </c>
      <c r="Z62" s="137" t="s">
        <v>2742</v>
      </c>
      <c r="AA62"/>
      <c r="AB62"/>
      <c r="AC62"/>
      <c r="AD62"/>
      <c r="AE62"/>
      <c r="AF62"/>
      <c r="AG62"/>
    </row>
    <row r="63" spans="1:33" ht="50.1" customHeight="1">
      <c r="A63" s="125">
        <v>59</v>
      </c>
      <c r="B63" s="125" t="s">
        <v>1306</v>
      </c>
      <c r="C63" s="125" t="s">
        <v>1452</v>
      </c>
      <c r="D63" s="453" t="s">
        <v>2184</v>
      </c>
      <c r="E63" s="453" t="s">
        <v>2183</v>
      </c>
      <c r="F63" s="455" t="s">
        <v>2182</v>
      </c>
      <c r="G63" s="453" t="s">
        <v>2181</v>
      </c>
      <c r="H63" s="453" t="s">
        <v>2013</v>
      </c>
      <c r="I63" s="314">
        <f t="shared" si="3"/>
        <v>25</v>
      </c>
      <c r="J63" s="314">
        <v>0</v>
      </c>
      <c r="K63" s="314">
        <v>0</v>
      </c>
      <c r="L63" s="314">
        <v>20</v>
      </c>
      <c r="M63" s="314">
        <v>5</v>
      </c>
      <c r="N63" s="314"/>
      <c r="O63" s="453"/>
      <c r="P63" s="453" t="s">
        <v>7</v>
      </c>
      <c r="Q63" s="453" t="s">
        <v>2180</v>
      </c>
      <c r="R63" s="453" t="s">
        <v>36</v>
      </c>
      <c r="S63" s="453" t="s">
        <v>246</v>
      </c>
      <c r="T63" s="453" t="s">
        <v>49</v>
      </c>
      <c r="U63" s="453" t="s">
        <v>38</v>
      </c>
      <c r="V63" s="453"/>
      <c r="W63" s="315"/>
      <c r="X63" s="315"/>
      <c r="Y63" s="453" t="s">
        <v>99</v>
      </c>
      <c r="Z63" s="202" t="s">
        <v>6118</v>
      </c>
      <c r="AA63"/>
      <c r="AB63"/>
      <c r="AC63"/>
      <c r="AD63"/>
      <c r="AE63"/>
      <c r="AF63"/>
      <c r="AG63"/>
    </row>
    <row r="64" spans="1:33" ht="50.1" customHeight="1">
      <c r="A64" s="125">
        <v>60</v>
      </c>
      <c r="B64" s="125" t="s">
        <v>1306</v>
      </c>
      <c r="C64" s="125" t="s">
        <v>1452</v>
      </c>
      <c r="D64" s="453" t="s">
        <v>2179</v>
      </c>
      <c r="E64" s="453" t="s">
        <v>2178</v>
      </c>
      <c r="F64" s="455" t="s">
        <v>2177</v>
      </c>
      <c r="G64" s="453" t="s">
        <v>2176</v>
      </c>
      <c r="H64" s="453" t="s">
        <v>1638</v>
      </c>
      <c r="I64" s="314">
        <f t="shared" si="3"/>
        <v>50</v>
      </c>
      <c r="J64" s="314">
        <v>0</v>
      </c>
      <c r="K64" s="314">
        <v>0</v>
      </c>
      <c r="L64" s="314">
        <v>30</v>
      </c>
      <c r="M64" s="314">
        <v>20</v>
      </c>
      <c r="N64" s="314"/>
      <c r="O64" s="453"/>
      <c r="P64" s="454" t="s">
        <v>31</v>
      </c>
      <c r="Q64" s="454" t="s">
        <v>2175</v>
      </c>
      <c r="R64" s="454" t="s">
        <v>36</v>
      </c>
      <c r="S64" s="454" t="s">
        <v>68</v>
      </c>
      <c r="T64" s="454" t="s">
        <v>49</v>
      </c>
      <c r="U64" s="454" t="s">
        <v>38</v>
      </c>
      <c r="V64" s="454">
        <f>SUM(W64:X64)</f>
        <v>2</v>
      </c>
      <c r="W64" s="218">
        <v>2</v>
      </c>
      <c r="X64" s="218"/>
      <c r="Y64" s="454" t="s">
        <v>64</v>
      </c>
      <c r="Z64" s="202" t="s">
        <v>1148</v>
      </c>
      <c r="AA64"/>
      <c r="AB64"/>
      <c r="AC64"/>
      <c r="AD64"/>
      <c r="AE64"/>
      <c r="AF64"/>
      <c r="AG64"/>
    </row>
    <row r="65" spans="1:33" ht="50.1" customHeight="1">
      <c r="A65" s="125">
        <v>61</v>
      </c>
      <c r="B65" s="125" t="s">
        <v>1306</v>
      </c>
      <c r="C65" s="125" t="s">
        <v>1452</v>
      </c>
      <c r="D65" s="453" t="s">
        <v>2174</v>
      </c>
      <c r="E65" s="453" t="s">
        <v>2173</v>
      </c>
      <c r="F65" s="455" t="s">
        <v>2172</v>
      </c>
      <c r="G65" s="453" t="s">
        <v>2711</v>
      </c>
      <c r="H65" s="453" t="s">
        <v>2013</v>
      </c>
      <c r="I65" s="314">
        <f t="shared" si="3"/>
        <v>13</v>
      </c>
      <c r="J65" s="314">
        <v>0</v>
      </c>
      <c r="K65" s="314">
        <v>0</v>
      </c>
      <c r="L65" s="314">
        <v>10</v>
      </c>
      <c r="M65" s="314">
        <v>3</v>
      </c>
      <c r="N65" s="314"/>
      <c r="O65" s="453"/>
      <c r="P65" s="453" t="s">
        <v>5</v>
      </c>
      <c r="Q65" s="453" t="s">
        <v>2171</v>
      </c>
      <c r="R65" s="453" t="s">
        <v>36</v>
      </c>
      <c r="S65" s="453" t="s">
        <v>68</v>
      </c>
      <c r="T65" s="453" t="s">
        <v>49</v>
      </c>
      <c r="U65" s="453" t="s">
        <v>38</v>
      </c>
      <c r="V65" s="453"/>
      <c r="W65" s="314"/>
      <c r="X65" s="314"/>
      <c r="Y65" s="453" t="s">
        <v>99</v>
      </c>
      <c r="Z65" s="137" t="s">
        <v>1148</v>
      </c>
      <c r="AA65"/>
      <c r="AB65"/>
      <c r="AC65"/>
      <c r="AD65"/>
      <c r="AE65"/>
      <c r="AF65"/>
      <c r="AG65"/>
    </row>
    <row r="66" spans="1:33" ht="50.1" customHeight="1">
      <c r="A66" s="125">
        <v>62</v>
      </c>
      <c r="B66" s="125" t="s">
        <v>1306</v>
      </c>
      <c r="C66" s="125" t="s">
        <v>1452</v>
      </c>
      <c r="D66" s="453" t="s">
        <v>2170</v>
      </c>
      <c r="E66" s="453" t="s">
        <v>2169</v>
      </c>
      <c r="F66" s="455" t="s">
        <v>2168</v>
      </c>
      <c r="G66" s="453" t="s">
        <v>2167</v>
      </c>
      <c r="H66" s="453" t="s">
        <v>2166</v>
      </c>
      <c r="I66" s="314">
        <f t="shared" si="3"/>
        <v>220</v>
      </c>
      <c r="J66" s="314">
        <v>0</v>
      </c>
      <c r="K66" s="314">
        <v>0</v>
      </c>
      <c r="L66" s="314">
        <v>220</v>
      </c>
      <c r="M66" s="314">
        <v>0</v>
      </c>
      <c r="N66" s="314"/>
      <c r="O66" s="453"/>
      <c r="P66" s="454" t="s">
        <v>7</v>
      </c>
      <c r="Q66" s="454" t="s">
        <v>2165</v>
      </c>
      <c r="R66" s="454" t="s">
        <v>36</v>
      </c>
      <c r="S66" s="454" t="s">
        <v>246</v>
      </c>
      <c r="T66" s="454" t="s">
        <v>1518</v>
      </c>
      <c r="U66" s="454" t="s">
        <v>37</v>
      </c>
      <c r="V66" s="454">
        <f>SUM(W66:X66)</f>
        <v>17</v>
      </c>
      <c r="W66" s="145">
        <v>17</v>
      </c>
      <c r="X66" s="145"/>
      <c r="Y66" s="454" t="s">
        <v>220</v>
      </c>
      <c r="Z66" s="202" t="s">
        <v>6061</v>
      </c>
      <c r="AA66"/>
      <c r="AB66"/>
      <c r="AC66"/>
      <c r="AD66"/>
      <c r="AE66"/>
      <c r="AF66"/>
      <c r="AG66"/>
    </row>
    <row r="67" spans="1:33" ht="50.1" customHeight="1">
      <c r="A67" s="327">
        <v>63</v>
      </c>
      <c r="B67" s="327" t="s">
        <v>1306</v>
      </c>
      <c r="C67" s="327" t="s">
        <v>1452</v>
      </c>
      <c r="D67" s="206" t="s">
        <v>2164</v>
      </c>
      <c r="E67" s="206" t="s">
        <v>1521</v>
      </c>
      <c r="F67" s="207" t="s">
        <v>2163</v>
      </c>
      <c r="G67" s="206" t="s">
        <v>2735</v>
      </c>
      <c r="H67" s="206" t="s">
        <v>1374</v>
      </c>
      <c r="I67" s="328">
        <f t="shared" si="3"/>
        <v>100</v>
      </c>
      <c r="J67" s="328">
        <v>0</v>
      </c>
      <c r="K67" s="328">
        <v>10</v>
      </c>
      <c r="L67" s="328">
        <v>50</v>
      </c>
      <c r="M67" s="328">
        <v>40</v>
      </c>
      <c r="N67" s="328"/>
      <c r="O67" s="206"/>
      <c r="P67" s="206" t="s">
        <v>6</v>
      </c>
      <c r="Q67" s="206" t="s">
        <v>2162</v>
      </c>
      <c r="R67" s="206" t="s">
        <v>36</v>
      </c>
      <c r="S67" s="206" t="s">
        <v>665</v>
      </c>
      <c r="T67" s="206" t="s">
        <v>49</v>
      </c>
      <c r="U67" s="206" t="s">
        <v>53</v>
      </c>
      <c r="V67" s="206">
        <f>SUM(W67:X67)</f>
        <v>70</v>
      </c>
      <c r="W67" s="328">
        <v>70</v>
      </c>
      <c r="X67" s="328"/>
      <c r="Y67" s="206" t="s">
        <v>220</v>
      </c>
      <c r="Z67" s="137" t="s">
        <v>1148</v>
      </c>
    </row>
    <row r="68" spans="1:33" ht="50.1" customHeight="1">
      <c r="A68" s="125">
        <v>64</v>
      </c>
      <c r="B68" s="125" t="s">
        <v>1306</v>
      </c>
      <c r="C68" s="125" t="s">
        <v>1452</v>
      </c>
      <c r="D68" s="453" t="s">
        <v>2161</v>
      </c>
      <c r="E68" s="453" t="s">
        <v>1427</v>
      </c>
      <c r="F68" s="455" t="s">
        <v>2160</v>
      </c>
      <c r="G68" s="453" t="s">
        <v>6028</v>
      </c>
      <c r="H68" s="453" t="s">
        <v>2159</v>
      </c>
      <c r="I68" s="314">
        <f t="shared" si="3"/>
        <v>84</v>
      </c>
      <c r="J68" s="314">
        <v>0</v>
      </c>
      <c r="K68" s="314">
        <v>0</v>
      </c>
      <c r="L68" s="314">
        <v>84</v>
      </c>
      <c r="M68" s="314">
        <v>0</v>
      </c>
      <c r="N68" s="314"/>
      <c r="O68" s="453"/>
      <c r="P68" s="453" t="s">
        <v>6</v>
      </c>
      <c r="Q68" s="453" t="s">
        <v>6</v>
      </c>
      <c r="R68" s="453" t="s">
        <v>36</v>
      </c>
      <c r="S68" s="453" t="s">
        <v>42</v>
      </c>
      <c r="T68" s="453" t="s">
        <v>49</v>
      </c>
      <c r="U68" s="453" t="s">
        <v>53</v>
      </c>
      <c r="V68" s="453"/>
      <c r="W68" s="314"/>
      <c r="X68" s="314"/>
      <c r="Y68" s="453" t="s">
        <v>2</v>
      </c>
      <c r="Z68" s="462" t="s">
        <v>6026</v>
      </c>
    </row>
    <row r="69" spans="1:33" ht="50.1" customHeight="1">
      <c r="A69" s="125">
        <v>65</v>
      </c>
      <c r="B69" s="125" t="s">
        <v>1306</v>
      </c>
      <c r="C69" s="125" t="s">
        <v>2130</v>
      </c>
      <c r="D69" s="453" t="s">
        <v>2158</v>
      </c>
      <c r="E69" s="453" t="s">
        <v>1409</v>
      </c>
      <c r="F69" s="455" t="s">
        <v>2157</v>
      </c>
      <c r="G69" s="453" t="s">
        <v>2135</v>
      </c>
      <c r="H69" s="453" t="s">
        <v>1465</v>
      </c>
      <c r="I69" s="315">
        <f t="shared" ref="I69:I99" si="4">SUM(J69:M69)</f>
        <v>155</v>
      </c>
      <c r="J69" s="315">
        <v>0</v>
      </c>
      <c r="K69" s="315">
        <v>0</v>
      </c>
      <c r="L69" s="314">
        <v>155</v>
      </c>
      <c r="M69" s="314">
        <v>0</v>
      </c>
      <c r="N69" s="314"/>
      <c r="O69" s="453"/>
      <c r="P69" s="453" t="s">
        <v>6</v>
      </c>
      <c r="Q69" s="453" t="s">
        <v>1419</v>
      </c>
      <c r="R69" s="453" t="s">
        <v>36</v>
      </c>
      <c r="S69" s="453" t="s">
        <v>55</v>
      </c>
      <c r="T69" s="453" t="s">
        <v>49</v>
      </c>
      <c r="U69" s="453" t="s">
        <v>38</v>
      </c>
      <c r="V69" s="453">
        <f t="shared" ref="V69:V98" si="5">SUM(W69:X69)</f>
        <v>41</v>
      </c>
      <c r="W69" s="314">
        <v>41</v>
      </c>
      <c r="X69" s="314"/>
      <c r="Y69" s="453" t="s">
        <v>59</v>
      </c>
      <c r="Z69" s="137" t="s">
        <v>1148</v>
      </c>
      <c r="AA69"/>
      <c r="AB69"/>
      <c r="AC69"/>
      <c r="AD69"/>
      <c r="AE69"/>
      <c r="AF69"/>
      <c r="AG69"/>
    </row>
    <row r="70" spans="1:33" ht="50.1" customHeight="1">
      <c r="A70" s="125">
        <v>66</v>
      </c>
      <c r="B70" s="125" t="s">
        <v>1306</v>
      </c>
      <c r="C70" s="125" t="s">
        <v>2130</v>
      </c>
      <c r="D70" s="453" t="s">
        <v>2156</v>
      </c>
      <c r="E70" s="453" t="s">
        <v>1409</v>
      </c>
      <c r="F70" s="455" t="s">
        <v>2155</v>
      </c>
      <c r="G70" s="453" t="s">
        <v>2154</v>
      </c>
      <c r="H70" s="453" t="s">
        <v>503</v>
      </c>
      <c r="I70" s="314">
        <f t="shared" si="4"/>
        <v>50</v>
      </c>
      <c r="J70" s="314">
        <v>0</v>
      </c>
      <c r="K70" s="314">
        <v>0</v>
      </c>
      <c r="L70" s="314">
        <v>50</v>
      </c>
      <c r="M70" s="314">
        <v>0</v>
      </c>
      <c r="N70" s="314"/>
      <c r="O70" s="453"/>
      <c r="P70" s="453" t="s">
        <v>6</v>
      </c>
      <c r="Q70" s="453" t="s">
        <v>2153</v>
      </c>
      <c r="R70" s="453" t="s">
        <v>36</v>
      </c>
      <c r="S70" s="453" t="s">
        <v>42</v>
      </c>
      <c r="T70" s="453" t="s">
        <v>49</v>
      </c>
      <c r="U70" s="453" t="s">
        <v>38</v>
      </c>
      <c r="V70" s="453">
        <f t="shared" si="5"/>
        <v>19</v>
      </c>
      <c r="W70" s="314">
        <v>19</v>
      </c>
      <c r="X70" s="314"/>
      <c r="Y70" s="453" t="s">
        <v>99</v>
      </c>
      <c r="Z70" s="137" t="s">
        <v>1148</v>
      </c>
      <c r="AA70"/>
      <c r="AB70"/>
      <c r="AC70"/>
      <c r="AD70"/>
      <c r="AE70"/>
      <c r="AF70"/>
      <c r="AG70"/>
    </row>
    <row r="71" spans="1:33" ht="50.1" customHeight="1">
      <c r="A71" s="125">
        <v>67</v>
      </c>
      <c r="B71" s="125" t="s">
        <v>1306</v>
      </c>
      <c r="C71" s="453" t="s">
        <v>2130</v>
      </c>
      <c r="D71" s="453" t="s">
        <v>2152</v>
      </c>
      <c r="E71" s="453" t="s">
        <v>1517</v>
      </c>
      <c r="F71" s="455" t="s">
        <v>2151</v>
      </c>
      <c r="G71" s="453" t="s">
        <v>2150</v>
      </c>
      <c r="H71" s="453" t="s">
        <v>480</v>
      </c>
      <c r="I71" s="314">
        <f t="shared" si="4"/>
        <v>450</v>
      </c>
      <c r="J71" s="316">
        <v>0</v>
      </c>
      <c r="K71" s="316">
        <v>0</v>
      </c>
      <c r="L71" s="316">
        <v>450</v>
      </c>
      <c r="M71" s="316">
        <v>0</v>
      </c>
      <c r="N71" s="316"/>
      <c r="O71" s="103"/>
      <c r="P71" s="127" t="s">
        <v>6</v>
      </c>
      <c r="Q71" s="454" t="s">
        <v>2149</v>
      </c>
      <c r="R71" s="454" t="s">
        <v>36</v>
      </c>
      <c r="S71" s="454" t="s">
        <v>42</v>
      </c>
      <c r="T71" s="454" t="s">
        <v>49</v>
      </c>
      <c r="U71" s="454" t="s">
        <v>38</v>
      </c>
      <c r="V71" s="454">
        <f t="shared" si="5"/>
        <v>99.5</v>
      </c>
      <c r="W71" s="145">
        <v>99.5</v>
      </c>
      <c r="X71" s="145"/>
      <c r="Y71" s="454" t="s">
        <v>2</v>
      </c>
      <c r="Z71" s="137" t="s">
        <v>1148</v>
      </c>
      <c r="AA71"/>
      <c r="AB71"/>
      <c r="AC71"/>
      <c r="AD71"/>
      <c r="AE71"/>
      <c r="AF71"/>
      <c r="AG71"/>
    </row>
    <row r="72" spans="1:33" ht="50.1" customHeight="1">
      <c r="A72" s="125">
        <v>68</v>
      </c>
      <c r="B72" s="125" t="s">
        <v>1306</v>
      </c>
      <c r="C72" s="125" t="s">
        <v>2130</v>
      </c>
      <c r="D72" s="453" t="s">
        <v>2148</v>
      </c>
      <c r="E72" s="453" t="s">
        <v>1466</v>
      </c>
      <c r="F72" s="455" t="s">
        <v>2147</v>
      </c>
      <c r="G72" s="453" t="s">
        <v>2146</v>
      </c>
      <c r="H72" s="453" t="s">
        <v>2145</v>
      </c>
      <c r="I72" s="314">
        <f t="shared" si="4"/>
        <v>100</v>
      </c>
      <c r="J72" s="314">
        <v>0</v>
      </c>
      <c r="K72" s="314">
        <v>0</v>
      </c>
      <c r="L72" s="314">
        <v>100</v>
      </c>
      <c r="M72" s="314">
        <v>0</v>
      </c>
      <c r="N72" s="314"/>
      <c r="O72" s="453"/>
      <c r="P72" s="454" t="s">
        <v>7</v>
      </c>
      <c r="Q72" s="454" t="s">
        <v>2144</v>
      </c>
      <c r="R72" s="454" t="s">
        <v>36</v>
      </c>
      <c r="S72" s="454" t="s">
        <v>1216</v>
      </c>
      <c r="T72" s="454" t="s">
        <v>49</v>
      </c>
      <c r="U72" s="454" t="s">
        <v>38</v>
      </c>
      <c r="V72" s="454">
        <f t="shared" si="5"/>
        <v>43</v>
      </c>
      <c r="W72" s="145">
        <v>43</v>
      </c>
      <c r="X72" s="145"/>
      <c r="Y72" s="454" t="s">
        <v>59</v>
      </c>
      <c r="Z72" s="202" t="s">
        <v>1148</v>
      </c>
      <c r="AA72"/>
      <c r="AB72"/>
      <c r="AC72"/>
      <c r="AD72"/>
      <c r="AE72"/>
      <c r="AF72"/>
      <c r="AG72"/>
    </row>
    <row r="73" spans="1:33" ht="50.1" customHeight="1">
      <c r="A73" s="125">
        <v>69</v>
      </c>
      <c r="B73" s="125" t="s">
        <v>1306</v>
      </c>
      <c r="C73" s="125" t="s">
        <v>2130</v>
      </c>
      <c r="D73" s="453" t="s">
        <v>2143</v>
      </c>
      <c r="E73" s="453" t="s">
        <v>1466</v>
      </c>
      <c r="F73" s="455" t="s">
        <v>2142</v>
      </c>
      <c r="G73" s="453" t="s">
        <v>2697</v>
      </c>
      <c r="H73" s="453" t="s">
        <v>1374</v>
      </c>
      <c r="I73" s="314">
        <f t="shared" si="4"/>
        <v>20</v>
      </c>
      <c r="J73" s="314">
        <v>0</v>
      </c>
      <c r="K73" s="314">
        <v>0</v>
      </c>
      <c r="L73" s="314">
        <v>20</v>
      </c>
      <c r="M73" s="314">
        <v>0</v>
      </c>
      <c r="N73" s="314"/>
      <c r="O73" s="453"/>
      <c r="P73" s="453" t="s">
        <v>6</v>
      </c>
      <c r="Q73" s="453" t="s">
        <v>2141</v>
      </c>
      <c r="R73" s="453" t="s">
        <v>36</v>
      </c>
      <c r="S73" s="453" t="s">
        <v>42</v>
      </c>
      <c r="T73" s="453" t="s">
        <v>49</v>
      </c>
      <c r="U73" s="453" t="s">
        <v>38</v>
      </c>
      <c r="V73" s="453">
        <f t="shared" si="5"/>
        <v>11</v>
      </c>
      <c r="W73" s="314">
        <v>11</v>
      </c>
      <c r="X73" s="314"/>
      <c r="Y73" s="453" t="s">
        <v>59</v>
      </c>
      <c r="Z73" s="137" t="s">
        <v>1148</v>
      </c>
      <c r="AA73"/>
      <c r="AB73"/>
      <c r="AC73"/>
      <c r="AD73"/>
      <c r="AE73"/>
      <c r="AF73"/>
      <c r="AG73"/>
    </row>
    <row r="74" spans="1:33" ht="50.1" customHeight="1">
      <c r="A74" s="125">
        <v>70</v>
      </c>
      <c r="B74" s="125" t="s">
        <v>1306</v>
      </c>
      <c r="C74" s="125" t="s">
        <v>2130</v>
      </c>
      <c r="D74" s="453" t="s">
        <v>2140</v>
      </c>
      <c r="E74" s="453" t="s">
        <v>886</v>
      </c>
      <c r="F74" s="455" t="s">
        <v>2139</v>
      </c>
      <c r="G74" s="453" t="s">
        <v>2734</v>
      </c>
      <c r="H74" s="137" t="s">
        <v>1148</v>
      </c>
      <c r="I74" s="314">
        <f t="shared" si="4"/>
        <v>217</v>
      </c>
      <c r="J74" s="314">
        <v>0</v>
      </c>
      <c r="K74" s="314">
        <v>0</v>
      </c>
      <c r="L74" s="314">
        <v>217</v>
      </c>
      <c r="M74" s="314">
        <v>0</v>
      </c>
      <c r="N74" s="314"/>
      <c r="O74" s="453"/>
      <c r="P74" s="453" t="s">
        <v>7</v>
      </c>
      <c r="Q74" s="453" t="s">
        <v>2138</v>
      </c>
      <c r="R74" s="453" t="s">
        <v>36</v>
      </c>
      <c r="S74" s="453" t="s">
        <v>42</v>
      </c>
      <c r="T74" s="453" t="s">
        <v>49</v>
      </c>
      <c r="U74" s="453" t="s">
        <v>38</v>
      </c>
      <c r="V74" s="453">
        <f t="shared" si="5"/>
        <v>125.5</v>
      </c>
      <c r="W74" s="314">
        <v>124</v>
      </c>
      <c r="X74" s="314">
        <v>1.5</v>
      </c>
      <c r="Y74" s="453" t="s">
        <v>99</v>
      </c>
      <c r="Z74" s="137" t="s">
        <v>1148</v>
      </c>
    </row>
    <row r="75" spans="1:33" ht="50.1" customHeight="1">
      <c r="A75" s="125">
        <v>71</v>
      </c>
      <c r="B75" s="125" t="s">
        <v>1306</v>
      </c>
      <c r="C75" s="125" t="s">
        <v>2130</v>
      </c>
      <c r="D75" s="453" t="s">
        <v>2137</v>
      </c>
      <c r="E75" s="453" t="s">
        <v>1427</v>
      </c>
      <c r="F75" s="455" t="s">
        <v>2136</v>
      </c>
      <c r="G75" s="453" t="s">
        <v>2135</v>
      </c>
      <c r="H75" s="453" t="s">
        <v>2134</v>
      </c>
      <c r="I75" s="314">
        <f t="shared" si="4"/>
        <v>160</v>
      </c>
      <c r="J75" s="314">
        <v>0</v>
      </c>
      <c r="K75" s="314">
        <v>0</v>
      </c>
      <c r="L75" s="314">
        <v>160</v>
      </c>
      <c r="M75" s="314">
        <v>0</v>
      </c>
      <c r="N75" s="314"/>
      <c r="O75" s="453"/>
      <c r="P75" s="453" t="s">
        <v>7</v>
      </c>
      <c r="Q75" s="453" t="s">
        <v>1539</v>
      </c>
      <c r="R75" s="453" t="s">
        <v>885</v>
      </c>
      <c r="S75" s="453" t="s">
        <v>55</v>
      </c>
      <c r="T75" s="453" t="s">
        <v>49</v>
      </c>
      <c r="U75" s="453" t="s">
        <v>38</v>
      </c>
      <c r="V75" s="453">
        <f t="shared" si="5"/>
        <v>1.5</v>
      </c>
      <c r="W75" s="314">
        <v>1.5</v>
      </c>
      <c r="X75" s="314"/>
      <c r="Y75" s="453" t="s">
        <v>64</v>
      </c>
      <c r="Z75" s="137" t="s">
        <v>6026</v>
      </c>
    </row>
    <row r="76" spans="1:33" ht="50.1" customHeight="1">
      <c r="A76" s="125">
        <v>72</v>
      </c>
      <c r="B76" s="125" t="s">
        <v>1306</v>
      </c>
      <c r="C76" s="125" t="s">
        <v>2130</v>
      </c>
      <c r="D76" s="453" t="s">
        <v>2133</v>
      </c>
      <c r="E76" s="453" t="s">
        <v>1439</v>
      </c>
      <c r="F76" s="455" t="s">
        <v>2132</v>
      </c>
      <c r="G76" s="453" t="s">
        <v>6123</v>
      </c>
      <c r="H76" s="453" t="s">
        <v>503</v>
      </c>
      <c r="I76" s="314">
        <f t="shared" si="4"/>
        <v>47</v>
      </c>
      <c r="J76" s="314">
        <v>0</v>
      </c>
      <c r="K76" s="314">
        <v>0</v>
      </c>
      <c r="L76" s="314">
        <v>47</v>
      </c>
      <c r="M76" s="314">
        <v>0</v>
      </c>
      <c r="N76" s="314"/>
      <c r="O76" s="453"/>
      <c r="P76" s="114" t="s">
        <v>6</v>
      </c>
      <c r="Q76" s="114" t="s">
        <v>2131</v>
      </c>
      <c r="R76" s="114" t="s">
        <v>36</v>
      </c>
      <c r="S76" s="114" t="s">
        <v>42</v>
      </c>
      <c r="T76" s="114" t="s">
        <v>49</v>
      </c>
      <c r="U76" s="114" t="s">
        <v>38</v>
      </c>
      <c r="V76" s="114">
        <f t="shared" si="5"/>
        <v>15</v>
      </c>
      <c r="W76" s="219">
        <v>15</v>
      </c>
      <c r="X76" s="219"/>
      <c r="Y76" s="114" t="s">
        <v>59</v>
      </c>
      <c r="Z76" s="152" t="s">
        <v>6121</v>
      </c>
    </row>
    <row r="77" spans="1:33" ht="50.1" customHeight="1">
      <c r="A77" s="125">
        <v>73</v>
      </c>
      <c r="B77" s="125" t="s">
        <v>1306</v>
      </c>
      <c r="C77" s="125" t="s">
        <v>2130</v>
      </c>
      <c r="D77" s="453" t="s">
        <v>2129</v>
      </c>
      <c r="E77" s="453" t="s">
        <v>1542</v>
      </c>
      <c r="F77" s="455" t="s">
        <v>2128</v>
      </c>
      <c r="G77" s="453" t="s">
        <v>2127</v>
      </c>
      <c r="H77" s="453" t="s">
        <v>2126</v>
      </c>
      <c r="I77" s="314">
        <f t="shared" si="4"/>
        <v>20</v>
      </c>
      <c r="J77" s="314">
        <v>0</v>
      </c>
      <c r="K77" s="314">
        <v>0</v>
      </c>
      <c r="L77" s="314">
        <v>20</v>
      </c>
      <c r="M77" s="314">
        <v>0</v>
      </c>
      <c r="N77" s="314"/>
      <c r="O77" s="453"/>
      <c r="P77" s="454" t="s">
        <v>6</v>
      </c>
      <c r="Q77" s="454" t="s">
        <v>2125</v>
      </c>
      <c r="R77" s="454" t="s">
        <v>36</v>
      </c>
      <c r="S77" s="454" t="s">
        <v>1216</v>
      </c>
      <c r="T77" s="454" t="s">
        <v>49</v>
      </c>
      <c r="U77" s="454" t="s">
        <v>38</v>
      </c>
      <c r="V77" s="454">
        <f t="shared" si="5"/>
        <v>1.5</v>
      </c>
      <c r="W77" s="145">
        <v>1.5</v>
      </c>
      <c r="X77" s="145"/>
      <c r="Y77" s="454" t="s">
        <v>99</v>
      </c>
      <c r="Z77" s="481"/>
    </row>
    <row r="78" spans="1:33" ht="50.1" customHeight="1">
      <c r="A78" s="125">
        <v>74</v>
      </c>
      <c r="B78" s="317" t="s">
        <v>1306</v>
      </c>
      <c r="C78" s="317" t="s">
        <v>2110</v>
      </c>
      <c r="D78" s="318" t="s">
        <v>2124</v>
      </c>
      <c r="E78" s="222" t="s">
        <v>1215</v>
      </c>
      <c r="F78" s="223" t="s">
        <v>2123</v>
      </c>
      <c r="G78" s="222" t="s">
        <v>2122</v>
      </c>
      <c r="H78" s="319" t="s">
        <v>1508</v>
      </c>
      <c r="I78" s="320">
        <f t="shared" si="4"/>
        <v>520</v>
      </c>
      <c r="J78" s="320">
        <v>0</v>
      </c>
      <c r="K78" s="320">
        <v>0</v>
      </c>
      <c r="L78" s="320">
        <v>520</v>
      </c>
      <c r="M78" s="320">
        <v>0</v>
      </c>
      <c r="N78" s="320"/>
      <c r="O78" s="321"/>
      <c r="P78" s="321" t="s">
        <v>6</v>
      </c>
      <c r="Q78" s="317" t="s">
        <v>2121</v>
      </c>
      <c r="R78" s="319" t="s">
        <v>36</v>
      </c>
      <c r="S78" s="317" t="s">
        <v>42</v>
      </c>
      <c r="T78" s="317" t="s">
        <v>107</v>
      </c>
      <c r="U78" s="319" t="s">
        <v>38</v>
      </c>
      <c r="V78" s="317">
        <f t="shared" si="5"/>
        <v>323</v>
      </c>
      <c r="W78" s="322">
        <v>321</v>
      </c>
      <c r="X78" s="320">
        <v>2</v>
      </c>
      <c r="Y78" s="317" t="s">
        <v>64</v>
      </c>
      <c r="Z78" s="323" t="s">
        <v>1148</v>
      </c>
      <c r="AA78"/>
      <c r="AB78"/>
      <c r="AC78"/>
      <c r="AD78"/>
      <c r="AE78"/>
      <c r="AF78"/>
      <c r="AG78"/>
    </row>
    <row r="79" spans="1:33" ht="80.25" customHeight="1">
      <c r="A79" s="125">
        <v>75</v>
      </c>
      <c r="B79" s="125" t="s">
        <v>1306</v>
      </c>
      <c r="C79" s="125" t="s">
        <v>2110</v>
      </c>
      <c r="D79" s="125" t="s">
        <v>2120</v>
      </c>
      <c r="E79" s="453" t="s">
        <v>2119</v>
      </c>
      <c r="F79" s="455" t="s">
        <v>2118</v>
      </c>
      <c r="G79" s="453" t="s">
        <v>2117</v>
      </c>
      <c r="H79" s="453" t="s">
        <v>581</v>
      </c>
      <c r="I79" s="324">
        <f t="shared" si="4"/>
        <v>160</v>
      </c>
      <c r="J79" s="324">
        <v>0</v>
      </c>
      <c r="K79" s="324">
        <v>0</v>
      </c>
      <c r="L79" s="324">
        <v>160</v>
      </c>
      <c r="M79" s="324">
        <v>0</v>
      </c>
      <c r="N79" s="324"/>
      <c r="O79" s="154"/>
      <c r="P79" s="149" t="s">
        <v>5</v>
      </c>
      <c r="Q79" s="147" t="s">
        <v>2116</v>
      </c>
      <c r="R79" s="114" t="s">
        <v>36</v>
      </c>
      <c r="S79" s="221" t="s">
        <v>246</v>
      </c>
      <c r="T79" s="221" t="s">
        <v>107</v>
      </c>
      <c r="U79" s="147" t="s">
        <v>38</v>
      </c>
      <c r="V79" s="147">
        <f t="shared" si="5"/>
        <v>228</v>
      </c>
      <c r="W79" s="226">
        <v>228</v>
      </c>
      <c r="X79" s="225"/>
      <c r="Y79" s="224" t="s">
        <v>99</v>
      </c>
      <c r="Z79" s="137" t="s">
        <v>1148</v>
      </c>
      <c r="AA79"/>
      <c r="AB79"/>
      <c r="AC79"/>
      <c r="AD79"/>
      <c r="AE79"/>
      <c r="AF79"/>
      <c r="AG79"/>
    </row>
    <row r="80" spans="1:33" ht="50.1" customHeight="1">
      <c r="A80" s="125">
        <v>76</v>
      </c>
      <c r="B80" s="125" t="s">
        <v>1306</v>
      </c>
      <c r="C80" s="125" t="s">
        <v>2110</v>
      </c>
      <c r="D80" s="453" t="s">
        <v>2115</v>
      </c>
      <c r="E80" s="453" t="s">
        <v>2114</v>
      </c>
      <c r="F80" s="455" t="s">
        <v>2113</v>
      </c>
      <c r="G80" s="453" t="s">
        <v>2112</v>
      </c>
      <c r="H80" s="453" t="s">
        <v>581</v>
      </c>
      <c r="I80" s="324">
        <f t="shared" si="4"/>
        <v>450</v>
      </c>
      <c r="J80" s="324">
        <v>0</v>
      </c>
      <c r="K80" s="324">
        <v>15</v>
      </c>
      <c r="L80" s="324">
        <v>435</v>
      </c>
      <c r="M80" s="324">
        <v>0</v>
      </c>
      <c r="N80" s="324"/>
      <c r="O80" s="154"/>
      <c r="P80" s="154" t="s">
        <v>5</v>
      </c>
      <c r="Q80" s="125" t="s">
        <v>2111</v>
      </c>
      <c r="R80" s="453" t="s">
        <v>36</v>
      </c>
      <c r="S80" s="125" t="s">
        <v>464</v>
      </c>
      <c r="T80" s="125" t="s">
        <v>107</v>
      </c>
      <c r="U80" s="453" t="s">
        <v>38</v>
      </c>
      <c r="V80" s="125">
        <f t="shared" si="5"/>
        <v>270</v>
      </c>
      <c r="W80" s="322">
        <v>269</v>
      </c>
      <c r="X80" s="320">
        <v>1</v>
      </c>
      <c r="Y80" s="317" t="s">
        <v>812</v>
      </c>
      <c r="Z80" s="137" t="s">
        <v>1148</v>
      </c>
      <c r="AA80"/>
      <c r="AB80"/>
      <c r="AC80"/>
      <c r="AD80"/>
      <c r="AE80"/>
      <c r="AF80"/>
      <c r="AG80"/>
    </row>
    <row r="81" spans="1:33" ht="81">
      <c r="A81" s="125">
        <v>77</v>
      </c>
      <c r="B81" s="125" t="s">
        <v>1306</v>
      </c>
      <c r="C81" s="125" t="s">
        <v>2110</v>
      </c>
      <c r="D81" s="453" t="s">
        <v>2109</v>
      </c>
      <c r="E81" s="453" t="s">
        <v>2108</v>
      </c>
      <c r="F81" s="455" t="s">
        <v>2107</v>
      </c>
      <c r="G81" s="453" t="s">
        <v>2704</v>
      </c>
      <c r="H81" s="453" t="s">
        <v>278</v>
      </c>
      <c r="I81" s="324">
        <f t="shared" si="4"/>
        <v>190</v>
      </c>
      <c r="J81" s="324">
        <v>0</v>
      </c>
      <c r="K81" s="324">
        <v>0</v>
      </c>
      <c r="L81" s="324">
        <v>190</v>
      </c>
      <c r="M81" s="324">
        <v>0</v>
      </c>
      <c r="N81" s="324"/>
      <c r="O81" s="154"/>
      <c r="P81" s="149" t="s">
        <v>5</v>
      </c>
      <c r="Q81" s="147" t="s">
        <v>2106</v>
      </c>
      <c r="R81" s="114" t="s">
        <v>36</v>
      </c>
      <c r="S81" s="147" t="s">
        <v>2105</v>
      </c>
      <c r="T81" s="147" t="s">
        <v>107</v>
      </c>
      <c r="U81" s="147" t="s">
        <v>38</v>
      </c>
      <c r="V81" s="147">
        <f t="shared" si="5"/>
        <v>263</v>
      </c>
      <c r="W81" s="226">
        <v>263</v>
      </c>
      <c r="X81" s="225"/>
      <c r="Y81" s="224" t="s">
        <v>99</v>
      </c>
      <c r="Z81" s="152" t="s">
        <v>1148</v>
      </c>
      <c r="AA81"/>
      <c r="AB81"/>
      <c r="AC81"/>
      <c r="AD81"/>
      <c r="AE81"/>
      <c r="AF81"/>
      <c r="AG81"/>
    </row>
    <row r="82" spans="1:33" ht="50.1" hidden="1" customHeight="1">
      <c r="A82" s="125">
        <v>78</v>
      </c>
      <c r="B82" s="125" t="s">
        <v>1306</v>
      </c>
      <c r="C82" s="125" t="s">
        <v>2078</v>
      </c>
      <c r="D82" s="125" t="s">
        <v>2104</v>
      </c>
      <c r="E82" s="453" t="s">
        <v>2103</v>
      </c>
      <c r="F82" s="455" t="s">
        <v>2102</v>
      </c>
      <c r="G82" s="453" t="s">
        <v>2101</v>
      </c>
      <c r="H82" s="453" t="s">
        <v>1222</v>
      </c>
      <c r="I82" s="324">
        <f t="shared" si="4"/>
        <v>140</v>
      </c>
      <c r="J82" s="324">
        <v>0</v>
      </c>
      <c r="K82" s="324">
        <v>0</v>
      </c>
      <c r="L82" s="324">
        <v>100</v>
      </c>
      <c r="M82" s="324">
        <v>40</v>
      </c>
      <c r="N82" s="324"/>
      <c r="O82" s="154"/>
      <c r="P82" s="154" t="s">
        <v>6</v>
      </c>
      <c r="Q82" s="125" t="s">
        <v>1476</v>
      </c>
      <c r="R82" s="453" t="s">
        <v>36</v>
      </c>
      <c r="S82" s="125" t="s">
        <v>1277</v>
      </c>
      <c r="T82" s="125" t="s">
        <v>2100</v>
      </c>
      <c r="U82" s="453" t="s">
        <v>38</v>
      </c>
      <c r="V82" s="125">
        <f t="shared" si="5"/>
        <v>75</v>
      </c>
      <c r="W82" s="314">
        <v>70</v>
      </c>
      <c r="X82" s="324">
        <v>5</v>
      </c>
      <c r="Y82" s="125" t="s">
        <v>2</v>
      </c>
      <c r="Z82" s="141"/>
    </row>
    <row r="83" spans="1:33" ht="50.1" customHeight="1">
      <c r="A83" s="125">
        <v>79</v>
      </c>
      <c r="B83" s="125" t="s">
        <v>1306</v>
      </c>
      <c r="C83" s="125" t="s">
        <v>2078</v>
      </c>
      <c r="D83" s="453" t="s">
        <v>2099</v>
      </c>
      <c r="E83" s="453" t="s">
        <v>2098</v>
      </c>
      <c r="F83" s="455" t="s">
        <v>2097</v>
      </c>
      <c r="G83" s="453" t="s">
        <v>2093</v>
      </c>
      <c r="H83" s="453" t="s">
        <v>564</v>
      </c>
      <c r="I83" s="325">
        <f t="shared" si="4"/>
        <v>45</v>
      </c>
      <c r="J83" s="324">
        <v>0</v>
      </c>
      <c r="K83" s="324">
        <v>0</v>
      </c>
      <c r="L83" s="325">
        <v>45</v>
      </c>
      <c r="M83" s="324">
        <v>0</v>
      </c>
      <c r="N83" s="324"/>
      <c r="O83" s="154"/>
      <c r="P83" s="154" t="s">
        <v>7</v>
      </c>
      <c r="Q83" s="453" t="s">
        <v>2096</v>
      </c>
      <c r="R83" s="453" t="s">
        <v>36</v>
      </c>
      <c r="S83" s="453"/>
      <c r="T83" s="453" t="s">
        <v>1292</v>
      </c>
      <c r="U83" s="453" t="s">
        <v>38</v>
      </c>
      <c r="V83" s="453">
        <f t="shared" si="5"/>
        <v>50</v>
      </c>
      <c r="W83" s="314">
        <v>50</v>
      </c>
      <c r="X83" s="325"/>
      <c r="Y83" s="453" t="s">
        <v>64</v>
      </c>
      <c r="Z83" s="137" t="s">
        <v>1148</v>
      </c>
      <c r="AA83"/>
      <c r="AB83"/>
      <c r="AC83"/>
      <c r="AD83"/>
      <c r="AE83"/>
      <c r="AF83"/>
      <c r="AG83"/>
    </row>
    <row r="84" spans="1:33" ht="50.1" customHeight="1">
      <c r="A84" s="125">
        <v>80</v>
      </c>
      <c r="B84" s="125" t="s">
        <v>1306</v>
      </c>
      <c r="C84" s="125" t="s">
        <v>2078</v>
      </c>
      <c r="D84" s="125" t="s">
        <v>2095</v>
      </c>
      <c r="E84" s="453" t="s">
        <v>1420</v>
      </c>
      <c r="F84" s="455" t="s">
        <v>2094</v>
      </c>
      <c r="G84" s="453" t="s">
        <v>2093</v>
      </c>
      <c r="H84" s="453" t="s">
        <v>40</v>
      </c>
      <c r="I84" s="324">
        <f t="shared" si="4"/>
        <v>50</v>
      </c>
      <c r="J84" s="324">
        <v>0</v>
      </c>
      <c r="K84" s="324">
        <v>0</v>
      </c>
      <c r="L84" s="324">
        <v>50</v>
      </c>
      <c r="M84" s="324">
        <v>0</v>
      </c>
      <c r="N84" s="324"/>
      <c r="O84" s="154"/>
      <c r="P84" s="154" t="s">
        <v>46</v>
      </c>
      <c r="Q84" s="453" t="s">
        <v>599</v>
      </c>
      <c r="R84" s="453" t="s">
        <v>36</v>
      </c>
      <c r="S84" s="453"/>
      <c r="T84" s="453" t="s">
        <v>1292</v>
      </c>
      <c r="U84" s="453" t="s">
        <v>38</v>
      </c>
      <c r="V84" s="453">
        <f t="shared" si="5"/>
        <v>50</v>
      </c>
      <c r="W84" s="315">
        <v>50</v>
      </c>
      <c r="X84" s="325"/>
      <c r="Y84" s="453" t="s">
        <v>812</v>
      </c>
      <c r="Z84" s="137" t="s">
        <v>1148</v>
      </c>
      <c r="AA84"/>
      <c r="AB84"/>
      <c r="AC84"/>
      <c r="AD84"/>
      <c r="AE84"/>
      <c r="AF84"/>
      <c r="AG84"/>
    </row>
    <row r="85" spans="1:33" ht="50.1" customHeight="1">
      <c r="A85" s="125">
        <v>81</v>
      </c>
      <c r="B85" s="125" t="s">
        <v>1306</v>
      </c>
      <c r="C85" s="125" t="s">
        <v>2078</v>
      </c>
      <c r="D85" s="453" t="s">
        <v>1310</v>
      </c>
      <c r="E85" s="453" t="s">
        <v>2092</v>
      </c>
      <c r="F85" s="455" t="s">
        <v>2091</v>
      </c>
      <c r="G85" s="453" t="s">
        <v>2090</v>
      </c>
      <c r="H85" s="453" t="s">
        <v>117</v>
      </c>
      <c r="I85" s="324">
        <f t="shared" si="4"/>
        <v>120</v>
      </c>
      <c r="J85" s="324">
        <v>0</v>
      </c>
      <c r="K85" s="324">
        <v>0</v>
      </c>
      <c r="L85" s="324">
        <v>120</v>
      </c>
      <c r="M85" s="324">
        <v>0</v>
      </c>
      <c r="N85" s="324"/>
      <c r="O85" s="154"/>
      <c r="P85" s="154" t="s">
        <v>46</v>
      </c>
      <c r="Q85" s="453" t="s">
        <v>2089</v>
      </c>
      <c r="R85" s="453" t="s">
        <v>36</v>
      </c>
      <c r="S85" s="453" t="s">
        <v>2088</v>
      </c>
      <c r="T85" s="453" t="s">
        <v>1292</v>
      </c>
      <c r="U85" s="453" t="s">
        <v>37</v>
      </c>
      <c r="V85" s="453">
        <f t="shared" si="5"/>
        <v>200</v>
      </c>
      <c r="W85" s="314">
        <v>200</v>
      </c>
      <c r="X85" s="324"/>
      <c r="Y85" s="125" t="s">
        <v>2</v>
      </c>
      <c r="Z85" s="137" t="s">
        <v>1148</v>
      </c>
      <c r="AA85"/>
      <c r="AB85"/>
      <c r="AC85"/>
      <c r="AD85"/>
      <c r="AE85"/>
      <c r="AF85"/>
      <c r="AG85"/>
    </row>
    <row r="86" spans="1:33" ht="50.1" customHeight="1">
      <c r="A86" s="125">
        <v>82</v>
      </c>
      <c r="B86" s="125" t="s">
        <v>1306</v>
      </c>
      <c r="C86" s="125" t="s">
        <v>2078</v>
      </c>
      <c r="D86" s="125" t="s">
        <v>2087</v>
      </c>
      <c r="E86" s="453" t="s">
        <v>2086</v>
      </c>
      <c r="F86" s="455" t="s">
        <v>2085</v>
      </c>
      <c r="G86" s="453" t="s">
        <v>2084</v>
      </c>
      <c r="H86" s="453" t="s">
        <v>564</v>
      </c>
      <c r="I86" s="324">
        <f t="shared" si="4"/>
        <v>120</v>
      </c>
      <c r="J86" s="324">
        <v>0</v>
      </c>
      <c r="K86" s="324">
        <v>0</v>
      </c>
      <c r="L86" s="324">
        <v>120</v>
      </c>
      <c r="M86" s="324">
        <v>0</v>
      </c>
      <c r="N86" s="324"/>
      <c r="O86" s="154"/>
      <c r="P86" s="154" t="s">
        <v>7</v>
      </c>
      <c r="Q86" s="453" t="s">
        <v>2083</v>
      </c>
      <c r="R86" s="453" t="s">
        <v>36</v>
      </c>
      <c r="S86" s="453"/>
      <c r="T86" s="453" t="s">
        <v>1292</v>
      </c>
      <c r="U86" s="453" t="s">
        <v>37</v>
      </c>
      <c r="V86" s="453">
        <f t="shared" si="5"/>
        <v>10</v>
      </c>
      <c r="W86" s="314">
        <v>10</v>
      </c>
      <c r="X86" s="324"/>
      <c r="Y86" s="125" t="s">
        <v>812</v>
      </c>
      <c r="Z86" s="137" t="s">
        <v>1148</v>
      </c>
      <c r="AA86"/>
      <c r="AB86"/>
      <c r="AC86"/>
      <c r="AD86"/>
      <c r="AE86"/>
      <c r="AF86"/>
      <c r="AG86"/>
    </row>
    <row r="87" spans="1:33" ht="50.1" customHeight="1">
      <c r="A87" s="125">
        <v>83</v>
      </c>
      <c r="B87" s="125" t="s">
        <v>1306</v>
      </c>
      <c r="C87" s="125" t="s">
        <v>2078</v>
      </c>
      <c r="D87" s="453" t="s">
        <v>1311</v>
      </c>
      <c r="E87" s="453" t="s">
        <v>2082</v>
      </c>
      <c r="F87" s="65" t="s">
        <v>2081</v>
      </c>
      <c r="G87" s="453" t="s">
        <v>2080</v>
      </c>
      <c r="H87" s="453" t="s">
        <v>2079</v>
      </c>
      <c r="I87" s="324">
        <f t="shared" si="4"/>
        <v>2399</v>
      </c>
      <c r="J87" s="324">
        <v>59</v>
      </c>
      <c r="K87" s="324">
        <v>59</v>
      </c>
      <c r="L87" s="324">
        <v>2281</v>
      </c>
      <c r="M87" s="324">
        <v>0</v>
      </c>
      <c r="N87" s="324" t="s">
        <v>35</v>
      </c>
      <c r="O87" s="154" t="s">
        <v>156</v>
      </c>
      <c r="P87" s="154" t="s">
        <v>6</v>
      </c>
      <c r="Q87" s="453" t="s">
        <v>1312</v>
      </c>
      <c r="R87" s="453" t="s">
        <v>36</v>
      </c>
      <c r="S87" s="453" t="s">
        <v>42</v>
      </c>
      <c r="T87" s="453" t="s">
        <v>1292</v>
      </c>
      <c r="U87" s="453" t="s">
        <v>38</v>
      </c>
      <c r="V87" s="453">
        <f t="shared" si="5"/>
        <v>308</v>
      </c>
      <c r="W87" s="324">
        <v>308</v>
      </c>
      <c r="X87" s="324"/>
      <c r="Y87" s="125" t="s">
        <v>64</v>
      </c>
      <c r="Z87" s="202" t="s">
        <v>6062</v>
      </c>
      <c r="AA87"/>
      <c r="AB87"/>
      <c r="AC87"/>
      <c r="AD87"/>
      <c r="AE87"/>
      <c r="AF87"/>
      <c r="AG87"/>
    </row>
    <row r="88" spans="1:33" ht="50.1" customHeight="1">
      <c r="A88" s="125">
        <v>84</v>
      </c>
      <c r="B88" s="125" t="s">
        <v>1306</v>
      </c>
      <c r="C88" s="125" t="s">
        <v>2078</v>
      </c>
      <c r="D88" s="453" t="s">
        <v>2077</v>
      </c>
      <c r="E88" s="453" t="s">
        <v>2076</v>
      </c>
      <c r="F88" s="455" t="s">
        <v>2075</v>
      </c>
      <c r="G88" s="453" t="s">
        <v>2074</v>
      </c>
      <c r="H88" s="453" t="s">
        <v>2073</v>
      </c>
      <c r="I88" s="324">
        <f t="shared" si="4"/>
        <v>160</v>
      </c>
      <c r="J88" s="324">
        <v>0</v>
      </c>
      <c r="K88" s="324">
        <v>40</v>
      </c>
      <c r="L88" s="324">
        <v>120</v>
      </c>
      <c r="M88" s="324">
        <v>0</v>
      </c>
      <c r="N88" s="324"/>
      <c r="O88" s="154"/>
      <c r="P88" s="154" t="s">
        <v>7</v>
      </c>
      <c r="Q88" s="125" t="s">
        <v>2072</v>
      </c>
      <c r="R88" s="453" t="s">
        <v>36</v>
      </c>
      <c r="S88" s="125" t="s">
        <v>42</v>
      </c>
      <c r="T88" s="125" t="s">
        <v>1292</v>
      </c>
      <c r="U88" s="453" t="s">
        <v>37</v>
      </c>
      <c r="V88" s="125">
        <f t="shared" si="5"/>
        <v>40</v>
      </c>
      <c r="W88" s="322">
        <v>40</v>
      </c>
      <c r="X88" s="320"/>
      <c r="Y88" s="317" t="s">
        <v>2</v>
      </c>
      <c r="Z88" s="137" t="s">
        <v>1148</v>
      </c>
    </row>
    <row r="89" spans="1:33" ht="50.1" customHeight="1">
      <c r="A89" s="125">
        <v>85</v>
      </c>
      <c r="B89" s="125" t="s">
        <v>1306</v>
      </c>
      <c r="C89" s="125" t="s">
        <v>2065</v>
      </c>
      <c r="D89" s="453" t="s">
        <v>2071</v>
      </c>
      <c r="E89" s="453" t="s">
        <v>2070</v>
      </c>
      <c r="F89" s="455" t="s">
        <v>2069</v>
      </c>
      <c r="G89" s="453" t="s">
        <v>2068</v>
      </c>
      <c r="H89" s="453" t="s">
        <v>1509</v>
      </c>
      <c r="I89" s="324">
        <f t="shared" si="4"/>
        <v>299</v>
      </c>
      <c r="J89" s="324">
        <v>0</v>
      </c>
      <c r="K89" s="324">
        <v>0</v>
      </c>
      <c r="L89" s="324">
        <v>299</v>
      </c>
      <c r="M89" s="324">
        <v>0</v>
      </c>
      <c r="N89" s="324"/>
      <c r="O89" s="154"/>
      <c r="P89" s="154" t="s">
        <v>7</v>
      </c>
      <c r="Q89" s="125" t="s">
        <v>2067</v>
      </c>
      <c r="R89" s="453" t="s">
        <v>36</v>
      </c>
      <c r="S89" s="125" t="s">
        <v>42</v>
      </c>
      <c r="T89" s="125" t="s">
        <v>2066</v>
      </c>
      <c r="U89" s="125" t="s">
        <v>1435</v>
      </c>
      <c r="V89" s="125">
        <f t="shared" si="5"/>
        <v>41.9</v>
      </c>
      <c r="W89" s="322">
        <v>41.9</v>
      </c>
      <c r="X89" s="320"/>
      <c r="Y89" s="319" t="s">
        <v>64</v>
      </c>
      <c r="Z89" s="137" t="s">
        <v>1148</v>
      </c>
      <c r="AA89"/>
      <c r="AB89"/>
      <c r="AC89"/>
      <c r="AD89"/>
      <c r="AE89"/>
      <c r="AF89"/>
      <c r="AG89"/>
    </row>
    <row r="90" spans="1:33" ht="50.1" customHeight="1">
      <c r="A90" s="125">
        <v>86</v>
      </c>
      <c r="B90" s="125" t="s">
        <v>1306</v>
      </c>
      <c r="C90" s="125" t="s">
        <v>2065</v>
      </c>
      <c r="D90" s="125" t="s">
        <v>2064</v>
      </c>
      <c r="E90" s="453" t="s">
        <v>2063</v>
      </c>
      <c r="F90" s="455" t="s">
        <v>2062</v>
      </c>
      <c r="G90" s="453" t="s">
        <v>2061</v>
      </c>
      <c r="H90" s="453" t="s">
        <v>174</v>
      </c>
      <c r="I90" s="324">
        <f t="shared" si="4"/>
        <v>1926</v>
      </c>
      <c r="J90" s="324">
        <v>0</v>
      </c>
      <c r="K90" s="324">
        <v>0</v>
      </c>
      <c r="L90" s="324">
        <v>1876</v>
      </c>
      <c r="M90" s="324">
        <v>50</v>
      </c>
      <c r="N90" s="324"/>
      <c r="O90" s="154"/>
      <c r="P90" s="154" t="s">
        <v>6</v>
      </c>
      <c r="Q90" s="125" t="s">
        <v>2060</v>
      </c>
      <c r="R90" s="453" t="s">
        <v>36</v>
      </c>
      <c r="S90" s="125" t="s">
        <v>42</v>
      </c>
      <c r="T90" s="125" t="s">
        <v>543</v>
      </c>
      <c r="U90" s="453" t="s">
        <v>2059</v>
      </c>
      <c r="V90" s="125">
        <f t="shared" si="5"/>
        <v>369</v>
      </c>
      <c r="W90" s="314">
        <v>367</v>
      </c>
      <c r="X90" s="324">
        <v>2</v>
      </c>
      <c r="Y90" s="125" t="s">
        <v>64</v>
      </c>
      <c r="Z90" s="137" t="s">
        <v>1148</v>
      </c>
    </row>
    <row r="91" spans="1:33" ht="50.1" customHeight="1">
      <c r="A91" s="125">
        <v>87</v>
      </c>
      <c r="B91" s="125" t="s">
        <v>1306</v>
      </c>
      <c r="C91" s="125" t="s">
        <v>2044</v>
      </c>
      <c r="D91" s="453" t="s">
        <v>2058</v>
      </c>
      <c r="E91" s="453" t="s">
        <v>1215</v>
      </c>
      <c r="F91" s="455" t="s">
        <v>2057</v>
      </c>
      <c r="G91" s="453" t="s">
        <v>2056</v>
      </c>
      <c r="H91" s="453" t="s">
        <v>403</v>
      </c>
      <c r="I91" s="325">
        <f t="shared" si="4"/>
        <v>75</v>
      </c>
      <c r="J91" s="324">
        <v>0</v>
      </c>
      <c r="K91" s="324">
        <v>0</v>
      </c>
      <c r="L91" s="325">
        <v>0</v>
      </c>
      <c r="M91" s="324">
        <v>75</v>
      </c>
      <c r="N91" s="324"/>
      <c r="O91" s="154"/>
      <c r="P91" s="154" t="s">
        <v>6</v>
      </c>
      <c r="Q91" s="453" t="s">
        <v>2055</v>
      </c>
      <c r="R91" s="453" t="s">
        <v>36</v>
      </c>
      <c r="S91" s="453" t="s">
        <v>68</v>
      </c>
      <c r="T91" s="453" t="s">
        <v>49</v>
      </c>
      <c r="U91" s="453" t="s">
        <v>38</v>
      </c>
      <c r="V91" s="453">
        <f t="shared" si="5"/>
        <v>6</v>
      </c>
      <c r="W91" s="314">
        <v>6</v>
      </c>
      <c r="X91" s="325"/>
      <c r="Y91" s="453" t="s">
        <v>2</v>
      </c>
      <c r="Z91" s="137" t="s">
        <v>1148</v>
      </c>
      <c r="AA91"/>
      <c r="AB91"/>
      <c r="AC91"/>
      <c r="AD91"/>
      <c r="AE91"/>
      <c r="AF91"/>
      <c r="AG91"/>
    </row>
    <row r="92" spans="1:33" ht="50.1" customHeight="1">
      <c r="A92" s="125">
        <v>88</v>
      </c>
      <c r="B92" s="125" t="s">
        <v>1306</v>
      </c>
      <c r="C92" s="125" t="s">
        <v>2044</v>
      </c>
      <c r="D92" s="125" t="s">
        <v>2054</v>
      </c>
      <c r="E92" s="453" t="s">
        <v>1166</v>
      </c>
      <c r="F92" s="455" t="s">
        <v>1313</v>
      </c>
      <c r="G92" s="453" t="s">
        <v>2053</v>
      </c>
      <c r="H92" s="453" t="s">
        <v>1016</v>
      </c>
      <c r="I92" s="324">
        <f t="shared" si="4"/>
        <v>786</v>
      </c>
      <c r="J92" s="324">
        <v>0</v>
      </c>
      <c r="K92" s="324">
        <v>0</v>
      </c>
      <c r="L92" s="324">
        <v>786</v>
      </c>
      <c r="M92" s="324">
        <v>0</v>
      </c>
      <c r="N92" s="324"/>
      <c r="O92" s="154"/>
      <c r="P92" s="154" t="s">
        <v>50</v>
      </c>
      <c r="Q92" s="453" t="s">
        <v>2052</v>
      </c>
      <c r="R92" s="453" t="s">
        <v>36</v>
      </c>
      <c r="S92" s="453" t="s">
        <v>199</v>
      </c>
      <c r="T92" s="453" t="s">
        <v>2051</v>
      </c>
      <c r="U92" s="453" t="s">
        <v>53</v>
      </c>
      <c r="V92" s="453">
        <f t="shared" si="5"/>
        <v>75</v>
      </c>
      <c r="W92" s="315">
        <v>75</v>
      </c>
      <c r="X92" s="325"/>
      <c r="Y92" s="453" t="s">
        <v>445</v>
      </c>
      <c r="Z92" s="137" t="s">
        <v>1148</v>
      </c>
      <c r="AA92"/>
      <c r="AB92"/>
      <c r="AC92"/>
      <c r="AD92"/>
      <c r="AE92"/>
      <c r="AF92"/>
      <c r="AG92"/>
    </row>
    <row r="93" spans="1:33" ht="50.1" customHeight="1">
      <c r="A93" s="125">
        <v>89</v>
      </c>
      <c r="B93" s="125" t="s">
        <v>1306</v>
      </c>
      <c r="C93" s="125" t="s">
        <v>2044</v>
      </c>
      <c r="D93" s="453" t="s">
        <v>2050</v>
      </c>
      <c r="E93" s="453" t="s">
        <v>2049</v>
      </c>
      <c r="F93" s="455" t="s">
        <v>2048</v>
      </c>
      <c r="G93" s="453" t="s">
        <v>2047</v>
      </c>
      <c r="H93" s="453" t="s">
        <v>367</v>
      </c>
      <c r="I93" s="324">
        <f t="shared" si="4"/>
        <v>112</v>
      </c>
      <c r="J93" s="324">
        <v>0</v>
      </c>
      <c r="K93" s="324">
        <v>6</v>
      </c>
      <c r="L93" s="324">
        <v>50</v>
      </c>
      <c r="M93" s="324">
        <v>56</v>
      </c>
      <c r="N93" s="324"/>
      <c r="O93" s="154"/>
      <c r="P93" s="154" t="s">
        <v>46</v>
      </c>
      <c r="Q93" s="453" t="s">
        <v>2046</v>
      </c>
      <c r="R93" s="453" t="s">
        <v>36</v>
      </c>
      <c r="S93" s="453" t="s">
        <v>42</v>
      </c>
      <c r="T93" s="453" t="s">
        <v>2045</v>
      </c>
      <c r="U93" s="453" t="s">
        <v>38</v>
      </c>
      <c r="V93" s="453">
        <f t="shared" si="5"/>
        <v>10</v>
      </c>
      <c r="W93" s="314">
        <v>10</v>
      </c>
      <c r="X93" s="324"/>
      <c r="Y93" s="125" t="s">
        <v>240</v>
      </c>
      <c r="Z93" s="137" t="s">
        <v>6128</v>
      </c>
    </row>
    <row r="94" spans="1:33" ht="50.1" customHeight="1">
      <c r="A94" s="125">
        <v>90</v>
      </c>
      <c r="B94" s="125" t="s">
        <v>1306</v>
      </c>
      <c r="C94" s="125" t="s">
        <v>2044</v>
      </c>
      <c r="D94" s="125" t="s">
        <v>2043</v>
      </c>
      <c r="E94" s="453" t="s">
        <v>2042</v>
      </c>
      <c r="F94" s="455" t="s">
        <v>2041</v>
      </c>
      <c r="G94" s="453" t="s">
        <v>2040</v>
      </c>
      <c r="H94" s="453" t="s">
        <v>100</v>
      </c>
      <c r="I94" s="324">
        <f t="shared" si="4"/>
        <v>70</v>
      </c>
      <c r="J94" s="324">
        <v>0</v>
      </c>
      <c r="K94" s="324">
        <v>70</v>
      </c>
      <c r="L94" s="324">
        <v>0</v>
      </c>
      <c r="M94" s="324">
        <v>0</v>
      </c>
      <c r="N94" s="324"/>
      <c r="O94" s="154"/>
      <c r="P94" s="154" t="s">
        <v>5</v>
      </c>
      <c r="Q94" s="453" t="s">
        <v>2039</v>
      </c>
      <c r="R94" s="453" t="s">
        <v>36</v>
      </c>
      <c r="S94" s="453" t="s">
        <v>2038</v>
      </c>
      <c r="T94" s="453" t="s">
        <v>49</v>
      </c>
      <c r="U94" s="453" t="s">
        <v>38</v>
      </c>
      <c r="V94" s="453">
        <f t="shared" si="5"/>
        <v>10</v>
      </c>
      <c r="W94" s="314">
        <v>10</v>
      </c>
      <c r="X94" s="324"/>
      <c r="Y94" s="125" t="s">
        <v>2</v>
      </c>
      <c r="Z94" s="137"/>
    </row>
    <row r="95" spans="1:33" ht="50.1" customHeight="1">
      <c r="A95" s="125">
        <v>91</v>
      </c>
      <c r="B95" s="125" t="s">
        <v>1306</v>
      </c>
      <c r="C95" s="125" t="s">
        <v>2018</v>
      </c>
      <c r="D95" s="453" t="s">
        <v>2037</v>
      </c>
      <c r="E95" s="453" t="s">
        <v>2036</v>
      </c>
      <c r="F95" s="455" t="s">
        <v>2035</v>
      </c>
      <c r="G95" s="453" t="s">
        <v>2014</v>
      </c>
      <c r="H95" s="453" t="s">
        <v>2034</v>
      </c>
      <c r="I95" s="324">
        <f t="shared" si="4"/>
        <v>180</v>
      </c>
      <c r="J95" s="324">
        <v>0</v>
      </c>
      <c r="K95" s="324">
        <v>0</v>
      </c>
      <c r="L95" s="324">
        <v>140</v>
      </c>
      <c r="M95" s="324">
        <v>40</v>
      </c>
      <c r="N95" s="324"/>
      <c r="O95" s="154"/>
      <c r="P95" s="154" t="s">
        <v>5</v>
      </c>
      <c r="Q95" s="453" t="s">
        <v>541</v>
      </c>
      <c r="R95" s="453" t="s">
        <v>36</v>
      </c>
      <c r="S95" s="453" t="s">
        <v>42</v>
      </c>
      <c r="T95" s="453" t="s">
        <v>2012</v>
      </c>
      <c r="U95" s="453" t="s">
        <v>38</v>
      </c>
      <c r="V95" s="453">
        <f t="shared" si="5"/>
        <v>540</v>
      </c>
      <c r="W95" s="324">
        <v>540</v>
      </c>
      <c r="X95" s="324"/>
      <c r="Y95" s="125" t="s">
        <v>64</v>
      </c>
      <c r="Z95" s="137" t="s">
        <v>1148</v>
      </c>
      <c r="AA95"/>
      <c r="AB95"/>
      <c r="AC95"/>
      <c r="AD95"/>
      <c r="AE95"/>
      <c r="AF95"/>
      <c r="AG95"/>
    </row>
    <row r="96" spans="1:33" ht="50.1" customHeight="1">
      <c r="A96" s="125">
        <v>92</v>
      </c>
      <c r="B96" s="125" t="s">
        <v>1306</v>
      </c>
      <c r="C96" s="125" t="s">
        <v>2018</v>
      </c>
      <c r="D96" s="453" t="s">
        <v>2033</v>
      </c>
      <c r="E96" s="453" t="s">
        <v>1444</v>
      </c>
      <c r="F96" s="455" t="s">
        <v>2032</v>
      </c>
      <c r="G96" s="453" t="s">
        <v>2031</v>
      </c>
      <c r="H96" s="453" t="s">
        <v>564</v>
      </c>
      <c r="I96" s="324">
        <f t="shared" si="4"/>
        <v>248</v>
      </c>
      <c r="J96" s="324">
        <v>0</v>
      </c>
      <c r="K96" s="324">
        <v>0</v>
      </c>
      <c r="L96" s="324">
        <v>248</v>
      </c>
      <c r="M96" s="324">
        <v>0</v>
      </c>
      <c r="N96" s="324"/>
      <c r="O96" s="154"/>
      <c r="P96" s="154" t="s">
        <v>5</v>
      </c>
      <c r="Q96" s="453" t="s">
        <v>2030</v>
      </c>
      <c r="R96" s="453" t="s">
        <v>36</v>
      </c>
      <c r="S96" s="453" t="s">
        <v>186</v>
      </c>
      <c r="T96" s="453"/>
      <c r="U96" s="453" t="s">
        <v>38</v>
      </c>
      <c r="V96" s="453">
        <f t="shared" si="5"/>
        <v>50</v>
      </c>
      <c r="W96" s="324">
        <v>50</v>
      </c>
      <c r="X96" s="324"/>
      <c r="Y96" s="125" t="s">
        <v>64</v>
      </c>
      <c r="Z96" s="137" t="s">
        <v>1148</v>
      </c>
      <c r="AA96"/>
      <c r="AB96"/>
      <c r="AC96"/>
      <c r="AD96"/>
      <c r="AE96"/>
      <c r="AF96"/>
      <c r="AG96"/>
    </row>
    <row r="97" spans="1:29" ht="50.1" customHeight="1">
      <c r="A97" s="125">
        <v>93</v>
      </c>
      <c r="B97" s="125" t="s">
        <v>1306</v>
      </c>
      <c r="C97" s="125" t="s">
        <v>2018</v>
      </c>
      <c r="D97" s="453" t="s">
        <v>2029</v>
      </c>
      <c r="E97" s="453" t="s">
        <v>1018</v>
      </c>
      <c r="F97" s="455" t="s">
        <v>2028</v>
      </c>
      <c r="G97" s="453" t="s">
        <v>2027</v>
      </c>
      <c r="H97" s="453" t="s">
        <v>297</v>
      </c>
      <c r="I97" s="324">
        <f t="shared" si="4"/>
        <v>560</v>
      </c>
      <c r="J97" s="324">
        <v>0</v>
      </c>
      <c r="K97" s="324">
        <v>0</v>
      </c>
      <c r="L97" s="324">
        <v>560</v>
      </c>
      <c r="M97" s="324">
        <v>0</v>
      </c>
      <c r="N97" s="324"/>
      <c r="O97" s="154"/>
      <c r="P97" s="154" t="s">
        <v>7</v>
      </c>
      <c r="Q97" s="453" t="s">
        <v>31</v>
      </c>
      <c r="R97" s="453" t="s">
        <v>36</v>
      </c>
      <c r="S97" s="453" t="s">
        <v>42</v>
      </c>
      <c r="T97" s="453" t="s">
        <v>2026</v>
      </c>
      <c r="U97" s="453" t="s">
        <v>2019</v>
      </c>
      <c r="V97" s="453">
        <f t="shared" si="5"/>
        <v>30</v>
      </c>
      <c r="W97" s="324">
        <v>30</v>
      </c>
      <c r="X97" s="324"/>
      <c r="Y97" s="453" t="s">
        <v>445</v>
      </c>
      <c r="Z97" s="137" t="s">
        <v>1148</v>
      </c>
    </row>
    <row r="98" spans="1:29" ht="50.1" customHeight="1">
      <c r="A98" s="125">
        <v>94</v>
      </c>
      <c r="B98" s="125" t="s">
        <v>1306</v>
      </c>
      <c r="C98" s="125" t="s">
        <v>2018</v>
      </c>
      <c r="D98" s="453" t="s">
        <v>2025</v>
      </c>
      <c r="E98" s="453" t="s">
        <v>2024</v>
      </c>
      <c r="F98" s="455" t="s">
        <v>2023</v>
      </c>
      <c r="G98" s="453" t="s">
        <v>2022</v>
      </c>
      <c r="H98" s="453" t="s">
        <v>40</v>
      </c>
      <c r="I98" s="324">
        <f t="shared" si="4"/>
        <v>0</v>
      </c>
      <c r="J98" s="324"/>
      <c r="K98" s="324"/>
      <c r="L98" s="324"/>
      <c r="M98" s="324"/>
      <c r="N98" s="324"/>
      <c r="O98" s="154"/>
      <c r="P98" s="154" t="s">
        <v>98</v>
      </c>
      <c r="Q98" s="453" t="s">
        <v>2021</v>
      </c>
      <c r="R98" s="453" t="s">
        <v>36</v>
      </c>
      <c r="S98" s="453" t="s">
        <v>2020</v>
      </c>
      <c r="T98" s="453"/>
      <c r="U98" s="453" t="s">
        <v>2019</v>
      </c>
      <c r="V98" s="453">
        <f t="shared" si="5"/>
        <v>32</v>
      </c>
      <c r="W98" s="324">
        <v>32</v>
      </c>
      <c r="X98" s="324"/>
      <c r="Y98" s="125" t="s">
        <v>234</v>
      </c>
      <c r="Z98" s="137" t="s">
        <v>2745</v>
      </c>
    </row>
    <row r="99" spans="1:29" ht="50.1" customHeight="1" thickBot="1">
      <c r="A99" s="193">
        <v>95</v>
      </c>
      <c r="B99" s="193" t="s">
        <v>1306</v>
      </c>
      <c r="C99" s="193" t="s">
        <v>2018</v>
      </c>
      <c r="D99" s="194" t="s">
        <v>2017</v>
      </c>
      <c r="E99" s="194" t="s">
        <v>2016</v>
      </c>
      <c r="F99" s="238" t="s">
        <v>2015</v>
      </c>
      <c r="G99" s="194" t="s">
        <v>2014</v>
      </c>
      <c r="H99" s="194" t="s">
        <v>2013</v>
      </c>
      <c r="I99" s="333">
        <f t="shared" si="4"/>
        <v>180</v>
      </c>
      <c r="J99" s="333">
        <v>0</v>
      </c>
      <c r="K99" s="333">
        <v>0</v>
      </c>
      <c r="L99" s="333">
        <v>140</v>
      </c>
      <c r="M99" s="333">
        <v>40</v>
      </c>
      <c r="N99" s="333"/>
      <c r="O99" s="198"/>
      <c r="P99" s="198" t="s">
        <v>5</v>
      </c>
      <c r="Q99" s="194" t="s">
        <v>620</v>
      </c>
      <c r="R99" s="194" t="s">
        <v>36</v>
      </c>
      <c r="S99" s="194" t="s">
        <v>42</v>
      </c>
      <c r="T99" s="194" t="s">
        <v>2012</v>
      </c>
      <c r="U99" s="194" t="s">
        <v>38</v>
      </c>
      <c r="V99" s="194"/>
      <c r="W99" s="333"/>
      <c r="X99" s="333"/>
      <c r="Y99" s="193" t="s">
        <v>64</v>
      </c>
      <c r="Z99" s="256" t="s">
        <v>1148</v>
      </c>
    </row>
    <row r="100" spans="1:29">
      <c r="AA100"/>
      <c r="AB100"/>
      <c r="AC100"/>
    </row>
  </sheetData>
  <autoFilter ref="A4:Z99">
    <filterColumn colId="4">
      <filters>
        <filter val="10.1~10.11._x000a_(11일간)"/>
        <filter val="10.10~10.11._x000a_(2일간)"/>
        <filter val="10.16~10.17._x000a_(2일간)"/>
        <filter val="10.16~10.18_x000a_(3일간)"/>
        <filter val="10.16~10.18._x000a_(3일간)"/>
        <filter val="10.17~11.01._x000a_(16일간)"/>
        <filter val="10.19~10.20._x000a_(2일간)"/>
        <filter val="10.24~10.25_x000a_(2일간)"/>
        <filter val="10.24~10.25._x000a_(2일간)"/>
        <filter val="10.24~11.8._x000a_(15일간)"/>
        <filter val="10.26~11.1._x000a_(7일간)"/>
        <filter val="10.30~11.1._x000a_(3일간)"/>
        <filter val="10.9~10.18._x000a_(10일간)"/>
        <filter val="10~11월 중_x000a_(11일간)"/>
        <filter val="10월 중"/>
        <filter val="10월 중_x000a_(2일간)"/>
        <filter val="10월 중_x000a_(3일간)"/>
        <filter val="11월 중_x000a_(2일간)"/>
        <filter val="12.1~12.31._x000a_(31일간)"/>
        <filter val="12.31~1.1._x000a_(2일간)"/>
        <filter val="12~1월 중"/>
        <filter val="12월 중"/>
        <filter val="12월 중_x000a_(2일간)"/>
        <filter val="12월 중_x000a_(50일정도)"/>
        <filter val="2.29~3.3._x000a_(4일간)"/>
        <filter val="3.14~3.15._x000a_(2일간)"/>
        <filter val="3.27~4.5._x000a_(10일간)"/>
        <filter val="3.28~3.29_x000a_(2일간)"/>
        <filter val="3.28~4.6._x000a_(10일간)"/>
        <filter val="3.30~3.31._x000a_(2일간)"/>
        <filter val="4.10~4.12._x000a_(3일간)"/>
        <filter val="4.16~4.19._x000a_(4일간)"/>
        <filter val="4.17~4.19._x000a_(3일간)"/>
        <filter val="4.17~6.7._x000a_(52일간)"/>
        <filter val="4.24~4.26._x000a_(3일간)"/>
        <filter val="4.24~4.27._x000a_(4일간)"/>
        <filter val="4.3~4.5._x000a_(3일간)"/>
        <filter val="4.3~4.7._x000a_(5일간)"/>
        <filter val="4.7~4.8._x000a_(2일간)"/>
        <filter val="4~5월 중_x000a_(11일간)"/>
        <filter val="4월 중"/>
        <filter val="4월 중_x000a_(17일간)"/>
        <filter val="4월 중_x000a_(3일간)"/>
        <filter val="5.14~5.17._x000a_(4일간)"/>
        <filter val="5.15~5.24._x000a_(10일간)"/>
        <filter val="5.2~5.8._x000a_(7일간)"/>
        <filter val="5.23~5.24._x000a_(2일간)"/>
        <filter val="5.28~5.31_x000a_(4일간)"/>
        <filter val="5.4~5.5._x000a_(2일간)"/>
        <filter val="5월 중"/>
        <filter val="5월 중_x000a_(10일간)"/>
        <filter val="5월 중_x000a_(2일간)"/>
        <filter val="5월 중_x000a_(3일간)"/>
        <filter val="6.13~6.14._x000a_(2일간)"/>
        <filter val="6.27~6.28._x000a_(2일간)"/>
        <filter val="6월 중_x000a_(3일간)"/>
        <filter val="7.18~7.19._x000a_(2일간)"/>
        <filter val="7.30~8.2._x000a_(4일간)"/>
        <filter val="7~8월 중"/>
        <filter val="7월 중"/>
        <filter val="7월 중_x000a_(3~4일간)"/>
        <filter val="8.1~8.2._x000a_(2일간)"/>
        <filter val="8.11~8.15._x000a_(5일간)"/>
        <filter val="8.28~9.6._x000a_(10일간)"/>
        <filter val="8월 중_x000a_(3일간)"/>
        <filter val="9.11~9.20_x000a_(10일간)"/>
        <filter val="9.18~10.4._x000a_(17일간)"/>
        <filter val="9.18~9.20._x000a_(3일간)"/>
        <filter val="9.25~10.11._x000a_(17일간)"/>
        <filter val="9.30~10.02._x000a_(3일간)"/>
        <filter val="9~10월 중_x000a_(2일간)"/>
        <filter val="9월 중_x000a_(2일간)"/>
        <filter val="9월 중_x000a_(4일간)"/>
        <filter val="9월 중_x000a_(5일간)"/>
        <filter val="9월 중_x000a_(7일간)"/>
      </filters>
    </filterColumn>
  </autoFilter>
  <mergeCells count="4">
    <mergeCell ref="A1:X2"/>
    <mergeCell ref="I3:M3"/>
    <mergeCell ref="N3:O3"/>
    <mergeCell ref="V3:X3"/>
  </mergeCells>
  <phoneticPr fontId="23" type="noConversion"/>
  <dataValidations count="24">
    <dataValidation type="list" allowBlank="1" showInputMessage="1" showErrorMessage="1" sqref="B37 B32:B33 B35">
      <formula1>$B$13:$B$98</formula1>
    </dataValidation>
    <dataValidation type="list" allowBlank="1" showInputMessage="1" showErrorMessage="1" sqref="P54:P56 B54:B56 P6:P7 B36 B34 B88:B99 B52 P52 Q68 P33:P36 P9:P25 B5:B25 P31 B61:B86 P38:P46 P61:P99 B38:B47">
      <formula1>#REF!</formula1>
    </dataValidation>
    <dataValidation type="list" allowBlank="1" showInputMessage="1" showErrorMessage="1" sqref="B58">
      <formula1>$B$11:$B$43</formula1>
    </dataValidation>
    <dataValidation type="list" allowBlank="1" showInputMessage="1" showErrorMessage="1" sqref="B59:B60 B57">
      <formula1>$B$17:$B$44</formula1>
    </dataValidation>
    <dataValidation type="list" allowBlank="1" showInputMessage="1" showErrorMessage="1" sqref="B29">
      <formula1>$B$16:$B$33</formula1>
    </dataValidation>
    <dataValidation type="list" allowBlank="1" showInputMessage="1" showErrorMessage="1" sqref="B30 B28">
      <formula1>$B$22:$B$33</formula1>
    </dataValidation>
    <dataValidation type="list" allowBlank="1" showInputMessage="1" showErrorMessage="1" sqref="B26:B27">
      <formula1>$B$14:$B$35</formula1>
    </dataValidation>
    <dataValidation type="list" allowBlank="1" showInputMessage="1" showErrorMessage="1" sqref="B53">
      <formula1>$B$14:$B$37</formula1>
    </dataValidation>
    <dataValidation type="list" allowBlank="1" showInputMessage="1" showErrorMessage="1" sqref="P58">
      <formula1>$P$11:$P$36</formula1>
    </dataValidation>
    <dataValidation type="list" allowBlank="1" showInputMessage="1" showErrorMessage="1" sqref="P59:P60 P57">
      <formula1>$P$17:$P$37</formula1>
    </dataValidation>
    <dataValidation type="list" allowBlank="1" showInputMessage="1" showErrorMessage="1" sqref="B49 B51">
      <formula1>$B$15:$B$29</formula1>
    </dataValidation>
    <dataValidation type="list" allowBlank="1" showInputMessage="1" showErrorMessage="1" sqref="B50">
      <formula1>$B$12:$B$26</formula1>
    </dataValidation>
    <dataValidation type="list" allowBlank="1" showInputMessage="1" showErrorMessage="1" sqref="P29">
      <formula1>$P$15:$P$26</formula1>
    </dataValidation>
    <dataValidation type="list" allowBlank="1" showInputMessage="1" showErrorMessage="1" sqref="P28 P30">
      <formula1>$P$22:$P$29</formula1>
    </dataValidation>
    <dataValidation type="list" allowBlank="1" showInputMessage="1" showErrorMessage="1" sqref="P49 P51">
      <formula1>$P$15:$P$22</formula1>
    </dataValidation>
    <dataValidation type="list" allowBlank="1" showInputMessage="1" showErrorMessage="1" sqref="P50">
      <formula1>$P$12:$P$16</formula1>
    </dataValidation>
    <dataValidation type="list" allowBlank="1" showInputMessage="1" showErrorMessage="1" sqref="P37 P32">
      <formula1>$P$13:$P$17</formula1>
    </dataValidation>
    <dataValidation type="list" allowBlank="1" showInputMessage="1" showErrorMessage="1" sqref="P26:P27 P53">
      <formula1>$P$14:$P$17</formula1>
    </dataValidation>
    <dataValidation type="list" allowBlank="1" showInputMessage="1" showErrorMessage="1" sqref="B87">
      <formula1>$B$5:$B$8</formula1>
    </dataValidation>
    <dataValidation type="list" allowBlank="1" showInputMessage="1" showErrorMessage="1" sqref="P8 P5">
      <formula1>$P$5:$P$9</formula1>
    </dataValidation>
    <dataValidation type="list" showInputMessage="1" showErrorMessage="1" sqref="B31">
      <formula1>#REF!</formula1>
    </dataValidation>
    <dataValidation type="list" allowBlank="1" showInputMessage="1" showErrorMessage="1" sqref="P48">
      <formula1>$P$15:$P$16</formula1>
    </dataValidation>
    <dataValidation type="list" allowBlank="1" showInputMessage="1" showErrorMessage="1" sqref="B48">
      <formula1>$B$15:$B$16</formula1>
    </dataValidation>
    <dataValidation allowBlank="1" showErrorMessage="1" sqref="E67 E63"/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1"/>
  <sheetViews>
    <sheetView zoomScale="70" zoomScaleNormal="70" workbookViewId="0">
      <selection sqref="A1:X2"/>
    </sheetView>
  </sheetViews>
  <sheetFormatPr defaultColWidth="8.88671875" defaultRowHeight="13.5"/>
  <cols>
    <col min="1" max="1" width="6.109375" style="88" customWidth="1"/>
    <col min="2" max="3" width="8.88671875" style="88"/>
    <col min="4" max="4" width="17.33203125" style="88" customWidth="1"/>
    <col min="5" max="5" width="11.6640625" style="88" customWidth="1"/>
    <col min="6" max="6" width="28.6640625" style="88" customWidth="1"/>
    <col min="7" max="7" width="23.33203125" style="88" customWidth="1"/>
    <col min="8" max="8" width="11.33203125" style="88" customWidth="1"/>
    <col min="9" max="24" width="8.88671875" style="88" customWidth="1"/>
    <col min="25" max="25" width="10.33203125" style="88" customWidth="1"/>
    <col min="26" max="26" width="20.5546875" style="88" customWidth="1"/>
    <col min="27" max="27" width="8.88671875" style="88"/>
    <col min="28" max="28" width="11.33203125" style="88" bestFit="1" customWidth="1"/>
    <col min="29" max="16384" width="8.88671875" style="88"/>
  </cols>
  <sheetData>
    <row r="1" spans="1:31" customFormat="1">
      <c r="A1" s="530" t="s">
        <v>34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0"/>
      <c r="Q1" s="530"/>
      <c r="R1" s="530"/>
      <c r="S1" s="530"/>
      <c r="T1" s="530"/>
      <c r="U1" s="530"/>
      <c r="V1" s="530"/>
      <c r="W1" s="530"/>
      <c r="X1" s="530"/>
      <c r="Y1" s="1"/>
    </row>
    <row r="2" spans="1:31" customFormat="1" ht="19.5" customHeight="1" thickBot="1">
      <c r="A2" s="530"/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3"/>
    </row>
    <row r="3" spans="1:31" customFormat="1" ht="17.25" thickBot="1">
      <c r="A3" s="4"/>
      <c r="B3" s="4"/>
      <c r="C3" s="4"/>
      <c r="D3" s="2"/>
      <c r="E3" s="2"/>
      <c r="F3" s="2"/>
      <c r="G3" s="2"/>
      <c r="H3" s="2"/>
      <c r="I3" s="513" t="s">
        <v>1012</v>
      </c>
      <c r="J3" s="514"/>
      <c r="K3" s="514"/>
      <c r="L3" s="514"/>
      <c r="M3" s="515"/>
      <c r="N3" s="516" t="s">
        <v>1013</v>
      </c>
      <c r="O3" s="517"/>
      <c r="P3" s="111"/>
      <c r="Q3" s="112"/>
      <c r="R3" s="113"/>
      <c r="S3" s="113"/>
      <c r="T3" s="113"/>
      <c r="U3" s="113"/>
      <c r="V3" s="544" t="s">
        <v>133</v>
      </c>
      <c r="W3" s="545"/>
      <c r="X3" s="546"/>
      <c r="Y3" s="113"/>
    </row>
    <row r="4" spans="1:31" customFormat="1" ht="57">
      <c r="A4" s="210" t="s">
        <v>0</v>
      </c>
      <c r="B4" s="210" t="s">
        <v>134</v>
      </c>
      <c r="C4" s="210" t="s">
        <v>1</v>
      </c>
      <c r="D4" s="210" t="s">
        <v>135</v>
      </c>
      <c r="E4" s="211" t="s">
        <v>136</v>
      </c>
      <c r="F4" s="210" t="s">
        <v>137</v>
      </c>
      <c r="G4" s="211" t="s">
        <v>138</v>
      </c>
      <c r="H4" s="211" t="s">
        <v>3</v>
      </c>
      <c r="I4" s="211" t="s">
        <v>139</v>
      </c>
      <c r="J4" s="211" t="s">
        <v>140</v>
      </c>
      <c r="K4" s="211" t="s">
        <v>4</v>
      </c>
      <c r="L4" s="211" t="s">
        <v>141</v>
      </c>
      <c r="M4" s="211" t="s">
        <v>2</v>
      </c>
      <c r="N4" s="211" t="s">
        <v>142</v>
      </c>
      <c r="O4" s="211" t="s">
        <v>143</v>
      </c>
      <c r="P4" s="211" t="s">
        <v>2691</v>
      </c>
      <c r="Q4" s="211" t="s">
        <v>27</v>
      </c>
      <c r="R4" s="212" t="s">
        <v>144</v>
      </c>
      <c r="S4" s="212" t="s">
        <v>145</v>
      </c>
      <c r="T4" s="212" t="s">
        <v>146</v>
      </c>
      <c r="U4" s="212" t="s">
        <v>28</v>
      </c>
      <c r="V4" s="212" t="s">
        <v>33</v>
      </c>
      <c r="W4" s="212" t="s">
        <v>147</v>
      </c>
      <c r="X4" s="212" t="s">
        <v>148</v>
      </c>
      <c r="Y4" s="212" t="s">
        <v>30</v>
      </c>
      <c r="Z4" s="104" t="s">
        <v>1152</v>
      </c>
    </row>
    <row r="5" spans="1:31" ht="66" customHeight="1">
      <c r="A5" s="125">
        <v>1</v>
      </c>
      <c r="B5" s="125" t="s">
        <v>1159</v>
      </c>
      <c r="C5" s="125" t="s">
        <v>1220</v>
      </c>
      <c r="D5" s="453" t="s">
        <v>2690</v>
      </c>
      <c r="E5" s="453" t="s">
        <v>2689</v>
      </c>
      <c r="F5" s="455" t="s">
        <v>2688</v>
      </c>
      <c r="G5" s="453" t="s">
        <v>2687</v>
      </c>
      <c r="H5" s="453" t="s">
        <v>321</v>
      </c>
      <c r="I5" s="314"/>
      <c r="J5" s="314"/>
      <c r="K5" s="314"/>
      <c r="L5" s="314"/>
      <c r="M5" s="314"/>
      <c r="N5" s="314"/>
      <c r="O5" s="453"/>
      <c r="P5" s="453" t="s">
        <v>98</v>
      </c>
      <c r="Q5" s="453" t="s">
        <v>2686</v>
      </c>
      <c r="R5" s="453" t="s">
        <v>36</v>
      </c>
      <c r="S5" s="453" t="s">
        <v>42</v>
      </c>
      <c r="T5" s="453" t="s">
        <v>49</v>
      </c>
      <c r="U5" s="453" t="s">
        <v>37</v>
      </c>
      <c r="V5" s="453">
        <v>8500</v>
      </c>
      <c r="W5" s="314">
        <v>8000</v>
      </c>
      <c r="X5" s="314">
        <v>500</v>
      </c>
      <c r="Y5" s="453" t="s">
        <v>2685</v>
      </c>
      <c r="Z5" s="137" t="s">
        <v>1148</v>
      </c>
      <c r="AA5"/>
      <c r="AB5"/>
      <c r="AC5"/>
      <c r="AD5"/>
      <c r="AE5"/>
    </row>
    <row r="6" spans="1:31" ht="121.5">
      <c r="A6" s="125">
        <v>2</v>
      </c>
      <c r="B6" s="125" t="s">
        <v>1159</v>
      </c>
      <c r="C6" s="125" t="s">
        <v>1220</v>
      </c>
      <c r="D6" s="453" t="s">
        <v>2684</v>
      </c>
      <c r="E6" s="453" t="s">
        <v>2683</v>
      </c>
      <c r="F6" s="455" t="s">
        <v>2682</v>
      </c>
      <c r="G6" s="453" t="s">
        <v>2677</v>
      </c>
      <c r="H6" s="454" t="s">
        <v>522</v>
      </c>
      <c r="I6" s="145">
        <v>1729</v>
      </c>
      <c r="J6" s="145"/>
      <c r="K6" s="145">
        <v>1640</v>
      </c>
      <c r="L6" s="145"/>
      <c r="M6" s="145">
        <v>89</v>
      </c>
      <c r="N6" s="145"/>
      <c r="O6" s="453"/>
      <c r="P6" s="453" t="s">
        <v>98</v>
      </c>
      <c r="Q6" s="453" t="s">
        <v>2681</v>
      </c>
      <c r="R6" s="453" t="s">
        <v>36</v>
      </c>
      <c r="S6" s="453" t="s">
        <v>2674</v>
      </c>
      <c r="T6" s="453" t="s">
        <v>2673</v>
      </c>
      <c r="U6" s="453" t="s">
        <v>2672</v>
      </c>
      <c r="V6" s="453">
        <v>282</v>
      </c>
      <c r="W6" s="314">
        <v>270</v>
      </c>
      <c r="X6" s="314">
        <v>12</v>
      </c>
      <c r="Y6" s="453" t="s">
        <v>2680</v>
      </c>
      <c r="Z6" s="137" t="s">
        <v>1148</v>
      </c>
      <c r="AA6"/>
      <c r="AB6"/>
      <c r="AD6"/>
      <c r="AE6"/>
    </row>
    <row r="7" spans="1:31" ht="108">
      <c r="A7" s="125">
        <v>3</v>
      </c>
      <c r="B7" s="125" t="s">
        <v>1159</v>
      </c>
      <c r="C7" s="125" t="s">
        <v>1220</v>
      </c>
      <c r="D7" s="453" t="s">
        <v>2679</v>
      </c>
      <c r="E7" s="453" t="s">
        <v>1236</v>
      </c>
      <c r="F7" s="455" t="s">
        <v>2678</v>
      </c>
      <c r="G7" s="453" t="s">
        <v>2677</v>
      </c>
      <c r="H7" s="453" t="s">
        <v>2676</v>
      </c>
      <c r="I7" s="315">
        <v>257</v>
      </c>
      <c r="J7" s="315"/>
      <c r="K7" s="315">
        <v>257</v>
      </c>
      <c r="L7" s="314"/>
      <c r="M7" s="314"/>
      <c r="N7" s="314"/>
      <c r="O7" s="453"/>
      <c r="P7" s="453" t="s">
        <v>5</v>
      </c>
      <c r="Q7" s="453" t="s">
        <v>2675</v>
      </c>
      <c r="R7" s="453" t="s">
        <v>36</v>
      </c>
      <c r="S7" s="453" t="s">
        <v>2674</v>
      </c>
      <c r="T7" s="453" t="s">
        <v>2673</v>
      </c>
      <c r="U7" s="453" t="s">
        <v>2672</v>
      </c>
      <c r="V7" s="453">
        <f>SUM(W7:X7)</f>
        <v>311</v>
      </c>
      <c r="W7" s="314">
        <v>302</v>
      </c>
      <c r="X7" s="314">
        <v>9</v>
      </c>
      <c r="Y7" s="453" t="s">
        <v>445</v>
      </c>
      <c r="Z7" s="137" t="s">
        <v>1148</v>
      </c>
      <c r="AA7"/>
      <c r="AB7"/>
      <c r="AC7"/>
      <c r="AD7"/>
      <c r="AE7"/>
    </row>
    <row r="8" spans="1:31" ht="94.5">
      <c r="A8" s="125">
        <v>4</v>
      </c>
      <c r="B8" s="125" t="s">
        <v>1011</v>
      </c>
      <c r="C8" s="125" t="s">
        <v>1220</v>
      </c>
      <c r="D8" s="453" t="s">
        <v>1314</v>
      </c>
      <c r="E8" s="453" t="s">
        <v>2671</v>
      </c>
      <c r="F8" s="455" t="s">
        <v>2670</v>
      </c>
      <c r="G8" s="453" t="s">
        <v>2669</v>
      </c>
      <c r="H8" s="453" t="s">
        <v>131</v>
      </c>
      <c r="I8" s="314">
        <v>50</v>
      </c>
      <c r="J8" s="314">
        <v>0</v>
      </c>
      <c r="K8" s="314">
        <v>50</v>
      </c>
      <c r="L8" s="314">
        <v>0</v>
      </c>
      <c r="M8" s="314">
        <v>0</v>
      </c>
      <c r="N8" s="314"/>
      <c r="O8" s="453"/>
      <c r="P8" s="453" t="s">
        <v>48</v>
      </c>
      <c r="Q8" s="453" t="s">
        <v>130</v>
      </c>
      <c r="R8" s="453" t="s">
        <v>36</v>
      </c>
      <c r="S8" s="453" t="s">
        <v>42</v>
      </c>
      <c r="T8" s="453" t="s">
        <v>49</v>
      </c>
      <c r="U8" s="453" t="s">
        <v>38</v>
      </c>
      <c r="V8" s="453">
        <f>SUM(W8:X8)</f>
        <v>260</v>
      </c>
      <c r="W8" s="314">
        <v>255</v>
      </c>
      <c r="X8" s="314">
        <v>5</v>
      </c>
      <c r="Y8" s="453" t="s">
        <v>2668</v>
      </c>
      <c r="Z8" s="137" t="s">
        <v>1148</v>
      </c>
      <c r="AA8"/>
      <c r="AB8"/>
      <c r="AC8"/>
      <c r="AD8"/>
      <c r="AE8"/>
    </row>
    <row r="9" spans="1:31" ht="50.1" customHeight="1">
      <c r="A9" s="125">
        <v>5</v>
      </c>
      <c r="B9" s="125" t="s">
        <v>1159</v>
      </c>
      <c r="C9" s="453" t="s">
        <v>1317</v>
      </c>
      <c r="D9" s="453" t="s">
        <v>2667</v>
      </c>
      <c r="E9" s="453" t="s">
        <v>2666</v>
      </c>
      <c r="F9" s="455" t="s">
        <v>2665</v>
      </c>
      <c r="G9" s="453" t="s">
        <v>2664</v>
      </c>
      <c r="H9" s="453" t="s">
        <v>488</v>
      </c>
      <c r="I9" s="314">
        <v>35</v>
      </c>
      <c r="J9" s="316">
        <v>0</v>
      </c>
      <c r="K9" s="316">
        <v>20</v>
      </c>
      <c r="L9" s="316">
        <v>0</v>
      </c>
      <c r="M9" s="316">
        <v>15</v>
      </c>
      <c r="N9" s="316"/>
      <c r="O9" s="103"/>
      <c r="P9" s="103" t="s">
        <v>5</v>
      </c>
      <c r="Q9" s="453" t="s">
        <v>2663</v>
      </c>
      <c r="R9" s="453" t="s">
        <v>36</v>
      </c>
      <c r="S9" s="453" t="s">
        <v>42</v>
      </c>
      <c r="T9" s="453" t="s">
        <v>49</v>
      </c>
      <c r="U9" s="453" t="s">
        <v>38</v>
      </c>
      <c r="V9" s="453">
        <f>SUM(W9:X9)</f>
        <v>20</v>
      </c>
      <c r="W9" s="314">
        <v>20</v>
      </c>
      <c r="X9" s="314">
        <v>0</v>
      </c>
      <c r="Y9" s="453" t="s">
        <v>2662</v>
      </c>
      <c r="Z9" s="137" t="s">
        <v>1148</v>
      </c>
      <c r="AA9"/>
      <c r="AB9"/>
      <c r="AC9"/>
      <c r="AD9"/>
      <c r="AE9"/>
    </row>
    <row r="10" spans="1:31" ht="50.1" customHeight="1">
      <c r="A10" s="125">
        <v>6</v>
      </c>
      <c r="B10" s="125" t="s">
        <v>1159</v>
      </c>
      <c r="C10" s="125" t="s">
        <v>1317</v>
      </c>
      <c r="D10" s="453" t="s">
        <v>2661</v>
      </c>
      <c r="E10" s="453" t="s">
        <v>2660</v>
      </c>
      <c r="F10" s="455" t="s">
        <v>2659</v>
      </c>
      <c r="G10" s="453" t="s">
        <v>2658</v>
      </c>
      <c r="H10" s="453" t="s">
        <v>117</v>
      </c>
      <c r="I10" s="314">
        <v>249</v>
      </c>
      <c r="J10" s="314">
        <v>0</v>
      </c>
      <c r="K10" s="314">
        <v>249</v>
      </c>
      <c r="L10" s="314">
        <v>0</v>
      </c>
      <c r="M10" s="314">
        <v>0</v>
      </c>
      <c r="N10" s="314"/>
      <c r="O10" s="453"/>
      <c r="P10" s="453" t="s">
        <v>5</v>
      </c>
      <c r="Q10" s="453" t="s">
        <v>2657</v>
      </c>
      <c r="R10" s="453" t="s">
        <v>36</v>
      </c>
      <c r="S10" s="453" t="s">
        <v>42</v>
      </c>
      <c r="T10" s="453" t="s">
        <v>49</v>
      </c>
      <c r="U10" s="453" t="s">
        <v>38</v>
      </c>
      <c r="V10" s="453">
        <f>SUM(W10:X10)</f>
        <v>160</v>
      </c>
      <c r="W10" s="314">
        <v>148</v>
      </c>
      <c r="X10" s="314">
        <v>12</v>
      </c>
      <c r="Y10" s="453" t="s">
        <v>2656</v>
      </c>
      <c r="Z10" s="137" t="s">
        <v>1148</v>
      </c>
      <c r="AA10"/>
      <c r="AB10"/>
      <c r="AC10"/>
      <c r="AD10"/>
      <c r="AE10"/>
    </row>
    <row r="11" spans="1:31" ht="135">
      <c r="A11" s="125">
        <v>7</v>
      </c>
      <c r="B11" s="125" t="s">
        <v>1011</v>
      </c>
      <c r="C11" s="125" t="s">
        <v>1220</v>
      </c>
      <c r="D11" s="453" t="s">
        <v>1286</v>
      </c>
      <c r="E11" s="453" t="s">
        <v>1464</v>
      </c>
      <c r="F11" s="455" t="s">
        <v>2655</v>
      </c>
      <c r="G11" s="453" t="s">
        <v>2654</v>
      </c>
      <c r="H11" s="453" t="s">
        <v>1315</v>
      </c>
      <c r="I11" s="314">
        <v>57</v>
      </c>
      <c r="J11" s="314">
        <v>0</v>
      </c>
      <c r="K11" s="314">
        <v>40</v>
      </c>
      <c r="L11" s="314">
        <v>0</v>
      </c>
      <c r="M11" s="314">
        <v>17</v>
      </c>
      <c r="N11" s="314"/>
      <c r="O11" s="453"/>
      <c r="P11" s="453" t="s">
        <v>41</v>
      </c>
      <c r="Q11" s="453" t="s">
        <v>1316</v>
      </c>
      <c r="R11" s="453" t="s">
        <v>36</v>
      </c>
      <c r="S11" s="453" t="s">
        <v>42</v>
      </c>
      <c r="T11" s="453" t="s">
        <v>49</v>
      </c>
      <c r="U11" s="453" t="s">
        <v>38</v>
      </c>
      <c r="V11" s="453">
        <v>15</v>
      </c>
      <c r="W11" s="314">
        <v>15</v>
      </c>
      <c r="X11" s="314">
        <v>0</v>
      </c>
      <c r="Y11" s="453" t="s">
        <v>2653</v>
      </c>
      <c r="Z11" s="137" t="s">
        <v>1148</v>
      </c>
      <c r="AA11"/>
      <c r="AB11"/>
      <c r="AC11"/>
      <c r="AD11"/>
      <c r="AE11"/>
    </row>
    <row r="12" spans="1:31" ht="50.1" customHeight="1">
      <c r="A12" s="125">
        <v>8</v>
      </c>
      <c r="B12" s="125" t="s">
        <v>1011</v>
      </c>
      <c r="C12" s="125" t="s">
        <v>1317</v>
      </c>
      <c r="D12" s="453" t="s">
        <v>2652</v>
      </c>
      <c r="E12" s="453" t="s">
        <v>1272</v>
      </c>
      <c r="F12" s="455" t="s">
        <v>2651</v>
      </c>
      <c r="G12" s="453" t="s">
        <v>2650</v>
      </c>
      <c r="H12" s="453" t="s">
        <v>218</v>
      </c>
      <c r="I12" s="314">
        <v>143</v>
      </c>
      <c r="J12" s="314"/>
      <c r="K12" s="314">
        <v>100</v>
      </c>
      <c r="L12" s="314"/>
      <c r="M12" s="314" t="s">
        <v>2649</v>
      </c>
      <c r="N12" s="314"/>
      <c r="O12" s="453"/>
      <c r="P12" s="453" t="s">
        <v>41</v>
      </c>
      <c r="Q12" s="453" t="s">
        <v>2153</v>
      </c>
      <c r="R12" s="453" t="s">
        <v>36</v>
      </c>
      <c r="S12" s="453" t="s">
        <v>665</v>
      </c>
      <c r="T12" s="453"/>
      <c r="U12" s="453" t="s">
        <v>38</v>
      </c>
      <c r="V12" s="453">
        <v>20</v>
      </c>
      <c r="W12" s="314">
        <v>20</v>
      </c>
      <c r="X12" s="314"/>
      <c r="Y12" s="453" t="s">
        <v>2</v>
      </c>
      <c r="Z12" s="137" t="s">
        <v>1148</v>
      </c>
      <c r="AA12"/>
      <c r="AB12"/>
      <c r="AC12"/>
      <c r="AD12"/>
      <c r="AE12"/>
    </row>
    <row r="13" spans="1:31" ht="50.1" customHeight="1">
      <c r="A13" s="125">
        <v>9</v>
      </c>
      <c r="B13" s="125" t="s">
        <v>1159</v>
      </c>
      <c r="C13" s="125" t="s">
        <v>1317</v>
      </c>
      <c r="D13" s="453" t="s">
        <v>2648</v>
      </c>
      <c r="E13" s="453" t="s">
        <v>1525</v>
      </c>
      <c r="F13" s="455" t="s">
        <v>2647</v>
      </c>
      <c r="G13" s="453" t="s">
        <v>2646</v>
      </c>
      <c r="H13" s="453" t="s">
        <v>1501</v>
      </c>
      <c r="I13" s="314">
        <f>K13+M13</f>
        <v>380</v>
      </c>
      <c r="J13" s="314"/>
      <c r="K13" s="314">
        <v>190</v>
      </c>
      <c r="L13" s="314"/>
      <c r="M13" s="314">
        <v>190</v>
      </c>
      <c r="N13" s="314"/>
      <c r="O13" s="453"/>
      <c r="P13" s="453" t="s">
        <v>41</v>
      </c>
      <c r="Q13" s="453" t="s">
        <v>2645</v>
      </c>
      <c r="R13" s="453" t="s">
        <v>36</v>
      </c>
      <c r="S13" s="453" t="s">
        <v>665</v>
      </c>
      <c r="T13" s="453" t="s">
        <v>2644</v>
      </c>
      <c r="U13" s="453" t="s">
        <v>53</v>
      </c>
      <c r="V13" s="453">
        <v>5.2</v>
      </c>
      <c r="W13" s="314">
        <v>5</v>
      </c>
      <c r="X13" s="314">
        <v>0.2</v>
      </c>
      <c r="Y13" s="453" t="s">
        <v>2493</v>
      </c>
      <c r="Z13" s="137" t="s">
        <v>1148</v>
      </c>
      <c r="AA13"/>
      <c r="AB13"/>
      <c r="AC13"/>
      <c r="AD13"/>
      <c r="AE13"/>
    </row>
    <row r="14" spans="1:31" ht="50.1" customHeight="1">
      <c r="A14" s="125">
        <v>10</v>
      </c>
      <c r="B14" s="125" t="s">
        <v>1159</v>
      </c>
      <c r="C14" s="125" t="s">
        <v>1220</v>
      </c>
      <c r="D14" s="453" t="s">
        <v>2643</v>
      </c>
      <c r="E14" s="453" t="s">
        <v>2642</v>
      </c>
      <c r="F14" s="455" t="s">
        <v>2641</v>
      </c>
      <c r="G14" s="453" t="s">
        <v>2640</v>
      </c>
      <c r="H14" s="453" t="s">
        <v>1465</v>
      </c>
      <c r="I14" s="314">
        <v>50</v>
      </c>
      <c r="J14" s="314"/>
      <c r="K14" s="314">
        <v>50</v>
      </c>
      <c r="L14" s="314"/>
      <c r="M14" s="314"/>
      <c r="N14" s="314"/>
      <c r="O14" s="453"/>
      <c r="P14" s="453" t="s">
        <v>31</v>
      </c>
      <c r="Q14" s="453" t="s">
        <v>2639</v>
      </c>
      <c r="R14" s="453" t="s">
        <v>36</v>
      </c>
      <c r="S14" s="453" t="s">
        <v>42</v>
      </c>
      <c r="T14" s="453" t="s">
        <v>2638</v>
      </c>
      <c r="U14" s="453" t="s">
        <v>53</v>
      </c>
      <c r="V14" s="453">
        <f t="shared" ref="V14:V28" si="0">SUM(W14:X14)</f>
        <v>3</v>
      </c>
      <c r="W14" s="314">
        <v>3</v>
      </c>
      <c r="X14" s="314">
        <v>0</v>
      </c>
      <c r="Y14" s="453" t="s">
        <v>2637</v>
      </c>
      <c r="Z14" s="137" t="s">
        <v>1148</v>
      </c>
      <c r="AA14"/>
      <c r="AB14"/>
      <c r="AC14"/>
      <c r="AD14"/>
      <c r="AE14"/>
    </row>
    <row r="15" spans="1:31" ht="50.1" customHeight="1">
      <c r="A15" s="125">
        <v>11</v>
      </c>
      <c r="B15" s="125" t="s">
        <v>1159</v>
      </c>
      <c r="C15" s="125" t="s">
        <v>1159</v>
      </c>
      <c r="D15" s="453" t="s">
        <v>2636</v>
      </c>
      <c r="E15" s="453" t="s">
        <v>1875</v>
      </c>
      <c r="F15" s="455" t="s">
        <v>2635</v>
      </c>
      <c r="G15" s="453" t="s">
        <v>2634</v>
      </c>
      <c r="H15" s="453" t="s">
        <v>2633</v>
      </c>
      <c r="I15" s="314">
        <v>100</v>
      </c>
      <c r="J15" s="314">
        <v>0</v>
      </c>
      <c r="K15" s="314">
        <v>100</v>
      </c>
      <c r="L15" s="314">
        <v>0</v>
      </c>
      <c r="M15" s="314">
        <v>0</v>
      </c>
      <c r="N15" s="314"/>
      <c r="O15" s="453"/>
      <c r="P15" s="453" t="s">
        <v>31</v>
      </c>
      <c r="Q15" s="453" t="s">
        <v>1318</v>
      </c>
      <c r="R15" s="453" t="s">
        <v>36</v>
      </c>
      <c r="S15" s="453" t="s">
        <v>2632</v>
      </c>
      <c r="T15" s="453" t="s">
        <v>49</v>
      </c>
      <c r="U15" s="453" t="s">
        <v>37</v>
      </c>
      <c r="V15" s="453">
        <f t="shared" si="0"/>
        <v>44</v>
      </c>
      <c r="W15" s="314">
        <v>44</v>
      </c>
      <c r="X15" s="314"/>
      <c r="Y15" s="453" t="s">
        <v>64</v>
      </c>
      <c r="Z15" s="137" t="s">
        <v>1148</v>
      </c>
      <c r="AA15"/>
      <c r="AB15"/>
      <c r="AC15"/>
      <c r="AD15"/>
      <c r="AE15"/>
    </row>
    <row r="16" spans="1:31" ht="50.1" customHeight="1">
      <c r="A16" s="125">
        <v>12</v>
      </c>
      <c r="B16" s="317" t="s">
        <v>1159</v>
      </c>
      <c r="C16" s="317" t="s">
        <v>1317</v>
      </c>
      <c r="D16" s="318" t="s">
        <v>2631</v>
      </c>
      <c r="E16" s="222" t="s">
        <v>2630</v>
      </c>
      <c r="F16" s="223" t="s">
        <v>2629</v>
      </c>
      <c r="G16" s="222" t="s">
        <v>1319</v>
      </c>
      <c r="H16" s="319" t="s">
        <v>291</v>
      </c>
      <c r="I16" s="320">
        <v>43</v>
      </c>
      <c r="J16" s="320">
        <v>0</v>
      </c>
      <c r="K16" s="320">
        <v>30</v>
      </c>
      <c r="L16" s="320">
        <v>0</v>
      </c>
      <c r="M16" s="320">
        <v>13</v>
      </c>
      <c r="N16" s="320"/>
      <c r="O16" s="321"/>
      <c r="P16" s="321" t="s">
        <v>41</v>
      </c>
      <c r="Q16" s="317" t="s">
        <v>2628</v>
      </c>
      <c r="R16" s="319" t="s">
        <v>36</v>
      </c>
      <c r="S16" s="317" t="s">
        <v>42</v>
      </c>
      <c r="T16" s="317" t="s">
        <v>49</v>
      </c>
      <c r="U16" s="319" t="s">
        <v>38</v>
      </c>
      <c r="V16" s="317">
        <f t="shared" si="0"/>
        <v>25</v>
      </c>
      <c r="W16" s="322">
        <v>24</v>
      </c>
      <c r="X16" s="320">
        <v>1</v>
      </c>
      <c r="Y16" s="317" t="s">
        <v>1320</v>
      </c>
      <c r="Z16" s="323" t="s">
        <v>1148</v>
      </c>
      <c r="AA16"/>
      <c r="AB16"/>
      <c r="AC16"/>
      <c r="AD16"/>
      <c r="AE16"/>
    </row>
    <row r="17" spans="1:31" ht="50.1" customHeight="1">
      <c r="A17" s="125">
        <v>13</v>
      </c>
      <c r="B17" s="125" t="s">
        <v>1159</v>
      </c>
      <c r="C17" s="125" t="s">
        <v>1220</v>
      </c>
      <c r="D17" s="453" t="s">
        <v>2627</v>
      </c>
      <c r="E17" s="453" t="s">
        <v>2626</v>
      </c>
      <c r="F17" s="455" t="s">
        <v>2625</v>
      </c>
      <c r="G17" s="453" t="s">
        <v>2624</v>
      </c>
      <c r="H17" s="453" t="s">
        <v>1285</v>
      </c>
      <c r="I17" s="324">
        <v>28.5</v>
      </c>
      <c r="J17" s="324">
        <v>0</v>
      </c>
      <c r="K17" s="324">
        <v>20</v>
      </c>
      <c r="L17" s="324">
        <v>0</v>
      </c>
      <c r="M17" s="324">
        <v>8.5</v>
      </c>
      <c r="N17" s="324"/>
      <c r="O17" s="154"/>
      <c r="P17" s="154" t="s">
        <v>5</v>
      </c>
      <c r="Q17" s="125" t="s">
        <v>2623</v>
      </c>
      <c r="R17" s="453" t="s">
        <v>36</v>
      </c>
      <c r="S17" s="317" t="s">
        <v>42</v>
      </c>
      <c r="T17" s="317" t="s">
        <v>49</v>
      </c>
      <c r="U17" s="125" t="s">
        <v>2622</v>
      </c>
      <c r="V17" s="125">
        <f t="shared" si="0"/>
        <v>10.7</v>
      </c>
      <c r="W17" s="322">
        <v>9.5</v>
      </c>
      <c r="X17" s="320">
        <v>1.2</v>
      </c>
      <c r="Y17" s="319" t="s">
        <v>1321</v>
      </c>
      <c r="Z17" s="137" t="s">
        <v>1148</v>
      </c>
      <c r="AA17"/>
      <c r="AB17"/>
      <c r="AC17"/>
      <c r="AD17"/>
      <c r="AE17"/>
    </row>
    <row r="18" spans="1:31" ht="50.1" customHeight="1">
      <c r="A18" s="125">
        <v>14</v>
      </c>
      <c r="B18" s="125" t="s">
        <v>1159</v>
      </c>
      <c r="C18" s="125" t="s">
        <v>1317</v>
      </c>
      <c r="D18" s="453" t="s">
        <v>2621</v>
      </c>
      <c r="E18" s="453" t="s">
        <v>2617</v>
      </c>
      <c r="F18" s="455" t="s">
        <v>2620</v>
      </c>
      <c r="G18" s="453" t="s">
        <v>2700</v>
      </c>
      <c r="H18" s="453" t="s">
        <v>826</v>
      </c>
      <c r="I18" s="324">
        <v>30</v>
      </c>
      <c r="J18" s="324">
        <v>0</v>
      </c>
      <c r="K18" s="324">
        <v>15</v>
      </c>
      <c r="L18" s="324">
        <v>0</v>
      </c>
      <c r="M18" s="324">
        <v>15</v>
      </c>
      <c r="N18" s="324"/>
      <c r="O18" s="154"/>
      <c r="P18" s="154" t="s">
        <v>7</v>
      </c>
      <c r="Q18" s="125" t="s">
        <v>2619</v>
      </c>
      <c r="R18" s="453" t="s">
        <v>36</v>
      </c>
      <c r="S18" s="125" t="s">
        <v>1519</v>
      </c>
      <c r="T18" s="125" t="s">
        <v>49</v>
      </c>
      <c r="U18" s="453" t="s">
        <v>38</v>
      </c>
      <c r="V18" s="125">
        <f t="shared" si="0"/>
        <v>5</v>
      </c>
      <c r="W18" s="322">
        <v>4</v>
      </c>
      <c r="X18" s="320">
        <v>1</v>
      </c>
      <c r="Y18" s="317" t="s">
        <v>64</v>
      </c>
      <c r="Z18" s="137" t="s">
        <v>1148</v>
      </c>
      <c r="AA18"/>
      <c r="AB18"/>
      <c r="AC18"/>
      <c r="AD18"/>
      <c r="AE18"/>
    </row>
    <row r="19" spans="1:31" customFormat="1" ht="50.1" customHeight="1">
      <c r="A19" s="126">
        <v>15</v>
      </c>
      <c r="B19" s="147" t="s">
        <v>1159</v>
      </c>
      <c r="C19" s="147" t="s">
        <v>1317</v>
      </c>
      <c r="D19" s="114" t="s">
        <v>2618</v>
      </c>
      <c r="E19" s="453" t="s">
        <v>2617</v>
      </c>
      <c r="F19" s="455" t="s">
        <v>2616</v>
      </c>
      <c r="G19" s="453" t="s">
        <v>2615</v>
      </c>
      <c r="H19" s="114" t="s">
        <v>218</v>
      </c>
      <c r="I19" s="227">
        <v>71</v>
      </c>
      <c r="J19" s="227">
        <v>0</v>
      </c>
      <c r="K19" s="227">
        <v>50</v>
      </c>
      <c r="L19" s="227">
        <v>0</v>
      </c>
      <c r="M19" s="227">
        <v>21</v>
      </c>
      <c r="N19" s="227"/>
      <c r="O19" s="149"/>
      <c r="P19" s="149" t="s">
        <v>5</v>
      </c>
      <c r="Q19" s="147" t="s">
        <v>1536</v>
      </c>
      <c r="R19" s="114" t="s">
        <v>36</v>
      </c>
      <c r="S19" s="147" t="s">
        <v>42</v>
      </c>
      <c r="T19" s="147" t="s">
        <v>49</v>
      </c>
      <c r="U19" s="147" t="s">
        <v>53</v>
      </c>
      <c r="V19" s="147">
        <f t="shared" si="0"/>
        <v>19.5</v>
      </c>
      <c r="W19" s="226">
        <v>14.5</v>
      </c>
      <c r="X19" s="225">
        <v>5</v>
      </c>
      <c r="Y19" s="221" t="s">
        <v>2614</v>
      </c>
      <c r="Z19" s="152" t="s">
        <v>1148</v>
      </c>
    </row>
    <row r="20" spans="1:31" ht="50.1" customHeight="1">
      <c r="A20" s="125">
        <v>16</v>
      </c>
      <c r="B20" s="125" t="s">
        <v>1159</v>
      </c>
      <c r="C20" s="125" t="s">
        <v>1220</v>
      </c>
      <c r="D20" s="453" t="s">
        <v>2613</v>
      </c>
      <c r="E20" s="453" t="s">
        <v>1444</v>
      </c>
      <c r="F20" s="455" t="s">
        <v>2612</v>
      </c>
      <c r="G20" s="453" t="s">
        <v>2611</v>
      </c>
      <c r="H20" s="453" t="s">
        <v>2610</v>
      </c>
      <c r="I20" s="324">
        <v>40</v>
      </c>
      <c r="J20" s="324"/>
      <c r="K20" s="324">
        <v>20</v>
      </c>
      <c r="L20" s="324"/>
      <c r="M20" s="324">
        <v>20</v>
      </c>
      <c r="N20" s="324"/>
      <c r="O20" s="154"/>
      <c r="P20" s="154" t="s">
        <v>5</v>
      </c>
      <c r="Q20" s="125" t="s">
        <v>1540</v>
      </c>
      <c r="R20" s="453" t="s">
        <v>36</v>
      </c>
      <c r="S20" s="125" t="s">
        <v>1216</v>
      </c>
      <c r="T20" s="125" t="s">
        <v>49</v>
      </c>
      <c r="U20" s="453" t="s">
        <v>49</v>
      </c>
      <c r="V20" s="125">
        <f t="shared" si="0"/>
        <v>4</v>
      </c>
      <c r="W20" s="314">
        <v>3</v>
      </c>
      <c r="X20" s="324">
        <v>1</v>
      </c>
      <c r="Y20" s="453" t="s">
        <v>812</v>
      </c>
      <c r="Z20" s="141" t="s">
        <v>1148</v>
      </c>
      <c r="AA20"/>
      <c r="AB20"/>
      <c r="AC20"/>
      <c r="AD20"/>
      <c r="AE20"/>
    </row>
    <row r="21" spans="1:31" ht="50.1" customHeight="1">
      <c r="A21" s="125">
        <v>17</v>
      </c>
      <c r="B21" s="125" t="s">
        <v>1159</v>
      </c>
      <c r="C21" s="125" t="s">
        <v>1220</v>
      </c>
      <c r="D21" s="453" t="s">
        <v>2609</v>
      </c>
      <c r="E21" s="453" t="s">
        <v>1467</v>
      </c>
      <c r="F21" s="455" t="s">
        <v>1322</v>
      </c>
      <c r="G21" s="453" t="s">
        <v>2608</v>
      </c>
      <c r="H21" s="453" t="s">
        <v>887</v>
      </c>
      <c r="I21" s="325">
        <v>143</v>
      </c>
      <c r="J21" s="324"/>
      <c r="K21" s="324">
        <v>100</v>
      </c>
      <c r="L21" s="325"/>
      <c r="M21" s="324">
        <v>43</v>
      </c>
      <c r="N21" s="324"/>
      <c r="O21" s="154"/>
      <c r="P21" s="154" t="s">
        <v>7</v>
      </c>
      <c r="Q21" s="453" t="s">
        <v>1323</v>
      </c>
      <c r="R21" s="453" t="s">
        <v>36</v>
      </c>
      <c r="S21" s="453" t="s">
        <v>68</v>
      </c>
      <c r="T21" s="453" t="s">
        <v>1292</v>
      </c>
      <c r="U21" s="453" t="s">
        <v>2607</v>
      </c>
      <c r="V21" s="453">
        <f t="shared" si="0"/>
        <v>19</v>
      </c>
      <c r="W21" s="314">
        <v>19</v>
      </c>
      <c r="X21" s="325"/>
      <c r="Y21" s="125" t="s">
        <v>2606</v>
      </c>
      <c r="Z21" s="137" t="s">
        <v>1148</v>
      </c>
      <c r="AA21"/>
      <c r="AB21"/>
      <c r="AC21"/>
      <c r="AD21"/>
      <c r="AE21"/>
    </row>
    <row r="22" spans="1:31" ht="50.1" customHeight="1">
      <c r="A22" s="125">
        <v>18</v>
      </c>
      <c r="B22" s="125" t="s">
        <v>1159</v>
      </c>
      <c r="C22" s="125" t="s">
        <v>1220</v>
      </c>
      <c r="D22" s="453" t="s">
        <v>2605</v>
      </c>
      <c r="E22" s="453" t="s">
        <v>2604</v>
      </c>
      <c r="F22" s="455" t="s">
        <v>2603</v>
      </c>
      <c r="G22" s="453" t="s">
        <v>2602</v>
      </c>
      <c r="H22" s="453" t="s">
        <v>174</v>
      </c>
      <c r="I22" s="324">
        <v>20</v>
      </c>
      <c r="J22" s="324">
        <v>0</v>
      </c>
      <c r="K22" s="324">
        <v>20</v>
      </c>
      <c r="L22" s="324">
        <v>0</v>
      </c>
      <c r="M22" s="324">
        <v>0</v>
      </c>
      <c r="N22" s="324"/>
      <c r="O22" s="154"/>
      <c r="P22" s="154" t="s">
        <v>52</v>
      </c>
      <c r="Q22" s="453" t="s">
        <v>2601</v>
      </c>
      <c r="R22" s="453" t="s">
        <v>36</v>
      </c>
      <c r="S22" s="453" t="s">
        <v>1216</v>
      </c>
      <c r="T22" s="453" t="s">
        <v>49</v>
      </c>
      <c r="U22" s="453" t="s">
        <v>38</v>
      </c>
      <c r="V22" s="453">
        <f t="shared" si="0"/>
        <v>35</v>
      </c>
      <c r="W22" s="315">
        <v>35</v>
      </c>
      <c r="X22" s="325">
        <v>0</v>
      </c>
      <c r="Y22" s="453" t="s">
        <v>2600</v>
      </c>
      <c r="Z22" s="137" t="s">
        <v>1148</v>
      </c>
      <c r="AA22"/>
      <c r="AB22"/>
      <c r="AC22"/>
      <c r="AD22"/>
      <c r="AE22"/>
    </row>
    <row r="23" spans="1:31" customFormat="1" ht="50.1" customHeight="1">
      <c r="A23" s="126">
        <v>19</v>
      </c>
      <c r="B23" s="147" t="s">
        <v>1159</v>
      </c>
      <c r="C23" s="147" t="s">
        <v>1220</v>
      </c>
      <c r="D23" s="114" t="s">
        <v>2599</v>
      </c>
      <c r="E23" s="453" t="s">
        <v>2598</v>
      </c>
      <c r="F23" s="455" t="s">
        <v>2597</v>
      </c>
      <c r="G23" s="453" t="s">
        <v>2596</v>
      </c>
      <c r="H23" s="114" t="s">
        <v>1389</v>
      </c>
      <c r="I23" s="227">
        <v>29</v>
      </c>
      <c r="J23" s="227"/>
      <c r="K23" s="227">
        <v>20</v>
      </c>
      <c r="L23" s="227"/>
      <c r="M23" s="227">
        <v>9</v>
      </c>
      <c r="N23" s="227"/>
      <c r="O23" s="149"/>
      <c r="P23" s="149" t="s">
        <v>48</v>
      </c>
      <c r="Q23" s="114" t="s">
        <v>2595</v>
      </c>
      <c r="R23" s="114" t="s">
        <v>36</v>
      </c>
      <c r="S23" s="114" t="s">
        <v>42</v>
      </c>
      <c r="T23" s="114" t="s">
        <v>49</v>
      </c>
      <c r="U23" s="114" t="s">
        <v>37</v>
      </c>
      <c r="V23" s="114">
        <f t="shared" si="0"/>
        <v>2</v>
      </c>
      <c r="W23" s="145">
        <v>1.8</v>
      </c>
      <c r="X23" s="227">
        <v>0.2</v>
      </c>
      <c r="Y23" s="114" t="s">
        <v>2594</v>
      </c>
      <c r="Z23" s="152" t="s">
        <v>1148</v>
      </c>
    </row>
    <row r="24" spans="1:31" ht="50.1" customHeight="1">
      <c r="A24" s="125">
        <v>20</v>
      </c>
      <c r="B24" s="125" t="s">
        <v>1159</v>
      </c>
      <c r="C24" s="125" t="s">
        <v>1317</v>
      </c>
      <c r="D24" s="125" t="s">
        <v>2593</v>
      </c>
      <c r="E24" s="453" t="s">
        <v>1469</v>
      </c>
      <c r="F24" s="455" t="s">
        <v>2592</v>
      </c>
      <c r="G24" s="453" t="s">
        <v>2591</v>
      </c>
      <c r="H24" s="453" t="s">
        <v>1324</v>
      </c>
      <c r="I24" s="324">
        <v>42</v>
      </c>
      <c r="J24" s="324">
        <v>0</v>
      </c>
      <c r="K24" s="324">
        <v>30</v>
      </c>
      <c r="L24" s="324">
        <v>0</v>
      </c>
      <c r="M24" s="324">
        <v>12</v>
      </c>
      <c r="N24" s="324"/>
      <c r="O24" s="154"/>
      <c r="P24" s="154" t="s">
        <v>5</v>
      </c>
      <c r="Q24" s="453" t="s">
        <v>59</v>
      </c>
      <c r="R24" s="453" t="s">
        <v>36</v>
      </c>
      <c r="S24" s="453" t="s">
        <v>2590</v>
      </c>
      <c r="T24" s="453" t="s">
        <v>49</v>
      </c>
      <c r="U24" s="453" t="s">
        <v>53</v>
      </c>
      <c r="V24" s="453">
        <f t="shared" si="0"/>
        <v>10</v>
      </c>
      <c r="W24" s="314">
        <v>10</v>
      </c>
      <c r="X24" s="324">
        <v>0</v>
      </c>
      <c r="Y24" s="125" t="s">
        <v>1536</v>
      </c>
      <c r="Z24" s="137" t="s">
        <v>1148</v>
      </c>
      <c r="AA24"/>
      <c r="AB24"/>
      <c r="AC24"/>
      <c r="AD24"/>
      <c r="AE24"/>
    </row>
    <row r="25" spans="1:31" ht="50.1" customHeight="1">
      <c r="A25" s="125">
        <v>21</v>
      </c>
      <c r="B25" s="125" t="s">
        <v>1159</v>
      </c>
      <c r="C25" s="125" t="s">
        <v>1317</v>
      </c>
      <c r="D25" s="453" t="s">
        <v>2589</v>
      </c>
      <c r="E25" s="453" t="s">
        <v>2178</v>
      </c>
      <c r="F25" s="455" t="s">
        <v>2588</v>
      </c>
      <c r="G25" s="453" t="s">
        <v>2587</v>
      </c>
      <c r="H25" s="453" t="s">
        <v>1222</v>
      </c>
      <c r="I25" s="324">
        <v>28</v>
      </c>
      <c r="J25" s="324">
        <v>0</v>
      </c>
      <c r="K25" s="324">
        <v>25</v>
      </c>
      <c r="L25" s="324">
        <v>0</v>
      </c>
      <c r="M25" s="324">
        <v>3</v>
      </c>
      <c r="N25" s="324"/>
      <c r="O25" s="154"/>
      <c r="P25" s="154" t="s">
        <v>7</v>
      </c>
      <c r="Q25" s="453" t="s">
        <v>2586</v>
      </c>
      <c r="R25" s="453" t="s">
        <v>36</v>
      </c>
      <c r="S25" s="453" t="s">
        <v>2585</v>
      </c>
      <c r="T25" s="453" t="s">
        <v>49</v>
      </c>
      <c r="U25" s="453" t="s">
        <v>38</v>
      </c>
      <c r="V25" s="453">
        <f t="shared" si="0"/>
        <v>2</v>
      </c>
      <c r="W25" s="324">
        <v>2</v>
      </c>
      <c r="X25" s="324">
        <v>0</v>
      </c>
      <c r="Y25" s="453" t="s">
        <v>2584</v>
      </c>
      <c r="Z25" s="137" t="s">
        <v>1148</v>
      </c>
      <c r="AA25"/>
      <c r="AB25"/>
      <c r="AC25"/>
      <c r="AD25"/>
      <c r="AE25"/>
    </row>
    <row r="26" spans="1:31" ht="50.1" customHeight="1">
      <c r="A26" s="125">
        <v>22</v>
      </c>
      <c r="B26" s="125" t="s">
        <v>1159</v>
      </c>
      <c r="C26" s="125" t="s">
        <v>1317</v>
      </c>
      <c r="D26" s="453" t="s">
        <v>2583</v>
      </c>
      <c r="E26" s="453" t="s">
        <v>2582</v>
      </c>
      <c r="F26" s="455" t="s">
        <v>2581</v>
      </c>
      <c r="G26" s="453" t="s">
        <v>2580</v>
      </c>
      <c r="H26" s="453" t="s">
        <v>1474</v>
      </c>
      <c r="I26" s="324">
        <v>70</v>
      </c>
      <c r="J26" s="324" t="s">
        <v>43</v>
      </c>
      <c r="K26" s="324">
        <v>70</v>
      </c>
      <c r="L26" s="324" t="s">
        <v>43</v>
      </c>
      <c r="M26" s="324" t="s">
        <v>43</v>
      </c>
      <c r="N26" s="324" t="s">
        <v>43</v>
      </c>
      <c r="O26" s="154" t="s">
        <v>43</v>
      </c>
      <c r="P26" s="154" t="s">
        <v>5</v>
      </c>
      <c r="Q26" s="453" t="s">
        <v>59</v>
      </c>
      <c r="R26" s="453" t="s">
        <v>36</v>
      </c>
      <c r="S26" s="453" t="s">
        <v>665</v>
      </c>
      <c r="T26" s="453" t="s">
        <v>49</v>
      </c>
      <c r="U26" s="453" t="s">
        <v>43</v>
      </c>
      <c r="V26" s="453">
        <f t="shared" si="0"/>
        <v>5</v>
      </c>
      <c r="W26" s="324">
        <v>4.8</v>
      </c>
      <c r="X26" s="324">
        <v>0.2</v>
      </c>
      <c r="Y26" s="453" t="s">
        <v>59</v>
      </c>
      <c r="Z26" s="137" t="s">
        <v>1148</v>
      </c>
      <c r="AA26"/>
      <c r="AB26"/>
      <c r="AC26"/>
      <c r="AD26"/>
      <c r="AE26"/>
    </row>
    <row r="27" spans="1:31" ht="50.1" customHeight="1">
      <c r="A27" s="125">
        <v>23</v>
      </c>
      <c r="B27" s="125" t="s">
        <v>1159</v>
      </c>
      <c r="C27" s="125" t="s">
        <v>1220</v>
      </c>
      <c r="D27" s="453" t="s">
        <v>1325</v>
      </c>
      <c r="E27" s="453" t="s">
        <v>2579</v>
      </c>
      <c r="F27" s="455" t="s">
        <v>2698</v>
      </c>
      <c r="G27" s="453" t="s">
        <v>2578</v>
      </c>
      <c r="H27" s="453" t="s">
        <v>2577</v>
      </c>
      <c r="I27" s="324">
        <v>100</v>
      </c>
      <c r="J27" s="324">
        <v>0</v>
      </c>
      <c r="K27" s="324">
        <v>20</v>
      </c>
      <c r="L27" s="324">
        <v>0</v>
      </c>
      <c r="M27" s="324">
        <v>80</v>
      </c>
      <c r="N27" s="324"/>
      <c r="O27" s="154"/>
      <c r="P27" s="154" t="s">
        <v>5</v>
      </c>
      <c r="Q27" s="453" t="s">
        <v>2576</v>
      </c>
      <c r="R27" s="453" t="s">
        <v>36</v>
      </c>
      <c r="S27" s="453" t="s">
        <v>42</v>
      </c>
      <c r="T27" s="453" t="s">
        <v>49</v>
      </c>
      <c r="U27" s="453" t="s">
        <v>38</v>
      </c>
      <c r="V27" s="453">
        <f t="shared" si="0"/>
        <v>25</v>
      </c>
      <c r="W27" s="324">
        <v>24.5</v>
      </c>
      <c r="X27" s="324">
        <v>0.5</v>
      </c>
      <c r="Y27" s="453" t="s">
        <v>240</v>
      </c>
      <c r="Z27" s="137" t="s">
        <v>1148</v>
      </c>
      <c r="AA27"/>
      <c r="AB27"/>
      <c r="AC27"/>
      <c r="AD27"/>
      <c r="AE27"/>
    </row>
    <row r="28" spans="1:31" ht="50.1" customHeight="1">
      <c r="A28" s="125">
        <v>24</v>
      </c>
      <c r="B28" s="125" t="s">
        <v>1159</v>
      </c>
      <c r="C28" s="125" t="s">
        <v>1159</v>
      </c>
      <c r="D28" s="453" t="s">
        <v>2575</v>
      </c>
      <c r="E28" s="453" t="s">
        <v>1224</v>
      </c>
      <c r="F28" s="455" t="s">
        <v>2574</v>
      </c>
      <c r="G28" s="453" t="s">
        <v>2573</v>
      </c>
      <c r="H28" s="453" t="s">
        <v>811</v>
      </c>
      <c r="I28" s="324">
        <v>209</v>
      </c>
      <c r="J28" s="324">
        <v>0</v>
      </c>
      <c r="K28" s="324">
        <v>209</v>
      </c>
      <c r="L28" s="324">
        <v>0</v>
      </c>
      <c r="M28" s="324">
        <v>0</v>
      </c>
      <c r="N28" s="324"/>
      <c r="O28" s="154"/>
      <c r="P28" s="154" t="s">
        <v>52</v>
      </c>
      <c r="Q28" s="453" t="s">
        <v>2572</v>
      </c>
      <c r="R28" s="453" t="s">
        <v>36</v>
      </c>
      <c r="S28" s="453" t="s">
        <v>42</v>
      </c>
      <c r="T28" s="453" t="s">
        <v>49</v>
      </c>
      <c r="U28" s="453" t="s">
        <v>37</v>
      </c>
      <c r="V28" s="453">
        <f t="shared" si="0"/>
        <v>50</v>
      </c>
      <c r="W28" s="324">
        <v>50</v>
      </c>
      <c r="X28" s="324">
        <v>0</v>
      </c>
      <c r="Y28" s="125" t="s">
        <v>2571</v>
      </c>
      <c r="Z28" s="137" t="s">
        <v>1148</v>
      </c>
      <c r="AA28"/>
      <c r="AB28"/>
      <c r="AC28"/>
      <c r="AD28"/>
      <c r="AE28"/>
    </row>
    <row r="29" spans="1:31" ht="50.1" customHeight="1">
      <c r="A29" s="125">
        <v>25</v>
      </c>
      <c r="B29" s="125" t="s">
        <v>1159</v>
      </c>
      <c r="C29" s="125" t="s">
        <v>1220</v>
      </c>
      <c r="D29" s="453" t="s">
        <v>2570</v>
      </c>
      <c r="E29" s="453" t="s">
        <v>1219</v>
      </c>
      <c r="F29" s="455" t="s">
        <v>2569</v>
      </c>
      <c r="G29" s="453" t="s">
        <v>2568</v>
      </c>
      <c r="H29" s="453" t="s">
        <v>1515</v>
      </c>
      <c r="I29" s="324">
        <v>100</v>
      </c>
      <c r="J29" s="324"/>
      <c r="K29" s="324">
        <v>100</v>
      </c>
      <c r="L29" s="324"/>
      <c r="M29" s="324"/>
      <c r="N29" s="324"/>
      <c r="O29" s="154"/>
      <c r="P29" s="154" t="s">
        <v>98</v>
      </c>
      <c r="Q29" s="453" t="s">
        <v>812</v>
      </c>
      <c r="R29" s="453" t="s">
        <v>36</v>
      </c>
      <c r="S29" s="453" t="s">
        <v>42</v>
      </c>
      <c r="T29" s="453" t="s">
        <v>2567</v>
      </c>
      <c r="U29" s="453" t="s">
        <v>2566</v>
      </c>
      <c r="V29" s="453">
        <v>30</v>
      </c>
      <c r="W29" s="324">
        <v>30</v>
      </c>
      <c r="X29" s="324"/>
      <c r="Y29" s="125" t="s">
        <v>812</v>
      </c>
      <c r="Z29" s="137" t="s">
        <v>1148</v>
      </c>
      <c r="AA29"/>
      <c r="AB29"/>
      <c r="AC29"/>
      <c r="AD29"/>
      <c r="AE29"/>
    </row>
    <row r="30" spans="1:31" ht="50.1" customHeight="1">
      <c r="A30" s="125">
        <v>26</v>
      </c>
      <c r="B30" s="125" t="s">
        <v>1159</v>
      </c>
      <c r="C30" s="125" t="s">
        <v>1220</v>
      </c>
      <c r="D30" s="453" t="s">
        <v>1326</v>
      </c>
      <c r="E30" s="453" t="s">
        <v>2565</v>
      </c>
      <c r="F30" s="455" t="s">
        <v>2564</v>
      </c>
      <c r="G30" s="453" t="s">
        <v>2563</v>
      </c>
      <c r="H30" s="453" t="s">
        <v>1222</v>
      </c>
      <c r="I30" s="314">
        <v>130</v>
      </c>
      <c r="J30" s="314">
        <v>0</v>
      </c>
      <c r="K30" s="314">
        <v>100</v>
      </c>
      <c r="L30" s="314">
        <v>0</v>
      </c>
      <c r="M30" s="314">
        <v>30</v>
      </c>
      <c r="N30" s="314"/>
      <c r="O30" s="453"/>
      <c r="P30" s="453" t="s">
        <v>41</v>
      </c>
      <c r="Q30" s="453" t="s">
        <v>1530</v>
      </c>
      <c r="R30" s="453" t="s">
        <v>36</v>
      </c>
      <c r="S30" s="453" t="s">
        <v>42</v>
      </c>
      <c r="T30" s="453" t="s">
        <v>49</v>
      </c>
      <c r="U30" s="453" t="s">
        <v>53</v>
      </c>
      <c r="V30" s="453">
        <f>SUM(W30:X30)</f>
        <v>4.5</v>
      </c>
      <c r="W30" s="314">
        <v>4</v>
      </c>
      <c r="X30" s="314">
        <v>0.5</v>
      </c>
      <c r="Y30" s="453" t="s">
        <v>2562</v>
      </c>
      <c r="Z30" s="137" t="s">
        <v>1148</v>
      </c>
      <c r="AA30"/>
      <c r="AB30"/>
      <c r="AC30"/>
      <c r="AD30"/>
      <c r="AE30"/>
    </row>
    <row r="31" spans="1:31" ht="50.1" customHeight="1">
      <c r="A31" s="125">
        <v>27</v>
      </c>
      <c r="B31" s="125" t="s">
        <v>1159</v>
      </c>
      <c r="C31" s="125" t="s">
        <v>1159</v>
      </c>
      <c r="D31" s="453" t="s">
        <v>2561</v>
      </c>
      <c r="E31" s="453" t="s">
        <v>1533</v>
      </c>
      <c r="F31" s="455" t="s">
        <v>2560</v>
      </c>
      <c r="G31" s="453" t="s">
        <v>2559</v>
      </c>
      <c r="H31" s="453" t="s">
        <v>278</v>
      </c>
      <c r="I31" s="326">
        <v>357</v>
      </c>
      <c r="J31" s="326"/>
      <c r="K31" s="326">
        <v>352</v>
      </c>
      <c r="L31" s="326"/>
      <c r="M31" s="326">
        <v>5</v>
      </c>
      <c r="N31" s="314"/>
      <c r="O31" s="453"/>
      <c r="P31" s="453" t="s">
        <v>48</v>
      </c>
      <c r="Q31" s="453" t="s">
        <v>2558</v>
      </c>
      <c r="R31" s="453" t="s">
        <v>36</v>
      </c>
      <c r="S31" s="453" t="s">
        <v>42</v>
      </c>
      <c r="T31" s="453" t="s">
        <v>49</v>
      </c>
      <c r="U31" s="453" t="s">
        <v>37</v>
      </c>
      <c r="V31" s="453"/>
      <c r="W31" s="314"/>
      <c r="X31" s="314"/>
      <c r="Y31" s="453" t="s">
        <v>2557</v>
      </c>
      <c r="Z31" s="137" t="s">
        <v>1148</v>
      </c>
      <c r="AA31"/>
      <c r="AB31"/>
      <c r="AC31"/>
      <c r="AD31"/>
      <c r="AE31"/>
    </row>
    <row r="32" spans="1:31" ht="81">
      <c r="A32" s="125">
        <v>28</v>
      </c>
      <c r="B32" s="125" t="s">
        <v>1159</v>
      </c>
      <c r="C32" s="125" t="s">
        <v>1317</v>
      </c>
      <c r="D32" s="453" t="s">
        <v>2556</v>
      </c>
      <c r="E32" s="453" t="s">
        <v>2555</v>
      </c>
      <c r="F32" s="455" t="s">
        <v>2554</v>
      </c>
      <c r="G32" s="453" t="s">
        <v>2553</v>
      </c>
      <c r="H32" s="453" t="s">
        <v>1327</v>
      </c>
      <c r="I32" s="314">
        <v>850</v>
      </c>
      <c r="J32" s="314">
        <v>0</v>
      </c>
      <c r="K32" s="314">
        <v>850</v>
      </c>
      <c r="L32" s="314">
        <v>0</v>
      </c>
      <c r="M32" s="314">
        <v>0</v>
      </c>
      <c r="N32" s="314"/>
      <c r="O32" s="453"/>
      <c r="P32" s="453" t="s">
        <v>7</v>
      </c>
      <c r="Q32" s="453" t="s">
        <v>2552</v>
      </c>
      <c r="R32" s="453" t="s">
        <v>36</v>
      </c>
      <c r="S32" s="453" t="s">
        <v>42</v>
      </c>
      <c r="T32" s="453" t="s">
        <v>49</v>
      </c>
      <c r="U32" s="453" t="s">
        <v>38</v>
      </c>
      <c r="V32" s="453">
        <f>SUM(W32:X32)</f>
        <v>150</v>
      </c>
      <c r="W32" s="314">
        <v>141</v>
      </c>
      <c r="X32" s="314">
        <v>9</v>
      </c>
      <c r="Y32" s="453" t="s">
        <v>2551</v>
      </c>
      <c r="Z32" s="137" t="s">
        <v>6119</v>
      </c>
      <c r="AA32"/>
      <c r="AB32"/>
      <c r="AC32"/>
      <c r="AD32"/>
      <c r="AE32"/>
    </row>
    <row r="33" spans="1:31" ht="50.1" customHeight="1">
      <c r="A33" s="125">
        <v>29</v>
      </c>
      <c r="B33" s="125" t="s">
        <v>1159</v>
      </c>
      <c r="C33" s="125" t="s">
        <v>1159</v>
      </c>
      <c r="D33" s="453" t="s">
        <v>2550</v>
      </c>
      <c r="E33" s="453" t="s">
        <v>1524</v>
      </c>
      <c r="F33" s="455" t="s">
        <v>2549</v>
      </c>
      <c r="G33" s="453" t="s">
        <v>2548</v>
      </c>
      <c r="H33" s="453" t="s">
        <v>1509</v>
      </c>
      <c r="I33" s="326">
        <v>1550</v>
      </c>
      <c r="J33" s="326"/>
      <c r="K33" s="326">
        <v>1550</v>
      </c>
      <c r="L33" s="326"/>
      <c r="M33" s="326"/>
      <c r="N33" s="314"/>
      <c r="O33" s="453"/>
      <c r="P33" s="453" t="s">
        <v>7</v>
      </c>
      <c r="Q33" s="453" t="s">
        <v>2547</v>
      </c>
      <c r="R33" s="453" t="s">
        <v>36</v>
      </c>
      <c r="S33" s="453" t="s">
        <v>2546</v>
      </c>
      <c r="T33" s="453" t="s">
        <v>1471</v>
      </c>
      <c r="U33" s="453" t="s">
        <v>37</v>
      </c>
      <c r="V33" s="453">
        <f>SUM(W33:X33)</f>
        <v>169</v>
      </c>
      <c r="W33" s="314">
        <v>134</v>
      </c>
      <c r="X33" s="314">
        <v>35</v>
      </c>
      <c r="Y33" s="453" t="s">
        <v>2545</v>
      </c>
      <c r="Z33" s="137" t="s">
        <v>6120</v>
      </c>
    </row>
    <row r="34" spans="1:31" ht="50.1" customHeight="1">
      <c r="A34" s="125">
        <v>30</v>
      </c>
      <c r="B34" s="125" t="s">
        <v>1011</v>
      </c>
      <c r="C34" s="125" t="s">
        <v>1317</v>
      </c>
      <c r="D34" s="125" t="s">
        <v>2544</v>
      </c>
      <c r="E34" s="453" t="s">
        <v>1523</v>
      </c>
      <c r="F34" s="455" t="s">
        <v>2543</v>
      </c>
      <c r="G34" s="453" t="s">
        <v>2542</v>
      </c>
      <c r="H34" s="453" t="s">
        <v>2541</v>
      </c>
      <c r="I34" s="324">
        <v>100</v>
      </c>
      <c r="J34" s="324">
        <v>0</v>
      </c>
      <c r="K34" s="324">
        <v>70</v>
      </c>
      <c r="L34" s="324">
        <v>0</v>
      </c>
      <c r="M34" s="324">
        <v>30</v>
      </c>
      <c r="N34" s="324"/>
      <c r="O34" s="154"/>
      <c r="P34" s="154" t="s">
        <v>50</v>
      </c>
      <c r="Q34" s="125" t="s">
        <v>2540</v>
      </c>
      <c r="R34" s="125" t="s">
        <v>36</v>
      </c>
      <c r="S34" s="125" t="s">
        <v>2539</v>
      </c>
      <c r="T34" s="125" t="s">
        <v>49</v>
      </c>
      <c r="U34" s="125" t="s">
        <v>38</v>
      </c>
      <c r="V34" s="125">
        <v>10</v>
      </c>
      <c r="W34" s="314">
        <v>8</v>
      </c>
      <c r="X34" s="324">
        <v>2</v>
      </c>
      <c r="Y34" s="453" t="s">
        <v>2538</v>
      </c>
      <c r="Z34" s="141" t="s">
        <v>1148</v>
      </c>
    </row>
    <row r="35" spans="1:31" customFormat="1" ht="50.1" customHeight="1">
      <c r="A35" s="126">
        <v>31</v>
      </c>
      <c r="B35" s="147" t="s">
        <v>1159</v>
      </c>
      <c r="C35" s="147" t="s">
        <v>1159</v>
      </c>
      <c r="D35" s="147" t="s">
        <v>2537</v>
      </c>
      <c r="E35" s="453" t="s">
        <v>2536</v>
      </c>
      <c r="F35" s="455" t="s">
        <v>2535</v>
      </c>
      <c r="G35" s="453" t="s">
        <v>2739</v>
      </c>
      <c r="H35" s="114" t="s">
        <v>503</v>
      </c>
      <c r="I35" s="227">
        <v>180</v>
      </c>
      <c r="J35" s="227"/>
      <c r="K35" s="227">
        <v>90</v>
      </c>
      <c r="L35" s="227"/>
      <c r="M35" s="227">
        <v>90</v>
      </c>
      <c r="N35" s="227"/>
      <c r="O35" s="149"/>
      <c r="P35" s="149" t="s">
        <v>41</v>
      </c>
      <c r="Q35" s="147" t="s">
        <v>2534</v>
      </c>
      <c r="R35" s="147" t="s">
        <v>36</v>
      </c>
      <c r="S35" s="147" t="s">
        <v>42</v>
      </c>
      <c r="T35" s="147" t="s">
        <v>49</v>
      </c>
      <c r="U35" s="147" t="s">
        <v>38</v>
      </c>
      <c r="V35" s="147">
        <v>70</v>
      </c>
      <c r="W35" s="145">
        <v>56.2</v>
      </c>
      <c r="X35" s="227">
        <v>13.8</v>
      </c>
      <c r="Y35" s="114" t="s">
        <v>64</v>
      </c>
      <c r="Z35" s="151" t="s">
        <v>5588</v>
      </c>
    </row>
    <row r="36" spans="1:31" ht="50.1" customHeight="1">
      <c r="A36" s="125">
        <v>32</v>
      </c>
      <c r="B36" s="125" t="s">
        <v>1159</v>
      </c>
      <c r="C36" s="125" t="s">
        <v>1159</v>
      </c>
      <c r="D36" s="125" t="s">
        <v>2533</v>
      </c>
      <c r="E36" s="453" t="s">
        <v>1640</v>
      </c>
      <c r="F36" s="455" t="s">
        <v>2532</v>
      </c>
      <c r="G36" s="453" t="s">
        <v>2738</v>
      </c>
      <c r="H36" s="453" t="s">
        <v>2531</v>
      </c>
      <c r="I36" s="324">
        <v>20</v>
      </c>
      <c r="J36" s="324"/>
      <c r="K36" s="324">
        <v>20</v>
      </c>
      <c r="L36" s="324"/>
      <c r="M36" s="324">
        <v>20</v>
      </c>
      <c r="N36" s="324"/>
      <c r="O36" s="154"/>
      <c r="P36" s="154" t="s">
        <v>67</v>
      </c>
      <c r="Q36" s="125" t="s">
        <v>2530</v>
      </c>
      <c r="R36" s="125" t="s">
        <v>36</v>
      </c>
      <c r="S36" s="125" t="s">
        <v>246</v>
      </c>
      <c r="T36" s="125"/>
      <c r="U36" s="125" t="s">
        <v>53</v>
      </c>
      <c r="V36" s="125">
        <f>SUM(W36:X36)</f>
        <v>40</v>
      </c>
      <c r="W36" s="314">
        <v>40</v>
      </c>
      <c r="X36" s="324"/>
      <c r="Y36" s="453" t="s">
        <v>2529</v>
      </c>
      <c r="Z36" s="137" t="s">
        <v>1148</v>
      </c>
    </row>
    <row r="37" spans="1:31" ht="50.1" customHeight="1">
      <c r="A37" s="125">
        <v>33</v>
      </c>
      <c r="B37" s="125" t="s">
        <v>1159</v>
      </c>
      <c r="C37" s="125" t="s">
        <v>1159</v>
      </c>
      <c r="D37" s="453" t="s">
        <v>2528</v>
      </c>
      <c r="E37" s="453" t="s">
        <v>2527</v>
      </c>
      <c r="F37" s="455" t="s">
        <v>2526</v>
      </c>
      <c r="G37" s="453" t="s">
        <v>2525</v>
      </c>
      <c r="H37" s="453" t="s">
        <v>503</v>
      </c>
      <c r="I37" s="324">
        <v>180</v>
      </c>
      <c r="J37" s="324"/>
      <c r="K37" s="324">
        <v>90</v>
      </c>
      <c r="L37" s="324"/>
      <c r="M37" s="324">
        <v>90</v>
      </c>
      <c r="N37" s="324"/>
      <c r="O37" s="154"/>
      <c r="P37" s="149" t="s">
        <v>6</v>
      </c>
      <c r="Q37" s="147" t="s">
        <v>1294</v>
      </c>
      <c r="R37" s="147" t="s">
        <v>36</v>
      </c>
      <c r="S37" s="147" t="s">
        <v>464</v>
      </c>
      <c r="T37" s="147" t="s">
        <v>49</v>
      </c>
      <c r="U37" s="147" t="s">
        <v>53</v>
      </c>
      <c r="V37" s="147">
        <v>410</v>
      </c>
      <c r="W37" s="145">
        <v>400</v>
      </c>
      <c r="X37" s="227">
        <v>10</v>
      </c>
      <c r="Y37" s="147" t="s">
        <v>2524</v>
      </c>
      <c r="Z37" s="151" t="s">
        <v>1148</v>
      </c>
    </row>
    <row r="38" spans="1:31" customFormat="1" ht="50.1" customHeight="1">
      <c r="A38" s="126">
        <v>34</v>
      </c>
      <c r="B38" s="147" t="s">
        <v>1011</v>
      </c>
      <c r="C38" s="147" t="s">
        <v>1220</v>
      </c>
      <c r="D38" s="114" t="s">
        <v>2523</v>
      </c>
      <c r="E38" s="453" t="s">
        <v>2522</v>
      </c>
      <c r="F38" s="455" t="s">
        <v>2521</v>
      </c>
      <c r="G38" s="453" t="s">
        <v>2520</v>
      </c>
      <c r="H38" s="114" t="s">
        <v>420</v>
      </c>
      <c r="I38" s="227">
        <v>45</v>
      </c>
      <c r="J38" s="227">
        <v>0</v>
      </c>
      <c r="K38" s="227">
        <v>40</v>
      </c>
      <c r="L38" s="227">
        <v>0</v>
      </c>
      <c r="M38" s="227">
        <v>5</v>
      </c>
      <c r="N38" s="227"/>
      <c r="O38" s="149"/>
      <c r="P38" s="149" t="s">
        <v>2519</v>
      </c>
      <c r="Q38" s="147" t="s">
        <v>2518</v>
      </c>
      <c r="R38" s="147" t="s">
        <v>2517</v>
      </c>
      <c r="S38" s="147" t="s">
        <v>2516</v>
      </c>
      <c r="T38" s="147" t="s">
        <v>49</v>
      </c>
      <c r="U38" s="147" t="s">
        <v>1328</v>
      </c>
      <c r="V38" s="147">
        <v>15</v>
      </c>
      <c r="W38" s="145">
        <v>15</v>
      </c>
      <c r="X38" s="227"/>
      <c r="Y38" s="114" t="s">
        <v>2515</v>
      </c>
      <c r="Z38" s="151" t="s">
        <v>6026</v>
      </c>
    </row>
    <row r="39" spans="1:31" customFormat="1" ht="50.1" customHeight="1">
      <c r="A39" s="126">
        <v>35</v>
      </c>
      <c r="B39" s="126" t="s">
        <v>1159</v>
      </c>
      <c r="C39" s="126" t="s">
        <v>1220</v>
      </c>
      <c r="D39" s="454" t="s">
        <v>2514</v>
      </c>
      <c r="E39" s="453" t="s">
        <v>54</v>
      </c>
      <c r="F39" s="455" t="s">
        <v>2513</v>
      </c>
      <c r="G39" s="453" t="s">
        <v>2512</v>
      </c>
      <c r="H39" s="454" t="s">
        <v>826</v>
      </c>
      <c r="I39" s="145">
        <v>45</v>
      </c>
      <c r="J39" s="145">
        <v>0</v>
      </c>
      <c r="K39" s="145">
        <v>45</v>
      </c>
      <c r="L39" s="145">
        <v>0</v>
      </c>
      <c r="M39" s="145">
        <v>0</v>
      </c>
      <c r="N39" s="145"/>
      <c r="O39" s="454"/>
      <c r="P39" s="454" t="s">
        <v>31</v>
      </c>
      <c r="Q39" s="454" t="s">
        <v>2511</v>
      </c>
      <c r="R39" s="454" t="s">
        <v>36</v>
      </c>
      <c r="S39" s="454" t="s">
        <v>42</v>
      </c>
      <c r="T39" s="454" t="s">
        <v>49</v>
      </c>
      <c r="U39" s="454" t="s">
        <v>38</v>
      </c>
      <c r="V39" s="454">
        <f>SUM(W39:X39)</f>
        <v>3</v>
      </c>
      <c r="W39" s="145">
        <v>2.95</v>
      </c>
      <c r="X39" s="145">
        <v>0.05</v>
      </c>
      <c r="Y39" s="454" t="s">
        <v>2510</v>
      </c>
      <c r="Z39" s="202" t="s">
        <v>1148</v>
      </c>
    </row>
    <row r="40" spans="1:31" ht="50.1" customHeight="1">
      <c r="A40" s="125">
        <v>36</v>
      </c>
      <c r="B40" s="125" t="s">
        <v>1159</v>
      </c>
      <c r="C40" s="125" t="s">
        <v>1220</v>
      </c>
      <c r="D40" s="453" t="s">
        <v>2509</v>
      </c>
      <c r="E40" s="453" t="s">
        <v>54</v>
      </c>
      <c r="F40" s="455" t="s">
        <v>2508</v>
      </c>
      <c r="G40" s="453" t="s">
        <v>2507</v>
      </c>
      <c r="H40" s="453" t="s">
        <v>798</v>
      </c>
      <c r="I40" s="314">
        <v>424</v>
      </c>
      <c r="J40" s="314">
        <v>0</v>
      </c>
      <c r="K40" s="314">
        <v>424</v>
      </c>
      <c r="L40" s="314">
        <v>0</v>
      </c>
      <c r="M40" s="314">
        <v>0</v>
      </c>
      <c r="N40" s="314"/>
      <c r="O40" s="453"/>
      <c r="P40" s="453" t="s">
        <v>7</v>
      </c>
      <c r="Q40" s="453" t="s">
        <v>2506</v>
      </c>
      <c r="R40" s="453" t="s">
        <v>36</v>
      </c>
      <c r="S40" s="453" t="s">
        <v>2505</v>
      </c>
      <c r="T40" s="453" t="s">
        <v>49</v>
      </c>
      <c r="U40" s="453" t="s">
        <v>38</v>
      </c>
      <c r="V40" s="453">
        <f>SUM(W40:X40)</f>
        <v>80</v>
      </c>
      <c r="W40" s="314">
        <v>80</v>
      </c>
      <c r="X40" s="314">
        <v>0</v>
      </c>
      <c r="Y40" s="453" t="s">
        <v>2504</v>
      </c>
      <c r="Z40" s="137" t="s">
        <v>1148</v>
      </c>
    </row>
    <row r="41" spans="1:31" ht="50.1" customHeight="1">
      <c r="A41" s="125">
        <v>37</v>
      </c>
      <c r="B41" s="125" t="s">
        <v>1159</v>
      </c>
      <c r="C41" s="125" t="s">
        <v>1317</v>
      </c>
      <c r="D41" s="453" t="s">
        <v>2503</v>
      </c>
      <c r="E41" s="103" t="s">
        <v>2502</v>
      </c>
      <c r="F41" s="455" t="s">
        <v>2501</v>
      </c>
      <c r="G41" s="453" t="s">
        <v>2500</v>
      </c>
      <c r="H41" s="453" t="s">
        <v>1285</v>
      </c>
      <c r="I41" s="314">
        <v>40</v>
      </c>
      <c r="J41" s="314">
        <v>0</v>
      </c>
      <c r="K41" s="314">
        <v>40</v>
      </c>
      <c r="L41" s="314">
        <v>0</v>
      </c>
      <c r="M41" s="314">
        <v>0</v>
      </c>
      <c r="N41" s="314"/>
      <c r="O41" s="453"/>
      <c r="P41" s="453" t="s">
        <v>7</v>
      </c>
      <c r="Q41" s="453" t="s">
        <v>2499</v>
      </c>
      <c r="R41" s="453" t="s">
        <v>36</v>
      </c>
      <c r="S41" s="453" t="s">
        <v>42</v>
      </c>
      <c r="T41" s="453" t="s">
        <v>49</v>
      </c>
      <c r="U41" s="453" t="s">
        <v>38</v>
      </c>
      <c r="V41" s="453">
        <f>SUM(W41:X41)</f>
        <v>5</v>
      </c>
      <c r="W41" s="314">
        <v>5</v>
      </c>
      <c r="X41" s="314">
        <v>0</v>
      </c>
      <c r="Y41" s="453" t="s">
        <v>2498</v>
      </c>
      <c r="Z41" s="137" t="s">
        <v>6026</v>
      </c>
    </row>
    <row r="42" spans="1:31" ht="50.1" customHeight="1">
      <c r="A42" s="125">
        <v>38</v>
      </c>
      <c r="B42" s="125" t="s">
        <v>1159</v>
      </c>
      <c r="C42" s="125" t="s">
        <v>1159</v>
      </c>
      <c r="D42" s="453" t="s">
        <v>2497</v>
      </c>
      <c r="E42" s="103" t="s">
        <v>2496</v>
      </c>
      <c r="F42" s="455" t="s">
        <v>1329</v>
      </c>
      <c r="G42" s="453" t="s">
        <v>6025</v>
      </c>
      <c r="H42" s="453" t="s">
        <v>2495</v>
      </c>
      <c r="I42" s="314">
        <f>K42+M42</f>
        <v>280</v>
      </c>
      <c r="J42" s="314"/>
      <c r="K42" s="314">
        <v>189</v>
      </c>
      <c r="L42" s="314"/>
      <c r="M42" s="314">
        <v>91</v>
      </c>
      <c r="N42" s="314"/>
      <c r="O42" s="453"/>
      <c r="P42" s="453" t="s">
        <v>6</v>
      </c>
      <c r="Q42" s="453" t="s">
        <v>2494</v>
      </c>
      <c r="R42" s="453" t="s">
        <v>36</v>
      </c>
      <c r="S42" s="453" t="s">
        <v>665</v>
      </c>
      <c r="T42" s="453" t="s">
        <v>49</v>
      </c>
      <c r="U42" s="453" t="s">
        <v>53</v>
      </c>
      <c r="V42" s="453">
        <v>226</v>
      </c>
      <c r="W42" s="314">
        <v>223</v>
      </c>
      <c r="X42" s="314">
        <v>3</v>
      </c>
      <c r="Y42" s="453" t="s">
        <v>2493</v>
      </c>
      <c r="Z42" s="202" t="s">
        <v>6121</v>
      </c>
    </row>
    <row r="43" spans="1:31" ht="50.1" customHeight="1">
      <c r="A43" s="125">
        <v>39</v>
      </c>
      <c r="B43" s="125" t="s">
        <v>1159</v>
      </c>
      <c r="C43" s="125" t="s">
        <v>1159</v>
      </c>
      <c r="D43" s="453" t="s">
        <v>2492</v>
      </c>
      <c r="E43" s="453" t="s">
        <v>1330</v>
      </c>
      <c r="F43" s="455" t="s">
        <v>2491</v>
      </c>
      <c r="G43" s="453" t="s">
        <v>2490</v>
      </c>
      <c r="H43" s="453" t="s">
        <v>2489</v>
      </c>
      <c r="I43" s="314">
        <v>400</v>
      </c>
      <c r="J43" s="314">
        <v>0</v>
      </c>
      <c r="K43" s="314">
        <v>400</v>
      </c>
      <c r="L43" s="314">
        <v>0</v>
      </c>
      <c r="M43" s="314">
        <v>0</v>
      </c>
      <c r="N43" s="314"/>
      <c r="O43" s="453"/>
      <c r="P43" s="453" t="s">
        <v>5</v>
      </c>
      <c r="Q43" s="453" t="s">
        <v>2488</v>
      </c>
      <c r="R43" s="453" t="s">
        <v>36</v>
      </c>
      <c r="S43" s="453" t="s">
        <v>42</v>
      </c>
      <c r="T43" s="453" t="s">
        <v>49</v>
      </c>
      <c r="U43" s="453" t="s">
        <v>1290</v>
      </c>
      <c r="V43" s="453">
        <f>SUM(W43:X43)</f>
        <v>90</v>
      </c>
      <c r="W43" s="314">
        <v>90</v>
      </c>
      <c r="X43" s="314">
        <v>0</v>
      </c>
      <c r="Y43" s="453" t="s">
        <v>2487</v>
      </c>
      <c r="Z43" s="137" t="s">
        <v>6121</v>
      </c>
    </row>
    <row r="44" spans="1:31">
      <c r="AA44"/>
      <c r="AB44"/>
      <c r="AC44"/>
      <c r="AD44"/>
      <c r="AE44"/>
    </row>
    <row r="47" spans="1:31">
      <c r="H47"/>
      <c r="I47"/>
      <c r="J47"/>
      <c r="K47"/>
      <c r="L47"/>
      <c r="M47"/>
      <c r="N47"/>
    </row>
    <row r="48" spans="1:31">
      <c r="H48"/>
      <c r="I48"/>
      <c r="J48"/>
      <c r="K48"/>
      <c r="L48"/>
      <c r="M48"/>
      <c r="N48"/>
    </row>
    <row r="49" spans="8:14">
      <c r="H49"/>
      <c r="I49"/>
      <c r="J49"/>
      <c r="K49"/>
      <c r="L49"/>
      <c r="M49"/>
      <c r="N49"/>
    </row>
    <row r="56" spans="8:14">
      <c r="H56"/>
      <c r="I56"/>
      <c r="J56"/>
      <c r="K56"/>
      <c r="L56"/>
      <c r="M56"/>
      <c r="N56"/>
    </row>
    <row r="61" spans="8:14">
      <c r="H61"/>
      <c r="I61"/>
      <c r="J61"/>
      <c r="K61"/>
      <c r="L61"/>
      <c r="M61"/>
      <c r="N61"/>
    </row>
  </sheetData>
  <autoFilter ref="A4:Z43"/>
  <mergeCells count="4">
    <mergeCell ref="A1:X2"/>
    <mergeCell ref="I3:M3"/>
    <mergeCell ref="N3:O3"/>
    <mergeCell ref="V3:X3"/>
  </mergeCells>
  <phoneticPr fontId="23" type="noConversion"/>
  <dataValidations count="22">
    <dataValidation type="list" allowBlank="1" showInputMessage="1" showErrorMessage="1" sqref="P15">
      <formula1>$P$157:$P$162</formula1>
    </dataValidation>
    <dataValidation type="list" allowBlank="1" showInputMessage="1" showErrorMessage="1" sqref="B15">
      <formula1>$B$157:$B$173</formula1>
    </dataValidation>
    <dataValidation type="list" allowBlank="1" showInputMessage="1" showErrorMessage="1" sqref="P36">
      <formula1>$P$158:$P$163</formula1>
    </dataValidation>
    <dataValidation type="list" allowBlank="1" showInputMessage="1" showErrorMessage="1" sqref="B36">
      <formula1>$B$158:$B$174</formula1>
    </dataValidation>
    <dataValidation type="list" allowBlank="1" showInputMessage="1" showErrorMessage="1" sqref="P20:P21">
      <formula1>$P$151:$P$156</formula1>
    </dataValidation>
    <dataValidation type="list" allowBlank="1" showInputMessage="1" showErrorMessage="1" sqref="B20:B21">
      <formula1>$B$151:$B$167</formula1>
    </dataValidation>
    <dataValidation type="list" allowBlank="1" showInputMessage="1" showErrorMessage="1" sqref="P26">
      <formula1>$P$10:$P$32</formula1>
    </dataValidation>
    <dataValidation type="list" allowBlank="1" showInputMessage="1" showErrorMessage="1" sqref="B26">
      <formula1>$B$10:$B$34</formula1>
    </dataValidation>
    <dataValidation type="list" allowBlank="1" showInputMessage="1" showErrorMessage="1" sqref="P23">
      <formula1>$P$150:$P$155</formula1>
    </dataValidation>
    <dataValidation type="list" allowBlank="1" showInputMessage="1" showErrorMessage="1" sqref="B23">
      <formula1>$B$150:$B$166</formula1>
    </dataValidation>
    <dataValidation type="list" allowBlank="1" showInputMessage="1" showErrorMessage="1" sqref="P33 P14">
      <formula1>$P$147:$P$152</formula1>
    </dataValidation>
    <dataValidation type="list" allowBlank="1" showInputMessage="1" showErrorMessage="1" sqref="B33 B14">
      <formula1>$B$147:$B$163</formula1>
    </dataValidation>
    <dataValidation type="list" allowBlank="1" showInputMessage="1" showErrorMessage="1" sqref="P12 B12">
      <formula1>#REF!</formula1>
    </dataValidation>
    <dataValidation type="list" allowBlank="1" showInputMessage="1" showErrorMessage="1" sqref="P6:P7">
      <formula1>$P$34:$P$34</formula1>
    </dataValidation>
    <dataValidation type="list" allowBlank="1" showInputMessage="1" showErrorMessage="1" sqref="P42 P13">
      <formula1>$P$146:$P$151</formula1>
    </dataValidation>
    <dataValidation type="list" allowBlank="1" showInputMessage="1" showErrorMessage="1" sqref="B42 B13">
      <formula1>$B$146:$B$162</formula1>
    </dataValidation>
    <dataValidation type="list" allowBlank="1" showInputMessage="1" showErrorMessage="1" sqref="P35">
      <formula1>$P$148:$P$153</formula1>
    </dataValidation>
    <dataValidation type="list" allowBlank="1" showInputMessage="1" showErrorMessage="1" sqref="B35">
      <formula1>$B$148:$B$164</formula1>
    </dataValidation>
    <dataValidation type="list" allowBlank="1" showInputMessage="1" showErrorMessage="1" sqref="B34 B24:B25 B22 B16:B19 B39:B41 B37 B43 B8:B11 B27:B32">
      <formula1>$B$149:$B$165</formula1>
    </dataValidation>
    <dataValidation type="list" allowBlank="1" showInputMessage="1" showErrorMessage="1" sqref="P34 P24:P25 P22 P27:P32 P39:P41 P37 P43 P8:P11 P16:P19">
      <formula1>$P$149:$P$154</formula1>
    </dataValidation>
    <dataValidation type="list" allowBlank="1" showInputMessage="1" showErrorMessage="1" sqref="B6:B7">
      <formula1>$B$34:$B$43</formula1>
    </dataValidation>
    <dataValidation type="list" showInputMessage="1" showErrorMessage="1" sqref="B38">
      <formula1>$B$34:$B$43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3</vt:i4>
      </vt:variant>
    </vt:vector>
  </HeadingPairs>
  <TitlesOfParts>
    <vt:vector size="21" baseType="lpstr">
      <vt:lpstr>총괄표</vt:lpstr>
      <vt:lpstr>서울</vt:lpstr>
      <vt:lpstr>부산</vt:lpstr>
      <vt:lpstr>대구</vt:lpstr>
      <vt:lpstr>인천</vt:lpstr>
      <vt:lpstr>광주</vt:lpstr>
      <vt:lpstr>대전</vt:lpstr>
      <vt:lpstr>울산</vt:lpstr>
      <vt:lpstr>세종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  <vt:lpstr>강원!Print_Area</vt:lpstr>
      <vt:lpstr>총괄표!Print_Area</vt:lpstr>
      <vt:lpstr>강원!Print_Titles</vt:lpstr>
    </vt:vector>
  </TitlesOfParts>
  <Company>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ITBANK-KKM</cp:lastModifiedBy>
  <cp:lastPrinted>2016-01-11T08:18:42Z</cp:lastPrinted>
  <dcterms:created xsi:type="dcterms:W3CDTF">2007-01-24T09:01:51Z</dcterms:created>
  <dcterms:modified xsi:type="dcterms:W3CDTF">2020-10-21T08:52:25Z</dcterms:modified>
</cp:coreProperties>
</file>